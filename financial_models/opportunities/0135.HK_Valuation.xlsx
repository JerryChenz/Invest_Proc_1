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88BC6DA-21DB-402E-8E2A-DAA8C6CA1AD0}" xr6:coauthVersionLast="47" xr6:coauthVersionMax="47" xr10:uidLastSave="{00000000-0000-0000-0000-000000000000}"/>
  <bookViews>
    <workbookView xWindow="1837" yWindow="1837" windowWidth="12691" windowHeight="7643"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1" r:id="rId9"/>
  </sheets>
  <definedNames>
    <definedName name="_xlnm._FilterDatabase" localSheetId="5" hidden="1">DCF!$B$73:$H$73</definedName>
    <definedName name="_xlnm._FilterDatabase" localSheetId="6"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67" i="2" l="1"/>
  <c r="C33" i="2"/>
  <c r="C4" i="2"/>
  <c r="G4" i="3"/>
  <c r="G18" i="3"/>
  <c r="F25" i="4"/>
  <c r="E25" i="4"/>
  <c r="D25" i="4"/>
  <c r="C25" i="4"/>
  <c r="F32" i="12" l="1"/>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F130" i="12"/>
  <c r="C130" i="12"/>
  <c r="B130" i="12"/>
  <c r="F129" i="12"/>
  <c r="C129" i="12"/>
  <c r="B129" i="12"/>
  <c r="F128" i="12"/>
  <c r="C128" i="12"/>
  <c r="B128" i="12"/>
  <c r="F127" i="12"/>
  <c r="C127" i="12"/>
  <c r="B127" i="12"/>
  <c r="F126" i="12"/>
  <c r="C126"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Q94" i="2"/>
  <c r="B91" i="2"/>
  <c r="B90" i="2"/>
  <c r="Q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C88" i="3" l="1"/>
  <c r="D88" i="3" s="1"/>
  <c r="C113" i="12"/>
  <c r="C114" i="12" s="1"/>
  <c r="F75" i="8"/>
  <c r="F127" i="6" s="1"/>
  <c r="F70" i="10"/>
  <c r="D74" i="8"/>
  <c r="D69" i="10"/>
  <c r="F55" i="8"/>
  <c r="F64" i="8" s="1"/>
  <c r="C126" i="6"/>
  <c r="C113" i="6"/>
  <c r="C114" i="6" s="1"/>
  <c r="G67" i="2"/>
  <c r="C59" i="2" s="1"/>
  <c r="D126" i="6" l="1"/>
  <c r="D126" i="12"/>
  <c r="C77" i="8"/>
  <c r="C31" i="9"/>
  <c r="D78" i="8"/>
  <c r="C25" i="9"/>
  <c r="C76" i="8"/>
  <c r="C78" i="8"/>
  <c r="D75" i="8"/>
  <c r="C75" i="8"/>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Q92" i="2" s="1"/>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O94" i="2"/>
  <c r="N94" i="2"/>
  <c r="P94" i="2"/>
  <c r="L94" i="2"/>
  <c r="M94" i="2"/>
  <c r="I94" i="2"/>
  <c r="C44" i="6"/>
  <c r="C44" i="12"/>
  <c r="J94" i="2"/>
  <c r="K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8" i="2"/>
  <c r="C23" i="2" s="1"/>
  <c r="C49" i="2"/>
  <c r="C29" i="2"/>
  <c r="C24" i="2" s="1"/>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H48" i="2"/>
  <c r="H50" i="2" s="1"/>
  <c r="H12" i="2" s="1"/>
  <c r="I48" i="2"/>
  <c r="I50" i="2" s="1"/>
  <c r="I12" i="2" s="1"/>
  <c r="C51" i="6"/>
  <c r="C31" i="3"/>
  <c r="H80" i="2" l="1"/>
  <c r="H119" i="2"/>
  <c r="I80" i="2"/>
  <c r="I119" i="2"/>
  <c r="J80" i="2"/>
  <c r="J119" i="2"/>
  <c r="C109" i="6"/>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C105" i="9"/>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M76" i="2"/>
  <c r="L13" i="2"/>
  <c r="L121" i="2" s="1"/>
  <c r="L117" i="2" s="1"/>
  <c r="K13" i="2"/>
  <c r="N13" i="2"/>
  <c r="M13" i="2"/>
  <c r="M121" i="2" s="1"/>
  <c r="M117" i="2" s="1"/>
  <c r="I13" i="2"/>
  <c r="K76" i="2"/>
  <c r="N98" i="2" l="1"/>
  <c r="N121" i="2"/>
  <c r="N117" i="2" s="1"/>
  <c r="K16" i="2"/>
  <c r="K19" i="2" s="1"/>
  <c r="K92" i="2" s="1"/>
  <c r="K121" i="2"/>
  <c r="K117" i="2" s="1"/>
  <c r="D74" i="6"/>
  <c r="I121" i="2"/>
  <c r="I117" i="2" s="1"/>
  <c r="J121" i="2"/>
  <c r="J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<sst xmlns="http://schemas.openxmlformats.org/spreadsheetml/2006/main" count="836" uniqueCount="560">
  <si>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</si>
  <si>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</si>
  <si>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</si>
  <si>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</si>
  <si>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</si>
  <si>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</si>
  <si>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</si>
  <si>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</si>
  <si>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</si>
  <si>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</si>
  <si>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</si>
  <si>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</si>
  <si>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</si>
  <si>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</si>
  <si>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</si>
  <si>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</si>
  <si>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</si>
  <si>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</si>
  <si>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</si>
  <si>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</si>
  <si>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</si>
  <si>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</si>
  <si>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</si>
  <si>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</si>
  <si>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</si>
  <si>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</si>
  <si>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</si>
  <si>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</si>
  <si>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</si>
  <si>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</si>
  <si>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</si>
  <si>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</si>
  <si>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</si>
  <si>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</si>
  <si>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</si>
  <si>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</si>
  <si>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</si>
  <si>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</si>
  <si>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</si>
  <si>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</si>
  <si>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</si>
  <si>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</si>
  <si>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</si>
  <si>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</si>
  <si>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</si>
  <si>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</si>
  <si>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</si>
  <si>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</si>
  <si>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</si>
  <si>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</si>
  <si>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</si>
  <si>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</si>
  <si>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</si>
  <si>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</si>
  <si>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</si>
  <si>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</si>
  <si>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</si>
  <si>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</si>
  <si>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</si>
  <si>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</si>
  <si>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</si>
  <si>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</si>
  <si>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</si>
  <si>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</si>
  <si>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</si>
  <si>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</si>
  <si>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</si>
  <si>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</si>
  <si>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</si>
  <si>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</si>
  <si>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</si>
  <si>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</si>
  <si>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</si>
  <si>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</si>
  <si>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</si>
  <si>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</si>
  <si>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</si>
  <si>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</si>
  <si>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</si>
  <si>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</si>
  <si>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</si>
  <si>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</si>
  <si>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</si>
  <si>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</si>
  <si>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</si>
  <si>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</si>
  <si>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</si>
  <si>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</si>
  <si>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</si>
  <si>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</si>
  <si>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</si>
  <si>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</si>
  <si>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</si>
  <si>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</si>
  <si>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</si>
  <si>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</si>
  <si>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</si>
  <si>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</si>
  <si>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</si>
  <si>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</si>
  <si>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</si>
  <si>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</si>
  <si>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</si>
  <si>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</si>
  <si>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</si>
  <si>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</si>
  <si>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</si>
  <si>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</si>
  <si>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</si>
  <si>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</si>
  <si>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</si>
  <si>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</si>
  <si>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</si>
  <si>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</si>
  <si>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</si>
  <si>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</si>
  <si>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</si>
  <si>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</si>
  <si>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</si>
  <si>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</si>
  <si>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</si>
  <si>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</si>
  <si>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</si>
  <si>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</si>
  <si>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</si>
  <si>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</si>
  <si>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</si>
  <si>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</si>
  <si>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</si>
  <si>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</si>
  <si>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</si>
  <si>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</si>
  <si>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</si>
  <si>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</si>
  <si>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</si>
  <si>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</si>
  <si>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</si>
  <si>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</si>
  <si>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</si>
  <si>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</si>
  <si>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</si>
  <si>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</si>
  <si>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</si>
  <si>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</si>
  <si>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</si>
  <si>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</si>
  <si>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</si>
  <si>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</si>
  <si>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</si>
  <si>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</si>
  <si>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</si>
  <si>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</si>
  <si>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</si>
  <si>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</si>
  <si>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</si>
  <si>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</si>
  <si>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</si>
  <si>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</si>
  <si>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</si>
  <si>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</si>
  <si>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</si>
  <si>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</si>
  <si>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</si>
  <si>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</si>
  <si>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</si>
  <si>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</si>
  <si>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</si>
  <si>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</si>
  <si>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</si>
  <si>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</si>
  <si>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</si>
  <si>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</si>
  <si>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</si>
  <si>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</si>
  <si>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</si>
  <si>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</si>
  <si>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</si>
  <si>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</si>
  <si>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</si>
  <si>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</si>
  <si>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</si>
  <si>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</si>
  <si>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</si>
  <si>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</si>
  <si>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</si>
  <si>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</si>
  <si>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</si>
  <si>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</si>
  <si>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</si>
  <si>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</si>
  <si>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</si>
  <si>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</si>
  <si>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</si>
  <si>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</si>
  <si>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</si>
  <si>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</si>
  <si>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</si>
  <si>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</si>
  <si>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</si>
  <si>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</si>
  <si>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</si>
  <si>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</si>
  <si>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</si>
  <si>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</si>
  <si>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</si>
  <si>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</si>
  <si>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</si>
  <si>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</si>
  <si>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</si>
  <si>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</si>
  <si>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</si>
  <si>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</si>
  <si>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</si>
  <si>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</si>
  <si>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</si>
  <si>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</si>
  <si>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</si>
  <si>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</si>
  <si>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</si>
  <si>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</si>
  <si>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</si>
  <si>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</si>
  <si>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</si>
  <si>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</si>
  <si>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</si>
  <si>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</si>
  <si>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</si>
  <si>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</si>
  <si>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</si>
  <si>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</si>
  <si>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</si>
  <si>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</si>
  <si>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</si>
  <si>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</si>
  <si>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</si>
  <si>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</si>
  <si>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</si>
  <si>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</si>
  <si>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</si>
  <si>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</si>
  <si>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</si>
  <si>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</si>
  <si>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</si>
  <si>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</si>
  <si>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</si>
  <si>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</si>
  <si>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</si>
  <si>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</si>
  <si>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</si>
  <si>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</si>
  <si>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</si>
  <si>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</si>
  <si>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</si>
  <si>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</si>
  <si>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</si>
  <si>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</si>
  <si>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</si>
  <si>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</si>
  <si>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</si>
  <si>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</si>
  <si>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</si>
  <si>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</si>
  <si>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</si>
  <si>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</si>
  <si>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</si>
  <si>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</si>
  <si>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</si>
  <si>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</si>
  <si>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</si>
  <si>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</si>
  <si>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</si>
  <si>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</si>
  <si>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</si>
  <si>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</si>
  <si>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</si>
  <si>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</si>
  <si>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</si>
  <si>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</si>
  <si>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</si>
  <si>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</si>
  <si>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</si>
  <si>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</si>
  <si>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</si>
  <si>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</si>
  <si>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</si>
  <si>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</si>
  <si>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</si>
  <si>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</si>
  <si>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</si>
  <si>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</si>
  <si>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</si>
  <si>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</si>
  <si>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</si>
  <si>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</si>
  <si>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</si>
  <si>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</si>
  <si>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</si>
  <si>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</si>
  <si>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</si>
  <si>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</si>
  <si>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</si>
  <si>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</si>
  <si>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</si>
  <si>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</si>
  <si>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</si>
  <si>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</si>
  <si>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</si>
  <si>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</si>
  <si>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</si>
  <si>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</si>
  <si>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</si>
  <si>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</si>
  <si>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</si>
  <si>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</si>
  <si>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</si>
  <si>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</si>
  <si>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</si>
  <si>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</si>
  <si>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</si>
  <si>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</si>
  <si>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</si>
  <si>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</si>
  <si>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</si>
  <si>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</si>
  <si>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</si>
  <si>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</si>
  <si>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</si>
  <si>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</si>
  <si>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</si>
  <si>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</si>
  <si>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</si>
  <si>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</si>
  <si>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</si>
  <si>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</si>
  <si>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</si>
  <si>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</si>
  <si>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</si>
  <si>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</si>
  <si>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</si>
  <si>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</si>
  <si>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</si>
  <si>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</si>
  <si>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</si>
  <si>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</si>
  <si>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</si>
  <si>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</si>
  <si>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</si>
  <si>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</si>
  <si>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</si>
  <si>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</si>
  <si>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</si>
  <si>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</si>
  <si>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</si>
  <si>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</si>
  <si>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</si>
  <si>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</si>
  <si>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</si>
  <si>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</si>
  <si>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</si>
  <si>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</si>
  <si>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</si>
  <si>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</si>
  <si>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</si>
  <si>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</si>
  <si>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</si>
  <si>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</si>
  <si>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</si>
  <si>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</si>
  <si>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</si>
  <si>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</si>
  <si>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</si>
  <si>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</si>
  <si>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</si>
  <si>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</si>
  <si>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</si>
  <si>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</si>
  <si>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</si>
  <si>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</si>
  <si>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</si>
  <si>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</si>
  <si>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</si>
  <si>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</si>
  <si>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</si>
  <si>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</si>
  <si>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</si>
  <si>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</si>
  <si>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</si>
  <si>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</si>
  <si>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</si>
  <si>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</si>
  <si>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</si>
  <si>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</si>
  <si>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</si>
  <si>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</si>
  <si>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</si>
  <si>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</si>
  <si>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</si>
  <si>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</si>
  <si>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</si>
  <si>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</si>
  <si>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</si>
  <si>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</si>
  <si>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</si>
  <si>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</si>
  <si>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</si>
  <si>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</si>
  <si>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</si>
  <si>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</si>
  <si>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</si>
  <si>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</si>
  <si>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</si>
  <si>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</si>
  <si>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</si>
  <si>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</si>
  <si>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</si>
  <si>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</si>
  <si>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</si>
  <si>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</si>
  <si>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</si>
  <si>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</si>
  <si>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</si>
  <si>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</si>
  <si>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</si>
  <si>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</si>
  <si>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</si>
  <si>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</si>
  <si>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</si>
  <si>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</si>
  <si>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</si>
  <si>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</si>
  <si>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</si>
  <si>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</si>
  <si>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</si>
  <si>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</si>
  <si>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</si>
  <si>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</si>
  <si>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</si>
  <si>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</si>
  <si>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</si>
  <si>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</si>
  <si>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</si>
  <si>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</si>
  <si>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</si>
  <si>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</si>
  <si>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</si>
  <si>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</si>
  <si>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</si>
  <si>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</si>
  <si>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</si>
  <si>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</si>
  <si>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</si>
  <si>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</si>
  <si>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</si>
  <si>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</si>
  <si>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</si>
  <si>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</si>
  <si>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</si>
  <si>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</si>
  <si>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</si>
  <si>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</si>
  <si>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</si>
  <si>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</si>
  <si>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</si>
  <si>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</si>
  <si>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</si>
  <si>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</si>
  <si>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</si>
  <si>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</si>
  <si>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</si>
  <si>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</si>
  <si>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</si>
  <si>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</si>
  <si>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</si>
  <si>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</si>
  <si>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</si>
  <si>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</si>
  <si>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</si>
  <si>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</si>
  <si>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</si>
  <si>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</si>
  <si>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</si>
  <si>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</si>
  <si>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</si>
  <si>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</si>
  <si>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</si>
  <si>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</si>
  <si>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</si>
  <si>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</si>
  <si>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</si>
  <si>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</si>
  <si>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</si>
  <si>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</si>
  <si>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</si>
  <si>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</si>
  <si>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</si>
  <si>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</si>
  <si>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</si>
  <si>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</si>
  <si>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</si>
  <si>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</si>
  <si>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</si>
  <si>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</si>
  <si>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</si>
  <si>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</si>
  <si>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</si>
  <si>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</si>
  <si>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</si>
  <si>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</si>
  <si>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</si>
  <si>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</si>
  <si>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</si>
  <si>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</si>
  <si>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</si>
  <si>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</si>
  <si>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</si>
  <si>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</si>
  <si>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</si>
  <si>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</si>
  <si>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</si>
  <si>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</si>
  <si>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</si>
  <si>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</si>
  <si>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</si>
  <si>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</si>
  <si>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</si>
  <si>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</si>
  <si>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</si>
  <si>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</si>
  <si>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</si>
  <si>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</si>
  <si>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</si>
  <si>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</si>
  <si>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</si>
  <si>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</si>
  <si>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</si>
  <si>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</si>
  <si>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</si>
  <si>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</si>
  <si>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</si>
  <si>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</si>
  <si>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</si>
  <si>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</si>
  <si>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</si>
  <si>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</si>
  <si>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</si>
  <si>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</si>
  <si>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</si>
  <si>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</si>
  <si>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</si>
  <si>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</si>
  <si>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</si>
  <si>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</si>
  <si>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</si>
  <si>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0135.HK</t>
  </si>
  <si>
    <t>昆仑能源</t>
  </si>
  <si>
    <t>ENG_02</t>
  </si>
  <si>
    <t>CNY</t>
  </si>
  <si>
    <t>DCF</t>
  </si>
  <si>
    <t>昆仑能源是中国国内销售规模最大的
天然气终端利用企业和 LPG 销售企业之一。</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</si>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</sst>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B27" sqref="B2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439</v>
      </c>
      <c r="C1" s="33">
        <f>Thesis!C1</f>
        <v>45867</v>
      </c>
      <c r="D1" s="358" t="str">
        <f>Thesis!D1</f>
        <v>INT</v>
      </c>
      <c r="E1" s="292" t="s">
        <v>345</v>
      </c>
      <c r="F1" s="307" t="str">
        <f>Thesis!F1</f>
        <v>N</v>
      </c>
    </row>
    <row r="2" spans="1:10" ht="13.9">
      <c r="A2" s="222" t="s">
        <v>440</v>
      </c>
      <c r="B2" s="36"/>
      <c r="C2" s="36"/>
      <c r="D2" s="36"/>
      <c r="E2" s="36"/>
      <c r="F2" s="36"/>
      <c r="G2" s="22"/>
      <c r="H2" s="22"/>
      <c r="I2" s="22"/>
      <c r="J2" s="22"/>
    </row>
    <row r="4" spans="1:10">
      <c r="B4" s="45" t="s">
        <v>441</v>
      </c>
      <c r="C4" s="46"/>
      <c r="D4" s="5"/>
      <c r="E4" s="2"/>
      <c r="F4" s="2"/>
    </row>
    <row r="5" spans="1:10" ht="12.4">
      <c r="B5" s="4" t="s">
        <v>481</v>
      </c>
      <c r="C5" s="359" t="str">
        <f>Thesis!C5</f>
        <v>昆仑能源</v>
      </c>
    </row>
    <row r="6" spans="1:10">
      <c r="B6" s="4" t="s">
        <v>482</v>
      </c>
      <c r="C6" s="34">
        <f>Common_Shares</f>
        <v>8658801708</v>
      </c>
      <c r="E6" s="48"/>
    </row>
    <row r="7" spans="1:10">
      <c r="B7" s="2" t="s">
        <v>483</v>
      </c>
      <c r="C7" s="360">
        <f>Thesis!C7</f>
        <v>6</v>
      </c>
      <c r="D7" s="48"/>
      <c r="E7" s="48"/>
    </row>
    <row r="8" spans="1:10">
      <c r="B8" s="1" t="s">
        <v>484</v>
      </c>
      <c r="C8" s="33">
        <f>EOMONTH(EDATE(BS!C1,C7+2),0)</f>
        <v>45900</v>
      </c>
      <c r="E8" s="48"/>
    </row>
    <row r="9" spans="1:10">
      <c r="E9" s="34"/>
    </row>
    <row r="10" spans="1:10">
      <c r="B10" s="45" t="s">
        <v>442</v>
      </c>
      <c r="C10" s="46"/>
      <c r="E10" s="34"/>
    </row>
    <row r="11" spans="1:10">
      <c r="B11" s="1" t="s">
        <v>485</v>
      </c>
      <c r="C11" s="365" t="str">
        <f>Thesis!C11</f>
        <v>0135.HK</v>
      </c>
      <c r="D11" s="49"/>
      <c r="E11" s="34"/>
    </row>
    <row r="12" spans="1:10">
      <c r="B12" s="4" t="s">
        <v>486</v>
      </c>
      <c r="C12" s="366">
        <f>Market_Price</f>
        <v>7.59</v>
      </c>
      <c r="D12" s="50"/>
      <c r="E12" s="48"/>
    </row>
    <row r="13" spans="1:10">
      <c r="B13" s="1" t="s">
        <v>487</v>
      </c>
      <c r="C13" s="32" t="str">
        <f>Market_currency</f>
        <v>HKD</v>
      </c>
      <c r="D13" s="48"/>
      <c r="E13" s="5"/>
    </row>
    <row r="14" spans="1:10">
      <c r="B14" s="4" t="s">
        <v>488</v>
      </c>
      <c r="C14" s="35">
        <f>投资主题!C12*Common_Shares/1000000</f>
        <v>65720.304963720002</v>
      </c>
      <c r="D14" s="35" t="str">
        <f>IF(D11="","",投资主题!D12*Common_Shares/1000000)</f>
        <v/>
      </c>
      <c r="E14" s="5"/>
    </row>
    <row r="15" spans="1:10">
      <c r="B15" s="4" t="s">
        <v>489</v>
      </c>
      <c r="C15" s="32" t="str">
        <f>IF(C25=C13,C13,C25&amp;"/"&amp;C13)</f>
        <v>CNY/HKD</v>
      </c>
      <c r="D15" s="32" t="str">
        <f>IF(D11="","",IF(C25=D13,D13,C25&amp;"/"&amp;D13))</f>
        <v/>
      </c>
      <c r="E15" s="5"/>
    </row>
    <row r="16" spans="1:10">
      <c r="B16" s="4" t="s">
        <v>490</v>
      </c>
      <c r="C16" s="366">
        <f>Exchange_Rate</f>
        <v>1.0942760599999999</v>
      </c>
      <c r="D16" s="50"/>
      <c r="E16" s="5"/>
    </row>
    <row r="17" spans="2:6">
      <c r="D17" s="5"/>
      <c r="E17" s="5"/>
    </row>
    <row r="18" spans="2:6" ht="24.6" customHeight="1">
      <c r="B18" s="368" t="s">
        <v>491</v>
      </c>
      <c r="C18" s="368"/>
      <c r="D18" s="368"/>
      <c r="E18" s="368"/>
      <c r="F18" s="368"/>
    </row>
    <row r="20" spans="2:6">
      <c r="B20" s="45" t="s">
        <v>492</v>
      </c>
      <c r="C20" s="46"/>
      <c r="D20" s="5"/>
    </row>
    <row r="21" spans="2:6">
      <c r="B21" s="2" t="s">
        <v>443</v>
      </c>
      <c r="C21" s="32" t="str">
        <f>IF(Scenarios!C69="Y",Scenarios!B69,"")&amp;IF(Scenarios!C70="Y",Scenarios!B70,"")&amp;IF(Scenarios!C71="Y",Scenarios!B71,"")&amp;" "&amp;IF(Scenarios!C72="Y",Scenarios!B72,"")</f>
        <v xml:space="preserve">Low Growth </v>
      </c>
      <c r="D21" s="1" t="s">
        <v>449</v>
      </c>
      <c r="E21" s="363" t="str">
        <f>valuation_method</f>
        <v>DCF</v>
      </c>
    </row>
    <row r="22" spans="2:6">
      <c r="B22" s="2" t="s">
        <v>444</v>
      </c>
      <c r="C22" s="32" t="str">
        <f>Thesis!C22</f>
        <v>ENG_02</v>
      </c>
      <c r="D22" s="1" t="str">
        <f>IF(valuation_method="DDM","终值贴现率","")</f>
        <v/>
      </c>
      <c r="E22" s="364">
        <f>Thesis!E22</f>
        <v>0</v>
      </c>
    </row>
    <row r="23" spans="2:6">
      <c r="B23" s="1" t="s">
        <v>445</v>
      </c>
      <c r="C23" s="253" t="str">
        <f>Thesis!C23</f>
        <v>N</v>
      </c>
    </row>
    <row r="24" spans="2:6">
      <c r="B24" s="1" t="s">
        <v>446</v>
      </c>
      <c r="C24" s="253" t="str">
        <f>Thesis!C24</f>
        <v>N</v>
      </c>
    </row>
    <row r="25" spans="2:6">
      <c r="B25" s="4" t="s">
        <v>447</v>
      </c>
      <c r="C25" s="32" t="str">
        <f>Reporting_currency</f>
        <v>CNY</v>
      </c>
      <c r="D25" s="32" t="str">
        <f>IF(D11="","",Market_currency&amp;"/"&amp;D13&amp;":")</f>
        <v/>
      </c>
      <c r="E25" s="299" t="str">
        <f>IF(D11="","",1/Exchange_Rate*D16)</f>
        <v/>
      </c>
    </row>
    <row r="26" spans="2:6">
      <c r="B26" s="1" t="str">
        <f>"预期股权价值 ("&amp;C13&amp;") :"</f>
        <v>预期股权价值 (HKD) :</v>
      </c>
      <c r="C26" s="304">
        <f>C132</f>
        <v>12.98390803598565</v>
      </c>
      <c r="D26" s="1" t="s">
        <v>448</v>
      </c>
      <c r="E26" s="301">
        <f ca="1">Scenarios!C87</f>
        <v>0.23459463611465181</v>
      </c>
    </row>
    <row r="27" spans="2:6">
      <c r="D27" s="5"/>
      <c r="E27" s="5"/>
    </row>
    <row r="28" spans="2:6">
      <c r="B28" s="45" t="s">
        <v>450</v>
      </c>
      <c r="C28" s="309" t="str">
        <f>C145&amp;" ("&amp;Market_currency&amp;")"</f>
        <v>0135.HK (HKD)</v>
      </c>
      <c r="D28" s="309" t="str">
        <f>IF(D11="","",D145&amp;" ("&amp;D13&amp;")")</f>
        <v/>
      </c>
      <c r="E28" s="305" t="s">
        <v>455</v>
      </c>
      <c r="F28" s="361">
        <f>Thesis!F28</f>
        <v>3</v>
      </c>
    </row>
    <row r="29" spans="2:6">
      <c r="B29" s="1" t="s">
        <v>451</v>
      </c>
      <c r="C29" s="310">
        <f>C149</f>
        <v>5.8632561257874007</v>
      </c>
      <c r="D29" s="310" t="str">
        <f>D149</f>
        <v/>
      </c>
      <c r="E29" s="306" t="s">
        <v>457</v>
      </c>
      <c r="F29" s="362">
        <f>Thesis!F29</f>
        <v>0.35</v>
      </c>
    </row>
    <row r="30" spans="2:6">
      <c r="B30" s="1" t="s">
        <v>452</v>
      </c>
      <c r="C30" s="311">
        <f>C157</f>
        <v>7.3223181996927478</v>
      </c>
      <c r="D30" s="311" t="str">
        <f>D157</f>
        <v/>
      </c>
      <c r="E30" s="307" t="s">
        <v>456</v>
      </c>
      <c r="F30" s="224">
        <f>Thesis!F30</f>
        <v>0.25</v>
      </c>
    </row>
    <row r="31" spans="2:6">
      <c r="B31" s="1" t="s">
        <v>453</v>
      </c>
      <c r="C31" s="311">
        <f>C165</f>
        <v>11.3502038756308</v>
      </c>
      <c r="D31" s="311" t="str">
        <f>D165</f>
        <v/>
      </c>
      <c r="E31" s="307" t="s">
        <v>493</v>
      </c>
      <c r="F31" s="224">
        <f>Thesis!F31</f>
        <v>7.4999999999999997E-2</v>
      </c>
    </row>
    <row r="32" spans="2:6">
      <c r="B32" s="1" t="s">
        <v>454</v>
      </c>
      <c r="C32" s="311">
        <f>C173</f>
        <v>10.14008003035921</v>
      </c>
      <c r="D32" s="311" t="str">
        <f>D173</f>
        <v/>
      </c>
      <c r="E32" s="307" t="s">
        <v>458</v>
      </c>
      <c r="F32" s="224">
        <f>Thesis!F32</f>
        <v>0.1174</v>
      </c>
    </row>
    <row r="33" spans="1:6">
      <c r="D33" s="5"/>
      <c r="E33" s="5"/>
    </row>
    <row r="34" spans="1:6" ht="13.9">
      <c r="A34" s="222" t="s">
        <v>459</v>
      </c>
      <c r="B34" s="36"/>
      <c r="C34" s="36"/>
      <c r="D34" s="36"/>
      <c r="E34" s="36"/>
      <c r="F34" s="36"/>
    </row>
    <row r="36" spans="1:6" ht="24.6" customHeight="1">
      <c r="B36" s="368" t="s">
        <v>494</v>
      </c>
      <c r="C36" s="368"/>
      <c r="D36" s="368"/>
      <c r="E36" s="368"/>
      <c r="F36" s="368"/>
    </row>
    <row r="37" spans="1:6" ht="24.6" customHeight="1">
      <c r="B37" s="369" t="s">
        <v>331</v>
      </c>
      <c r="C37" s="369"/>
      <c r="D37" s="369"/>
      <c r="E37" s="369"/>
      <c r="F37" s="369"/>
    </row>
    <row r="39" spans="1:6">
      <c r="B39" s="210" t="s">
        <v>495</v>
      </c>
      <c r="C39" s="108">
        <f>scaling_factor</f>
        <v>1000000</v>
      </c>
    </row>
    <row r="40" spans="1:6">
      <c r="B40" s="367" t="s">
        <v>496</v>
      </c>
      <c r="C40" s="367"/>
      <c r="D40" s="367"/>
      <c r="E40" s="367"/>
      <c r="F40" s="367"/>
    </row>
    <row r="41" spans="1:6">
      <c r="B41" s="47" t="s">
        <v>228</v>
      </c>
      <c r="C41" s="349">
        <f>Normalized_FCF!C8</f>
        <v>17421.507258354162</v>
      </c>
      <c r="D41" s="1" t="str">
        <f>Reporting_currency</f>
        <v>CNY</v>
      </c>
    </row>
    <row r="42" spans="1:6">
      <c r="B42" s="47"/>
      <c r="C42" s="76"/>
    </row>
    <row r="43" spans="1:6" ht="24.6" customHeight="1">
      <c r="B43" s="367" t="s">
        <v>497</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498</v>
      </c>
      <c r="C47" s="367"/>
      <c r="D47" s="367"/>
      <c r="E47" s="367"/>
      <c r="F47" s="367"/>
    </row>
    <row r="48" spans="1:6">
      <c r="B48" s="47" t="s">
        <v>233</v>
      </c>
      <c r="C48" s="349">
        <f>Normalized_FCF!C11</f>
        <v>900.8</v>
      </c>
      <c r="D48" s="1" t="str">
        <f>Reporting_currency</f>
        <v>CNY</v>
      </c>
    </row>
    <row r="50" spans="2:6">
      <c r="B50" s="367" t="s">
        <v>499</v>
      </c>
      <c r="C50" s="367"/>
      <c r="D50" s="367"/>
      <c r="E50" s="367"/>
      <c r="F50" s="367"/>
    </row>
    <row r="51" spans="2:6">
      <c r="B51" s="47" t="s">
        <v>332</v>
      </c>
      <c r="C51" s="350">
        <f>Normalized_FCF!C48</f>
        <v>279.61789242274239</v>
      </c>
      <c r="D51" s="1" t="str">
        <f>Reporting_currency</f>
        <v>CNY</v>
      </c>
      <c r="E51" s="286"/>
      <c r="F51" s="286"/>
    </row>
    <row r="52" spans="2:6">
      <c r="B52" s="47" t="s">
        <v>333</v>
      </c>
      <c r="C52" s="350">
        <f>Normalized_FCF!C47</f>
        <v>-803</v>
      </c>
      <c r="D52" s="1" t="str">
        <f>Reporting_currency</f>
        <v>CNY</v>
      </c>
      <c r="E52" s="286"/>
      <c r="F52" s="286"/>
    </row>
    <row r="53" spans="2:6">
      <c r="B53" s="47" t="s">
        <v>234</v>
      </c>
      <c r="C53" s="349">
        <f>Normalized_FCF!C12</f>
        <v>-523.38210757725756</v>
      </c>
      <c r="D53" s="1" t="str">
        <f>Reporting_currency</f>
        <v>CNY</v>
      </c>
    </row>
    <row r="55" spans="2:6">
      <c r="B55" s="1" t="s">
        <v>500</v>
      </c>
    </row>
    <row r="56" spans="2:6">
      <c r="B56" s="47" t="s">
        <v>261</v>
      </c>
      <c r="C56" s="349">
        <f>Normalized_FCF!C15</f>
        <v>-6118.862069912404</v>
      </c>
      <c r="D56" s="1" t="str">
        <f>Reporting_currency</f>
        <v>CNY</v>
      </c>
    </row>
    <row r="58" spans="2:6">
      <c r="B58" s="367" t="s">
        <v>237</v>
      </c>
      <c r="C58" s="367"/>
      <c r="D58" s="367"/>
      <c r="E58" s="367"/>
      <c r="F58" s="367"/>
    </row>
    <row r="59" spans="2:6">
      <c r="B59" s="47" t="s">
        <v>235</v>
      </c>
      <c r="C59" s="349">
        <f>Normalized_FCF!C14</f>
        <v>-4449.731287694226</v>
      </c>
      <c r="D59" s="1" t="str">
        <f>Reporting_currency</f>
        <v>CNY</v>
      </c>
    </row>
    <row r="61" spans="2:6">
      <c r="B61" s="367" t="s">
        <v>501</v>
      </c>
      <c r="C61" s="370"/>
      <c r="D61" s="370"/>
      <c r="E61" s="370"/>
      <c r="F61" s="370"/>
    </row>
    <row r="62" spans="2:6">
      <c r="B62" s="47" t="s">
        <v>238</v>
      </c>
      <c r="C62" s="349">
        <f>Normalized_FCF!C17</f>
        <v>0</v>
      </c>
      <c r="D62" s="1" t="str">
        <f>Reporting_currency</f>
        <v>CNY</v>
      </c>
    </row>
    <row r="64" spans="2:6">
      <c r="B64" s="368" t="s">
        <v>502</v>
      </c>
      <c r="C64" s="368"/>
      <c r="D64" s="368"/>
      <c r="E64" s="368"/>
      <c r="F64" s="368"/>
    </row>
    <row r="65" spans="1:6">
      <c r="B65" s="368" t="s">
        <v>503</v>
      </c>
      <c r="C65" s="368"/>
      <c r="D65" s="368"/>
      <c r="E65" s="368"/>
      <c r="F65" s="368"/>
    </row>
    <row r="67" spans="1:6">
      <c r="B67" s="47" t="s">
        <v>504</v>
      </c>
      <c r="C67" s="349">
        <f>Normalized_FCF!G19</f>
        <v>10305.060899807031</v>
      </c>
      <c r="D67" s="1" t="str">
        <f>Reporting_currency</f>
        <v>CNY</v>
      </c>
    </row>
    <row r="68" spans="1:6">
      <c r="B68" s="47" t="s">
        <v>244</v>
      </c>
      <c r="C68" s="349">
        <f>Normalized_FCF!C19</f>
        <v>7230.3317931702732</v>
      </c>
      <c r="D68" s="1" t="str">
        <f>Reporting_currency</f>
        <v>CNY</v>
      </c>
    </row>
    <row r="69" spans="1:6">
      <c r="B69" s="227" t="s">
        <v>373</v>
      </c>
      <c r="C69" s="92">
        <f>Normalized_FCF!C126</f>
        <v>0.12038865296639753</v>
      </c>
      <c r="F69" s="314"/>
    </row>
    <row r="70" spans="1:6">
      <c r="B70" s="227" t="s">
        <v>436</v>
      </c>
      <c r="C70" s="92">
        <f>Normalized_FCF!C94</f>
        <v>4.5529957806060596E-2</v>
      </c>
      <c r="E70" s="47" t="s">
        <v>505</v>
      </c>
      <c r="F70" s="315">
        <f>Normalized_FCF!C92</f>
        <v>0.41384583689866911</v>
      </c>
    </row>
    <row r="72" spans="1:6">
      <c r="B72" s="210" t="s">
        <v>515</v>
      </c>
      <c r="C72" s="323" t="s">
        <v>431</v>
      </c>
      <c r="D72" s="323" t="s">
        <v>506</v>
      </c>
    </row>
    <row r="73" spans="1:6">
      <c r="B73" s="47" t="s">
        <v>430</v>
      </c>
      <c r="C73" s="92">
        <f>Normalized_FCF!C121</f>
        <v>0.20035937581782973</v>
      </c>
      <c r="D73" s="92">
        <f>Normalized_FCF!G121</f>
        <v>0.19114156469642632</v>
      </c>
    </row>
    <row r="74" spans="1:6">
      <c r="B74" s="259" t="str">
        <f>Normalized_FCF!B118</f>
        <v>Pre-tax Profit/Sales</v>
      </c>
      <c r="C74" s="322">
        <f>Normalized_FCF!C118</f>
        <v>9.7688941552013742E-2</v>
      </c>
      <c r="D74" s="322">
        <f>Normalized_FCF!G118</f>
        <v>9.0780133762855292E-2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507</v>
      </c>
      <c r="B78" s="36"/>
      <c r="C78" s="36"/>
      <c r="D78" s="36"/>
      <c r="E78" s="36"/>
      <c r="F78" s="36"/>
    </row>
    <row r="79" spans="1:6">
      <c r="A79" s="209"/>
    </row>
    <row r="80" spans="1:6">
      <c r="A80" s="17"/>
      <c r="B80" s="368" t="s">
        <v>508</v>
      </c>
      <c r="C80" s="368"/>
      <c r="D80" s="368"/>
      <c r="E80" s="368"/>
      <c r="F80" s="368"/>
    </row>
    <row r="81" spans="1:6">
      <c r="B81" s="369" t="s">
        <v>248</v>
      </c>
      <c r="C81" s="369"/>
      <c r="D81" s="369"/>
      <c r="E81" s="369"/>
      <c r="F81" s="369"/>
    </row>
    <row r="83" spans="1:6">
      <c r="B83" s="210" t="s">
        <v>495</v>
      </c>
    </row>
    <row r="84" spans="1:6">
      <c r="B84" s="1" t="s">
        <v>409</v>
      </c>
      <c r="C84" s="92">
        <f>F31</f>
        <v>7.4999999999999997E-2</v>
      </c>
    </row>
    <row r="85" spans="1:6">
      <c r="B85" s="1" t="s">
        <v>408</v>
      </c>
      <c r="C85" s="92">
        <f>IF(C23="Y",1%,0)+IF(C24="Y",1%,0)</f>
        <v>0</v>
      </c>
    </row>
    <row r="86" spans="1:6">
      <c r="B86" s="80" t="s">
        <v>243</v>
      </c>
      <c r="C86" s="236">
        <f>F31+C85</f>
        <v>7.4999999999999997E-2</v>
      </c>
    </row>
    <row r="87" spans="1:6">
      <c r="C87" s="121"/>
    </row>
    <row r="88" spans="1:6">
      <c r="B88" s="293" t="s">
        <v>514</v>
      </c>
      <c r="C88" s="121"/>
    </row>
    <row r="89" spans="1:6">
      <c r="B89" s="368" t="s">
        <v>509</v>
      </c>
      <c r="C89" s="368"/>
      <c r="D89" s="368"/>
      <c r="E89" s="368"/>
      <c r="F89" s="368"/>
    </row>
    <row r="90" spans="1:6">
      <c r="B90" s="368" t="s">
        <v>510</v>
      </c>
      <c r="C90" s="368"/>
      <c r="D90" s="368"/>
      <c r="E90" s="368"/>
      <c r="F90" s="368"/>
    </row>
    <row r="92" spans="1:6">
      <c r="B92" s="47" t="s">
        <v>247</v>
      </c>
      <c r="C92" s="236">
        <v>0</v>
      </c>
    </row>
    <row r="93" spans="1:6">
      <c r="B93" s="47" t="s">
        <v>275</v>
      </c>
      <c r="C93" s="223">
        <f>DCF!C6*scaling_factor*Exchange_Rate/Common_Shares</f>
        <v>12.18333168019943</v>
      </c>
      <c r="D93" s="1" t="str">
        <f>Market_currency</f>
        <v>HKD</v>
      </c>
    </row>
    <row r="95" spans="1:6" ht="13.9">
      <c r="A95" s="222" t="s">
        <v>511</v>
      </c>
      <c r="B95" s="36"/>
      <c r="C95" s="36"/>
      <c r="D95" s="36"/>
      <c r="E95" s="36"/>
      <c r="F95" s="36"/>
    </row>
    <row r="96" spans="1:6">
      <c r="A96" s="209"/>
    </row>
    <row r="97" spans="2:6">
      <c r="B97" s="368" t="s">
        <v>512</v>
      </c>
      <c r="C97" s="368"/>
      <c r="D97" s="368"/>
      <c r="E97" s="368"/>
      <c r="F97" s="368"/>
    </row>
    <row r="98" spans="2:6">
      <c r="B98" s="1" t="s">
        <v>249</v>
      </c>
    </row>
    <row r="100" spans="2:6">
      <c r="B100" s="210" t="s">
        <v>495</v>
      </c>
    </row>
    <row r="101" spans="2:6">
      <c r="B101" s="368" t="s">
        <v>513</v>
      </c>
      <c r="C101" s="368"/>
      <c r="D101" s="368"/>
      <c r="E101" s="368"/>
      <c r="F101" s="368"/>
    </row>
    <row r="102" spans="2:6">
      <c r="B102" s="47" t="s">
        <v>251</v>
      </c>
      <c r="C102" s="349">
        <f>DCF!C7</f>
        <v>24279</v>
      </c>
      <c r="D102" s="1" t="str">
        <f>Reporting_currency</f>
        <v>CNY</v>
      </c>
    </row>
    <row r="103" spans="2:6">
      <c r="B103" s="47" t="s">
        <v>276</v>
      </c>
      <c r="C103" s="223">
        <f>C102*scaling_factor*Exchange_Rate/Common_Shares</f>
        <v>3.0683146879542789</v>
      </c>
      <c r="D103" s="1" t="str">
        <f>Market_currency</f>
        <v>HKD</v>
      </c>
    </row>
    <row r="104" spans="2:6">
      <c r="B104" s="296" t="s">
        <v>386</v>
      </c>
      <c r="C104" s="325">
        <f>IF(BS!G31/BS!G27&gt;300%,"nm",BS!G31/BS!G27)</f>
        <v>0.27330444081724548</v>
      </c>
    </row>
    <row r="105" spans="2:6">
      <c r="B105" s="296" t="s">
        <v>388</v>
      </c>
      <c r="C105" s="326">
        <f>IF(BS!C50&gt;30,"nm",BS!C50)</f>
        <v>1.3936222417470483</v>
      </c>
    </row>
    <row r="107" spans="2:6">
      <c r="B107" s="1" t="s">
        <v>516</v>
      </c>
    </row>
    <row r="108" spans="2:6">
      <c r="B108" s="47" t="s">
        <v>260</v>
      </c>
      <c r="C108" s="349">
        <f>BS!C66</f>
        <v>45092</v>
      </c>
      <c r="D108" s="1" t="str">
        <f>Reporting_currency</f>
        <v>CNY</v>
      </c>
    </row>
    <row r="109" spans="2:6">
      <c r="B109" s="47" t="s">
        <v>262</v>
      </c>
      <c r="C109" s="349">
        <f>DCF!C8</f>
        <v>17130.210757725759</v>
      </c>
      <c r="D109" s="1" t="str">
        <f>Reporting_currency</f>
        <v>CNY</v>
      </c>
    </row>
    <row r="110" spans="2:6">
      <c r="B110" s="47" t="s">
        <v>277</v>
      </c>
      <c r="C110" s="223">
        <f>C109*scaling_factor*Exchange_Rate/Common_Shares</f>
        <v>2.1648699400997713</v>
      </c>
      <c r="D110" s="1" t="str">
        <f>Market_currency</f>
        <v>HKD</v>
      </c>
    </row>
    <row r="112" spans="2:6">
      <c r="B112" s="1" t="s">
        <v>517</v>
      </c>
    </row>
    <row r="113" spans="1:6">
      <c r="B113" s="47" t="s">
        <v>253</v>
      </c>
      <c r="C113" s="349">
        <f>DCF!C9</f>
        <v>158.4</v>
      </c>
      <c r="D113" s="1" t="str">
        <f>Reporting_currency</f>
        <v>CNY</v>
      </c>
    </row>
    <row r="114" spans="1:6">
      <c r="B114" s="47" t="s">
        <v>278</v>
      </c>
      <c r="C114" s="223">
        <f>C113*scaling_factor*Exchange_Rate/Common_Shares</f>
        <v>2.0018165763497582E-2</v>
      </c>
      <c r="D114" s="1" t="str">
        <f>Market_currency</f>
        <v>HKD</v>
      </c>
    </row>
    <row r="116" spans="1:6">
      <c r="B116" s="368" t="s">
        <v>518</v>
      </c>
      <c r="C116" s="368"/>
      <c r="D116" s="368"/>
      <c r="E116" s="368"/>
      <c r="F116" s="368"/>
    </row>
    <row r="118" spans="1:6">
      <c r="B118" s="47" t="s">
        <v>519</v>
      </c>
      <c r="C118" s="223">
        <f>IF(valuation_method="DCF",DCF!C12,DDM!C7)</f>
        <v>11.29990509810842</v>
      </c>
      <c r="D118" s="1" t="str">
        <f>Market_currency</f>
        <v>HKD</v>
      </c>
    </row>
    <row r="119" spans="1:6">
      <c r="B119" s="296" t="s">
        <v>552</v>
      </c>
      <c r="C119" s="223">
        <f>BS!D47</f>
        <v>-3.1956651023474385</v>
      </c>
      <c r="D119" s="1" t="str">
        <f>Market_currency</f>
        <v>HKD</v>
      </c>
    </row>
    <row r="121" spans="1:6" ht="13.9">
      <c r="A121" s="222" t="s">
        <v>520</v>
      </c>
      <c r="B121" s="36"/>
      <c r="C121" s="36"/>
      <c r="D121" s="36"/>
      <c r="E121" s="36"/>
      <c r="F121" s="36"/>
    </row>
    <row r="123" spans="1:6">
      <c r="B123" s="367" t="s">
        <v>521</v>
      </c>
      <c r="C123" s="367"/>
      <c r="D123" s="367"/>
      <c r="E123" s="367"/>
      <c r="F123" s="367"/>
    </row>
    <row r="125" spans="1:6" ht="12.4">
      <c r="B125" s="233" t="s">
        <v>522</v>
      </c>
      <c r="C125" s="233" t="s">
        <v>523</v>
      </c>
      <c r="D125" s="233" t="s">
        <v>108</v>
      </c>
      <c r="E125" s="233" t="s">
        <v>524</v>
      </c>
      <c r="F125" s="233" t="s">
        <v>525</v>
      </c>
    </row>
    <row r="126" spans="1:6">
      <c r="B126" s="228" t="str">
        <f>DCF!B74</f>
        <v>Snowball Scenario</v>
      </c>
      <c r="C126" s="229">
        <f>DCF!C74</f>
        <v>0.04</v>
      </c>
      <c r="D126" s="230">
        <f>DCF!D74</f>
        <v>10</v>
      </c>
      <c r="E126" s="231" t="str">
        <f>ROUND(IF(valuation_method="DCF",DCF!E74,DDM!E69),2)&amp;" "&amp;Market_currency</f>
        <v>12.92 HKD</v>
      </c>
      <c r="F126" s="232">
        <f>DCF!F74</f>
        <v>0.05</v>
      </c>
    </row>
    <row r="127" spans="1:6">
      <c r="B127" s="218" t="str">
        <f>DCF!B75</f>
        <v>Optimistic</v>
      </c>
      <c r="C127" s="219">
        <f>DCF!C75</f>
        <v>0.03</v>
      </c>
      <c r="D127" s="220">
        <f>DCF!D75</f>
        <v>20</v>
      </c>
      <c r="E127" s="231" t="str">
        <f>ROUND(IF(valuation_method="DCF",DCF!E75,DDM!E70),2)&amp;" "&amp;Market_currency</f>
        <v>14.09 HKD</v>
      </c>
      <c r="F127" s="221">
        <f>DCF!F75</f>
        <v>0.18</v>
      </c>
    </row>
    <row r="128" spans="1:6">
      <c r="B128" s="218" t="str">
        <f>DCF!B76</f>
        <v>Base</v>
      </c>
      <c r="C128" s="219">
        <f>DCF!C76</f>
        <v>0.02</v>
      </c>
      <c r="D128" s="220">
        <f>DCF!D76</f>
        <v>20</v>
      </c>
      <c r="E128" s="231" t="str">
        <f>ROUND(IF(valuation_method="DCF",DCF!E76,DDM!E71),2)&amp;" "&amp;Market_currency</f>
        <v>13.06 HKD</v>
      </c>
      <c r="F128" s="221">
        <f>DCF!F76</f>
        <v>0.53999999999999992</v>
      </c>
    </row>
    <row r="129" spans="1:6">
      <c r="B129" s="218" t="str">
        <f>DCF!B77</f>
        <v>Pessimistic</v>
      </c>
      <c r="C129" s="219">
        <f>DCF!C77</f>
        <v>0.01</v>
      </c>
      <c r="D129" s="220">
        <f>DCF!D77</f>
        <v>20</v>
      </c>
      <c r="E129" s="231" t="str">
        <f>ROUND(IF(valuation_method="DCF",DCF!E77,DDM!E72),2)&amp;" "&amp;Market_currency</f>
        <v>12.13 HKD</v>
      </c>
      <c r="F129" s="221">
        <f>DCF!F77</f>
        <v>0.18</v>
      </c>
    </row>
    <row r="130" spans="1:6">
      <c r="B130" s="218" t="str">
        <f>DCF!B78</f>
        <v>Devil's advocate</v>
      </c>
      <c r="C130" s="219">
        <f>DCF!C78</f>
        <v>0</v>
      </c>
      <c r="D130" s="220">
        <f>DCF!D78</f>
        <v>10</v>
      </c>
      <c r="E130" s="231" t="str">
        <f>ROUND(IF(valuation_method="DCF",DCF!E78,DDM!E73),2)&amp;" "&amp;Market_currency</f>
        <v>11.3 HKD</v>
      </c>
      <c r="F130" s="221">
        <f>DCF!F78</f>
        <v>0.05</v>
      </c>
    </row>
    <row r="132" spans="1:6">
      <c r="B132" s="211" t="s">
        <v>254</v>
      </c>
      <c r="C132" s="217">
        <f>Scenarios!C60</f>
        <v>12.98390803598565</v>
      </c>
      <c r="D132" s="212" t="str">
        <f>Market_currency</f>
        <v>HKD</v>
      </c>
    </row>
    <row r="134" spans="1:6">
      <c r="B134" s="372" t="s">
        <v>526</v>
      </c>
      <c r="C134" s="372"/>
      <c r="D134" s="372"/>
      <c r="E134" s="372"/>
      <c r="F134" s="372"/>
    </row>
    <row r="136" spans="1:6" ht="13.9">
      <c r="A136" s="222" t="s">
        <v>527</v>
      </c>
      <c r="B136" s="36"/>
      <c r="C136" s="36"/>
      <c r="D136" s="36"/>
      <c r="E136" s="36"/>
      <c r="F136" s="36"/>
    </row>
    <row r="138" spans="1:6">
      <c r="B138" s="373" t="s">
        <v>528</v>
      </c>
      <c r="C138" s="373"/>
      <c r="D138" s="373"/>
      <c r="E138" s="373"/>
      <c r="F138" s="373"/>
    </row>
    <row r="139" spans="1:6" ht="24.6" customHeight="1">
      <c r="B139" s="368" t="s">
        <v>529</v>
      </c>
      <c r="C139" s="368"/>
      <c r="D139" s="368"/>
      <c r="E139" s="368"/>
      <c r="F139" s="368"/>
    </row>
    <row r="140" spans="1:6">
      <c r="B140" s="210" t="s">
        <v>495</v>
      </c>
    </row>
    <row r="141" spans="1:6">
      <c r="B141" s="1" t="s">
        <v>530</v>
      </c>
      <c r="C141" s="225">
        <f>F28</f>
        <v>3</v>
      </c>
    </row>
    <row r="142" spans="1:6">
      <c r="B142" s="1" t="s">
        <v>531</v>
      </c>
      <c r="C142" s="224">
        <f>F29</f>
        <v>0.35</v>
      </c>
    </row>
    <row r="143" spans="1:6">
      <c r="B143" s="212" t="s">
        <v>532</v>
      </c>
      <c r="C143" s="213">
        <f>Scenarios!C77</f>
        <v>0.34557237974799992</v>
      </c>
      <c r="D143" s="212" t="str">
        <f>Market_currency</f>
        <v>HKD</v>
      </c>
    </row>
    <row r="145" spans="2:4">
      <c r="B145" s="210" t="s">
        <v>533</v>
      </c>
      <c r="C145" s="241" t="str">
        <f>C11</f>
        <v>0135.HK</v>
      </c>
      <c r="D145" s="241" t="str">
        <f>IF(D11="","",D11)</f>
        <v/>
      </c>
    </row>
    <row r="146" spans="2:4">
      <c r="B146" s="1" t="s">
        <v>389</v>
      </c>
      <c r="C146" s="297">
        <f>F29</f>
        <v>0.35</v>
      </c>
    </row>
    <row r="147" spans="2:4">
      <c r="B147" s="212" t="str">
        <f>"PV("&amp;C141&amp;" yrs of Dividends)"</f>
        <v>PV(3 yrs of Dividends)</v>
      </c>
      <c r="C147" s="216">
        <f>Scenarios!C81</f>
        <v>0.58604918132338757</v>
      </c>
    </row>
    <row r="148" spans="2:4">
      <c r="B148" s="212" t="str">
        <f>"+ PV(Equity Value realized at year "&amp;C141&amp;")"</f>
        <v>+ PV(Equity Value realized at year 3)</v>
      </c>
      <c r="C148" s="216">
        <f>Scenarios!C82</f>
        <v>5.2772069444640133</v>
      </c>
    </row>
    <row r="149" spans="2:4">
      <c r="B149" s="80" t="s">
        <v>256</v>
      </c>
      <c r="C149" s="215">
        <f>Scenarios!C83</f>
        <v>5.8632561257874007</v>
      </c>
      <c r="D149" s="300" t="str">
        <f>IF($D$11="","",C149*$E$25)</f>
        <v/>
      </c>
    </row>
    <row r="150" spans="2:4">
      <c r="B150" s="259" t="s">
        <v>534</v>
      </c>
      <c r="C150" s="298" t="str">
        <f>Market_currency</f>
        <v>HKD</v>
      </c>
      <c r="D150" s="298" t="str">
        <f>IF($D$11="","",D$13)</f>
        <v/>
      </c>
    </row>
    <row r="151" spans="2:4">
      <c r="B151" s="214" t="s">
        <v>535</v>
      </c>
      <c r="C151" s="92">
        <f>Scenarios!F83</f>
        <v>0.5484213143271619</v>
      </c>
    </row>
    <row r="153" spans="2:4">
      <c r="B153" s="210" t="s">
        <v>393</v>
      </c>
    </row>
    <row r="154" spans="2:4">
      <c r="B154" s="1" t="s">
        <v>392</v>
      </c>
      <c r="C154" s="297">
        <f>Scenarios!C90</f>
        <v>0.25</v>
      </c>
    </row>
    <row r="155" spans="2:4">
      <c r="B155" s="212" t="str">
        <f>"PV("&amp;C141&amp;" yrs of Dividends)"</f>
        <v>PV(3 yrs of Dividends)</v>
      </c>
      <c r="C155" s="216">
        <f>Scenarios!C91</f>
        <v>0.67455728526809577</v>
      </c>
    </row>
    <row r="156" spans="2:4">
      <c r="B156" s="212" t="str">
        <f>"+ PV(Equity Value realized at year "&amp;C141&amp;")"</f>
        <v>+ PV(Equity Value realized at year 3)</v>
      </c>
      <c r="C156" s="216">
        <f>Scenarios!C92</f>
        <v>6.6477609144246523</v>
      </c>
    </row>
    <row r="157" spans="2:4">
      <c r="B157" s="80" t="s">
        <v>256</v>
      </c>
      <c r="C157" s="215">
        <f>Scenarios!C93</f>
        <v>7.3223181996927478</v>
      </c>
      <c r="D157" s="300" t="str">
        <f>IF($D$11="","",C157*$E$25)</f>
        <v/>
      </c>
    </row>
    <row r="158" spans="2:4">
      <c r="B158" s="259" t="s">
        <v>534</v>
      </c>
      <c r="C158" s="298" t="str">
        <f>Market_currency</f>
        <v>HKD</v>
      </c>
      <c r="D158" s="298" t="str">
        <f>IF($D$11="","",D$13)</f>
        <v/>
      </c>
    </row>
    <row r="159" spans="2:4">
      <c r="B159" s="214" t="s">
        <v>535</v>
      </c>
      <c r="C159" s="92">
        <f>Scenarios!F93</f>
        <v>0.43604666796787828</v>
      </c>
    </row>
    <row r="161" spans="2:4">
      <c r="B161" s="210" t="s">
        <v>383</v>
      </c>
    </row>
    <row r="162" spans="2:4">
      <c r="B162" s="1" t="s">
        <v>391</v>
      </c>
      <c r="C162" s="92">
        <f>Scenarios!C96</f>
        <v>7.4999999999999997E-2</v>
      </c>
    </row>
    <row r="163" spans="2:4">
      <c r="B163" s="212" t="str">
        <f>"PV("&amp;C141&amp;" yrs of Dividends)"</f>
        <v>PV(3 yrs of Dividends)</v>
      </c>
      <c r="C163" s="216">
        <f>Scenarios!C97</f>
        <v>0.89866986852348141</v>
      </c>
    </row>
    <row r="164" spans="2:4">
      <c r="B164" s="212" t="str">
        <f>"+ PV(Equity Value realized at year "&amp;C141&amp;")"</f>
        <v>+ PV(Equity Value realized at year 3)</v>
      </c>
      <c r="C164" s="216">
        <f>Scenarios!C98</f>
        <v>10.45153400710732</v>
      </c>
    </row>
    <row r="165" spans="2:4">
      <c r="B165" s="80" t="s">
        <v>384</v>
      </c>
      <c r="C165" s="215">
        <f>Scenarios!C99</f>
        <v>11.3502038756308</v>
      </c>
      <c r="D165" s="300" t="str">
        <f>IF($D$11="","",C165*$E$25)</f>
        <v/>
      </c>
    </row>
    <row r="166" spans="2:4">
      <c r="B166" s="259" t="s">
        <v>534</v>
      </c>
      <c r="C166" s="298" t="str">
        <f>Market_currency</f>
        <v>HKD</v>
      </c>
      <c r="D166" s="298" t="str">
        <f>IF($D$11="","",D$13)</f>
        <v/>
      </c>
    </row>
    <row r="167" spans="2:4">
      <c r="B167" s="214" t="s">
        <v>535</v>
      </c>
      <c r="C167" s="92">
        <f>Scenarios!F99</f>
        <v>0.12582530281537296</v>
      </c>
    </row>
    <row r="169" spans="2:4">
      <c r="B169" s="210" t="s">
        <v>410</v>
      </c>
    </row>
    <row r="170" spans="2:4">
      <c r="B170" s="1" t="s">
        <v>401</v>
      </c>
      <c r="C170" s="92">
        <f>F32</f>
        <v>0.1174</v>
      </c>
    </row>
    <row r="171" spans="2:4">
      <c r="B171" s="212" t="str">
        <f>"PV("&amp;C141&amp;" yrs of Dividends)"</f>
        <v>PV(3 yrs of Dividends)</v>
      </c>
      <c r="C171" s="216">
        <f>Scenarios!C103</f>
        <v>0.83372900361808255</v>
      </c>
    </row>
    <row r="172" spans="2:4">
      <c r="B172" s="212" t="str">
        <f>"+ PV(Equity Value realized at year "&amp;C141&amp;")"</f>
        <v>+ PV(Equity Value realized at year 3)</v>
      </c>
      <c r="C172" s="216">
        <f>Scenarios!C104</f>
        <v>9.3063510267411278</v>
      </c>
    </row>
    <row r="173" spans="2:4">
      <c r="B173" s="80" t="s">
        <v>384</v>
      </c>
      <c r="C173" s="215">
        <f>Scenarios!C105</f>
        <v>10.14008003035921</v>
      </c>
      <c r="D173" s="300" t="str">
        <f>IF($D$11="","",C173*$E$25)</f>
        <v/>
      </c>
    </row>
    <row r="174" spans="2:4">
      <c r="B174" s="259" t="s">
        <v>534</v>
      </c>
      <c r="C174" s="298" t="str">
        <f>Market_currency</f>
        <v>HKD</v>
      </c>
      <c r="D174" s="298" t="str">
        <f>IF($D$11="","",D$13)</f>
        <v/>
      </c>
    </row>
    <row r="175" spans="2:4">
      <c r="B175" s="214" t="s">
        <v>535</v>
      </c>
      <c r="C175" s="92">
        <f>Scenarios!F105</f>
        <v>0.22261862186231296</v>
      </c>
    </row>
    <row r="177" spans="1:6" ht="13.9">
      <c r="A177" s="222" t="s">
        <v>359</v>
      </c>
      <c r="B177" s="36"/>
      <c r="C177" s="36"/>
      <c r="D177" s="36"/>
      <c r="E177" s="36"/>
      <c r="F177" s="36"/>
    </row>
    <row r="179" spans="1:6">
      <c r="B179" s="374" t="s">
        <v>536</v>
      </c>
      <c r="C179" s="368"/>
      <c r="D179" s="368"/>
      <c r="E179" s="368"/>
      <c r="F179" s="368"/>
    </row>
    <row r="181" spans="1:6">
      <c r="B181" s="210" t="s">
        <v>537</v>
      </c>
    </row>
    <row r="182" spans="1:6">
      <c r="B182" s="370" t="s">
        <v>538</v>
      </c>
      <c r="C182" s="370"/>
      <c r="D182" s="370"/>
      <c r="E182" s="370"/>
      <c r="F182" s="370"/>
    </row>
    <row r="183" spans="1:6">
      <c r="B183" s="214" t="s">
        <v>539</v>
      </c>
    </row>
    <row r="184" spans="1:6">
      <c r="B184" s="214" t="s">
        <v>540</v>
      </c>
    </row>
    <row r="185" spans="1:6">
      <c r="B185" s="214" t="s">
        <v>541</v>
      </c>
    </row>
    <row r="187" spans="1:6">
      <c r="B187" s="1" t="s">
        <v>542</v>
      </c>
    </row>
    <row r="188" spans="1:6" ht="24.6" customHeight="1">
      <c r="B188" s="367" t="s">
        <v>543</v>
      </c>
      <c r="C188" s="367"/>
      <c r="D188" s="367"/>
      <c r="E188" s="367"/>
      <c r="F188" s="367"/>
    </row>
    <row r="190" spans="1:6">
      <c r="B190" s="1" t="s">
        <v>544</v>
      </c>
    </row>
    <row r="191" spans="1:6">
      <c r="B191" s="371" t="s">
        <v>545</v>
      </c>
      <c r="C191" s="371"/>
      <c r="D191" s="371"/>
      <c r="E191" s="371"/>
      <c r="F191" s="371"/>
    </row>
    <row r="192" spans="1:6">
      <c r="B192" s="371" t="s">
        <v>546</v>
      </c>
      <c r="C192" s="371"/>
      <c r="D192" s="371"/>
      <c r="E192" s="371"/>
      <c r="F192" s="371"/>
    </row>
    <row r="194" spans="2:2">
      <c r="B194" s="1" t="s">
        <v>547</v>
      </c>
    </row>
    <row r="195" spans="2:2">
      <c r="B195" s="214" t="s">
        <v>548</v>
      </c>
    </row>
    <row r="196" spans="2:2">
      <c r="B196" s="214" t="s">
        <v>549</v>
      </c>
    </row>
    <row r="197" spans="2:2">
      <c r="B197" s="214" t="s">
        <v>550</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428</v>
      </c>
      <c r="E1" s="292" t="s">
        <v>345</v>
      </c>
      <c r="F1" s="254" t="s">
        <v>559</v>
      </c>
    </row>
    <row r="2" spans="1:10" ht="13.9">
      <c r="A2" s="222" t="s">
        <v>263</v>
      </c>
      <c r="B2" s="36"/>
      <c r="C2" s="36"/>
      <c r="D2" s="36"/>
      <c r="E2" s="36"/>
      <c r="F2" s="36"/>
      <c r="G2" s="22"/>
      <c r="H2" s="22"/>
      <c r="I2" s="22"/>
      <c r="J2" s="22"/>
    </row>
    <row r="4" spans="1:10">
      <c r="B4" s="45" t="s">
        <v>396</v>
      </c>
      <c r="C4" s="46"/>
      <c r="D4" s="5"/>
      <c r="E4" s="2"/>
      <c r="F4" s="2"/>
    </row>
    <row r="5" spans="1:10" ht="12.4">
      <c r="B5" s="4" t="s">
        <v>460</v>
      </c>
      <c r="C5" s="294" t="s">
        <v>554</v>
      </c>
    </row>
    <row r="6" spans="1:10">
      <c r="B6" s="4" t="s">
        <v>461</v>
      </c>
      <c r="C6" s="51">
        <v>8658801708</v>
      </c>
      <c r="E6" s="48"/>
    </row>
    <row r="7" spans="1:10">
      <c r="B7" s="2" t="s">
        <v>462</v>
      </c>
      <c r="C7" s="250">
        <v>6</v>
      </c>
      <c r="D7" s="48"/>
      <c r="E7" s="48"/>
    </row>
    <row r="8" spans="1:10">
      <c r="B8" s="1" t="s">
        <v>463</v>
      </c>
      <c r="C8" s="33">
        <f>EOMONTH(EDATE(BS!C1,C7+2),0)</f>
        <v>45900</v>
      </c>
      <c r="E8" s="48"/>
    </row>
    <row r="9" spans="1:10">
      <c r="E9" s="34"/>
    </row>
    <row r="10" spans="1:10">
      <c r="B10" s="45" t="s">
        <v>398</v>
      </c>
      <c r="C10" s="46"/>
      <c r="E10" s="34"/>
    </row>
    <row r="11" spans="1:10">
      <c r="B11" s="1" t="s">
        <v>464</v>
      </c>
      <c r="C11" s="49" t="s">
        <v>553</v>
      </c>
      <c r="D11" s="49"/>
      <c r="E11" s="34"/>
    </row>
    <row r="12" spans="1:10">
      <c r="B12" s="4" t="s">
        <v>465</v>
      </c>
      <c r="C12" s="50">
        <v>7.59</v>
      </c>
      <c r="D12" s="50"/>
      <c r="E12" s="48"/>
    </row>
    <row r="13" spans="1:10">
      <c r="B13" s="1" t="s">
        <v>466</v>
      </c>
      <c r="C13" s="48" t="s">
        <v>379</v>
      </c>
      <c r="D13" s="48"/>
      <c r="E13" s="5"/>
    </row>
    <row r="14" spans="1:10">
      <c r="B14" s="4" t="s">
        <v>467</v>
      </c>
      <c r="C14" s="35">
        <f>Thesis!C12*Common_Shares/1000000</f>
        <v>65720.304963720002</v>
      </c>
      <c r="D14" s="35" t="str">
        <f>IF(D11="","",Thesis!D12*Common_Shares/1000000)</f>
        <v/>
      </c>
      <c r="E14" s="5"/>
    </row>
    <row r="15" spans="1:10">
      <c r="B15" s="4" t="s">
        <v>468</v>
      </c>
      <c r="C15" s="32" t="str">
        <f>IF(C25=C13,C13,C25&amp;"/"&amp;C13)</f>
        <v>CNY/HKD</v>
      </c>
      <c r="D15" s="32" t="str">
        <f>IF(D11="","",IF(C25=D13,D13,C25&amp;"/"&amp;D13))</f>
        <v/>
      </c>
      <c r="E15" s="5"/>
    </row>
    <row r="16" spans="1:10">
      <c r="B16" s="4" t="s">
        <v>469</v>
      </c>
      <c r="C16" s="50">
        <v>1.0942760599999999</v>
      </c>
      <c r="D16" s="50"/>
      <c r="E16" s="5"/>
    </row>
    <row r="17" spans="2:6">
      <c r="D17" s="5"/>
      <c r="E17" s="5"/>
    </row>
    <row r="18" spans="2:6" ht="24.6" customHeight="1">
      <c r="B18" s="368" t="s">
        <v>470</v>
      </c>
      <c r="C18" s="368"/>
      <c r="D18" s="368"/>
      <c r="E18" s="368"/>
      <c r="F18" s="368"/>
    </row>
    <row r="20" spans="2:6">
      <c r="B20" s="45" t="s">
        <v>301</v>
      </c>
      <c r="C20" s="46"/>
      <c r="D20" s="5"/>
    </row>
    <row r="21" spans="2:6">
      <c r="B21" s="2" t="s">
        <v>340</v>
      </c>
      <c r="C21" s="32" t="str">
        <f>IF(Scenarios!C69="Y",Scenarios!B69,"")&amp;IF(Scenarios!C70="Y",Scenarios!B70,"")&amp;IF(Scenarios!C71="Y",Scenarios!B71,"")&amp;" "&amp;IF(Scenarios!C72="Y",Scenarios!B72,"")</f>
        <v xml:space="preserve">Low Growth </v>
      </c>
      <c r="D21" s="1" t="s">
        <v>417</v>
      </c>
      <c r="E21" s="308" t="s">
        <v>557</v>
      </c>
    </row>
    <row r="22" spans="2:6">
      <c r="B22" s="2" t="s">
        <v>54</v>
      </c>
      <c r="C22" s="48" t="s">
        <v>555</v>
      </c>
      <c r="D22" s="1" t="str">
        <f>IF(valuation_method="DDM","Terminal Value Discount Rate","")</f>
        <v/>
      </c>
      <c r="E22" s="313"/>
    </row>
    <row r="23" spans="2:6">
      <c r="B23" s="1" t="s">
        <v>412</v>
      </c>
      <c r="C23" s="262" t="s">
        <v>312</v>
      </c>
    </row>
    <row r="24" spans="2:6">
      <c r="B24" s="1" t="s">
        <v>413</v>
      </c>
      <c r="C24" s="262" t="s">
        <v>312</v>
      </c>
    </row>
    <row r="25" spans="2:6">
      <c r="B25" s="4" t="s">
        <v>339</v>
      </c>
      <c r="C25" s="48" t="s">
        <v>556</v>
      </c>
      <c r="D25" s="32" t="str">
        <f>IF(D11="","",Market_currency&amp;"/"&amp;D13&amp;":")</f>
        <v/>
      </c>
      <c r="E25" s="299" t="str">
        <f>IF(D11="","",1/Exchange_Rate*D16)</f>
        <v/>
      </c>
    </row>
    <row r="26" spans="2:6">
      <c r="B26" s="1" t="str">
        <f>"Expected Equity Value ("&amp;C13&amp;") :"</f>
        <v>Expected Equity Value (HKD) :</v>
      </c>
      <c r="C26" s="304">
        <f>C132</f>
        <v>12.98390803598565</v>
      </c>
      <c r="D26" s="1" t="s">
        <v>382</v>
      </c>
      <c r="E26" s="301">
        <f ca="1">Scenarios!C87</f>
        <v>0.23459463611465181</v>
      </c>
    </row>
    <row r="27" spans="2:6">
      <c r="D27" s="5"/>
      <c r="E27" s="5"/>
    </row>
    <row r="28" spans="2:6">
      <c r="B28" s="45" t="s">
        <v>411</v>
      </c>
      <c r="C28" s="309" t="str">
        <f>C145&amp;" ("&amp;Market_currency&amp;")"</f>
        <v>0135.HK (HKD)</v>
      </c>
      <c r="D28" s="309" t="str">
        <f>IF(D11="","",D145&amp;" ("&amp;D13&amp;")")</f>
        <v/>
      </c>
      <c r="E28" s="305" t="s">
        <v>407</v>
      </c>
      <c r="F28" s="303">
        <v>3</v>
      </c>
    </row>
    <row r="29" spans="2:6">
      <c r="B29" s="1" t="s">
        <v>403</v>
      </c>
      <c r="C29" s="310">
        <f>C149</f>
        <v>5.8632561257874007</v>
      </c>
      <c r="D29" s="310" t="str">
        <f>D149</f>
        <v/>
      </c>
      <c r="E29" s="306" t="s">
        <v>402</v>
      </c>
      <c r="F29" s="302">
        <v>0.35</v>
      </c>
    </row>
    <row r="30" spans="2:6">
      <c r="B30" s="1" t="s">
        <v>404</v>
      </c>
      <c r="C30" s="311">
        <f>C157</f>
        <v>7.3223181996927478</v>
      </c>
      <c r="D30" s="311" t="str">
        <f>D157</f>
        <v/>
      </c>
      <c r="E30" s="307" t="s">
        <v>415</v>
      </c>
      <c r="F30" s="312">
        <v>0.25</v>
      </c>
    </row>
    <row r="31" spans="2:6">
      <c r="B31" s="1" t="s">
        <v>405</v>
      </c>
      <c r="C31" s="311">
        <f>C165</f>
        <v>11.3502038756308</v>
      </c>
      <c r="D31" s="311" t="str">
        <f>D165</f>
        <v/>
      </c>
      <c r="E31" s="307" t="s">
        <v>414</v>
      </c>
      <c r="F31" s="312">
        <v>7.4999999999999997E-2</v>
      </c>
    </row>
    <row r="32" spans="2:6">
      <c r="B32" s="1" t="s">
        <v>406</v>
      </c>
      <c r="C32" s="311">
        <f>C173</f>
        <v>10.14008003035921</v>
      </c>
      <c r="D32" s="311" t="str">
        <f>D173</f>
        <v/>
      </c>
      <c r="E32" s="307" t="s">
        <v>416</v>
      </c>
      <c r="F32" s="312">
        <v>0.1174</v>
      </c>
    </row>
    <row r="33" spans="1:6">
      <c r="D33" s="5"/>
      <c r="E33" s="5"/>
    </row>
    <row r="34" spans="1:6" ht="13.9">
      <c r="A34" s="222" t="s">
        <v>347</v>
      </c>
      <c r="B34" s="36"/>
      <c r="C34" s="36"/>
      <c r="D34" s="36"/>
      <c r="E34" s="36"/>
      <c r="F34" s="36"/>
    </row>
    <row r="36" spans="1:6">
      <c r="B36" s="368" t="s">
        <v>471</v>
      </c>
      <c r="C36" s="368"/>
      <c r="D36" s="368"/>
      <c r="E36" s="368"/>
      <c r="F36" s="368"/>
    </row>
    <row r="37" spans="1:6" ht="24.6" customHeight="1">
      <c r="B37" s="369" t="s">
        <v>331</v>
      </c>
      <c r="C37" s="369"/>
      <c r="D37" s="369"/>
      <c r="E37" s="369"/>
      <c r="F37" s="369"/>
    </row>
    <row r="39" spans="1:6">
      <c r="B39" s="210" t="s">
        <v>226</v>
      </c>
      <c r="C39" s="108">
        <f>scaling_factor</f>
        <v>1000000</v>
      </c>
    </row>
    <row r="40" spans="1:6" ht="24.6" customHeight="1">
      <c r="B40" s="367" t="s">
        <v>227</v>
      </c>
      <c r="C40" s="367"/>
      <c r="D40" s="367"/>
      <c r="E40" s="367"/>
      <c r="F40" s="367"/>
    </row>
    <row r="41" spans="1:6">
      <c r="B41" s="47" t="s">
        <v>228</v>
      </c>
      <c r="C41" s="349">
        <f>Normalized_FCF!C8</f>
        <v>17421.507258354162</v>
      </c>
      <c r="D41" s="1" t="str">
        <f>Reporting_currency</f>
        <v>CNY</v>
      </c>
    </row>
    <row r="42" spans="1:6">
      <c r="B42" s="47"/>
      <c r="C42" s="76"/>
    </row>
    <row r="43" spans="1:6" ht="24.6" customHeight="1">
      <c r="B43" s="367" t="s">
        <v>229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232</v>
      </c>
      <c r="C47" s="367"/>
      <c r="D47" s="367"/>
      <c r="E47" s="367"/>
      <c r="F47" s="367"/>
    </row>
    <row r="48" spans="1:6">
      <c r="B48" s="47" t="s">
        <v>233</v>
      </c>
      <c r="C48" s="349">
        <f>Normalized_FCF!C11</f>
        <v>900.8</v>
      </c>
      <c r="D48" s="1" t="str">
        <f>Reporting_currency</f>
        <v>CNY</v>
      </c>
    </row>
    <row r="50" spans="2:6">
      <c r="B50" s="367" t="s">
        <v>236</v>
      </c>
      <c r="C50" s="367"/>
      <c r="D50" s="367"/>
      <c r="E50" s="367"/>
      <c r="F50" s="367"/>
    </row>
    <row r="51" spans="2:6">
      <c r="B51" s="47" t="s">
        <v>332</v>
      </c>
      <c r="C51" s="350">
        <f>Normalized_FCF!C48</f>
        <v>279.61789242274239</v>
      </c>
      <c r="D51" s="1" t="str">
        <f>Reporting_currency</f>
        <v>CNY</v>
      </c>
      <c r="E51" s="286"/>
      <c r="F51" s="286"/>
    </row>
    <row r="52" spans="2:6">
      <c r="B52" s="47" t="s">
        <v>333</v>
      </c>
      <c r="C52" s="350">
        <f>Normalized_FCF!C47</f>
        <v>-803</v>
      </c>
      <c r="D52" s="1" t="str">
        <f>Reporting_currency</f>
        <v>CNY</v>
      </c>
      <c r="E52" s="286"/>
      <c r="F52" s="286"/>
    </row>
    <row r="53" spans="2:6">
      <c r="B53" s="47" t="s">
        <v>234</v>
      </c>
      <c r="C53" s="349">
        <f>Normalized_FCF!C12</f>
        <v>-523.38210757725756</v>
      </c>
      <c r="D53" s="1" t="str">
        <f>Reporting_currency</f>
        <v>CNY</v>
      </c>
    </row>
    <row r="55" spans="2:6">
      <c r="B55" s="1" t="s">
        <v>242</v>
      </c>
    </row>
    <row r="56" spans="2:6">
      <c r="B56" s="47" t="s">
        <v>261</v>
      </c>
      <c r="C56" s="349">
        <f>Normalized_FCF!C15</f>
        <v>-6118.862069912404</v>
      </c>
      <c r="D56" s="1" t="str">
        <f>Reporting_currency</f>
        <v>CNY</v>
      </c>
    </row>
    <row r="58" spans="2:6">
      <c r="B58" s="367" t="s">
        <v>237</v>
      </c>
      <c r="C58" s="367"/>
      <c r="D58" s="367"/>
      <c r="E58" s="367"/>
      <c r="F58" s="367"/>
    </row>
    <row r="59" spans="2:6">
      <c r="B59" s="47" t="s">
        <v>235</v>
      </c>
      <c r="C59" s="349">
        <f>Normalized_FCF!C14</f>
        <v>-4449.731287694226</v>
      </c>
      <c r="D59" s="1" t="str">
        <f>Reporting_currency</f>
        <v>CNY</v>
      </c>
    </row>
    <row r="61" spans="2:6">
      <c r="B61" s="367" t="s">
        <v>330</v>
      </c>
      <c r="C61" s="370"/>
      <c r="D61" s="370"/>
      <c r="E61" s="370"/>
      <c r="F61" s="370"/>
    </row>
    <row r="62" spans="2:6">
      <c r="B62" s="47" t="s">
        <v>238</v>
      </c>
      <c r="C62" s="349">
        <f>Normalized_FCF!C17</f>
        <v>0</v>
      </c>
      <c r="D62" s="1" t="str">
        <f>Reporting_currency</f>
        <v>CNY</v>
      </c>
    </row>
    <row r="64" spans="2:6" ht="24.6" customHeight="1">
      <c r="B64" s="368" t="s">
        <v>335</v>
      </c>
      <c r="C64" s="368"/>
      <c r="D64" s="368"/>
      <c r="E64" s="368"/>
      <c r="F64" s="368"/>
    </row>
    <row r="65" spans="1:6" ht="24.6" customHeight="1">
      <c r="B65" s="368" t="s">
        <v>350</v>
      </c>
      <c r="C65" s="368"/>
      <c r="D65" s="368"/>
      <c r="E65" s="368"/>
      <c r="F65" s="368"/>
    </row>
    <row r="67" spans="1:6">
      <c r="B67" s="47" t="s">
        <v>265</v>
      </c>
      <c r="C67" s="349">
        <f>Normalized_FCF!G19</f>
        <v>10305.060899807031</v>
      </c>
      <c r="D67" s="1" t="str">
        <f>Reporting_currency</f>
        <v>CNY</v>
      </c>
    </row>
    <row r="68" spans="1:6">
      <c r="B68" s="47" t="s">
        <v>244</v>
      </c>
      <c r="C68" s="349">
        <f>Normalized_FCF!C19</f>
        <v>7230.3317931702732</v>
      </c>
      <c r="D68" s="1" t="str">
        <f>Reporting_currency</f>
        <v>CNY</v>
      </c>
    </row>
    <row r="69" spans="1:6">
      <c r="B69" s="227" t="s">
        <v>373</v>
      </c>
      <c r="C69" s="92">
        <f>Normalized_FCF!C126</f>
        <v>0.12038865296639753</v>
      </c>
      <c r="F69" s="314"/>
    </row>
    <row r="70" spans="1:6">
      <c r="B70" s="227" t="s">
        <v>436</v>
      </c>
      <c r="C70" s="92">
        <f>Normalized_FCF!C94</f>
        <v>4.5529957806060596E-2</v>
      </c>
      <c r="E70" s="47" t="s">
        <v>426</v>
      </c>
      <c r="F70" s="315">
        <f>Normalized_FCF!C92</f>
        <v>0.41384583689866911</v>
      </c>
    </row>
    <row r="72" spans="1:6">
      <c r="B72" s="210" t="s">
        <v>429</v>
      </c>
      <c r="C72" s="323" t="s">
        <v>431</v>
      </c>
      <c r="D72" s="323" t="s">
        <v>432</v>
      </c>
    </row>
    <row r="73" spans="1:6">
      <c r="B73" s="47" t="s">
        <v>430</v>
      </c>
      <c r="C73" s="92">
        <f>Normalized_FCF!C121</f>
        <v>0.20035937581782973</v>
      </c>
      <c r="D73" s="92">
        <f>Normalized_FCF!G121</f>
        <v>0.19114156469642632</v>
      </c>
    </row>
    <row r="74" spans="1:6">
      <c r="B74" s="259" t="str">
        <f>Normalized_FCF!B118</f>
        <v>Pre-tax Profit/Sales</v>
      </c>
      <c r="C74" s="322">
        <f>Normalized_FCF!C118</f>
        <v>9.7688941552013742E-2</v>
      </c>
      <c r="D74" s="322">
        <f>Normalized_FCF!G118</f>
        <v>9.0780133762855292E-2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472</v>
      </c>
      <c r="B78" s="36"/>
      <c r="C78" s="36"/>
      <c r="D78" s="36"/>
      <c r="E78" s="36"/>
      <c r="F78" s="36"/>
    </row>
    <row r="79" spans="1:6">
      <c r="A79" s="209"/>
    </row>
    <row r="80" spans="1:6">
      <c r="A80" s="17"/>
      <c r="B80" s="368" t="s">
        <v>473</v>
      </c>
      <c r="C80" s="368"/>
      <c r="D80" s="368"/>
      <c r="E80" s="368"/>
      <c r="F80" s="368"/>
    </row>
    <row r="81" spans="1:6">
      <c r="B81" s="369" t="s">
        <v>248</v>
      </c>
      <c r="C81" s="369"/>
      <c r="D81" s="369"/>
      <c r="E81" s="369"/>
      <c r="F81" s="369"/>
    </row>
    <row r="83" spans="1:6">
      <c r="B83" s="210" t="s">
        <v>226</v>
      </c>
    </row>
    <row r="84" spans="1:6">
      <c r="B84" s="1" t="s">
        <v>409</v>
      </c>
      <c r="C84" s="92">
        <f>F31</f>
        <v>7.4999999999999997E-2</v>
      </c>
    </row>
    <row r="85" spans="1:6">
      <c r="B85" s="1" t="s">
        <v>408</v>
      </c>
      <c r="C85" s="92">
        <f>IF(C23="Y",1%,0)+IF(C24="Y",1%,0)</f>
        <v>0</v>
      </c>
    </row>
    <row r="86" spans="1:6">
      <c r="B86" s="80" t="s">
        <v>243</v>
      </c>
      <c r="C86" s="236">
        <f>F31+C85</f>
        <v>7.4999999999999997E-2</v>
      </c>
    </row>
    <row r="87" spans="1:6">
      <c r="C87" s="121"/>
    </row>
    <row r="88" spans="1:6">
      <c r="B88" s="293" t="s">
        <v>348</v>
      </c>
      <c r="C88" s="121"/>
    </row>
    <row r="89" spans="1:6" ht="24.6" customHeight="1">
      <c r="B89" s="368" t="s">
        <v>351</v>
      </c>
      <c r="C89" s="368"/>
      <c r="D89" s="368"/>
      <c r="E89" s="368"/>
      <c r="F89" s="368"/>
    </row>
    <row r="90" spans="1:6" ht="24.6" customHeight="1">
      <c r="B90" s="368" t="s">
        <v>352</v>
      </c>
      <c r="C90" s="368"/>
      <c r="D90" s="368"/>
      <c r="E90" s="368"/>
      <c r="F90" s="368"/>
    </row>
    <row r="92" spans="1:6">
      <c r="B92" s="47" t="s">
        <v>247</v>
      </c>
      <c r="C92" s="236">
        <v>0</v>
      </c>
    </row>
    <row r="93" spans="1:6">
      <c r="B93" s="47" t="s">
        <v>275</v>
      </c>
      <c r="C93" s="223">
        <f>DCF!C6*scaling_factor*Exchange_Rate/Common_Shares</f>
        <v>12.18333168019943</v>
      </c>
      <c r="D93" s="1" t="str">
        <f>Market_currency</f>
        <v>HKD</v>
      </c>
    </row>
    <row r="95" spans="1:6" ht="13.9">
      <c r="A95" s="222" t="s">
        <v>349</v>
      </c>
      <c r="B95" s="36"/>
      <c r="C95" s="36"/>
      <c r="D95" s="36"/>
      <c r="E95" s="36"/>
      <c r="F95" s="36"/>
    </row>
    <row r="96" spans="1:6">
      <c r="A96" s="209"/>
    </row>
    <row r="97" spans="2:6">
      <c r="B97" s="368" t="s">
        <v>353</v>
      </c>
      <c r="C97" s="368"/>
      <c r="D97" s="368"/>
      <c r="E97" s="368"/>
      <c r="F97" s="368"/>
    </row>
    <row r="98" spans="2:6">
      <c r="B98" s="1" t="s">
        <v>249</v>
      </c>
    </row>
    <row r="100" spans="2:6">
      <c r="B100" s="210" t="s">
        <v>226</v>
      </c>
    </row>
    <row r="101" spans="2:6" ht="24.6" customHeight="1">
      <c r="B101" s="368" t="s">
        <v>336</v>
      </c>
      <c r="C101" s="368"/>
      <c r="D101" s="368"/>
      <c r="E101" s="368"/>
      <c r="F101" s="368"/>
    </row>
    <row r="102" spans="2:6">
      <c r="B102" s="47" t="s">
        <v>251</v>
      </c>
      <c r="C102" s="349">
        <f>DCF!C7</f>
        <v>24279</v>
      </c>
      <c r="D102" s="1" t="str">
        <f>Reporting_currency</f>
        <v>CNY</v>
      </c>
    </row>
    <row r="103" spans="2:6">
      <c r="B103" s="47" t="s">
        <v>276</v>
      </c>
      <c r="C103" s="223">
        <f>C102*scaling_factor*Exchange_Rate/Common_Shares</f>
        <v>3.0683146879542789</v>
      </c>
      <c r="D103" s="1" t="str">
        <f>Market_currency</f>
        <v>HKD</v>
      </c>
    </row>
    <row r="104" spans="2:6">
      <c r="B104" s="296" t="s">
        <v>386</v>
      </c>
      <c r="C104" s="325">
        <f>IF(BS!G31/BS!G27&gt;300%,"nm",BS!G31/BS!G27)</f>
        <v>0.27330444081724548</v>
      </c>
    </row>
    <row r="105" spans="2:6">
      <c r="B105" s="296" t="s">
        <v>388</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17130.210757725759</v>
      </c>
      <c r="D109" s="1" t="str">
        <f>Reporting_currency</f>
        <v>CNY</v>
      </c>
    </row>
    <row r="110" spans="2:6">
      <c r="B110" s="47" t="s">
        <v>277</v>
      </c>
      <c r="C110" s="223">
        <f>C109*scaling_factor*Exchange_Rate/Common_Shares</f>
        <v>2.1648699400997713</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2.0018165763497582E-2</v>
      </c>
      <c r="D114" s="1" t="str">
        <f>Market_currency</f>
        <v>HKD</v>
      </c>
    </row>
    <row r="116" spans="1:6" ht="24.6" customHeight="1">
      <c r="B116" s="368" t="s">
        <v>354</v>
      </c>
      <c r="C116" s="368"/>
      <c r="D116" s="368"/>
      <c r="E116" s="368"/>
      <c r="F116" s="368"/>
    </row>
    <row r="118" spans="1:6">
      <c r="B118" s="47" t="s">
        <v>427</v>
      </c>
      <c r="C118" s="223">
        <f>IF(valuation_method="DCF",DCF!C12,DDM!C7)</f>
        <v>11.29990509810842</v>
      </c>
      <c r="D118" s="1" t="str">
        <f>Market_currency</f>
        <v>HKD</v>
      </c>
    </row>
    <row r="119" spans="1:6">
      <c r="B119" s="296" t="s">
        <v>551</v>
      </c>
      <c r="C119" s="223">
        <f>BS!D47</f>
        <v>-3.1956651023474385</v>
      </c>
      <c r="D119" s="1" t="str">
        <f>Market_currency</f>
        <v>HKD</v>
      </c>
    </row>
    <row r="121" spans="1:6" ht="13.9">
      <c r="A121" s="222" t="s">
        <v>474</v>
      </c>
      <c r="B121" s="36"/>
      <c r="C121" s="36"/>
      <c r="D121" s="36"/>
      <c r="E121" s="36"/>
      <c r="F121" s="36"/>
    </row>
    <row r="123" spans="1:6">
      <c r="B123" s="367" t="s">
        <v>475</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12.92 HKD</v>
      </c>
      <c r="F126" s="232">
        <f>DCF!F74</f>
        <v>0.05</v>
      </c>
    </row>
    <row r="127" spans="1:6">
      <c r="B127" s="218" t="str">
        <f>DCF!B75</f>
        <v>Optimistic</v>
      </c>
      <c r="C127" s="219">
        <f>DCF!C75</f>
        <v>0.03</v>
      </c>
      <c r="D127" s="220">
        <f>DCF!D75</f>
        <v>20</v>
      </c>
      <c r="E127" s="231" t="str">
        <f>ROUND(IF(valuation_method="DCF",DCF!E75,DDM!E70),2)&amp;" "&amp;Market_currency</f>
        <v>14.09 HKD</v>
      </c>
      <c r="F127" s="221">
        <f>DCF!F75</f>
        <v>0.18</v>
      </c>
    </row>
    <row r="128" spans="1:6">
      <c r="B128" s="218" t="str">
        <f>DCF!B76</f>
        <v>Base</v>
      </c>
      <c r="C128" s="219">
        <f>DCF!C76</f>
        <v>0.02</v>
      </c>
      <c r="D128" s="220">
        <f>DCF!D76</f>
        <v>20</v>
      </c>
      <c r="E128" s="231" t="str">
        <f>ROUND(IF(valuation_method="DCF",DCF!E76,DDM!E71),2)&amp;" "&amp;Market_currency</f>
        <v>13.06 HKD</v>
      </c>
      <c r="F128" s="221">
        <f>DCF!F76</f>
        <v>0.53999999999999992</v>
      </c>
    </row>
    <row r="129" spans="1:6">
      <c r="B129" s="218" t="str">
        <f>DCF!B77</f>
        <v>Pessimistic</v>
      </c>
      <c r="C129" s="219">
        <f>DCF!C77</f>
        <v>0.01</v>
      </c>
      <c r="D129" s="220">
        <f>DCF!D77</f>
        <v>20</v>
      </c>
      <c r="E129" s="231" t="str">
        <f>ROUND(IF(valuation_method="DCF",DCF!E77,DDM!E72),2)&amp;" "&amp;Market_currency</f>
        <v>12.13 HKD</v>
      </c>
      <c r="F129" s="221">
        <f>DCF!F77</f>
        <v>0.18</v>
      </c>
    </row>
    <row r="130" spans="1:6">
      <c r="B130" s="218" t="str">
        <f>DCF!B78</f>
        <v>Devil's advocate</v>
      </c>
      <c r="C130" s="219">
        <f>DCF!C78</f>
        <v>0</v>
      </c>
      <c r="D130" s="220">
        <f>DCF!D78</f>
        <v>10</v>
      </c>
      <c r="E130" s="231" t="str">
        <f>ROUND(IF(valuation_method="DCF",DCF!E78,DDM!E73),2)&amp;" "&amp;Market_currency</f>
        <v>11.3 HKD</v>
      </c>
      <c r="F130" s="221">
        <f>DCF!F78</f>
        <v>0.05</v>
      </c>
    </row>
    <row r="132" spans="1:6">
      <c r="B132" s="211" t="s">
        <v>254</v>
      </c>
      <c r="C132" s="217">
        <f>Scenarios!C60</f>
        <v>12.98390803598565</v>
      </c>
      <c r="D132" s="212" t="str">
        <f>Market_currency</f>
        <v>HKD</v>
      </c>
    </row>
    <row r="134" spans="1:6" ht="24.6" customHeight="1">
      <c r="B134" s="372" t="s">
        <v>476</v>
      </c>
      <c r="C134" s="372"/>
      <c r="D134" s="372"/>
      <c r="E134" s="372"/>
      <c r="F134" s="372"/>
    </row>
    <row r="136" spans="1:6" ht="13.9">
      <c r="A136" s="222" t="s">
        <v>477</v>
      </c>
      <c r="B136" s="36"/>
      <c r="C136" s="36"/>
      <c r="D136" s="36"/>
      <c r="E136" s="36"/>
      <c r="F136" s="36"/>
    </row>
    <row r="138" spans="1:6">
      <c r="B138" s="373" t="s">
        <v>355</v>
      </c>
      <c r="C138" s="373"/>
      <c r="D138" s="373"/>
      <c r="E138" s="373"/>
      <c r="F138" s="373"/>
    </row>
    <row r="139" spans="1:6">
      <c r="B139" s="368" t="s">
        <v>478</v>
      </c>
      <c r="C139" s="368"/>
      <c r="D139" s="368"/>
      <c r="E139" s="368"/>
      <c r="F139" s="368"/>
    </row>
    <row r="140" spans="1:6">
      <c r="B140" s="210" t="s">
        <v>226</v>
      </c>
    </row>
    <row r="141" spans="1:6">
      <c r="B141" s="1" t="s">
        <v>259</v>
      </c>
      <c r="C141" s="225">
        <f>F28</f>
        <v>3</v>
      </c>
    </row>
    <row r="142" spans="1:6">
      <c r="B142" s="1" t="s">
        <v>271</v>
      </c>
      <c r="C142" s="224">
        <f>F29</f>
        <v>0.35</v>
      </c>
    </row>
    <row r="143" spans="1:6">
      <c r="B143" s="212" t="s">
        <v>257</v>
      </c>
      <c r="C143" s="213">
        <f>Scenarios!C77</f>
        <v>0.34557237974799992</v>
      </c>
      <c r="D143" s="212" t="str">
        <f>Market_currency</f>
        <v>HKD</v>
      </c>
    </row>
    <row r="145" spans="2:4">
      <c r="B145" s="210" t="s">
        <v>390</v>
      </c>
      <c r="C145" s="241" t="str">
        <f>C11</f>
        <v>0135.HK</v>
      </c>
      <c r="D145" s="241" t="str">
        <f>IF(D11="","",D11)</f>
        <v/>
      </c>
    </row>
    <row r="146" spans="2:4">
      <c r="B146" s="1" t="s">
        <v>389</v>
      </c>
      <c r="C146" s="297">
        <f>F29</f>
        <v>0.35</v>
      </c>
    </row>
    <row r="147" spans="2:4">
      <c r="B147" s="212" t="str">
        <f>"PV("&amp;C141&amp;" yrs of Dividends)"</f>
        <v>PV(3 yrs of Dividends)</v>
      </c>
      <c r="C147" s="216">
        <f>Scenarios!C81</f>
        <v>0.58604918132338757</v>
      </c>
    </row>
    <row r="148" spans="2:4">
      <c r="B148" s="212" t="str">
        <f>"+ PV(Equity Value realized at year "&amp;C141&amp;")"</f>
        <v>+ PV(Equity Value realized at year 3)</v>
      </c>
      <c r="C148" s="216">
        <f>Scenarios!C82</f>
        <v>5.2772069444640133</v>
      </c>
    </row>
    <row r="149" spans="2:4">
      <c r="B149" s="80" t="s">
        <v>256</v>
      </c>
      <c r="C149" s="215">
        <f>Scenarios!C83</f>
        <v>5.8632561257874007</v>
      </c>
      <c r="D149" s="300" t="str">
        <f>IF($D$11="","",C149*$E$25)</f>
        <v/>
      </c>
    </row>
    <row r="150" spans="2:4">
      <c r="B150" s="259" t="s">
        <v>397</v>
      </c>
      <c r="C150" s="298" t="str">
        <f>Market_currency</f>
        <v>HKD</v>
      </c>
      <c r="D150" s="298" t="str">
        <f>IF($D$11="","",D$13)</f>
        <v/>
      </c>
    </row>
    <row r="151" spans="2:4">
      <c r="B151" s="214" t="s">
        <v>258</v>
      </c>
      <c r="C151" s="92">
        <f>Scenarios!F83</f>
        <v>0.5484213143271619</v>
      </c>
    </row>
    <row r="153" spans="2:4">
      <c r="B153" s="210" t="s">
        <v>393</v>
      </c>
    </row>
    <row r="154" spans="2:4">
      <c r="B154" s="1" t="s">
        <v>392</v>
      </c>
      <c r="C154" s="297">
        <f>Scenarios!C90</f>
        <v>0.25</v>
      </c>
    </row>
    <row r="155" spans="2:4">
      <c r="B155" s="212" t="str">
        <f>"PV("&amp;C141&amp;" yrs of Dividends)"</f>
        <v>PV(3 yrs of Dividends)</v>
      </c>
      <c r="C155" s="216">
        <f>Scenarios!C91</f>
        <v>0.67455728526809577</v>
      </c>
    </row>
    <row r="156" spans="2:4">
      <c r="B156" s="212" t="str">
        <f>"+ PV(Equity Value realized at year "&amp;C141&amp;")"</f>
        <v>+ PV(Equity Value realized at year 3)</v>
      </c>
      <c r="C156" s="216">
        <f>Scenarios!C92</f>
        <v>6.6477609144246523</v>
      </c>
    </row>
    <row r="157" spans="2:4">
      <c r="B157" s="80" t="s">
        <v>256</v>
      </c>
      <c r="C157" s="215">
        <f>Scenarios!C93</f>
        <v>7.3223181996927478</v>
      </c>
      <c r="D157" s="300" t="str">
        <f>IF($D$11="","",C157*$E$25)</f>
        <v/>
      </c>
    </row>
    <row r="158" spans="2:4">
      <c r="B158" s="259" t="s">
        <v>397</v>
      </c>
      <c r="C158" s="298" t="str">
        <f>Market_currency</f>
        <v>HKD</v>
      </c>
      <c r="D158" s="298" t="str">
        <f>IF($D$11="","",D$13)</f>
        <v/>
      </c>
    </row>
    <row r="159" spans="2:4">
      <c r="B159" s="214" t="s">
        <v>258</v>
      </c>
      <c r="C159" s="92">
        <f>Scenarios!F93</f>
        <v>0.43604666796787828</v>
      </c>
    </row>
    <row r="161" spans="2:4">
      <c r="B161" s="210" t="s">
        <v>383</v>
      </c>
    </row>
    <row r="162" spans="2:4">
      <c r="B162" s="1" t="s">
        <v>391</v>
      </c>
      <c r="C162" s="92">
        <f>Scenarios!C96</f>
        <v>7.4999999999999997E-2</v>
      </c>
    </row>
    <row r="163" spans="2:4">
      <c r="B163" s="212" t="str">
        <f>"PV("&amp;C141&amp;" yrs of Dividends)"</f>
        <v>PV(3 yrs of Dividends)</v>
      </c>
      <c r="C163" s="216">
        <f>Scenarios!C97</f>
        <v>0.89866986852348141</v>
      </c>
    </row>
    <row r="164" spans="2:4">
      <c r="B164" s="212" t="str">
        <f>"+ PV(Equity Value realized at year "&amp;C141&amp;")"</f>
        <v>+ PV(Equity Value realized at year 3)</v>
      </c>
      <c r="C164" s="216">
        <f>Scenarios!C98</f>
        <v>10.45153400710732</v>
      </c>
    </row>
    <row r="165" spans="2:4">
      <c r="B165" s="80" t="s">
        <v>384</v>
      </c>
      <c r="C165" s="215">
        <f>Scenarios!C99</f>
        <v>11.3502038756308</v>
      </c>
      <c r="D165" s="300" t="str">
        <f>IF($D$11="","",C165*$E$25)</f>
        <v/>
      </c>
    </row>
    <row r="166" spans="2:4">
      <c r="B166" s="259" t="s">
        <v>397</v>
      </c>
      <c r="C166" s="298" t="str">
        <f>Market_currency</f>
        <v>HKD</v>
      </c>
      <c r="D166" s="298" t="str">
        <f>IF($D$11="","",D$13)</f>
        <v/>
      </c>
    </row>
    <row r="167" spans="2:4">
      <c r="B167" s="214" t="s">
        <v>258</v>
      </c>
      <c r="C167" s="92">
        <f>Scenarios!F99</f>
        <v>0.12582530281537296</v>
      </c>
    </row>
    <row r="169" spans="2:4">
      <c r="B169" s="210" t="s">
        <v>410</v>
      </c>
    </row>
    <row r="170" spans="2:4">
      <c r="B170" s="1" t="s">
        <v>401</v>
      </c>
      <c r="C170" s="92">
        <f>F32</f>
        <v>0.1174</v>
      </c>
    </row>
    <row r="171" spans="2:4">
      <c r="B171" s="212" t="str">
        <f>"PV("&amp;C141&amp;" yrs of Dividends)"</f>
        <v>PV(3 yrs of Dividends)</v>
      </c>
      <c r="C171" s="216">
        <f>Scenarios!C103</f>
        <v>0.83372900361808255</v>
      </c>
    </row>
    <row r="172" spans="2:4">
      <c r="B172" s="212" t="str">
        <f>"+ PV(Equity Value realized at year "&amp;C141&amp;")"</f>
        <v>+ PV(Equity Value realized at year 3)</v>
      </c>
      <c r="C172" s="216">
        <f>Scenarios!C104</f>
        <v>9.3063510267411278</v>
      </c>
    </row>
    <row r="173" spans="2:4">
      <c r="B173" s="80" t="s">
        <v>384</v>
      </c>
      <c r="C173" s="215">
        <f>Scenarios!C105</f>
        <v>10.14008003035921</v>
      </c>
      <c r="D173" s="300" t="str">
        <f>IF($D$11="","",C173*$E$25)</f>
        <v/>
      </c>
    </row>
    <row r="174" spans="2:4">
      <c r="B174" s="259" t="s">
        <v>397</v>
      </c>
      <c r="C174" s="298" t="str">
        <f>Market_currency</f>
        <v>HKD</v>
      </c>
      <c r="D174" s="298" t="str">
        <f>IF($D$11="","",D$13)</f>
        <v/>
      </c>
    </row>
    <row r="175" spans="2:4">
      <c r="B175" s="214" t="s">
        <v>258</v>
      </c>
      <c r="C175" s="92">
        <f>Scenarios!F105</f>
        <v>0.22261862186231296</v>
      </c>
    </row>
    <row r="177" spans="1:6" ht="13.9">
      <c r="A177" s="222" t="s">
        <v>359</v>
      </c>
      <c r="B177" s="36"/>
      <c r="C177" s="36"/>
      <c r="D177" s="36"/>
      <c r="E177" s="36"/>
      <c r="F177" s="36"/>
    </row>
    <row r="179" spans="1:6">
      <c r="B179" s="374" t="s">
        <v>479</v>
      </c>
      <c r="C179" s="368"/>
      <c r="D179" s="368"/>
      <c r="E179" s="368"/>
      <c r="F179" s="368"/>
    </row>
    <row r="181" spans="1:6">
      <c r="B181" s="210" t="s">
        <v>360</v>
      </c>
    </row>
    <row r="182" spans="1:6">
      <c r="B182" s="370" t="s">
        <v>364</v>
      </c>
      <c r="C182" s="370"/>
      <c r="D182" s="370"/>
      <c r="E182" s="370"/>
      <c r="F182" s="370"/>
    </row>
    <row r="183" spans="1:6">
      <c r="B183" s="214" t="s">
        <v>361</v>
      </c>
    </row>
    <row r="184" spans="1:6">
      <c r="B184" s="214" t="s">
        <v>362</v>
      </c>
    </row>
    <row r="185" spans="1:6">
      <c r="B185" s="214" t="s">
        <v>363</v>
      </c>
    </row>
    <row r="187" spans="1:6">
      <c r="B187" s="1" t="s">
        <v>367</v>
      </c>
    </row>
    <row r="188" spans="1:6" ht="34.35" customHeight="1">
      <c r="B188" s="367" t="s">
        <v>480</v>
      </c>
      <c r="C188" s="367"/>
      <c r="D188" s="367"/>
      <c r="E188" s="367"/>
      <c r="F188" s="367"/>
    </row>
    <row r="190" spans="1:6">
      <c r="B190" s="1" t="s">
        <v>368</v>
      </c>
    </row>
    <row r="191" spans="1:6" ht="24.6" customHeight="1">
      <c r="B191" s="371" t="s">
        <v>365</v>
      </c>
      <c r="C191" s="371"/>
      <c r="D191" s="371"/>
      <c r="E191" s="371"/>
      <c r="F191" s="371"/>
    </row>
    <row r="192" spans="1:6" ht="24.6" customHeight="1">
      <c r="B192" s="371" t="s">
        <v>366</v>
      </c>
      <c r="C192" s="371"/>
      <c r="D192" s="371"/>
      <c r="E192" s="371"/>
      <c r="F192" s="371"/>
    </row>
    <row r="194" spans="2:2">
      <c r="B194" s="1" t="s">
        <v>372</v>
      </c>
    </row>
    <row r="195" spans="2:2">
      <c r="B195" s="214" t="s">
        <v>369</v>
      </c>
    </row>
    <row r="196" spans="2:2">
      <c r="B196" s="214" t="s">
        <v>370</v>
      </c>
    </row>
    <row r="197" spans="2:2">
      <c r="B197" s="214" t="s">
        <v>371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22" sqref="D22"/>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356</v>
      </c>
      <c r="C22" s="351">
        <v>12514</v>
      </c>
      <c r="D22" s="351">
        <v>14408</v>
      </c>
      <c r="E22" s="351">
        <v>14870</v>
      </c>
      <c r="F22" s="351">
        <v>12000</v>
      </c>
      <c r="G22" s="351">
        <v>16738</v>
      </c>
      <c r="H22" s="351">
        <v>16085</v>
      </c>
      <c r="I22" s="351">
        <v>17018</v>
      </c>
      <c r="J22" s="351">
        <v>13287</v>
      </c>
      <c r="K22" s="351">
        <v>15749</v>
      </c>
      <c r="L22" s="351">
        <v>13370</v>
      </c>
      <c r="M22" s="351"/>
    </row>
    <row r="23" spans="2:13">
      <c r="B23" s="27" t="s">
        <v>358</v>
      </c>
      <c r="C23" s="351">
        <v>-3491</v>
      </c>
      <c r="D23" s="351">
        <v>-1061</v>
      </c>
      <c r="E23" s="351">
        <v>-18452</v>
      </c>
      <c r="F23" s="351">
        <v>25602</v>
      </c>
      <c r="G23" s="351">
        <v>-8833</v>
      </c>
      <c r="H23" s="351">
        <v>-10277</v>
      </c>
      <c r="I23" s="351">
        <v>-7000</v>
      </c>
      <c r="J23" s="351">
        <v>-13493</v>
      </c>
      <c r="K23" s="351">
        <v>-23127</v>
      </c>
      <c r="L23" s="351">
        <v>-4719</v>
      </c>
      <c r="M23" s="351"/>
    </row>
    <row r="24" spans="2:13">
      <c r="B24" s="27" t="s">
        <v>357</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0.34557237974799992</v>
      </c>
      <c r="D25" s="39">
        <f>(0.2838)*Exchange_Rate</f>
        <v>0.31055554582799999</v>
      </c>
      <c r="E25" s="39">
        <f>0.2539*Exchange_Rate</f>
        <v>0.27783669163399999</v>
      </c>
      <c r="F25" s="39">
        <f>0.2078*Exchange_Rate</f>
        <v>0.227390565268</v>
      </c>
      <c r="G25" s="39"/>
      <c r="H25" s="39"/>
      <c r="I25" s="39"/>
      <c r="J25" s="39"/>
      <c r="K25" s="39"/>
      <c r="L25" s="39"/>
      <c r="M25" s="39"/>
    </row>
    <row r="27" spans="2:13">
      <c r="B27" s="16" t="s">
        <v>26</v>
      </c>
      <c r="C27" s="97" t="s">
        <v>215</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376</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0.34557237974799992</v>
      </c>
      <c r="D65" s="73">
        <f t="shared" ref="D65:M65" si="33">IF(D$4="","",D25)</f>
        <v>0.31055554582799999</v>
      </c>
      <c r="E65" s="73">
        <f t="shared" si="33"/>
        <v>0.27783669163399999</v>
      </c>
      <c r="F65" s="73">
        <f t="shared" si="33"/>
        <v>0.227390565268</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70" zoomScaleNormal="100" workbookViewId="0">
      <selection activeCell="F83" sqref="F83"/>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433</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387</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8.2333553114021711</v>
      </c>
      <c r="D47" s="147">
        <f>D46*H1/Common_Shares*Exchange_Rate</f>
        <v>-3.1956651023474385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17130.210757725759</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-14497.936892666634</v>
      </c>
      <c r="D73" s="349">
        <f>(Normalized_FCF!C25+Normalized_FCF!C35-Normalized_FCF!C91)/12</f>
        <v>-13980.89462113712</v>
      </c>
      <c r="F73" s="1" t="s">
        <v>343</v>
      </c>
    </row>
    <row r="74" spans="2:6" ht="15" customHeight="1">
      <c r="B74" s="257" t="s">
        <v>313</v>
      </c>
      <c r="C74" s="258">
        <f>-$C$66/C73</f>
        <v>3.1102356379278002</v>
      </c>
      <c r="D74" s="258">
        <f>-$C$66/D73</f>
        <v>3.2252585561890528</v>
      </c>
      <c r="F74" s="253" t="s">
        <v>310</v>
      </c>
    </row>
    <row r="75" spans="2:6" ht="15" customHeight="1">
      <c r="B75" s="80" t="s">
        <v>311</v>
      </c>
      <c r="C75" s="320"/>
      <c r="D75" s="321">
        <f>MAX(-D73*D76,G5)</f>
        <v>27961.789242274241</v>
      </c>
      <c r="F75" s="253" t="s">
        <v>344</v>
      </c>
    </row>
    <row r="76" spans="2:6" ht="15" customHeight="1">
      <c r="B76" s="259" t="s">
        <v>314</v>
      </c>
      <c r="C76" s="260"/>
      <c r="D76" s="290">
        <f>IF(valuation_method="DCF",IF(D74&lt;=3,1,IF(D74&gt;18,6,2)),-C66/D73)</f>
        <v>2</v>
      </c>
      <c r="F76" s="253" t="s">
        <v>315</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-26567.928460739997</v>
      </c>
      <c r="D86" s="223">
        <f>C86*scaling_factor/Common_Shares</f>
        <v>-3.0683146879542789</v>
      </c>
      <c r="E86" s="240" t="str">
        <f>Market_currency</f>
        <v>HKD</v>
      </c>
    </row>
    <row r="87" spans="2:8" ht="15" customHeight="1">
      <c r="B87" s="238" t="s">
        <v>282</v>
      </c>
      <c r="C87" s="76">
        <f>DCF!C8*Exchange_Rate</f>
        <v>18745.179534933755</v>
      </c>
      <c r="D87" s="223">
        <f>C87*scaling_factor/Common_Shares</f>
        <v>2.1648699400997709</v>
      </c>
      <c r="E87" s="240" t="str">
        <f>Market_currency</f>
        <v>HKD</v>
      </c>
    </row>
    <row r="88" spans="2:8" ht="15" customHeight="1">
      <c r="B88" s="239" t="s">
        <v>185</v>
      </c>
      <c r="C88" s="76">
        <f>DCF!C9*Exchange_Rate</f>
        <v>173.33332790399999</v>
      </c>
      <c r="D88" s="223">
        <f>C88*scaling_factor/Common_Shares</f>
        <v>2.0018165763497582E-2</v>
      </c>
      <c r="E88" s="240" t="str">
        <f>Market_currency</f>
        <v>HKD</v>
      </c>
    </row>
    <row r="89" spans="2:8" ht="15" customHeight="1">
      <c r="B89" s="80" t="s">
        <v>286</v>
      </c>
      <c r="C89" s="180">
        <f>SUM(C86:C88)</f>
        <v>-7649.4155979022416</v>
      </c>
      <c r="D89" s="242">
        <f>SUM(D86:D88)</f>
        <v>-0.88342658209101044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92" activePane="bottomRight" state="frozen"/>
      <selection activeCell="C17" sqref="C17"/>
      <selection pane="topRight" activeCell="C17" sqref="C17"/>
      <selection pane="bottomLeft" activeCell="C17" sqref="C17"/>
      <selection pane="bottomRight" activeCell="E97" sqref="E9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-523.38210757725756</v>
      </c>
      <c r="E12" s="268"/>
      <c r="G12" s="328">
        <f>G50</f>
        <v>-208.93910019296732</v>
      </c>
      <c r="H12" s="328">
        <f t="shared" ref="H12:Q12" si="6">H50</f>
        <v>-420.50836865123335</v>
      </c>
      <c r="I12" s="328">
        <f t="shared" si="6"/>
        <v>-366.32952720851665</v>
      </c>
      <c r="J12" s="328">
        <f t="shared" si="6"/>
        <v>-454.96428392701432</v>
      </c>
      <c r="K12" s="328">
        <f t="shared" si="6"/>
        <v>-503.36524328150233</v>
      </c>
      <c r="L12" s="328">
        <f t="shared" si="6"/>
        <v>-818.09114139130793</v>
      </c>
      <c r="M12" s="328">
        <f t="shared" si="6"/>
        <v>-947.06892960013079</v>
      </c>
      <c r="N12" s="328">
        <f t="shared" si="6"/>
        <v>-1014.1577767648394</v>
      </c>
      <c r="O12" s="328">
        <f t="shared" si="6"/>
        <v>-468.58324213710398</v>
      </c>
      <c r="P12" s="328">
        <f t="shared" si="6"/>
        <v>-437.47630223738793</v>
      </c>
      <c r="Q12" s="328" t="str">
        <f t="shared" si="6"/>
        <v/>
      </c>
    </row>
    <row r="13" spans="1:17" ht="15.75" customHeight="1">
      <c r="A13" s="10"/>
      <c r="B13" s="70" t="s">
        <v>160</v>
      </c>
      <c r="C13" s="329">
        <f>SUM(C8:C12)</f>
        <v>17798.925150776904</v>
      </c>
      <c r="E13" s="268"/>
      <c r="G13" s="329">
        <f>IF(G$4="","",SUM(G8:G12))</f>
        <v>16980.060899807031</v>
      </c>
      <c r="H13" s="329">
        <f t="shared" ref="H13:Q13" si="7">IF(H$4="","",SUM(H8:H12))</f>
        <v>17261.491631348767</v>
      </c>
      <c r="I13" s="329">
        <f t="shared" si="7"/>
        <v>16973.670472791484</v>
      </c>
      <c r="J13" s="329">
        <f t="shared" si="7"/>
        <v>14670.035716072985</v>
      </c>
      <c r="K13" s="329">
        <f t="shared" si="7"/>
        <v>11589.634756718498</v>
      </c>
      <c r="L13" s="329">
        <f t="shared" si="7"/>
        <v>20402.908858608691</v>
      </c>
      <c r="M13" s="329">
        <f t="shared" si="7"/>
        <v>19208.931070399871</v>
      </c>
      <c r="N13" s="329">
        <f t="shared" si="7"/>
        <v>16944.842223235162</v>
      </c>
      <c r="O13" s="329">
        <f t="shared" si="7"/>
        <v>17752.416757862895</v>
      </c>
      <c r="P13" s="329">
        <f t="shared" si="7"/>
        <v>11857.523697762612</v>
      </c>
      <c r="Q13" s="329" t="str">
        <f t="shared" si="7"/>
        <v/>
      </c>
    </row>
    <row r="14" spans="1:17" ht="15.75" customHeight="1">
      <c r="A14" s="10"/>
      <c r="B14" s="2" t="s">
        <v>61</v>
      </c>
      <c r="C14" s="328">
        <f>-SUM(C8+C11,C12)*C43</f>
        <v>-4449.731287694226</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7230.3317931702732</v>
      </c>
      <c r="D16" s="61"/>
      <c r="E16" s="276"/>
      <c r="F16" s="61"/>
      <c r="G16" s="329">
        <f>IF(G$4="","",SUM(G13:G15))</f>
        <v>10305.060899807031</v>
      </c>
      <c r="H16" s="329">
        <f t="shared" ref="H16:Q16" si="8">IF(H$4="","",SUM(H13:H15))</f>
        <v>10350.491631348767</v>
      </c>
      <c r="I16" s="329">
        <f t="shared" si="8"/>
        <v>10809.670472791484</v>
      </c>
      <c r="J16" s="329">
        <f t="shared" si="8"/>
        <v>8651.0357160729855</v>
      </c>
      <c r="K16" s="329">
        <f t="shared" si="8"/>
        <v>5607.6347567184985</v>
      </c>
      <c r="L16" s="329">
        <f t="shared" si="8"/>
        <v>12308.908858608691</v>
      </c>
      <c r="M16" s="329">
        <f t="shared" si="8"/>
        <v>11857.931070399871</v>
      </c>
      <c r="N16" s="329">
        <f t="shared" si="8"/>
        <v>10224.842223235162</v>
      </c>
      <c r="O16" s="329">
        <f t="shared" si="8"/>
        <v>11296.416757862895</v>
      </c>
      <c r="P16" s="329">
        <f t="shared" si="8"/>
        <v>7067.5236977626118</v>
      </c>
      <c r="Q16" s="329" t="str">
        <f t="shared" si="8"/>
        <v/>
      </c>
    </row>
    <row r="17" spans="1:17" ht="15.75" customHeight="1">
      <c r="A17" s="10"/>
      <c r="B17" s="27" t="s">
        <v>50</v>
      </c>
      <c r="C17" s="328">
        <f>-C4*C85</f>
        <v>0</v>
      </c>
      <c r="D17" s="58"/>
      <c r="E17" s="267" t="s">
        <v>323</v>
      </c>
      <c r="F17" s="58"/>
      <c r="G17" s="335"/>
      <c r="H17" s="335"/>
      <c r="I17" s="335"/>
      <c r="J17" s="335"/>
      <c r="K17" s="335"/>
      <c r="L17" s="335"/>
      <c r="M17" s="335"/>
      <c r="N17" s="335"/>
      <c r="O17" s="335"/>
      <c r="P17" s="335"/>
      <c r="Q17" s="335"/>
    </row>
    <row r="18" spans="1:17" ht="15.75" customHeight="1">
      <c r="A18" s="10"/>
      <c r="B18" s="27" t="s">
        <v>95</v>
      </c>
      <c r="C18" s="328">
        <v>0</v>
      </c>
      <c r="D18" s="58"/>
      <c r="E18" s="267" t="s">
        <v>324</v>
      </c>
      <c r="F18" s="58"/>
      <c r="G18" s="336"/>
      <c r="H18" s="336"/>
      <c r="I18" s="336"/>
      <c r="J18" s="336"/>
      <c r="K18" s="336"/>
      <c r="L18" s="336"/>
      <c r="M18" s="336"/>
      <c r="N18" s="336"/>
      <c r="O18" s="336"/>
      <c r="P18" s="336"/>
      <c r="Q18" s="336"/>
    </row>
    <row r="19" spans="1:17" ht="15.75" customHeight="1">
      <c r="A19" s="10"/>
      <c r="B19" s="31" t="s">
        <v>64</v>
      </c>
      <c r="C19" s="329">
        <f>C16+C17</f>
        <v>7230.3317931702732</v>
      </c>
      <c r="D19" s="27"/>
      <c r="E19" s="265"/>
      <c r="F19" s="27"/>
      <c r="G19" s="334">
        <f>IF(G$4="","",G16+G17)</f>
        <v>10305.060899807031</v>
      </c>
      <c r="H19" s="334">
        <f t="shared" ref="H19:Q19" si="9">IF(H$4="","",H16+H17)</f>
        <v>10350.491631348767</v>
      </c>
      <c r="I19" s="334">
        <f t="shared" si="9"/>
        <v>10809.670472791484</v>
      </c>
      <c r="J19" s="334">
        <f t="shared" si="9"/>
        <v>8651.0357160729855</v>
      </c>
      <c r="K19" s="334">
        <f t="shared" si="9"/>
        <v>5607.6347567184985</v>
      </c>
      <c r="L19" s="334">
        <f t="shared" si="9"/>
        <v>12308.908858608691</v>
      </c>
      <c r="M19" s="334">
        <f t="shared" si="9"/>
        <v>11857.931070399871</v>
      </c>
      <c r="N19" s="334">
        <f t="shared" si="9"/>
        <v>10224.842223235162</v>
      </c>
      <c r="O19" s="334">
        <f t="shared" si="9"/>
        <v>11296.416757862895</v>
      </c>
      <c r="P19" s="334">
        <f t="shared" si="9"/>
        <v>7067.5236977626118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325</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325</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325</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326</v>
      </c>
      <c r="F43" s="27"/>
      <c r="G43" s="6">
        <f t="shared" ref="G43:Q43" si="18">IF(G$4="","",-G14/SUM(G8+G11,G12))</f>
        <v>0.18421606485731437</v>
      </c>
      <c r="H43" s="6">
        <f t="shared" si="18"/>
        <v>0.19337842124476803</v>
      </c>
      <c r="I43" s="6">
        <f t="shared" si="18"/>
        <v>0.18787922182841446</v>
      </c>
      <c r="J43" s="6">
        <f t="shared" si="18"/>
        <v>0.18391229934389186</v>
      </c>
      <c r="K43" s="6">
        <f t="shared" si="18"/>
        <v>0.19957488294953873</v>
      </c>
      <c r="L43" s="6">
        <f t="shared" si="18"/>
        <v>0.19967741012973447</v>
      </c>
      <c r="M43" s="6">
        <f t="shared" si="18"/>
        <v>0.19636699128003474</v>
      </c>
      <c r="N43" s="6">
        <f t="shared" si="18"/>
        <v>0.20838199338074748</v>
      </c>
      <c r="O43" s="6">
        <f t="shared" si="18"/>
        <v>0.2084786567643391</v>
      </c>
      <c r="P43" s="6">
        <f t="shared" si="18"/>
        <v>0.21986040816362973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337</v>
      </c>
      <c r="C48" s="328">
        <f>BS!D75*C53</f>
        <v>279.61789242274239</v>
      </c>
      <c r="E48" s="268"/>
      <c r="G48" s="337">
        <f>IFERROR(IF(G$4="","",($C$48/$C$49)*G49),0)</f>
        <v>594.06089980703268</v>
      </c>
      <c r="H48" s="337">
        <f t="shared" ref="H48:Q48" si="19">IFERROR(IF(H$4="","",($C$48/$C$49)*H49),0)</f>
        <v>539.49163134876665</v>
      </c>
      <c r="I48" s="337">
        <f t="shared" si="19"/>
        <v>532.67047279148335</v>
      </c>
      <c r="J48" s="337">
        <f t="shared" si="19"/>
        <v>328.03571607298568</v>
      </c>
      <c r="K48" s="337">
        <f t="shared" si="19"/>
        <v>204.6347567184977</v>
      </c>
      <c r="L48" s="337">
        <f t="shared" si="19"/>
        <v>169.90885860869201</v>
      </c>
      <c r="M48" s="337">
        <f t="shared" si="19"/>
        <v>182.93107039986916</v>
      </c>
      <c r="N48" s="337">
        <f t="shared" si="19"/>
        <v>130.84222323516065</v>
      </c>
      <c r="O48" s="337">
        <f t="shared" si="19"/>
        <v>216.41675786289605</v>
      </c>
      <c r="P48" s="337">
        <f t="shared" si="19"/>
        <v>139.52369776261207</v>
      </c>
      <c r="Q48" s="337" t="str">
        <f t="shared" si="19"/>
        <v/>
      </c>
    </row>
    <row r="49" spans="1:17" ht="15.75" customHeight="1">
      <c r="A49" s="10"/>
      <c r="B49" s="287" t="s">
        <v>334</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-523.38210757725756</v>
      </c>
      <c r="E50" s="268"/>
      <c r="G50" s="329">
        <f>IF(G$4="","",(G47+G48))</f>
        <v>-208.93910019296732</v>
      </c>
      <c r="H50" s="329">
        <f t="shared" ref="H50:Q50" si="20">IF(H$4="","",(H47+H48))</f>
        <v>-420.50836865123335</v>
      </c>
      <c r="I50" s="329">
        <f t="shared" si="20"/>
        <v>-366.32952720851665</v>
      </c>
      <c r="J50" s="329">
        <f t="shared" si="20"/>
        <v>-454.96428392701432</v>
      </c>
      <c r="K50" s="329">
        <f t="shared" si="20"/>
        <v>-503.36524328150233</v>
      </c>
      <c r="L50" s="329">
        <f t="shared" si="20"/>
        <v>-818.09114139130793</v>
      </c>
      <c r="M50" s="329">
        <f t="shared" si="20"/>
        <v>-947.06892960013079</v>
      </c>
      <c r="N50" s="329">
        <f t="shared" si="20"/>
        <v>-1014.1577767648394</v>
      </c>
      <c r="O50" s="329">
        <f t="shared" si="20"/>
        <v>-468.58324213710398</v>
      </c>
      <c r="P50" s="329">
        <f t="shared" si="20"/>
        <v>-437.47630223738793</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327</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328</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329</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346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2.8725691963625553E-3</v>
      </c>
      <c r="D80" s="27"/>
      <c r="E80" s="265"/>
      <c r="F80" s="27"/>
      <c r="G80" s="6">
        <f t="shared" ref="G80:Q80" si="31">IF(G$4="","",ABS(G12/G$4))</f>
        <v>1.1170466098872327E-3</v>
      </c>
      <c r="H80" s="6">
        <f t="shared" si="31"/>
        <v>2.3710114722601877E-3</v>
      </c>
      <c r="I80" s="6">
        <f t="shared" si="31"/>
        <v>2.1305164891390026E-3</v>
      </c>
      <c r="J80" s="6">
        <f t="shared" si="31"/>
        <v>3.2838263111219608E-3</v>
      </c>
      <c r="K80" s="6">
        <f t="shared" si="31"/>
        <v>4.6074200078855326E-3</v>
      </c>
      <c r="L80" s="6">
        <f t="shared" si="31"/>
        <v>7.2197465550405335E-3</v>
      </c>
      <c r="M80" s="6">
        <f t="shared" si="31"/>
        <v>8.9795100938667941E-3</v>
      </c>
      <c r="N80" s="6">
        <f t="shared" si="31"/>
        <v>1.14327979704286E-2</v>
      </c>
      <c r="O80" s="6">
        <f t="shared" si="31"/>
        <v>5.722664836436628E-3</v>
      </c>
      <c r="P80" s="6">
        <f t="shared" si="31"/>
        <v>1.0505902889877475E-2</v>
      </c>
      <c r="Q80" s="6" t="str">
        <f t="shared" si="31"/>
        <v/>
      </c>
    </row>
    <row r="81" spans="1:17" ht="15.75" customHeight="1">
      <c r="A81" s="10"/>
      <c r="B81" s="70" t="s">
        <v>160</v>
      </c>
      <c r="C81" s="78">
        <f>C13/C4</f>
        <v>9.7688941552013742E-2</v>
      </c>
      <c r="D81" s="27"/>
      <c r="E81" s="265"/>
      <c r="F81" s="27"/>
      <c r="G81" s="65">
        <f t="shared" ref="G81:Q81" si="32">IF(G$4="","",G13/G$4)</f>
        <v>9.0780133762855292E-2</v>
      </c>
      <c r="H81" s="65">
        <f t="shared" si="32"/>
        <v>9.7327895797945166E-2</v>
      </c>
      <c r="I81" s="65">
        <f t="shared" si="32"/>
        <v>9.8716270836967171E-2</v>
      </c>
      <c r="J81" s="65">
        <f t="shared" si="32"/>
        <v>0.10588490343401867</v>
      </c>
      <c r="K81" s="65">
        <f t="shared" si="32"/>
        <v>0.10608264232564002</v>
      </c>
      <c r="L81" s="65">
        <f t="shared" si="32"/>
        <v>0.18005797091780018</v>
      </c>
      <c r="M81" s="65">
        <f t="shared" si="32"/>
        <v>0.18212696568123515</v>
      </c>
      <c r="N81" s="65">
        <f t="shared" si="32"/>
        <v>0.1910225038129908</v>
      </c>
      <c r="O81" s="65">
        <f t="shared" si="32"/>
        <v>0.21680487479376293</v>
      </c>
      <c r="P81" s="65">
        <f t="shared" si="32"/>
        <v>0.28475597842901496</v>
      </c>
      <c r="Q81" s="65" t="str">
        <f t="shared" si="32"/>
        <v/>
      </c>
    </row>
    <row r="82" spans="1:17" ht="15.75" customHeight="1">
      <c r="A82" s="10"/>
      <c r="B82" s="2" t="s">
        <v>61</v>
      </c>
      <c r="C82" s="77">
        <f>ABS(C14/C$4)</f>
        <v>2.4422235388003435E-2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3.968348953441423E-2</v>
      </c>
      <c r="D84" s="27"/>
      <c r="E84" s="265"/>
      <c r="F84" s="27"/>
      <c r="G84" s="65">
        <f t="shared" ref="G84:Q84" si="35">IF(G$4="","",ABS(G16/G$4))</f>
        <v>5.5093725071945036E-2</v>
      </c>
      <c r="H84" s="65">
        <f t="shared" si="35"/>
        <v>5.8360632584259539E-2</v>
      </c>
      <c r="I84" s="65">
        <f t="shared" si="35"/>
        <v>6.2867389805933815E-2</v>
      </c>
      <c r="J84" s="65">
        <f t="shared" si="35"/>
        <v>6.2441162320894611E-2</v>
      </c>
      <c r="K84" s="65">
        <f t="shared" si="35"/>
        <v>5.1327994770926567E-2</v>
      </c>
      <c r="L84" s="65">
        <f t="shared" si="35"/>
        <v>0.10862750839364142</v>
      </c>
      <c r="M84" s="65">
        <f t="shared" si="35"/>
        <v>0.11242942135583456</v>
      </c>
      <c r="N84" s="65">
        <f t="shared" si="35"/>
        <v>0.1152666361152026</v>
      </c>
      <c r="O84" s="65">
        <f t="shared" si="35"/>
        <v>0.13795970735769639</v>
      </c>
      <c r="P84" s="65">
        <f t="shared" si="35"/>
        <v>0.16972511941986532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3.968348953441423E-2</v>
      </c>
      <c r="D87" s="75"/>
      <c r="E87" s="265"/>
      <c r="F87" s="75"/>
      <c r="G87" s="65">
        <f t="shared" ref="G87:Q87" si="36">IF(G$4="","",ABS(G19/G$4))</f>
        <v>5.5093725071945036E-2</v>
      </c>
      <c r="H87" s="65">
        <f t="shared" si="36"/>
        <v>5.8360632584259539E-2</v>
      </c>
      <c r="I87" s="65">
        <f t="shared" si="36"/>
        <v>6.2867389805933815E-2</v>
      </c>
      <c r="J87" s="65">
        <f t="shared" si="36"/>
        <v>6.2441162320894611E-2</v>
      </c>
      <c r="K87" s="65">
        <f t="shared" si="36"/>
        <v>5.1327994770926567E-2</v>
      </c>
      <c r="L87" s="65">
        <f t="shared" si="36"/>
        <v>0.10862750839364142</v>
      </c>
      <c r="M87" s="65">
        <f t="shared" si="36"/>
        <v>0.11242942135583456</v>
      </c>
      <c r="N87" s="65">
        <f t="shared" si="36"/>
        <v>0.1152666361152026</v>
      </c>
      <c r="O87" s="65">
        <f t="shared" si="36"/>
        <v>0.13795970735769639</v>
      </c>
      <c r="P87" s="65">
        <f t="shared" si="36"/>
        <v>0.16972511941986532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0.34557237974799992</v>
      </c>
      <c r="E90" s="268"/>
      <c r="G90" s="112">
        <f>Data!C65</f>
        <v>0.34557237974799992</v>
      </c>
      <c r="H90" s="112">
        <f>Data!D65</f>
        <v>0.31055554582799999</v>
      </c>
      <c r="I90" s="112">
        <f>Data!E65</f>
        <v>0.27783669163399999</v>
      </c>
      <c r="J90" s="112">
        <f>Data!F65</f>
        <v>0.227390565268</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2992.2427119996059</v>
      </c>
      <c r="E91" s="268"/>
      <c r="G91" s="74">
        <f t="shared" ref="G91:Q91" si="37">IF(G$4="","",G90*Common_Shares/scaling_factor)</f>
        <v>2992.2427119996059</v>
      </c>
      <c r="H91" s="74">
        <f t="shared" si="37"/>
        <v>2689.0388906443586</v>
      </c>
      <c r="I91" s="74">
        <f t="shared" si="37"/>
        <v>2405.7328200655484</v>
      </c>
      <c r="J91" s="74">
        <f t="shared" si="37"/>
        <v>1968.929814925644</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0.41384583689866911</v>
      </c>
      <c r="E92" s="268"/>
      <c r="G92" s="170">
        <f t="shared" ref="G92:Q92" si="38">IF(G$4="","",G90/(G19*scaling_factor/Common_Shares))</f>
        <v>0.29036632981525007</v>
      </c>
      <c r="H92" s="170">
        <f t="shared" si="38"/>
        <v>0.25979818026227913</v>
      </c>
      <c r="I92" s="170">
        <f t="shared" si="38"/>
        <v>0.22255376110871333</v>
      </c>
      <c r="J92" s="170">
        <f t="shared" si="38"/>
        <v>0.22759469265252458</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435</v>
      </c>
      <c r="C93" s="356">
        <v>0</v>
      </c>
      <c r="E93" s="268"/>
      <c r="G93" s="357"/>
      <c r="H93" s="357"/>
      <c r="I93" s="357"/>
      <c r="J93" s="357"/>
      <c r="K93" s="357"/>
      <c r="L93" s="357"/>
      <c r="M93" s="357"/>
      <c r="N93" s="357"/>
      <c r="O93" s="357"/>
      <c r="P93" s="357"/>
      <c r="Q93" s="357"/>
    </row>
    <row r="94" spans="1:17" ht="15.75" customHeight="1">
      <c r="A94" s="10"/>
      <c r="B94" s="2" t="s">
        <v>434</v>
      </c>
      <c r="C94" s="23">
        <f>(C90*(1-dividend_tax_rate))/Market_Price</f>
        <v>4.5529957806060596E-2</v>
      </c>
      <c r="E94" s="268"/>
      <c r="G94" s="23">
        <f t="shared" ref="G94:Q94" si="39">IF(G$4="","",(G90*(1-dividend_tax_rate))/Market_Price)</f>
        <v>4.5529957806060596E-2</v>
      </c>
      <c r="H94" s="23">
        <f t="shared" si="39"/>
        <v>4.0916409199999997E-2</v>
      </c>
      <c r="I94" s="23">
        <f t="shared" si="39"/>
        <v>3.6605624721212121E-2</v>
      </c>
      <c r="J94" s="23">
        <f t="shared" si="39"/>
        <v>2.995923126060606E-2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4.8225047943095456E-2</v>
      </c>
      <c r="D98" s="27"/>
      <c r="E98" s="265"/>
      <c r="F98" s="27"/>
      <c r="G98" s="6">
        <f t="shared" ref="G98:Q98" si="41">IF(H5="","",G13/H13-1)</f>
        <v>-1.630396361752573E-2</v>
      </c>
      <c r="H98" s="6">
        <f t="shared" si="41"/>
        <v>1.6956919189556219E-2</v>
      </c>
      <c r="I98" s="6">
        <f t="shared" si="41"/>
        <v>0.1570299351210549</v>
      </c>
      <c r="J98" s="6">
        <f t="shared" si="41"/>
        <v>0.26578930432374337</v>
      </c>
      <c r="K98" s="6">
        <f t="shared" si="41"/>
        <v>-0.43196164639884516</v>
      </c>
      <c r="L98" s="6">
        <f t="shared" si="41"/>
        <v>6.2157429990921775E-2</v>
      </c>
      <c r="M98" s="6">
        <f t="shared" si="41"/>
        <v>0.13361522151325422</v>
      </c>
      <c r="N98" s="6">
        <f t="shared" si="41"/>
        <v>-4.5490963041414756E-2</v>
      </c>
      <c r="O98" s="6">
        <f t="shared" si="41"/>
        <v>0.49714368786904362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374</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375</v>
      </c>
      <c r="C115" s="169"/>
      <c r="E115" s="268"/>
      <c r="G115" s="295">
        <f>IF(G$4="","",Data!C$22/G19)</f>
        <v>1.214354783699952</v>
      </c>
      <c r="H115" s="295">
        <f>IF(H$4="","",Data!D$22/H19)</f>
        <v>1.3920111733013887</v>
      </c>
      <c r="I115" s="295">
        <f>IF(I$4="","",Data!E$22/I19)</f>
        <v>1.3756201021509935</v>
      </c>
      <c r="J115" s="295">
        <f>IF(J$4="","",Data!F$22/J19)</f>
        <v>1.3871171491876846</v>
      </c>
      <c r="K115" s="295">
        <f>IF(K$4="","",Data!G$22/K19)</f>
        <v>2.9848591654344512</v>
      </c>
      <c r="L115" s="295">
        <f>IF(L$4="","",Data!H$22/L19)</f>
        <v>1.3067770819304068</v>
      </c>
      <c r="M115" s="295">
        <f>IF(M$4="","",Data!I$22/M19)</f>
        <v>1.4351576087738316</v>
      </c>
      <c r="N115" s="295">
        <f>IF(N$4="","",Data!J$22/N19)</f>
        <v>1.2994821543364572</v>
      </c>
      <c r="O115" s="295">
        <f>IF(O$4="","",Data!K$22/O19)</f>
        <v>1.3941589034450128</v>
      </c>
      <c r="P115" s="295">
        <f>IF(P$4="","",Data!L$22/P19)</f>
        <v>1.8917517042401404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9.7688941552013742E-2</v>
      </c>
      <c r="E118" s="268"/>
      <c r="G118" s="23">
        <f t="shared" ref="G118:Q118" si="45">IF(G4="","",IF(valuation_method="DDM",G13/(G4+G12),G81))</f>
        <v>9.0780133762855292E-2</v>
      </c>
      <c r="H118" s="23">
        <f t="shared" si="45"/>
        <v>9.7327895797945166E-2</v>
      </c>
      <c r="I118" s="23">
        <f t="shared" si="45"/>
        <v>9.8716270836967171E-2</v>
      </c>
      <c r="J118" s="23">
        <f t="shared" si="45"/>
        <v>0.10588490343401867</v>
      </c>
      <c r="K118" s="23">
        <f t="shared" si="45"/>
        <v>0.10608264232564002</v>
      </c>
      <c r="L118" s="23">
        <f t="shared" si="45"/>
        <v>0.18005797091780018</v>
      </c>
      <c r="M118" s="23">
        <f t="shared" si="45"/>
        <v>0.18212696568123515</v>
      </c>
      <c r="N118" s="23">
        <f t="shared" si="45"/>
        <v>0.1910225038129908</v>
      </c>
      <c r="O118" s="23">
        <f t="shared" si="45"/>
        <v>0.21680487479376293</v>
      </c>
      <c r="P118" s="23">
        <f t="shared" si="45"/>
        <v>0.28475597842901496</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0.20035937581782973</v>
      </c>
      <c r="D121" s="103"/>
      <c r="E121" s="271"/>
      <c r="F121" s="103"/>
      <c r="G121" s="102">
        <f t="shared" ref="G121:Q121" si="48">IF(G$4="","",G13/G106)</f>
        <v>0.19114156469642632</v>
      </c>
      <c r="H121" s="102">
        <f t="shared" si="48"/>
        <v>0.20122275545677776</v>
      </c>
      <c r="I121" s="102">
        <f t="shared" si="48"/>
        <v>0.21032527660766132</v>
      </c>
      <c r="J121" s="102">
        <f t="shared" si="48"/>
        <v>0.19338046843665369</v>
      </c>
      <c r="K121" s="102">
        <f t="shared" si="48"/>
        <v>0.1371116300911957</v>
      </c>
      <c r="L121" s="102">
        <f t="shared" si="48"/>
        <v>0.25766128507430308</v>
      </c>
      <c r="M121" s="102">
        <f t="shared" si="48"/>
        <v>0.2740452973207389</v>
      </c>
      <c r="N121" s="102">
        <f t="shared" si="48"/>
        <v>0.25820711959215487</v>
      </c>
      <c r="O121" s="102">
        <f t="shared" si="48"/>
        <v>0.26774681021768088</v>
      </c>
      <c r="P121" s="102">
        <f t="shared" si="48"/>
        <v>0.16861275948129531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0.91374987601495727</v>
      </c>
      <c r="D125" s="27"/>
      <c r="E125" s="265"/>
      <c r="F125" s="27"/>
      <c r="G125" s="177">
        <f t="shared" ref="G125:Q125" si="49">IF(G$4="","",G16*$C$3/Common_Shares*Exchange_Rate)</f>
        <v>1.3023258667630979</v>
      </c>
      <c r="H125" s="177">
        <f t="shared" si="49"/>
        <v>1.3080672803663771</v>
      </c>
      <c r="I125" s="177">
        <f t="shared" si="49"/>
        <v>1.3660970667495278</v>
      </c>
      <c r="J125" s="177">
        <f t="shared" si="49"/>
        <v>1.0932946148376705</v>
      </c>
      <c r="K125" s="177">
        <f t="shared" si="49"/>
        <v>0.7086777910425589</v>
      </c>
      <c r="L125" s="177">
        <f t="shared" si="49"/>
        <v>1.5555667796680086</v>
      </c>
      <c r="M125" s="177">
        <f t="shared" si="49"/>
        <v>1.4985734203244503</v>
      </c>
      <c r="N125" s="177">
        <f t="shared" si="49"/>
        <v>1.2921880462773399</v>
      </c>
      <c r="O125" s="177">
        <f t="shared" si="49"/>
        <v>1.4276107524775969</v>
      </c>
      <c r="P125" s="177">
        <f t="shared" si="49"/>
        <v>0.89317462701552608</v>
      </c>
      <c r="Q125" s="177" t="str">
        <f t="shared" si="49"/>
        <v/>
      </c>
    </row>
    <row r="126" spans="1:17" ht="15.75" customHeight="1">
      <c r="A126" s="10"/>
      <c r="B126" s="27" t="s">
        <v>264</v>
      </c>
      <c r="C126" s="77">
        <f>C19*Exchange_Rate*$C$3/(Market_Price*Common_Shares)</f>
        <v>0.12038865296639753</v>
      </c>
      <c r="D126" s="27"/>
      <c r="E126" s="265"/>
      <c r="F126" s="27"/>
      <c r="G126" s="77">
        <f t="shared" ref="G126" si="50">IF(G$4="","",G125/Market_Price)</f>
        <v>0.17158443567366244</v>
      </c>
      <c r="H126" s="77">
        <f t="shared" ref="H126" si="51">IF(H$4="","",H125/Market_Price)</f>
        <v>0.17234088015367288</v>
      </c>
      <c r="I126" s="77">
        <f t="shared" ref="I126" si="52">IF(I$4="","",I125/Market_Price)</f>
        <v>0.17998643830692065</v>
      </c>
      <c r="J126" s="77">
        <f t="shared" ref="J126" si="53">IF(J$4="","",J125/Market_Price)</f>
        <v>0.14404408627637294</v>
      </c>
      <c r="K126" s="77">
        <f t="shared" ref="K126" si="54">IF(K$4="","",K125/Market_Price)</f>
        <v>9.3369932943683648E-2</v>
      </c>
      <c r="L126" s="77">
        <f t="shared" ref="L126" si="55">IF(L$4="","",L125/Market_Price)</f>
        <v>0.20494950983768229</v>
      </c>
      <c r="M126" s="77">
        <f t="shared" ref="M126" si="56">IF(M$4="","",M125/Market_Price)</f>
        <v>0.19744050333655472</v>
      </c>
      <c r="N126" s="77">
        <f t="shared" ref="N126" si="57">IF(N$4="","",N125/Market_Price)</f>
        <v>0.1702487544502424</v>
      </c>
      <c r="O126" s="77">
        <f t="shared" ref="O126" si="58">IF(O$4="","",O125/Market_Price)</f>
        <v>0.18809100823156746</v>
      </c>
      <c r="P126" s="77">
        <f t="shared" ref="P126" si="59">IF(P$4="","",P125/Market_Price)</f>
        <v>0.1176778164710838</v>
      </c>
      <c r="Q126" s="77" t="str">
        <f t="shared" ref="Q126" si="60">IF(Q$4="","",Q125/Market_Price)</f>
        <v/>
      </c>
    </row>
    <row r="127" spans="1:17" ht="15.75" customHeight="1">
      <c r="B127" s="2" t="s">
        <v>377</v>
      </c>
      <c r="C127" s="169"/>
      <c r="G127" s="23">
        <f>IF(G$4="","",(Data!C47*$C$3)/(Market_Price*Common_Shares))</f>
        <v>0.14465848880719909</v>
      </c>
      <c r="H127" s="23">
        <f>IF(H$4="","",(Data!D47*$C$3)/(Market_Price*Common_Shares))</f>
        <v>0.14082405742196566</v>
      </c>
      <c r="I127" s="23">
        <f>IF(I$4="","",(Data!E47*$C$3)/(Market_Price*Common_Shares))</f>
        <v>0.12481682798837215</v>
      </c>
      <c r="J127" s="23">
        <f>IF(J$4="","",(Data!F47*$C$3)/(Market_Price*Common_Shares))</f>
        <v>0.40074372774957423</v>
      </c>
      <c r="K127" s="23">
        <f>IF(K$4="","",(Data!G47*$C$3)/(Market_Price*Common_Shares))</f>
        <v>0.14808208825830035</v>
      </c>
      <c r="L127" s="23">
        <f>IF(L$4="","",(Data!H47*$C$3)/(Market_Price*Common_Shares))</f>
        <v>0.14563231265106788</v>
      </c>
      <c r="M127" s="23">
        <f>IF(M$4="","",(Data!I47*$C$3)/(Market_Price*Common_Shares))</f>
        <v>0.12496898796397665</v>
      </c>
      <c r="N127" s="23">
        <f>IF(N$4="","",(Data!J47*$C$3)/(Market_Price*Common_Shares))</f>
        <v>0.12095196460801783</v>
      </c>
      <c r="O127" s="23">
        <f>IF(O$4="","",(Data!K47*$C$3)/(Market_Price*Common_Shares))</f>
        <v>5.1947415671376632E-2</v>
      </c>
      <c r="P127" s="23">
        <f>IF(P$4="","",(Data!L47*$C$3)/(Market_Price*Common_Shares))</f>
        <v>3.530111434024423E-2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topLeftCell="A10" zoomScale="75" zoomScaleNormal="85" workbookViewId="0">
      <selection activeCell="D30" sqref="D30"/>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7230.3317931702732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96404.42390893698</v>
      </c>
      <c r="D6" t="str">
        <f>Reporting_currency</f>
        <v>CNY</v>
      </c>
      <c r="E6" s="375" t="s">
        <v>245</v>
      </c>
      <c r="F6" s="375"/>
      <c r="H6" s="120"/>
    </row>
    <row r="7" spans="2:8">
      <c r="B7" s="148" t="s">
        <v>220</v>
      </c>
      <c r="C7" s="338">
        <f>BS!G31</f>
        <v>24279</v>
      </c>
      <c r="D7" t="str">
        <f>Reporting_currency</f>
        <v>CNY</v>
      </c>
      <c r="E7" s="375"/>
      <c r="F7" s="375"/>
      <c r="H7" s="120"/>
    </row>
    <row r="8" spans="2:8">
      <c r="B8" s="148" t="s">
        <v>221</v>
      </c>
      <c r="C8" s="338">
        <f>BS!D66</f>
        <v>17130.210757725759</v>
      </c>
      <c r="D8" t="str">
        <f>Reporting_currency</f>
        <v>CNY</v>
      </c>
      <c r="E8" s="375"/>
      <c r="F8" s="375"/>
      <c r="H8" s="120"/>
    </row>
    <row r="9" spans="2:8">
      <c r="B9" s="205" t="s">
        <v>186</v>
      </c>
      <c r="C9" s="348">
        <f>BS!H42</f>
        <v>158.4</v>
      </c>
      <c r="D9" t="str">
        <f>Reporting_currency</f>
        <v>CNY</v>
      </c>
      <c r="E9" s="375"/>
      <c r="F9" s="375"/>
      <c r="H9" s="120"/>
    </row>
    <row r="10" spans="2:8" ht="13.15">
      <c r="B10" s="149" t="s">
        <v>223</v>
      </c>
      <c r="C10" s="347">
        <f>C6-C7+C8+C9</f>
        <v>89414.03466666273</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11.29990509810842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1.9834236741680042E-2</v>
      </c>
      <c r="H16" s="120"/>
    </row>
    <row r="17" spans="2:17" ht="13.35" customHeight="1">
      <c r="B17" s="118" t="s">
        <v>130</v>
      </c>
      <c r="C17" s="162">
        <f>Scenarios!C64</f>
        <v>20</v>
      </c>
      <c r="H17" s="120"/>
    </row>
    <row r="18" spans="2:17" ht="13.35" customHeight="1">
      <c r="B18" s="153" t="s">
        <v>103</v>
      </c>
      <c r="C18" s="140">
        <f>(F52-C7+C8+C9)*Exchange_Rate/Common_Shares*scaling_factor</f>
        <v>13.043893660857972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7373.7399056769073</v>
      </c>
      <c r="D21" s="138">
        <f>IF($C$17&lt;B21,0,DCF!$C$16)</f>
        <v>1.9834236741680042E-2</v>
      </c>
      <c r="E21" s="124">
        <f t="shared" ref="E21:E50" si="0">IF($C$17&lt;B21,0,1/(1+Equity_Cost)^B21)</f>
        <v>0.93023255813953487</v>
      </c>
      <c r="F21" s="125">
        <f t="shared" ref="F21:F51" si="1">C21*E21</f>
        <v>6859.292935513402</v>
      </c>
      <c r="H21" s="120"/>
    </row>
    <row r="22" spans="2:17">
      <c r="B22" s="122">
        <v>2</v>
      </c>
      <c r="C22" s="123">
        <f t="shared" ref="C22:C50" si="2">IF(ROW()-ROW($C$21)&lt;$C$17, $C$21*(1+D22)^(ROW()-ROW($C$21)), 0)</f>
        <v>7519.9924086376759</v>
      </c>
      <c r="D22" s="138">
        <f>IF($C$17&lt;B22,0,DCF!$C$16)</f>
        <v>1.9834236741680042E-2</v>
      </c>
      <c r="E22" s="124">
        <f t="shared" si="0"/>
        <v>0.86533261222282321</v>
      </c>
      <c r="F22" s="125">
        <f t="shared" si="1"/>
        <v>6507.2946748622398</v>
      </c>
      <c r="H22" s="120"/>
    </row>
    <row r="23" spans="2:17">
      <c r="B23" s="122">
        <v>3</v>
      </c>
      <c r="C23" s="123">
        <f t="shared" si="2"/>
        <v>7669.1457183662314</v>
      </c>
      <c r="D23" s="138">
        <f>IF($C$17&lt;B23,0,DCF!$C$16)</f>
        <v>1.9834236741680042E-2</v>
      </c>
      <c r="E23" s="124">
        <f t="shared" si="0"/>
        <v>0.80496056950960304</v>
      </c>
      <c r="F23" s="125">
        <f t="shared" si="1"/>
        <v>6173.3599051082156</v>
      </c>
      <c r="G23" s="338"/>
      <c r="H23" s="339"/>
      <c r="I23" s="338"/>
      <c r="J23" s="338"/>
      <c r="K23" s="338"/>
      <c r="L23" s="338"/>
      <c r="M23" s="338"/>
      <c r="N23" s="338"/>
      <c r="O23" s="338"/>
      <c r="P23" s="338"/>
      <c r="Q23" s="338"/>
    </row>
    <row r="24" spans="2:17">
      <c r="B24" s="122">
        <v>4</v>
      </c>
      <c r="C24" s="123">
        <f t="shared" si="2"/>
        <v>7821.257370150749</v>
      </c>
      <c r="D24" s="138">
        <f>IF($C$17&lt;B24,0,DCF!$C$16)</f>
        <v>1.9834236741680042E-2</v>
      </c>
      <c r="E24" s="124">
        <f t="shared" si="0"/>
        <v>0.7488005297763749</v>
      </c>
      <c r="F24" s="125">
        <f t="shared" si="1"/>
        <v>5856.5616622862572</v>
      </c>
      <c r="G24" s="338"/>
      <c r="H24" s="339"/>
      <c r="I24" s="338"/>
      <c r="J24" s="338"/>
      <c r="K24" s="338"/>
      <c r="L24" s="338"/>
      <c r="M24" s="338"/>
      <c r="N24" s="338"/>
      <c r="O24" s="338"/>
      <c r="P24" s="338"/>
      <c r="Q24" s="338"/>
    </row>
    <row r="25" spans="2:17">
      <c r="B25" s="122">
        <v>5</v>
      </c>
      <c r="C25" s="123">
        <f t="shared" si="2"/>
        <v>7976.3860404479283</v>
      </c>
      <c r="D25" s="138">
        <f>IF($C$17&lt;B25,0,DCF!$C$16)</f>
        <v>1.9834236741680042E-2</v>
      </c>
      <c r="E25" s="124">
        <f t="shared" si="0"/>
        <v>0.69655863235011617</v>
      </c>
      <c r="F25" s="125">
        <f t="shared" si="1"/>
        <v>5556.0205514309673</v>
      </c>
      <c r="G25" s="338"/>
      <c r="H25" s="339"/>
      <c r="I25" s="338"/>
      <c r="J25" s="338"/>
      <c r="K25" s="338"/>
      <c r="L25" s="338"/>
      <c r="M25" s="338"/>
      <c r="N25" s="338"/>
      <c r="O25" s="338"/>
      <c r="P25" s="338"/>
      <c r="Q25" s="338"/>
    </row>
    <row r="26" spans="2:17">
      <c r="B26" s="122">
        <v>6</v>
      </c>
      <c r="C26" s="123">
        <f t="shared" si="2"/>
        <v>8134.5915695172034</v>
      </c>
      <c r="D26" s="138">
        <f>IF($C$17&lt;B26,0,DCF!$C$16)</f>
        <v>1.9834236741680042E-2</v>
      </c>
      <c r="E26" s="124">
        <f t="shared" si="0"/>
        <v>0.64796151846522443</v>
      </c>
      <c r="F26" s="125">
        <f t="shared" si="1"/>
        <v>5270.9023054787804</v>
      </c>
      <c r="H26" s="120"/>
    </row>
    <row r="27" spans="2:17">
      <c r="B27" s="122">
        <v>7</v>
      </c>
      <c r="C27" s="123">
        <f t="shared" si="2"/>
        <v>8295.9349845038814</v>
      </c>
      <c r="D27" s="138">
        <f>IF($C$17&lt;B27,0,DCF!$C$16)</f>
        <v>1.9834236741680042E-2</v>
      </c>
      <c r="E27" s="124">
        <f t="shared" si="0"/>
        <v>0.60275490089788319</v>
      </c>
      <c r="F27" s="125">
        <f t="shared" si="1"/>
        <v>5000.4154694399194</v>
      </c>
      <c r="H27" s="120"/>
    </row>
    <row r="28" spans="2:17">
      <c r="B28" s="122">
        <v>8</v>
      </c>
      <c r="C28" s="123">
        <f t="shared" si="2"/>
        <v>8460.4785229801164</v>
      </c>
      <c r="D28" s="138">
        <f>IF($C$17&lt;B28,0,DCF!$C$16)</f>
        <v>1.9834236741680042E-2</v>
      </c>
      <c r="E28" s="124">
        <f t="shared" si="0"/>
        <v>0.56070223339337966</v>
      </c>
      <c r="F28" s="125">
        <f t="shared" si="1"/>
        <v>4743.8092034116735</v>
      </c>
      <c r="H28" s="120"/>
    </row>
    <row r="29" spans="2:17">
      <c r="B29" s="122">
        <v>9</v>
      </c>
      <c r="C29" s="123">
        <f t="shared" si="2"/>
        <v>8628.285656952803</v>
      </c>
      <c r="D29" s="138">
        <f>IF($C$17&lt;B29,0,DCF!$C$16)</f>
        <v>1.9834236741680042E-2</v>
      </c>
      <c r="E29" s="124">
        <f t="shared" si="0"/>
        <v>0.52158347292407414</v>
      </c>
      <c r="F29" s="125">
        <f t="shared" si="1"/>
        <v>4500.3711983344192</v>
      </c>
      <c r="H29" s="120"/>
    </row>
    <row r="30" spans="2:17">
      <c r="B30" s="122">
        <v>10</v>
      </c>
      <c r="C30" s="123">
        <f t="shared" si="2"/>
        <v>8799.4211173476469</v>
      </c>
      <c r="D30" s="138">
        <f>IF($C$17&lt;B30,0,DCF!$C$16)</f>
        <v>1.9834236741680042E-2</v>
      </c>
      <c r="E30" s="124">
        <f t="shared" si="0"/>
        <v>0.48519392830146441</v>
      </c>
      <c r="F30" s="125">
        <f t="shared" si="1"/>
        <v>4269.4256987047656</v>
      </c>
      <c r="H30" s="120"/>
    </row>
    <row r="31" spans="2:17">
      <c r="B31" s="122">
        <v>11</v>
      </c>
      <c r="C31" s="123">
        <f t="shared" si="2"/>
        <v>8973.9509189788569</v>
      </c>
      <c r="D31" s="138">
        <f>IF($C$17&lt;B31,0,DCF!$C$16)</f>
        <v>1.9834236741680042E-2</v>
      </c>
      <c r="E31" s="124">
        <f t="shared" si="0"/>
        <v>0.45134318911764126</v>
      </c>
      <c r="F31" s="125">
        <f t="shared" si="1"/>
        <v>4050.3316267571049</v>
      </c>
      <c r="H31" s="120"/>
    </row>
    <row r="32" spans="2:17">
      <c r="B32" s="122">
        <v>12</v>
      </c>
      <c r="C32" s="123">
        <f t="shared" si="2"/>
        <v>9151.9423860140996</v>
      </c>
      <c r="D32" s="138">
        <f>IF($C$17&lt;B32,0,DCF!$C$16)</f>
        <v>1.9834236741680042E-2</v>
      </c>
      <c r="E32" s="124">
        <f t="shared" si="0"/>
        <v>0.41985412941175931</v>
      </c>
      <c r="F32" s="125">
        <f t="shared" si="1"/>
        <v>3842.4808029065289</v>
      </c>
      <c r="H32" s="120"/>
    </row>
    <row r="33" spans="2:17">
      <c r="B33" s="122">
        <v>13</v>
      </c>
      <c r="C33" s="341">
        <f t="shared" si="2"/>
        <v>9333.4641779445192</v>
      </c>
      <c r="D33" s="138">
        <f>IF($C$17&lt;B33,0,DCF!$C$16)</f>
        <v>1.9834236741680042E-2</v>
      </c>
      <c r="E33" s="124">
        <f t="shared" si="0"/>
        <v>0.39056198084814819</v>
      </c>
      <c r="F33" s="125">
        <f t="shared" si="1"/>
        <v>3645.2962575132447</v>
      </c>
      <c r="G33" s="338"/>
      <c r="H33" s="339"/>
      <c r="I33" s="338"/>
      <c r="J33" s="338"/>
      <c r="K33" s="338"/>
      <c r="L33" s="338"/>
      <c r="M33" s="338"/>
      <c r="N33" s="338"/>
      <c r="O33" s="338"/>
      <c r="P33" s="338"/>
      <c r="Q33" s="338"/>
    </row>
    <row r="34" spans="2:17">
      <c r="B34" s="122">
        <v>14</v>
      </c>
      <c r="C34" s="341">
        <f t="shared" si="2"/>
        <v>9518.5863160698609</v>
      </c>
      <c r="D34" s="138">
        <f>IF($C$17&lt;B34,0,DCF!$C$16)</f>
        <v>1.9834236741680042E-2</v>
      </c>
      <c r="E34" s="124">
        <f t="shared" si="0"/>
        <v>0.36331347055641694</v>
      </c>
      <c r="F34" s="125">
        <f t="shared" si="1"/>
        <v>3458.2306292821604</v>
      </c>
      <c r="G34" s="338"/>
      <c r="H34" s="339"/>
      <c r="I34" s="338"/>
      <c r="J34" s="338"/>
      <c r="K34" s="338"/>
      <c r="L34" s="338"/>
      <c r="M34" s="338"/>
      <c r="N34" s="338"/>
      <c r="O34" s="338"/>
      <c r="P34" s="338"/>
      <c r="Q34" s="338"/>
    </row>
    <row r="35" spans="2:17">
      <c r="B35" s="122">
        <v>15</v>
      </c>
      <c r="C35" s="341">
        <f t="shared" si="2"/>
        <v>9707.3802105089053</v>
      </c>
      <c r="D35" s="138">
        <f>IF($C$17&lt;B35,0,DCF!$C$16)</f>
        <v>1.9834236741680042E-2</v>
      </c>
      <c r="E35" s="124">
        <f t="shared" si="0"/>
        <v>0.33796601912224833</v>
      </c>
      <c r="F35" s="125">
        <f t="shared" si="1"/>
        <v>3280.7646458517879</v>
      </c>
      <c r="G35" s="338"/>
      <c r="H35" s="339"/>
      <c r="I35" s="338"/>
      <c r="J35" s="338"/>
      <c r="K35" s="338"/>
      <c r="L35" s="338"/>
      <c r="M35" s="338"/>
      <c r="N35" s="338"/>
      <c r="O35" s="338"/>
      <c r="P35" s="338"/>
      <c r="Q35" s="338"/>
    </row>
    <row r="36" spans="2:17">
      <c r="B36" s="122">
        <v>16</v>
      </c>
      <c r="C36" s="123">
        <f t="shared" si="2"/>
        <v>9899.9186877456395</v>
      </c>
      <c r="D36" s="138">
        <f>IF($C$17&lt;B36,0,DCF!$C$16)</f>
        <v>1.9834236741680042E-2</v>
      </c>
      <c r="E36" s="124">
        <f t="shared" si="0"/>
        <v>0.31438699453232405</v>
      </c>
      <c r="F36" s="125">
        <f t="shared" si="1"/>
        <v>3112.4056823547412</v>
      </c>
      <c r="H36" s="120"/>
    </row>
    <row r="37" spans="2:17">
      <c r="B37" s="122">
        <v>17</v>
      </c>
      <c r="C37" s="123">
        <f t="shared" si="2"/>
        <v>10096.276018721766</v>
      </c>
      <c r="D37" s="138">
        <f>IF($C$17&lt;B37,0,DCF!$C$16)</f>
        <v>1.9834236741680042E-2</v>
      </c>
      <c r="E37" s="124">
        <f t="shared" si="0"/>
        <v>0.29245301816960378</v>
      </c>
      <c r="F37" s="125">
        <f t="shared" si="1"/>
        <v>2952.6863939485715</v>
      </c>
      <c r="H37" s="120"/>
    </row>
    <row r="38" spans="2:17">
      <c r="B38" s="122">
        <v>18</v>
      </c>
      <c r="C38" s="123">
        <f t="shared" si="2"/>
        <v>10296.52794748644</v>
      </c>
      <c r="D38" s="138">
        <f>IF($C$17&lt;B38,0,DCF!$C$16)</f>
        <v>1.9834236741680042E-2</v>
      </c>
      <c r="E38" s="124">
        <f t="shared" si="0"/>
        <v>0.27204931922753844</v>
      </c>
      <c r="F38" s="125">
        <f t="shared" si="1"/>
        <v>2801.1634185210096</v>
      </c>
      <c r="H38" s="120"/>
    </row>
    <row r="39" spans="2:17">
      <c r="B39" s="122">
        <v>19</v>
      </c>
      <c r="C39" s="123">
        <f t="shared" si="2"/>
        <v>10500.75172041421</v>
      </c>
      <c r="D39" s="138">
        <f>IF($C$17&lt;B39,0,DCF!$C$16)</f>
        <v>1.9834236741680042E-2</v>
      </c>
      <c r="E39" s="124">
        <f t="shared" si="0"/>
        <v>0.25306913416515198</v>
      </c>
      <c r="F39" s="125">
        <f t="shared" si="1"/>
        <v>2657.4161459684542</v>
      </c>
      <c r="H39" s="120"/>
    </row>
    <row r="40" spans="2:17">
      <c r="B40" s="122">
        <v>20</v>
      </c>
      <c r="C40" s="123">
        <f t="shared" si="2"/>
        <v>10709.026116002509</v>
      </c>
      <c r="D40" s="138">
        <f>IF($C$17&lt;B40,0,DCF!$C$16)</f>
        <v>1.9834236741680042E-2</v>
      </c>
      <c r="E40" s="124">
        <f t="shared" si="0"/>
        <v>0.23541314806060654</v>
      </c>
      <c r="F40" s="125">
        <f t="shared" si="1"/>
        <v>2521.0455506314011</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98316.532075692099</v>
      </c>
      <c r="D51" s="139">
        <f>Terminal_Growth</f>
        <v>0</v>
      </c>
      <c r="E51" s="124">
        <f>1/(1+Equity_Cost)^C17</f>
        <v>0.23541314806060654</v>
      </c>
      <c r="F51" s="125">
        <f t="shared" si="1"/>
        <v>23145.004322340275</v>
      </c>
      <c r="H51" s="120"/>
    </row>
    <row r="52" spans="1:17">
      <c r="C52" s="114"/>
      <c r="E52" s="127" t="s">
        <v>97</v>
      </c>
      <c r="F52" s="137">
        <f>SUM(F21:F51)</f>
        <v>110204.27908064592</v>
      </c>
      <c r="H52" s="120"/>
    </row>
    <row r="53" spans="1:17">
      <c r="C53" s="114"/>
      <c r="H53" s="120"/>
    </row>
    <row r="54" spans="1:17" ht="13.15">
      <c r="B54" s="119" t="s">
        <v>125</v>
      </c>
      <c r="C54" s="136"/>
      <c r="D54" s="136"/>
      <c r="E54" s="117"/>
      <c r="F54" s="117"/>
      <c r="H54" s="120"/>
    </row>
    <row r="55" spans="1:17" ht="13.15">
      <c r="A55" s="133">
        <f>F52</f>
        <v>110204.27908064592</v>
      </c>
      <c r="B55" s="131">
        <f>C78</f>
        <v>0</v>
      </c>
      <c r="C55" s="131">
        <f>C77</f>
        <v>0.01</v>
      </c>
      <c r="D55" s="131">
        <f>C76</f>
        <v>0.02</v>
      </c>
      <c r="E55" s="131">
        <f>C75</f>
        <v>0.03</v>
      </c>
      <c r="F55" s="131">
        <f>C74</f>
        <v>0.04</v>
      </c>
      <c r="H55" s="120"/>
    </row>
    <row r="56" spans="1:17" ht="13.15">
      <c r="A56" s="143">
        <v>5</v>
      </c>
      <c r="B56" s="123">
        <f t="dataTable" ref="B56:F61" dt2D="1" dtr="1" r1="C16" r2="C17"/>
        <v>96404.42390893698</v>
      </c>
      <c r="C56" s="123">
        <v>97922.048142271145</v>
      </c>
      <c r="D56" s="123">
        <v>99461.45671291578</v>
      </c>
      <c r="E56" s="123">
        <v>101023.12775053777</v>
      </c>
      <c r="F56" s="123">
        <v>102607.54684867477</v>
      </c>
      <c r="H56" s="120"/>
    </row>
    <row r="57" spans="1:17" ht="13.15">
      <c r="A57" s="143">
        <v>10</v>
      </c>
      <c r="B57" s="123">
        <v>96404.423908936995</v>
      </c>
      <c r="C57" s="123">
        <v>99377.118552182757</v>
      </c>
      <c r="D57" s="123">
        <v>102492.89700834473</v>
      </c>
      <c r="E57" s="123">
        <v>105760.14840906096</v>
      </c>
      <c r="F57" s="123">
        <v>109187.72464996192</v>
      </c>
      <c r="H57" s="120"/>
    </row>
    <row r="58" spans="1:17" ht="13.15">
      <c r="A58" s="143">
        <v>15</v>
      </c>
      <c r="B58" s="123">
        <v>96404.423908937009</v>
      </c>
      <c r="C58" s="341">
        <v>101173.60845468809</v>
      </c>
      <c r="D58" s="123">
        <v>106331.05542341602</v>
      </c>
      <c r="E58" s="123">
        <v>111913.76722437982</v>
      </c>
      <c r="F58" s="123">
        <v>117962.2763308929</v>
      </c>
      <c r="G58" s="338"/>
      <c r="H58" s="339"/>
      <c r="I58" s="338"/>
      <c r="J58" s="338"/>
      <c r="K58" s="338"/>
      <c r="L58" s="338"/>
      <c r="M58" s="338"/>
      <c r="N58" s="338"/>
      <c r="O58" s="338"/>
      <c r="P58" s="338"/>
      <c r="Q58" s="338"/>
    </row>
    <row r="59" spans="1:17" ht="13.15">
      <c r="A59" s="144">
        <v>20</v>
      </c>
      <c r="B59" s="123">
        <v>96404.423908937024</v>
      </c>
      <c r="C59" s="341">
        <v>102998.15753689327</v>
      </c>
      <c r="D59" s="123">
        <v>110332.3981889166</v>
      </c>
      <c r="E59" s="123">
        <v>118504.74027001776</v>
      </c>
      <c r="F59" s="123">
        <v>127626.0742059785</v>
      </c>
      <c r="G59" s="338"/>
      <c r="H59" s="339"/>
      <c r="I59" s="338"/>
      <c r="J59" s="338"/>
      <c r="K59" s="338"/>
      <c r="L59" s="338"/>
      <c r="M59" s="338"/>
      <c r="N59" s="338"/>
      <c r="O59" s="338"/>
      <c r="P59" s="338"/>
      <c r="Q59" s="338"/>
    </row>
    <row r="60" spans="1:17" ht="13.15">
      <c r="A60" s="144">
        <v>25</v>
      </c>
      <c r="B60" s="123">
        <v>96404.423908937024</v>
      </c>
      <c r="C60" s="341">
        <v>104688.68861369361</v>
      </c>
      <c r="D60" s="123">
        <v>114140.75299834332</v>
      </c>
      <c r="E60" s="123">
        <v>124956.72290525284</v>
      </c>
      <c r="F60" s="123">
        <v>137367.52718606754</v>
      </c>
      <c r="G60" s="338"/>
      <c r="H60" s="339"/>
      <c r="I60" s="338"/>
      <c r="J60" s="338"/>
      <c r="K60" s="338"/>
      <c r="L60" s="338"/>
      <c r="M60" s="338"/>
      <c r="N60" s="338"/>
      <c r="O60" s="338"/>
      <c r="P60" s="338"/>
      <c r="Q60" s="338"/>
    </row>
    <row r="61" spans="1:17" ht="13.15">
      <c r="A61" s="144">
        <v>30</v>
      </c>
      <c r="B61" s="123">
        <v>96404.423908937024</v>
      </c>
      <c r="C61" s="341">
        <v>106173.44643209476</v>
      </c>
      <c r="D61" s="123">
        <v>117578.84487620974</v>
      </c>
      <c r="E61" s="123">
        <v>130953.6556521829</v>
      </c>
      <c r="F61" s="123">
        <v>146703.94864419254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11.29990509810842</v>
      </c>
      <c r="C65" s="124">
        <f>C12</f>
        <v>11.29990509810842</v>
      </c>
      <c r="D65" s="124">
        <f>C12</f>
        <v>11.29990509810842</v>
      </c>
      <c r="E65" s="141">
        <f>C12</f>
        <v>11.29990509810842</v>
      </c>
      <c r="F65" s="124">
        <f>C12</f>
        <v>11.29990509810842</v>
      </c>
      <c r="H65" s="120"/>
    </row>
    <row r="66" spans="1:8" ht="13.15">
      <c r="A66" s="143">
        <f t="shared" ref="A66:A71" si="3">A56</f>
        <v>5</v>
      </c>
      <c r="B66" s="124">
        <f t="shared" ref="B66:F71" si="4">(B56-$C$7+$C$8+$C$9)/Common_Shares*$C$3*Exchange_Rate</f>
        <v>11.29990509810842</v>
      </c>
      <c r="C66" s="124">
        <f t="shared" si="4"/>
        <v>11.491698364961856</v>
      </c>
      <c r="D66" s="124">
        <f t="shared" si="4"/>
        <v>11.6862446777454</v>
      </c>
      <c r="E66" s="124">
        <f t="shared" si="4"/>
        <v>11.883604461199756</v>
      </c>
      <c r="F66" s="124">
        <f t="shared" si="4"/>
        <v>12.083839083329538</v>
      </c>
      <c r="H66" s="120"/>
    </row>
    <row r="67" spans="1:8" ht="13.15">
      <c r="A67" s="143">
        <f t="shared" si="3"/>
        <v>10</v>
      </c>
      <c r="B67" s="124">
        <f t="shared" si="4"/>
        <v>11.299905098108422</v>
      </c>
      <c r="C67" s="124">
        <f t="shared" si="4"/>
        <v>11.675586247936419</v>
      </c>
      <c r="D67" s="124">
        <f t="shared" si="4"/>
        <v>12.069349945018397</v>
      </c>
      <c r="E67" s="124">
        <f t="shared" si="4"/>
        <v>12.482256385236559</v>
      </c>
      <c r="F67" s="124">
        <f t="shared" si="4"/>
        <v>12.915424247341239</v>
      </c>
      <c r="H67" s="120"/>
    </row>
    <row r="68" spans="1:8" ht="13.15">
      <c r="A68" s="143">
        <f t="shared" si="3"/>
        <v>15</v>
      </c>
      <c r="B68" s="124">
        <f t="shared" si="4"/>
        <v>11.299905098108423</v>
      </c>
      <c r="C68" s="124">
        <f t="shared" si="4"/>
        <v>11.902621807663701</v>
      </c>
      <c r="D68" s="124">
        <f t="shared" si="4"/>
        <v>12.554406077464485</v>
      </c>
      <c r="E68" s="124">
        <f t="shared" si="4"/>
        <v>13.25993417242362</v>
      </c>
      <c r="F68" s="124">
        <f t="shared" si="4"/>
        <v>14.024328477450158</v>
      </c>
      <c r="H68" s="120"/>
    </row>
    <row r="69" spans="1:8" ht="13.15">
      <c r="A69" s="144">
        <f t="shared" si="3"/>
        <v>20</v>
      </c>
      <c r="B69" s="124">
        <f t="shared" si="4"/>
        <v>11.299905098108425</v>
      </c>
      <c r="C69" s="124">
        <f t="shared" si="4"/>
        <v>12.133203411017368</v>
      </c>
      <c r="D69" s="124">
        <f t="shared" si="4"/>
        <v>13.060085009007176</v>
      </c>
      <c r="E69" s="124">
        <f t="shared" si="4"/>
        <v>14.092883610367592</v>
      </c>
      <c r="F69" s="124">
        <f t="shared" si="4"/>
        <v>15.245613248715305</v>
      </c>
      <c r="H69" s="120"/>
    </row>
    <row r="70" spans="1:8" ht="13.15">
      <c r="A70" s="144">
        <f t="shared" si="3"/>
        <v>25</v>
      </c>
      <c r="B70" s="124">
        <f t="shared" si="4"/>
        <v>11.299905098108425</v>
      </c>
      <c r="C70" s="124">
        <f t="shared" si="4"/>
        <v>12.34684817947528</v>
      </c>
      <c r="D70" s="124">
        <f t="shared" si="4"/>
        <v>13.541374641970037</v>
      </c>
      <c r="E70" s="124">
        <f t="shared" si="4"/>
        <v>14.908267814252337</v>
      </c>
      <c r="F70" s="124">
        <f t="shared" si="4"/>
        <v>16.476711863189674</v>
      </c>
    </row>
    <row r="71" spans="1:8" ht="13.15">
      <c r="A71" s="144">
        <f t="shared" si="3"/>
        <v>30</v>
      </c>
      <c r="B71" s="124">
        <f t="shared" si="4"/>
        <v>11.299905098108425</v>
      </c>
      <c r="C71" s="124">
        <f t="shared" si="4"/>
        <v>12.53448787724929</v>
      </c>
      <c r="D71" s="124">
        <f t="shared" si="4"/>
        <v>13.975871441978022</v>
      </c>
      <c r="E71" s="124">
        <f t="shared" si="4"/>
        <v>15.66614403774093</v>
      </c>
      <c r="F71" s="124">
        <f t="shared" si="4"/>
        <v>17.656623683812288</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12.915424247341239</v>
      </c>
      <c r="F74" s="142">
        <f>Scenarios!C58</f>
        <v>0.05</v>
      </c>
    </row>
    <row r="75" spans="1:8">
      <c r="B75" s="127" t="str">
        <f>Scenarios!B36</f>
        <v>Optimistic</v>
      </c>
      <c r="C75" s="142">
        <f>Scenarios!C38</f>
        <v>0.03</v>
      </c>
      <c r="D75" s="145">
        <f>Scenarios!C37</f>
        <v>20</v>
      </c>
      <c r="E75" s="135">
        <f>INDEX(B$65:F$71, MATCH(D75, A$65:A$71, 0), MATCH(C75, B$64:F$64, 0))</f>
        <v>14.092883610367592</v>
      </c>
      <c r="F75" s="142">
        <f>Scenarios!C40*(1-F$74-F$78)</f>
        <v>0.18</v>
      </c>
      <c r="H75" s="120"/>
    </row>
    <row r="76" spans="1:8">
      <c r="B76" s="127" t="str">
        <f>Scenarios!B24</f>
        <v>Base</v>
      </c>
      <c r="C76" s="142">
        <f>Scenarios!C26</f>
        <v>0.02</v>
      </c>
      <c r="D76" s="145">
        <f>Scenarios!C25</f>
        <v>20</v>
      </c>
      <c r="E76" s="135">
        <f>INDEX(B$65:F$71, MATCH(D76, A$65:A$71, 0), MATCH(C76, B$64:F$64, 0))</f>
        <v>13.060085009007176</v>
      </c>
      <c r="F76" s="142">
        <f>Scenarios!C28*(1-F$74-F$78)</f>
        <v>0.53999999999999992</v>
      </c>
      <c r="H76" s="120"/>
    </row>
    <row r="77" spans="1:8">
      <c r="B77" s="127" t="str">
        <f>Scenarios!B30</f>
        <v>Pessimistic</v>
      </c>
      <c r="C77" s="142">
        <f>Scenarios!C32</f>
        <v>0.01</v>
      </c>
      <c r="D77" s="145">
        <f>Scenarios!C31</f>
        <v>20</v>
      </c>
      <c r="E77" s="135">
        <f>INDEX(B$65:F$71, MATCH(D77, A$65:A$71, 0), MATCH(C77, B$64:F$64, 0))</f>
        <v>12.133203411017368</v>
      </c>
      <c r="F77" s="142">
        <f>Scenarios!C34*(1-F$74-F$78)</f>
        <v>0.18</v>
      </c>
      <c r="H77" s="120"/>
    </row>
    <row r="78" spans="1:8">
      <c r="B78" s="127" t="str">
        <f>Scenarios!B48</f>
        <v>Devil's advocate</v>
      </c>
      <c r="C78" s="142">
        <f>Scenarios!C50</f>
        <v>0</v>
      </c>
      <c r="D78" s="145">
        <f>Scenarios!C49</f>
        <v>10</v>
      </c>
      <c r="E78" s="135">
        <f>INDEX(B$65:F$71, MATCH(D78, A$65:A$71, 0), MATCH(C78, B$64:F$64, 0))</f>
        <v>11.299905098108422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421</v>
      </c>
      <c r="C2" s="37"/>
      <c r="D2" s="37"/>
      <c r="E2" s="37"/>
      <c r="F2" s="37"/>
      <c r="H2" s="130" t="s">
        <v>57</v>
      </c>
    </row>
    <row r="3" spans="2:8" ht="13.15">
      <c r="B3" s="109" t="s">
        <v>420</v>
      </c>
      <c r="C3" s="107">
        <f>scaling_factor</f>
        <v>1000000</v>
      </c>
      <c r="E3" s="109" t="s">
        <v>120</v>
      </c>
      <c r="H3" s="120"/>
    </row>
    <row r="4" spans="2:8">
      <c r="B4" s="100" t="s">
        <v>418</v>
      </c>
      <c r="C4" s="114">
        <f>Normalized_FCF!C91*(1-dividend_tax_rate)</f>
        <v>2992.2427119996059</v>
      </c>
      <c r="D4" t="str">
        <f>Market_currency</f>
        <v>HKD</v>
      </c>
      <c r="E4" s="100" t="s">
        <v>246</v>
      </c>
      <c r="F4" s="134">
        <f>Thesis!E22</f>
        <v>0</v>
      </c>
      <c r="H4" s="120"/>
    </row>
    <row r="5" spans="2:8">
      <c r="B5" s="205" t="s">
        <v>119</v>
      </c>
      <c r="C5" s="206">
        <f>Equity_Cost</f>
        <v>7.4999999999999997E-2</v>
      </c>
      <c r="E5" s="148"/>
      <c r="H5" s="120"/>
    </row>
    <row r="6" spans="2:8" ht="13.35" customHeight="1">
      <c r="B6" s="149" t="s">
        <v>419</v>
      </c>
      <c r="C6" s="319">
        <f>(C4*(1+Terminal_Growth))/(Equity_Cost-Terminal_Growth)</f>
        <v>39896.569493328083</v>
      </c>
      <c r="D6" t="str">
        <f>Reporting_currency</f>
        <v>CNY</v>
      </c>
      <c r="E6" s="375"/>
      <c r="F6" s="375"/>
      <c r="H6" s="120"/>
    </row>
    <row r="7" spans="2:8" ht="13.15">
      <c r="B7" s="149" t="s">
        <v>422</v>
      </c>
      <c r="C7" s="111">
        <f>(C6*scaling_factor)/Common_Shares*Exchange_Rate</f>
        <v>5.0420210954062012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1.9834236741680042E-2</v>
      </c>
      <c r="H11" s="120"/>
    </row>
    <row r="12" spans="2:8" ht="13.35" customHeight="1">
      <c r="B12" s="118" t="s">
        <v>130</v>
      </c>
      <c r="C12" s="162">
        <f>Scenarios!C64</f>
        <v>20</v>
      </c>
      <c r="H12" s="120"/>
    </row>
    <row r="13" spans="2:8" ht="13.35" customHeight="1">
      <c r="B13" s="153" t="s">
        <v>103</v>
      </c>
      <c r="C13" s="140">
        <f>F47/Common_Shares*scaling_factor</f>
        <v>5.2671932726911681</v>
      </c>
      <c r="D13" t="str">
        <f>Market_currency</f>
        <v>HKD</v>
      </c>
      <c r="H13" s="120"/>
    </row>
    <row r="14" spans="2:8">
      <c r="H14" s="120"/>
    </row>
    <row r="15" spans="2:8" ht="13.15">
      <c r="B15" s="128" t="s">
        <v>104</v>
      </c>
      <c r="C15" s="128" t="s">
        <v>424</v>
      </c>
      <c r="D15" s="128" t="s">
        <v>114</v>
      </c>
      <c r="E15" s="128" t="s">
        <v>106</v>
      </c>
      <c r="F15" s="129" t="s">
        <v>423</v>
      </c>
      <c r="H15" s="120"/>
    </row>
    <row r="16" spans="2:8">
      <c r="B16" s="122">
        <v>1</v>
      </c>
      <c r="C16" s="123">
        <f>C4*(1+D16)</f>
        <v>3051.5915623379724</v>
      </c>
      <c r="D16" s="138">
        <f>IF($C$12&lt;B16,0,DDM!$C$11)</f>
        <v>1.9834236741680042E-2</v>
      </c>
      <c r="E16" s="124">
        <f t="shared" ref="E16:E45" si="0">IF($C$12&lt;B16,0,1/(1+Equity_Cost)^B16)</f>
        <v>0.93023255813953487</v>
      </c>
      <c r="F16" s="125">
        <f t="shared" ref="F16:F46" si="1">C16*E16</f>
        <v>2838.689825430672</v>
      </c>
      <c r="H16" s="120"/>
    </row>
    <row r="17" spans="2:8">
      <c r="B17" s="122">
        <v>2</v>
      </c>
      <c r="C17" s="123">
        <f t="shared" ref="C17:C45" si="2">IF(ROW()-ROW($C$16)&lt;$C$12, $C$16*(1+D17)^(ROW()-ROW($C$16)), 0)</f>
        <v>3112.1175518242967</v>
      </c>
      <c r="D17" s="138">
        <f>IF($C$12&lt;B17,0,DDM!$C$11)</f>
        <v>1.9834236741680042E-2</v>
      </c>
      <c r="E17" s="124">
        <f t="shared" si="0"/>
        <v>0.86533261222282321</v>
      </c>
      <c r="F17" s="125">
        <f t="shared" si="1"/>
        <v>2693.0168106646161</v>
      </c>
      <c r="H17" s="120"/>
    </row>
    <row r="18" spans="2:8">
      <c r="B18" s="122">
        <v>3</v>
      </c>
      <c r="C18" s="123">
        <f t="shared" si="2"/>
        <v>3173.8440281151175</v>
      </c>
      <c r="D18" s="138">
        <f>IF($C$12&lt;B18,0,DDM!$C$11)</f>
        <v>1.9834236741680042E-2</v>
      </c>
      <c r="E18" s="124">
        <f t="shared" si="0"/>
        <v>0.80496056950960304</v>
      </c>
      <c r="F18" s="125">
        <f t="shared" si="1"/>
        <v>2554.8192964061977</v>
      </c>
      <c r="H18" s="120"/>
    </row>
    <row r="19" spans="2:8">
      <c r="B19" s="122">
        <v>4</v>
      </c>
      <c r="C19" s="123">
        <f t="shared" si="2"/>
        <v>3236.7948019499195</v>
      </c>
      <c r="D19" s="138">
        <f>IF($C$12&lt;B19,0,DDM!$C$11)</f>
        <v>1.9834236741680042E-2</v>
      </c>
      <c r="E19" s="124">
        <f t="shared" si="0"/>
        <v>0.7488005297763749</v>
      </c>
      <c r="F19" s="125">
        <f t="shared" si="1"/>
        <v>2423.7136624775162</v>
      </c>
      <c r="H19" s="120"/>
    </row>
    <row r="20" spans="2:8">
      <c r="B20" s="122">
        <v>5</v>
      </c>
      <c r="C20" s="123">
        <f t="shared" si="2"/>
        <v>3300.9941563360335</v>
      </c>
      <c r="D20" s="138">
        <f>IF($C$12&lt;B20,0,DDM!$C$11)</f>
        <v>1.9834236741680042E-2</v>
      </c>
      <c r="E20" s="124">
        <f t="shared" si="0"/>
        <v>0.69655863235011617</v>
      </c>
      <c r="F20" s="125">
        <f t="shared" si="1"/>
        <v>2299.335974933153</v>
      </c>
      <c r="H20" s="120"/>
    </row>
    <row r="21" spans="2:8">
      <c r="B21" s="122">
        <v>6</v>
      </c>
      <c r="C21" s="123">
        <f t="shared" si="2"/>
        <v>3366.4668559157049</v>
      </c>
      <c r="D21" s="138">
        <f>IF($C$12&lt;B21,0,DDM!$C$11)</f>
        <v>1.9834236741680042E-2</v>
      </c>
      <c r="E21" s="124">
        <f t="shared" si="0"/>
        <v>0.64796151846522443</v>
      </c>
      <c r="F21" s="125">
        <f t="shared" si="1"/>
        <v>2181.34097582199</v>
      </c>
      <c r="H21" s="120"/>
    </row>
    <row r="22" spans="2:8">
      <c r="B22" s="122">
        <v>7</v>
      </c>
      <c r="C22" s="123">
        <f t="shared" si="2"/>
        <v>3433.2381565189557</v>
      </c>
      <c r="D22" s="138">
        <f>IF($C$12&lt;B22,0,DDM!$C$11)</f>
        <v>1.9834236741680042E-2</v>
      </c>
      <c r="E22" s="124">
        <f t="shared" si="0"/>
        <v>0.60275490089788319</v>
      </c>
      <c r="F22" s="125">
        <f t="shared" si="1"/>
        <v>2069.4011247914145</v>
      </c>
      <c r="H22" s="120"/>
    </row>
    <row r="23" spans="2:8">
      <c r="B23" s="122">
        <v>8</v>
      </c>
      <c r="C23" s="123">
        <f t="shared" si="2"/>
        <v>3501.3338149059218</v>
      </c>
      <c r="D23" s="138">
        <f>IF($C$12&lt;B23,0,DDM!$C$11)</f>
        <v>1.9834236741680042E-2</v>
      </c>
      <c r="E23" s="124">
        <f t="shared" si="0"/>
        <v>0.56070223339337966</v>
      </c>
      <c r="F23" s="125">
        <f t="shared" si="1"/>
        <v>1963.2056898735125</v>
      </c>
      <c r="H23" s="120"/>
    </row>
    <row r="24" spans="2:8">
      <c r="B24" s="122">
        <v>9</v>
      </c>
      <c r="C24" s="123">
        <f t="shared" si="2"/>
        <v>3570.7800987024148</v>
      </c>
      <c r="D24" s="138">
        <f>IF($C$12&lt;B24,0,DDM!$C$11)</f>
        <v>1.9834236741680042E-2</v>
      </c>
      <c r="E24" s="124">
        <f t="shared" si="0"/>
        <v>0.52158347292407414</v>
      </c>
      <c r="F24" s="125">
        <f t="shared" si="1"/>
        <v>1862.4598849293739</v>
      </c>
      <c r="H24" s="120"/>
    </row>
    <row r="25" spans="2:8">
      <c r="B25" s="122">
        <v>10</v>
      </c>
      <c r="C25" s="123">
        <f t="shared" si="2"/>
        <v>3641.6037965325581</v>
      </c>
      <c r="D25" s="138">
        <f>IF($C$12&lt;B25,0,DDM!$C$11)</f>
        <v>1.9834236741680042E-2</v>
      </c>
      <c r="E25" s="124">
        <f t="shared" si="0"/>
        <v>0.48519392830146441</v>
      </c>
      <c r="F25" s="125">
        <f t="shared" si="1"/>
        <v>1766.8840513571586</v>
      </c>
      <c r="H25" s="120"/>
    </row>
    <row r="26" spans="2:8">
      <c r="B26" s="122">
        <v>11</v>
      </c>
      <c r="C26" s="123">
        <f t="shared" si="2"/>
        <v>3713.8322283523848</v>
      </c>
      <c r="D26" s="138">
        <f>IF($C$12&lt;B26,0,DDM!$C$11)</f>
        <v>1.9834236741680042E-2</v>
      </c>
      <c r="E26" s="124">
        <f t="shared" si="0"/>
        <v>0.45134318911764126</v>
      </c>
      <c r="F26" s="125">
        <f t="shared" si="1"/>
        <v>1676.2128817924415</v>
      </c>
      <c r="H26" s="120"/>
    </row>
    <row r="27" spans="2:8">
      <c r="B27" s="122">
        <v>12</v>
      </c>
      <c r="C27" s="123">
        <f t="shared" si="2"/>
        <v>3787.4932559884073</v>
      </c>
      <c r="D27" s="138">
        <f>IF($C$12&lt;B27,0,DDM!$C$11)</f>
        <v>1.9834236741680042E-2</v>
      </c>
      <c r="E27" s="124">
        <f t="shared" si="0"/>
        <v>0.41985412941175931</v>
      </c>
      <c r="F27" s="125">
        <f t="shared" si="1"/>
        <v>1590.1946836459224</v>
      </c>
      <c r="H27" s="120"/>
    </row>
    <row r="28" spans="2:8">
      <c r="B28" s="122">
        <v>13</v>
      </c>
      <c r="C28" s="123">
        <f t="shared" si="2"/>
        <v>3862.6152938851974</v>
      </c>
      <c r="D28" s="138">
        <f>IF($C$12&lt;B28,0,DDM!$C$11)</f>
        <v>1.9834236741680042E-2</v>
      </c>
      <c r="E28" s="124">
        <f t="shared" si="0"/>
        <v>0.39056198084814819</v>
      </c>
      <c r="F28" s="125">
        <f t="shared" si="1"/>
        <v>1508.5906804341548</v>
      </c>
      <c r="H28" s="120"/>
    </row>
    <row r="29" spans="2:8">
      <c r="B29" s="122">
        <v>14</v>
      </c>
      <c r="C29" s="123">
        <f t="shared" si="2"/>
        <v>3939.2273200661507</v>
      </c>
      <c r="D29" s="138">
        <f>IF($C$12&lt;B29,0,DDM!$C$11)</f>
        <v>1.9834236741680042E-2</v>
      </c>
      <c r="E29" s="124">
        <f t="shared" si="0"/>
        <v>0.36331347055641694</v>
      </c>
      <c r="F29" s="125">
        <f t="shared" si="1"/>
        <v>1431.1743489638866</v>
      </c>
      <c r="H29" s="120"/>
    </row>
    <row r="30" spans="2:8">
      <c r="B30" s="122">
        <v>15</v>
      </c>
      <c r="C30" s="123">
        <f t="shared" si="2"/>
        <v>4017.358887311636</v>
      </c>
      <c r="D30" s="138">
        <f>IF($C$12&lt;B30,0,DDM!$C$11)</f>
        <v>1.9834236741680042E-2</v>
      </c>
      <c r="E30" s="124">
        <f t="shared" si="0"/>
        <v>0.33796601912224833</v>
      </c>
      <c r="F30" s="125">
        <f t="shared" si="1"/>
        <v>1357.7307905300986</v>
      </c>
      <c r="H30" s="120"/>
    </row>
    <row r="31" spans="2:8">
      <c r="B31" s="122">
        <v>16</v>
      </c>
      <c r="C31" s="123">
        <f t="shared" si="2"/>
        <v>4097.0401345588671</v>
      </c>
      <c r="D31" s="138">
        <f>IF($C$12&lt;B31,0,DDM!$C$11)</f>
        <v>1.9834236741680042E-2</v>
      </c>
      <c r="E31" s="124">
        <f t="shared" si="0"/>
        <v>0.31438699453232405</v>
      </c>
      <c r="F31" s="125">
        <f t="shared" si="1"/>
        <v>1288.0561343822708</v>
      </c>
      <c r="H31" s="120"/>
    </row>
    <row r="32" spans="2:8">
      <c r="B32" s="122">
        <v>17</v>
      </c>
      <c r="C32" s="123">
        <f t="shared" si="2"/>
        <v>4178.3017985278711</v>
      </c>
      <c r="D32" s="138">
        <f>IF($C$12&lt;B32,0,DDM!$C$11)</f>
        <v>1.9834236741680042E-2</v>
      </c>
      <c r="E32" s="124">
        <f t="shared" si="0"/>
        <v>0.29245301816960378</v>
      </c>
      <c r="F32" s="125">
        <f t="shared" si="1"/>
        <v>1221.9569718029597</v>
      </c>
      <c r="H32" s="120"/>
    </row>
    <row r="33" spans="2:8">
      <c r="B33" s="122">
        <v>18</v>
      </c>
      <c r="C33" s="123">
        <f t="shared" si="2"/>
        <v>4261.1752255780602</v>
      </c>
      <c r="D33" s="138">
        <f>IF($C$12&lt;B33,0,DDM!$C$11)</f>
        <v>1.9834236741680042E-2</v>
      </c>
      <c r="E33" s="124">
        <f t="shared" si="0"/>
        <v>0.27204931922753844</v>
      </c>
      <c r="F33" s="125">
        <f t="shared" si="1"/>
        <v>1159.2498192277637</v>
      </c>
      <c r="H33" s="120"/>
    </row>
    <row r="34" spans="2:8">
      <c r="B34" s="122">
        <v>19</v>
      </c>
      <c r="C34" s="123">
        <f t="shared" si="2"/>
        <v>4345.6923837999566</v>
      </c>
      <c r="D34" s="138">
        <f>IF($C$12&lt;B34,0,DDM!$C$11)</f>
        <v>1.9834236741680042E-2</v>
      </c>
      <c r="E34" s="124">
        <f t="shared" si="0"/>
        <v>0.25306913416515198</v>
      </c>
      <c r="F34" s="125">
        <f t="shared" si="1"/>
        <v>1099.7606089163503</v>
      </c>
      <c r="H34" s="120"/>
    </row>
    <row r="35" spans="2:8">
      <c r="B35" s="122">
        <v>20</v>
      </c>
      <c r="C35" s="123">
        <f t="shared" si="2"/>
        <v>4431.8858753467612</v>
      </c>
      <c r="D35" s="138">
        <f>IF($C$12&lt;B35,0,DDM!$C$11)</f>
        <v>1.9834236741680042E-2</v>
      </c>
      <c r="E35" s="124">
        <f t="shared" si="0"/>
        <v>0.23541314806060654</v>
      </c>
      <c r="F35" s="125">
        <f t="shared" si="1"/>
        <v>1043.3242057607179</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40687.887497839634</v>
      </c>
      <c r="D46" s="139">
        <f>Terminal_Growth</f>
        <v>0</v>
      </c>
      <c r="E46" s="124">
        <f>1/(1+Equity_Cost)^C12</f>
        <v>0.23541314806060654</v>
      </c>
      <c r="F46" s="125">
        <f t="shared" si="1"/>
        <v>9578.4636838022234</v>
      </c>
      <c r="H46" s="120"/>
    </row>
    <row r="47" spans="2:8">
      <c r="C47" s="114"/>
      <c r="E47" s="127" t="s">
        <v>97</v>
      </c>
      <c r="F47" s="137">
        <f>SUM(F16:F46)</f>
        <v>45607.582105944399</v>
      </c>
      <c r="H47" s="120"/>
    </row>
    <row r="48" spans="2:8">
      <c r="C48" s="114"/>
      <c r="H48" s="120"/>
    </row>
    <row r="49" spans="1:8" ht="13.15">
      <c r="B49" s="119" t="s">
        <v>125</v>
      </c>
      <c r="C49" s="136"/>
      <c r="D49" s="136"/>
      <c r="E49" s="117"/>
      <c r="F49" s="117"/>
      <c r="H49" s="120"/>
    </row>
    <row r="50" spans="1:8" ht="13.15">
      <c r="A50" s="133">
        <f>F47</f>
        <v>45607.582105944399</v>
      </c>
      <c r="B50" s="131">
        <f>C73</f>
        <v>0</v>
      </c>
      <c r="C50" s="131">
        <f>C72</f>
        <v>0.01</v>
      </c>
      <c r="D50" s="131">
        <f>C71</f>
        <v>0.02</v>
      </c>
      <c r="E50" s="131">
        <f>C70</f>
        <v>0.03</v>
      </c>
      <c r="F50" s="131">
        <f>C69</f>
        <v>0.04</v>
      </c>
      <c r="H50" s="120"/>
    </row>
    <row r="51" spans="1:8" ht="13.15">
      <c r="A51" s="143">
        <v>5</v>
      </c>
      <c r="B51" s="123">
        <f t="dataTable" ref="B51:F56" dt2D="1" dtr="1" r1="C11" r2="C12"/>
        <v>39896.569493328083</v>
      </c>
      <c r="C51" s="123">
        <v>40524.631964269967</v>
      </c>
      <c r="D51" s="123">
        <v>41161.709792517373</v>
      </c>
      <c r="E51" s="123">
        <v>41808.000850042459</v>
      </c>
      <c r="F51" s="123">
        <v>42463.706097709197</v>
      </c>
      <c r="H51" s="120"/>
    </row>
    <row r="52" spans="1:8" ht="13.15">
      <c r="A52" s="143">
        <v>10</v>
      </c>
      <c r="B52" s="123">
        <v>39896.56949332809</v>
      </c>
      <c r="C52" s="123">
        <v>41126.806795806318</v>
      </c>
      <c r="D52" s="123">
        <v>42416.258738587509</v>
      </c>
      <c r="E52" s="123">
        <v>43768.397128875265</v>
      </c>
      <c r="F52" s="123">
        <v>45186.885286824923</v>
      </c>
      <c r="H52" s="120"/>
    </row>
    <row r="53" spans="1:8" ht="13.15">
      <c r="A53" s="143">
        <v>15</v>
      </c>
      <c r="B53" s="123">
        <v>39896.56949332809</v>
      </c>
      <c r="C53" s="123">
        <v>41870.276662988646</v>
      </c>
      <c r="D53" s="123">
        <v>44004.664620022348</v>
      </c>
      <c r="E53" s="123">
        <v>46315.046657456289</v>
      </c>
      <c r="F53" s="123">
        <v>48818.196970630423</v>
      </c>
      <c r="H53" s="120"/>
    </row>
    <row r="54" spans="1:8" ht="13.15">
      <c r="A54" s="144">
        <v>20</v>
      </c>
      <c r="B54" s="123">
        <v>39896.56949332809</v>
      </c>
      <c r="C54" s="123">
        <v>42625.35870487654</v>
      </c>
      <c r="D54" s="123">
        <v>45660.603665529372</v>
      </c>
      <c r="E54" s="123">
        <v>49042.693413504894</v>
      </c>
      <c r="F54" s="123">
        <v>52817.519489864797</v>
      </c>
      <c r="H54" s="120"/>
    </row>
    <row r="55" spans="1:8" ht="13.15">
      <c r="A55" s="144">
        <v>25</v>
      </c>
      <c r="B55" s="123">
        <v>39896.56949332809</v>
      </c>
      <c r="C55" s="123">
        <v>43324.977953158173</v>
      </c>
      <c r="D55" s="123">
        <v>47236.675448843649</v>
      </c>
      <c r="E55" s="123">
        <v>51712.819566839426</v>
      </c>
      <c r="F55" s="123">
        <v>56848.979251018784</v>
      </c>
      <c r="H55" s="120"/>
    </row>
    <row r="56" spans="1:8" ht="13.15">
      <c r="A56" s="144">
        <v>30</v>
      </c>
      <c r="B56" s="123">
        <v>39896.569493328097</v>
      </c>
      <c r="C56" s="123">
        <v>43939.438795106253</v>
      </c>
      <c r="D56" s="123">
        <v>48659.51545937379</v>
      </c>
      <c r="E56" s="123">
        <v>54194.625218317735</v>
      </c>
      <c r="F56" s="123">
        <v>60712.818402995217</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5.0420210954062012</v>
      </c>
      <c r="C60" s="124">
        <f>C7</f>
        <v>5.0420210954062012</v>
      </c>
      <c r="D60" s="124">
        <f>C7</f>
        <v>5.0420210954062012</v>
      </c>
      <c r="E60" s="141">
        <f>C7</f>
        <v>5.0420210954062012</v>
      </c>
      <c r="F60" s="124">
        <f>C7</f>
        <v>5.0420210954062012</v>
      </c>
      <c r="H60" s="120"/>
    </row>
    <row r="61" spans="1:8" ht="13.15">
      <c r="A61" s="143">
        <f t="shared" ref="A61:A66" si="3">A51</f>
        <v>5</v>
      </c>
      <c r="B61" s="124">
        <f t="shared" ref="B61:F66" si="4">B51/Common_Shares*$C$3*Exchange_Rate</f>
        <v>5.0420210954062012</v>
      </c>
      <c r="C61" s="124">
        <f t="shared" si="4"/>
        <v>5.1213939404386917</v>
      </c>
      <c r="D61" s="124">
        <f t="shared" si="4"/>
        <v>5.2019061220681468</v>
      </c>
      <c r="E61" s="124">
        <f t="shared" si="4"/>
        <v>5.2835826468219551</v>
      </c>
      <c r="F61" s="124">
        <f t="shared" si="4"/>
        <v>5.366448911593344</v>
      </c>
      <c r="H61" s="120"/>
    </row>
    <row r="62" spans="1:8" ht="13.15">
      <c r="A62" s="143">
        <f t="shared" si="3"/>
        <v>10</v>
      </c>
      <c r="B62" s="124">
        <f t="shared" si="4"/>
        <v>5.0420210954062021</v>
      </c>
      <c r="C62" s="124">
        <f t="shared" si="4"/>
        <v>5.1974951752638239</v>
      </c>
      <c r="D62" s="124">
        <f t="shared" si="4"/>
        <v>5.3604526420230272</v>
      </c>
      <c r="E62" s="124">
        <f t="shared" si="4"/>
        <v>5.5313322533359637</v>
      </c>
      <c r="F62" s="124">
        <f t="shared" si="4"/>
        <v>5.7105969697462831</v>
      </c>
      <c r="H62" s="120"/>
    </row>
    <row r="63" spans="1:8" ht="13.15">
      <c r="A63" s="143">
        <f t="shared" si="3"/>
        <v>15</v>
      </c>
      <c r="B63" s="124">
        <f t="shared" si="4"/>
        <v>5.0420210954062021</v>
      </c>
      <c r="C63" s="124">
        <f t="shared" si="4"/>
        <v>5.2914528964849188</v>
      </c>
      <c r="D63" s="124">
        <f t="shared" si="4"/>
        <v>5.5611911030980092</v>
      </c>
      <c r="E63" s="124">
        <f t="shared" si="4"/>
        <v>5.8531709680118977</v>
      </c>
      <c r="F63" s="124">
        <f t="shared" si="4"/>
        <v>6.1695123688961822</v>
      </c>
      <c r="H63" s="120"/>
    </row>
    <row r="64" spans="1:8" ht="13.15">
      <c r="A64" s="144">
        <f t="shared" si="3"/>
        <v>20</v>
      </c>
      <c r="B64" s="124">
        <f t="shared" si="4"/>
        <v>5.0420210954062021</v>
      </c>
      <c r="C64" s="124">
        <f t="shared" si="4"/>
        <v>5.3868781330982518</v>
      </c>
      <c r="D64" s="124">
        <f t="shared" si="4"/>
        <v>5.7704642237243196</v>
      </c>
      <c r="E64" s="124">
        <f t="shared" si="4"/>
        <v>6.1978836252520964</v>
      </c>
      <c r="F64" s="124">
        <f t="shared" si="4"/>
        <v>6.674935987152006</v>
      </c>
      <c r="H64" s="120"/>
    </row>
    <row r="65" spans="1:8" ht="13.15">
      <c r="A65" s="144">
        <f t="shared" si="3"/>
        <v>25</v>
      </c>
      <c r="B65" s="124">
        <f t="shared" si="4"/>
        <v>5.0420210954062021</v>
      </c>
      <c r="C65" s="124">
        <f t="shared" si="4"/>
        <v>5.4752941310997381</v>
      </c>
      <c r="D65" s="124">
        <f t="shared" si="4"/>
        <v>5.9696439346684889</v>
      </c>
      <c r="E65" s="124">
        <f t="shared" si="4"/>
        <v>6.5353269835027321</v>
      </c>
      <c r="F65" s="124">
        <f t="shared" si="4"/>
        <v>7.1844210235639432</v>
      </c>
    </row>
    <row r="66" spans="1:8" ht="13.15">
      <c r="A66" s="144">
        <f t="shared" si="3"/>
        <v>30</v>
      </c>
      <c r="B66" s="124">
        <f t="shared" si="4"/>
        <v>5.042021095406203</v>
      </c>
      <c r="C66" s="124">
        <f t="shared" si="4"/>
        <v>5.5529480388604391</v>
      </c>
      <c r="D66" s="124">
        <f t="shared" si="4"/>
        <v>6.1494586264975863</v>
      </c>
      <c r="E66" s="124">
        <f t="shared" si="4"/>
        <v>6.848970903477972</v>
      </c>
      <c r="F66" s="124">
        <f t="shared" si="4"/>
        <v>7.6727226184361417</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5.7105969697462831</v>
      </c>
      <c r="F69" s="142">
        <f>Scenarios!C58</f>
        <v>0.05</v>
      </c>
    </row>
    <row r="70" spans="1:8">
      <c r="B70" s="127" t="str">
        <f>Scenarios!B36</f>
        <v>Optimistic</v>
      </c>
      <c r="C70" s="142">
        <f>Scenarios!C38</f>
        <v>0.03</v>
      </c>
      <c r="D70" s="145">
        <f>Scenarios!C37</f>
        <v>20</v>
      </c>
      <c r="E70" s="135">
        <f>INDEX(B$60:F$66, MATCH(D70, A$60:A$66, 0), MATCH(C70, B$59:F$59, 0))</f>
        <v>6.1978836252520964</v>
      </c>
      <c r="F70" s="142">
        <f>Scenarios!C40*(1-F$69-F$73)</f>
        <v>0.18</v>
      </c>
      <c r="H70" s="120"/>
    </row>
    <row r="71" spans="1:8">
      <c r="B71" s="127" t="str">
        <f>Scenarios!B24</f>
        <v>Base</v>
      </c>
      <c r="C71" s="142">
        <f>Scenarios!C26</f>
        <v>0.02</v>
      </c>
      <c r="D71" s="145">
        <f>Scenarios!C25</f>
        <v>20</v>
      </c>
      <c r="E71" s="135">
        <f>INDEX(B$60:F$66, MATCH(D71, A$60:A$66, 0), MATCH(C71, B$59:F$59, 0))</f>
        <v>5.7704642237243196</v>
      </c>
      <c r="F71" s="142">
        <f>Scenarios!C28*(1-F$69-F$73)</f>
        <v>0.53999999999999992</v>
      </c>
      <c r="H71" s="120"/>
    </row>
    <row r="72" spans="1:8">
      <c r="B72" s="127" t="str">
        <f>Scenarios!B30</f>
        <v>Pessimistic</v>
      </c>
      <c r="C72" s="142">
        <f>Scenarios!C32</f>
        <v>0.01</v>
      </c>
      <c r="D72" s="145">
        <f>Scenarios!C31</f>
        <v>20</v>
      </c>
      <c r="E72" s="135">
        <f>INDEX(B$60:F$66, MATCH(D72, A$60:A$66, 0), MATCH(C72, B$59:F$59, 0))</f>
        <v>5.3868781330982518</v>
      </c>
      <c r="F72" s="142">
        <f>Scenarios!C34*(1-F$69-F$73)</f>
        <v>0.18</v>
      </c>
      <c r="H72" s="120"/>
    </row>
    <row r="73" spans="1:8">
      <c r="B73" s="127" t="str">
        <f>Scenarios!B48</f>
        <v>Devil's advocate</v>
      </c>
      <c r="C73" s="142">
        <f>Scenarios!C50</f>
        <v>0</v>
      </c>
      <c r="D73" s="145">
        <f>Scenarios!C49</f>
        <v>10</v>
      </c>
      <c r="E73" s="135">
        <f>INDEX(B$60:F$66, MATCH(D73, A$60:A$66, 0), MATCH(C73, B$59:F$59, 0))</f>
        <v>5.0420210954062021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E7" sqref="E7:F1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-7.59</v>
      </c>
    </row>
    <row r="4" spans="2:9">
      <c r="B4" s="152" t="s">
        <v>142</v>
      </c>
      <c r="C4" s="120">
        <v>3</v>
      </c>
      <c r="D4" s="120"/>
      <c r="E4" s="155" t="s">
        <v>146</v>
      </c>
      <c r="F4" s="155"/>
      <c r="H4" s="247">
        <v>1</v>
      </c>
      <c r="I4" s="124">
        <f t="shared" ref="I4:I13" si="0">IF(ROW()-3 &lt; $C$76, $C$77, IF(ROW()-3 = $C$76, $C$77 + $C$60, ""))</f>
        <v>0.34557237974799992</v>
      </c>
    </row>
    <row r="5" spans="2:9">
      <c r="H5" s="247">
        <v>2</v>
      </c>
      <c r="I5" s="124">
        <f t="shared" si="0"/>
        <v>0.34557237974799992</v>
      </c>
    </row>
    <row r="6" spans="2:9" ht="13.15">
      <c r="B6" s="159" t="s">
        <v>92</v>
      </c>
      <c r="C6" s="107">
        <f>DCF!C3</f>
        <v>1000000</v>
      </c>
      <c r="E6" s="100" t="s">
        <v>274</v>
      </c>
      <c r="F6" s="100"/>
      <c r="H6" s="247">
        <v>3</v>
      </c>
      <c r="I6" s="124">
        <f t="shared" si="0"/>
        <v>13.329480415733649</v>
      </c>
    </row>
    <row r="7" spans="2:9" ht="12.75" customHeight="1">
      <c r="B7" s="100" t="s">
        <v>270</v>
      </c>
      <c r="C7" s="338">
        <f>Normalized_FCF!G8</f>
        <v>16063</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77"/>
      <c r="H7" s="247">
        <v>4</v>
      </c>
      <c r="I7" s="124" t="str">
        <f t="shared" si="0"/>
        <v/>
      </c>
    </row>
    <row r="8" spans="2:9">
      <c r="B8" s="100" t="s">
        <v>64</v>
      </c>
      <c r="C8" s="338">
        <f>Normalized_FCF!G19</f>
        <v>10305.060899807031</v>
      </c>
      <c r="D8" t="str">
        <f>Reporting_currency</f>
        <v>CNY</v>
      </c>
      <c r="E8" s="377"/>
      <c r="F8" s="377"/>
      <c r="H8" s="247">
        <v>5</v>
      </c>
      <c r="I8" s="124" t="str">
        <f t="shared" si="0"/>
        <v/>
      </c>
    </row>
    <row r="9" spans="2:9">
      <c r="B9" s="100" t="s">
        <v>55</v>
      </c>
      <c r="C9" s="338">
        <f>Normalized_FCF!C19</f>
        <v>7230.3317931702732</v>
      </c>
      <c r="D9" t="str">
        <f>Reporting_currency</f>
        <v>CNY</v>
      </c>
      <c r="E9" s="377"/>
      <c r="F9" s="377"/>
      <c r="H9" s="247">
        <v>6</v>
      </c>
      <c r="I9" s="124" t="str">
        <f t="shared" si="0"/>
        <v/>
      </c>
    </row>
    <row r="10" spans="2:9">
      <c r="E10" s="377"/>
      <c r="F10" s="377"/>
      <c r="H10" s="247">
        <v>7</v>
      </c>
      <c r="I10" s="124" t="str">
        <f t="shared" si="0"/>
        <v/>
      </c>
    </row>
    <row r="11" spans="2:9" ht="13.15">
      <c r="B11" s="159" t="s">
        <v>425</v>
      </c>
      <c r="E11" s="377"/>
      <c r="F11" s="377"/>
      <c r="H11" s="247">
        <v>8</v>
      </c>
      <c r="I11" s="124" t="str">
        <f t="shared" si="0"/>
        <v/>
      </c>
    </row>
    <row r="12" spans="2:9">
      <c r="B12" s="118" t="s">
        <v>140</v>
      </c>
      <c r="C12" s="158">
        <f ca="1">(Normalized_FCF!G4/OFFSET(Normalized_FCF!G4, 0, $C$4))^(1/$C$4) - 1</f>
        <v>0.10522432036524854</v>
      </c>
      <c r="D12" s="158"/>
      <c r="E12" s="377"/>
      <c r="F12" s="377"/>
      <c r="H12" s="247">
        <v>9</v>
      </c>
      <c r="I12" s="124" t="str">
        <f t="shared" si="0"/>
        <v/>
      </c>
    </row>
    <row r="13" spans="2:9">
      <c r="B13" s="148" t="s">
        <v>148</v>
      </c>
      <c r="C13" s="158">
        <f ca="1">(Normalized_FCF!G8/OFFSET(Normalized_FCF!G8, 0, $C$4))^(1/$C$4) - 1</f>
        <v>5.2708395417024878E-2</v>
      </c>
      <c r="E13" s="377"/>
      <c r="F13" s="377"/>
      <c r="H13" s="247">
        <v>10</v>
      </c>
      <c r="I13" s="124" t="str">
        <f t="shared" si="0"/>
        <v/>
      </c>
    </row>
    <row r="14" spans="2:9">
      <c r="B14" s="100" t="s">
        <v>64</v>
      </c>
      <c r="C14" s="158">
        <f ca="1">(Normalized_FCF!G19/OFFSET(Normalized_FCF!G19, 0, $C$4))^(1/$C$4) - 1</f>
        <v>6.0052771628752E-2</v>
      </c>
      <c r="E14" s="377"/>
      <c r="F14" s="377"/>
    </row>
    <row r="16" spans="2:9" ht="13.9">
      <c r="B16" s="36" t="s">
        <v>158</v>
      </c>
      <c r="C16" s="37"/>
      <c r="D16" s="37"/>
      <c r="E16" s="37"/>
      <c r="F16" s="37"/>
    </row>
    <row r="17" spans="2:6" ht="13.15">
      <c r="B17" s="109" t="s">
        <v>147</v>
      </c>
      <c r="E17" s="159" t="s">
        <v>321</v>
      </c>
    </row>
    <row r="18" spans="2:6">
      <c r="B18" s="152" t="s">
        <v>129</v>
      </c>
      <c r="C18" s="150">
        <v>20</v>
      </c>
      <c r="E18" s="377" t="s">
        <v>322</v>
      </c>
      <c r="F18" s="378"/>
    </row>
    <row r="19" spans="2:6">
      <c r="E19" s="378"/>
      <c r="F19" s="378"/>
    </row>
    <row r="20" spans="2:6" ht="13.15">
      <c r="B20" s="159" t="s">
        <v>298</v>
      </c>
      <c r="E20" s="378"/>
      <c r="F20" s="378"/>
    </row>
    <row r="21" spans="2:6">
      <c r="B21" s="100" t="s">
        <v>272</v>
      </c>
      <c r="C21" s="160">
        <f>Market_Price</f>
        <v>7.59</v>
      </c>
      <c r="D21" t="str">
        <f>Market_currency</f>
        <v>HKD</v>
      </c>
      <c r="E21" s="378"/>
      <c r="F21" s="378"/>
    </row>
    <row r="22" spans="2:6">
      <c r="B22" s="100" t="s">
        <v>273</v>
      </c>
      <c r="C22" s="160">
        <f>IF(valuation_method="DCF",DCF!C12,DDM!C7)</f>
        <v>11.29990509810842</v>
      </c>
      <c r="D22" t="str">
        <f>Market_currency</f>
        <v>HKD</v>
      </c>
      <c r="E22" s="378"/>
      <c r="F22" s="378"/>
    </row>
    <row r="24" spans="2:6" ht="13.15">
      <c r="B24" s="159" t="s">
        <v>111</v>
      </c>
      <c r="E24" s="159" t="s">
        <v>145</v>
      </c>
      <c r="F24" s="159"/>
    </row>
    <row r="25" spans="2:6">
      <c r="B25" s="152" t="s">
        <v>129</v>
      </c>
      <c r="C25" s="166">
        <f>C18</f>
        <v>20</v>
      </c>
      <c r="D25" s="163"/>
      <c r="E25" s="376"/>
      <c r="F25" s="376"/>
    </row>
    <row r="26" spans="2:6">
      <c r="B26" s="118" t="s">
        <v>130</v>
      </c>
      <c r="C26" s="164">
        <v>0.02</v>
      </c>
      <c r="D26" s="164"/>
      <c r="E26" s="376"/>
      <c r="F26" s="376"/>
    </row>
    <row r="27" spans="2:6">
      <c r="B27" s="100" t="s">
        <v>109</v>
      </c>
      <c r="C27" s="160">
        <f>IF(valuation_method="DCF",DCF!E76,DDM!E71)</f>
        <v>13.060085009007176</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20</v>
      </c>
      <c r="D31" s="163"/>
      <c r="E31" s="376"/>
      <c r="F31" s="376"/>
    </row>
    <row r="32" spans="2:6">
      <c r="B32" s="118" t="s">
        <v>130</v>
      </c>
      <c r="C32" s="164">
        <v>0.01</v>
      </c>
      <c r="D32" s="164"/>
      <c r="E32" s="376"/>
      <c r="F32" s="376"/>
    </row>
    <row r="33" spans="2:6">
      <c r="B33" s="100" t="s">
        <v>109</v>
      </c>
      <c r="C33" s="160">
        <f>IF(valuation_method="DCF",DCF!E77,DDM!E72)</f>
        <v>12.133203411017368</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20</v>
      </c>
      <c r="D37" s="163"/>
      <c r="E37" s="376"/>
      <c r="F37" s="376"/>
    </row>
    <row r="38" spans="2:6">
      <c r="B38" s="118" t="s">
        <v>130</v>
      </c>
      <c r="C38" s="164">
        <v>0.03</v>
      </c>
      <c r="D38" s="164"/>
      <c r="E38" s="376"/>
      <c r="F38" s="376"/>
    </row>
    <row r="39" spans="2:6">
      <c r="B39" s="100" t="s">
        <v>109</v>
      </c>
      <c r="C39" s="160">
        <f>IF(valuation_method="DCF",DCF!E75,DDM!E70)</f>
        <v>14.092883610367592</v>
      </c>
      <c r="D39" t="str">
        <f>Market_currency</f>
        <v>HKD</v>
      </c>
      <c r="E39" s="376"/>
      <c r="F39" s="376"/>
    </row>
    <row r="40" spans="2:6">
      <c r="B40" s="100" t="s">
        <v>143</v>
      </c>
      <c r="C40" s="167">
        <f>1-C28-C34</f>
        <v>0.2</v>
      </c>
      <c r="D40" s="165"/>
      <c r="E40" s="376"/>
      <c r="F40" s="376"/>
    </row>
    <row r="42" spans="2:6" ht="13.15">
      <c r="B42" s="100" t="s">
        <v>116</v>
      </c>
      <c r="C42" s="154">
        <f>C27*C28+C33*C34+C39*C40</f>
        <v>13.081268409681297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11.299905098108422</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0.04</v>
      </c>
      <c r="D56" s="164"/>
      <c r="E56" s="376"/>
      <c r="F56" s="376"/>
    </row>
    <row r="57" spans="2:6">
      <c r="B57" s="100" t="s">
        <v>109</v>
      </c>
      <c r="C57" s="160">
        <f>IF(valuation_method="DCF",DCF!E74,DDM!E69)</f>
        <v>12.915424247341239</v>
      </c>
      <c r="D57" t="str">
        <f>Market_currency</f>
        <v>HKD</v>
      </c>
      <c r="E57" s="376"/>
      <c r="F57" s="376"/>
    </row>
    <row r="58" spans="2:6">
      <c r="B58" s="100" t="s">
        <v>143</v>
      </c>
      <c r="C58" s="165">
        <v>0.05</v>
      </c>
      <c r="D58" s="165"/>
      <c r="E58" s="376"/>
      <c r="F58" s="376"/>
    </row>
    <row r="60" spans="2:6" ht="13.15">
      <c r="B60" s="100" t="s">
        <v>116</v>
      </c>
      <c r="C60" s="154">
        <f>C51*C52+C57*C58+C42*(1-C52-C58)</f>
        <v>12.98390803598565</v>
      </c>
      <c r="D60" t="str">
        <f>Market_currency</f>
        <v>HKD</v>
      </c>
      <c r="E60" s="100" t="s">
        <v>291</v>
      </c>
      <c r="F60" s="277">
        <f>Thesis!F28</f>
        <v>3</v>
      </c>
    </row>
    <row r="62" spans="2:6" ht="13.9">
      <c r="B62" s="36" t="s">
        <v>341</v>
      </c>
      <c r="C62" s="37"/>
      <c r="D62" s="37"/>
      <c r="E62" s="37"/>
      <c r="F62" s="37"/>
    </row>
    <row r="63" spans="2:6" ht="13.15">
      <c r="B63" s="109" t="s">
        <v>299</v>
      </c>
      <c r="E63" s="252" t="s">
        <v>303</v>
      </c>
    </row>
    <row r="64" spans="2:6">
      <c r="B64" s="152" t="s">
        <v>129</v>
      </c>
      <c r="C64" s="166">
        <f>C18</f>
        <v>20</v>
      </c>
      <c r="D64" s="150"/>
      <c r="E64" s="251" t="s">
        <v>378</v>
      </c>
    </row>
    <row r="65" spans="2:6">
      <c r="B65" s="118" t="s">
        <v>130</v>
      </c>
      <c r="C65" s="151">
        <v>1.9834236741680042E-2</v>
      </c>
      <c r="D65" s="151"/>
      <c r="E65" s="251" t="s">
        <v>304</v>
      </c>
    </row>
    <row r="66" spans="2:6">
      <c r="B66" s="100" t="s">
        <v>99</v>
      </c>
      <c r="C66" s="160">
        <f>IF(valuation_method="DCF",DCF!C18,DDM!C13)</f>
        <v>13.043893660857972</v>
      </c>
      <c r="D66" s="160" t="str">
        <f>Market_currency</f>
        <v>HKD</v>
      </c>
      <c r="E66" s="251" t="s">
        <v>305</v>
      </c>
    </row>
    <row r="68" spans="2:6" ht="13.15">
      <c r="B68" s="109" t="s">
        <v>342</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338</v>
      </c>
      <c r="F72" s="291">
        <f>BS!D89/C60</f>
        <v>-6.8040113935075849E-2</v>
      </c>
    </row>
    <row r="74" spans="2:6" ht="13.9">
      <c r="B74" s="36" t="s">
        <v>123</v>
      </c>
      <c r="C74" s="37"/>
      <c r="D74" s="37"/>
      <c r="E74" s="37"/>
      <c r="F74" s="37"/>
    </row>
    <row r="75" spans="2:6" ht="13.15">
      <c r="B75" s="109" t="s">
        <v>121</v>
      </c>
    </row>
    <row r="76" spans="2:6">
      <c r="B76" s="246" t="s">
        <v>292</v>
      </c>
      <c r="C76" s="245">
        <f>F60</f>
        <v>3</v>
      </c>
      <c r="D76" s="134"/>
    </row>
    <row r="77" spans="2:6">
      <c r="B77" s="100" t="s">
        <v>437</v>
      </c>
      <c r="C77" s="173">
        <f>Normalized_FCF!C90*(1-dividend_tax_rate)</f>
        <v>0.34557237974799992</v>
      </c>
      <c r="D77" t="str">
        <f>Market_currency</f>
        <v>HKD</v>
      </c>
    </row>
    <row r="79" spans="2:6" ht="13.15">
      <c r="B79" s="109" t="s">
        <v>296</v>
      </c>
    </row>
    <row r="80" spans="2:6">
      <c r="B80" s="148" t="s">
        <v>294</v>
      </c>
      <c r="C80" s="167">
        <f>Thesis!F29</f>
        <v>0.35</v>
      </c>
    </row>
    <row r="81" spans="2:8">
      <c r="B81" s="100" t="s">
        <v>117</v>
      </c>
      <c r="C81" s="116">
        <f>PV(C80, C76, -C77, 0)</f>
        <v>0.58604918132338757</v>
      </c>
      <c r="D81" s="116"/>
      <c r="E81" s="100"/>
      <c r="F81" s="100"/>
    </row>
    <row r="82" spans="2:8">
      <c r="B82" s="100" t="s">
        <v>118</v>
      </c>
      <c r="C82" s="116">
        <f>C60/(1+C80)^C76</f>
        <v>5.2772069444640133</v>
      </c>
      <c r="D82" s="116"/>
    </row>
    <row r="83" spans="2:8" ht="13.15">
      <c r="B83" s="110" t="s">
        <v>98</v>
      </c>
      <c r="C83" s="111">
        <f>C81+C82</f>
        <v>5.8632561257874007</v>
      </c>
      <c r="D83" t="str">
        <f>Market_currency</f>
        <v>HKD</v>
      </c>
      <c r="E83" s="146" t="s">
        <v>122</v>
      </c>
      <c r="F83" s="291">
        <f>(1-C83/C60)</f>
        <v>0.5484213143271619</v>
      </c>
    </row>
    <row r="84" spans="2:8">
      <c r="E84" s="120"/>
    </row>
    <row r="85" spans="2:8" ht="13.15">
      <c r="B85" s="109" t="s">
        <v>297</v>
      </c>
    </row>
    <row r="86" spans="2:8">
      <c r="B86" s="148" t="s">
        <v>295</v>
      </c>
      <c r="C86" s="116">
        <f>Market_Price</f>
        <v>7.59</v>
      </c>
      <c r="D86" t="str">
        <f>Market_currency</f>
        <v>HKD</v>
      </c>
    </row>
    <row r="87" spans="2:8" ht="13.15">
      <c r="B87" s="100" t="s">
        <v>293</v>
      </c>
      <c r="C87" s="237">
        <f ca="1">IRR(OFFSET($I$3, 0, 0, $C$76 + 1, 1))</f>
        <v>0.23459463611465181</v>
      </c>
    </row>
    <row r="88" spans="2:8">
      <c r="B88" s="100"/>
    </row>
    <row r="89" spans="2:8" ht="13.15">
      <c r="B89" s="109" t="s">
        <v>394</v>
      </c>
    </row>
    <row r="90" spans="2:8">
      <c r="B90" s="148" t="s">
        <v>395</v>
      </c>
      <c r="C90" s="167">
        <f>Thesis!F30</f>
        <v>0.25</v>
      </c>
    </row>
    <row r="91" spans="2:8">
      <c r="B91" s="100" t="s">
        <v>117</v>
      </c>
      <c r="C91" s="116">
        <f>PV(C90, C76, -C77, 0)</f>
        <v>0.67455728526809577</v>
      </c>
      <c r="D91" s="116"/>
      <c r="E91" s="100"/>
      <c r="F91" s="100"/>
    </row>
    <row r="92" spans="2:8">
      <c r="B92" s="100" t="s">
        <v>118</v>
      </c>
      <c r="C92" s="116">
        <f>C60/(1+C90)^C76</f>
        <v>6.6477609144246523</v>
      </c>
      <c r="D92" s="116"/>
    </row>
    <row r="93" spans="2:8" ht="13.15">
      <c r="B93" s="110" t="s">
        <v>98</v>
      </c>
      <c r="C93" s="111">
        <f>C91+C92</f>
        <v>7.3223181996927478</v>
      </c>
      <c r="D93" t="str">
        <f>Market_currency</f>
        <v>HKD</v>
      </c>
      <c r="E93" s="146" t="s">
        <v>122</v>
      </c>
      <c r="F93" s="291">
        <f>(1-C93/C60)</f>
        <v>0.43604666796787828</v>
      </c>
    </row>
    <row r="95" spans="2:8" ht="13.15">
      <c r="B95" s="109" t="s">
        <v>380</v>
      </c>
      <c r="G95" s="2"/>
      <c r="H95" s="281"/>
    </row>
    <row r="96" spans="2:8">
      <c r="B96" s="148" t="s">
        <v>385</v>
      </c>
      <c r="C96" s="134">
        <f>Thesis!F31</f>
        <v>7.4999999999999997E-2</v>
      </c>
      <c r="G96" s="2"/>
      <c r="H96" s="281"/>
    </row>
    <row r="97" spans="2:8">
      <c r="B97" s="100" t="s">
        <v>117</v>
      </c>
      <c r="C97" s="116">
        <f>PV(C96, C76, -C77, 0)</f>
        <v>0.89866986852348141</v>
      </c>
      <c r="D97" s="116"/>
      <c r="G97" s="2"/>
      <c r="H97" s="281"/>
    </row>
    <row r="98" spans="2:8">
      <c r="B98" s="100" t="s">
        <v>118</v>
      </c>
      <c r="C98" s="116">
        <f>C60/(1+C96)^C76</f>
        <v>10.45153400710732</v>
      </c>
      <c r="D98" s="116"/>
      <c r="G98" s="2"/>
      <c r="H98" s="281"/>
    </row>
    <row r="99" spans="2:8" ht="13.15">
      <c r="B99" s="110" t="s">
        <v>381</v>
      </c>
      <c r="C99" s="111">
        <f>C97+C98</f>
        <v>11.3502038756308</v>
      </c>
      <c r="D99" t="s">
        <v>379</v>
      </c>
      <c r="E99" s="146" t="s">
        <v>122</v>
      </c>
      <c r="F99" s="291">
        <f>(1-C99/C60)</f>
        <v>0.12582530281537296</v>
      </c>
    </row>
    <row r="100" spans="2:8">
      <c r="B100" s="100"/>
    </row>
    <row r="101" spans="2:8" ht="13.15">
      <c r="B101" s="109" t="s">
        <v>400</v>
      </c>
    </row>
    <row r="102" spans="2:8">
      <c r="B102" s="148" t="s">
        <v>399</v>
      </c>
      <c r="C102" s="134">
        <f>Thesis!F32</f>
        <v>0.1174</v>
      </c>
    </row>
    <row r="103" spans="2:8">
      <c r="B103" s="100" t="s">
        <v>117</v>
      </c>
      <c r="C103" s="116">
        <f>PV(C102, C76, -C77, 0)</f>
        <v>0.83372900361808255</v>
      </c>
      <c r="D103" s="116"/>
    </row>
    <row r="104" spans="2:8">
      <c r="B104" s="100" t="s">
        <v>118</v>
      </c>
      <c r="C104" s="116">
        <f>C60/(1+C102)^C76</f>
        <v>9.3063510267411278</v>
      </c>
      <c r="D104" s="116"/>
    </row>
    <row r="105" spans="2:8" ht="13.15">
      <c r="B105" s="110" t="s">
        <v>381</v>
      </c>
      <c r="C105" s="111">
        <f>C103+C104</f>
        <v>10.14008003035921</v>
      </c>
      <c r="D105" t="s">
        <v>379</v>
      </c>
      <c r="E105" s="146" t="s">
        <v>122</v>
      </c>
      <c r="F105" s="291">
        <f>(1-C105/C66)</f>
        <v>0.22261862186231296</v>
      </c>
    </row>
    <row r="106" spans="2:8">
      <c r="B106" s="100"/>
    </row>
    <row r="107" spans="2:8" ht="14.65">
      <c r="E107" s="285" t="s">
        <v>316</v>
      </c>
      <c r="F107" s="282"/>
    </row>
    <row r="108" spans="2:8" ht="13.9">
      <c r="E108" s="278" t="s">
        <v>317</v>
      </c>
      <c r="F108" s="283" t="s">
        <v>318</v>
      </c>
    </row>
    <row r="109" spans="2:8" ht="13.9">
      <c r="E109" s="279" t="s">
        <v>317</v>
      </c>
      <c r="F109" s="283" t="s">
        <v>319</v>
      </c>
    </row>
    <row r="110" spans="2:8" ht="13.9">
      <c r="E110" s="280" t="s">
        <v>317</v>
      </c>
      <c r="F110" s="284" t="s">
        <v>320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4"/>
  <sheetViews>
    <sheetView showGridLines="0" workbookViewId="0">
      <selection activeCell="D6" sqref="D6"/>
    </sheetView>
  </sheetViews>
  <sheetFormatPr defaultRowHeight="12.75"/>
  <cols>
    <col min="1" max="1" width="2.59765625" customWidth="1"/>
    <col min="2" max="2" width="22.73046875" customWidth="1"/>
    <col min="3" max="5" width="20.73046875" customWidth="1"/>
  </cols>
  <sheetData>
    <row r="2" spans="2:5" ht="13.9">
      <c r="B2" s="36" t="s">
        <v>438</v>
      </c>
      <c r="C2" s="37"/>
      <c r="D2" s="37"/>
      <c r="E2" s="37"/>
    </row>
    <row r="4" spans="2:5">
      <c r="B4" t="s">
        <v>558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