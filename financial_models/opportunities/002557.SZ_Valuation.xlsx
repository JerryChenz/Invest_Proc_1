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F5636C42-6372-EE48-98A1-3C1391A32574}" xr6:coauthVersionLast="47" xr6:coauthVersionMax="47" xr10:uidLastSave="{00000000-0000-0000-0000-000000000000}"/>
  <bookViews>
    <workbookView xWindow="-100" yWindow="-10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19"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28" i="6" l="1"/>
  <c r="B128" i="12"/>
  <c r="B129" i="6"/>
  <c r="B129" i="12"/>
  <c r="B130" i="6"/>
  <c r="B130" i="12"/>
  <c r="C66" i="2"/>
  <c r="C58" i="2" s="1"/>
  <c r="B126" i="6"/>
  <c r="B126" i="12"/>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34" i="2" l="1"/>
  <c r="C94" i="2"/>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4" i="2" l="1"/>
  <c r="C4" i="2"/>
  <c r="C33" i="2"/>
  <c r="C31" i="4"/>
  <c r="I94" i="2"/>
  <c r="C44" i="6"/>
  <c r="C44" i="12"/>
  <c r="P94" i="2"/>
  <c r="O94" i="2"/>
  <c r="Q92" i="2"/>
  <c r="Q94" i="2"/>
  <c r="N94" i="2"/>
  <c r="K94" i="2"/>
  <c r="L94" i="2"/>
  <c r="J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C53" i="2" s="1"/>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C29" i="2"/>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<sst xmlns="http://schemas.openxmlformats.org/spreadsheetml/2006/main" count="836" uniqueCount="561">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</sst>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D1789A4E-1324-42B5-A914-496545DDBF5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file:///C:/Users/jerry/PycharmProjects/Invest_Proc/financial_models/opportunities/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505855092</v>
          </cell>
        </row>
        <row r="12">
          <cell r="C12">
            <v>23.12</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45797</v>
      </c>
      <c r="D1" s="316" t="s">
        <v>551</v>
      </c>
      <c r="E1" s="292" t="s">
        <v>344</v>
      </c>
      <c r="F1" s="254" t="s">
        <v>552</v>
      </c>
    </row>
    <row r="2" spans="1:10" ht="16" x14ac:dyDescent="0.25">
      <c r="A2" s="222" t="s">
        <v>263</v>
      </c>
      <c r="B2" s="36"/>
      <c r="C2" s="36"/>
      <c r="D2" s="36"/>
      <c r="E2" s="36"/>
      <c r="F2" s="36"/>
      <c r="G2" s="22"/>
      <c r="H2" s="22"/>
      <c r="I2" s="22"/>
      <c r="J2" s="22"/>
    </row>
    <row r="4" spans="1:10" x14ac:dyDescent="0.15">
      <c r="B4" s="45" t="s">
        <v>395</v>
      </c>
      <c r="C4" s="46"/>
      <c r="D4" s="5"/>
      <c r="E4" s="2"/>
      <c r="F4" s="2"/>
    </row>
    <row r="5" spans="1:10" ht="14" x14ac:dyDescent="0.2">
      <c r="B5" s="4" t="s">
        <v>458</v>
      </c>
      <c r="C5" s="294" t="s">
        <v>553</v>
      </c>
    </row>
    <row r="6" spans="1:10" x14ac:dyDescent="0.15">
      <c r="B6" s="4" t="s">
        <v>459</v>
      </c>
      <c r="C6" s="51">
        <v>505855092</v>
      </c>
      <c r="E6" s="48"/>
    </row>
    <row r="7" spans="1:10" x14ac:dyDescent="0.15">
      <c r="B7" s="2" t="s">
        <v>460</v>
      </c>
      <c r="C7" s="250">
        <v>6</v>
      </c>
      <c r="D7" s="48"/>
      <c r="E7" s="48"/>
    </row>
    <row r="8" spans="1:10" x14ac:dyDescent="0.15">
      <c r="B8" s="1" t="s">
        <v>461</v>
      </c>
      <c r="C8" s="33">
        <f>EOMONTH(EDATE(BS!C1,C7+2),0)</f>
        <v>45900</v>
      </c>
      <c r="E8" s="48"/>
    </row>
    <row r="9" spans="1:10" x14ac:dyDescent="0.15">
      <c r="E9" s="34"/>
    </row>
    <row r="10" spans="1:10" x14ac:dyDescent="0.15">
      <c r="B10" s="45" t="s">
        <v>397</v>
      </c>
      <c r="C10" s="46"/>
      <c r="E10" s="34"/>
    </row>
    <row r="11" spans="1:10" x14ac:dyDescent="0.15">
      <c r="B11" s="1" t="s">
        <v>462</v>
      </c>
      <c r="C11" s="49" t="s">
        <v>554</v>
      </c>
      <c r="D11" s="49" t="s">
        <v>555</v>
      </c>
      <c r="E11" s="34"/>
    </row>
    <row r="12" spans="1:10" x14ac:dyDescent="0.15">
      <c r="B12" s="4" t="s">
        <v>463</v>
      </c>
      <c r="C12" s="50">
        <v>22.78</v>
      </c>
      <c r="D12" s="50"/>
      <c r="E12" s="48"/>
    </row>
    <row r="13" spans="1:10" x14ac:dyDescent="0.15">
      <c r="B13" s="1" t="s">
        <v>464</v>
      </c>
      <c r="C13" s="48" t="s">
        <v>394</v>
      </c>
      <c r="D13" s="48"/>
      <c r="E13" s="5"/>
    </row>
    <row r="14" spans="1:10" x14ac:dyDescent="0.15">
      <c r="B14" s="4" t="s">
        <v>465</v>
      </c>
      <c r="C14" s="35">
        <f>Thesis!C12*Common_Shares/1000000</f>
        <v>11523.37899576</v>
      </c>
      <c r="D14" s="35" t="str">
        <f>IF(D11="","",Thesis!D12*Common_Shares/1000000)</f>
        <v/>
      </c>
      <c r="E14" s="5"/>
    </row>
    <row r="15" spans="1:10" x14ac:dyDescent="0.15">
      <c r="B15" s="4" t="s">
        <v>466</v>
      </c>
      <c r="C15" s="32" t="str">
        <f>IF(C25=C13,C13,C25&amp;"/"&amp;C13)</f>
        <v>CNY</v>
      </c>
      <c r="D15" s="32" t="str">
        <f>IF(D11="","",IF(C25=D13,D13,C25&amp;"/"&amp;D13))</f>
        <v/>
      </c>
      <c r="E15" s="5"/>
    </row>
    <row r="16" spans="1:10" x14ac:dyDescent="0.15">
      <c r="B16" s="4" t="s">
        <v>467</v>
      </c>
      <c r="C16" s="50">
        <v>1</v>
      </c>
      <c r="D16" s="50"/>
      <c r="E16" s="5"/>
    </row>
    <row r="17" spans="2:6" x14ac:dyDescent="0.15">
      <c r="D17" s="5"/>
      <c r="E17" s="5"/>
    </row>
    <row r="18" spans="2:6" ht="24.5" customHeight="1" x14ac:dyDescent="0.15">
      <c r="B18" s="370" t="s">
        <v>468</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 xml:space="preserve">Low Growth </v>
      </c>
      <c r="D21" s="1" t="s">
        <v>416</v>
      </c>
      <c r="E21" s="308" t="s">
        <v>558</v>
      </c>
    </row>
    <row r="22" spans="2:6" x14ac:dyDescent="0.15">
      <c r="B22" s="2" t="s">
        <v>54</v>
      </c>
      <c r="C22" s="48" t="s">
        <v>556</v>
      </c>
      <c r="D22" s="1" t="str">
        <f>IF(valuation_method="DDM","Terminal Value Discount Rate","")</f>
        <v/>
      </c>
      <c r="E22" s="313"/>
    </row>
    <row r="23" spans="2:6" x14ac:dyDescent="0.15">
      <c r="B23" s="1" t="s">
        <v>411</v>
      </c>
      <c r="C23" s="262" t="s">
        <v>557</v>
      </c>
    </row>
    <row r="24" spans="2:6" x14ac:dyDescent="0.15">
      <c r="B24" s="1" t="s">
        <v>412</v>
      </c>
      <c r="C24" s="262" t="s">
        <v>557</v>
      </c>
    </row>
    <row r="25" spans="2:6" x14ac:dyDescent="0.15">
      <c r="B25" s="4" t="s">
        <v>338</v>
      </c>
      <c r="C25" s="48" t="s">
        <v>394</v>
      </c>
      <c r="D25" s="32" t="str">
        <f>IF(D11="","",Market_currency&amp;"/"&amp;D13&amp;":")</f>
        <v/>
      </c>
      <c r="E25" s="299" t="str">
        <f>IF(D11="","",1/Exchange_Rate*D16)</f>
        <v/>
      </c>
    </row>
    <row r="26" spans="2:6" x14ac:dyDescent="0.15">
      <c r="B26" s="1" t="str">
        <f>"Expected Equity Value ("&amp;C13&amp;") :"</f>
        <v>Expected Equity Value (CNY) :</v>
      </c>
      <c r="C26" s="304">
        <f>C132</f>
        <v>23.068262059109994</v>
      </c>
      <c r="D26" s="1" t="s">
        <v>380</v>
      </c>
      <c r="E26" s="301">
        <f ca="1">Scenarios!C87</f>
        <v>4.590904453268374E-2</v>
      </c>
    </row>
    <row r="27" spans="2:6" x14ac:dyDescent="0.15">
      <c r="D27" s="5"/>
      <c r="E27" s="5"/>
    </row>
    <row r="28" spans="2:6" x14ac:dyDescent="0.15">
      <c r="B28" s="45" t="s">
        <v>410</v>
      </c>
      <c r="C28" s="309" t="str">
        <f>C145&amp;" ("&amp;Market_currency&amp;")"</f>
        <v>002557.SZ (CNY)</v>
      </c>
      <c r="D28" s="309" t="str">
        <f>IF(D11="","",D145&amp;" ("&amp;D13&amp;")")</f>
        <v/>
      </c>
      <c r="E28" s="305" t="s">
        <v>406</v>
      </c>
      <c r="F28" s="303">
        <v>3</v>
      </c>
    </row>
    <row r="29" spans="2:6" x14ac:dyDescent="0.15">
      <c r="B29" s="1" t="s">
        <v>402</v>
      </c>
      <c r="C29" s="310">
        <f>C149</f>
        <v>8.9913803957882639</v>
      </c>
      <c r="D29" s="310" t="str">
        <f>D149</f>
        <v/>
      </c>
      <c r="E29" s="306" t="s">
        <v>401</v>
      </c>
      <c r="F29" s="302">
        <v>0.45</v>
      </c>
    </row>
    <row r="30" spans="2:6" x14ac:dyDescent="0.15">
      <c r="B30" s="1" t="s">
        <v>403</v>
      </c>
      <c r="C30" s="311">
        <f>C157</f>
        <v>12.232463386030947</v>
      </c>
      <c r="D30" s="311" t="str">
        <f>D157</f>
        <v/>
      </c>
      <c r="E30" s="307" t="s">
        <v>414</v>
      </c>
      <c r="F30" s="312">
        <v>0.3</v>
      </c>
    </row>
    <row r="31" spans="2:6" x14ac:dyDescent="0.15">
      <c r="B31" s="1" t="s">
        <v>404</v>
      </c>
      <c r="C31" s="311">
        <f>C165</f>
        <v>21.049942920535798</v>
      </c>
      <c r="D31" s="311" t="str">
        <f>D165</f>
        <v/>
      </c>
      <c r="E31" s="307" t="s">
        <v>413</v>
      </c>
      <c r="F31" s="312">
        <v>7.4999999999999997E-2</v>
      </c>
    </row>
    <row r="32" spans="2:6" x14ac:dyDescent="0.15">
      <c r="B32" s="1" t="s">
        <v>405</v>
      </c>
      <c r="C32" s="311">
        <f>C173</f>
        <v>20.388648577016472</v>
      </c>
      <c r="D32" s="311" t="str">
        <f>D173</f>
        <v/>
      </c>
      <c r="E32" s="307" t="s">
        <v>415</v>
      </c>
      <c r="F32" s="312">
        <v>8.6999999999999994E-2</v>
      </c>
    </row>
    <row r="33" spans="1:6" x14ac:dyDescent="0.15">
      <c r="D33" s="5"/>
      <c r="E33" s="5"/>
    </row>
    <row r="34" spans="1:6" ht="16" x14ac:dyDescent="0.25">
      <c r="A34" s="222" t="s">
        <v>345</v>
      </c>
      <c r="B34" s="36"/>
      <c r="C34" s="36"/>
      <c r="D34" s="36"/>
      <c r="E34" s="36"/>
      <c r="F34" s="36"/>
    </row>
    <row r="36" spans="1:6" x14ac:dyDescent="0.15">
      <c r="B36" s="370" t="s">
        <v>469</v>
      </c>
      <c r="C36" s="370"/>
      <c r="D36" s="370"/>
      <c r="E36" s="370"/>
      <c r="F36" s="370"/>
    </row>
    <row r="37" spans="1:6" ht="24.5" customHeight="1" x14ac:dyDescent="0.15">
      <c r="B37" s="372" t="s">
        <v>330</v>
      </c>
      <c r="C37" s="372"/>
      <c r="D37" s="372"/>
      <c r="E37" s="372"/>
      <c r="F37" s="372"/>
    </row>
    <row r="39" spans="1:6" x14ac:dyDescent="0.15">
      <c r="B39" s="210" t="s">
        <v>226</v>
      </c>
      <c r="C39" s="108">
        <f>scaling_factor</f>
        <v>1</v>
      </c>
    </row>
    <row r="40" spans="1:6" ht="24.5" customHeight="1" x14ac:dyDescent="0.15">
      <c r="B40" s="371" t="s">
        <v>227</v>
      </c>
      <c r="C40" s="371"/>
      <c r="D40" s="371"/>
      <c r="E40" s="371"/>
      <c r="F40" s="371"/>
    </row>
    <row r="41" spans="1:6" x14ac:dyDescent="0.15">
      <c r="B41" s="47" t="s">
        <v>228</v>
      </c>
      <c r="C41" s="349">
        <f>Normalized_FCF!C8</f>
        <v>923979255.39561176</v>
      </c>
      <c r="D41" s="1" t="str">
        <f>Reporting_currency</f>
        <v>CNY</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0</v>
      </c>
      <c r="D44" s="1" t="str">
        <f>Reporting_currency</f>
        <v>CNY</v>
      </c>
    </row>
    <row r="45" spans="1:6" x14ac:dyDescent="0.15">
      <c r="B45" s="52" t="s">
        <v>231</v>
      </c>
      <c r="C45" s="349">
        <f>Normalized_FCF!C10</f>
        <v>0</v>
      </c>
      <c r="D45" s="1" t="str">
        <f>Reporting_currency</f>
        <v>CNY</v>
      </c>
    </row>
    <row r="47" spans="1:6" x14ac:dyDescent="0.15">
      <c r="B47" s="371" t="s">
        <v>232</v>
      </c>
      <c r="C47" s="371"/>
      <c r="D47" s="371"/>
      <c r="E47" s="371"/>
      <c r="F47" s="371"/>
    </row>
    <row r="48" spans="1:6" x14ac:dyDescent="0.15">
      <c r="B48" s="47" t="s">
        <v>233</v>
      </c>
      <c r="C48" s="349">
        <f>Normalized_FCF!C11</f>
        <v>0</v>
      </c>
      <c r="D48" s="1" t="str">
        <f>Reporting_currency</f>
        <v>CNY</v>
      </c>
    </row>
    <row r="50" spans="2:6" x14ac:dyDescent="0.15">
      <c r="B50" s="371" t="s">
        <v>236</v>
      </c>
      <c r="C50" s="371"/>
      <c r="D50" s="371"/>
      <c r="E50" s="371"/>
      <c r="F50" s="371"/>
    </row>
    <row r="51" spans="2:6" x14ac:dyDescent="0.15">
      <c r="B51" s="47" t="s">
        <v>331</v>
      </c>
      <c r="C51" s="350">
        <f>Normalized_FCF!C48</f>
        <v>32042840.928504106</v>
      </c>
      <c r="D51" s="1" t="str">
        <f>Reporting_currency</f>
        <v>CNY</v>
      </c>
      <c r="E51" s="286"/>
      <c r="F51" s="286"/>
    </row>
    <row r="52" spans="2:6" x14ac:dyDescent="0.15">
      <c r="B52" s="47" t="s">
        <v>332</v>
      </c>
      <c r="C52" s="350">
        <f>Normalized_FCF!C47</f>
        <v>-59672121</v>
      </c>
      <c r="D52" s="1" t="str">
        <f>Reporting_currency</f>
        <v>CNY</v>
      </c>
      <c r="E52" s="286"/>
      <c r="F52" s="286"/>
    </row>
    <row r="53" spans="2:6" x14ac:dyDescent="0.15">
      <c r="B53" s="47" t="s">
        <v>234</v>
      </c>
      <c r="C53" s="349">
        <f>Normalized_FCF!C12</f>
        <v>-27629280.071495894</v>
      </c>
      <c r="D53" s="1" t="str">
        <f>Reporting_currency</f>
        <v>CNY</v>
      </c>
    </row>
    <row r="55" spans="2:6" x14ac:dyDescent="0.15">
      <c r="B55" s="1" t="s">
        <v>242</v>
      </c>
    </row>
    <row r="56" spans="2:6" x14ac:dyDescent="0.15">
      <c r="B56" s="47" t="s">
        <v>261</v>
      </c>
      <c r="C56" s="349">
        <f>Normalized_FCF!C15</f>
        <v>-2378351.0769942678</v>
      </c>
      <c r="D56" s="1" t="str">
        <f>Reporting_currency</f>
        <v>CNY</v>
      </c>
    </row>
    <row r="58" spans="2:6" x14ac:dyDescent="0.15">
      <c r="B58" s="371" t="s">
        <v>237</v>
      </c>
      <c r="C58" s="371"/>
      <c r="D58" s="371"/>
      <c r="E58" s="371"/>
      <c r="F58" s="371"/>
    </row>
    <row r="59" spans="2:6" x14ac:dyDescent="0.15">
      <c r="B59" s="47" t="s">
        <v>235</v>
      </c>
      <c r="C59" s="349">
        <f>Normalized_FCF!C14</f>
        <v>-224087493.83102897</v>
      </c>
      <c r="D59" s="1" t="str">
        <f>Reporting_currency</f>
        <v>CNY</v>
      </c>
    </row>
    <row r="61" spans="2:6" x14ac:dyDescent="0.15">
      <c r="B61" s="371" t="s">
        <v>329</v>
      </c>
      <c r="C61" s="374"/>
      <c r="D61" s="374"/>
      <c r="E61" s="374"/>
      <c r="F61" s="374"/>
    </row>
    <row r="62" spans="2:6" x14ac:dyDescent="0.15">
      <c r="B62" s="47" t="s">
        <v>238</v>
      </c>
      <c r="C62" s="349">
        <f>Normalized_FCF!C17</f>
        <v>0</v>
      </c>
      <c r="D62" s="1" t="str">
        <f>Reporting_currency</f>
        <v>CNY</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632397776.92850411</v>
      </c>
      <c r="D67" s="1" t="str">
        <f>Reporting_currency</f>
        <v>CNY</v>
      </c>
    </row>
    <row r="68" spans="1:6" x14ac:dyDescent="0.15">
      <c r="B68" s="47" t="s">
        <v>244</v>
      </c>
      <c r="C68" s="349">
        <f>Normalized_FCF!C19</f>
        <v>669884130.41609263</v>
      </c>
      <c r="D68" s="1" t="str">
        <f>Reporting_currency</f>
        <v>CNY</v>
      </c>
    </row>
    <row r="69" spans="1:6" x14ac:dyDescent="0.15">
      <c r="B69" s="227" t="s">
        <v>371</v>
      </c>
      <c r="C69" s="92">
        <f>Normalized_FCF!C126</f>
        <v>5.8132612896145734E-2</v>
      </c>
      <c r="F69" s="314"/>
    </row>
    <row r="70" spans="1:6" x14ac:dyDescent="0.15">
      <c r="B70" s="227" t="s">
        <v>434</v>
      </c>
      <c r="C70" s="92">
        <f>Normalized_FCF!C94</f>
        <v>4.1878841088674276E-2</v>
      </c>
      <c r="E70" s="47" t="s">
        <v>425</v>
      </c>
      <c r="F70" s="315">
        <f>Normalized_FCF!C92</f>
        <v>0.80044648495694337</v>
      </c>
    </row>
    <row r="72" spans="1:6" x14ac:dyDescent="0.15">
      <c r="B72" s="210" t="s">
        <v>427</v>
      </c>
      <c r="C72" s="323" t="s">
        <v>429</v>
      </c>
      <c r="D72" s="323" t="s">
        <v>430</v>
      </c>
    </row>
    <row r="73" spans="1:6" x14ac:dyDescent="0.15">
      <c r="B73" s="47" t="s">
        <v>428</v>
      </c>
      <c r="C73" s="92">
        <f>Normalized_FCF!C121</f>
        <v>0.15648173464349882</v>
      </c>
      <c r="D73" s="92">
        <f>Normalized_FCF!G121</f>
        <v>0.15054731209829122</v>
      </c>
    </row>
    <row r="74" spans="1:6" x14ac:dyDescent="0.15">
      <c r="B74" s="259" t="str">
        <f>Normalized_FCF!B118</f>
        <v>Pre-tax Profit/Sales</v>
      </c>
      <c r="C74" s="322">
        <f>Normalized_FCF!C118</f>
        <v>0.13375671427886937</v>
      </c>
      <c r="D74" s="322">
        <f>Normalized_FCF!G118</f>
        <v>0.12092451547494525</v>
      </c>
    </row>
    <row r="75" spans="1:6" x14ac:dyDescent="0.15">
      <c r="B75" s="259" t="str">
        <f>Normalized_FCF!B119</f>
        <v>Sales/Total Assets</v>
      </c>
      <c r="C75" s="324">
        <f>Normalized_FCF!C119</f>
        <v>0.66633267926556194</v>
      </c>
      <c r="D75" s="324">
        <f>Normalized_FCF!G119</f>
        <v>0.70909055913759678</v>
      </c>
    </row>
    <row r="76" spans="1:6" x14ac:dyDescent="0.15">
      <c r="B76" s="259" t="str">
        <f>Normalized_FCF!B120</f>
        <v>Total Assets/Equity</v>
      </c>
      <c r="C76" s="324">
        <f>Normalized_FCF!C120</f>
        <v>1.7557268340491488</v>
      </c>
      <c r="D76" s="324">
        <f>Normalized_FCF!G120</f>
        <v>1.7557268340491488</v>
      </c>
    </row>
    <row r="78" spans="1:6" ht="16" x14ac:dyDescent="0.25">
      <c r="A78" s="222" t="s">
        <v>470</v>
      </c>
      <c r="B78" s="36"/>
      <c r="C78" s="36"/>
      <c r="D78" s="36"/>
      <c r="E78" s="36"/>
      <c r="F78" s="36"/>
    </row>
    <row r="79" spans="1:6" x14ac:dyDescent="0.15">
      <c r="A79" s="209"/>
    </row>
    <row r="80" spans="1:6" x14ac:dyDescent="0.15">
      <c r="A80" s="17"/>
      <c r="B80" s="370" t="s">
        <v>471</v>
      </c>
      <c r="C80" s="370"/>
      <c r="D80" s="370"/>
      <c r="E80" s="370"/>
      <c r="F80" s="370"/>
    </row>
    <row r="81" spans="1:6" x14ac:dyDescent="0.15">
      <c r="B81" s="372" t="s">
        <v>248</v>
      </c>
      <c r="C81" s="372"/>
      <c r="D81" s="372"/>
      <c r="E81" s="372"/>
      <c r="F81" s="372"/>
    </row>
    <row r="83" spans="1:6" x14ac:dyDescent="0.15">
      <c r="B83" s="210" t="s">
        <v>226</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17.656812290322666</v>
      </c>
      <c r="D93" s="1" t="str">
        <f>Market_currency</f>
        <v>CNY</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2209595736.0500002</v>
      </c>
      <c r="D102" s="1" t="str">
        <f>Reporting_currency</f>
        <v>CNY</v>
      </c>
    </row>
    <row r="103" spans="2:6" x14ac:dyDescent="0.15">
      <c r="B103" s="47" t="s">
        <v>276</v>
      </c>
      <c r="C103" s="223">
        <f>C102*scaling_factor*Exchange_Rate/Common_Shares</f>
        <v>4.3680409093321932</v>
      </c>
      <c r="D103" s="1" t="str">
        <f>Market_currency</f>
        <v>CNY</v>
      </c>
    </row>
    <row r="104" spans="2:6" x14ac:dyDescent="0.15">
      <c r="B104" s="296" t="s">
        <v>384</v>
      </c>
      <c r="C104" s="325">
        <f>IF(BS!G31/BS!G27&gt;300%,"nm",BS!G31/BS!G27)</f>
        <v>0.3857437197038544</v>
      </c>
    </row>
    <row r="105" spans="2:6" x14ac:dyDescent="0.15">
      <c r="B105" s="296" t="s">
        <v>386</v>
      </c>
      <c r="C105" s="326">
        <f>IF(BS!C50&gt;30,"nm",BS!C50)</f>
        <v>2.3913910654887354</v>
      </c>
    </row>
    <row r="107" spans="2:6" x14ac:dyDescent="0.15">
      <c r="B107" s="1" t="s">
        <v>250</v>
      </c>
    </row>
    <row r="108" spans="2:6" x14ac:dyDescent="0.15">
      <c r="B108" s="47" t="s">
        <v>260</v>
      </c>
      <c r="C108" s="349">
        <f>BS!C66</f>
        <v>4583178463.29</v>
      </c>
      <c r="D108" s="1" t="str">
        <f>Reporting_currency</f>
        <v>CNY</v>
      </c>
    </row>
    <row r="109" spans="2:6" x14ac:dyDescent="0.15">
      <c r="B109" s="47" t="s">
        <v>262</v>
      </c>
      <c r="C109" s="349">
        <f>DCF!C8</f>
        <v>3530916331.352602</v>
      </c>
      <c r="D109" s="1" t="str">
        <f>Reporting_currency</f>
        <v>CNY</v>
      </c>
    </row>
    <row r="110" spans="2:6" x14ac:dyDescent="0.15">
      <c r="B110" s="47" t="s">
        <v>277</v>
      </c>
      <c r="C110" s="223">
        <f>C109*scaling_factor*Exchange_Rate/Common_Shares</f>
        <v>6.9800944720995357</v>
      </c>
      <c r="D110" s="1" t="str">
        <f>Market_currency</f>
        <v>CNY</v>
      </c>
    </row>
    <row r="112" spans="2:6" x14ac:dyDescent="0.15">
      <c r="B112" s="1" t="s">
        <v>252</v>
      </c>
    </row>
    <row r="113" spans="1:6" x14ac:dyDescent="0.15">
      <c r="B113" s="47" t="s">
        <v>253</v>
      </c>
      <c r="C113" s="349">
        <f>DCF!C9</f>
        <v>590585139.73500001</v>
      </c>
      <c r="D113" s="1" t="str">
        <f>Reporting_currency</f>
        <v>CNY</v>
      </c>
    </row>
    <row r="114" spans="1:6" x14ac:dyDescent="0.15">
      <c r="B114" s="47" t="s">
        <v>278</v>
      </c>
      <c r="C114" s="223">
        <f>C113*scaling_factor*Exchange_Rate/Common_Shares</f>
        <v>1.1674986553955653</v>
      </c>
      <c r="D114" s="1" t="str">
        <f>Market_currency</f>
        <v>CNY</v>
      </c>
    </row>
    <row r="116" spans="1:6" ht="24.5" customHeight="1" x14ac:dyDescent="0.15">
      <c r="B116" s="370" t="s">
        <v>352</v>
      </c>
      <c r="C116" s="370"/>
      <c r="D116" s="370"/>
      <c r="E116" s="370"/>
      <c r="F116" s="370"/>
    </row>
    <row r="118" spans="1:6" x14ac:dyDescent="0.15">
      <c r="B118" s="47" t="s">
        <v>426</v>
      </c>
      <c r="C118" s="223">
        <f>IF(valuation_method="DCF",DCF!C12,DDM!C7)</f>
        <v>21.436364508485578</v>
      </c>
      <c r="D118" s="1" t="str">
        <f>Market_currency</f>
        <v>CNY</v>
      </c>
    </row>
    <row r="119" spans="1:6" x14ac:dyDescent="0.15">
      <c r="B119" s="296" t="s">
        <v>549</v>
      </c>
      <c r="C119" s="223">
        <f>BS!D47</f>
        <v>3.5427832354191278</v>
      </c>
      <c r="D119" s="1" t="str">
        <f>Market_currency</f>
        <v>CNY</v>
      </c>
    </row>
    <row r="121" spans="1:6" ht="16" x14ac:dyDescent="0.25">
      <c r="A121" s="222" t="s">
        <v>472</v>
      </c>
      <c r="B121" s="36"/>
      <c r="C121" s="36"/>
      <c r="D121" s="36"/>
      <c r="E121" s="36"/>
      <c r="F121" s="36"/>
    </row>
    <row r="123" spans="1:6" x14ac:dyDescent="0.15">
      <c r="B123" s="371" t="s">
        <v>473</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0.08</v>
      </c>
      <c r="D126" s="230">
        <f>DCF!D74</f>
        <v>10</v>
      </c>
      <c r="E126" s="231" t="str">
        <f>ROUND(IF(valuation_method="DCF",DCF!E74,DDM!E69),2)&amp;" "&amp;Market_currency</f>
        <v>26.62 CNY</v>
      </c>
      <c r="F126" s="232">
        <f>DCF!F74</f>
        <v>0.15</v>
      </c>
    </row>
    <row r="127" spans="1:6" x14ac:dyDescent="0.15">
      <c r="B127" s="218" t="str">
        <f>DCF!B75</f>
        <v>Optimistic</v>
      </c>
      <c r="C127" s="219">
        <f>DCF!C75</f>
        <v>0.06</v>
      </c>
      <c r="D127" s="220">
        <f>DCF!D75</f>
        <v>5</v>
      </c>
      <c r="E127" s="231" t="str">
        <f>ROUND(IF(valuation_method="DCF",DCF!E75,DDM!E70),2)&amp;" "&amp;Market_currency</f>
        <v>23.17 CNY</v>
      </c>
      <c r="F127" s="221">
        <f>DCF!F75</f>
        <v>0.15000000000000002</v>
      </c>
    </row>
    <row r="128" spans="1:6" x14ac:dyDescent="0.15">
      <c r="B128" s="218" t="str">
        <f>DCF!B76</f>
        <v>Base</v>
      </c>
      <c r="C128" s="219">
        <f>DCF!C76</f>
        <v>0.04</v>
      </c>
      <c r="D128" s="220">
        <f>DCF!D76</f>
        <v>5</v>
      </c>
      <c r="E128" s="231" t="str">
        <f>ROUND(IF(valuation_method="DCF",DCF!E76,DDM!E71),2)&amp;" "&amp;Market_currency</f>
        <v>22.57 CNY</v>
      </c>
      <c r="F128" s="221">
        <f>DCF!F76</f>
        <v>0.44999999999999996</v>
      </c>
    </row>
    <row r="129" spans="1:6" x14ac:dyDescent="0.15">
      <c r="B129" s="218" t="str">
        <f>DCF!B77</f>
        <v>Pessimistic</v>
      </c>
      <c r="C129" s="219">
        <f>DCF!C77</f>
        <v>0.02</v>
      </c>
      <c r="D129" s="220">
        <f>DCF!D77</f>
        <v>5</v>
      </c>
      <c r="E129" s="231" t="str">
        <f>ROUND(IF(valuation_method="DCF",DCF!E77,DDM!E72),2)&amp;" "&amp;Market_currency</f>
        <v>22 CNY</v>
      </c>
      <c r="F129" s="221">
        <f>DCF!F77</f>
        <v>0.15000000000000002</v>
      </c>
    </row>
    <row r="130" spans="1:6" x14ac:dyDescent="0.15">
      <c r="B130" s="218" t="str">
        <f>DCF!B78</f>
        <v>Devil's advocate</v>
      </c>
      <c r="C130" s="219">
        <f>DCF!C78</f>
        <v>0</v>
      </c>
      <c r="D130" s="220">
        <f>DCF!D78</f>
        <v>10</v>
      </c>
      <c r="E130" s="231" t="str">
        <f>ROUND(IF(valuation_method="DCF",DCF!E78,DDM!E73),2)&amp;" "&amp;Market_currency</f>
        <v>21.44 CNY</v>
      </c>
      <c r="F130" s="221">
        <f>DCF!F78</f>
        <v>0.1</v>
      </c>
    </row>
    <row r="132" spans="1:6" x14ac:dyDescent="0.15">
      <c r="B132" s="211" t="s">
        <v>254</v>
      </c>
      <c r="C132" s="217">
        <f>Scenarios!C60</f>
        <v>23.068262059109994</v>
      </c>
      <c r="D132" s="212" t="str">
        <f>Market_currency</f>
        <v>CNY</v>
      </c>
    </row>
    <row r="134" spans="1:6" ht="24.5" customHeight="1" x14ac:dyDescent="0.15">
      <c r="B134" s="375" t="s">
        <v>474</v>
      </c>
      <c r="C134" s="375"/>
      <c r="D134" s="375"/>
      <c r="E134" s="375"/>
      <c r="F134" s="375"/>
    </row>
    <row r="136" spans="1:6" ht="16" x14ac:dyDescent="0.25">
      <c r="A136" s="222" t="s">
        <v>475</v>
      </c>
      <c r="B136" s="36"/>
      <c r="C136" s="36"/>
      <c r="D136" s="36"/>
      <c r="E136" s="36"/>
      <c r="F136" s="36"/>
    </row>
    <row r="138" spans="1:6" x14ac:dyDescent="0.15">
      <c r="B138" s="373" t="s">
        <v>353</v>
      </c>
      <c r="C138" s="373"/>
      <c r="D138" s="373"/>
      <c r="E138" s="373"/>
      <c r="F138" s="373"/>
    </row>
    <row r="139" spans="1:6" x14ac:dyDescent="0.15">
      <c r="B139" s="370" t="s">
        <v>476</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0.45</v>
      </c>
    </row>
    <row r="143" spans="1:6" x14ac:dyDescent="0.15">
      <c r="B143" s="212" t="s">
        <v>257</v>
      </c>
      <c r="C143" s="213">
        <f>Scenarios!C77</f>
        <v>0.95400000000000007</v>
      </c>
      <c r="D143" s="212" t="str">
        <f>Market_currency</f>
        <v>CNY</v>
      </c>
    </row>
    <row r="145" spans="2:4" x14ac:dyDescent="0.15">
      <c r="B145" s="210" t="s">
        <v>388</v>
      </c>
      <c r="C145" s="241" t="str">
        <f>C11</f>
        <v>002557.SZ</v>
      </c>
      <c r="D145" s="241" t="str">
        <f>IF(D11="","",D11)</f>
        <v/>
      </c>
    </row>
    <row r="146" spans="2:4" x14ac:dyDescent="0.15">
      <c r="B146" s="1" t="s">
        <v>387</v>
      </c>
      <c r="C146" s="297">
        <f>F29</f>
        <v>0.45</v>
      </c>
    </row>
    <row r="147" spans="2:4" x14ac:dyDescent="0.15">
      <c r="B147" s="212" t="str">
        <f>"PV("&amp;C141&amp;" yrs of Dividends)"</f>
        <v>PV(3 yrs of Dividends)</v>
      </c>
      <c r="C147" s="216">
        <f>Scenarios!C81</f>
        <v>1.4246045348312761</v>
      </c>
    </row>
    <row r="148" spans="2:4" x14ac:dyDescent="0.15">
      <c r="B148" s="212" t="str">
        <f>"+ PV(Equity Value realized at year "&amp;C141&amp;")"</f>
        <v>+ PV(Equity Value realized at year 3)</v>
      </c>
      <c r="C148" s="216">
        <f>Scenarios!C82</f>
        <v>7.5667758609569873</v>
      </c>
    </row>
    <row r="149" spans="2:4" x14ac:dyDescent="0.15">
      <c r="B149" s="80" t="s">
        <v>256</v>
      </c>
      <c r="C149" s="215">
        <f>Scenarios!C83</f>
        <v>8.9913803957882639</v>
      </c>
      <c r="D149" s="300" t="str">
        <f>IF($D$11="","",C149*$E$25)</f>
        <v/>
      </c>
    </row>
    <row r="150" spans="2:4" x14ac:dyDescent="0.15">
      <c r="B150" s="259" t="s">
        <v>396</v>
      </c>
      <c r="C150" s="298" t="str">
        <f>Market_currency</f>
        <v>CNY</v>
      </c>
      <c r="D150" s="298" t="str">
        <f>IF($D$11="","",D$13)</f>
        <v/>
      </c>
    </row>
    <row r="151" spans="2:4" x14ac:dyDescent="0.15">
      <c r="B151" s="214" t="s">
        <v>258</v>
      </c>
      <c r="C151" s="92">
        <f>Scenarios!F83</f>
        <v>0.61022723026343306</v>
      </c>
    </row>
    <row r="153" spans="2:4" x14ac:dyDescent="0.15">
      <c r="B153" s="210" t="s">
        <v>391</v>
      </c>
    </row>
    <row r="154" spans="2:4" x14ac:dyDescent="0.15">
      <c r="B154" s="1" t="s">
        <v>390</v>
      </c>
      <c r="C154" s="297">
        <f>Scenarios!C90</f>
        <v>0.3</v>
      </c>
    </row>
    <row r="155" spans="2:4" x14ac:dyDescent="0.15">
      <c r="B155" s="212" t="str">
        <f>"PV("&amp;C141&amp;" yrs of Dividends)"</f>
        <v>PV(3 yrs of Dividends)</v>
      </c>
      <c r="C155" s="216">
        <f>Scenarios!C91</f>
        <v>1.7325716886663638</v>
      </c>
    </row>
    <row r="156" spans="2:4" x14ac:dyDescent="0.15">
      <c r="B156" s="212" t="str">
        <f>"+ PV(Equity Value realized at year "&amp;C141&amp;")"</f>
        <v>+ PV(Equity Value realized at year 3)</v>
      </c>
      <c r="C156" s="216">
        <f>Scenarios!C92</f>
        <v>10.499891697364584</v>
      </c>
    </row>
    <row r="157" spans="2:4" x14ac:dyDescent="0.15">
      <c r="B157" s="80" t="s">
        <v>256</v>
      </c>
      <c r="C157" s="215">
        <f>Scenarios!C93</f>
        <v>12.232463386030947</v>
      </c>
      <c r="D157" s="300" t="str">
        <f>IF($D$11="","",C157*$E$25)</f>
        <v/>
      </c>
    </row>
    <row r="158" spans="2:4" x14ac:dyDescent="0.15">
      <c r="B158" s="259" t="s">
        <v>396</v>
      </c>
      <c r="C158" s="298" t="str">
        <f>Market_currency</f>
        <v>CNY</v>
      </c>
      <c r="D158" s="298" t="str">
        <f>IF($D$11="","",D$13)</f>
        <v/>
      </c>
    </row>
    <row r="159" spans="2:4" x14ac:dyDescent="0.15">
      <c r="B159" s="214" t="s">
        <v>258</v>
      </c>
      <c r="C159" s="92">
        <f>Scenarios!F93</f>
        <v>0.46972756965017359</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2.4809015558378498</v>
      </c>
    </row>
    <row r="164" spans="2:4" x14ac:dyDescent="0.15">
      <c r="B164" s="212" t="str">
        <f>"+ PV(Equity Value realized at year "&amp;C141&amp;")"</f>
        <v>+ PV(Equity Value realized at year 3)</v>
      </c>
      <c r="C164" s="216">
        <f>Scenarios!C98</f>
        <v>18.569041364697949</v>
      </c>
    </row>
    <row r="165" spans="2:4" x14ac:dyDescent="0.15">
      <c r="B165" s="80" t="s">
        <v>382</v>
      </c>
      <c r="C165" s="215">
        <f>Scenarios!C99</f>
        <v>21.049942920535798</v>
      </c>
      <c r="D165" s="300" t="str">
        <f>IF($D$11="","",C165*$E$25)</f>
        <v/>
      </c>
    </row>
    <row r="166" spans="2:4" x14ac:dyDescent="0.15">
      <c r="B166" s="259" t="s">
        <v>396</v>
      </c>
      <c r="C166" s="298" t="str">
        <f>Market_currency</f>
        <v>CNY</v>
      </c>
      <c r="D166" s="298" t="str">
        <f>IF($D$11="","",D$13)</f>
        <v/>
      </c>
    </row>
    <row r="167" spans="2:4" x14ac:dyDescent="0.15">
      <c r="B167" s="214" t="s">
        <v>258</v>
      </c>
      <c r="C167" s="92">
        <f>Scenarios!F99</f>
        <v>8.7493333195299505E-2</v>
      </c>
    </row>
    <row r="169" spans="2:4" x14ac:dyDescent="0.15">
      <c r="B169" s="210" t="s">
        <v>409</v>
      </c>
    </row>
    <row r="170" spans="2:4" x14ac:dyDescent="0.15">
      <c r="B170" s="1" t="s">
        <v>400</v>
      </c>
      <c r="C170" s="92">
        <f>F32</f>
        <v>8.6999999999999994E-2</v>
      </c>
    </row>
    <row r="171" spans="2:4" x14ac:dyDescent="0.15">
      <c r="B171" s="212" t="str">
        <f>"PV("&amp;C141&amp;" yrs of Dividends)"</f>
        <v>PV(3 yrs of Dividends)</v>
      </c>
      <c r="C171" s="216">
        <f>Scenarios!C103</f>
        <v>2.4278251157606801</v>
      </c>
    </row>
    <row r="172" spans="2:4" x14ac:dyDescent="0.15">
      <c r="B172" s="212" t="str">
        <f>"+ PV(Equity Value realized at year "&amp;C141&amp;")"</f>
        <v>+ PV(Equity Value realized at year 3)</v>
      </c>
      <c r="C172" s="216">
        <f>Scenarios!C104</f>
        <v>17.960823461255792</v>
      </c>
    </row>
    <row r="173" spans="2:4" x14ac:dyDescent="0.15">
      <c r="B173" s="80" t="s">
        <v>382</v>
      </c>
      <c r="C173" s="215">
        <f>Scenarios!C105</f>
        <v>20.388648577016472</v>
      </c>
      <c r="D173" s="300" t="str">
        <f>IF($D$11="","",C173*$E$25)</f>
        <v/>
      </c>
    </row>
    <row r="174" spans="2:4" x14ac:dyDescent="0.15">
      <c r="B174" s="259" t="s">
        <v>396</v>
      </c>
      <c r="C174" s="298" t="str">
        <f>Market_currency</f>
        <v>CNY</v>
      </c>
      <c r="D174" s="298" t="str">
        <f>IF($D$11="","",D$13)</f>
        <v/>
      </c>
    </row>
    <row r="175" spans="2:4" x14ac:dyDescent="0.15">
      <c r="B175" s="214" t="s">
        <v>258</v>
      </c>
      <c r="C175" s="92">
        <f>Scenarios!F105</f>
        <v>0.11554003116982536</v>
      </c>
    </row>
    <row r="177" spans="1:6" ht="16" x14ac:dyDescent="0.25">
      <c r="A177" s="222" t="s">
        <v>357</v>
      </c>
      <c r="B177" s="36"/>
      <c r="C177" s="36"/>
      <c r="D177" s="36"/>
      <c r="E177" s="36"/>
      <c r="F177" s="36"/>
    </row>
    <row r="179" spans="1:6" x14ac:dyDescent="0.15">
      <c r="B179" s="377" t="s">
        <v>477</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478</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v>
      </c>
    </row>
    <row r="4" spans="2:13" x14ac:dyDescent="0.15">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x14ac:dyDescent="0.15">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x14ac:dyDescent="0.15">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x14ac:dyDescent="0.15">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x14ac:dyDescent="0.15">
      <c r="B8" s="40" t="s">
        <v>47</v>
      </c>
      <c r="C8" s="351">
        <v>75683892</v>
      </c>
      <c r="D8" s="351">
        <v>64604520</v>
      </c>
      <c r="E8" s="351">
        <v>53560452</v>
      </c>
      <c r="F8" s="351">
        <v>45085492</v>
      </c>
      <c r="G8" s="351">
        <v>36242796</v>
      </c>
      <c r="H8" s="351">
        <v>30636524</v>
      </c>
      <c r="I8" s="351">
        <v>25189552</v>
      </c>
      <c r="J8" s="351">
        <v>0</v>
      </c>
      <c r="K8" s="351">
        <v>0</v>
      </c>
      <c r="L8" s="351">
        <v>0</v>
      </c>
      <c r="M8" s="351"/>
    </row>
    <row r="9" spans="2:13" x14ac:dyDescent="0.15">
      <c r="B9" s="40" t="s">
        <v>155</v>
      </c>
      <c r="C9" s="351"/>
      <c r="D9" s="351"/>
      <c r="E9" s="351"/>
      <c r="F9" s="351"/>
      <c r="G9" s="351"/>
      <c r="H9" s="351"/>
      <c r="I9" s="351"/>
      <c r="J9" s="351"/>
      <c r="K9" s="351"/>
      <c r="L9" s="351"/>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59672121</v>
      </c>
      <c r="D12" s="351">
        <v>55482330</v>
      </c>
      <c r="E12" s="351">
        <v>54113032</v>
      </c>
      <c r="F12" s="351">
        <v>57135193</v>
      </c>
      <c r="G12" s="351">
        <v>20257228</v>
      </c>
      <c r="H12" s="351">
        <v>14761326</v>
      </c>
      <c r="I12" s="351">
        <v>33195116</v>
      </c>
      <c r="J12" s="351"/>
      <c r="K12" s="351"/>
      <c r="L12" s="351"/>
      <c r="M12" s="351"/>
    </row>
    <row r="13" spans="2:13" x14ac:dyDescent="0.15">
      <c r="B13" s="40" t="s">
        <v>65</v>
      </c>
      <c r="C13" s="351">
        <v>139564139</v>
      </c>
      <c r="D13" s="351">
        <v>133949036</v>
      </c>
      <c r="E13" s="351">
        <v>75916153</v>
      </c>
      <c r="F13" s="351">
        <v>81878485</v>
      </c>
      <c r="G13" s="351">
        <v>49513640</v>
      </c>
      <c r="H13" s="351">
        <v>29229712</v>
      </c>
      <c r="I13" s="351">
        <v>37107822</v>
      </c>
      <c r="J13" s="351"/>
      <c r="K13" s="351"/>
      <c r="L13" s="351"/>
      <c r="M13" s="351"/>
    </row>
    <row r="14" spans="2:13" x14ac:dyDescent="0.15">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x14ac:dyDescent="0.15">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x14ac:dyDescent="0.15">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x14ac:dyDescent="0.15">
      <c r="B18" s="16" t="s">
        <v>49</v>
      </c>
      <c r="C18" s="9"/>
    </row>
    <row r="19" spans="2:13" ht="13" x14ac:dyDescent="0.15">
      <c r="B19" s="27" t="s">
        <v>45</v>
      </c>
      <c r="C19" s="351"/>
      <c r="D19" s="351"/>
      <c r="E19" s="351"/>
      <c r="F19" s="351"/>
      <c r="G19" s="351"/>
      <c r="H19" s="351"/>
      <c r="I19" s="351"/>
      <c r="J19" s="351"/>
      <c r="K19" s="351"/>
      <c r="L19" s="351"/>
      <c r="M19" s="351"/>
    </row>
    <row r="20" spans="2:13" ht="13" x14ac:dyDescent="0.15">
      <c r="B20" s="27" t="s">
        <v>51</v>
      </c>
      <c r="C20" s="351"/>
      <c r="D20" s="351"/>
      <c r="E20" s="351"/>
      <c r="F20" s="351"/>
      <c r="G20" s="351"/>
      <c r="H20" s="351"/>
      <c r="I20" s="351"/>
      <c r="J20" s="351"/>
      <c r="K20" s="351"/>
      <c r="L20" s="351"/>
      <c r="M20" s="351"/>
    </row>
    <row r="21" spans="2:13" ht="13" x14ac:dyDescent="0.15">
      <c r="B21" s="27" t="s">
        <v>50</v>
      </c>
      <c r="C21" s="351"/>
      <c r="D21" s="351"/>
      <c r="E21" s="351"/>
      <c r="F21" s="351"/>
      <c r="G21" s="351"/>
      <c r="H21" s="351"/>
      <c r="I21" s="351"/>
      <c r="J21" s="351"/>
      <c r="K21" s="351"/>
      <c r="L21" s="351"/>
      <c r="M21" s="351"/>
    </row>
    <row r="22" spans="2:13" ht="13" x14ac:dyDescent="0.15">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ht="13" x14ac:dyDescent="0.15">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ht="13" x14ac:dyDescent="0.15">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x14ac:dyDescent="0.15">
      <c r="B25" s="24" t="str">
        <f>"Dividend per share ("&amp;Market_currency&amp;")"</f>
        <v>Dividend per share (CNY)</v>
      </c>
      <c r="C25" s="39">
        <f>10.6/10</f>
        <v>1.06</v>
      </c>
      <c r="D25" s="39"/>
      <c r="E25" s="39"/>
      <c r="F25" s="39"/>
      <c r="G25" s="39"/>
      <c r="H25" s="39"/>
      <c r="I25" s="39"/>
      <c r="J25" s="39"/>
      <c r="K25" s="39"/>
      <c r="L25" s="39"/>
      <c r="M25" s="39"/>
    </row>
    <row r="27" spans="2:13" x14ac:dyDescent="0.15">
      <c r="B27" s="16" t="s">
        <v>26</v>
      </c>
      <c r="C27" s="97" t="s">
        <v>559</v>
      </c>
    </row>
    <row r="28" spans="2:13" ht="13" x14ac:dyDescent="0.15">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ht="13" x14ac:dyDescent="0.15">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ht="13" x14ac:dyDescent="0.15">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ht="13" x14ac:dyDescent="0.15">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ht="13" x14ac:dyDescent="0.15">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x14ac:dyDescent="0.15">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ht="13" x14ac:dyDescent="0.15">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x14ac:dyDescent="0.15">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x14ac:dyDescent="0.15">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x14ac:dyDescent="0.15">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x14ac:dyDescent="0.15">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x14ac:dyDescent="0.15">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x14ac:dyDescent="0.15">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x14ac:dyDescent="0.15">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x14ac:dyDescent="0.15">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x14ac:dyDescent="0.15">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x14ac:dyDescent="0.15">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x14ac:dyDescent="0.15">
      <c r="B50" s="16" t="s">
        <v>66</v>
      </c>
    </row>
    <row r="51" spans="2:13" x14ac:dyDescent="0.15">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x14ac:dyDescent="0.15">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x14ac:dyDescent="0.15">
      <c r="B54" s="174" t="s">
        <v>164</v>
      </c>
    </row>
    <row r="55" spans="2:13" x14ac:dyDescent="0.15">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x14ac:dyDescent="0.15">
      <c r="B60" s="16" t="s">
        <v>49</v>
      </c>
      <c r="C60" s="9"/>
    </row>
    <row r="61" spans="2:13" ht="13" x14ac:dyDescent="0.15">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ht="13" x14ac:dyDescent="0.15">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ht="13" x14ac:dyDescent="0.15">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x14ac:dyDescent="0.15">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82</v>
      </c>
    </row>
    <row r="68" spans="2:13" x14ac:dyDescent="0.15">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ht="13" x14ac:dyDescent="0.15">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x14ac:dyDescent="0.15">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x14ac:dyDescent="0.15">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x14ac:dyDescent="0.15">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ht="13" x14ac:dyDescent="0.15">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ht="13" x14ac:dyDescent="0.15">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ht="13" x14ac:dyDescent="0.15">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ht="13" x14ac:dyDescent="0.15">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45657</v>
      </c>
      <c r="F1" s="86" t="str">
        <f>IF(MONTH(C1)=MONTH(Normalized_FCF!G1),"FY","Quarter")&amp;" Report"</f>
        <v>FY Report</v>
      </c>
      <c r="H1" s="107">
        <f>scaling_factor</f>
        <v>1</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f>64090000+418378550.52+6446920.18</f>
        <v>488915470.69999999</v>
      </c>
      <c r="D4" s="261">
        <v>0.6</v>
      </c>
      <c r="E4" s="25"/>
      <c r="F4" s="4" t="s">
        <v>75</v>
      </c>
      <c r="G4" s="19">
        <v>4583178463.29</v>
      </c>
      <c r="H4" s="261">
        <v>0.9</v>
      </c>
    </row>
    <row r="5" spans="2:8" ht="15" customHeight="1" x14ac:dyDescent="0.15">
      <c r="B5" s="1" t="s">
        <v>31</v>
      </c>
      <c r="C5" s="19">
        <v>0</v>
      </c>
      <c r="D5" s="261">
        <v>0.6</v>
      </c>
      <c r="E5" s="25"/>
      <c r="F5" s="1" t="s">
        <v>27</v>
      </c>
      <c r="G5" s="19">
        <v>0</v>
      </c>
      <c r="H5" s="261">
        <v>0.7</v>
      </c>
    </row>
    <row r="6" spans="2:8" ht="15" customHeight="1" x14ac:dyDescent="0.15">
      <c r="B6" s="4" t="s">
        <v>8</v>
      </c>
      <c r="C6" s="19">
        <v>1545872989.1700001</v>
      </c>
      <c r="D6" s="261">
        <v>0.5</v>
      </c>
      <c r="E6" s="25"/>
      <c r="F6" s="4" t="s">
        <v>173</v>
      </c>
      <c r="G6" s="19">
        <v>0</v>
      </c>
      <c r="H6" s="261">
        <v>0.6</v>
      </c>
    </row>
    <row r="7" spans="2:8" ht="15" customHeight="1" x14ac:dyDescent="0.15">
      <c r="B7" s="1" t="s">
        <v>67</v>
      </c>
      <c r="C7" s="19">
        <v>0</v>
      </c>
      <c r="D7" s="261">
        <v>0.6</v>
      </c>
      <c r="E7" s="25"/>
      <c r="F7" s="4" t="s">
        <v>174</v>
      </c>
      <c r="G7" s="19">
        <v>304944913.81999999</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63782145.289999999</v>
      </c>
      <c r="D9" s="261">
        <v>0.1</v>
      </c>
      <c r="E9" s="25"/>
      <c r="F9" s="4" t="s">
        <v>176</v>
      </c>
      <c r="G9" s="19">
        <v>0</v>
      </c>
      <c r="H9" s="261">
        <v>0.6</v>
      </c>
    </row>
    <row r="10" spans="2:8" ht="15" customHeight="1" x14ac:dyDescent="0.15">
      <c r="B10" s="4" t="s">
        <v>9</v>
      </c>
      <c r="C10" s="19">
        <v>0</v>
      </c>
      <c r="D10" s="261">
        <v>0.9</v>
      </c>
      <c r="H10" s="262"/>
    </row>
    <row r="11" spans="2:8" ht="15" customHeight="1" x14ac:dyDescent="0.15">
      <c r="B11" s="4" t="s">
        <v>10</v>
      </c>
      <c r="C11" s="19">
        <v>406953110.22000003</v>
      </c>
      <c r="D11" s="261">
        <v>0.05</v>
      </c>
      <c r="H11" s="262"/>
    </row>
    <row r="12" spans="2:8" ht="15" customHeight="1" x14ac:dyDescent="0.15">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431</v>
      </c>
      <c r="C15" s="19">
        <v>0</v>
      </c>
      <c r="D15" s="261">
        <v>0.4</v>
      </c>
      <c r="F15" s="4" t="s">
        <v>76</v>
      </c>
      <c r="G15" s="19">
        <v>0</v>
      </c>
      <c r="H15" s="261">
        <v>0.8</v>
      </c>
    </row>
    <row r="16" spans="2:8" ht="15" customHeight="1" x14ac:dyDescent="0.15">
      <c r="B16" s="1" t="s">
        <v>32</v>
      </c>
      <c r="C16" s="19">
        <v>218481267.78999999</v>
      </c>
      <c r="D16" s="261">
        <v>0.5</v>
      </c>
      <c r="F16" s="4" t="s">
        <v>173</v>
      </c>
      <c r="G16" s="19">
        <v>0</v>
      </c>
      <c r="H16" s="261">
        <v>0.6</v>
      </c>
    </row>
    <row r="17" spans="2:8" ht="15" customHeight="1" x14ac:dyDescent="0.15">
      <c r="B17" s="1" t="s">
        <v>67</v>
      </c>
      <c r="C17" s="19">
        <v>0</v>
      </c>
      <c r="D17" s="261">
        <v>0.6</v>
      </c>
      <c r="F17" s="4" t="s">
        <v>174</v>
      </c>
      <c r="G17" s="19">
        <v>664145486.29999995</v>
      </c>
      <c r="H17" s="261">
        <v>0.6</v>
      </c>
    </row>
    <row r="18" spans="2:8" ht="15" customHeight="1" x14ac:dyDescent="0.15">
      <c r="B18" s="4" t="s">
        <v>169</v>
      </c>
      <c r="C18" s="19">
        <v>0</v>
      </c>
      <c r="D18" s="261">
        <v>0.6</v>
      </c>
      <c r="F18" s="4" t="s">
        <v>177</v>
      </c>
      <c r="G18" s="19">
        <v>0</v>
      </c>
      <c r="H18" s="261">
        <v>0.1</v>
      </c>
    </row>
    <row r="19" spans="2:8" ht="15" customHeight="1" x14ac:dyDescent="0.15">
      <c r="B19" s="4" t="s">
        <v>24</v>
      </c>
      <c r="C19" s="19">
        <f>1326974361.16+5553565.01</f>
        <v>1332527926.1700001</v>
      </c>
      <c r="D19" s="261">
        <v>0.1</v>
      </c>
      <c r="F19" s="4" t="s">
        <v>178</v>
      </c>
      <c r="G19" s="19">
        <v>91308996.629999995</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285880529</v>
      </c>
      <c r="D21" s="261">
        <v>0.05</v>
      </c>
      <c r="F21" s="1" t="s">
        <v>176</v>
      </c>
      <c r="G21" s="19">
        <v>0</v>
      </c>
      <c r="H21" s="261">
        <v>0.1</v>
      </c>
    </row>
    <row r="22" spans="2:8" ht="15" customHeight="1" x14ac:dyDescent="0.15">
      <c r="B22" s="4" t="s">
        <v>18</v>
      </c>
      <c r="C22" s="19">
        <v>64397018.740000002</v>
      </c>
      <c r="D22" s="261">
        <v>0.9</v>
      </c>
      <c r="H22" s="262"/>
    </row>
    <row r="23" spans="2:8" ht="15" customHeight="1" x14ac:dyDescent="0.15">
      <c r="B23" s="4" t="s">
        <v>19</v>
      </c>
      <c r="C23" s="19">
        <f>1931.1+6666621.46</f>
        <v>6668552.5599999996</v>
      </c>
      <c r="D23" s="261">
        <v>0</v>
      </c>
      <c r="H23" s="262"/>
    </row>
    <row r="24" spans="2:8" ht="15" customHeight="1" x14ac:dyDescent="0.15">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x14ac:dyDescent="0.15">
      <c r="B26" s="16" t="s">
        <v>196</v>
      </c>
      <c r="C26" s="182" t="s">
        <v>132</v>
      </c>
      <c r="F26" s="184" t="s">
        <v>192</v>
      </c>
      <c r="G26" s="185" t="s">
        <v>132</v>
      </c>
      <c r="H26" s="186" t="s">
        <v>33</v>
      </c>
    </row>
    <row r="27" spans="2:8" ht="15" customHeight="1" x14ac:dyDescent="0.15">
      <c r="B27" s="4" t="s">
        <v>3</v>
      </c>
      <c r="C27" s="19">
        <v>850003104.54999995</v>
      </c>
      <c r="F27" s="187" t="s">
        <v>28</v>
      </c>
      <c r="G27" s="85">
        <f>G32-G30</f>
        <v>5728144421.2400007</v>
      </c>
      <c r="H27" s="188">
        <f>H32-G30</f>
        <v>1794289725.1290007</v>
      </c>
    </row>
    <row r="28" spans="2:8" ht="15" customHeight="1" x14ac:dyDescent="0.15">
      <c r="B28" s="4" t="s">
        <v>4</v>
      </c>
      <c r="C28" s="19">
        <v>0</v>
      </c>
      <c r="F28" s="189" t="s">
        <v>240</v>
      </c>
      <c r="G28" s="12">
        <v>2154785.64</v>
      </c>
      <c r="H28" s="188"/>
    </row>
    <row r="29" spans="2:8" ht="15" customHeight="1" x14ac:dyDescent="0.15">
      <c r="B29" s="4" t="s">
        <v>5</v>
      </c>
      <c r="C29" s="19">
        <v>0</v>
      </c>
      <c r="F29" s="190" t="s">
        <v>73</v>
      </c>
      <c r="G29" s="14">
        <f>G27-G28</f>
        <v>5725989635.6000004</v>
      </c>
      <c r="H29" s="188">
        <f>H27-G28</f>
        <v>1792134939.4890006</v>
      </c>
    </row>
    <row r="30" spans="2:8" ht="15" customHeight="1" x14ac:dyDescent="0.15">
      <c r="B30" s="2" t="s">
        <v>6</v>
      </c>
      <c r="C30" s="19">
        <v>0</v>
      </c>
      <c r="F30" s="187" t="s">
        <v>21</v>
      </c>
      <c r="G30" s="85">
        <f>C33+C42</f>
        <v>4328912448.4399996</v>
      </c>
      <c r="H30" s="188"/>
    </row>
    <row r="31" spans="2:8" ht="15" customHeight="1" x14ac:dyDescent="0.15">
      <c r="B31" s="80" t="s">
        <v>199</v>
      </c>
      <c r="C31" s="81">
        <f>SUM(C27:C30)</f>
        <v>850003104.54999995</v>
      </c>
      <c r="F31" s="190" t="s">
        <v>74</v>
      </c>
      <c r="G31" s="191">
        <f>C31+C40</f>
        <v>2209595736.0500002</v>
      </c>
      <c r="H31" s="188"/>
    </row>
    <row r="32" spans="2:8" ht="15" customHeight="1" x14ac:dyDescent="0.15">
      <c r="B32" s="4" t="s">
        <v>7</v>
      </c>
      <c r="C32" s="21">
        <f>C33-C31</f>
        <v>2033032766.8</v>
      </c>
      <c r="F32" s="192" t="s">
        <v>72</v>
      </c>
      <c r="G32" s="193">
        <f>G35+G40</f>
        <v>10057056869.68</v>
      </c>
      <c r="H32" s="188">
        <f>H35+H40</f>
        <v>6123202173.5690002</v>
      </c>
    </row>
    <row r="33" spans="2:8" ht="15" customHeight="1" x14ac:dyDescent="0.15">
      <c r="B33" s="83" t="s">
        <v>2</v>
      </c>
      <c r="C33" s="84">
        <v>2883035871.3499999</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4413479009.6400003</v>
      </c>
      <c r="H35" s="200">
        <f>D12+D24</f>
        <v>1407756416.8729999</v>
      </c>
    </row>
    <row r="36" spans="2:8" ht="15" customHeight="1" x14ac:dyDescent="0.15">
      <c r="B36" s="4" t="s">
        <v>11</v>
      </c>
      <c r="C36" s="19">
        <v>0</v>
      </c>
      <c r="F36" s="190" t="s">
        <v>193</v>
      </c>
      <c r="G36" s="191">
        <f>C4+C15</f>
        <v>488915470.69999999</v>
      </c>
      <c r="H36" s="195"/>
    </row>
    <row r="37" spans="2:8" ht="15" customHeight="1" x14ac:dyDescent="0.15">
      <c r="B37" s="4" t="s">
        <v>12</v>
      </c>
      <c r="C37" s="19">
        <v>2885347.22</v>
      </c>
      <c r="F37" s="190" t="s">
        <v>194</v>
      </c>
      <c r="G37" s="191">
        <f>C6</f>
        <v>1545872989.1700001</v>
      </c>
      <c r="H37" s="195"/>
    </row>
    <row r="38" spans="2:8" ht="15" customHeight="1" x14ac:dyDescent="0.15">
      <c r="B38" s="4" t="s">
        <v>13</v>
      </c>
      <c r="C38" s="19">
        <v>0</v>
      </c>
      <c r="F38" s="190" t="s">
        <v>195</v>
      </c>
      <c r="G38" s="191">
        <f>C7+C17</f>
        <v>0</v>
      </c>
      <c r="H38" s="195"/>
    </row>
    <row r="39" spans="2:8" ht="15" customHeight="1" x14ac:dyDescent="0.15">
      <c r="B39" s="2" t="s">
        <v>14</v>
      </c>
      <c r="C39" s="19">
        <v>1356707284.28</v>
      </c>
      <c r="F39" s="190" t="s">
        <v>77</v>
      </c>
      <c r="G39" s="191">
        <f>C7+C17+C19+C20</f>
        <v>1332527926.1700001</v>
      </c>
      <c r="H39" s="188">
        <f>C7*D7+C17*D17+C19*D19+C20*D20</f>
        <v>133252792.61700001</v>
      </c>
    </row>
    <row r="40" spans="2:8" ht="15" customHeight="1" x14ac:dyDescent="0.15">
      <c r="B40" s="80" t="s">
        <v>200</v>
      </c>
      <c r="C40" s="81">
        <f>SUM(C36:C39)</f>
        <v>1359592631.5</v>
      </c>
      <c r="F40" s="199" t="s">
        <v>134</v>
      </c>
      <c r="G40" s="193">
        <f>G12+G24</f>
        <v>5643577860.04</v>
      </c>
      <c r="H40" s="200">
        <f>H12+H24</f>
        <v>4715445756.6960001</v>
      </c>
    </row>
    <row r="41" spans="2:8" ht="15" customHeight="1" x14ac:dyDescent="0.15">
      <c r="B41" s="4" t="s">
        <v>15</v>
      </c>
      <c r="C41" s="21">
        <f>C42-C40</f>
        <v>86283945.589999914</v>
      </c>
      <c r="F41" s="190" t="s">
        <v>187</v>
      </c>
      <c r="G41" s="191">
        <f>C70</f>
        <v>4583178463.29</v>
      </c>
      <c r="H41" s="200">
        <f>H40-H42</f>
        <v>4124860616.961</v>
      </c>
    </row>
    <row r="42" spans="2:8" ht="15" customHeight="1" x14ac:dyDescent="0.15">
      <c r="B42" s="83" t="s">
        <v>20</v>
      </c>
      <c r="C42" s="84">
        <v>1445876577.0899999</v>
      </c>
      <c r="F42" s="201" t="s">
        <v>188</v>
      </c>
      <c r="G42" s="202">
        <f>C82</f>
        <v>1060399396.7499999</v>
      </c>
      <c r="H42" s="203">
        <f>D82</f>
        <v>590585139.73500001</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5725989635.6000004</v>
      </c>
      <c r="D46" s="76">
        <f>H29</f>
        <v>1792134939.4890006</v>
      </c>
      <c r="F46" s="253"/>
    </row>
    <row r="47" spans="2:8" ht="15" customHeight="1" x14ac:dyDescent="0.15">
      <c r="B47" s="1" t="str">
        <f>"Equity per share ("&amp;Market_currency&amp;")"</f>
        <v>Equity per share (CNY)</v>
      </c>
      <c r="C47" s="147">
        <f>C46*H1/Common_Shares*Exchange_Rate</f>
        <v>11.319426701748018</v>
      </c>
      <c r="D47" s="147">
        <f>D46*H1/Common_Shares*Exchange_Rate</f>
        <v>3.5427832354191278</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2.3913910654887354</v>
      </c>
      <c r="D50" s="95">
        <f>G31/Normalized_FCF!G8</f>
        <v>2.4827308199218852</v>
      </c>
      <c r="F50" s="253"/>
    </row>
    <row r="51" spans="2:8" ht="15" customHeight="1" x14ac:dyDescent="0.15">
      <c r="B51" s="1" t="s">
        <v>172</v>
      </c>
      <c r="C51" s="181"/>
      <c r="D51" s="92">
        <f>G29/G32</f>
        <v>0.56935042824135806</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0.20935394807077129</v>
      </c>
      <c r="D54" s="92">
        <f>Normalized_FCF!G8/G35</f>
        <v>0.20165180893713927</v>
      </c>
      <c r="F54" s="253"/>
    </row>
    <row r="55" spans="2:8" ht="15" customHeight="1" x14ac:dyDescent="0.15">
      <c r="B55" s="1" t="s">
        <v>137</v>
      </c>
      <c r="C55" s="92">
        <f>Normalized_FCF!C11/G40</f>
        <v>0</v>
      </c>
      <c r="D55" s="92">
        <f>Normalized_FCF!G11/G40</f>
        <v>0</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0</v>
      </c>
      <c r="F58" s="5"/>
    </row>
    <row r="59" spans="2:8" ht="15" customHeight="1" x14ac:dyDescent="0.15">
      <c r="B59" s="1" t="s">
        <v>90</v>
      </c>
      <c r="C59" s="98"/>
      <c r="D59" s="92">
        <f>G39/G32</f>
        <v>0.13249680731022842</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3.7631672027541312E-4</v>
      </c>
      <c r="D62" s="92">
        <f>G28/G29</f>
        <v>3.7631672027541312E-4</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4583178463.29</v>
      </c>
      <c r="D66" s="76">
        <f>C66-D75</f>
        <v>3530916331.352602</v>
      </c>
      <c r="F66" s="5" t="s">
        <v>222</v>
      </c>
    </row>
    <row r="67" spans="2:6" ht="15" customHeight="1" x14ac:dyDescent="0.15">
      <c r="B67" s="105" t="s">
        <v>173</v>
      </c>
      <c r="C67" s="20">
        <f>G6+G16</f>
        <v>0</v>
      </c>
      <c r="F67" s="253"/>
    </row>
    <row r="68" spans="2:6" ht="15" customHeight="1" x14ac:dyDescent="0.15">
      <c r="B68" s="105" t="s">
        <v>177</v>
      </c>
      <c r="C68" s="20">
        <f>G18</f>
        <v>0</v>
      </c>
      <c r="F68" s="253"/>
    </row>
    <row r="69" spans="2:6" ht="15" customHeight="1" x14ac:dyDescent="0.15">
      <c r="B69" s="105" t="s">
        <v>175</v>
      </c>
      <c r="C69" s="20">
        <f>G8+G20</f>
        <v>0</v>
      </c>
      <c r="F69" s="253"/>
    </row>
    <row r="70" spans="2:6" ht="15" customHeight="1" x14ac:dyDescent="0.15">
      <c r="B70" s="80" t="s">
        <v>184</v>
      </c>
      <c r="C70" s="81">
        <f>SUM(C66:C69)</f>
        <v>4583178463.29</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-564798704.21000004</v>
      </c>
      <c r="D73" s="349">
        <f>(Normalized_FCF!C25+Normalized_FCF!C35-Normalized_FCF!C91)/12</f>
        <v>-526131065.96869904</v>
      </c>
      <c r="F73" s="1" t="s">
        <v>342</v>
      </c>
    </row>
    <row r="74" spans="2:6" ht="15" customHeight="1" x14ac:dyDescent="0.15">
      <c r="B74" s="257" t="s">
        <v>312</v>
      </c>
      <c r="C74" s="258">
        <f>-$C$66/C73</f>
        <v>8.1147113637603354</v>
      </c>
      <c r="D74" s="258">
        <f>-$C$66/D73</f>
        <v>8.7110964543626963</v>
      </c>
      <c r="F74" s="253" t="s">
        <v>310</v>
      </c>
    </row>
    <row r="75" spans="2:6" ht="15" customHeight="1" x14ac:dyDescent="0.15">
      <c r="B75" s="80" t="s">
        <v>311</v>
      </c>
      <c r="C75" s="320"/>
      <c r="D75" s="321">
        <f>MAX(-D73*D76,G5)</f>
        <v>1052262131.9373981</v>
      </c>
      <c r="F75" s="253" t="s">
        <v>343</v>
      </c>
    </row>
    <row r="76" spans="2:6" ht="15" customHeight="1" x14ac:dyDescent="0.15">
      <c r="B76" s="259" t="s">
        <v>313</v>
      </c>
      <c r="C76" s="260"/>
      <c r="D76" s="290">
        <f>IF(valuation_method="DCF",IF(D74&lt;=3,1,IF(D74&gt;18,6,2)),-C66/D73)</f>
        <v>2</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969090400.11999989</v>
      </c>
      <c r="D79" s="76">
        <f>G7*H7+G17*H17</f>
        <v>581454240.07200003</v>
      </c>
      <c r="F79" s="253"/>
    </row>
    <row r="80" spans="2:6" ht="15" customHeight="1" x14ac:dyDescent="0.15">
      <c r="B80" s="105" t="s">
        <v>178</v>
      </c>
      <c r="C80" s="20">
        <f>G19</f>
        <v>91308996.629999995</v>
      </c>
      <c r="D80" s="76">
        <f>G19*H19</f>
        <v>9130899.6630000006</v>
      </c>
      <c r="F80" s="253"/>
    </row>
    <row r="81" spans="2:8" ht="15" customHeight="1" x14ac:dyDescent="0.15">
      <c r="B81" s="105" t="s">
        <v>176</v>
      </c>
      <c r="C81" s="20">
        <f>G9+G21</f>
        <v>0</v>
      </c>
      <c r="D81" s="76">
        <f>G9*H9+G21*H21</f>
        <v>0</v>
      </c>
      <c r="F81" s="253"/>
    </row>
    <row r="82" spans="2:8" ht="15" customHeight="1" x14ac:dyDescent="0.15">
      <c r="B82" s="80" t="s">
        <v>185</v>
      </c>
      <c r="C82" s="81">
        <f>SUM(C79:C81)</f>
        <v>1060399396.7499999</v>
      </c>
      <c r="D82" s="81">
        <f>SUM(D79:D81)</f>
        <v>590585139.73500001</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-2209595736.0500002</v>
      </c>
      <c r="D86" s="223">
        <f>C86*scaling_factor/Common_Shares</f>
        <v>-4.3680409093321932</v>
      </c>
      <c r="E86" s="240" t="str">
        <f>Market_currency</f>
        <v>CNY</v>
      </c>
    </row>
    <row r="87" spans="2:8" ht="15" customHeight="1" x14ac:dyDescent="0.15">
      <c r="B87" s="238" t="s">
        <v>282</v>
      </c>
      <c r="C87" s="76">
        <f>DCF!C8*Exchange_Rate</f>
        <v>3530916331.352602</v>
      </c>
      <c r="D87" s="223">
        <f>C87*scaling_factor/Common_Shares</f>
        <v>6.9800944720995357</v>
      </c>
      <c r="E87" s="240" t="str">
        <f>Market_currency</f>
        <v>CNY</v>
      </c>
    </row>
    <row r="88" spans="2:8" ht="15" customHeight="1" x14ac:dyDescent="0.15">
      <c r="B88" s="239" t="s">
        <v>185</v>
      </c>
      <c r="C88" s="76">
        <f>DCF!C9*Exchange_Rate</f>
        <v>590585139.73500001</v>
      </c>
      <c r="D88" s="223">
        <f>C88*scaling_factor/Common_Shares</f>
        <v>1.1674986553955653</v>
      </c>
      <c r="E88" s="240" t="str">
        <f>Market_currency</f>
        <v>CNY</v>
      </c>
    </row>
    <row r="89" spans="2:8" ht="15" customHeight="1" x14ac:dyDescent="0.15">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v>
      </c>
      <c r="D3" s="9"/>
      <c r="E3" s="268"/>
      <c r="F3" s="9"/>
      <c r="G3" s="9"/>
    </row>
    <row r="4" spans="1:17" ht="15.75" customHeight="1" x14ac:dyDescent="0.15">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x14ac:dyDescent="0.15">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x14ac:dyDescent="0.15">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x14ac:dyDescent="0.15">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x14ac:dyDescent="0.15">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x14ac:dyDescent="0.15">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x14ac:dyDescent="0.15">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x14ac:dyDescent="0.15">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x14ac:dyDescent="0.15">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x14ac:dyDescent="0.15">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x14ac:dyDescent="0.15">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x14ac:dyDescent="0.15">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x14ac:dyDescent="0.2">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x14ac:dyDescent="0.15">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x14ac:dyDescent="0.2">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x14ac:dyDescent="0.15">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x14ac:dyDescent="0.15">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x14ac:dyDescent="0.15">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x14ac:dyDescent="0.15">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x14ac:dyDescent="0.15">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x14ac:dyDescent="0.15">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x14ac:dyDescent="0.15">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x14ac:dyDescent="0.15">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x14ac:dyDescent="0.15">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x14ac:dyDescent="0.15">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x14ac:dyDescent="0.15">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x14ac:dyDescent="0.15">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x14ac:dyDescent="0.15">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x14ac:dyDescent="0.15">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x14ac:dyDescent="0.15">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x14ac:dyDescent="0.15">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x14ac:dyDescent="0.15">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x14ac:dyDescent="0.15">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x14ac:dyDescent="0.15">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433</v>
      </c>
      <c r="C93" s="356">
        <v>0.1</v>
      </c>
      <c r="E93" s="268"/>
      <c r="G93" s="357"/>
      <c r="H93" s="357"/>
      <c r="I93" s="357"/>
      <c r="J93" s="357"/>
      <c r="K93" s="357"/>
      <c r="L93" s="357"/>
      <c r="M93" s="357"/>
      <c r="N93" s="357"/>
      <c r="O93" s="357"/>
      <c r="P93" s="357"/>
      <c r="Q93" s="357"/>
    </row>
    <row r="94" spans="1:17" ht="15.75" customHeight="1" x14ac:dyDescent="0.15">
      <c r="A94" s="10"/>
      <c r="B94" s="2" t="s">
        <v>432</v>
      </c>
      <c r="C94" s="23">
        <f>(C90*(1-dividend_tax_rate))/Market_Price</f>
        <v>4.1878841088674276E-2</v>
      </c>
      <c r="E94" s="268"/>
      <c r="G94" s="23">
        <f t="shared" ref="G94:Q94" si="39">IF(G$4="","",(G90*(1-dividend_tax_rate))/Market_Price)</f>
        <v>4.1878841088674276E-2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x14ac:dyDescent="0.15">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x14ac:dyDescent="0.15">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x14ac:dyDescent="0.15">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x14ac:dyDescent="0.15">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x14ac:dyDescent="0.15">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x14ac:dyDescent="0.15">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x14ac:dyDescent="0.15">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x14ac:dyDescent="0.15">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x14ac:dyDescent="0.15">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x14ac:dyDescent="0.15">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x14ac:dyDescent="0.15">
      <c r="A126" s="10"/>
      <c r="B126" s="27" t="s">
        <v>264</v>
      </c>
      <c r="C126" s="77">
        <f>C19*Exchange_Rate*$C$3/(Market_Price*Common_Shares)</f>
        <v>5.8132612896145734E-2</v>
      </c>
      <c r="D126" s="27"/>
      <c r="E126" s="265"/>
      <c r="F126" s="27"/>
      <c r="G126" s="77">
        <f t="shared" ref="G126" si="50">IF(G$4="","",G125/Market_Price)</f>
        <v>5.4879543331968282E-2</v>
      </c>
      <c r="H126" s="77">
        <f t="shared" ref="H126" si="51">IF(H$4="","",H125/Market_Price)</f>
        <v>5.0493748332175493E-2</v>
      </c>
      <c r="I126" s="77">
        <f t="shared" ref="I126" si="52">IF(I$4="","",I125/Market_Price)</f>
        <v>6.6317583029462557E-2</v>
      </c>
      <c r="J126" s="77">
        <f t="shared" ref="J126" si="53">IF(J$4="","",J125/Market_Price)</f>
        <v>6.1421288551737944E-2</v>
      </c>
      <c r="K126" s="77">
        <f t="shared" ref="K126" si="54">IF(K$4="","",K125/Market_Price)</f>
        <v>5.5897440925529958E-2</v>
      </c>
      <c r="L126" s="77">
        <f t="shared" ref="L126" si="55">IF(L$4="","",L125/Market_Price)</f>
        <v>3.8794195671351388E-2</v>
      </c>
      <c r="M126" s="77">
        <f t="shared" ref="M126" si="56">IF(M$4="","",M125/Market_Price)</f>
        <v>2.484314743532922E-2</v>
      </c>
      <c r="N126" s="77">
        <f t="shared" ref="N126" si="57">IF(N$4="","",N125/Market_Price)</f>
        <v>2.0609089407489116E-2</v>
      </c>
      <c r="O126" s="77">
        <f t="shared" ref="O126" si="58">IF(O$4="","",O125/Market_Price)</f>
        <v>2.4414732007297376E-2</v>
      </c>
      <c r="P126" s="77">
        <f t="shared" ref="P126" si="59">IF(P$4="","",P125/Market_Price)</f>
        <v>2.5587370432621406E-2</v>
      </c>
      <c r="Q126" s="77" t="str">
        <f t="shared" ref="Q126" si="60">IF(Q$4="","",Q125/Market_Price)</f>
        <v/>
      </c>
    </row>
    <row r="127" spans="1:17" ht="15.75" customHeight="1" x14ac:dyDescent="0.15">
      <c r="B127" s="2" t="s">
        <v>375</v>
      </c>
      <c r="C127" s="169"/>
      <c r="G127" s="23">
        <f>IF(G$4="","",(Data!C47*$C$3)/(Market_Price*Common_Shares))</f>
        <v>7.3774205665959838E-2</v>
      </c>
      <c r="H127" s="23">
        <f>IF(H$4="","",(Data!D47*$C$3)/(Market_Price*Common_Shares))</f>
        <v>6.9699246835110154E-2</v>
      </c>
      <c r="I127" s="23">
        <f>IF(I$4="","",(Data!E47*$C$3)/(Market_Price*Common_Shares))</f>
        <v>8.4909340425235999E-2</v>
      </c>
      <c r="J127" s="23">
        <f>IF(J$4="","",(Data!F47*$C$3)/(Market_Price*Common_Shares))</f>
        <v>8.0681614858114967E-2</v>
      </c>
      <c r="K127" s="23">
        <f>IF(K$4="","",(Data!G47*$C$3)/(Market_Price*Common_Shares))</f>
        <v>6.9862049950471572E-2</v>
      </c>
      <c r="L127" s="23">
        <f>IF(L$4="","",(Data!H47*$C$3)/(Market_Price*Common_Shares))</f>
        <v>5.2369800838976827E-2</v>
      </c>
      <c r="M127" s="23">
        <f>IF(M$4="","",(Data!I47*$C$3)/(Market_Price*Common_Shares))</f>
        <v>3.8319525215865485E-2</v>
      </c>
      <c r="N127" s="23">
        <f>IF(N$4="","",(Data!J47*$C$3)/(Market_Price*Common_Shares))</f>
        <v>2.7916033579939006E-2</v>
      </c>
      <c r="O127" s="23">
        <f>IF(O$4="","",(Data!K47*$C$3)/(Market_Price*Common_Shares))</f>
        <v>3.1157155998436426E-2</v>
      </c>
      <c r="P127" s="23">
        <f>IF(P$4="","",(Data!L47*$C$3)/(Market_Price*Common_Shares))</f>
        <v>3.1688069804382671E-2</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v>
      </c>
      <c r="E3" s="109" t="s">
        <v>120</v>
      </c>
      <c r="H3" s="120"/>
    </row>
    <row r="4" spans="2:8" x14ac:dyDescent="0.15">
      <c r="B4" s="100" t="s">
        <v>124</v>
      </c>
      <c r="C4" s="338">
        <f>Normalized_FCF!C19</f>
        <v>669884130.41609263</v>
      </c>
      <c r="D4" t="str">
        <f>Reporting_currency</f>
        <v>CNY</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8931788405.5479031</v>
      </c>
      <c r="D6" t="str">
        <f>Reporting_currency</f>
        <v>CNY</v>
      </c>
      <c r="E6" s="378" t="s">
        <v>245</v>
      </c>
      <c r="F6" s="378"/>
      <c r="H6" s="120"/>
    </row>
    <row r="7" spans="2:8" x14ac:dyDescent="0.15">
      <c r="B7" s="148" t="s">
        <v>220</v>
      </c>
      <c r="C7" s="338">
        <f>BS!G31</f>
        <v>2209595736.0500002</v>
      </c>
      <c r="D7" t="str">
        <f>Reporting_currency</f>
        <v>CNY</v>
      </c>
      <c r="E7" s="378"/>
      <c r="F7" s="378"/>
      <c r="H7" s="120"/>
    </row>
    <row r="8" spans="2:8" x14ac:dyDescent="0.15">
      <c r="B8" s="148" t="s">
        <v>221</v>
      </c>
      <c r="C8" s="338">
        <f>BS!D66</f>
        <v>3530916331.352602</v>
      </c>
      <c r="D8" t="str">
        <f>Reporting_currency</f>
        <v>CNY</v>
      </c>
      <c r="E8" s="378"/>
      <c r="F8" s="378"/>
      <c r="H8" s="120"/>
    </row>
    <row r="9" spans="2:8" x14ac:dyDescent="0.15">
      <c r="B9" s="205" t="s">
        <v>186</v>
      </c>
      <c r="C9" s="348">
        <f>BS!H42</f>
        <v>590585139.73500001</v>
      </c>
      <c r="D9" t="str">
        <f>Reporting_currency</f>
        <v>CNY</v>
      </c>
      <c r="E9" s="378"/>
      <c r="F9" s="378"/>
      <c r="H9" s="120"/>
    </row>
    <row r="10" spans="2:8" x14ac:dyDescent="0.15">
      <c r="B10" s="149" t="s">
        <v>223</v>
      </c>
      <c r="C10" s="347">
        <f>C6-C7+C8+C9</f>
        <v>10843694140.585506</v>
      </c>
      <c r="D10" t="str">
        <f>Reporting_currency</f>
        <v>CNY</v>
      </c>
      <c r="H10" s="120"/>
    </row>
    <row r="11" spans="2:8" ht="14" thickBot="1" x14ac:dyDescent="0.2">
      <c r="B11" s="207" t="s">
        <v>162</v>
      </c>
      <c r="C11" s="208">
        <f>Exchange_Rate</f>
        <v>1</v>
      </c>
      <c r="D11" t="str">
        <f>Thesis!C15</f>
        <v>CNY</v>
      </c>
      <c r="H11" s="120"/>
    </row>
    <row r="12" spans="2:8" ht="14" thickTop="1" x14ac:dyDescent="0.15">
      <c r="B12" s="149" t="s">
        <v>99</v>
      </c>
      <c r="C12" s="111">
        <f>(C10*scaling_factor)/Common_Shares*Exchange_Rate</f>
        <v>21.436364508485578</v>
      </c>
      <c r="D12" t="str">
        <f>Market_currency</f>
        <v>CNY</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5.62138395706255E-2</v>
      </c>
      <c r="H16" s="120"/>
    </row>
    <row r="17" spans="2:17" ht="13.25" customHeight="1" x14ac:dyDescent="0.15">
      <c r="B17" s="118" t="s">
        <v>130</v>
      </c>
      <c r="C17" s="162">
        <f>Scenarios!C64</f>
        <v>5</v>
      </c>
      <c r="H17" s="120"/>
    </row>
    <row r="18" spans="2:17" ht="13.25" customHeight="1" x14ac:dyDescent="0.15">
      <c r="B18" s="153" t="s">
        <v>103</v>
      </c>
      <c r="C18" s="140">
        <f>(F52-C7+C8+C9)*Exchange_Rate/Common_Shares*scaling_factor</f>
        <v>23.052087483375182</v>
      </c>
      <c r="D18" t="str">
        <f>Market_currency</f>
        <v>CNY</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x14ac:dyDescent="0.15">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x14ac:dyDescent="0.15">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x14ac:dyDescent="0.15">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x14ac:dyDescent="0.15">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x14ac:dyDescent="0.15">
      <c r="B26" s="122">
        <v>6</v>
      </c>
      <c r="C26" s="123">
        <f t="shared" si="2"/>
        <v>0</v>
      </c>
      <c r="D26" s="138">
        <f>IF($C$17&lt;B26,0,DCF!$C$16)</f>
        <v>0</v>
      </c>
      <c r="E26" s="124">
        <f t="shared" si="0"/>
        <v>0</v>
      </c>
      <c r="F26" s="125">
        <f t="shared" si="1"/>
        <v>0</v>
      </c>
      <c r="H26" s="120"/>
    </row>
    <row r="27" spans="2:17" x14ac:dyDescent="0.15">
      <c r="B27" s="122">
        <v>7</v>
      </c>
      <c r="C27" s="123">
        <f t="shared" si="2"/>
        <v>0</v>
      </c>
      <c r="D27" s="138">
        <f>IF($C$17&lt;B27,0,DCF!$C$16)</f>
        <v>0</v>
      </c>
      <c r="E27" s="124">
        <f t="shared" si="0"/>
        <v>0</v>
      </c>
      <c r="F27" s="125">
        <f t="shared" si="1"/>
        <v>0</v>
      </c>
      <c r="H27" s="120"/>
    </row>
    <row r="28" spans="2:17" x14ac:dyDescent="0.15">
      <c r="B28" s="122">
        <v>8</v>
      </c>
      <c r="C28" s="123">
        <f t="shared" si="2"/>
        <v>0</v>
      </c>
      <c r="D28" s="138">
        <f>IF($C$17&lt;B28,0,DCF!$C$16)</f>
        <v>0</v>
      </c>
      <c r="E28" s="124">
        <f t="shared" si="0"/>
        <v>0</v>
      </c>
      <c r="F28" s="125">
        <f t="shared" si="1"/>
        <v>0</v>
      </c>
      <c r="H28" s="120"/>
    </row>
    <row r="29" spans="2:17" x14ac:dyDescent="0.15">
      <c r="B29" s="122">
        <v>9</v>
      </c>
      <c r="C29" s="123">
        <f t="shared" si="2"/>
        <v>0</v>
      </c>
      <c r="D29" s="138">
        <f>IF($C$17&lt;B29,0,DCF!$C$16)</f>
        <v>0</v>
      </c>
      <c r="E29" s="124">
        <f t="shared" si="0"/>
        <v>0</v>
      </c>
      <c r="F29" s="125">
        <f t="shared" si="1"/>
        <v>0</v>
      </c>
      <c r="H29" s="120"/>
    </row>
    <row r="30" spans="2:17" x14ac:dyDescent="0.15">
      <c r="B30" s="122">
        <v>10</v>
      </c>
      <c r="C30" s="123">
        <f t="shared" si="2"/>
        <v>0</v>
      </c>
      <c r="D30" s="138">
        <f>IF($C$17&lt;B30,0,DCF!$C$16)</f>
        <v>0</v>
      </c>
      <c r="E30" s="124">
        <f t="shared" si="0"/>
        <v>0</v>
      </c>
      <c r="F30" s="125">
        <f t="shared" si="1"/>
        <v>0</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127</v>
      </c>
      <c r="C51" s="123">
        <f>C$21*(1+Terminal_Growth)^$C$17/Equity_Cost</f>
        <v>9433878526.0561447</v>
      </c>
      <c r="D51" s="139">
        <f>Terminal_Growth</f>
        <v>0</v>
      </c>
      <c r="E51" s="124">
        <f>1/(1+Equity_Cost)^C17</f>
        <v>0.69655863235011617</v>
      </c>
      <c r="F51" s="125">
        <f t="shared" si="1"/>
        <v>6571249523.8667984</v>
      </c>
      <c r="H51" s="120"/>
    </row>
    <row r="52" spans="1:17" x14ac:dyDescent="0.15">
      <c r="C52" s="114"/>
      <c r="E52" s="127" t="s">
        <v>97</v>
      </c>
      <c r="F52" s="137">
        <f>SUM(F21:F51)</f>
        <v>9749110099.6571999</v>
      </c>
      <c r="H52" s="120"/>
    </row>
    <row r="53" spans="1:17" x14ac:dyDescent="0.15">
      <c r="C53" s="114"/>
      <c r="H53" s="120"/>
    </row>
    <row r="54" spans="1:17" x14ac:dyDescent="0.15">
      <c r="B54" s="119" t="s">
        <v>125</v>
      </c>
      <c r="C54" s="136"/>
      <c r="D54" s="136"/>
      <c r="E54" s="117"/>
      <c r="F54" s="117"/>
      <c r="H54" s="120"/>
    </row>
    <row r="55" spans="1:17" x14ac:dyDescent="0.15">
      <c r="A55" s="133">
        <f>F52</f>
        <v>9749110099.6571999</v>
      </c>
      <c r="B55" s="131">
        <f>C78</f>
        <v>0</v>
      </c>
      <c r="C55" s="131">
        <f>C77</f>
        <v>0.02</v>
      </c>
      <c r="D55" s="131">
        <f>C76</f>
        <v>0.04</v>
      </c>
      <c r="E55" s="131">
        <f>C75</f>
        <v>0.06</v>
      </c>
      <c r="F55" s="131">
        <f>C74</f>
        <v>0.08</v>
      </c>
      <c r="H55" s="120"/>
    </row>
    <row r="56" spans="1:17" x14ac:dyDescent="0.15">
      <c r="A56" s="143">
        <v>5</v>
      </c>
      <c r="B56" s="123">
        <f t="dataTable" ref="B56:F61" dt2D="1" dtr="1" r1="C16" r2="C17"/>
        <v>8931788405.5479031</v>
      </c>
      <c r="C56" s="123">
        <v>9215019911.3940392</v>
      </c>
      <c r="D56" s="123">
        <v>9506502503.7688847</v>
      </c>
      <c r="E56" s="123">
        <v>9806598901.0010681</v>
      </c>
      <c r="F56" s="123">
        <v>10115683064.939873</v>
      </c>
      <c r="H56" s="120"/>
    </row>
    <row r="57" spans="1:17" x14ac:dyDescent="0.15">
      <c r="A57" s="143">
        <v>10</v>
      </c>
      <c r="B57" s="123">
        <v>8931788405.547905</v>
      </c>
      <c r="C57" s="123">
        <v>9495880292.9507923</v>
      </c>
      <c r="D57" s="123">
        <v>10116150416.270252</v>
      </c>
      <c r="E57" s="123">
        <v>10799344001.136341</v>
      </c>
      <c r="F57" s="123">
        <v>11552962013.623589</v>
      </c>
      <c r="H57" s="120"/>
    </row>
    <row r="58" spans="1:17" x14ac:dyDescent="0.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x14ac:dyDescent="0.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x14ac:dyDescent="0.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x14ac:dyDescent="0.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v>
      </c>
      <c r="C64" s="132">
        <f>C55</f>
        <v>0.02</v>
      </c>
      <c r="D64" s="132">
        <f>D55</f>
        <v>0.04</v>
      </c>
      <c r="E64" s="132">
        <f>E55</f>
        <v>0.06</v>
      </c>
      <c r="F64" s="132">
        <f>F55</f>
        <v>0.08</v>
      </c>
      <c r="H64" s="120"/>
    </row>
    <row r="65" spans="1:8" x14ac:dyDescent="0.15">
      <c r="A65" s="143">
        <v>0</v>
      </c>
      <c r="B65" s="124">
        <f>C12</f>
        <v>21.436364508485578</v>
      </c>
      <c r="C65" s="124">
        <f>C12</f>
        <v>21.436364508485578</v>
      </c>
      <c r="D65" s="124">
        <f>C12</f>
        <v>21.436364508485578</v>
      </c>
      <c r="E65" s="141">
        <f>C12</f>
        <v>21.436364508485578</v>
      </c>
      <c r="F65" s="124">
        <f>C12</f>
        <v>21.436364508485578</v>
      </c>
      <c r="H65" s="120"/>
    </row>
    <row r="66" spans="1:8" x14ac:dyDescent="0.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x14ac:dyDescent="0.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x14ac:dyDescent="0.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x14ac:dyDescent="0.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x14ac:dyDescent="0.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x14ac:dyDescent="0.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0.08</v>
      </c>
      <c r="D74" s="145">
        <f>Scenarios!C55</f>
        <v>10</v>
      </c>
      <c r="E74" s="135">
        <f>INDEX(B$65:F$71, MATCH(D74, A$65:A$71, 0), MATCH(C74, B$64:F$64, 0))</f>
        <v>26.618033428160473</v>
      </c>
      <c r="F74" s="142">
        <f>Scenarios!C58</f>
        <v>0.15</v>
      </c>
    </row>
    <row r="75" spans="1:8" x14ac:dyDescent="0.15">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x14ac:dyDescent="0.15">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x14ac:dyDescent="0.15">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x14ac:dyDescent="0.15">
      <c r="B78" s="127" t="str">
        <f>Scenarios!B48</f>
        <v>Devil's advocate</v>
      </c>
      <c r="C78" s="142">
        <f>Scenarios!C50</f>
        <v>0</v>
      </c>
      <c r="D78" s="145">
        <f>Scenarios!C49</f>
        <v>10</v>
      </c>
      <c r="E78" s="135">
        <f>INDEX(B$65:F$71, MATCH(D78, A$65:A$71, 0), MATCH(C78, B$64:F$64, 0))</f>
        <v>21.436364508485578</v>
      </c>
      <c r="F78" s="142">
        <f>Scenarios!C52</f>
        <v>0.1</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420</v>
      </c>
      <c r="C2" s="37"/>
      <c r="D2" s="37"/>
      <c r="E2" s="37"/>
      <c r="F2" s="37"/>
      <c r="H2" s="130" t="s">
        <v>57</v>
      </c>
    </row>
    <row r="3" spans="2:8" x14ac:dyDescent="0.15">
      <c r="B3" s="109" t="s">
        <v>419</v>
      </c>
      <c r="C3" s="107">
        <f>scaling_factor</f>
        <v>1</v>
      </c>
      <c r="E3" s="109" t="s">
        <v>120</v>
      </c>
      <c r="H3" s="120"/>
    </row>
    <row r="4" spans="2:8" x14ac:dyDescent="0.15">
      <c r="B4" s="100" t="s">
        <v>417</v>
      </c>
      <c r="C4" s="114">
        <f>Normalized_FCF!C91*(1-dividend_tax_rate)</f>
        <v>482585757.76800007</v>
      </c>
      <c r="D4" t="str">
        <f>Market_currency</f>
        <v>CNY</v>
      </c>
      <c r="E4" s="100" t="s">
        <v>246</v>
      </c>
      <c r="F4" s="134">
        <f>Thesis!E22</f>
        <v>0</v>
      </c>
      <c r="H4" s="120"/>
    </row>
    <row r="5" spans="2:8" x14ac:dyDescent="0.15">
      <c r="B5" s="205" t="s">
        <v>119</v>
      </c>
      <c r="C5" s="206">
        <f>Equity_Cost</f>
        <v>7.4999999999999997E-2</v>
      </c>
      <c r="E5" s="148"/>
      <c r="H5" s="120"/>
    </row>
    <row r="6" spans="2:8" ht="13.25" customHeight="1" x14ac:dyDescent="0.15">
      <c r="B6" s="149" t="s">
        <v>418</v>
      </c>
      <c r="C6" s="319">
        <f>(C4*(1+Terminal_Growth))/(Equity_Cost-Terminal_Growth)</f>
        <v>6434476770.2400007</v>
      </c>
      <c r="D6" t="str">
        <f>Reporting_currency</f>
        <v>CNY</v>
      </c>
      <c r="E6" s="378"/>
      <c r="F6" s="378"/>
      <c r="H6" s="120"/>
    </row>
    <row r="7" spans="2:8" x14ac:dyDescent="0.15">
      <c r="B7" s="149" t="s">
        <v>421</v>
      </c>
      <c r="C7" s="111">
        <f>(C6*scaling_factor)/Common_Shares*Exchange_Rate</f>
        <v>12.72</v>
      </c>
      <c r="D7" t="str">
        <f>Market_currency</f>
        <v>CNY</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5.62138395706255E-2</v>
      </c>
      <c r="H11" s="120"/>
    </row>
    <row r="12" spans="2:8" ht="13.25" customHeight="1" x14ac:dyDescent="0.15">
      <c r="B12" s="118" t="s">
        <v>130</v>
      </c>
      <c r="C12" s="162">
        <f>Scenarios!C64</f>
        <v>5</v>
      </c>
      <c r="H12" s="120"/>
    </row>
    <row r="13" spans="2:8" ht="13.25" customHeight="1" x14ac:dyDescent="0.15">
      <c r="B13" s="153" t="s">
        <v>103</v>
      </c>
      <c r="C13" s="140">
        <f>F47/Common_Shares*scaling_factor</f>
        <v>13.883969798323109</v>
      </c>
      <c r="D13" t="str">
        <f>Market_currency</f>
        <v>CNY</v>
      </c>
      <c r="H13" s="120"/>
    </row>
    <row r="14" spans="2:8" x14ac:dyDescent="0.15">
      <c r="H14" s="120"/>
    </row>
    <row r="15" spans="2:8" ht="14" x14ac:dyDescent="0.2">
      <c r="B15" s="128" t="s">
        <v>104</v>
      </c>
      <c r="C15" s="128" t="s">
        <v>423</v>
      </c>
      <c r="D15" s="128" t="s">
        <v>114</v>
      </c>
      <c r="E15" s="128" t="s">
        <v>106</v>
      </c>
      <c r="F15" s="129" t="s">
        <v>422</v>
      </c>
      <c r="H15" s="120"/>
    </row>
    <row r="16" spans="2:8" x14ac:dyDescent="0.15">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x14ac:dyDescent="0.15">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x14ac:dyDescent="0.15">
      <c r="B18" s="122">
        <v>3</v>
      </c>
      <c r="C18" s="123">
        <f t="shared" si="2"/>
        <v>568630384.07060814</v>
      </c>
      <c r="D18" s="138">
        <f>IF($C$12&lt;B18,0,DDM!$C$11)</f>
        <v>5.62138395706255E-2</v>
      </c>
      <c r="E18" s="124">
        <f t="shared" si="0"/>
        <v>0.80496056950960304</v>
      </c>
      <c r="F18" s="125">
        <f t="shared" si="1"/>
        <v>457725037.80194104</v>
      </c>
      <c r="H18" s="120"/>
    </row>
    <row r="19" spans="2:8" x14ac:dyDescent="0.15">
      <c r="B19" s="122">
        <v>4</v>
      </c>
      <c r="C19" s="123">
        <f t="shared" si="2"/>
        <v>600595281.25573647</v>
      </c>
      <c r="D19" s="138">
        <f>IF($C$12&lt;B19,0,DDM!$C$11)</f>
        <v>5.62138395706255E-2</v>
      </c>
      <c r="E19" s="124">
        <f t="shared" si="0"/>
        <v>0.7488005297763749</v>
      </c>
      <c r="F19" s="125">
        <f t="shared" si="1"/>
        <v>449726064.78548634</v>
      </c>
      <c r="H19" s="120"/>
    </row>
    <row r="20" spans="2:8" x14ac:dyDescent="0.15">
      <c r="B20" s="122">
        <v>5</v>
      </c>
      <c r="C20" s="123">
        <f t="shared" si="2"/>
        <v>634357048.04312122</v>
      </c>
      <c r="D20" s="138">
        <f>IF($C$12&lt;B20,0,DDM!$C$11)</f>
        <v>5.62138395706255E-2</v>
      </c>
      <c r="E20" s="124">
        <f t="shared" si="0"/>
        <v>0.69655863235011617</v>
      </c>
      <c r="F20" s="125">
        <f t="shared" si="1"/>
        <v>441866877.80657345</v>
      </c>
      <c r="H20" s="120"/>
    </row>
    <row r="21" spans="2:8" x14ac:dyDescent="0.15">
      <c r="B21" s="122">
        <v>6</v>
      </c>
      <c r="C21" s="123">
        <f t="shared" si="2"/>
        <v>0</v>
      </c>
      <c r="D21" s="138">
        <f>IF($C$12&lt;B21,0,DDM!$C$11)</f>
        <v>0</v>
      </c>
      <c r="E21" s="124">
        <f t="shared" si="0"/>
        <v>0</v>
      </c>
      <c r="F21" s="125">
        <f t="shared" si="1"/>
        <v>0</v>
      </c>
      <c r="H21" s="120"/>
    </row>
    <row r="22" spans="2:8" x14ac:dyDescent="0.15">
      <c r="B22" s="122">
        <v>7</v>
      </c>
      <c r="C22" s="123">
        <f t="shared" si="2"/>
        <v>0</v>
      </c>
      <c r="D22" s="138">
        <f>IF($C$12&lt;B22,0,DDM!$C$11)</f>
        <v>0</v>
      </c>
      <c r="E22" s="124">
        <f t="shared" si="0"/>
        <v>0</v>
      </c>
      <c r="F22" s="125">
        <f t="shared" si="1"/>
        <v>0</v>
      </c>
      <c r="H22" s="120"/>
    </row>
    <row r="23" spans="2:8" x14ac:dyDescent="0.15">
      <c r="B23" s="122">
        <v>8</v>
      </c>
      <c r="C23" s="123">
        <f t="shared" si="2"/>
        <v>0</v>
      </c>
      <c r="D23" s="138">
        <f>IF($C$12&lt;B23,0,DDM!$C$11)</f>
        <v>0</v>
      </c>
      <c r="E23" s="124">
        <f t="shared" si="0"/>
        <v>0</v>
      </c>
      <c r="F23" s="125">
        <f t="shared" si="1"/>
        <v>0</v>
      </c>
      <c r="H23" s="120"/>
    </row>
    <row r="24" spans="2:8" x14ac:dyDescent="0.15">
      <c r="B24" s="122">
        <v>9</v>
      </c>
      <c r="C24" s="123">
        <f t="shared" si="2"/>
        <v>0</v>
      </c>
      <c r="D24" s="138">
        <f>IF($C$12&lt;B24,0,DDM!$C$11)</f>
        <v>0</v>
      </c>
      <c r="E24" s="124">
        <f t="shared" si="0"/>
        <v>0</v>
      </c>
      <c r="F24" s="125">
        <f t="shared" si="1"/>
        <v>0</v>
      </c>
      <c r="H24" s="120"/>
    </row>
    <row r="25" spans="2:8" x14ac:dyDescent="0.15">
      <c r="B25" s="122">
        <v>10</v>
      </c>
      <c r="C25" s="123">
        <f t="shared" si="2"/>
        <v>0</v>
      </c>
      <c r="D25" s="138">
        <f>IF($C$12&lt;B25,0,DDM!$C$11)</f>
        <v>0</v>
      </c>
      <c r="E25" s="124">
        <f t="shared" si="0"/>
        <v>0</v>
      </c>
      <c r="F25" s="125">
        <f t="shared" si="1"/>
        <v>0</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127</v>
      </c>
      <c r="C46" s="123">
        <f>C$16*(1+F4)^$C$12/Equity_Cost</f>
        <v>6796183415.1231899</v>
      </c>
      <c r="D46" s="139">
        <f>Terminal_Growth</f>
        <v>0</v>
      </c>
      <c r="E46" s="124">
        <f>1/(1+Equity_Cost)^C12</f>
        <v>0.69655863235011617</v>
      </c>
      <c r="F46" s="125">
        <f t="shared" si="1"/>
        <v>4733940224.8387508</v>
      </c>
      <c r="H46" s="120"/>
    </row>
    <row r="47" spans="2:8" x14ac:dyDescent="0.15">
      <c r="C47" s="114"/>
      <c r="E47" s="127" t="s">
        <v>97</v>
      </c>
      <c r="F47" s="137">
        <f>SUM(F16:F46)</f>
        <v>7023276819.6559582</v>
      </c>
      <c r="H47" s="120"/>
    </row>
    <row r="48" spans="2:8" x14ac:dyDescent="0.15">
      <c r="C48" s="114"/>
      <c r="H48" s="120"/>
    </row>
    <row r="49" spans="1:8" x14ac:dyDescent="0.15">
      <c r="B49" s="119" t="s">
        <v>125</v>
      </c>
      <c r="C49" s="136"/>
      <c r="D49" s="136"/>
      <c r="E49" s="117"/>
      <c r="F49" s="117"/>
      <c r="H49" s="120"/>
    </row>
    <row r="50" spans="1:8" x14ac:dyDescent="0.15">
      <c r="A50" s="133">
        <f>F47</f>
        <v>7023276819.6559582</v>
      </c>
      <c r="B50" s="131">
        <f>C73</f>
        <v>0</v>
      </c>
      <c r="C50" s="131">
        <f>C72</f>
        <v>0.02</v>
      </c>
      <c r="D50" s="131">
        <f>C71</f>
        <v>0.04</v>
      </c>
      <c r="E50" s="131">
        <f>C70</f>
        <v>0.06</v>
      </c>
      <c r="F50" s="131">
        <f>C69</f>
        <v>0.08</v>
      </c>
      <c r="H50" s="120"/>
    </row>
    <row r="51" spans="1:8" x14ac:dyDescent="0.15">
      <c r="A51" s="143">
        <v>5</v>
      </c>
      <c r="B51" s="123">
        <f t="dataTable" ref="B51:F56" dt2D="1" dtr="1" r1="C11" r2="C12"/>
        <v>6434476770.2400017</v>
      </c>
      <c r="C51" s="123">
        <v>6638517267.1952419</v>
      </c>
      <c r="D51" s="123">
        <v>6848501862.0385695</v>
      </c>
      <c r="E51" s="123">
        <v>7064691857.7200365</v>
      </c>
      <c r="F51" s="123">
        <v>7287356657.0426416</v>
      </c>
      <c r="H51" s="120"/>
    </row>
    <row r="52" spans="1:8" x14ac:dyDescent="0.15">
      <c r="A52" s="143">
        <v>10</v>
      </c>
      <c r="B52" s="123">
        <v>6434476770.2400026</v>
      </c>
      <c r="C52" s="123">
        <v>6840849601.857934</v>
      </c>
      <c r="D52" s="123">
        <v>7287693337.7993193</v>
      </c>
      <c r="E52" s="123">
        <v>7779867250.9953947</v>
      </c>
      <c r="F52" s="123">
        <v>8322775051.1814842</v>
      </c>
      <c r="H52" s="120"/>
    </row>
    <row r="53" spans="1:8" x14ac:dyDescent="0.15">
      <c r="A53" s="143">
        <v>15</v>
      </c>
      <c r="B53" s="123">
        <v>6434476770.2400017</v>
      </c>
      <c r="C53" s="123">
        <v>7097026031.9521122</v>
      </c>
      <c r="D53" s="123">
        <v>7873347467.2566156</v>
      </c>
      <c r="E53" s="123">
        <v>8786157383.6515598</v>
      </c>
      <c r="F53" s="123">
        <v>9862677546.9326401</v>
      </c>
      <c r="H53" s="120"/>
    </row>
    <row r="54" spans="1:8" x14ac:dyDescent="0.15">
      <c r="A54" s="144">
        <v>20</v>
      </c>
      <c r="B54" s="123">
        <v>6434476770.2400017</v>
      </c>
      <c r="C54" s="123">
        <v>7364094139.7258949</v>
      </c>
      <c r="D54" s="123">
        <v>8518353997.2294436</v>
      </c>
      <c r="E54" s="123">
        <v>9960750789.6792107</v>
      </c>
      <c r="F54" s="123">
        <v>11773199634.371248</v>
      </c>
      <c r="H54" s="120"/>
    </row>
    <row r="55" spans="1:8" x14ac:dyDescent="0.15">
      <c r="A55" s="144">
        <v>25</v>
      </c>
      <c r="B55" s="123">
        <v>6434476770.2400026</v>
      </c>
      <c r="C55" s="123">
        <v>7618281339.4464712</v>
      </c>
      <c r="D55" s="123">
        <v>9168543587.781599</v>
      </c>
      <c r="E55" s="123">
        <v>11220441136.487123</v>
      </c>
      <c r="F55" s="123">
        <v>13961547913.322262</v>
      </c>
      <c r="H55" s="120"/>
    </row>
    <row r="56" spans="1:8" x14ac:dyDescent="0.15">
      <c r="A56" s="144">
        <v>30</v>
      </c>
      <c r="B56" s="123">
        <v>6434476770.2400026</v>
      </c>
      <c r="C56" s="123">
        <v>7847755480.0002165</v>
      </c>
      <c r="D56" s="123">
        <v>9791699502.7655621</v>
      </c>
      <c r="E56" s="123">
        <v>12509450690.254082</v>
      </c>
      <c r="F56" s="123">
        <v>16363548007.912916</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v>
      </c>
      <c r="C59" s="132">
        <f>C50</f>
        <v>0.02</v>
      </c>
      <c r="D59" s="132">
        <f>D50</f>
        <v>0.04</v>
      </c>
      <c r="E59" s="132">
        <f>E50</f>
        <v>0.06</v>
      </c>
      <c r="F59" s="132">
        <f>F50</f>
        <v>0.08</v>
      </c>
      <c r="H59" s="120"/>
    </row>
    <row r="60" spans="1:8" x14ac:dyDescent="0.15">
      <c r="A60" s="143">
        <v>0</v>
      </c>
      <c r="B60" s="124">
        <f>C7</f>
        <v>12.72</v>
      </c>
      <c r="C60" s="124">
        <f>C7</f>
        <v>12.72</v>
      </c>
      <c r="D60" s="124">
        <f>C7</f>
        <v>12.72</v>
      </c>
      <c r="E60" s="141">
        <f>C7</f>
        <v>12.72</v>
      </c>
      <c r="F60" s="124">
        <f>C7</f>
        <v>12.72</v>
      </c>
      <c r="H60" s="120"/>
    </row>
    <row r="61" spans="1:8" x14ac:dyDescent="0.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x14ac:dyDescent="0.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x14ac:dyDescent="0.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x14ac:dyDescent="0.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x14ac:dyDescent="0.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x14ac:dyDescent="0.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0.08</v>
      </c>
      <c r="D69" s="145">
        <f>Scenarios!C55</f>
        <v>10</v>
      </c>
      <c r="E69" s="135">
        <f>INDEX(B$60:F$66, MATCH(D69, A$60:A$66, 0), MATCH(C69, B$59:F$59, 0))</f>
        <v>16.452883805667977</v>
      </c>
      <c r="F69" s="142">
        <f>Scenarios!C58</f>
        <v>0.15</v>
      </c>
    </row>
    <row r="70" spans="1:8" x14ac:dyDescent="0.15">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x14ac:dyDescent="0.15">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x14ac:dyDescent="0.15">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x14ac:dyDescent="0.15">
      <c r="B73" s="127" t="str">
        <f>Scenarios!B48</f>
        <v>Devil's advocate</v>
      </c>
      <c r="C73" s="142">
        <f>Scenarios!C50</f>
        <v>0</v>
      </c>
      <c r="D73" s="145">
        <f>Scenarios!C49</f>
        <v>10</v>
      </c>
      <c r="E73" s="135">
        <f>INDEX(B$60:F$66, MATCH(D73, A$60:A$66, 0), MATCH(C73, B$59:F$59, 0))</f>
        <v>12.720000000000006</v>
      </c>
      <c r="F73" s="142">
        <f>Scenarios!C52</f>
        <v>0.1</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-22.78</v>
      </c>
    </row>
    <row r="4" spans="2:9" x14ac:dyDescent="0.15">
      <c r="B4" s="152" t="s">
        <v>142</v>
      </c>
      <c r="C4" s="120">
        <v>3</v>
      </c>
      <c r="D4" s="120"/>
      <c r="E4" s="155" t="s">
        <v>146</v>
      </c>
      <c r="F4" s="155"/>
      <c r="H4" s="247">
        <v>1</v>
      </c>
      <c r="I4" s="124">
        <f t="shared" ref="I4:I13" si="0">IF(ROW()-3 &lt; $C$76, $C$77, IF(ROW()-3 = $C$76, $C$77 + $C$60, ""))</f>
        <v>0.95400000000000007</v>
      </c>
    </row>
    <row r="5" spans="2:9" x14ac:dyDescent="0.15">
      <c r="H5" s="247">
        <v>2</v>
      </c>
      <c r="I5" s="124">
        <f t="shared" si="0"/>
        <v>0.95400000000000007</v>
      </c>
    </row>
    <row r="6" spans="2:9" x14ac:dyDescent="0.15">
      <c r="B6" s="159" t="s">
        <v>92</v>
      </c>
      <c r="C6" s="107">
        <f>DCF!C3</f>
        <v>1</v>
      </c>
      <c r="E6" s="100" t="s">
        <v>274</v>
      </c>
      <c r="F6" s="100"/>
      <c r="H6" s="247">
        <v>3</v>
      </c>
      <c r="I6" s="124">
        <f t="shared" si="0"/>
        <v>24.022262059109995</v>
      </c>
    </row>
    <row r="7" spans="2:9" ht="12.75" customHeight="1" x14ac:dyDescent="0.15">
      <c r="B7" s="100" t="s">
        <v>270</v>
      </c>
      <c r="C7" s="338">
        <f>Normalized_FCF!G8</f>
        <v>889986026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80"/>
      <c r="H7" s="247">
        <v>4</v>
      </c>
      <c r="I7" s="124" t="str">
        <f t="shared" si="0"/>
        <v/>
      </c>
    </row>
    <row r="8" spans="2:9" x14ac:dyDescent="0.15">
      <c r="B8" s="100" t="s">
        <v>64</v>
      </c>
      <c r="C8" s="338">
        <f>Normalized_FCF!G19</f>
        <v>632397776.92850411</v>
      </c>
      <c r="D8" t="str">
        <f>Reporting_currency</f>
        <v>CNY</v>
      </c>
      <c r="E8" s="380"/>
      <c r="F8" s="380"/>
      <c r="H8" s="247">
        <v>5</v>
      </c>
      <c r="I8" s="124" t="str">
        <f t="shared" si="0"/>
        <v/>
      </c>
    </row>
    <row r="9" spans="2:9" x14ac:dyDescent="0.15">
      <c r="B9" s="100" t="s">
        <v>55</v>
      </c>
      <c r="C9" s="338">
        <f>Normalized_FCF!C19</f>
        <v>669884130.41609263</v>
      </c>
      <c r="D9" t="str">
        <f>Reporting_currency</f>
        <v>CNY</v>
      </c>
      <c r="E9" s="380"/>
      <c r="F9" s="380"/>
      <c r="H9" s="247">
        <v>6</v>
      </c>
      <c r="I9" s="124" t="str">
        <f t="shared" si="0"/>
        <v/>
      </c>
    </row>
    <row r="10" spans="2:9" x14ac:dyDescent="0.15">
      <c r="E10" s="380"/>
      <c r="F10" s="380"/>
      <c r="H10" s="247">
        <v>7</v>
      </c>
      <c r="I10" s="124" t="str">
        <f t="shared" si="0"/>
        <v/>
      </c>
    </row>
    <row r="11" spans="2:9" x14ac:dyDescent="0.15">
      <c r="B11" s="159" t="s">
        <v>424</v>
      </c>
      <c r="E11" s="380"/>
      <c r="F11" s="380"/>
      <c r="H11" s="247">
        <v>8</v>
      </c>
      <c r="I11" s="124" t="str">
        <f t="shared" si="0"/>
        <v/>
      </c>
    </row>
    <row r="12" spans="2:9" ht="14" x14ac:dyDescent="0.15">
      <c r="B12" s="118" t="s">
        <v>140</v>
      </c>
      <c r="C12" s="158">
        <f ca="1">(Normalized_FCF!G4/OFFSET(Normalized_FCF!G4, 0, $C$4))^(1/$C$4) - 1</f>
        <v>6.0153753070249838E-2</v>
      </c>
      <c r="D12" s="158"/>
      <c r="E12" s="380"/>
      <c r="F12" s="380"/>
      <c r="H12" s="247">
        <v>9</v>
      </c>
      <c r="I12" s="124" t="str">
        <f t="shared" si="0"/>
        <v/>
      </c>
    </row>
    <row r="13" spans="2:9" x14ac:dyDescent="0.15">
      <c r="B13" s="148" t="s">
        <v>148</v>
      </c>
      <c r="C13" s="158">
        <f ca="1">(Normalized_FCF!G8/OFFSET(Normalized_FCF!G8, 0, $C$4))^(1/$C$4) - 1</f>
        <v>-1.9591718766888921E-2</v>
      </c>
      <c r="E13" s="380"/>
      <c r="F13" s="380"/>
      <c r="H13" s="247">
        <v>10</v>
      </c>
      <c r="I13" s="124" t="str">
        <f t="shared" si="0"/>
        <v/>
      </c>
    </row>
    <row r="14" spans="2:9" x14ac:dyDescent="0.15">
      <c r="B14" s="100" t="s">
        <v>64</v>
      </c>
      <c r="C14" s="158">
        <f ca="1">(Normalized_FCF!G19/OFFSET(Normalized_FCF!G19, 0, $C$4))^(1/$C$4) - 1</f>
        <v>-3.6842771130545571E-2</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5</v>
      </c>
      <c r="E18" s="380" t="s">
        <v>321</v>
      </c>
      <c r="F18" s="381"/>
    </row>
    <row r="19" spans="2:6" x14ac:dyDescent="0.15">
      <c r="E19" s="381"/>
      <c r="F19" s="381"/>
    </row>
    <row r="20" spans="2:6" x14ac:dyDescent="0.15">
      <c r="B20" s="159" t="s">
        <v>298</v>
      </c>
      <c r="E20" s="381"/>
      <c r="F20" s="381"/>
    </row>
    <row r="21" spans="2:6" x14ac:dyDescent="0.15">
      <c r="B21" s="100" t="s">
        <v>272</v>
      </c>
      <c r="C21" s="160">
        <f>Market_Price</f>
        <v>22.78</v>
      </c>
      <c r="D21" t="str">
        <f>Market_currency</f>
        <v>CNY</v>
      </c>
      <c r="E21" s="381"/>
      <c r="F21" s="381"/>
    </row>
    <row r="22" spans="2:6" x14ac:dyDescent="0.15">
      <c r="B22" s="100" t="s">
        <v>273</v>
      </c>
      <c r="C22" s="160">
        <f>IF(valuation_method="DCF",DCF!C12,DDM!C7)</f>
        <v>21.436364508485578</v>
      </c>
      <c r="D22" t="str">
        <f>Market_currency</f>
        <v>CNY</v>
      </c>
      <c r="E22" s="381"/>
      <c r="F22" s="381"/>
    </row>
    <row r="24" spans="2:6" x14ac:dyDescent="0.15">
      <c r="B24" s="159" t="s">
        <v>111</v>
      </c>
      <c r="E24" s="159" t="s">
        <v>145</v>
      </c>
      <c r="F24" s="159"/>
    </row>
    <row r="25" spans="2:6" x14ac:dyDescent="0.15">
      <c r="B25" s="152" t="s">
        <v>129</v>
      </c>
      <c r="C25" s="166">
        <f>C18</f>
        <v>5</v>
      </c>
      <c r="D25" s="163"/>
      <c r="E25" s="379"/>
      <c r="F25" s="379"/>
    </row>
    <row r="26" spans="2:6" ht="14" x14ac:dyDescent="0.15">
      <c r="B26" s="118" t="s">
        <v>130</v>
      </c>
      <c r="C26" s="164">
        <v>0.04</v>
      </c>
      <c r="D26" s="164"/>
      <c r="E26" s="379"/>
      <c r="F26" s="379"/>
    </row>
    <row r="27" spans="2:6" x14ac:dyDescent="0.15">
      <c r="B27" s="100" t="s">
        <v>109</v>
      </c>
      <c r="C27" s="160">
        <f>IF(valuation_method="DCF",DCF!E76,DDM!E71)</f>
        <v>22.57248848412598</v>
      </c>
      <c r="D27" s="160" t="str">
        <f>Market_currency</f>
        <v>CNY</v>
      </c>
      <c r="E27" s="379"/>
      <c r="F27" s="379"/>
    </row>
    <row r="28" spans="2:6" x14ac:dyDescent="0.15">
      <c r="B28" s="100" t="s">
        <v>143</v>
      </c>
      <c r="C28" s="165">
        <v>0.6</v>
      </c>
      <c r="D28" s="165"/>
      <c r="E28" s="379"/>
      <c r="F28" s="379"/>
    </row>
    <row r="30" spans="2:6" x14ac:dyDescent="0.15">
      <c r="B30" s="159" t="s">
        <v>112</v>
      </c>
      <c r="E30" s="159" t="s">
        <v>145</v>
      </c>
      <c r="F30" s="159"/>
    </row>
    <row r="31" spans="2:6" x14ac:dyDescent="0.15">
      <c r="B31" s="152" t="s">
        <v>129</v>
      </c>
      <c r="C31" s="166">
        <f>C18</f>
        <v>5</v>
      </c>
      <c r="D31" s="163"/>
      <c r="E31" s="379"/>
      <c r="F31" s="379"/>
    </row>
    <row r="32" spans="2:6" ht="14" x14ac:dyDescent="0.15">
      <c r="B32" s="118" t="s">
        <v>130</v>
      </c>
      <c r="C32" s="164">
        <v>0.02</v>
      </c>
      <c r="D32" s="164"/>
      <c r="E32" s="379"/>
      <c r="F32" s="379"/>
    </row>
    <row r="33" spans="2:6" x14ac:dyDescent="0.15">
      <c r="B33" s="100" t="s">
        <v>109</v>
      </c>
      <c r="C33" s="160">
        <f>IF(valuation_method="DCF",DCF!E77,DDM!E72)</f>
        <v>21.996270913156373</v>
      </c>
      <c r="D33" t="str">
        <f>Market_currency</f>
        <v>CNY</v>
      </c>
      <c r="E33" s="379"/>
      <c r="F33" s="379"/>
    </row>
    <row r="34" spans="2:6" x14ac:dyDescent="0.15">
      <c r="B34" s="100" t="s">
        <v>143</v>
      </c>
      <c r="C34" s="165">
        <v>0.2</v>
      </c>
      <c r="D34" s="165"/>
      <c r="E34" s="379"/>
      <c r="F34" s="379"/>
    </row>
    <row r="36" spans="2:6" x14ac:dyDescent="0.15">
      <c r="B36" s="159" t="s">
        <v>110</v>
      </c>
      <c r="E36" s="159" t="s">
        <v>145</v>
      </c>
      <c r="F36" s="159"/>
    </row>
    <row r="37" spans="2:6" x14ac:dyDescent="0.15">
      <c r="B37" s="152" t="s">
        <v>129</v>
      </c>
      <c r="C37" s="166">
        <f>C18</f>
        <v>5</v>
      </c>
      <c r="D37" s="163"/>
      <c r="E37" s="379"/>
      <c r="F37" s="379"/>
    </row>
    <row r="38" spans="2:6" ht="14" x14ac:dyDescent="0.15">
      <c r="B38" s="118" t="s">
        <v>130</v>
      </c>
      <c r="C38" s="164">
        <v>0.06</v>
      </c>
      <c r="D38" s="164"/>
      <c r="E38" s="379"/>
      <c r="F38" s="379"/>
    </row>
    <row r="39" spans="2:6" x14ac:dyDescent="0.15">
      <c r="B39" s="100" t="s">
        <v>109</v>
      </c>
      <c r="C39" s="160">
        <f>IF(valuation_method="DCF",DCF!E75,DDM!E70)</f>
        <v>23.165734261381459</v>
      </c>
      <c r="D39" t="str">
        <f>Market_currency</f>
        <v>CNY</v>
      </c>
      <c r="E39" s="379"/>
      <c r="F39" s="379"/>
    </row>
    <row r="40" spans="2:6" x14ac:dyDescent="0.15">
      <c r="B40" s="100" t="s">
        <v>143</v>
      </c>
      <c r="C40" s="167">
        <f>1-C28-C34</f>
        <v>0.2</v>
      </c>
      <c r="D40" s="165"/>
      <c r="E40" s="379"/>
      <c r="F40" s="379"/>
    </row>
    <row r="42" spans="2:6" x14ac:dyDescent="0.15">
      <c r="B42" s="100" t="s">
        <v>116</v>
      </c>
      <c r="C42" s="154">
        <f>C27*C28+C33*C34+C39*C40</f>
        <v>22.575894125383151</v>
      </c>
      <c r="D42" t="str">
        <f>Market_currency</f>
        <v>CNY</v>
      </c>
    </row>
    <row r="44" spans="2:6" ht="16" x14ac:dyDescent="0.25">
      <c r="B44" s="36" t="s">
        <v>157</v>
      </c>
      <c r="C44" s="37"/>
      <c r="D44" s="37"/>
      <c r="E44" s="37"/>
      <c r="F44" s="37"/>
    </row>
    <row r="45" spans="2:6" x14ac:dyDescent="0.15">
      <c r="B45" s="109" t="s">
        <v>147</v>
      </c>
    </row>
    <row r="46" spans="2:6" x14ac:dyDescent="0.15">
      <c r="B46" s="152" t="s">
        <v>129</v>
      </c>
      <c r="C46" s="150">
        <v>10</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10</v>
      </c>
      <c r="D49" s="163"/>
      <c r="E49" s="379"/>
      <c r="F49" s="379"/>
    </row>
    <row r="50" spans="2:6" ht="14" x14ac:dyDescent="0.15">
      <c r="B50" s="118" t="s">
        <v>130</v>
      </c>
      <c r="C50" s="164">
        <v>0</v>
      </c>
      <c r="D50" s="164"/>
      <c r="E50" s="379"/>
      <c r="F50" s="379"/>
    </row>
    <row r="51" spans="2:6" x14ac:dyDescent="0.15">
      <c r="B51" s="100" t="s">
        <v>109</v>
      </c>
      <c r="C51" s="160">
        <f>IF(valuation_method="DCF",DCF!E78,DDM!E73)</f>
        <v>21.436364508485578</v>
      </c>
      <c r="D51" t="str">
        <f>Market_currency</f>
        <v>CNY</v>
      </c>
      <c r="E51" s="379"/>
      <c r="F51" s="379"/>
    </row>
    <row r="52" spans="2:6" x14ac:dyDescent="0.15">
      <c r="B52" s="100" t="s">
        <v>143</v>
      </c>
      <c r="C52" s="165">
        <v>0.1</v>
      </c>
      <c r="D52" s="165"/>
      <c r="E52" s="379"/>
      <c r="F52" s="379"/>
    </row>
    <row r="54" spans="2:6" x14ac:dyDescent="0.15">
      <c r="B54" s="159" t="s">
        <v>307</v>
      </c>
      <c r="E54" s="159" t="s">
        <v>145</v>
      </c>
      <c r="F54" s="159"/>
    </row>
    <row r="55" spans="2:6" x14ac:dyDescent="0.15">
      <c r="B55" s="152" t="s">
        <v>129</v>
      </c>
      <c r="C55" s="166">
        <f>C46</f>
        <v>10</v>
      </c>
      <c r="D55" s="163"/>
      <c r="E55" s="379"/>
      <c r="F55" s="379"/>
    </row>
    <row r="56" spans="2:6" ht="14" x14ac:dyDescent="0.15">
      <c r="B56" s="118" t="s">
        <v>130</v>
      </c>
      <c r="C56" s="164">
        <v>0.08</v>
      </c>
      <c r="D56" s="164"/>
      <c r="E56" s="379"/>
      <c r="F56" s="379"/>
    </row>
    <row r="57" spans="2:6" x14ac:dyDescent="0.15">
      <c r="B57" s="100" t="s">
        <v>109</v>
      </c>
      <c r="C57" s="160">
        <f>IF(valuation_method="DCF",DCF!E74,DDM!E69)</f>
        <v>26.618033428160473</v>
      </c>
      <c r="D57" t="str">
        <f>Market_currency</f>
        <v>CNY</v>
      </c>
      <c r="E57" s="379"/>
      <c r="F57" s="379"/>
    </row>
    <row r="58" spans="2:6" x14ac:dyDescent="0.15">
      <c r="B58" s="100" t="s">
        <v>143</v>
      </c>
      <c r="C58" s="165">
        <v>0.15</v>
      </c>
      <c r="D58" s="165"/>
      <c r="E58" s="379"/>
      <c r="F58" s="379"/>
    </row>
    <row r="60" spans="2:6" x14ac:dyDescent="0.15">
      <c r="B60" s="100" t="s">
        <v>116</v>
      </c>
      <c r="C60" s="154">
        <f>C51*C52+C57*C58+C42*(1-C52-C58)</f>
        <v>23.068262059109994</v>
      </c>
      <c r="D60" t="str">
        <f>Market_currency</f>
        <v>CNY</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5</v>
      </c>
      <c r="D64" s="150"/>
      <c r="E64" s="251" t="s">
        <v>376</v>
      </c>
    </row>
    <row r="65" spans="2:6" ht="14" x14ac:dyDescent="0.15">
      <c r="B65" s="118" t="s">
        <v>130</v>
      </c>
      <c r="C65" s="151">
        <v>5.62138395706255E-2</v>
      </c>
      <c r="D65" s="151"/>
      <c r="E65" s="251" t="s">
        <v>304</v>
      </c>
    </row>
    <row r="66" spans="2:6" x14ac:dyDescent="0.15">
      <c r="B66" s="100" t="s">
        <v>99</v>
      </c>
      <c r="C66" s="160">
        <f>IF(valuation_method="DCF",DCF!C18,DDM!C13)</f>
        <v>23.052087483375182</v>
      </c>
      <c r="D66" s="160" t="str">
        <f>Market_currency</f>
        <v>CNY</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N</v>
      </c>
      <c r="E72" s="134" t="s">
        <v>337</v>
      </c>
      <c r="F72" s="291">
        <f>BS!D89/C60</f>
        <v>0.16384208782084247</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435</v>
      </c>
      <c r="C77" s="173">
        <f>Normalized_FCF!C90*(1-dividend_tax_rate)</f>
        <v>0.95400000000000007</v>
      </c>
      <c r="D77" t="str">
        <f>Market_currency</f>
        <v>CNY</v>
      </c>
    </row>
    <row r="79" spans="2:6" x14ac:dyDescent="0.15">
      <c r="B79" s="109" t="s">
        <v>296</v>
      </c>
    </row>
    <row r="80" spans="2:6" x14ac:dyDescent="0.15">
      <c r="B80" s="148" t="s">
        <v>294</v>
      </c>
      <c r="C80" s="167">
        <f>Thesis!F29</f>
        <v>0.45</v>
      </c>
    </row>
    <row r="81" spans="2:8" x14ac:dyDescent="0.15">
      <c r="B81" s="100" t="s">
        <v>117</v>
      </c>
      <c r="C81" s="116">
        <f>PV(C80, C76, -C77, 0)</f>
        <v>1.4246045348312761</v>
      </c>
      <c r="D81" s="116"/>
      <c r="E81" s="100"/>
      <c r="F81" s="100"/>
    </row>
    <row r="82" spans="2:8" x14ac:dyDescent="0.15">
      <c r="B82" s="100" t="s">
        <v>118</v>
      </c>
      <c r="C82" s="116">
        <f>C60/(1+C80)^C76</f>
        <v>7.5667758609569873</v>
      </c>
      <c r="D82" s="116"/>
    </row>
    <row r="83" spans="2:8" x14ac:dyDescent="0.15">
      <c r="B83" s="110" t="s">
        <v>98</v>
      </c>
      <c r="C83" s="111">
        <f>C81+C82</f>
        <v>8.9913803957882639</v>
      </c>
      <c r="D83" t="str">
        <f>Market_currency</f>
        <v>CNY</v>
      </c>
      <c r="E83" s="146" t="s">
        <v>122</v>
      </c>
      <c r="F83" s="291">
        <f>(1-C83/C60)</f>
        <v>0.61022723026343306</v>
      </c>
    </row>
    <row r="84" spans="2:8" x14ac:dyDescent="0.15">
      <c r="E84" s="120"/>
    </row>
    <row r="85" spans="2:8" x14ac:dyDescent="0.15">
      <c r="B85" s="109" t="s">
        <v>297</v>
      </c>
    </row>
    <row r="86" spans="2:8" x14ac:dyDescent="0.15">
      <c r="B86" s="148" t="s">
        <v>295</v>
      </c>
      <c r="C86" s="116">
        <f>Market_Price</f>
        <v>22.78</v>
      </c>
      <c r="D86" t="str">
        <f>Market_currency</f>
        <v>CNY</v>
      </c>
    </row>
    <row r="87" spans="2:8" x14ac:dyDescent="0.15">
      <c r="B87" s="100" t="s">
        <v>293</v>
      </c>
      <c r="C87" s="237">
        <f ca="1">IRR(OFFSET($I$3, 0, 0, $C$76 + 1, 1))</f>
        <v>4.590904453268374E-2</v>
      </c>
    </row>
    <row r="88" spans="2:8" x14ac:dyDescent="0.15">
      <c r="B88" s="100"/>
    </row>
    <row r="89" spans="2:8" x14ac:dyDescent="0.15">
      <c r="B89" s="109" t="s">
        <v>392</v>
      </c>
    </row>
    <row r="90" spans="2:8" x14ac:dyDescent="0.15">
      <c r="B90" s="148" t="s">
        <v>393</v>
      </c>
      <c r="C90" s="167">
        <f>Thesis!F30</f>
        <v>0.3</v>
      </c>
    </row>
    <row r="91" spans="2:8" x14ac:dyDescent="0.15">
      <c r="B91" s="100" t="s">
        <v>117</v>
      </c>
      <c r="C91" s="116">
        <f>PV(C90, C76, -C77, 0)</f>
        <v>1.7325716886663638</v>
      </c>
      <c r="D91" s="116"/>
      <c r="E91" s="100"/>
      <c r="F91" s="100"/>
    </row>
    <row r="92" spans="2:8" x14ac:dyDescent="0.15">
      <c r="B92" s="100" t="s">
        <v>118</v>
      </c>
      <c r="C92" s="116">
        <f>C60/(1+C90)^C76</f>
        <v>10.499891697364584</v>
      </c>
      <c r="D92" s="116"/>
    </row>
    <row r="93" spans="2:8" x14ac:dyDescent="0.15">
      <c r="B93" s="110" t="s">
        <v>98</v>
      </c>
      <c r="C93" s="111">
        <f>C91+C92</f>
        <v>12.232463386030947</v>
      </c>
      <c r="D93" t="str">
        <f>Market_currency</f>
        <v>CNY</v>
      </c>
      <c r="E93" s="146" t="s">
        <v>122</v>
      </c>
      <c r="F93" s="291">
        <f>(1-C93/C60)</f>
        <v>0.46972756965017359</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2.4809015558378498</v>
      </c>
      <c r="D97" s="116"/>
      <c r="G97" s="2"/>
      <c r="H97" s="281"/>
    </row>
    <row r="98" spans="2:8" x14ac:dyDescent="0.15">
      <c r="B98" s="100" t="s">
        <v>118</v>
      </c>
      <c r="C98" s="116">
        <f>C60/(1+C96)^C76</f>
        <v>18.569041364697949</v>
      </c>
      <c r="D98" s="116"/>
      <c r="G98" s="2"/>
      <c r="H98" s="281"/>
    </row>
    <row r="99" spans="2:8" x14ac:dyDescent="0.15">
      <c r="B99" s="110" t="s">
        <v>379</v>
      </c>
      <c r="C99" s="111">
        <f>C97+C98</f>
        <v>21.049942920535798</v>
      </c>
      <c r="D99" t="s">
        <v>377</v>
      </c>
      <c r="E99" s="146" t="s">
        <v>122</v>
      </c>
      <c r="F99" s="291">
        <f>(1-C99/C60)</f>
        <v>8.7493333195299505E-2</v>
      </c>
    </row>
    <row r="100" spans="2:8" x14ac:dyDescent="0.15">
      <c r="B100" s="100"/>
    </row>
    <row r="101" spans="2:8" x14ac:dyDescent="0.15">
      <c r="B101" s="109" t="s">
        <v>399</v>
      </c>
    </row>
    <row r="102" spans="2:8" x14ac:dyDescent="0.15">
      <c r="B102" s="148" t="s">
        <v>398</v>
      </c>
      <c r="C102" s="134">
        <f>Thesis!F32</f>
        <v>8.6999999999999994E-2</v>
      </c>
    </row>
    <row r="103" spans="2:8" x14ac:dyDescent="0.15">
      <c r="B103" s="100" t="s">
        <v>117</v>
      </c>
      <c r="C103" s="116">
        <f>PV(C102, C76, -C77, 0)</f>
        <v>2.4278251157606801</v>
      </c>
      <c r="D103" s="116"/>
    </row>
    <row r="104" spans="2:8" x14ac:dyDescent="0.15">
      <c r="B104" s="100" t="s">
        <v>118</v>
      </c>
      <c r="C104" s="116">
        <f>C60/(1+C102)^C76</f>
        <v>17.960823461255792</v>
      </c>
      <c r="D104" s="116"/>
    </row>
    <row r="105" spans="2:8" x14ac:dyDescent="0.15">
      <c r="B105" s="110" t="s">
        <v>379</v>
      </c>
      <c r="C105" s="111">
        <f>C103+C104</f>
        <v>20.388648577016472</v>
      </c>
      <c r="D105" t="s">
        <v>377</v>
      </c>
      <c r="E105" s="146" t="s">
        <v>122</v>
      </c>
      <c r="F105" s="291">
        <f>(1-C105/C66)</f>
        <v>0.11554003116982536</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437</v>
      </c>
      <c r="C1" s="33">
        <f>Thesis!C1</f>
        <v>45797</v>
      </c>
      <c r="D1" s="358" t="str">
        <f>Thesis!D1</f>
        <v>CN</v>
      </c>
      <c r="E1" s="292" t="s">
        <v>344</v>
      </c>
      <c r="F1" s="307" t="str">
        <f>Thesis!F1</f>
        <v>Y</v>
      </c>
    </row>
    <row r="2" spans="1:10" ht="16" x14ac:dyDescent="0.25">
      <c r="A2" s="222" t="s">
        <v>438</v>
      </c>
      <c r="B2" s="36"/>
      <c r="C2" s="36"/>
      <c r="D2" s="36"/>
      <c r="E2" s="36"/>
      <c r="F2" s="36"/>
      <c r="G2" s="22"/>
      <c r="H2" s="22"/>
      <c r="I2" s="22"/>
      <c r="J2" s="22"/>
    </row>
    <row r="4" spans="1:10" x14ac:dyDescent="0.15">
      <c r="B4" s="45" t="s">
        <v>439</v>
      </c>
      <c r="C4" s="46"/>
      <c r="D4" s="5"/>
      <c r="E4" s="2"/>
      <c r="F4" s="2"/>
    </row>
    <row r="5" spans="1:10" ht="14" x14ac:dyDescent="0.2">
      <c r="B5" s="4" t="s">
        <v>479</v>
      </c>
      <c r="C5" s="359" t="str">
        <f>Thesis!C5</f>
        <v>洽洽食品</v>
      </c>
    </row>
    <row r="6" spans="1:10" x14ac:dyDescent="0.15">
      <c r="B6" s="4" t="s">
        <v>480</v>
      </c>
      <c r="C6" s="34">
        <f>Common_Shares</f>
        <v>505855092</v>
      </c>
      <c r="E6" s="48"/>
    </row>
    <row r="7" spans="1:10" x14ac:dyDescent="0.15">
      <c r="B7" s="2" t="s">
        <v>481</v>
      </c>
      <c r="C7" s="360">
        <f>Thesis!C7</f>
        <v>6</v>
      </c>
      <c r="D7" s="48"/>
      <c r="E7" s="48"/>
    </row>
    <row r="8" spans="1:10" x14ac:dyDescent="0.15">
      <c r="B8" s="1" t="s">
        <v>482</v>
      </c>
      <c r="C8" s="33">
        <f>EOMONTH(EDATE(BS!C1,C7+2),0)</f>
        <v>45900</v>
      </c>
      <c r="E8" s="48"/>
    </row>
    <row r="9" spans="1:10" x14ac:dyDescent="0.15">
      <c r="E9" s="34"/>
    </row>
    <row r="10" spans="1:10" x14ac:dyDescent="0.15">
      <c r="B10" s="45" t="s">
        <v>440</v>
      </c>
      <c r="C10" s="46"/>
      <c r="E10" s="34"/>
    </row>
    <row r="11" spans="1:10" x14ac:dyDescent="0.15">
      <c r="B11" s="1" t="s">
        <v>483</v>
      </c>
      <c r="C11" s="365" t="str">
        <f>Thesis!C11</f>
        <v>002557.SZ</v>
      </c>
      <c r="D11" s="49"/>
      <c r="E11" s="34"/>
    </row>
    <row r="12" spans="1:10" x14ac:dyDescent="0.15">
      <c r="B12" s="4" t="s">
        <v>484</v>
      </c>
      <c r="C12" s="366">
        <f>Market_Price</f>
        <v>22.78</v>
      </c>
      <c r="D12" s="50"/>
      <c r="E12" s="48"/>
    </row>
    <row r="13" spans="1:10" x14ac:dyDescent="0.15">
      <c r="B13" s="1" t="s">
        <v>485</v>
      </c>
      <c r="C13" s="32" t="str">
        <f>Market_currency</f>
        <v>CNY</v>
      </c>
      <c r="D13" s="48"/>
      <c r="E13" s="5"/>
    </row>
    <row r="14" spans="1:10" x14ac:dyDescent="0.15">
      <c r="B14" s="4" t="s">
        <v>486</v>
      </c>
      <c r="C14" s="35">
        <f>投资主题!C12*Common_Shares/1000000</f>
        <v>11523.37899576</v>
      </c>
      <c r="D14" s="35" t="str">
        <f>IF(D11="","",投资主题!D12*Common_Shares/1000000)</f>
        <v/>
      </c>
      <c r="E14" s="5"/>
    </row>
    <row r="15" spans="1:10" x14ac:dyDescent="0.15">
      <c r="B15" s="4" t="s">
        <v>487</v>
      </c>
      <c r="C15" s="32" t="str">
        <f>IF(C25=C13,C13,C25&amp;"/"&amp;C13)</f>
        <v>CNY</v>
      </c>
      <c r="D15" s="32" t="str">
        <f>IF(D11="","",IF(C25=D13,D13,C25&amp;"/"&amp;D13))</f>
        <v/>
      </c>
      <c r="E15" s="5"/>
    </row>
    <row r="16" spans="1:10" x14ac:dyDescent="0.15">
      <c r="B16" s="4" t="s">
        <v>488</v>
      </c>
      <c r="C16" s="366">
        <f>Exchange_Rate</f>
        <v>1</v>
      </c>
      <c r="D16" s="50"/>
      <c r="E16" s="5"/>
    </row>
    <row r="17" spans="2:6" x14ac:dyDescent="0.15">
      <c r="D17" s="5"/>
      <c r="E17" s="5"/>
    </row>
    <row r="18" spans="2:6" ht="24.5" customHeight="1" x14ac:dyDescent="0.15">
      <c r="B18" s="370" t="s">
        <v>489</v>
      </c>
      <c r="C18" s="370"/>
      <c r="D18" s="370"/>
      <c r="E18" s="370"/>
      <c r="F18" s="370"/>
    </row>
    <row r="20" spans="2:6" x14ac:dyDescent="0.15">
      <c r="B20" s="45" t="s">
        <v>490</v>
      </c>
      <c r="C20" s="46"/>
      <c r="D20" s="5"/>
    </row>
    <row r="21" spans="2:6" x14ac:dyDescent="0.15">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x14ac:dyDescent="0.15">
      <c r="B22" s="2" t="s">
        <v>442</v>
      </c>
      <c r="C22" s="32" t="str">
        <f>Thesis!C22</f>
        <v>CNS_01</v>
      </c>
      <c r="D22" s="1" t="str">
        <f>IF(valuation_method="DDM","终值贴现率","")</f>
        <v/>
      </c>
      <c r="E22" s="364">
        <f>Thesis!E22</f>
        <v>0</v>
      </c>
    </row>
    <row r="23" spans="2:6" x14ac:dyDescent="0.15">
      <c r="B23" s="1" t="s">
        <v>443</v>
      </c>
      <c r="C23" s="253" t="str">
        <f>Thesis!C23</f>
        <v>N</v>
      </c>
    </row>
    <row r="24" spans="2:6" x14ac:dyDescent="0.15">
      <c r="B24" s="1" t="s">
        <v>444</v>
      </c>
      <c r="C24" s="253" t="str">
        <f>Thesis!C24</f>
        <v>N</v>
      </c>
    </row>
    <row r="25" spans="2:6" x14ac:dyDescent="0.15">
      <c r="B25" s="4" t="s">
        <v>445</v>
      </c>
      <c r="C25" s="32" t="str">
        <f>Reporting_currency</f>
        <v>CNY</v>
      </c>
      <c r="D25" s="32" t="str">
        <f>IF(D11="","",Market_currency&amp;"/"&amp;D13&amp;":")</f>
        <v/>
      </c>
      <c r="E25" s="299" t="str">
        <f>IF(D11="","",1/Exchange_Rate*D16)</f>
        <v/>
      </c>
    </row>
    <row r="26" spans="2:6" x14ac:dyDescent="0.15">
      <c r="B26" s="1" t="str">
        <f>"预期股权价值 ("&amp;C13&amp;") :"</f>
        <v>预期股权价值 (CNY) :</v>
      </c>
      <c r="C26" s="304">
        <f>C132</f>
        <v>23.068262059109994</v>
      </c>
      <c r="D26" s="1" t="s">
        <v>446</v>
      </c>
      <c r="E26" s="301">
        <f ca="1">Scenarios!C87</f>
        <v>4.590904453268374E-2</v>
      </c>
    </row>
    <row r="27" spans="2:6" x14ac:dyDescent="0.15">
      <c r="D27" s="5"/>
      <c r="E27" s="5"/>
    </row>
    <row r="28" spans="2:6" x14ac:dyDescent="0.15">
      <c r="B28" s="45" t="s">
        <v>448</v>
      </c>
      <c r="C28" s="309" t="str">
        <f>C145&amp;" ("&amp;Market_currency&amp;")"</f>
        <v>002557.SZ (CNY)</v>
      </c>
      <c r="D28" s="309" t="str">
        <f>IF(D11="","",D145&amp;" ("&amp;D13&amp;")")</f>
        <v/>
      </c>
      <c r="E28" s="305" t="s">
        <v>453</v>
      </c>
      <c r="F28" s="361">
        <f>Thesis!F28</f>
        <v>3</v>
      </c>
    </row>
    <row r="29" spans="2:6" x14ac:dyDescent="0.15">
      <c r="B29" s="1" t="s">
        <v>449</v>
      </c>
      <c r="C29" s="310">
        <f>C149</f>
        <v>8.9913803957882639</v>
      </c>
      <c r="D29" s="310" t="str">
        <f>D149</f>
        <v/>
      </c>
      <c r="E29" s="306" t="s">
        <v>455</v>
      </c>
      <c r="F29" s="362">
        <f>Thesis!F29</f>
        <v>0.45</v>
      </c>
    </row>
    <row r="30" spans="2:6" x14ac:dyDescent="0.15">
      <c r="B30" s="1" t="s">
        <v>450</v>
      </c>
      <c r="C30" s="311">
        <f>C157</f>
        <v>12.232463386030947</v>
      </c>
      <c r="D30" s="311" t="str">
        <f>D157</f>
        <v/>
      </c>
      <c r="E30" s="307" t="s">
        <v>454</v>
      </c>
      <c r="F30" s="224">
        <f>Thesis!F30</f>
        <v>0.3</v>
      </c>
    </row>
    <row r="31" spans="2:6" x14ac:dyDescent="0.15">
      <c r="B31" s="1" t="s">
        <v>451</v>
      </c>
      <c r="C31" s="311">
        <f>C165</f>
        <v>21.049942920535798</v>
      </c>
      <c r="D31" s="311" t="str">
        <f>D165</f>
        <v/>
      </c>
      <c r="E31" s="307" t="s">
        <v>491</v>
      </c>
      <c r="F31" s="224">
        <f>Thesis!F31</f>
        <v>7.4999999999999997E-2</v>
      </c>
    </row>
    <row r="32" spans="2:6" x14ac:dyDescent="0.15">
      <c r="B32" s="1" t="s">
        <v>452</v>
      </c>
      <c r="C32" s="311">
        <f>C173</f>
        <v>20.388648577016472</v>
      </c>
      <c r="D32" s="311" t="str">
        <f>D173</f>
        <v/>
      </c>
      <c r="E32" s="307" t="s">
        <v>456</v>
      </c>
      <c r="F32" s="224">
        <f>Thesis!F32</f>
        <v>8.6999999999999994E-2</v>
      </c>
    </row>
    <row r="33" spans="1:6" x14ac:dyDescent="0.15">
      <c r="D33" s="5"/>
      <c r="E33" s="5"/>
    </row>
    <row r="34" spans="1:6" ht="16" x14ac:dyDescent="0.25">
      <c r="A34" s="222" t="s">
        <v>457</v>
      </c>
      <c r="B34" s="36"/>
      <c r="C34" s="36"/>
      <c r="D34" s="36"/>
      <c r="E34" s="36"/>
      <c r="F34" s="36"/>
    </row>
    <row r="36" spans="1:6" ht="24.5" customHeight="1" x14ac:dyDescent="0.15">
      <c r="B36" s="370" t="s">
        <v>492</v>
      </c>
      <c r="C36" s="370"/>
      <c r="D36" s="370"/>
      <c r="E36" s="370"/>
      <c r="F36" s="370"/>
    </row>
    <row r="37" spans="1:6" ht="24.5" customHeight="1" x14ac:dyDescent="0.15">
      <c r="B37" s="372" t="s">
        <v>330</v>
      </c>
      <c r="C37" s="372"/>
      <c r="D37" s="372"/>
      <c r="E37" s="372"/>
      <c r="F37" s="372"/>
    </row>
    <row r="39" spans="1:6" x14ac:dyDescent="0.15">
      <c r="B39" s="210" t="s">
        <v>493</v>
      </c>
      <c r="C39" s="108">
        <f>scaling_factor</f>
        <v>1</v>
      </c>
    </row>
    <row r="40" spans="1:6" x14ac:dyDescent="0.15">
      <c r="B40" s="371" t="s">
        <v>494</v>
      </c>
      <c r="C40" s="371"/>
      <c r="D40" s="371"/>
      <c r="E40" s="371"/>
      <c r="F40" s="371"/>
    </row>
    <row r="41" spans="1:6" x14ac:dyDescent="0.15">
      <c r="B41" s="47" t="s">
        <v>228</v>
      </c>
      <c r="C41" s="349">
        <f>Normalized_FCF!C8</f>
        <v>923979255.39561176</v>
      </c>
      <c r="D41" s="1" t="str">
        <f>Reporting_currency</f>
        <v>CNY</v>
      </c>
    </row>
    <row r="42" spans="1:6" x14ac:dyDescent="0.15">
      <c r="B42" s="47"/>
      <c r="C42" s="76"/>
    </row>
    <row r="43" spans="1:6" ht="24.5" customHeight="1" x14ac:dyDescent="0.15">
      <c r="B43" s="371" t="s">
        <v>495</v>
      </c>
      <c r="C43" s="371"/>
      <c r="D43" s="371"/>
      <c r="E43" s="371"/>
      <c r="F43" s="371"/>
    </row>
    <row r="44" spans="1:6" x14ac:dyDescent="0.15">
      <c r="B44" s="47" t="s">
        <v>230</v>
      </c>
      <c r="C44" s="349">
        <f>Normalized_FCF!C9</f>
        <v>0</v>
      </c>
      <c r="D44" s="1" t="str">
        <f>Reporting_currency</f>
        <v>CNY</v>
      </c>
    </row>
    <row r="45" spans="1:6" x14ac:dyDescent="0.15">
      <c r="B45" s="52" t="s">
        <v>231</v>
      </c>
      <c r="C45" s="349">
        <f>Normalized_FCF!C10</f>
        <v>0</v>
      </c>
      <c r="D45" s="1" t="str">
        <f>Reporting_currency</f>
        <v>CNY</v>
      </c>
    </row>
    <row r="47" spans="1:6" x14ac:dyDescent="0.15">
      <c r="B47" s="371" t="s">
        <v>496</v>
      </c>
      <c r="C47" s="371"/>
      <c r="D47" s="371"/>
      <c r="E47" s="371"/>
      <c r="F47" s="371"/>
    </row>
    <row r="48" spans="1:6" x14ac:dyDescent="0.15">
      <c r="B48" s="47" t="s">
        <v>233</v>
      </c>
      <c r="C48" s="349">
        <f>Normalized_FCF!C11</f>
        <v>0</v>
      </c>
      <c r="D48" s="1" t="str">
        <f>Reporting_currency</f>
        <v>CNY</v>
      </c>
    </row>
    <row r="50" spans="2:6" x14ac:dyDescent="0.15">
      <c r="B50" s="371" t="s">
        <v>497</v>
      </c>
      <c r="C50" s="371"/>
      <c r="D50" s="371"/>
      <c r="E50" s="371"/>
      <c r="F50" s="371"/>
    </row>
    <row r="51" spans="2:6" x14ac:dyDescent="0.15">
      <c r="B51" s="47" t="s">
        <v>331</v>
      </c>
      <c r="C51" s="350">
        <f>Normalized_FCF!C48</f>
        <v>32042840.928504106</v>
      </c>
      <c r="D51" s="1" t="str">
        <f>Reporting_currency</f>
        <v>CNY</v>
      </c>
      <c r="E51" s="286"/>
      <c r="F51" s="286"/>
    </row>
    <row r="52" spans="2:6" x14ac:dyDescent="0.15">
      <c r="B52" s="47" t="s">
        <v>332</v>
      </c>
      <c r="C52" s="350">
        <f>Normalized_FCF!C47</f>
        <v>-59672121</v>
      </c>
      <c r="D52" s="1" t="str">
        <f>Reporting_currency</f>
        <v>CNY</v>
      </c>
      <c r="E52" s="286"/>
      <c r="F52" s="286"/>
    </row>
    <row r="53" spans="2:6" x14ac:dyDescent="0.15">
      <c r="B53" s="47" t="s">
        <v>234</v>
      </c>
      <c r="C53" s="349">
        <f>Normalized_FCF!C12</f>
        <v>-27629280.071495894</v>
      </c>
      <c r="D53" s="1" t="str">
        <f>Reporting_currency</f>
        <v>CNY</v>
      </c>
    </row>
    <row r="55" spans="2:6" x14ac:dyDescent="0.15">
      <c r="B55" s="1" t="s">
        <v>498</v>
      </c>
    </row>
    <row r="56" spans="2:6" x14ac:dyDescent="0.15">
      <c r="B56" s="47" t="s">
        <v>261</v>
      </c>
      <c r="C56" s="349">
        <f>Normalized_FCF!C15</f>
        <v>-2378351.0769942678</v>
      </c>
      <c r="D56" s="1" t="str">
        <f>Reporting_currency</f>
        <v>CNY</v>
      </c>
    </row>
    <row r="58" spans="2:6" x14ac:dyDescent="0.15">
      <c r="B58" s="371" t="s">
        <v>237</v>
      </c>
      <c r="C58" s="371"/>
      <c r="D58" s="371"/>
      <c r="E58" s="371"/>
      <c r="F58" s="371"/>
    </row>
    <row r="59" spans="2:6" x14ac:dyDescent="0.15">
      <c r="B59" s="47" t="s">
        <v>235</v>
      </c>
      <c r="C59" s="349">
        <f>Normalized_FCF!C14</f>
        <v>-224087493.83102897</v>
      </c>
      <c r="D59" s="1" t="str">
        <f>Reporting_currency</f>
        <v>CNY</v>
      </c>
    </row>
    <row r="61" spans="2:6" x14ac:dyDescent="0.15">
      <c r="B61" s="371" t="s">
        <v>499</v>
      </c>
      <c r="C61" s="374"/>
      <c r="D61" s="374"/>
      <c r="E61" s="374"/>
      <c r="F61" s="374"/>
    </row>
    <row r="62" spans="2:6" x14ac:dyDescent="0.15">
      <c r="B62" s="47" t="s">
        <v>238</v>
      </c>
      <c r="C62" s="349">
        <f>Normalized_FCF!C17</f>
        <v>0</v>
      </c>
      <c r="D62" s="1" t="str">
        <f>Reporting_currency</f>
        <v>CNY</v>
      </c>
    </row>
    <row r="64" spans="2:6" x14ac:dyDescent="0.15">
      <c r="B64" s="370" t="s">
        <v>500</v>
      </c>
      <c r="C64" s="370"/>
      <c r="D64" s="370"/>
      <c r="E64" s="370"/>
      <c r="F64" s="370"/>
    </row>
    <row r="65" spans="1:6" x14ac:dyDescent="0.15">
      <c r="B65" s="370" t="s">
        <v>501</v>
      </c>
      <c r="C65" s="370"/>
      <c r="D65" s="370"/>
      <c r="E65" s="370"/>
      <c r="F65" s="370"/>
    </row>
    <row r="67" spans="1:6" x14ac:dyDescent="0.15">
      <c r="B67" s="47" t="s">
        <v>502</v>
      </c>
      <c r="C67" s="349">
        <f>Normalized_FCF!G19</f>
        <v>632397776.92850411</v>
      </c>
      <c r="D67" s="1" t="str">
        <f>Reporting_currency</f>
        <v>CNY</v>
      </c>
    </row>
    <row r="68" spans="1:6" x14ac:dyDescent="0.15">
      <c r="B68" s="47" t="s">
        <v>244</v>
      </c>
      <c r="C68" s="349">
        <f>Normalized_FCF!C19</f>
        <v>669884130.41609263</v>
      </c>
      <c r="D68" s="1" t="str">
        <f>Reporting_currency</f>
        <v>CNY</v>
      </c>
    </row>
    <row r="69" spans="1:6" x14ac:dyDescent="0.15">
      <c r="B69" s="227" t="s">
        <v>371</v>
      </c>
      <c r="C69" s="92">
        <f>Normalized_FCF!C126</f>
        <v>5.8132612896145734E-2</v>
      </c>
      <c r="F69" s="314"/>
    </row>
    <row r="70" spans="1:6" x14ac:dyDescent="0.15">
      <c r="B70" s="227" t="s">
        <v>434</v>
      </c>
      <c r="C70" s="92">
        <f>Normalized_FCF!C94</f>
        <v>4.1878841088674276E-2</v>
      </c>
      <c r="E70" s="47" t="s">
        <v>503</v>
      </c>
      <c r="F70" s="315">
        <f>Normalized_FCF!C92</f>
        <v>0.80044648495694337</v>
      </c>
    </row>
    <row r="72" spans="1:6" x14ac:dyDescent="0.15">
      <c r="B72" s="210" t="s">
        <v>513</v>
      </c>
      <c r="C72" s="323" t="s">
        <v>429</v>
      </c>
      <c r="D72" s="323" t="s">
        <v>504</v>
      </c>
    </row>
    <row r="73" spans="1:6" x14ac:dyDescent="0.15">
      <c r="B73" s="47" t="s">
        <v>428</v>
      </c>
      <c r="C73" s="92">
        <f>Normalized_FCF!C121</f>
        <v>0.15648173464349882</v>
      </c>
      <c r="D73" s="92">
        <f>Normalized_FCF!G121</f>
        <v>0.15054731209829122</v>
      </c>
    </row>
    <row r="74" spans="1:6" x14ac:dyDescent="0.15">
      <c r="B74" s="259" t="str">
        <f>Normalized_FCF!B118</f>
        <v>Pre-tax Profit/Sales</v>
      </c>
      <c r="C74" s="322">
        <f>Normalized_FCF!C118</f>
        <v>0.13375671427886937</v>
      </c>
      <c r="D74" s="322">
        <f>Normalized_FCF!G118</f>
        <v>0.12092451547494525</v>
      </c>
    </row>
    <row r="75" spans="1:6" x14ac:dyDescent="0.15">
      <c r="B75" s="259" t="str">
        <f>Normalized_FCF!B119</f>
        <v>Sales/Total Assets</v>
      </c>
      <c r="C75" s="324">
        <f>Normalized_FCF!C119</f>
        <v>0.66633267926556194</v>
      </c>
      <c r="D75" s="324">
        <f>Normalized_FCF!G119</f>
        <v>0.70909055913759678</v>
      </c>
    </row>
    <row r="76" spans="1:6" x14ac:dyDescent="0.15">
      <c r="B76" s="259" t="str">
        <f>Normalized_FCF!B120</f>
        <v>Total Assets/Equity</v>
      </c>
      <c r="C76" s="324">
        <f>Normalized_FCF!C120</f>
        <v>1.7557268340491488</v>
      </c>
      <c r="D76" s="324">
        <f>Normalized_FCF!G120</f>
        <v>1.7557268340491488</v>
      </c>
    </row>
    <row r="78" spans="1:6" ht="16" x14ac:dyDescent="0.25">
      <c r="A78" s="222" t="s">
        <v>505</v>
      </c>
      <c r="B78" s="36"/>
      <c r="C78" s="36"/>
      <c r="D78" s="36"/>
      <c r="E78" s="36"/>
      <c r="F78" s="36"/>
    </row>
    <row r="79" spans="1:6" x14ac:dyDescent="0.15">
      <c r="A79" s="209"/>
    </row>
    <row r="80" spans="1:6" x14ac:dyDescent="0.15">
      <c r="A80" s="17"/>
      <c r="B80" s="370" t="s">
        <v>506</v>
      </c>
      <c r="C80" s="370"/>
      <c r="D80" s="370"/>
      <c r="E80" s="370"/>
      <c r="F80" s="370"/>
    </row>
    <row r="81" spans="1:6" x14ac:dyDescent="0.15">
      <c r="B81" s="372" t="s">
        <v>248</v>
      </c>
      <c r="C81" s="372"/>
      <c r="D81" s="372"/>
      <c r="E81" s="372"/>
      <c r="F81" s="372"/>
    </row>
    <row r="83" spans="1:6" x14ac:dyDescent="0.15">
      <c r="B83" s="210" t="s">
        <v>493</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512</v>
      </c>
      <c r="C88" s="121"/>
    </row>
    <row r="89" spans="1:6" x14ac:dyDescent="0.15">
      <c r="B89" s="370" t="s">
        <v>507</v>
      </c>
      <c r="C89" s="370"/>
      <c r="D89" s="370"/>
      <c r="E89" s="370"/>
      <c r="F89" s="370"/>
    </row>
    <row r="90" spans="1:6" x14ac:dyDescent="0.15">
      <c r="B90" s="370" t="s">
        <v>508</v>
      </c>
      <c r="C90" s="370"/>
      <c r="D90" s="370"/>
      <c r="E90" s="370"/>
      <c r="F90" s="370"/>
    </row>
    <row r="92" spans="1:6" x14ac:dyDescent="0.15">
      <c r="B92" s="47" t="s">
        <v>247</v>
      </c>
      <c r="C92" s="236">
        <v>0</v>
      </c>
    </row>
    <row r="93" spans="1:6" x14ac:dyDescent="0.15">
      <c r="B93" s="47" t="s">
        <v>275</v>
      </c>
      <c r="C93" s="223">
        <f>DCF!C6*scaling_factor*Exchange_Rate/Common_Shares</f>
        <v>17.656812290322666</v>
      </c>
      <c r="D93" s="1" t="str">
        <f>Market_currency</f>
        <v>CNY</v>
      </c>
    </row>
    <row r="95" spans="1:6" ht="16" x14ac:dyDescent="0.25">
      <c r="A95" s="222" t="s">
        <v>509</v>
      </c>
      <c r="B95" s="36"/>
      <c r="C95" s="36"/>
      <c r="D95" s="36"/>
      <c r="E95" s="36"/>
      <c r="F95" s="36"/>
    </row>
    <row r="96" spans="1:6" x14ac:dyDescent="0.15">
      <c r="A96" s="209"/>
    </row>
    <row r="97" spans="2:6" x14ac:dyDescent="0.15">
      <c r="B97" s="370" t="s">
        <v>510</v>
      </c>
      <c r="C97" s="370"/>
      <c r="D97" s="370"/>
      <c r="E97" s="370"/>
      <c r="F97" s="370"/>
    </row>
    <row r="98" spans="2:6" x14ac:dyDescent="0.15">
      <c r="B98" s="1" t="s">
        <v>249</v>
      </c>
    </row>
    <row r="100" spans="2:6" x14ac:dyDescent="0.15">
      <c r="B100" s="210" t="s">
        <v>493</v>
      </c>
    </row>
    <row r="101" spans="2:6" x14ac:dyDescent="0.15">
      <c r="B101" s="370" t="s">
        <v>511</v>
      </c>
      <c r="C101" s="370"/>
      <c r="D101" s="370"/>
      <c r="E101" s="370"/>
      <c r="F101" s="370"/>
    </row>
    <row r="102" spans="2:6" x14ac:dyDescent="0.15">
      <c r="B102" s="47" t="s">
        <v>251</v>
      </c>
      <c r="C102" s="349">
        <f>DCF!C7</f>
        <v>2209595736.0500002</v>
      </c>
      <c r="D102" s="1" t="str">
        <f>Reporting_currency</f>
        <v>CNY</v>
      </c>
    </row>
    <row r="103" spans="2:6" x14ac:dyDescent="0.15">
      <c r="B103" s="47" t="s">
        <v>276</v>
      </c>
      <c r="C103" s="223">
        <f>C102*scaling_factor*Exchange_Rate/Common_Shares</f>
        <v>4.3680409093321932</v>
      </c>
      <c r="D103" s="1" t="str">
        <f>Market_currency</f>
        <v>CNY</v>
      </c>
    </row>
    <row r="104" spans="2:6" x14ac:dyDescent="0.15">
      <c r="B104" s="296" t="s">
        <v>384</v>
      </c>
      <c r="C104" s="325">
        <f>IF(BS!G31/BS!G27&gt;300%,"nm",BS!G31/BS!G27)</f>
        <v>0.3857437197038544</v>
      </c>
    </row>
    <row r="105" spans="2:6" x14ac:dyDescent="0.15">
      <c r="B105" s="296" t="s">
        <v>386</v>
      </c>
      <c r="C105" s="326">
        <f>IF(BS!C50&gt;30,"nm",BS!C50)</f>
        <v>2.3913910654887354</v>
      </c>
    </row>
    <row r="107" spans="2:6" x14ac:dyDescent="0.15">
      <c r="B107" s="1" t="s">
        <v>514</v>
      </c>
    </row>
    <row r="108" spans="2:6" x14ac:dyDescent="0.15">
      <c r="B108" s="47" t="s">
        <v>260</v>
      </c>
      <c r="C108" s="349">
        <f>BS!C66</f>
        <v>4583178463.29</v>
      </c>
      <c r="D108" s="1" t="str">
        <f>Reporting_currency</f>
        <v>CNY</v>
      </c>
    </row>
    <row r="109" spans="2:6" x14ac:dyDescent="0.15">
      <c r="B109" s="47" t="s">
        <v>262</v>
      </c>
      <c r="C109" s="349">
        <f>DCF!C8</f>
        <v>3530916331.352602</v>
      </c>
      <c r="D109" s="1" t="str">
        <f>Reporting_currency</f>
        <v>CNY</v>
      </c>
    </row>
    <row r="110" spans="2:6" x14ac:dyDescent="0.15">
      <c r="B110" s="47" t="s">
        <v>277</v>
      </c>
      <c r="C110" s="223">
        <f>C109*scaling_factor*Exchange_Rate/Common_Shares</f>
        <v>6.9800944720995357</v>
      </c>
      <c r="D110" s="1" t="str">
        <f>Market_currency</f>
        <v>CNY</v>
      </c>
    </row>
    <row r="112" spans="2:6" x14ac:dyDescent="0.15">
      <c r="B112" s="1" t="s">
        <v>515</v>
      </c>
    </row>
    <row r="113" spans="1:6" x14ac:dyDescent="0.15">
      <c r="B113" s="47" t="s">
        <v>253</v>
      </c>
      <c r="C113" s="349">
        <f>DCF!C9</f>
        <v>590585139.73500001</v>
      </c>
      <c r="D113" s="1" t="str">
        <f>Reporting_currency</f>
        <v>CNY</v>
      </c>
    </row>
    <row r="114" spans="1:6" x14ac:dyDescent="0.15">
      <c r="B114" s="47" t="s">
        <v>278</v>
      </c>
      <c r="C114" s="223">
        <f>C113*scaling_factor*Exchange_Rate/Common_Shares</f>
        <v>1.1674986553955653</v>
      </c>
      <c r="D114" s="1" t="str">
        <f>Market_currency</f>
        <v>CNY</v>
      </c>
    </row>
    <row r="116" spans="1:6" x14ac:dyDescent="0.15">
      <c r="B116" s="370" t="s">
        <v>516</v>
      </c>
      <c r="C116" s="370"/>
      <c r="D116" s="370"/>
      <c r="E116" s="370"/>
      <c r="F116" s="370"/>
    </row>
    <row r="118" spans="1:6" x14ac:dyDescent="0.15">
      <c r="B118" s="47" t="s">
        <v>517</v>
      </c>
      <c r="C118" s="223">
        <f>IF(valuation_method="DCF",DCF!C12,DDM!C7)</f>
        <v>21.436364508485578</v>
      </c>
      <c r="D118" s="1" t="str">
        <f>Market_currency</f>
        <v>CNY</v>
      </c>
    </row>
    <row r="119" spans="1:6" x14ac:dyDescent="0.15">
      <c r="B119" s="296" t="s">
        <v>550</v>
      </c>
      <c r="C119" s="223">
        <f>BS!D47</f>
        <v>3.5427832354191278</v>
      </c>
      <c r="D119" s="1" t="str">
        <f>Market_currency</f>
        <v>CNY</v>
      </c>
    </row>
    <row r="121" spans="1:6" ht="16" x14ac:dyDescent="0.25">
      <c r="A121" s="222" t="s">
        <v>518</v>
      </c>
      <c r="B121" s="36"/>
      <c r="C121" s="36"/>
      <c r="D121" s="36"/>
      <c r="E121" s="36"/>
      <c r="F121" s="36"/>
    </row>
    <row r="123" spans="1:6" x14ac:dyDescent="0.15">
      <c r="B123" s="371" t="s">
        <v>519</v>
      </c>
      <c r="C123" s="371"/>
      <c r="D123" s="371"/>
      <c r="E123" s="371"/>
      <c r="F123" s="371"/>
    </row>
    <row r="125" spans="1:6" ht="14" x14ac:dyDescent="0.2">
      <c r="B125" s="233" t="s">
        <v>520</v>
      </c>
      <c r="C125" s="233" t="s">
        <v>521</v>
      </c>
      <c r="D125" s="233" t="s">
        <v>108</v>
      </c>
      <c r="E125" s="233" t="s">
        <v>522</v>
      </c>
      <c r="F125" s="233" t="s">
        <v>523</v>
      </c>
    </row>
    <row r="126" spans="1:6" x14ac:dyDescent="0.15">
      <c r="B126" s="228" t="str">
        <f>DCF!B74</f>
        <v>Snowball Scenario</v>
      </c>
      <c r="C126" s="229">
        <f>DCF!C74</f>
        <v>0.08</v>
      </c>
      <c r="D126" s="230">
        <f>DCF!D74</f>
        <v>10</v>
      </c>
      <c r="E126" s="231" t="str">
        <f>ROUND(IF(valuation_method="DCF",DCF!E74,DDM!E69),2)&amp;" "&amp;Market_currency</f>
        <v>26.62 CNY</v>
      </c>
      <c r="F126" s="232">
        <f>DCF!F74</f>
        <v>0.15</v>
      </c>
    </row>
    <row r="127" spans="1:6" x14ac:dyDescent="0.15">
      <c r="B127" s="218" t="str">
        <f>DCF!B75</f>
        <v>Optimistic</v>
      </c>
      <c r="C127" s="219">
        <f>DCF!C75</f>
        <v>0.06</v>
      </c>
      <c r="D127" s="220">
        <f>DCF!D75</f>
        <v>5</v>
      </c>
      <c r="E127" s="231" t="str">
        <f>ROUND(IF(valuation_method="DCF",DCF!E75,DDM!E70),2)&amp;" "&amp;Market_currency</f>
        <v>23.17 CNY</v>
      </c>
      <c r="F127" s="221">
        <f>DCF!F75</f>
        <v>0.15000000000000002</v>
      </c>
    </row>
    <row r="128" spans="1:6" x14ac:dyDescent="0.15">
      <c r="B128" s="218" t="str">
        <f>DCF!B76</f>
        <v>Base</v>
      </c>
      <c r="C128" s="219">
        <f>DCF!C76</f>
        <v>0.04</v>
      </c>
      <c r="D128" s="220">
        <f>DCF!D76</f>
        <v>5</v>
      </c>
      <c r="E128" s="231" t="str">
        <f>ROUND(IF(valuation_method="DCF",DCF!E76,DDM!E71),2)&amp;" "&amp;Market_currency</f>
        <v>22.57 CNY</v>
      </c>
      <c r="F128" s="221">
        <f>DCF!F76</f>
        <v>0.44999999999999996</v>
      </c>
    </row>
    <row r="129" spans="1:6" x14ac:dyDescent="0.15">
      <c r="B129" s="218" t="str">
        <f>DCF!B77</f>
        <v>Pessimistic</v>
      </c>
      <c r="C129" s="219">
        <f>DCF!C77</f>
        <v>0.02</v>
      </c>
      <c r="D129" s="220">
        <f>DCF!D77</f>
        <v>5</v>
      </c>
      <c r="E129" s="231" t="str">
        <f>ROUND(IF(valuation_method="DCF",DCF!E77,DDM!E72),2)&amp;" "&amp;Market_currency</f>
        <v>22 CNY</v>
      </c>
      <c r="F129" s="221">
        <f>DCF!F77</f>
        <v>0.15000000000000002</v>
      </c>
    </row>
    <row r="130" spans="1:6" x14ac:dyDescent="0.15">
      <c r="B130" s="218" t="str">
        <f>DCF!B78</f>
        <v>Devil's advocate</v>
      </c>
      <c r="C130" s="219">
        <f>DCF!C78</f>
        <v>0</v>
      </c>
      <c r="D130" s="220">
        <f>DCF!D78</f>
        <v>10</v>
      </c>
      <c r="E130" s="231" t="str">
        <f>ROUND(IF(valuation_method="DCF",DCF!E78,DDM!E73),2)&amp;" "&amp;Market_currency</f>
        <v>21.44 CNY</v>
      </c>
      <c r="F130" s="221">
        <f>DCF!F78</f>
        <v>0.1</v>
      </c>
    </row>
    <row r="132" spans="1:6" x14ac:dyDescent="0.15">
      <c r="B132" s="211" t="s">
        <v>254</v>
      </c>
      <c r="C132" s="217">
        <f>Scenarios!C60</f>
        <v>23.068262059109994</v>
      </c>
      <c r="D132" s="212" t="str">
        <f>Market_currency</f>
        <v>CNY</v>
      </c>
    </row>
    <row r="134" spans="1:6" x14ac:dyDescent="0.15">
      <c r="B134" s="375" t="s">
        <v>524</v>
      </c>
      <c r="C134" s="375"/>
      <c r="D134" s="375"/>
      <c r="E134" s="375"/>
      <c r="F134" s="375"/>
    </row>
    <row r="136" spans="1:6" ht="16" x14ac:dyDescent="0.25">
      <c r="A136" s="222" t="s">
        <v>525</v>
      </c>
      <c r="B136" s="36"/>
      <c r="C136" s="36"/>
      <c r="D136" s="36"/>
      <c r="E136" s="36"/>
      <c r="F136" s="36"/>
    </row>
    <row r="138" spans="1:6" x14ac:dyDescent="0.15">
      <c r="B138" s="373" t="s">
        <v>526</v>
      </c>
      <c r="C138" s="373"/>
      <c r="D138" s="373"/>
      <c r="E138" s="373"/>
      <c r="F138" s="373"/>
    </row>
    <row r="139" spans="1:6" ht="24.5" customHeight="1" x14ac:dyDescent="0.15">
      <c r="B139" s="370" t="s">
        <v>527</v>
      </c>
      <c r="C139" s="370"/>
      <c r="D139" s="370"/>
      <c r="E139" s="370"/>
      <c r="F139" s="370"/>
    </row>
    <row r="140" spans="1:6" x14ac:dyDescent="0.15">
      <c r="B140" s="210" t="s">
        <v>493</v>
      </c>
    </row>
    <row r="141" spans="1:6" x14ac:dyDescent="0.15">
      <c r="B141" s="1" t="s">
        <v>528</v>
      </c>
      <c r="C141" s="225">
        <f>F28</f>
        <v>3</v>
      </c>
    </row>
    <row r="142" spans="1:6" x14ac:dyDescent="0.15">
      <c r="B142" s="1" t="s">
        <v>529</v>
      </c>
      <c r="C142" s="224">
        <f>F29</f>
        <v>0.45</v>
      </c>
    </row>
    <row r="143" spans="1:6" x14ac:dyDescent="0.15">
      <c r="B143" s="212" t="s">
        <v>530</v>
      </c>
      <c r="C143" s="213">
        <f>Scenarios!C77</f>
        <v>0.95400000000000007</v>
      </c>
      <c r="D143" s="212" t="str">
        <f>Market_currency</f>
        <v>CNY</v>
      </c>
    </row>
    <row r="145" spans="2:4" x14ac:dyDescent="0.15">
      <c r="B145" s="210" t="s">
        <v>531</v>
      </c>
      <c r="C145" s="241" t="str">
        <f>C11</f>
        <v>002557.SZ</v>
      </c>
      <c r="D145" s="241" t="str">
        <f>IF(D11="","",D11)</f>
        <v/>
      </c>
    </row>
    <row r="146" spans="2:4" x14ac:dyDescent="0.15">
      <c r="B146" s="1" t="s">
        <v>387</v>
      </c>
      <c r="C146" s="297">
        <f>F29</f>
        <v>0.45</v>
      </c>
    </row>
    <row r="147" spans="2:4" x14ac:dyDescent="0.15">
      <c r="B147" s="212" t="str">
        <f>"PV("&amp;C141&amp;" yrs of Dividends)"</f>
        <v>PV(3 yrs of Dividends)</v>
      </c>
      <c r="C147" s="216">
        <f>Scenarios!C81</f>
        <v>1.4246045348312761</v>
      </c>
    </row>
    <row r="148" spans="2:4" x14ac:dyDescent="0.15">
      <c r="B148" s="212" t="str">
        <f>"+ PV(Equity Value realized at year "&amp;C141&amp;")"</f>
        <v>+ PV(Equity Value realized at year 3)</v>
      </c>
      <c r="C148" s="216">
        <f>Scenarios!C82</f>
        <v>7.5667758609569873</v>
      </c>
    </row>
    <row r="149" spans="2:4" x14ac:dyDescent="0.15">
      <c r="B149" s="80" t="s">
        <v>256</v>
      </c>
      <c r="C149" s="215">
        <f>Scenarios!C83</f>
        <v>8.9913803957882639</v>
      </c>
      <c r="D149" s="300" t="str">
        <f>IF($D$11="","",C149*$E$25)</f>
        <v/>
      </c>
    </row>
    <row r="150" spans="2:4" x14ac:dyDescent="0.15">
      <c r="B150" s="259" t="s">
        <v>532</v>
      </c>
      <c r="C150" s="298" t="str">
        <f>Market_currency</f>
        <v>CNY</v>
      </c>
      <c r="D150" s="298" t="str">
        <f>IF($D$11="","",D$13)</f>
        <v/>
      </c>
    </row>
    <row r="151" spans="2:4" x14ac:dyDescent="0.15">
      <c r="B151" s="214" t="s">
        <v>533</v>
      </c>
      <c r="C151" s="92">
        <f>Scenarios!F83</f>
        <v>0.61022723026343306</v>
      </c>
    </row>
    <row r="153" spans="2:4" x14ac:dyDescent="0.15">
      <c r="B153" s="210" t="s">
        <v>391</v>
      </c>
    </row>
    <row r="154" spans="2:4" x14ac:dyDescent="0.15">
      <c r="B154" s="1" t="s">
        <v>390</v>
      </c>
      <c r="C154" s="297">
        <f>Scenarios!C90</f>
        <v>0.3</v>
      </c>
    </row>
    <row r="155" spans="2:4" x14ac:dyDescent="0.15">
      <c r="B155" s="212" t="str">
        <f>"PV("&amp;C141&amp;" yrs of Dividends)"</f>
        <v>PV(3 yrs of Dividends)</v>
      </c>
      <c r="C155" s="216">
        <f>Scenarios!C91</f>
        <v>1.7325716886663638</v>
      </c>
    </row>
    <row r="156" spans="2:4" x14ac:dyDescent="0.15">
      <c r="B156" s="212" t="str">
        <f>"+ PV(Equity Value realized at year "&amp;C141&amp;")"</f>
        <v>+ PV(Equity Value realized at year 3)</v>
      </c>
      <c r="C156" s="216">
        <f>Scenarios!C92</f>
        <v>10.499891697364584</v>
      </c>
    </row>
    <row r="157" spans="2:4" x14ac:dyDescent="0.15">
      <c r="B157" s="80" t="s">
        <v>256</v>
      </c>
      <c r="C157" s="215">
        <f>Scenarios!C93</f>
        <v>12.232463386030947</v>
      </c>
      <c r="D157" s="300" t="str">
        <f>IF($D$11="","",C157*$E$25)</f>
        <v/>
      </c>
    </row>
    <row r="158" spans="2:4" x14ac:dyDescent="0.15">
      <c r="B158" s="259" t="s">
        <v>532</v>
      </c>
      <c r="C158" s="298" t="str">
        <f>Market_currency</f>
        <v>CNY</v>
      </c>
      <c r="D158" s="298" t="str">
        <f>IF($D$11="","",D$13)</f>
        <v/>
      </c>
    </row>
    <row r="159" spans="2:4" x14ac:dyDescent="0.15">
      <c r="B159" s="214" t="s">
        <v>533</v>
      </c>
      <c r="C159" s="92">
        <f>Scenarios!F93</f>
        <v>0.46972756965017359</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2.4809015558378498</v>
      </c>
    </row>
    <row r="164" spans="2:4" x14ac:dyDescent="0.15">
      <c r="B164" s="212" t="str">
        <f>"+ PV(Equity Value realized at year "&amp;C141&amp;")"</f>
        <v>+ PV(Equity Value realized at year 3)</v>
      </c>
      <c r="C164" s="216">
        <f>Scenarios!C98</f>
        <v>18.569041364697949</v>
      </c>
    </row>
    <row r="165" spans="2:4" x14ac:dyDescent="0.15">
      <c r="B165" s="80" t="s">
        <v>382</v>
      </c>
      <c r="C165" s="215">
        <f>Scenarios!C99</f>
        <v>21.049942920535798</v>
      </c>
      <c r="D165" s="300" t="str">
        <f>IF($D$11="","",C165*$E$25)</f>
        <v/>
      </c>
    </row>
    <row r="166" spans="2:4" x14ac:dyDescent="0.15">
      <c r="B166" s="259" t="s">
        <v>532</v>
      </c>
      <c r="C166" s="298" t="str">
        <f>Market_currency</f>
        <v>CNY</v>
      </c>
      <c r="D166" s="298" t="str">
        <f>IF($D$11="","",D$13)</f>
        <v/>
      </c>
    </row>
    <row r="167" spans="2:4" x14ac:dyDescent="0.15">
      <c r="B167" s="214" t="s">
        <v>533</v>
      </c>
      <c r="C167" s="92">
        <f>Scenarios!F99</f>
        <v>8.7493333195299505E-2</v>
      </c>
    </row>
    <row r="169" spans="2:4" x14ac:dyDescent="0.15">
      <c r="B169" s="210" t="s">
        <v>409</v>
      </c>
    </row>
    <row r="170" spans="2:4" x14ac:dyDescent="0.15">
      <c r="B170" s="1" t="s">
        <v>400</v>
      </c>
      <c r="C170" s="92">
        <f>F32</f>
        <v>8.6999999999999994E-2</v>
      </c>
    </row>
    <row r="171" spans="2:4" x14ac:dyDescent="0.15">
      <c r="B171" s="212" t="str">
        <f>"PV("&amp;C141&amp;" yrs of Dividends)"</f>
        <v>PV(3 yrs of Dividends)</v>
      </c>
      <c r="C171" s="216">
        <f>Scenarios!C103</f>
        <v>2.4278251157606801</v>
      </c>
    </row>
    <row r="172" spans="2:4" x14ac:dyDescent="0.15">
      <c r="B172" s="212" t="str">
        <f>"+ PV(Equity Value realized at year "&amp;C141&amp;")"</f>
        <v>+ PV(Equity Value realized at year 3)</v>
      </c>
      <c r="C172" s="216">
        <f>Scenarios!C104</f>
        <v>17.960823461255792</v>
      </c>
    </row>
    <row r="173" spans="2:4" x14ac:dyDescent="0.15">
      <c r="B173" s="80" t="s">
        <v>382</v>
      </c>
      <c r="C173" s="215">
        <f>Scenarios!C105</f>
        <v>20.388648577016472</v>
      </c>
      <c r="D173" s="300" t="str">
        <f>IF($D$11="","",C173*$E$25)</f>
        <v/>
      </c>
    </row>
    <row r="174" spans="2:4" x14ac:dyDescent="0.15">
      <c r="B174" s="259" t="s">
        <v>532</v>
      </c>
      <c r="C174" s="298" t="str">
        <f>Market_currency</f>
        <v>CNY</v>
      </c>
      <c r="D174" s="298" t="str">
        <f>IF($D$11="","",D$13)</f>
        <v/>
      </c>
    </row>
    <row r="175" spans="2:4" x14ac:dyDescent="0.15">
      <c r="B175" s="214" t="s">
        <v>533</v>
      </c>
      <c r="C175" s="92">
        <f>Scenarios!F105</f>
        <v>0.11554003116982536</v>
      </c>
    </row>
    <row r="177" spans="1:6" ht="16" x14ac:dyDescent="0.25">
      <c r="A177" s="222" t="s">
        <v>357</v>
      </c>
      <c r="B177" s="36"/>
      <c r="C177" s="36"/>
      <c r="D177" s="36"/>
      <c r="E177" s="36"/>
      <c r="F177" s="36"/>
    </row>
    <row r="179" spans="1:6" x14ac:dyDescent="0.15">
      <c r="B179" s="377" t="s">
        <v>534</v>
      </c>
      <c r="C179" s="370"/>
      <c r="D179" s="370"/>
      <c r="E179" s="370"/>
      <c r="F179" s="370"/>
    </row>
    <row r="181" spans="1:6" x14ac:dyDescent="0.15">
      <c r="B181" s="210" t="s">
        <v>535</v>
      </c>
    </row>
    <row r="182" spans="1:6" x14ac:dyDescent="0.15">
      <c r="B182" s="374" t="s">
        <v>536</v>
      </c>
      <c r="C182" s="374"/>
      <c r="D182" s="374"/>
      <c r="E182" s="374"/>
      <c r="F182" s="374"/>
    </row>
    <row r="183" spans="1:6" x14ac:dyDescent="0.15">
      <c r="B183" s="214" t="s">
        <v>537</v>
      </c>
    </row>
    <row r="184" spans="1:6" x14ac:dyDescent="0.15">
      <c r="B184" s="214" t="s">
        <v>538</v>
      </c>
    </row>
    <row r="185" spans="1:6" x14ac:dyDescent="0.15">
      <c r="B185" s="214" t="s">
        <v>539</v>
      </c>
    </row>
    <row r="187" spans="1:6" x14ac:dyDescent="0.15">
      <c r="B187" s="1" t="s">
        <v>540</v>
      </c>
    </row>
    <row r="188" spans="1:6" ht="24.5" customHeight="1" x14ac:dyDescent="0.15">
      <c r="B188" s="371" t="s">
        <v>541</v>
      </c>
      <c r="C188" s="371"/>
      <c r="D188" s="371"/>
      <c r="E188" s="371"/>
      <c r="F188" s="371"/>
    </row>
    <row r="190" spans="1:6" x14ac:dyDescent="0.15">
      <c r="B190" s="1" t="s">
        <v>542</v>
      </c>
    </row>
    <row r="191" spans="1:6" x14ac:dyDescent="0.15">
      <c r="B191" s="376" t="s">
        <v>543</v>
      </c>
      <c r="C191" s="376"/>
      <c r="D191" s="376"/>
      <c r="E191" s="376"/>
      <c r="F191" s="376"/>
    </row>
    <row r="192" spans="1:6" x14ac:dyDescent="0.15">
      <c r="B192" s="376" t="s">
        <v>544</v>
      </c>
      <c r="C192" s="376"/>
      <c r="D192" s="376"/>
      <c r="E192" s="376"/>
      <c r="F192" s="376"/>
    </row>
    <row r="194" spans="2:2" x14ac:dyDescent="0.15">
      <c r="B194" s="1" t="s">
        <v>545</v>
      </c>
    </row>
    <row r="195" spans="2:2" x14ac:dyDescent="0.15">
      <c r="B195" s="214" t="s">
        <v>546</v>
      </c>
    </row>
    <row r="196" spans="2:2" x14ac:dyDescent="0.15">
      <c r="B196" s="214" t="s">
        <v>547</v>
      </c>
    </row>
    <row r="197" spans="2:2" x14ac:dyDescent="0.15">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48286B-AD22-4AA6-8D3D-4884D736FEB5}">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