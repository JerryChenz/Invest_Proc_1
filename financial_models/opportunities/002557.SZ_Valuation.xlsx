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11C926-F602-4890-8B9F-41C5C221192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<sst xmlns="http://schemas.openxmlformats.org/spreadsheetml/2006/main" count="686" uniqueCount="466">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</sst>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23.67</v>
      </c>
      <c r="D12" s="50"/>
      <c r="E12" s="48"/>
    </row>
    <row r="13" spans="1:10">
      <c r="B13" s="1" t="s">
        <v>413</v>
      </c>
      <c r="C13" s="48" t="s">
        <v>411</v>
      </c>
      <c r="D13" s="48"/>
      <c r="E13" s="5"/>
    </row>
    <row r="14" spans="1:10">
      <c r="B14" s="4" t="s">
        <v>417</v>
      </c>
      <c r="C14" s="35">
        <f>Thesis!C12*Common_Shares/1000000</f>
        <v>11973.590027640001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9.2706938820872553E-2</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0.33700000000000002</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5.5946807003557232E-2</v>
      </c>
      <c r="F69" s="314"/>
    </row>
    <row r="70" spans="1:6">
      <c r="B70" s="227" t="s">
        <v>454</v>
      </c>
      <c r="C70" s="92">
        <f>Normalized_FCF!C94</f>
        <v>4.0304182509505702E-2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0.33700000000000002</v>
      </c>
    </row>
    <row r="147" spans="2:4">
      <c r="B147" s="212" t="str">
        <f>"PV("&amp;C141&amp;" yrs of Dividends)"</f>
        <v>PV(3 yrs of Dividends)</v>
      </c>
      <c r="C147" s="216">
        <f>Scenarios!C81</f>
        <v>1.6463900252965866</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4.0304182509505702E-2</v>
      </c>
      <c r="E94" s="268"/>
      <c r="G94" s="23">
        <f t="shared" ref="G94:Q94" si="39">IF(G$4="","",(G90*(1-dividend_tax_rate))/Market_Price)</f>
        <v>4.0304182509505702E-2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5.5946807003557232E-2</v>
      </c>
      <c r="D126" s="27"/>
      <c r="E126" s="265"/>
      <c r="F126" s="27"/>
      <c r="G126" s="77">
        <f t="shared" ref="G126" si="50">IF(G$4="","",G125/Market_Price)</f>
        <v>5.2816053954467153E-2</v>
      </c>
      <c r="H126" s="77">
        <f t="shared" ref="H126" si="51">IF(H$4="","",H125/Market_Price)</f>
        <v>4.8595166328980047E-2</v>
      </c>
      <c r="I126" s="77">
        <f t="shared" ref="I126" si="52">IF(I$4="","",I125/Market_Price)</f>
        <v>6.3824019493500514E-2</v>
      </c>
      <c r="J126" s="77">
        <f t="shared" ref="J126" si="53">IF(J$4="","",J125/Market_Price)</f>
        <v>5.9111827342990725E-2</v>
      </c>
      <c r="K126" s="77">
        <f t="shared" ref="K126" si="54">IF(K$4="","",K125/Market_Price)</f>
        <v>5.3795678254481297E-2</v>
      </c>
      <c r="L126" s="77">
        <f t="shared" ref="L126" si="55">IF(L$4="","",L125/Market_Price)</f>
        <v>3.733552080242436E-2</v>
      </c>
      <c r="M126" s="77">
        <f t="shared" ref="M126" si="56">IF(M$4="","",M125/Market_Price)</f>
        <v>2.3909036695259806E-2</v>
      </c>
      <c r="N126" s="77">
        <f t="shared" ref="N126" si="57">IF(N$4="","",N125/Market_Price)</f>
        <v>1.983418068029582E-2</v>
      </c>
      <c r="O126" s="77">
        <f t="shared" ref="O126" si="58">IF(O$4="","",O125/Market_Price)</f>
        <v>2.3496729832118049E-2</v>
      </c>
      <c r="P126" s="77">
        <f t="shared" ref="P126" si="59">IF(P$4="","",P125/Market_Price)</f>
        <v>2.4625276656320898E-2</v>
      </c>
      <c r="Q126" s="77" t="str">
        <f t="shared" ref="Q126" si="60">IF(Q$4="","",Q125/Market_Price)</f>
        <v/>
      </c>
    </row>
    <row r="127" spans="1:17" ht="15.75" customHeight="1">
      <c r="B127" s="2" t="s">
        <v>391</v>
      </c>
      <c r="C127" s="169"/>
      <c r="G127" s="23">
        <f>IF(G$4="","",(Data!C47*$C$3)/(Market_Price*Common_Shares))</f>
        <v>7.100027059867195E-2</v>
      </c>
      <c r="H127" s="23">
        <f>IF(H$4="","",(Data!D47*$C$3)/(Market_Price*Common_Shares))</f>
        <v>6.7078531597119101E-2</v>
      </c>
      <c r="I127" s="23">
        <f>IF(I$4="","",(Data!E47*$C$3)/(Market_Price*Common_Shares))</f>
        <v>8.1716720527540171E-2</v>
      </c>
      <c r="J127" s="23">
        <f>IF(J$4="","",(Data!F47*$C$3)/(Market_Price*Common_Shares))</f>
        <v>7.7647958870631972E-2</v>
      </c>
      <c r="K127" s="23">
        <f>IF(K$4="","",(Data!G47*$C$3)/(Market_Price*Common_Shares))</f>
        <v>6.723521326031863E-2</v>
      </c>
      <c r="L127" s="23">
        <f>IF(L$4="","",(Data!H47*$C$3)/(Market_Price*Common_Shares))</f>
        <v>5.0400678627456355E-2</v>
      </c>
      <c r="M127" s="23">
        <f>IF(M$4="","",(Data!I47*$C$3)/(Market_Price*Common_Shares))</f>
        <v>3.6878698116494114E-2</v>
      </c>
      <c r="N127" s="23">
        <f>IF(N$4="","",(Data!J47*$C$3)/(Market_Price*Common_Shares))</f>
        <v>2.6866381282256466E-2</v>
      </c>
      <c r="O127" s="23">
        <f>IF(O$4="","",(Data!K47*$C$3)/(Market_Price*Common_Shares))</f>
        <v>2.9985636402381988E-2</v>
      </c>
      <c r="P127" s="23">
        <f>IF(P$4="","",(Data!L47*$C$3)/(Market_Price*Common_Shares))</f>
        <v>3.0496587669786111E-2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-23.67</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23.67</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0.33700000000000002</v>
      </c>
    </row>
    <row r="81" spans="2:8">
      <c r="B81" s="100" t="s">
        <v>120</v>
      </c>
      <c r="C81" s="116">
        <f>PV(C80, C76, -C77, 0)</f>
        <v>1.6463900252965866</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23.67</v>
      </c>
      <c r="D86" t="str">
        <f>Market_currency</f>
        <v>CNY</v>
      </c>
    </row>
    <row r="87" spans="2:8" ht="13.15">
      <c r="B87" s="100" t="s">
        <v>297</v>
      </c>
      <c r="C87" s="237">
        <f ca="1">IRR(OFFSET($I$3, 0, 0, $C$76 + 1, 1))</f>
        <v>9.2706938820872553E-2</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