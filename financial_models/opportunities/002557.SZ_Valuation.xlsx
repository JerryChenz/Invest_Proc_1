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15C7DCA-A8D5-41D3-9F1A-C746A7BBBCBE}"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N94" i="2"/>
  <c r="K94" i="2"/>
  <c r="L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<sst xmlns="http://schemas.openxmlformats.org/spreadsheetml/2006/main" count="836" uniqueCount="561">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</sst>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1789A4E-1324-42B5-A914-496545DDBF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505855092</v>
          </cell>
        </row>
        <row r="12">
          <cell r="C12">
            <v>23.12</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23.17</v>
      </c>
      <c r="D12" s="50"/>
      <c r="E12" s="48"/>
    </row>
    <row r="13" spans="1:10">
      <c r="B13" s="1" t="s">
        <v>464</v>
      </c>
      <c r="C13" s="48" t="s">
        <v>394</v>
      </c>
      <c r="D13" s="48"/>
      <c r="E13" s="5"/>
    </row>
    <row r="14" spans="1:10">
      <c r="B14" s="4" t="s">
        <v>465</v>
      </c>
      <c r="C14" s="35">
        <f>Thesis!C12*Common_Shares/1000000</f>
        <v>11720.662481640002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3.9766979058285523E-2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923979255.39561176</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1" t="s">
        <v>237</v>
      </c>
      <c r="C58" s="371"/>
      <c r="D58" s="371"/>
      <c r="E58" s="371"/>
      <c r="F58" s="371"/>
    </row>
    <row r="59" spans="2:6">
      <c r="B59" s="47" t="s">
        <v>235</v>
      </c>
      <c r="C59" s="349">
        <f>Normalized_FCF!C14</f>
        <v>-224087493.83102897</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5.7154118332939131E-2</v>
      </c>
      <c r="F69" s="314"/>
    </row>
    <row r="70" spans="1:6">
      <c r="B70" s="227" t="s">
        <v>434</v>
      </c>
      <c r="C70" s="92">
        <f>Normalized_FCF!C94</f>
        <v>4.1173931808372893E-2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0" t="s">
        <v>352</v>
      </c>
      <c r="C116" s="370"/>
      <c r="D116" s="370"/>
      <c r="E116" s="370"/>
      <c r="F116" s="370"/>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4.1173931808372893E-2</v>
      </c>
      <c r="E94" s="268"/>
      <c r="G94" s="23">
        <f t="shared" ref="G94:Q94" si="39">IF(G$4="","",(G90*(1-dividend_tax_rate))/Market_Price)</f>
        <v>4.1173931808372893E-2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5.7154118332939131E-2</v>
      </c>
      <c r="D126" s="27"/>
      <c r="E126" s="265"/>
      <c r="F126" s="27"/>
      <c r="G126" s="77">
        <f t="shared" ref="G126" si="50">IF(G$4="","",G125/Market_Price)</f>
        <v>5.3955804795090094E-2</v>
      </c>
      <c r="H126" s="77">
        <f t="shared" ref="H126" si="51">IF(H$4="","",H125/Market_Price)</f>
        <v>4.9643831981310213E-2</v>
      </c>
      <c r="I126" s="77">
        <f t="shared" ref="I126" si="52">IF(I$4="","",I125/Market_Price)</f>
        <v>6.5201318144633452E-2</v>
      </c>
      <c r="J126" s="77">
        <f t="shared" ref="J126" si="53">IF(J$4="","",J125/Market_Price)</f>
        <v>6.0387438636538213E-2</v>
      </c>
      <c r="K126" s="77">
        <f t="shared" ref="K126" si="54">IF(K$4="","",K125/Market_Price)</f>
        <v>5.4956569023891774E-2</v>
      </c>
      <c r="L126" s="77">
        <f t="shared" ref="L126" si="55">IF(L$4="","",L125/Market_Price)</f>
        <v>3.8141207483529761E-2</v>
      </c>
      <c r="M126" s="77">
        <f t="shared" ref="M126" si="56">IF(M$4="","",M125/Market_Price)</f>
        <v>2.4424984832835547E-2</v>
      </c>
      <c r="N126" s="77">
        <f t="shared" ref="N126" si="57">IF(N$4="","",N125/Market_Price)</f>
        <v>2.026219493753138E-2</v>
      </c>
      <c r="O126" s="77">
        <f t="shared" ref="O126" si="58">IF(O$4="","",O125/Market_Price)</f>
        <v>2.4003780540622969E-2</v>
      </c>
      <c r="P126" s="77">
        <f t="shared" ref="P126" si="59">IF(P$4="","",P125/Market_Price)</f>
        <v>2.5156680986409826E-2</v>
      </c>
      <c r="Q126" s="77" t="str">
        <f t="shared" ref="Q126" si="60">IF(Q$4="","",Q125/Market_Price)</f>
        <v/>
      </c>
    </row>
    <row r="127" spans="1:17" ht="15.75" customHeight="1">
      <c r="B127" s="2" t="s">
        <v>375</v>
      </c>
      <c r="C127" s="169"/>
      <c r="G127" s="23">
        <f>IF(G$4="","",(Data!C47*$C$3)/(Market_Price*Common_Shares))</f>
        <v>7.2532430085048116E-2</v>
      </c>
      <c r="H127" s="23">
        <f>IF(H$4="","",(Data!D47*$C$3)/(Market_Price*Common_Shares))</f>
        <v>6.8526061411472119E-2</v>
      </c>
      <c r="I127" s="23">
        <f>IF(I$4="","",(Data!E47*$C$3)/(Market_Price*Common_Shares))</f>
        <v>8.3480137025760723E-2</v>
      </c>
      <c r="J127" s="23">
        <f>IF(J$4="","",(Data!F47*$C$3)/(Market_Price*Common_Shares))</f>
        <v>7.932357300249715E-2</v>
      </c>
      <c r="K127" s="23">
        <f>IF(K$4="","",(Data!G47*$C$3)/(Market_Price*Common_Shares))</f>
        <v>6.868612420680803E-2</v>
      </c>
      <c r="L127" s="23">
        <f>IF(L$4="","",(Data!H47*$C$3)/(Market_Price*Common_Shares))</f>
        <v>5.1488306565036342E-2</v>
      </c>
      <c r="M127" s="23">
        <f>IF(M$4="","",(Data!I47*$C$3)/(Market_Price*Common_Shares))</f>
        <v>3.7674526733595844E-2</v>
      </c>
      <c r="N127" s="23">
        <f>IF(N$4="","",(Data!J47*$C$3)/(Market_Price*Common_Shares))</f>
        <v>2.744614781834314E-2</v>
      </c>
      <c r="O127" s="23">
        <f>IF(O$4="","",(Data!K47*$C$3)/(Market_Price*Common_Shares))</f>
        <v>3.0632715306188246E-2</v>
      </c>
      <c r="P127" s="23">
        <f>IF(P$4="","",(Data!L47*$C$3)/(Market_Price*Common_Shares))</f>
        <v>3.1154692712293364E-2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-23.17</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23.17</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23.17</v>
      </c>
      <c r="D86" t="str">
        <f>Market_currency</f>
        <v>CNY</v>
      </c>
    </row>
    <row r="87" spans="2:8" ht="13.15">
      <c r="B87" s="100" t="s">
        <v>293</v>
      </c>
      <c r="C87" s="237">
        <f ca="1">IRR(OFFSET($I$3, 0, 0, $C$76 + 1, 1))</f>
        <v>3.9766979058285523E-2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23.17</v>
      </c>
      <c r="D12" s="50"/>
      <c r="E12" s="48"/>
    </row>
    <row r="13" spans="1:10">
      <c r="B13" s="1" t="s">
        <v>485</v>
      </c>
      <c r="C13" s="32" t="str">
        <f>Market_currency</f>
        <v>CNY</v>
      </c>
      <c r="D13" s="48"/>
      <c r="E13" s="5"/>
    </row>
    <row r="14" spans="1:10">
      <c r="B14" s="4" t="s">
        <v>486</v>
      </c>
      <c r="C14" s="35">
        <f>投资主题!C12*Common_Shares/1000000</f>
        <v>11720.662481640002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3.9766979058285523E-2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923979255.39561176</v>
      </c>
      <c r="D41" s="1" t="str">
        <f>Reporting_currency</f>
        <v>CNY</v>
      </c>
    </row>
    <row r="42" spans="1:6">
      <c r="B42" s="47"/>
      <c r="C42" s="76"/>
    </row>
    <row r="43" spans="1:6" ht="24.6" customHeight="1">
      <c r="B43" s="371" t="s">
        <v>495</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1" t="s">
        <v>237</v>
      </c>
      <c r="C58" s="371"/>
      <c r="D58" s="371"/>
      <c r="E58" s="371"/>
      <c r="F58" s="371"/>
    </row>
    <row r="59" spans="2:6">
      <c r="B59" s="47" t="s">
        <v>235</v>
      </c>
      <c r="C59" s="349">
        <f>Normalized_FCF!C14</f>
        <v>-224087493.83102897</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5.7154118332939131E-2</v>
      </c>
      <c r="F69" s="314"/>
    </row>
    <row r="70" spans="1:6">
      <c r="B70" s="227" t="s">
        <v>434</v>
      </c>
      <c r="C70" s="92">
        <f>Normalized_FCF!C94</f>
        <v>4.1173931808372893E-2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0" t="s">
        <v>516</v>
      </c>
      <c r="C116" s="370"/>
      <c r="D116" s="370"/>
      <c r="E116" s="370"/>
      <c r="F116" s="370"/>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8286B-AD22-4AA6-8D3D-4884D736FEB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