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05BD3B3-C840-42B6-B0F7-10D5123F897E}"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4" i="3"/>
  <c r="C25" i="4"/>
  <c r="C28"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2" i="6" s="1"/>
  <c r="F70" i="10"/>
  <c r="D74" i="8"/>
  <c r="D121" i="6" s="1"/>
  <c r="D69" i="10"/>
  <c r="F55" i="8"/>
  <c r="F64" i="8" s="1"/>
  <c r="C121" i="6"/>
  <c r="C108" i="6"/>
  <c r="C109" i="6" s="1"/>
  <c r="G67" i="2"/>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G54" i="2"/>
  <c r="B66" i="8" l="1"/>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C127" i="6" l="1"/>
  <c r="C26" i="6" s="1"/>
  <c r="C82" i="9"/>
  <c r="C83" i="9" s="1"/>
  <c r="F83" i="9" s="1"/>
  <c r="I6" i="9"/>
  <c r="C98" i="9"/>
  <c r="C159" i="6" s="1"/>
  <c r="F72" i="9"/>
  <c r="C72" i="9" s="1"/>
  <c r="C104" i="9"/>
  <c r="C105" i="9" s="1"/>
  <c r="C168" i="6" s="1"/>
  <c r="C87" i="9"/>
  <c r="H76" i="2"/>
  <c r="H120" i="2"/>
  <c r="H116" i="2" s="1"/>
  <c r="H13" i="2"/>
  <c r="C167" i="6" l="1"/>
  <c r="C143" i="6"/>
  <c r="C99" i="9"/>
  <c r="C160" i="6" s="1"/>
  <c r="D168" i="6"/>
  <c r="D32" i="6" s="1"/>
  <c r="C32" i="6"/>
  <c r="E26" i="6"/>
  <c r="C93" i="9"/>
  <c r="C146" i="6"/>
  <c r="C144" i="6"/>
  <c r="H16" i="2"/>
  <c r="H19" i="2" s="1"/>
  <c r="H81" i="2"/>
  <c r="H117" i="2" s="1"/>
  <c r="F99" i="9" l="1"/>
  <c r="C162" i="6" s="1"/>
  <c r="D160" i="6"/>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<sst xmlns="http://schemas.openxmlformats.org/spreadsheetml/2006/main" count="682" uniqueCount="463">
  <si>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</si>
  <si>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</si>
  <si>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</si>
  <si>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</si>
  <si>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</si>
  <si>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</si>
  <si>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</si>
  <si>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</si>
  <si>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</si>
  <si>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</si>
  <si>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</si>
  <si>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</si>
  <si>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</si>
  <si>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</si>
  <si>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</si>
  <si>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</si>
  <si>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</si>
  <si>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</si>
  <si>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</si>
  <si>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</si>
  <si>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</si>
  <si>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</si>
  <si>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</si>
  <si>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</si>
  <si>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</si>
  <si>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</si>
  <si>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</si>
  <si>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</si>
  <si>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</si>
  <si>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</si>
  <si>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</si>
  <si>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</si>
  <si>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</si>
  <si>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</si>
  <si>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</si>
  <si>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</si>
  <si>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</si>
  <si>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</si>
  <si>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</si>
  <si>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</si>
  <si>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</si>
  <si>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</si>
  <si>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</si>
  <si>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</si>
  <si>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</si>
  <si>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</si>
  <si>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</si>
  <si>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</si>
  <si>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</si>
  <si>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</si>
  <si>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</si>
  <si>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</si>
  <si>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</si>
  <si>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</si>
  <si>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</si>
  <si>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</si>
  <si>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</si>
  <si>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</si>
  <si>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</si>
  <si>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</si>
  <si>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</si>
  <si>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</si>
  <si>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</si>
  <si>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</si>
  <si>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</si>
  <si>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</si>
  <si>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</si>
  <si>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</si>
  <si>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</si>
  <si>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</si>
  <si>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</si>
  <si>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</si>
  <si>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</si>
  <si>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</si>
  <si>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</si>
  <si>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</si>
  <si>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</si>
  <si>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</si>
  <si>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</si>
  <si>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</si>
  <si>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</si>
  <si>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</si>
  <si>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</si>
  <si>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</si>
  <si>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</si>
  <si>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</si>
  <si>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</si>
  <si>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</si>
  <si>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</si>
  <si>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</si>
  <si>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</si>
  <si>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</si>
  <si>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</si>
  <si>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</si>
  <si>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</si>
  <si>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</si>
  <si>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</si>
  <si>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</si>
  <si>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</si>
  <si>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</si>
  <si>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</si>
  <si>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</si>
  <si>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</si>
  <si>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</si>
  <si>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</si>
  <si>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</si>
  <si>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</si>
  <si>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</si>
  <si>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</si>
  <si>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</si>
  <si>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</si>
  <si>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</si>
  <si>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</si>
  <si>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</si>
  <si>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</si>
  <si>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</si>
  <si>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</si>
  <si>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</si>
  <si>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</si>
  <si>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</si>
  <si>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</si>
  <si>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</si>
  <si>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</si>
  <si>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</si>
  <si>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</si>
  <si>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</si>
  <si>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</si>
  <si>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</si>
  <si>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</si>
  <si>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</si>
  <si>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</si>
  <si>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</si>
  <si>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</si>
  <si>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</si>
  <si>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</si>
  <si>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</si>
  <si>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</si>
  <si>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</si>
  <si>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</si>
  <si>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</si>
  <si>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</si>
  <si>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</si>
  <si>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</si>
  <si>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</si>
  <si>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</si>
  <si>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</si>
  <si>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</si>
  <si>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</si>
  <si>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</si>
  <si>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</si>
  <si>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</si>
  <si>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</si>
  <si>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</si>
  <si>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</si>
  <si>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</si>
  <si>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</si>
  <si>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</si>
  <si>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</si>
  <si>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</si>
  <si>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</si>
  <si>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</si>
  <si>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</si>
  <si>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</si>
  <si>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</si>
  <si>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</si>
  <si>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</si>
  <si>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</si>
  <si>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</si>
  <si>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</si>
  <si>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</si>
  <si>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</si>
  <si>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</si>
  <si>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</si>
  <si>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</si>
  <si>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</si>
  <si>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</si>
  <si>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</si>
  <si>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</si>
  <si>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</si>
  <si>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</si>
  <si>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</si>
  <si>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</si>
  <si>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</si>
  <si>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</si>
  <si>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</si>
  <si>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</si>
  <si>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</si>
  <si>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</si>
  <si>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</si>
  <si>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</si>
  <si>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</si>
  <si>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</si>
  <si>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</si>
  <si>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</si>
  <si>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</si>
  <si>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</si>
  <si>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</si>
  <si>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</si>
  <si>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</si>
  <si>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</si>
  <si>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</si>
  <si>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</si>
  <si>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</si>
  <si>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</si>
  <si>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</si>
  <si>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</si>
  <si>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</si>
  <si>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</si>
  <si>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</si>
  <si>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</si>
  <si>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</si>
  <si>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</si>
  <si>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</si>
  <si>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</si>
  <si>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</si>
  <si>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</si>
  <si>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</si>
  <si>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</si>
  <si>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</si>
  <si>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</si>
  <si>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</si>
  <si>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</si>
  <si>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</si>
  <si>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</si>
  <si>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</si>
  <si>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</si>
  <si>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</si>
  <si>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</si>
  <si>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</si>
  <si>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</si>
  <si>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</si>
  <si>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</si>
  <si>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</si>
  <si>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</si>
  <si>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</si>
  <si>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</si>
  <si>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</si>
  <si>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</si>
  <si>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</si>
  <si>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</si>
  <si>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</si>
  <si>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</si>
  <si>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</si>
  <si>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</si>
  <si>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</si>
  <si>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</si>
  <si>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</si>
  <si>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</si>
  <si>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</si>
  <si>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</si>
  <si>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</si>
  <si>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</si>
  <si>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</si>
  <si>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</si>
  <si>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</si>
  <si>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</si>
  <si>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</si>
  <si>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</si>
  <si>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</si>
  <si>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</si>
  <si>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</si>
  <si>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</si>
  <si>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</si>
  <si>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</si>
  <si>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</si>
  <si>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</si>
  <si>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</si>
  <si>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</si>
  <si>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</si>
  <si>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</si>
  <si>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</si>
  <si>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</si>
  <si>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</si>
  <si>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</si>
  <si>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</si>
  <si>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</si>
  <si>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</si>
  <si>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</si>
  <si>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</si>
  <si>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</si>
  <si>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</si>
  <si>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</si>
  <si>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</si>
  <si>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</si>
  <si>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</si>
  <si>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</si>
  <si>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</si>
  <si>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</si>
  <si>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</si>
  <si>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</si>
  <si>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</si>
  <si>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</si>
  <si>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</si>
  <si>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</si>
  <si>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</si>
  <si>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</si>
  <si>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</si>
  <si>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</si>
  <si>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</si>
  <si>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</si>
  <si>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</si>
  <si>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</si>
  <si>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</si>
  <si>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</si>
  <si>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</si>
  <si>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</si>
  <si>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</si>
  <si>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</si>
  <si>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</si>
  <si>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</si>
  <si>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</si>
  <si>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</si>
  <si>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</si>
  <si>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</si>
  <si>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</si>
  <si>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</si>
  <si>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</si>
  <si>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</si>
  <si>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</si>
  <si>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</si>
  <si>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</si>
  <si>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</si>
  <si>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</si>
  <si>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</si>
  <si>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</si>
  <si>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</si>
  <si>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</si>
  <si>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</si>
  <si>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</si>
  <si>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</si>
  <si>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</si>
  <si>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</si>
  <si>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</si>
  <si>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</si>
  <si>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</si>
  <si>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</si>
  <si>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</si>
  <si>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</si>
  <si>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</si>
  <si>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</si>
  <si>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</si>
  <si>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</si>
  <si>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</si>
  <si>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</si>
  <si>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</si>
  <si>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</si>
  <si>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</si>
  <si>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</si>
  <si>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</si>
  <si>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</si>
  <si>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</si>
  <si>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</si>
  <si>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</si>
  <si>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</si>
  <si>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</si>
  <si>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</si>
  <si>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</si>
  <si>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</si>
  <si>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</si>
  <si>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</si>
  <si>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</si>
  <si>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</si>
  <si>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</si>
  <si>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</si>
  <si>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</si>
  <si>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</si>
  <si>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</si>
  <si>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</si>
  <si>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</si>
  <si>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</si>
  <si>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</si>
  <si>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</si>
  <si>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</si>
  <si>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</si>
  <si>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</si>
  <si>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</si>
  <si>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</si>
  <si>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</si>
  <si>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</si>
  <si>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</si>
  <si>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</si>
  <si>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</si>
  <si>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</si>
  <si>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</si>
  <si>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</si>
  <si>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</si>
  <si>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</si>
  <si>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</si>
  <si>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</si>
  <si>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</si>
  <si>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</si>
  <si>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</si>
  <si>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</si>
  <si>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</si>
  <si>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</si>
  <si>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</si>
  <si>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</si>
  <si>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</si>
  <si>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</si>
  <si>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</si>
  <si>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</si>
  <si>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</si>
  <si>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</si>
  <si>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</si>
  <si>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</si>
  <si>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</si>
  <si>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</si>
  <si>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</si>
  <si>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</si>
  <si>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</si>
  <si>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</si>
  <si>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</si>
  <si>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</si>
  <si>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</si>
  <si>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</si>
  <si>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</si>
  <si>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</si>
  <si>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</si>
  <si>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</si>
  <si>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</si>
  <si>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</si>
  <si>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</si>
  <si>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</si>
  <si>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</si>
  <si>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</si>
  <si>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</si>
  <si>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</si>
  <si>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</si>
  <si>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</si>
  <si>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</si>
  <si>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</si>
  <si>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</si>
  <si>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</si>
  <si>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</si>
  <si>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</si>
  <si>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</si>
  <si>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</si>
  <si>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</si>
  <si>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</si>
  <si>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</si>
  <si>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</si>
  <si>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</si>
  <si>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</si>
  <si>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</si>
  <si>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</si>
  <si>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</si>
  <si>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</si>
  <si>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</si>
  <si>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</si>
  <si>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</si>
  <si>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</si>
  <si>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</si>
  <si>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CN</t>
  </si>
  <si>
    <t>Y</t>
  </si>
  <si>
    <t>洽洽食品</t>
  </si>
  <si>
    <t>002557.SZ</t>
  </si>
  <si>
    <t/>
  </si>
  <si>
    <t>CNS_01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</si>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</sst>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13" fillId="0" borderId="1" xfId="0" applyNumberFormat="1" applyFon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3" fillId="0" borderId="0" xfId="0" applyNumberFormat="1" applyFont="1"/>
    <xf numFmtId="181" fontId="12" fillId="0" borderId="0" xfId="0" applyNumberFormat="1" applyFont="1"/>
    <xf numFmtId="181" fontId="0" fillId="0" borderId="0" xfId="0" applyNumberFormat="1"/>
    <xf numFmtId="181" fontId="24" fillId="0" borderId="0" xfId="0" applyNumberFormat="1" applyFont="1"/>
    <xf numFmtId="181" fontId="0" fillId="0" borderId="2" xfId="0" applyNumberFormat="1" applyBorder="1"/>
    <xf numFmtId="181"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C113" sqref="C11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9" t="s">
        <v>452</v>
      </c>
      <c r="E1" s="294" t="s">
        <v>354</v>
      </c>
      <c r="F1" s="254" t="s">
        <v>453</v>
      </c>
    </row>
    <row r="2" spans="1:10" ht="13.9">
      <c r="A2" s="222" t="s">
        <v>268</v>
      </c>
      <c r="B2" s="36"/>
      <c r="C2" s="36"/>
      <c r="D2" s="36"/>
      <c r="E2" s="36"/>
      <c r="F2" s="36"/>
      <c r="G2" s="22"/>
      <c r="H2" s="22"/>
      <c r="I2" s="22"/>
      <c r="J2" s="22"/>
    </row>
    <row r="4" spans="1:10">
      <c r="B4" s="45" t="s">
        <v>417</v>
      </c>
      <c r="C4" s="46"/>
      <c r="D4" s="5"/>
      <c r="E4" s="2"/>
      <c r="F4" s="2"/>
    </row>
    <row r="5" spans="1:10" ht="12.4">
      <c r="B5" s="4" t="s">
        <v>316</v>
      </c>
      <c r="C5" s="296" t="s">
        <v>454</v>
      </c>
    </row>
    <row r="6" spans="1:10">
      <c r="B6" s="4" t="s">
        <v>0</v>
      </c>
      <c r="C6" s="51">
        <v>505855092</v>
      </c>
      <c r="E6" s="48"/>
    </row>
    <row r="7" spans="1:10">
      <c r="B7" s="2" t="s">
        <v>308</v>
      </c>
      <c r="C7" s="250">
        <v>6</v>
      </c>
      <c r="D7" s="48"/>
      <c r="E7" s="48"/>
    </row>
    <row r="8" spans="1:10">
      <c r="B8" s="1" t="s">
        <v>269</v>
      </c>
      <c r="C8" s="33">
        <f>EOMONTH(EDATE(BS!C1,C7+2),0)</f>
        <v>45900</v>
      </c>
      <c r="E8" s="48"/>
    </row>
    <row r="9" spans="1:10">
      <c r="E9" s="34"/>
    </row>
    <row r="10" spans="1:10">
      <c r="B10" s="45" t="s">
        <v>420</v>
      </c>
      <c r="C10" s="46"/>
      <c r="E10" s="34"/>
    </row>
    <row r="11" spans="1:10">
      <c r="B11" s="1" t="s">
        <v>419</v>
      </c>
      <c r="C11" s="49" t="s">
        <v>455</v>
      </c>
      <c r="D11" s="49" t="s">
        <v>456</v>
      </c>
      <c r="E11" s="34"/>
    </row>
    <row r="12" spans="1:10">
      <c r="B12" s="4" t="s">
        <v>95</v>
      </c>
      <c r="C12" s="50">
        <v>23.43</v>
      </c>
      <c r="D12" s="50"/>
      <c r="E12" s="48"/>
    </row>
    <row r="13" spans="1:10">
      <c r="B13" s="1" t="s">
        <v>418</v>
      </c>
      <c r="C13" s="48" t="s">
        <v>416</v>
      </c>
      <c r="D13" s="48"/>
      <c r="E13" s="5"/>
    </row>
    <row r="14" spans="1:10">
      <c r="B14" s="4" t="s">
        <v>422</v>
      </c>
      <c r="C14" s="35">
        <f>Thesis!C12*Common_Shares/1000000</f>
        <v>11852.18480556</v>
      </c>
      <c r="D14" s="35" t="str">
        <f>IF(D11="","",Thesis!D12*Common_Shares/1000000)</f>
        <v/>
      </c>
      <c r="E14" s="5"/>
    </row>
    <row r="15" spans="1:10">
      <c r="B15" s="4" t="s">
        <v>421</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47" t="s">
        <v>360</v>
      </c>
      <c r="C18" s="347"/>
      <c r="D18" s="347"/>
      <c r="E18" s="347"/>
      <c r="F18" s="347"/>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441</v>
      </c>
      <c r="E21" s="311" t="s">
        <v>459</v>
      </c>
    </row>
    <row r="22" spans="2:6">
      <c r="B22" s="2" t="s">
        <v>56</v>
      </c>
      <c r="C22" s="48" t="s">
        <v>457</v>
      </c>
      <c r="D22" s="1" t="str">
        <f>IF(valuation_method="DDM","DDM Terminal Value","")</f>
        <v/>
      </c>
      <c r="E22" s="316"/>
    </row>
    <row r="23" spans="2:6">
      <c r="B23" s="1" t="s">
        <v>436</v>
      </c>
      <c r="C23" s="264" t="s">
        <v>458</v>
      </c>
    </row>
    <row r="24" spans="2:6">
      <c r="B24" s="1" t="s">
        <v>437</v>
      </c>
      <c r="C24" s="264" t="s">
        <v>458</v>
      </c>
    </row>
    <row r="25" spans="2:6">
      <c r="B25" s="4" t="s">
        <v>348</v>
      </c>
      <c r="C25" s="48" t="s">
        <v>416</v>
      </c>
      <c r="D25" s="32" t="str">
        <f>IF(D11="","",Market_currency&amp;"/"&amp;D13&amp;":")</f>
        <v/>
      </c>
      <c r="E25" s="302" t="str">
        <f>IF(D11="","",1/Exchange_Rate*D16)</f>
        <v/>
      </c>
    </row>
    <row r="26" spans="2:6">
      <c r="B26" s="1" t="str">
        <f>"Expected Equity Value ("&amp;C13&amp;") :"</f>
        <v>Expected Equity Value (CNY) :</v>
      </c>
      <c r="C26" s="307">
        <f>C127</f>
        <v>27.746753827145845</v>
      </c>
      <c r="D26" s="1" t="s">
        <v>400</v>
      </c>
      <c r="E26" s="304">
        <f ca="1">Scenarios!C87</f>
        <v>0.10085683037892057</v>
      </c>
    </row>
    <row r="27" spans="2:6">
      <c r="D27" s="5"/>
      <c r="E27" s="5"/>
    </row>
    <row r="28" spans="2:6">
      <c r="B28" s="45" t="s">
        <v>435</v>
      </c>
      <c r="C28" s="312" t="str">
        <f>C140&amp;" ("&amp;Market_currency&amp;")"</f>
        <v>002557.SZ (CNY)</v>
      </c>
      <c r="D28" s="312" t="str">
        <f>IF(D11="","",D140&amp;" ("&amp;D13&amp;")")</f>
        <v/>
      </c>
      <c r="E28" s="308" t="s">
        <v>431</v>
      </c>
      <c r="F28" s="306">
        <v>3</v>
      </c>
    </row>
    <row r="29" spans="2:6">
      <c r="B29" s="1" t="s">
        <v>427</v>
      </c>
      <c r="C29" s="313">
        <f>C144</f>
        <v>13.438941031541804</v>
      </c>
      <c r="D29" s="313" t="str">
        <f>D144</f>
        <v/>
      </c>
      <c r="E29" s="309" t="s">
        <v>426</v>
      </c>
      <c r="F29" s="305">
        <v>0.33699999999999997</v>
      </c>
    </row>
    <row r="30" spans="2:6">
      <c r="B30" s="1" t="s">
        <v>428</v>
      </c>
      <c r="C30" s="314">
        <f>C152</f>
        <v>18.869653870203344</v>
      </c>
      <c r="D30" s="314" t="str">
        <f>D152</f>
        <v/>
      </c>
      <c r="E30" s="310" t="s">
        <v>439</v>
      </c>
      <c r="F30" s="315">
        <v>0.187</v>
      </c>
    </row>
    <row r="31" spans="2:6">
      <c r="B31" s="1" t="s">
        <v>429</v>
      </c>
      <c r="C31" s="314">
        <f>C160</f>
        <v>26.130102221251306</v>
      </c>
      <c r="D31" s="314" t="str">
        <f>D160</f>
        <v/>
      </c>
      <c r="E31" s="310" t="s">
        <v>438</v>
      </c>
      <c r="F31" s="315">
        <v>0.06</v>
      </c>
    </row>
    <row r="32" spans="2:6">
      <c r="B32" s="1" t="s">
        <v>430</v>
      </c>
      <c r="C32" s="314">
        <f>C168</f>
        <v>24.301055185803946</v>
      </c>
      <c r="D32" s="314" t="str">
        <f>D168</f>
        <v/>
      </c>
      <c r="E32" s="310" t="s">
        <v>440</v>
      </c>
      <c r="F32" s="315">
        <v>8.6999999999999994E-2</v>
      </c>
    </row>
    <row r="33" spans="1:6">
      <c r="D33" s="5"/>
      <c r="E33" s="5"/>
    </row>
    <row r="34" spans="1:6" ht="13.9">
      <c r="A34" s="222" t="s">
        <v>355</v>
      </c>
      <c r="B34" s="36"/>
      <c r="C34" s="36"/>
      <c r="D34" s="36"/>
      <c r="E34" s="36"/>
      <c r="F34" s="36"/>
    </row>
    <row r="36" spans="1:6" ht="24.5" customHeight="1">
      <c r="B36" s="347" t="s">
        <v>361</v>
      </c>
      <c r="C36" s="347"/>
      <c r="D36" s="347"/>
      <c r="E36" s="347"/>
      <c r="F36" s="347"/>
    </row>
    <row r="37" spans="1:6" ht="24.5" customHeight="1">
      <c r="B37" s="349" t="s">
        <v>340</v>
      </c>
      <c r="C37" s="349"/>
      <c r="D37" s="349"/>
      <c r="E37" s="349"/>
      <c r="F37" s="349"/>
    </row>
    <row r="39" spans="1:6">
      <c r="B39" s="210" t="s">
        <v>231</v>
      </c>
      <c r="C39" s="108">
        <f>scaling_factor</f>
        <v>1</v>
      </c>
    </row>
    <row r="40" spans="1:6" ht="24.5" customHeight="1">
      <c r="B40" s="348" t="s">
        <v>232</v>
      </c>
      <c r="C40" s="348"/>
      <c r="D40" s="348"/>
      <c r="E40" s="348"/>
      <c r="F40" s="348"/>
    </row>
    <row r="41" spans="1:6">
      <c r="B41" s="47" t="s">
        <v>233</v>
      </c>
      <c r="C41" s="341">
        <f>Normalized_FCF!C8</f>
        <v>923979255.39561176</v>
      </c>
      <c r="D41" s="1" t="str">
        <f>Reporting_currency</f>
        <v>CNY</v>
      </c>
    </row>
    <row r="42" spans="1:6">
      <c r="B42" s="47"/>
      <c r="C42" s="76"/>
    </row>
    <row r="43" spans="1:6" ht="24.5" customHeight="1">
      <c r="B43" s="348" t="s">
        <v>234</v>
      </c>
      <c r="C43" s="348"/>
      <c r="D43" s="348"/>
      <c r="E43" s="348"/>
      <c r="F43" s="348"/>
    </row>
    <row r="44" spans="1:6">
      <c r="B44" s="47" t="s">
        <v>235</v>
      </c>
      <c r="C44" s="341">
        <f>Normalized_FCF!C9</f>
        <v>0</v>
      </c>
      <c r="D44" s="1" t="str">
        <f>Reporting_currency</f>
        <v>CNY</v>
      </c>
    </row>
    <row r="45" spans="1:6">
      <c r="B45" s="52" t="s">
        <v>236</v>
      </c>
      <c r="C45" s="341">
        <f>Normalized_FCF!C10</f>
        <v>0</v>
      </c>
      <c r="D45" s="1" t="str">
        <f>Reporting_currency</f>
        <v>CNY</v>
      </c>
    </row>
    <row r="47" spans="1:6">
      <c r="B47" s="348" t="s">
        <v>237</v>
      </c>
      <c r="C47" s="348"/>
      <c r="D47" s="348"/>
      <c r="E47" s="348"/>
      <c r="F47" s="348"/>
    </row>
    <row r="48" spans="1:6">
      <c r="B48" s="47" t="s">
        <v>238</v>
      </c>
      <c r="C48" s="341">
        <f>Normalized_FCF!C11</f>
        <v>0</v>
      </c>
      <c r="D48" s="1" t="str">
        <f>Reporting_currency</f>
        <v>CNY</v>
      </c>
    </row>
    <row r="50" spans="2:6">
      <c r="B50" s="348" t="s">
        <v>241</v>
      </c>
      <c r="C50" s="348"/>
      <c r="D50" s="348"/>
      <c r="E50" s="348"/>
      <c r="F50" s="348"/>
    </row>
    <row r="51" spans="2:6">
      <c r="B51" s="47" t="s">
        <v>341</v>
      </c>
      <c r="C51" s="346">
        <f>Normalized_FCF!C48</f>
        <v>32042840.928504106</v>
      </c>
      <c r="D51" s="1" t="str">
        <f>Reporting_currency</f>
        <v>CNY</v>
      </c>
      <c r="E51" s="288"/>
      <c r="F51" s="288"/>
    </row>
    <row r="52" spans="2:6">
      <c r="B52" s="47" t="s">
        <v>342</v>
      </c>
      <c r="C52" s="346">
        <f>Normalized_FCF!C47</f>
        <v>-59672121</v>
      </c>
      <c r="D52" s="1" t="str">
        <f>Reporting_currency</f>
        <v>CNY</v>
      </c>
      <c r="E52" s="288"/>
      <c r="F52" s="288"/>
    </row>
    <row r="53" spans="2:6">
      <c r="B53" s="47" t="s">
        <v>239</v>
      </c>
      <c r="C53" s="341">
        <f>Normalized_FCF!C12</f>
        <v>-27629280.071495894</v>
      </c>
      <c r="D53" s="1" t="str">
        <f>Reporting_currency</f>
        <v>CNY</v>
      </c>
    </row>
    <row r="55" spans="2:6">
      <c r="B55" s="1" t="s">
        <v>247</v>
      </c>
    </row>
    <row r="56" spans="2:6">
      <c r="B56" s="47" t="s">
        <v>266</v>
      </c>
      <c r="C56" s="341">
        <f>Normalized_FCF!C15</f>
        <v>-2378351.0769942678</v>
      </c>
      <c r="D56" s="1" t="str">
        <f>Reporting_currency</f>
        <v>CNY</v>
      </c>
    </row>
    <row r="58" spans="2:6">
      <c r="B58" s="348" t="s">
        <v>242</v>
      </c>
      <c r="C58" s="348"/>
      <c r="D58" s="348"/>
      <c r="E58" s="348"/>
      <c r="F58" s="348"/>
    </row>
    <row r="59" spans="2:6">
      <c r="B59" s="47" t="s">
        <v>240</v>
      </c>
      <c r="C59" s="341">
        <f>Normalized_FCF!C14</f>
        <v>-224087493.83102897</v>
      </c>
      <c r="D59" s="1" t="str">
        <f>Reporting_currency</f>
        <v>CNY</v>
      </c>
    </row>
    <row r="61" spans="2:6">
      <c r="B61" s="348" t="s">
        <v>339</v>
      </c>
      <c r="C61" s="351"/>
      <c r="D61" s="351"/>
      <c r="E61" s="351"/>
      <c r="F61" s="351"/>
    </row>
    <row r="62" spans="2:6">
      <c r="B62" s="47" t="s">
        <v>243</v>
      </c>
      <c r="C62" s="341">
        <f>Normalized_FCF!C17</f>
        <v>0</v>
      </c>
      <c r="D62" s="1" t="str">
        <f>Reporting_currency</f>
        <v>CNY</v>
      </c>
    </row>
    <row r="64" spans="2:6" ht="24.5" customHeight="1">
      <c r="B64" s="347" t="s">
        <v>344</v>
      </c>
      <c r="C64" s="347"/>
      <c r="D64" s="347"/>
      <c r="E64" s="347"/>
      <c r="F64" s="347"/>
    </row>
    <row r="65" spans="1:6" ht="24.5" customHeight="1">
      <c r="B65" s="347" t="s">
        <v>362</v>
      </c>
      <c r="C65" s="347"/>
      <c r="D65" s="347"/>
      <c r="E65" s="347"/>
      <c r="F65" s="347"/>
    </row>
    <row r="67" spans="1:6">
      <c r="B67" s="47" t="s">
        <v>271</v>
      </c>
      <c r="C67" s="341">
        <f>Normalized_FCF!G19</f>
        <v>632397776.92850411</v>
      </c>
      <c r="D67" s="1" t="str">
        <f>Reporting_currency</f>
        <v>CNY</v>
      </c>
    </row>
    <row r="68" spans="1:6">
      <c r="B68" s="47" t="s">
        <v>249</v>
      </c>
      <c r="C68" s="341">
        <f>Normalized_FCF!C19</f>
        <v>669884130.41609263</v>
      </c>
      <c r="D68" s="1" t="str">
        <f>Reporting_currency</f>
        <v>CNY</v>
      </c>
    </row>
    <row r="69" spans="1:6">
      <c r="B69" s="227" t="s">
        <v>391</v>
      </c>
      <c r="C69" s="92">
        <f>Normalized_FCF!C125</f>
        <v>5.6519885692454114E-2</v>
      </c>
      <c r="F69" s="317"/>
    </row>
    <row r="70" spans="1:6">
      <c r="B70" s="227" t="s">
        <v>309</v>
      </c>
      <c r="C70" s="92">
        <f>Normalized_FCF!C93</f>
        <v>4.5241143832693134E-2</v>
      </c>
      <c r="E70" s="47" t="s">
        <v>450</v>
      </c>
      <c r="F70" s="318">
        <f>Normalized_FCF!C92</f>
        <v>0.80044648495694337</v>
      </c>
    </row>
    <row r="72" spans="1:6" ht="13.9">
      <c r="A72" s="222" t="s">
        <v>356</v>
      </c>
      <c r="B72" s="36"/>
      <c r="C72" s="36"/>
      <c r="D72" s="36"/>
      <c r="E72" s="36"/>
      <c r="F72" s="36"/>
    </row>
    <row r="73" spans="1:6">
      <c r="A73" s="209"/>
    </row>
    <row r="74" spans="1:6" ht="24.5" customHeight="1">
      <c r="A74" s="17"/>
      <c r="B74" s="347" t="s">
        <v>363</v>
      </c>
      <c r="C74" s="347"/>
      <c r="D74" s="347"/>
      <c r="E74" s="347"/>
      <c r="F74" s="347"/>
    </row>
    <row r="75" spans="1:6">
      <c r="B75" s="349" t="s">
        <v>253</v>
      </c>
      <c r="C75" s="349"/>
      <c r="D75" s="349"/>
      <c r="E75" s="349"/>
      <c r="F75" s="349"/>
    </row>
    <row r="77" spans="1:6">
      <c r="B77" s="210" t="s">
        <v>231</v>
      </c>
    </row>
    <row r="78" spans="1:6">
      <c r="B78" s="1" t="s">
        <v>433</v>
      </c>
      <c r="C78" s="92">
        <f>F31</f>
        <v>0.06</v>
      </c>
    </row>
    <row r="79" spans="1:6">
      <c r="B79" s="1" t="s">
        <v>432</v>
      </c>
      <c r="C79" s="92">
        <f>IF(C23="Y",1%,0)+IF(C24="Y",1%,0)</f>
        <v>0</v>
      </c>
    </row>
    <row r="80" spans="1:6">
      <c r="B80" s="80" t="s">
        <v>248</v>
      </c>
      <c r="C80" s="236">
        <f>F31+C79</f>
        <v>0.06</v>
      </c>
    </row>
    <row r="81" spans="1:6">
      <c r="C81" s="121"/>
    </row>
    <row r="82" spans="1:6">
      <c r="B82" s="295" t="s">
        <v>357</v>
      </c>
      <c r="C82" s="121"/>
    </row>
    <row r="83" spans="1:6" ht="24.5" customHeight="1">
      <c r="B83" s="347" t="s">
        <v>364</v>
      </c>
      <c r="C83" s="347"/>
      <c r="D83" s="347"/>
      <c r="E83" s="347"/>
      <c r="F83" s="347"/>
    </row>
    <row r="84" spans="1:6" ht="24.5" customHeight="1">
      <c r="B84" s="347" t="s">
        <v>365</v>
      </c>
      <c r="C84" s="347"/>
      <c r="D84" s="347"/>
      <c r="E84" s="347"/>
      <c r="F84" s="347"/>
    </row>
    <row r="86" spans="1:6">
      <c r="B86" s="47" t="s">
        <v>252</v>
      </c>
      <c r="C86" s="236">
        <v>0</v>
      </c>
    </row>
    <row r="87" spans="1:6">
      <c r="B87" s="47" t="s">
        <v>281</v>
      </c>
      <c r="C87" s="223">
        <f>DCF!C6*scaling_factor*Exchange_Rate/Common_Shares</f>
        <v>22.071015362903331</v>
      </c>
      <c r="D87" s="1" t="str">
        <f>Market_currency</f>
        <v>CNY</v>
      </c>
    </row>
    <row r="89" spans="1:6" ht="13.9">
      <c r="A89" s="222" t="s">
        <v>358</v>
      </c>
      <c r="B89" s="36"/>
      <c r="C89" s="36"/>
      <c r="D89" s="36"/>
      <c r="E89" s="36"/>
      <c r="F89" s="36"/>
    </row>
    <row r="90" spans="1:6">
      <c r="A90" s="209"/>
    </row>
    <row r="91" spans="1:6">
      <c r="B91" s="347" t="s">
        <v>366</v>
      </c>
      <c r="C91" s="347"/>
      <c r="D91" s="347"/>
      <c r="E91" s="347"/>
      <c r="F91" s="347"/>
    </row>
    <row r="92" spans="1:6">
      <c r="B92" s="1" t="s">
        <v>254</v>
      </c>
    </row>
    <row r="94" spans="1:6">
      <c r="B94" s="210" t="s">
        <v>231</v>
      </c>
    </row>
    <row r="95" spans="1:6" ht="24.5" customHeight="1">
      <c r="B95" s="347" t="s">
        <v>345</v>
      </c>
      <c r="C95" s="347"/>
      <c r="D95" s="347"/>
      <c r="E95" s="347"/>
      <c r="F95" s="347"/>
    </row>
    <row r="96" spans="1:6">
      <c r="B96" s="47" t="s">
        <v>256</v>
      </c>
      <c r="C96" s="341">
        <f>DCF!C7</f>
        <v>2209595736.0500002</v>
      </c>
      <c r="D96" s="1" t="str">
        <f>Reporting_currency</f>
        <v>CNY</v>
      </c>
    </row>
    <row r="97" spans="2:6">
      <c r="B97" s="47" t="s">
        <v>282</v>
      </c>
      <c r="C97" s="223">
        <f>C96*scaling_factor*Exchange_Rate/Common_Shares</f>
        <v>4.3680409093321932</v>
      </c>
      <c r="D97" s="1" t="str">
        <f>Market_currency</f>
        <v>CNY</v>
      </c>
    </row>
    <row r="98" spans="2:6">
      <c r="B98" s="298" t="s">
        <v>405</v>
      </c>
      <c r="C98" s="299">
        <f>BS!G30/BS!G27</f>
        <v>0.75572683404914875</v>
      </c>
    </row>
    <row r="99" spans="2:6">
      <c r="B99" s="298" t="s">
        <v>406</v>
      </c>
      <c r="C99" s="299">
        <f>BS!G31/BS!G27</f>
        <v>0.3857437197038544</v>
      </c>
    </row>
    <row r="100" spans="2:6">
      <c r="B100" s="298" t="s">
        <v>408</v>
      </c>
      <c r="C100" s="300">
        <f>BS!C50</f>
        <v>2.3913910654887354</v>
      </c>
    </row>
    <row r="102" spans="2:6">
      <c r="B102" s="1" t="s">
        <v>255</v>
      </c>
    </row>
    <row r="103" spans="2:6">
      <c r="B103" s="47" t="s">
        <v>265</v>
      </c>
      <c r="C103" s="341">
        <f>BS!C66</f>
        <v>4583178463.29</v>
      </c>
      <c r="D103" s="1" t="str">
        <f>Reporting_currency</f>
        <v>CNY</v>
      </c>
    </row>
    <row r="104" spans="2:6">
      <c r="B104" s="47" t="s">
        <v>267</v>
      </c>
      <c r="C104" s="341">
        <f>DCF!C8</f>
        <v>3530916331.352602</v>
      </c>
      <c r="D104" s="1" t="str">
        <f>Reporting_currency</f>
        <v>CNY</v>
      </c>
    </row>
    <row r="105" spans="2:6">
      <c r="B105" s="47" t="s">
        <v>283</v>
      </c>
      <c r="C105" s="223">
        <f>C104*scaling_factor*Exchange_Rate/Common_Shares</f>
        <v>6.9800944720995357</v>
      </c>
      <c r="D105" s="1" t="str">
        <f>Market_currency</f>
        <v>CNY</v>
      </c>
    </row>
    <row r="107" spans="2:6">
      <c r="B107" s="1" t="s">
        <v>257</v>
      </c>
    </row>
    <row r="108" spans="2:6">
      <c r="B108" s="47" t="s">
        <v>258</v>
      </c>
      <c r="C108" s="341">
        <f>DCF!C9</f>
        <v>590585139.73500001</v>
      </c>
      <c r="D108" s="1" t="str">
        <f>Reporting_currency</f>
        <v>CNY</v>
      </c>
    </row>
    <row r="109" spans="2:6">
      <c r="B109" s="47" t="s">
        <v>284</v>
      </c>
      <c r="C109" s="223">
        <f>C108*scaling_factor*Exchange_Rate/Common_Shares</f>
        <v>1.1674986553955653</v>
      </c>
      <c r="D109" s="1" t="str">
        <f>Market_currency</f>
        <v>CNY</v>
      </c>
    </row>
    <row r="111" spans="2:6" ht="24.5" customHeight="1">
      <c r="B111" s="347" t="s">
        <v>367</v>
      </c>
      <c r="C111" s="347"/>
      <c r="D111" s="347"/>
      <c r="E111" s="347"/>
      <c r="F111" s="347"/>
    </row>
    <row r="113" spans="1:6">
      <c r="B113" s="47" t="s">
        <v>451</v>
      </c>
      <c r="C113" s="223">
        <f>IF(valuation_method="DCF",DCF!C12,DDM!C7)</f>
        <v>25.850567581066237</v>
      </c>
      <c r="D113" s="1" t="str">
        <f>Market_currency</f>
        <v>CNY</v>
      </c>
    </row>
    <row r="114" spans="1:6">
      <c r="B114" s="298" t="s">
        <v>407</v>
      </c>
      <c r="C114" s="223">
        <f>BS!D47</f>
        <v>3.5427832354191278</v>
      </c>
      <c r="D114" s="1" t="str">
        <f>Market_currency</f>
        <v>CNY</v>
      </c>
    </row>
    <row r="116" spans="1:6" ht="13.9">
      <c r="A116" s="222" t="s">
        <v>359</v>
      </c>
      <c r="B116" s="36"/>
      <c r="C116" s="36"/>
      <c r="D116" s="36"/>
      <c r="E116" s="36"/>
      <c r="F116" s="36"/>
    </row>
    <row r="118" spans="1:6" ht="24.5" customHeight="1">
      <c r="B118" s="348" t="s">
        <v>368</v>
      </c>
      <c r="C118" s="348"/>
      <c r="D118" s="348"/>
      <c r="E118" s="348"/>
      <c r="F118" s="348"/>
    </row>
    <row r="120" spans="1:6" ht="12.4">
      <c r="B120" s="233" t="s">
        <v>118</v>
      </c>
      <c r="C120" s="233" t="s">
        <v>133</v>
      </c>
      <c r="D120" s="233" t="s">
        <v>113</v>
      </c>
      <c r="E120" s="233" t="s">
        <v>260</v>
      </c>
      <c r="F120" s="233" t="s">
        <v>148</v>
      </c>
    </row>
    <row r="121" spans="1:6">
      <c r="B121" s="228" t="str">
        <f>DCF!B74</f>
        <v>Snowball Scenario</v>
      </c>
      <c r="C121" s="229">
        <f>DCF!C74</f>
        <v>0.08</v>
      </c>
      <c r="D121" s="230">
        <f>DCF!D74</f>
        <v>10</v>
      </c>
      <c r="E121" s="231" t="str">
        <f>ROUND(IF(valuation_method="DCF",DCF!E74,DDM!E69),2)&amp;" "&amp;Market_currency</f>
        <v>31.79 CNY</v>
      </c>
      <c r="F121" s="232">
        <f>DCF!F74</f>
        <v>0.15</v>
      </c>
    </row>
    <row r="122" spans="1:6">
      <c r="B122" s="218" t="str">
        <f>DCF!B75</f>
        <v>Optimistic</v>
      </c>
      <c r="C122" s="219">
        <f>DCF!C75</f>
        <v>0.06</v>
      </c>
      <c r="D122" s="220">
        <f>DCF!D75</f>
        <v>5</v>
      </c>
      <c r="E122" s="231" t="str">
        <f>ROUND(IF(valuation_method="DCF",DCF!E75,DDM!E70),2)&amp;" "&amp;Market_currency</f>
        <v>27.88 CNY</v>
      </c>
      <c r="F122" s="221">
        <f>DCF!F75</f>
        <v>0.15000000000000002</v>
      </c>
    </row>
    <row r="123" spans="1:6">
      <c r="B123" s="218" t="str">
        <f>DCF!B76</f>
        <v>Base</v>
      </c>
      <c r="C123" s="219">
        <f>DCF!C76</f>
        <v>0.04</v>
      </c>
      <c r="D123" s="220">
        <f>DCF!D76</f>
        <v>5</v>
      </c>
      <c r="E123" s="231" t="str">
        <f>ROUND(IF(valuation_method="DCF",DCF!E76,DDM!E71),2)&amp;" "&amp;Market_currency</f>
        <v>27.19 CNY</v>
      </c>
      <c r="F123" s="221">
        <f>DCF!F76</f>
        <v>0.44999999999999996</v>
      </c>
    </row>
    <row r="124" spans="1:6">
      <c r="B124" s="218" t="str">
        <f>DCF!B77</f>
        <v>Pessimistic</v>
      </c>
      <c r="C124" s="219">
        <f>DCF!C77</f>
        <v>0.02</v>
      </c>
      <c r="D124" s="220">
        <f>DCF!D77</f>
        <v>5</v>
      </c>
      <c r="E124" s="231" t="str">
        <f>ROUND(IF(valuation_method="DCF",DCF!E77,DDM!E72),2)&amp;" "&amp;Market_currency</f>
        <v>26.51 CNY</v>
      </c>
      <c r="F124" s="221">
        <f>DCF!F77</f>
        <v>0.15000000000000002</v>
      </c>
    </row>
    <row r="125" spans="1:6">
      <c r="B125" s="218" t="str">
        <f>DCF!B78</f>
        <v>Devil's advocate</v>
      </c>
      <c r="C125" s="219">
        <f>DCF!C78</f>
        <v>0</v>
      </c>
      <c r="D125" s="220">
        <f>DCF!D78</f>
        <v>10</v>
      </c>
      <c r="E125" s="231" t="str">
        <f>ROUND(IF(valuation_method="DCF",DCF!E78,DDM!E73),2)&amp;" "&amp;Market_currency</f>
        <v>25.85 CNY</v>
      </c>
      <c r="F125" s="221">
        <f>DCF!F78</f>
        <v>0.1</v>
      </c>
    </row>
    <row r="127" spans="1:6">
      <c r="B127" s="211" t="s">
        <v>259</v>
      </c>
      <c r="C127" s="217">
        <f>Scenarios!C60</f>
        <v>27.746753827145845</v>
      </c>
      <c r="D127" s="212" t="str">
        <f>Market_currency</f>
        <v>CNY</v>
      </c>
    </row>
    <row r="129" spans="1:6" ht="24.5" customHeight="1">
      <c r="B129" s="352" t="s">
        <v>371</v>
      </c>
      <c r="C129" s="352"/>
      <c r="D129" s="352"/>
      <c r="E129" s="352"/>
      <c r="F129" s="352"/>
    </row>
    <row r="131" spans="1:6" ht="13.9">
      <c r="A131" s="222" t="s">
        <v>403</v>
      </c>
      <c r="B131" s="36"/>
      <c r="C131" s="36"/>
      <c r="D131" s="36"/>
      <c r="E131" s="36"/>
      <c r="F131" s="36"/>
    </row>
    <row r="133" spans="1:6">
      <c r="B133" s="350" t="s">
        <v>369</v>
      </c>
      <c r="C133" s="350"/>
      <c r="D133" s="350"/>
      <c r="E133" s="350"/>
      <c r="F133" s="350"/>
    </row>
    <row r="134" spans="1:6" ht="24.5" customHeight="1">
      <c r="B134" s="347" t="s">
        <v>370</v>
      </c>
      <c r="C134" s="347"/>
      <c r="D134" s="347"/>
      <c r="E134" s="347"/>
      <c r="F134" s="347"/>
    </row>
    <row r="135" spans="1:6">
      <c r="B135" s="210" t="s">
        <v>231</v>
      </c>
    </row>
    <row r="136" spans="1:6">
      <c r="B136" s="1" t="s">
        <v>264</v>
      </c>
      <c r="C136" s="225">
        <f>F28</f>
        <v>3</v>
      </c>
    </row>
    <row r="137" spans="1:6">
      <c r="B137" s="1" t="s">
        <v>277</v>
      </c>
      <c r="C137" s="224">
        <f>F29</f>
        <v>0.33699999999999997</v>
      </c>
    </row>
    <row r="138" spans="1:6">
      <c r="B138" s="212" t="s">
        <v>262</v>
      </c>
      <c r="C138" s="213">
        <f>Scenarios!C77</f>
        <v>1.06</v>
      </c>
      <c r="D138" s="212" t="str">
        <f>Market_currency</f>
        <v>CNY</v>
      </c>
    </row>
    <row r="140" spans="1:6">
      <c r="B140" s="210" t="s">
        <v>410</v>
      </c>
      <c r="C140" s="241" t="str">
        <f>C11</f>
        <v>002557.SZ</v>
      </c>
      <c r="D140" s="241" t="str">
        <f>IF(D11="","",D11)</f>
        <v/>
      </c>
    </row>
    <row r="141" spans="1:6">
      <c r="B141" s="1" t="s">
        <v>409</v>
      </c>
      <c r="C141" s="299">
        <f>F29</f>
        <v>0.33699999999999997</v>
      </c>
    </row>
    <row r="142" spans="1:6">
      <c r="B142" s="212" t="str">
        <f>"PV("&amp;C136&amp;" yrs of Dividends)"</f>
        <v>PV(3 yrs of Dividends)</v>
      </c>
      <c r="C142" s="216">
        <f>Scenarios!C81</f>
        <v>1.829322250329541</v>
      </c>
    </row>
    <row r="143" spans="1:6">
      <c r="B143" s="212" t="str">
        <f>"+ PV(Equity Value realized at year "&amp;C136&amp;")"</f>
        <v>+ PV(Equity Value realized at year 3)</v>
      </c>
      <c r="C143" s="216">
        <f>Scenarios!C82</f>
        <v>11.609618781212262</v>
      </c>
    </row>
    <row r="144" spans="1:6">
      <c r="B144" s="80" t="s">
        <v>261</v>
      </c>
      <c r="C144" s="215">
        <f>Scenarios!C83</f>
        <v>13.438941031541804</v>
      </c>
      <c r="D144" s="303" t="str">
        <f>IF($D$11="","",C144*$E$25)</f>
        <v/>
      </c>
    </row>
    <row r="145" spans="2:4">
      <c r="B145" s="259" t="s">
        <v>418</v>
      </c>
      <c r="C145" s="301" t="str">
        <f>Market_currency</f>
        <v>CNY</v>
      </c>
      <c r="D145" s="301" t="str">
        <f>IF($D$11="","",D$13)</f>
        <v/>
      </c>
    </row>
    <row r="146" spans="2:4">
      <c r="B146" s="214" t="s">
        <v>263</v>
      </c>
      <c r="C146" s="92">
        <f>Scenarios!F83</f>
        <v>0.51565717866448546</v>
      </c>
    </row>
    <row r="148" spans="2:4">
      <c r="B148" s="210" t="s">
        <v>413</v>
      </c>
    </row>
    <row r="149" spans="2:4">
      <c r="B149" s="1" t="s">
        <v>412</v>
      </c>
      <c r="C149" s="299">
        <f>Scenarios!C90</f>
        <v>0.187</v>
      </c>
    </row>
    <row r="150" spans="2:4">
      <c r="B150" s="212" t="str">
        <f>"PV("&amp;C136&amp;" yrs of Dividends)"</f>
        <v>PV(3 yrs of Dividends)</v>
      </c>
      <c r="C150" s="216">
        <f>Scenarios!C91</f>
        <v>2.279132885208865</v>
      </c>
    </row>
    <row r="151" spans="2:4">
      <c r="B151" s="212" t="str">
        <f>"+ PV(Equity Value realized at year "&amp;C136&amp;")"</f>
        <v>+ PV(Equity Value realized at year 3)</v>
      </c>
      <c r="C151" s="216">
        <f>Scenarios!C92</f>
        <v>16.59052098499448</v>
      </c>
    </row>
    <row r="152" spans="2:4">
      <c r="B152" s="80" t="s">
        <v>261</v>
      </c>
      <c r="C152" s="215">
        <f>Scenarios!C93</f>
        <v>18.869653870203344</v>
      </c>
      <c r="D152" s="303" t="str">
        <f>IF($D$11="","",C152*$E$25)</f>
        <v/>
      </c>
    </row>
    <row r="153" spans="2:4">
      <c r="B153" s="259" t="s">
        <v>418</v>
      </c>
      <c r="C153" s="301" t="str">
        <f>Market_currency</f>
        <v>CNY</v>
      </c>
      <c r="D153" s="301" t="str">
        <f>IF($D$11="","",D$13)</f>
        <v/>
      </c>
    </row>
    <row r="154" spans="2:4">
      <c r="B154" s="214" t="s">
        <v>263</v>
      </c>
      <c r="C154" s="92">
        <f>Scenarios!F93</f>
        <v>0.31993291944146818</v>
      </c>
    </row>
    <row r="156" spans="2:4">
      <c r="B156" s="210" t="s">
        <v>401</v>
      </c>
    </row>
    <row r="157" spans="2:4">
      <c r="B157" s="1" t="s">
        <v>411</v>
      </c>
      <c r="C157" s="92">
        <f>Scenarios!C96</f>
        <v>0.06</v>
      </c>
    </row>
    <row r="158" spans="2:4">
      <c r="B158" s="212" t="str">
        <f>"PV("&amp;C136&amp;" yrs of Dividends)"</f>
        <v>PV(3 yrs of Dividends)</v>
      </c>
      <c r="C158" s="216">
        <f>Scenarios!C97</f>
        <v>2.8333926664293383</v>
      </c>
    </row>
    <row r="159" spans="2:4">
      <c r="B159" s="212" t="str">
        <f>"+ PV(Equity Value realized at year "&amp;C136&amp;")"</f>
        <v>+ PV(Equity Value realized at year 3)</v>
      </c>
      <c r="C159" s="216">
        <f>Scenarios!C98</f>
        <v>23.296709554821966</v>
      </c>
    </row>
    <row r="160" spans="2:4">
      <c r="B160" s="80" t="s">
        <v>402</v>
      </c>
      <c r="C160" s="215">
        <f>Scenarios!C99</f>
        <v>26.130102221251306</v>
      </c>
      <c r="D160" s="303" t="str">
        <f>IF($D$11="","",C160*$E$25)</f>
        <v/>
      </c>
    </row>
    <row r="161" spans="1:6">
      <c r="B161" s="259" t="s">
        <v>418</v>
      </c>
      <c r="C161" s="301" t="str">
        <f>Market_currency</f>
        <v>CNY</v>
      </c>
      <c r="D161" s="301" t="str">
        <f>IF($D$11="","",D$13)</f>
        <v/>
      </c>
    </row>
    <row r="162" spans="1:6">
      <c r="B162" s="214" t="s">
        <v>263</v>
      </c>
      <c r="C162" s="92">
        <f>Scenarios!F99</f>
        <v>5.8264531266100761E-2</v>
      </c>
    </row>
    <row r="164" spans="1:6">
      <c r="B164" s="210" t="s">
        <v>434</v>
      </c>
    </row>
    <row r="165" spans="1:6">
      <c r="B165" s="1" t="s">
        <v>425</v>
      </c>
      <c r="C165" s="92">
        <f>F32</f>
        <v>8.6999999999999994E-2</v>
      </c>
    </row>
    <row r="166" spans="1:6">
      <c r="B166" s="212" t="str">
        <f>"PV("&amp;C136&amp;" yrs of Dividends)"</f>
        <v>PV(3 yrs of Dividends)</v>
      </c>
      <c r="C166" s="216">
        <f>Scenarios!C103</f>
        <v>2.6975834619563113</v>
      </c>
    </row>
    <row r="167" spans="1:6">
      <c r="B167" s="212" t="str">
        <f>"+ PV(Equity Value realized at year "&amp;C136&amp;")"</f>
        <v>+ PV(Equity Value realized at year 3)</v>
      </c>
      <c r="C167" s="216">
        <f>Scenarios!C104</f>
        <v>21.603471723847637</v>
      </c>
    </row>
    <row r="168" spans="1:6">
      <c r="B168" s="80" t="s">
        <v>402</v>
      </c>
      <c r="C168" s="215">
        <f>Scenarios!C105</f>
        <v>24.301055185803946</v>
      </c>
      <c r="D168" s="303" t="str">
        <f>IF($D$11="","",C168*$E$25)</f>
        <v/>
      </c>
    </row>
    <row r="169" spans="1:6">
      <c r="B169" s="259" t="s">
        <v>418</v>
      </c>
      <c r="C169" s="301" t="str">
        <f>Market_currency</f>
        <v>CNY</v>
      </c>
      <c r="D169" s="301" t="str">
        <f>IF($D$11="","",D$13)</f>
        <v/>
      </c>
    </row>
    <row r="170" spans="1:6">
      <c r="B170" s="214" t="s">
        <v>263</v>
      </c>
      <c r="C170" s="92">
        <f>Scenarios!F105</f>
        <v>0.12428977531548846</v>
      </c>
    </row>
    <row r="172" spans="1:6" ht="13.9">
      <c r="A172" s="222" t="s">
        <v>375</v>
      </c>
      <c r="B172" s="36"/>
      <c r="C172" s="36"/>
      <c r="D172" s="36"/>
      <c r="E172" s="36"/>
      <c r="F172" s="36"/>
    </row>
    <row r="174" spans="1:6">
      <c r="B174" s="354" t="s">
        <v>377</v>
      </c>
      <c r="C174" s="347"/>
      <c r="D174" s="347"/>
      <c r="E174" s="347"/>
      <c r="F174" s="347"/>
    </row>
    <row r="176" spans="1:6">
      <c r="B176" s="210" t="s">
        <v>376</v>
      </c>
    </row>
    <row r="177" spans="2:6">
      <c r="B177" s="351" t="s">
        <v>381</v>
      </c>
      <c r="C177" s="351"/>
      <c r="D177" s="351"/>
      <c r="E177" s="351"/>
      <c r="F177" s="351"/>
    </row>
    <row r="178" spans="2:6">
      <c r="B178" s="214" t="s">
        <v>378</v>
      </c>
    </row>
    <row r="179" spans="2:6">
      <c r="B179" s="214" t="s">
        <v>379</v>
      </c>
    </row>
    <row r="180" spans="2:6">
      <c r="B180" s="214" t="s">
        <v>380</v>
      </c>
    </row>
    <row r="182" spans="2:6">
      <c r="B182" s="1" t="s">
        <v>385</v>
      </c>
    </row>
    <row r="183" spans="2:6" ht="46.5" customHeight="1">
      <c r="B183" s="348" t="s">
        <v>382</v>
      </c>
      <c r="C183" s="348"/>
      <c r="D183" s="348"/>
      <c r="E183" s="348"/>
      <c r="F183" s="348"/>
    </row>
    <row r="185" spans="2:6">
      <c r="B185" s="1" t="s">
        <v>386</v>
      </c>
    </row>
    <row r="186" spans="2:6" ht="24.5" customHeight="1">
      <c r="B186" s="353" t="s">
        <v>383</v>
      </c>
      <c r="C186" s="353"/>
      <c r="D186" s="353"/>
      <c r="E186" s="353"/>
      <c r="F186" s="353"/>
    </row>
    <row r="187" spans="2:6" ht="24.5" customHeight="1">
      <c r="B187" s="353" t="s">
        <v>384</v>
      </c>
      <c r="C187" s="353"/>
      <c r="D187" s="353"/>
      <c r="E187" s="353"/>
      <c r="F187" s="353"/>
    </row>
    <row r="189" spans="2:6">
      <c r="B189" s="1" t="s">
        <v>390</v>
      </c>
    </row>
    <row r="190" spans="2:6">
      <c r="B190" s="214" t="s">
        <v>387</v>
      </c>
    </row>
    <row r="191" spans="2:6">
      <c r="B191" s="214" t="s">
        <v>388</v>
      </c>
    </row>
    <row r="192" spans="2:6">
      <c r="B192" s="214" t="s">
        <v>389</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76" sqref="C76:M80"/>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337">
        <v>7131364079</v>
      </c>
      <c r="D4" s="337">
        <v>6805627279</v>
      </c>
      <c r="E4" s="337">
        <v>6883365208</v>
      </c>
      <c r="F4" s="337">
        <v>5985026032</v>
      </c>
      <c r="G4" s="337">
        <v>5289304050</v>
      </c>
      <c r="H4" s="337">
        <v>4837252294</v>
      </c>
      <c r="I4" s="337">
        <v>4197045559</v>
      </c>
      <c r="J4" s="337">
        <v>3602738165</v>
      </c>
      <c r="K4" s="337">
        <v>3513011838</v>
      </c>
      <c r="L4" s="337">
        <v>3311372570</v>
      </c>
      <c r="M4" s="337"/>
    </row>
    <row r="5" spans="2:13">
      <c r="B5" s="40" t="s">
        <v>43</v>
      </c>
      <c r="C5" s="337">
        <v>5145338820</v>
      </c>
      <c r="D5" s="337">
        <v>5036852503</v>
      </c>
      <c r="E5" s="337">
        <v>4741732369</v>
      </c>
      <c r="F5" s="337">
        <v>4125460517</v>
      </c>
      <c r="G5" s="337">
        <v>3648371932</v>
      </c>
      <c r="H5" s="337">
        <v>3274676386</v>
      </c>
      <c r="I5" s="337">
        <v>2935100815</v>
      </c>
      <c r="J5" s="337">
        <v>2568541074</v>
      </c>
      <c r="K5" s="337">
        <v>2462409261</v>
      </c>
      <c r="L5" s="337">
        <v>2258759022</v>
      </c>
      <c r="M5" s="337"/>
    </row>
    <row r="6" spans="2:13">
      <c r="B6" s="40" t="s">
        <v>54</v>
      </c>
      <c r="C6" s="337">
        <v>1020355341</v>
      </c>
      <c r="D6" s="337">
        <v>905855866</v>
      </c>
      <c r="E6" s="337">
        <v>1042555140</v>
      </c>
      <c r="F6" s="337">
        <v>870066331</v>
      </c>
      <c r="G6" s="337">
        <v>759567420</v>
      </c>
      <c r="H6" s="337">
        <v>914353673</v>
      </c>
      <c r="I6" s="337">
        <v>786040676</v>
      </c>
      <c r="J6" s="337">
        <v>698786559</v>
      </c>
      <c r="K6" s="337">
        <v>653103605</v>
      </c>
      <c r="L6" s="337">
        <v>647456178</v>
      </c>
      <c r="M6" s="337"/>
    </row>
    <row r="7" spans="2:13">
      <c r="B7" s="69" t="s">
        <v>61</v>
      </c>
      <c r="C7" s="338">
        <v>712355118</v>
      </c>
      <c r="D7" s="338">
        <v>616499772</v>
      </c>
      <c r="E7" s="338">
        <v>700587939</v>
      </c>
      <c r="F7" s="338">
        <v>604192141</v>
      </c>
      <c r="G7" s="338">
        <v>516475958</v>
      </c>
      <c r="H7" s="338">
        <v>666000728</v>
      </c>
      <c r="I7" s="338">
        <v>569962537</v>
      </c>
      <c r="J7" s="338">
        <v>488865088</v>
      </c>
      <c r="K7" s="338">
        <v>450745526</v>
      </c>
      <c r="L7" s="338">
        <v>432888482</v>
      </c>
      <c r="M7" s="338"/>
    </row>
    <row r="8" spans="2:13">
      <c r="B8" s="40" t="s">
        <v>49</v>
      </c>
      <c r="C8" s="337">
        <v>75683892</v>
      </c>
      <c r="D8" s="337">
        <v>64604520</v>
      </c>
      <c r="E8" s="337">
        <v>53560452</v>
      </c>
      <c r="F8" s="337">
        <v>45085492</v>
      </c>
      <c r="G8" s="337">
        <v>36242796</v>
      </c>
      <c r="H8" s="337">
        <v>30636524</v>
      </c>
      <c r="I8" s="337">
        <v>25189552</v>
      </c>
      <c r="J8" s="337">
        <v>0</v>
      </c>
      <c r="K8" s="337">
        <v>0</v>
      </c>
      <c r="L8" s="337">
        <v>0</v>
      </c>
      <c r="M8" s="337"/>
    </row>
    <row r="9" spans="2:13">
      <c r="B9" s="40" t="s">
        <v>160</v>
      </c>
      <c r="C9" s="337"/>
      <c r="D9" s="337"/>
      <c r="E9" s="337"/>
      <c r="F9" s="337"/>
      <c r="G9" s="337"/>
      <c r="H9" s="337"/>
      <c r="I9" s="337"/>
      <c r="J9" s="337"/>
      <c r="K9" s="337"/>
      <c r="L9" s="337"/>
      <c r="M9" s="337"/>
    </row>
    <row r="10" spans="2:13">
      <c r="B10" s="40" t="s">
        <v>168</v>
      </c>
      <c r="C10" s="337"/>
      <c r="D10" s="337"/>
      <c r="E10" s="337"/>
      <c r="F10" s="337"/>
      <c r="G10" s="337"/>
      <c r="H10" s="337"/>
      <c r="I10" s="337"/>
      <c r="J10" s="337"/>
      <c r="K10" s="337"/>
      <c r="L10" s="337"/>
      <c r="M10" s="337"/>
    </row>
    <row r="11" spans="2:13">
      <c r="B11" s="40" t="s">
        <v>159</v>
      </c>
      <c r="C11" s="337"/>
      <c r="D11" s="337"/>
      <c r="E11" s="337"/>
      <c r="F11" s="337"/>
      <c r="G11" s="337"/>
      <c r="H11" s="337"/>
      <c r="I11" s="337"/>
      <c r="J11" s="337"/>
      <c r="K11" s="337"/>
      <c r="L11" s="337"/>
      <c r="M11" s="337"/>
    </row>
    <row r="12" spans="2:13">
      <c r="B12" s="40" t="s">
        <v>39</v>
      </c>
      <c r="C12" s="337">
        <v>59672121</v>
      </c>
      <c r="D12" s="337">
        <v>55482330</v>
      </c>
      <c r="E12" s="337">
        <v>54113032</v>
      </c>
      <c r="F12" s="337">
        <v>57135193</v>
      </c>
      <c r="G12" s="337">
        <v>20257228</v>
      </c>
      <c r="H12" s="337">
        <v>14761326</v>
      </c>
      <c r="I12" s="337">
        <v>33195116</v>
      </c>
      <c r="J12" s="337"/>
      <c r="K12" s="337"/>
      <c r="L12" s="337"/>
      <c r="M12" s="337"/>
    </row>
    <row r="13" spans="2:13">
      <c r="B13" s="40" t="s">
        <v>67</v>
      </c>
      <c r="C13" s="337">
        <v>139564139</v>
      </c>
      <c r="D13" s="337">
        <v>133949036</v>
      </c>
      <c r="E13" s="337">
        <v>75916153</v>
      </c>
      <c r="F13" s="337">
        <v>81878485</v>
      </c>
      <c r="G13" s="337">
        <v>49513640</v>
      </c>
      <c r="H13" s="337">
        <v>29229712</v>
      </c>
      <c r="I13" s="337">
        <v>37107822</v>
      </c>
      <c r="J13" s="337"/>
      <c r="K13" s="337"/>
      <c r="L13" s="337"/>
      <c r="M13" s="337"/>
    </row>
    <row r="14" spans="2:13">
      <c r="B14" s="40" t="s">
        <v>50</v>
      </c>
      <c r="C14" s="337">
        <v>229311604</v>
      </c>
      <c r="D14" s="337">
        <v>191295542</v>
      </c>
      <c r="E14" s="337">
        <v>242188379</v>
      </c>
      <c r="F14" s="337">
        <v>197232207</v>
      </c>
      <c r="G14" s="337">
        <v>192105224</v>
      </c>
      <c r="H14" s="337">
        <v>162495080</v>
      </c>
      <c r="I14" s="337">
        <v>131000165</v>
      </c>
      <c r="J14" s="337">
        <v>95459293</v>
      </c>
      <c r="K14" s="337">
        <v>110832660</v>
      </c>
      <c r="L14" s="337">
        <v>109092609</v>
      </c>
      <c r="M14" s="337"/>
    </row>
    <row r="15" spans="2:13">
      <c r="B15" s="43" t="s">
        <v>42</v>
      </c>
      <c r="C15" s="339">
        <v>850128132</v>
      </c>
      <c r="D15" s="339">
        <v>803170837</v>
      </c>
      <c r="E15" s="339">
        <v>978442510</v>
      </c>
      <c r="F15" s="339">
        <v>929724826</v>
      </c>
      <c r="G15" s="339">
        <v>805046879</v>
      </c>
      <c r="H15" s="339">
        <v>603477063</v>
      </c>
      <c r="I15" s="339">
        <v>441570412</v>
      </c>
      <c r="J15" s="339">
        <v>321687035</v>
      </c>
      <c r="K15" s="339">
        <v>359035717</v>
      </c>
      <c r="L15" s="339">
        <v>365153638</v>
      </c>
      <c r="M15" s="339"/>
    </row>
    <row r="16" spans="2:13">
      <c r="B16" s="28" t="s">
        <v>44</v>
      </c>
      <c r="C16" s="337">
        <v>647365</v>
      </c>
      <c r="D16" s="337">
        <v>431576</v>
      </c>
      <c r="E16" s="337">
        <v>2442951</v>
      </c>
      <c r="F16" s="337">
        <v>1064169</v>
      </c>
      <c r="G16" s="337">
        <v>-67938</v>
      </c>
      <c r="H16" s="337">
        <v>-48477</v>
      </c>
      <c r="I16" s="337">
        <v>8761899</v>
      </c>
      <c r="J16" s="337">
        <v>2464891</v>
      </c>
      <c r="K16" s="337">
        <v>5326102</v>
      </c>
      <c r="L16" s="337">
        <v>1211794</v>
      </c>
      <c r="M16" s="337"/>
    </row>
    <row r="18" spans="2:13">
      <c r="B18" s="16" t="s">
        <v>51</v>
      </c>
      <c r="C18" s="9"/>
    </row>
    <row r="19" spans="2:13">
      <c r="B19" s="27" t="s">
        <v>47</v>
      </c>
      <c r="C19" s="337"/>
      <c r="D19" s="337"/>
      <c r="E19" s="337"/>
      <c r="F19" s="337"/>
      <c r="G19" s="337"/>
      <c r="H19" s="337"/>
      <c r="I19" s="337"/>
      <c r="J19" s="337"/>
      <c r="K19" s="337"/>
      <c r="L19" s="337"/>
      <c r="M19" s="337"/>
    </row>
    <row r="20" spans="2:13">
      <c r="B20" s="27" t="s">
        <v>53</v>
      </c>
      <c r="C20" s="337"/>
      <c r="D20" s="337"/>
      <c r="E20" s="337"/>
      <c r="F20" s="337"/>
      <c r="G20" s="337"/>
      <c r="H20" s="337"/>
      <c r="I20" s="337"/>
      <c r="J20" s="337"/>
      <c r="K20" s="337"/>
      <c r="L20" s="337"/>
      <c r="M20" s="337"/>
    </row>
    <row r="21" spans="2:13">
      <c r="B21" s="27" t="s">
        <v>52</v>
      </c>
      <c r="C21" s="337"/>
      <c r="D21" s="337"/>
      <c r="E21" s="337"/>
      <c r="F21" s="337"/>
      <c r="G21" s="337"/>
      <c r="H21" s="337"/>
      <c r="I21" s="337"/>
      <c r="J21" s="337"/>
      <c r="K21" s="337"/>
      <c r="L21" s="337"/>
      <c r="M21" s="337"/>
    </row>
    <row r="22" spans="2:13">
      <c r="B22" s="27" t="s">
        <v>372</v>
      </c>
      <c r="C22" s="337">
        <v>1038904494</v>
      </c>
      <c r="D22" s="337">
        <v>419277594</v>
      </c>
      <c r="E22" s="337">
        <v>1532242670</v>
      </c>
      <c r="F22" s="337">
        <v>1344822756</v>
      </c>
      <c r="G22" s="337">
        <v>596854422</v>
      </c>
      <c r="H22" s="337">
        <v>646284830</v>
      </c>
      <c r="I22" s="337">
        <v>746820878</v>
      </c>
      <c r="J22" s="337">
        <v>292923529</v>
      </c>
      <c r="K22" s="337">
        <v>472353645</v>
      </c>
      <c r="L22" s="337">
        <v>266727845</v>
      </c>
      <c r="M22" s="337"/>
    </row>
    <row r="23" spans="2:13">
      <c r="B23" s="27" t="s">
        <v>374</v>
      </c>
      <c r="C23" s="337">
        <v>-581740675</v>
      </c>
      <c r="D23" s="337">
        <v>1111872716</v>
      </c>
      <c r="E23" s="337">
        <v>313454337</v>
      </c>
      <c r="F23" s="337">
        <v>-596185154</v>
      </c>
      <c r="G23" s="337">
        <v>-178162782</v>
      </c>
      <c r="H23" s="337">
        <v>-152623096</v>
      </c>
      <c r="I23" s="337">
        <v>-291851861</v>
      </c>
      <c r="J23" s="337">
        <v>-363586849</v>
      </c>
      <c r="K23" s="337">
        <v>341081432</v>
      </c>
      <c r="L23" s="337">
        <v>-135754035</v>
      </c>
      <c r="M23" s="337"/>
    </row>
    <row r="24" spans="2:13">
      <c r="B24" s="27" t="s">
        <v>373</v>
      </c>
      <c r="C24" s="337">
        <v>-435769097</v>
      </c>
      <c r="D24" s="337">
        <v>-203084462</v>
      </c>
      <c r="E24" s="337">
        <v>-532792445</v>
      </c>
      <c r="F24" s="337">
        <v>-222928124</v>
      </c>
      <c r="G24" s="337">
        <v>517207059</v>
      </c>
      <c r="H24" s="337">
        <v>-634956157</v>
      </c>
      <c r="I24" s="337">
        <v>-324343319</v>
      </c>
      <c r="J24" s="337">
        <v>96730747</v>
      </c>
      <c r="K24" s="337">
        <v>-854943133</v>
      </c>
      <c r="L24" s="337">
        <v>-254787292</v>
      </c>
      <c r="M24" s="337"/>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460</v>
      </c>
    </row>
    <row r="28" spans="2:13">
      <c r="B28" s="26" t="s">
        <v>24</v>
      </c>
      <c r="C28" s="326">
        <f>BS!C4</f>
        <v>488915470.69999999</v>
      </c>
      <c r="D28" s="337">
        <v>422673488</v>
      </c>
      <c r="E28" s="337">
        <v>456344428</v>
      </c>
      <c r="F28" s="337">
        <v>319728461</v>
      </c>
      <c r="G28" s="337">
        <v>217535243</v>
      </c>
      <c r="H28" s="337">
        <v>224562135</v>
      </c>
      <c r="I28" s="337">
        <v>179925262</v>
      </c>
      <c r="J28" s="337">
        <v>189740348</v>
      </c>
      <c r="K28" s="337">
        <v>149960778</v>
      </c>
      <c r="L28" s="337">
        <v>123329934</v>
      </c>
      <c r="M28" s="337"/>
    </row>
    <row r="29" spans="2:13">
      <c r="B29" s="26" t="s">
        <v>32</v>
      </c>
      <c r="C29" s="326">
        <f>BS!C6</f>
        <v>1545872989.1700001</v>
      </c>
      <c r="D29" s="337">
        <v>1623301115</v>
      </c>
      <c r="E29" s="337">
        <v>984697312</v>
      </c>
      <c r="F29" s="337">
        <v>1462249097</v>
      </c>
      <c r="G29" s="337">
        <v>1687299780</v>
      </c>
      <c r="H29" s="337">
        <v>1389523101</v>
      </c>
      <c r="I29" s="337">
        <v>1209137008</v>
      </c>
      <c r="J29" s="337">
        <v>1068705861</v>
      </c>
      <c r="K29" s="337">
        <v>1085846527</v>
      </c>
      <c r="L29" s="337">
        <v>1183037453</v>
      </c>
      <c r="M29" s="337"/>
    </row>
    <row r="30" spans="2:13">
      <c r="B30" s="29" t="s">
        <v>40</v>
      </c>
      <c r="C30" s="327">
        <f>BS!C33+BS!C42</f>
        <v>4328912448.4399996</v>
      </c>
      <c r="D30" s="339">
        <v>3866253573</v>
      </c>
      <c r="E30" s="339">
        <v>3275808581</v>
      </c>
      <c r="F30" s="339">
        <v>3276083890</v>
      </c>
      <c r="G30" s="339">
        <v>2771099894</v>
      </c>
      <c r="H30" s="339">
        <v>1753709637</v>
      </c>
      <c r="I30" s="339">
        <v>1768910685</v>
      </c>
      <c r="J30" s="339">
        <v>1542190319</v>
      </c>
      <c r="K30" s="339">
        <v>1188658961</v>
      </c>
      <c r="L30" s="339">
        <v>1649560528</v>
      </c>
      <c r="M30" s="339"/>
    </row>
    <row r="31" spans="2:13">
      <c r="B31" s="29" t="s">
        <v>30</v>
      </c>
      <c r="C31" s="327">
        <f>BS!G27</f>
        <v>5728144421.2400007</v>
      </c>
      <c r="D31" s="339">
        <v>5532519580</v>
      </c>
      <c r="E31" s="339">
        <v>5271499220</v>
      </c>
      <c r="F31" s="339">
        <v>4796138023</v>
      </c>
      <c r="G31" s="339">
        <v>4207884703</v>
      </c>
      <c r="H31" s="339">
        <v>3654994884</v>
      </c>
      <c r="I31" s="339">
        <v>3359220783</v>
      </c>
      <c r="J31" s="339">
        <v>3131686328</v>
      </c>
      <c r="K31" s="339">
        <v>3031482304</v>
      </c>
      <c r="L31" s="339">
        <v>2931250841</v>
      </c>
      <c r="M31" s="339"/>
    </row>
    <row r="32" spans="2:13">
      <c r="B32" s="26" t="s">
        <v>173</v>
      </c>
      <c r="C32" s="326">
        <f>BS!G28</f>
        <v>2154785.64</v>
      </c>
      <c r="D32" s="337">
        <v>3206458</v>
      </c>
      <c r="E32" s="337">
        <v>2776011</v>
      </c>
      <c r="F32" s="337">
        <v>1702867</v>
      </c>
      <c r="G32" s="339">
        <v>638758</v>
      </c>
      <c r="H32" s="339">
        <v>703065</v>
      </c>
      <c r="I32" s="339">
        <v>33066516</v>
      </c>
      <c r="J32" s="339">
        <v>68702668</v>
      </c>
      <c r="K32" s="339">
        <v>82250087</v>
      </c>
      <c r="L32" s="339">
        <v>77231819</v>
      </c>
      <c r="M32" s="339"/>
    </row>
    <row r="34" spans="2:13" ht="13.9">
      <c r="B34" s="36" t="s">
        <v>82</v>
      </c>
      <c r="C34" s="37"/>
      <c r="D34" s="37"/>
      <c r="E34" s="37"/>
      <c r="F34" s="37"/>
      <c r="G34" s="37"/>
      <c r="H34" s="37"/>
      <c r="I34" s="37"/>
      <c r="J34" s="37"/>
      <c r="K34" s="37"/>
      <c r="L34" s="37"/>
      <c r="M34" s="37"/>
    </row>
    <row r="35" spans="2:13">
      <c r="B35" s="16" t="s">
        <v>27</v>
      </c>
    </row>
    <row r="36" spans="2:13">
      <c r="B36" s="32" t="s">
        <v>2</v>
      </c>
      <c r="C36" s="326">
        <f t="shared" ref="C36:M36" si="1">IF(C$4="","",C4)</f>
        <v>7131364079</v>
      </c>
      <c r="D36" s="326">
        <f t="shared" si="1"/>
        <v>6805627279</v>
      </c>
      <c r="E36" s="326">
        <f t="shared" si="1"/>
        <v>6883365208</v>
      </c>
      <c r="F36" s="326">
        <f t="shared" si="1"/>
        <v>5985026032</v>
      </c>
      <c r="G36" s="326">
        <f t="shared" si="1"/>
        <v>5289304050</v>
      </c>
      <c r="H36" s="326">
        <f t="shared" si="1"/>
        <v>4837252294</v>
      </c>
      <c r="I36" s="326">
        <f t="shared" si="1"/>
        <v>4197045559</v>
      </c>
      <c r="J36" s="326">
        <f t="shared" si="1"/>
        <v>3602738165</v>
      </c>
      <c r="K36" s="326">
        <f t="shared" si="1"/>
        <v>3513011838</v>
      </c>
      <c r="L36" s="326">
        <f t="shared" si="1"/>
        <v>3311372570</v>
      </c>
      <c r="M36" s="326" t="str">
        <f t="shared" si="1"/>
        <v/>
      </c>
    </row>
    <row r="37" spans="2:13">
      <c r="B37" s="40" t="s">
        <v>43</v>
      </c>
      <c r="C37" s="326">
        <f t="shared" ref="C37:M37" si="2">IF(C$4="","",-C5)</f>
        <v>-5145338820</v>
      </c>
      <c r="D37" s="326">
        <f t="shared" si="2"/>
        <v>-5036852503</v>
      </c>
      <c r="E37" s="326">
        <f t="shared" si="2"/>
        <v>-4741732369</v>
      </c>
      <c r="F37" s="326">
        <f t="shared" si="2"/>
        <v>-4125460517</v>
      </c>
      <c r="G37" s="326">
        <f t="shared" si="2"/>
        <v>-3648371932</v>
      </c>
      <c r="H37" s="326">
        <f t="shared" si="2"/>
        <v>-3274676386</v>
      </c>
      <c r="I37" s="326">
        <f t="shared" si="2"/>
        <v>-2935100815</v>
      </c>
      <c r="J37" s="326">
        <f t="shared" si="2"/>
        <v>-2568541074</v>
      </c>
      <c r="K37" s="326">
        <f t="shared" si="2"/>
        <v>-2462409261</v>
      </c>
      <c r="L37" s="326">
        <f t="shared" si="2"/>
        <v>-2258759022</v>
      </c>
      <c r="M37" s="326" t="str">
        <f t="shared" si="2"/>
        <v/>
      </c>
    </row>
    <row r="38" spans="2:13">
      <c r="B38" s="31" t="s">
        <v>58</v>
      </c>
      <c r="C38" s="322">
        <f>IF(C36="","",C36+C37)</f>
        <v>1986025259</v>
      </c>
      <c r="D38" s="322">
        <f t="shared" ref="D38" si="3">IF(D36="","",D36+D37)</f>
        <v>1768774776</v>
      </c>
      <c r="E38" s="322">
        <f t="shared" ref="E38" si="4">IF(E36="","",E36+E37)</f>
        <v>2141632839</v>
      </c>
      <c r="F38" s="322">
        <f t="shared" ref="F38" si="5">IF(F36="","",F36+F37)</f>
        <v>1859565515</v>
      </c>
      <c r="G38" s="322">
        <f t="shared" ref="G38" si="6">IF(G36="","",G36+G37)</f>
        <v>1640932118</v>
      </c>
      <c r="H38" s="322">
        <f t="shared" ref="H38" si="7">IF(H36="","",H36+H37)</f>
        <v>1562575908</v>
      </c>
      <c r="I38" s="322">
        <f t="shared" ref="I38" si="8">IF(I36="","",I36+I37)</f>
        <v>1261944744</v>
      </c>
      <c r="J38" s="322">
        <f t="shared" ref="J38" si="9">IF(J36="","",J36+J37)</f>
        <v>1034197091</v>
      </c>
      <c r="K38" s="322">
        <f t="shared" ref="K38" si="10">IF(K36="","",K36+K37)</f>
        <v>1050602577</v>
      </c>
      <c r="L38" s="322">
        <f t="shared" ref="L38" si="11">IF(L36="","",L36+L37)</f>
        <v>1052613548</v>
      </c>
      <c r="M38" s="322" t="str">
        <f t="shared" ref="M38" si="12">IF(M36="","",M36+M37)</f>
        <v/>
      </c>
    </row>
    <row r="39" spans="2:13">
      <c r="B39" s="40" t="s">
        <v>54</v>
      </c>
      <c r="C39" s="326">
        <f t="shared" ref="C39:M39" si="13">IF(C$4="","",-C6)</f>
        <v>-1020355341</v>
      </c>
      <c r="D39" s="326">
        <f t="shared" si="13"/>
        <v>-905855866</v>
      </c>
      <c r="E39" s="326">
        <f t="shared" si="13"/>
        <v>-1042555140</v>
      </c>
      <c r="F39" s="326">
        <f t="shared" si="13"/>
        <v>-870066331</v>
      </c>
      <c r="G39" s="326">
        <f t="shared" si="13"/>
        <v>-759567420</v>
      </c>
      <c r="H39" s="326">
        <f t="shared" si="13"/>
        <v>-914353673</v>
      </c>
      <c r="I39" s="326">
        <f t="shared" si="13"/>
        <v>-786040676</v>
      </c>
      <c r="J39" s="326">
        <f t="shared" si="13"/>
        <v>-698786559</v>
      </c>
      <c r="K39" s="326">
        <f t="shared" si="13"/>
        <v>-653103605</v>
      </c>
      <c r="L39" s="326">
        <f t="shared" si="13"/>
        <v>-647456178</v>
      </c>
      <c r="M39" s="326" t="str">
        <f t="shared" si="13"/>
        <v/>
      </c>
    </row>
    <row r="40" spans="2:13">
      <c r="B40" s="69" t="s">
        <v>61</v>
      </c>
      <c r="C40" s="336">
        <f t="shared" ref="C40:M40" si="14">IF(C$4="","",-C7)</f>
        <v>-712355118</v>
      </c>
      <c r="D40" s="336">
        <f t="shared" si="14"/>
        <v>-616499772</v>
      </c>
      <c r="E40" s="336">
        <f t="shared" si="14"/>
        <v>-700587939</v>
      </c>
      <c r="F40" s="336">
        <f t="shared" si="14"/>
        <v>-604192141</v>
      </c>
      <c r="G40" s="336">
        <f t="shared" si="14"/>
        <v>-516475958</v>
      </c>
      <c r="H40" s="336">
        <f t="shared" si="14"/>
        <v>-666000728</v>
      </c>
      <c r="I40" s="336">
        <f t="shared" si="14"/>
        <v>-569962537</v>
      </c>
      <c r="J40" s="336">
        <f t="shared" si="14"/>
        <v>-488865088</v>
      </c>
      <c r="K40" s="336">
        <f t="shared" si="14"/>
        <v>-450745526</v>
      </c>
      <c r="L40" s="336">
        <f t="shared" si="14"/>
        <v>-432888482</v>
      </c>
      <c r="M40" s="336" t="str">
        <f t="shared" si="14"/>
        <v/>
      </c>
    </row>
    <row r="41" spans="2:13">
      <c r="B41" s="69" t="s">
        <v>64</v>
      </c>
      <c r="C41" s="336">
        <f>IF(C$4="","",C39-C40)</f>
        <v>-308000223</v>
      </c>
      <c r="D41" s="336">
        <f t="shared" ref="D41:M41" si="15">IF(D$4="","",D39-D40)</f>
        <v>-289356094</v>
      </c>
      <c r="E41" s="336">
        <f t="shared" si="15"/>
        <v>-341967201</v>
      </c>
      <c r="F41" s="336">
        <f t="shared" si="15"/>
        <v>-265874190</v>
      </c>
      <c r="G41" s="336">
        <f t="shared" si="15"/>
        <v>-243091462</v>
      </c>
      <c r="H41" s="336">
        <f t="shared" si="15"/>
        <v>-248352945</v>
      </c>
      <c r="I41" s="336">
        <f t="shared" si="15"/>
        <v>-216078139</v>
      </c>
      <c r="J41" s="336">
        <f t="shared" si="15"/>
        <v>-209921471</v>
      </c>
      <c r="K41" s="336">
        <f t="shared" si="15"/>
        <v>-202358079</v>
      </c>
      <c r="L41" s="336">
        <f t="shared" si="15"/>
        <v>-214567696</v>
      </c>
      <c r="M41" s="336" t="str">
        <f t="shared" si="15"/>
        <v/>
      </c>
    </row>
    <row r="42" spans="2:13">
      <c r="B42" s="40" t="s">
        <v>49</v>
      </c>
      <c r="C42" s="326">
        <f t="shared" ref="C42:M42" si="16">IF(C$4="","",-C8)</f>
        <v>-75683892</v>
      </c>
      <c r="D42" s="326">
        <f t="shared" si="16"/>
        <v>-64604520</v>
      </c>
      <c r="E42" s="326">
        <f t="shared" si="16"/>
        <v>-53560452</v>
      </c>
      <c r="F42" s="326">
        <f t="shared" si="16"/>
        <v>-45085492</v>
      </c>
      <c r="G42" s="326">
        <f t="shared" si="16"/>
        <v>-36242796</v>
      </c>
      <c r="H42" s="326">
        <f t="shared" si="16"/>
        <v>-30636524</v>
      </c>
      <c r="I42" s="326">
        <f t="shared" si="16"/>
        <v>-25189552</v>
      </c>
      <c r="J42" s="326">
        <f t="shared" si="16"/>
        <v>0</v>
      </c>
      <c r="K42" s="326">
        <f t="shared" si="16"/>
        <v>0</v>
      </c>
      <c r="L42" s="326">
        <f t="shared" si="16"/>
        <v>0</v>
      </c>
      <c r="M42" s="326" t="str">
        <f t="shared" si="16"/>
        <v/>
      </c>
    </row>
    <row r="43" spans="2:13">
      <c r="B43" s="43" t="s">
        <v>153</v>
      </c>
      <c r="C43" s="327">
        <f>IF(C$4="","",C38+C39+C42)</f>
        <v>889986026</v>
      </c>
      <c r="D43" s="327">
        <f t="shared" ref="D43:M43" si="17">IF(D$4="","",D38+D39+D42)</f>
        <v>798314390</v>
      </c>
      <c r="E43" s="327">
        <f t="shared" si="17"/>
        <v>1045517247</v>
      </c>
      <c r="F43" s="327">
        <f t="shared" si="17"/>
        <v>944413692</v>
      </c>
      <c r="G43" s="327">
        <f t="shared" si="17"/>
        <v>845121902</v>
      </c>
      <c r="H43" s="327">
        <f t="shared" si="17"/>
        <v>617585711</v>
      </c>
      <c r="I43" s="327">
        <f t="shared" si="17"/>
        <v>450714516</v>
      </c>
      <c r="J43" s="327">
        <f t="shared" si="17"/>
        <v>335410532</v>
      </c>
      <c r="K43" s="327">
        <f t="shared" si="17"/>
        <v>397498972</v>
      </c>
      <c r="L43" s="327">
        <f t="shared" si="17"/>
        <v>405157370</v>
      </c>
      <c r="M43" s="327" t="str">
        <f t="shared" si="17"/>
        <v/>
      </c>
    </row>
    <row r="44" spans="2:13">
      <c r="B44" s="43" t="s">
        <v>169</v>
      </c>
      <c r="C44" s="340">
        <f t="shared" ref="C44:M44" si="18">IF(C$4="","",C47-C46-C45-C43)</f>
        <v>109561692</v>
      </c>
      <c r="D44" s="340">
        <f t="shared" si="18"/>
        <v>117685283</v>
      </c>
      <c r="E44" s="340">
        <f t="shared" si="18"/>
        <v>153310521</v>
      </c>
      <c r="F44" s="340">
        <f t="shared" si="18"/>
        <v>157800049</v>
      </c>
      <c r="G44" s="340">
        <f t="shared" si="18"/>
        <v>122773789</v>
      </c>
      <c r="H44" s="340">
        <f t="shared" si="18"/>
        <v>133918046</v>
      </c>
      <c r="I44" s="340">
        <f t="shared" si="18"/>
        <v>117943355</v>
      </c>
      <c r="J44" s="340">
        <f t="shared" si="18"/>
        <v>81735796</v>
      </c>
      <c r="K44" s="340">
        <f t="shared" si="18"/>
        <v>72369405</v>
      </c>
      <c r="L44" s="340">
        <f t="shared" si="18"/>
        <v>69088877</v>
      </c>
      <c r="M44" s="340" t="str">
        <f t="shared" si="18"/>
        <v/>
      </c>
    </row>
    <row r="45" spans="2:13">
      <c r="B45" s="40" t="s">
        <v>68</v>
      </c>
      <c r="C45" s="341">
        <f t="shared" ref="C45:M45" si="19">IF(C$4="","",C51+C52)</f>
        <v>79892018</v>
      </c>
      <c r="D45" s="341">
        <f t="shared" si="19"/>
        <v>78466706</v>
      </c>
      <c r="E45" s="341">
        <f t="shared" si="19"/>
        <v>21803121</v>
      </c>
      <c r="F45" s="341">
        <f t="shared" si="19"/>
        <v>24743292</v>
      </c>
      <c r="G45" s="341">
        <f t="shared" si="19"/>
        <v>29256412</v>
      </c>
      <c r="H45" s="341">
        <f t="shared" si="19"/>
        <v>14468386</v>
      </c>
      <c r="I45" s="341">
        <f t="shared" si="19"/>
        <v>3912706</v>
      </c>
      <c r="J45" s="341">
        <f t="shared" si="19"/>
        <v>0</v>
      </c>
      <c r="K45" s="341">
        <f t="shared" si="19"/>
        <v>0</v>
      </c>
      <c r="L45" s="341">
        <f t="shared" si="19"/>
        <v>0</v>
      </c>
      <c r="M45" s="341" t="str">
        <f t="shared" si="19"/>
        <v/>
      </c>
    </row>
    <row r="46" spans="2:13">
      <c r="B46" s="40" t="s">
        <v>50</v>
      </c>
      <c r="C46" s="326">
        <f t="shared" ref="C46:M46" si="20">IF(C$4="","",-C14)</f>
        <v>-229311604</v>
      </c>
      <c r="D46" s="326">
        <f t="shared" si="20"/>
        <v>-191295542</v>
      </c>
      <c r="E46" s="326">
        <f t="shared" si="20"/>
        <v>-242188379</v>
      </c>
      <c r="F46" s="326">
        <f t="shared" si="20"/>
        <v>-197232207</v>
      </c>
      <c r="G46" s="326">
        <f t="shared" si="20"/>
        <v>-192105224</v>
      </c>
      <c r="H46" s="326">
        <f t="shared" si="20"/>
        <v>-162495080</v>
      </c>
      <c r="I46" s="326">
        <f t="shared" si="20"/>
        <v>-131000165</v>
      </c>
      <c r="J46" s="326">
        <f t="shared" si="20"/>
        <v>-95459293</v>
      </c>
      <c r="K46" s="326">
        <f t="shared" si="20"/>
        <v>-110832660</v>
      </c>
      <c r="L46" s="326">
        <f t="shared" si="20"/>
        <v>-109092609</v>
      </c>
      <c r="M46" s="326" t="str">
        <f t="shared" si="20"/>
        <v/>
      </c>
    </row>
    <row r="47" spans="2:13">
      <c r="B47" s="43" t="s">
        <v>42</v>
      </c>
      <c r="C47" s="327">
        <f t="shared" ref="C47:M47" si="21">IF(C$4="","",C15)</f>
        <v>850128132</v>
      </c>
      <c r="D47" s="327">
        <f t="shared" si="21"/>
        <v>803170837</v>
      </c>
      <c r="E47" s="327">
        <f t="shared" si="21"/>
        <v>978442510</v>
      </c>
      <c r="F47" s="327">
        <f t="shared" si="21"/>
        <v>929724826</v>
      </c>
      <c r="G47" s="327">
        <f t="shared" si="21"/>
        <v>805046879</v>
      </c>
      <c r="H47" s="327">
        <f t="shared" si="21"/>
        <v>603477063</v>
      </c>
      <c r="I47" s="327">
        <f t="shared" si="21"/>
        <v>441570412</v>
      </c>
      <c r="J47" s="327">
        <f t="shared" si="21"/>
        <v>321687035</v>
      </c>
      <c r="K47" s="327">
        <f t="shared" si="21"/>
        <v>359035717</v>
      </c>
      <c r="L47" s="327">
        <f t="shared" si="21"/>
        <v>365153638</v>
      </c>
      <c r="M47" s="327" t="str">
        <f t="shared" si="21"/>
        <v/>
      </c>
    </row>
    <row r="48" spans="2:13">
      <c r="B48" s="28" t="s">
        <v>44</v>
      </c>
      <c r="C48" s="326">
        <f t="shared" ref="C48:M48" si="22">IF(C$4="","",MIN(-C16,0))</f>
        <v>-647365</v>
      </c>
      <c r="D48" s="326">
        <f t="shared" si="22"/>
        <v>-431576</v>
      </c>
      <c r="E48" s="326">
        <f t="shared" si="22"/>
        <v>-2442951</v>
      </c>
      <c r="F48" s="326">
        <f t="shared" si="22"/>
        <v>-1064169</v>
      </c>
      <c r="G48" s="326">
        <f t="shared" si="22"/>
        <v>0</v>
      </c>
      <c r="H48" s="326">
        <f t="shared" si="22"/>
        <v>0</v>
      </c>
      <c r="I48" s="326">
        <f t="shared" si="22"/>
        <v>-8761899</v>
      </c>
      <c r="J48" s="326">
        <f t="shared" si="22"/>
        <v>-2464891</v>
      </c>
      <c r="K48" s="326">
        <f t="shared" si="22"/>
        <v>-5326102</v>
      </c>
      <c r="L48" s="326">
        <f t="shared" si="22"/>
        <v>-1211794</v>
      </c>
      <c r="M48" s="326" t="str">
        <f t="shared" si="22"/>
        <v/>
      </c>
    </row>
    <row r="50" spans="2:13">
      <c r="B50" s="16" t="s">
        <v>68</v>
      </c>
    </row>
    <row r="51" spans="2:13">
      <c r="B51" s="40" t="s">
        <v>39</v>
      </c>
      <c r="C51" s="326">
        <f t="shared" ref="C51:M51" si="23">IF(C$4="","",-C12)</f>
        <v>-59672121</v>
      </c>
      <c r="D51" s="326">
        <f t="shared" si="23"/>
        <v>-55482330</v>
      </c>
      <c r="E51" s="326">
        <f t="shared" si="23"/>
        <v>-54113032</v>
      </c>
      <c r="F51" s="326">
        <f t="shared" si="23"/>
        <v>-57135193</v>
      </c>
      <c r="G51" s="326">
        <f t="shared" si="23"/>
        <v>-20257228</v>
      </c>
      <c r="H51" s="326">
        <f t="shared" si="23"/>
        <v>-14761326</v>
      </c>
      <c r="I51" s="326">
        <f t="shared" si="23"/>
        <v>-33195116</v>
      </c>
      <c r="J51" s="326">
        <f t="shared" si="23"/>
        <v>0</v>
      </c>
      <c r="K51" s="326">
        <f t="shared" si="23"/>
        <v>0</v>
      </c>
      <c r="L51" s="326">
        <f t="shared" si="23"/>
        <v>0</v>
      </c>
      <c r="M51" s="326" t="str">
        <f t="shared" si="23"/>
        <v/>
      </c>
    </row>
    <row r="52" spans="2:13">
      <c r="B52" s="40" t="s">
        <v>67</v>
      </c>
      <c r="C52" s="326">
        <f t="shared" ref="C52:M52" si="24">IF(C$4="","",C13)</f>
        <v>139564139</v>
      </c>
      <c r="D52" s="326">
        <f t="shared" si="24"/>
        <v>133949036</v>
      </c>
      <c r="E52" s="326">
        <f t="shared" si="24"/>
        <v>75916153</v>
      </c>
      <c r="F52" s="326">
        <f t="shared" si="24"/>
        <v>81878485</v>
      </c>
      <c r="G52" s="326">
        <f t="shared" si="24"/>
        <v>49513640</v>
      </c>
      <c r="H52" s="326">
        <f t="shared" si="24"/>
        <v>29229712</v>
      </c>
      <c r="I52" s="326">
        <f t="shared" si="24"/>
        <v>37107822</v>
      </c>
      <c r="J52" s="326">
        <f t="shared" si="24"/>
        <v>0</v>
      </c>
      <c r="K52" s="326">
        <f t="shared" si="24"/>
        <v>0</v>
      </c>
      <c r="L52" s="326">
        <f t="shared" si="24"/>
        <v>0</v>
      </c>
      <c r="M52" s="326" t="str">
        <f t="shared" si="24"/>
        <v/>
      </c>
    </row>
    <row r="54" spans="2:13">
      <c r="B54" s="174" t="s">
        <v>169</v>
      </c>
    </row>
    <row r="55" spans="2:13">
      <c r="B55" s="40" t="s">
        <v>160</v>
      </c>
      <c r="C55" s="341">
        <f t="shared" ref="C55:M55" si="25">IF(C$4="","",C9)</f>
        <v>0</v>
      </c>
      <c r="D55" s="341">
        <f t="shared" si="25"/>
        <v>0</v>
      </c>
      <c r="E55" s="341">
        <f t="shared" si="25"/>
        <v>0</v>
      </c>
      <c r="F55" s="341">
        <f t="shared" si="25"/>
        <v>0</v>
      </c>
      <c r="G55" s="341">
        <f t="shared" si="25"/>
        <v>0</v>
      </c>
      <c r="H55" s="341">
        <f t="shared" si="25"/>
        <v>0</v>
      </c>
      <c r="I55" s="341">
        <f t="shared" si="25"/>
        <v>0</v>
      </c>
      <c r="J55" s="341">
        <f t="shared" si="25"/>
        <v>0</v>
      </c>
      <c r="K55" s="341">
        <f t="shared" si="25"/>
        <v>0</v>
      </c>
      <c r="L55" s="341">
        <f t="shared" si="25"/>
        <v>0</v>
      </c>
      <c r="M55" s="341" t="str">
        <f t="shared" si="25"/>
        <v/>
      </c>
    </row>
    <row r="56" spans="2:13">
      <c r="B56" s="40" t="s">
        <v>168</v>
      </c>
      <c r="C56" s="341">
        <f t="shared" ref="C56:M56" si="26">IF(C$4="","",C10)</f>
        <v>0</v>
      </c>
      <c r="D56" s="341">
        <f t="shared" si="26"/>
        <v>0</v>
      </c>
      <c r="E56" s="341">
        <f t="shared" si="26"/>
        <v>0</v>
      </c>
      <c r="F56" s="341">
        <f t="shared" si="26"/>
        <v>0</v>
      </c>
      <c r="G56" s="341">
        <f t="shared" si="26"/>
        <v>0</v>
      </c>
      <c r="H56" s="341">
        <f t="shared" si="26"/>
        <v>0</v>
      </c>
      <c r="I56" s="341">
        <f t="shared" si="26"/>
        <v>0</v>
      </c>
      <c r="J56" s="341">
        <f t="shared" si="26"/>
        <v>0</v>
      </c>
      <c r="K56" s="341">
        <f t="shared" si="26"/>
        <v>0</v>
      </c>
      <c r="L56" s="341">
        <f t="shared" si="26"/>
        <v>0</v>
      </c>
      <c r="M56" s="341" t="str">
        <f t="shared" si="26"/>
        <v/>
      </c>
    </row>
    <row r="57" spans="2:13">
      <c r="B57" s="40" t="s">
        <v>159</v>
      </c>
      <c r="C57" s="341">
        <f t="shared" ref="C57:M57" si="27">IF(C$4="","",C11)</f>
        <v>0</v>
      </c>
      <c r="D57" s="341">
        <f t="shared" si="27"/>
        <v>0</v>
      </c>
      <c r="E57" s="341">
        <f t="shared" si="27"/>
        <v>0</v>
      </c>
      <c r="F57" s="341">
        <f t="shared" si="27"/>
        <v>0</v>
      </c>
      <c r="G57" s="341">
        <f t="shared" si="27"/>
        <v>0</v>
      </c>
      <c r="H57" s="341">
        <f t="shared" si="27"/>
        <v>0</v>
      </c>
      <c r="I57" s="341">
        <f t="shared" si="27"/>
        <v>0</v>
      </c>
      <c r="J57" s="341">
        <f t="shared" si="27"/>
        <v>0</v>
      </c>
      <c r="K57" s="341">
        <f t="shared" si="27"/>
        <v>0</v>
      </c>
      <c r="L57" s="341">
        <f t="shared" si="27"/>
        <v>0</v>
      </c>
      <c r="M57" s="341" t="str">
        <f t="shared" si="27"/>
        <v/>
      </c>
    </row>
    <row r="58" spans="2:13">
      <c r="B58" s="40" t="s">
        <v>161</v>
      </c>
      <c r="C58" s="341">
        <f>IF(C$4="","",C44-C55-C56-C57)</f>
        <v>109561692</v>
      </c>
      <c r="D58" s="341">
        <f t="shared" ref="D58:M58" si="28">IF(D$4="","",D44-D55-D56-D57)</f>
        <v>117685283</v>
      </c>
      <c r="E58" s="341">
        <f t="shared" si="28"/>
        <v>153310521</v>
      </c>
      <c r="F58" s="341">
        <f t="shared" si="28"/>
        <v>157800049</v>
      </c>
      <c r="G58" s="341">
        <f t="shared" si="28"/>
        <v>122773789</v>
      </c>
      <c r="H58" s="341">
        <f t="shared" si="28"/>
        <v>133918046</v>
      </c>
      <c r="I58" s="341">
        <f t="shared" si="28"/>
        <v>117943355</v>
      </c>
      <c r="J58" s="341">
        <f t="shared" si="28"/>
        <v>81735796</v>
      </c>
      <c r="K58" s="341">
        <f t="shared" si="28"/>
        <v>72369405</v>
      </c>
      <c r="L58" s="341">
        <f t="shared" si="28"/>
        <v>69088877</v>
      </c>
      <c r="M58" s="341" t="str">
        <f t="shared" si="28"/>
        <v/>
      </c>
    </row>
    <row r="60" spans="2:13">
      <c r="B60" s="16" t="s">
        <v>51</v>
      </c>
      <c r="C60" s="9"/>
    </row>
    <row r="61" spans="2:13">
      <c r="B61" s="27" t="s">
        <v>47</v>
      </c>
      <c r="C61" s="326">
        <f>IF(C$4="","",-C19)</f>
        <v>0</v>
      </c>
      <c r="D61" s="326">
        <f t="shared" ref="D61:M61" si="29">IF(D$4="","",-D19)</f>
        <v>0</v>
      </c>
      <c r="E61" s="326">
        <f t="shared" si="29"/>
        <v>0</v>
      </c>
      <c r="F61" s="326">
        <f t="shared" si="29"/>
        <v>0</v>
      </c>
      <c r="G61" s="326">
        <f t="shared" si="29"/>
        <v>0</v>
      </c>
      <c r="H61" s="326">
        <f t="shared" si="29"/>
        <v>0</v>
      </c>
      <c r="I61" s="326">
        <f t="shared" si="29"/>
        <v>0</v>
      </c>
      <c r="J61" s="326">
        <f t="shared" si="29"/>
        <v>0</v>
      </c>
      <c r="K61" s="326">
        <f t="shared" si="29"/>
        <v>0</v>
      </c>
      <c r="L61" s="326">
        <f t="shared" si="29"/>
        <v>0</v>
      </c>
      <c r="M61" s="326" t="str">
        <f t="shared" si="29"/>
        <v/>
      </c>
    </row>
    <row r="62" spans="2:13">
      <c r="B62" s="27" t="s">
        <v>53</v>
      </c>
      <c r="C62" s="326">
        <f>IF(C$4="","",IF(C20=0,C61,-C20))</f>
        <v>0</v>
      </c>
      <c r="D62" s="326">
        <f t="shared" ref="D62:M62" si="30">IF(D$4="","",IF(D20=0,D61,-D20))</f>
        <v>0</v>
      </c>
      <c r="E62" s="326">
        <f t="shared" si="30"/>
        <v>0</v>
      </c>
      <c r="F62" s="326">
        <f t="shared" si="30"/>
        <v>0</v>
      </c>
      <c r="G62" s="326">
        <f t="shared" si="30"/>
        <v>0</v>
      </c>
      <c r="H62" s="326">
        <f t="shared" si="30"/>
        <v>0</v>
      </c>
      <c r="I62" s="326">
        <f t="shared" si="30"/>
        <v>0</v>
      </c>
      <c r="J62" s="326">
        <f t="shared" si="30"/>
        <v>0</v>
      </c>
      <c r="K62" s="326">
        <f t="shared" si="30"/>
        <v>0</v>
      </c>
      <c r="L62" s="326">
        <f t="shared" si="30"/>
        <v>0</v>
      </c>
      <c r="M62" s="326" t="str">
        <f t="shared" si="30"/>
        <v/>
      </c>
    </row>
    <row r="63" spans="2:13">
      <c r="B63" s="27" t="s">
        <v>52</v>
      </c>
      <c r="C63" s="326">
        <f>IF(C$4="","",-C21)</f>
        <v>0</v>
      </c>
      <c r="D63" s="326">
        <f t="shared" ref="D63:M63" si="31">IF(D$4="","",-D21)</f>
        <v>0</v>
      </c>
      <c r="E63" s="326">
        <f t="shared" si="31"/>
        <v>0</v>
      </c>
      <c r="F63" s="326">
        <f t="shared" si="31"/>
        <v>0</v>
      </c>
      <c r="G63" s="326">
        <f t="shared" si="31"/>
        <v>0</v>
      </c>
      <c r="H63" s="326">
        <f t="shared" si="31"/>
        <v>0</v>
      </c>
      <c r="I63" s="326">
        <f t="shared" si="31"/>
        <v>0</v>
      </c>
      <c r="J63" s="326">
        <f t="shared" si="31"/>
        <v>0</v>
      </c>
      <c r="K63" s="326">
        <f t="shared" si="31"/>
        <v>0</v>
      </c>
      <c r="L63" s="326">
        <f t="shared" si="31"/>
        <v>0</v>
      </c>
      <c r="M63" s="326" t="str">
        <f t="shared" si="31"/>
        <v/>
      </c>
    </row>
    <row r="64" spans="2:13">
      <c r="B64" s="27" t="s">
        <v>394</v>
      </c>
      <c r="C64" s="326">
        <f>IF(C$4="","",C22+C23+C24)</f>
        <v>21394722</v>
      </c>
      <c r="D64" s="326">
        <f t="shared" ref="D64:M64" si="32">IF(D$4="","",D22+D23+D24)</f>
        <v>1328065848</v>
      </c>
      <c r="E64" s="326">
        <f t="shared" si="32"/>
        <v>1312904562</v>
      </c>
      <c r="F64" s="326">
        <f t="shared" si="32"/>
        <v>525709478</v>
      </c>
      <c r="G64" s="326">
        <f t="shared" si="32"/>
        <v>935898699</v>
      </c>
      <c r="H64" s="326">
        <f t="shared" si="32"/>
        <v>-141294423</v>
      </c>
      <c r="I64" s="326">
        <f t="shared" si="32"/>
        <v>130625698</v>
      </c>
      <c r="J64" s="326">
        <f t="shared" si="32"/>
        <v>26067427</v>
      </c>
      <c r="K64" s="326">
        <f t="shared" si="32"/>
        <v>-41508056</v>
      </c>
      <c r="L64" s="326">
        <f t="shared" si="32"/>
        <v>-123813482</v>
      </c>
      <c r="M64" s="326" t="str">
        <f t="shared" si="32"/>
        <v/>
      </c>
    </row>
    <row r="65" spans="2:13">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4.7862862106057502E-2</v>
      </c>
      <c r="D68" s="92">
        <f t="shared" si="34"/>
        <v>-1.1293593562295867E-2</v>
      </c>
      <c r="E68" s="92">
        <f t="shared" si="34"/>
        <v>0.15009778924884709</v>
      </c>
      <c r="F68" s="92">
        <f t="shared" si="34"/>
        <v>0.13153374724222933</v>
      </c>
      <c r="G68" s="92">
        <f t="shared" si="34"/>
        <v>9.3452176674909682E-2</v>
      </c>
      <c r="H68" s="92">
        <f t="shared" si="34"/>
        <v>0.15253747570768272</v>
      </c>
      <c r="I68" s="92">
        <f t="shared" si="34"/>
        <v>0.16495991847911595</v>
      </c>
      <c r="J68" s="92">
        <f t="shared" si="34"/>
        <v>2.5541139949896152E-2</v>
      </c>
      <c r="K68" s="92">
        <f t="shared" si="34"/>
        <v>6.0892957146166049E-2</v>
      </c>
      <c r="L68" s="92" t="str">
        <f t="shared" si="34"/>
        <v/>
      </c>
      <c r="M68" s="92" t="str">
        <f t="shared" si="34"/>
        <v/>
      </c>
    </row>
    <row r="69" spans="2:13">
      <c r="B69" s="31" t="s">
        <v>58</v>
      </c>
      <c r="C69" s="92">
        <f>IF(D$36="","",C38/D38-1)</f>
        <v>0.12282540770470596</v>
      </c>
      <c r="D69" s="92">
        <f t="shared" ref="D69:M69" si="35">IF(E$36="","",D38/E38-1)</f>
        <v>-0.17409989995021735</v>
      </c>
      <c r="E69" s="92">
        <f t="shared" si="35"/>
        <v>0.15168453153423855</v>
      </c>
      <c r="F69" s="92">
        <f t="shared" si="35"/>
        <v>0.13323731957082696</v>
      </c>
      <c r="G69" s="92">
        <f t="shared" si="35"/>
        <v>5.0145538273587587E-2</v>
      </c>
      <c r="H69" s="92">
        <f t="shared" si="35"/>
        <v>0.23822846874189296</v>
      </c>
      <c r="I69" s="92">
        <f t="shared" si="35"/>
        <v>0.22021687643675647</v>
      </c>
      <c r="J69" s="92">
        <f t="shared" si="35"/>
        <v>-1.5615311021648148E-2</v>
      </c>
      <c r="K69" s="92">
        <f t="shared" si="35"/>
        <v>-1.9104551749509202E-3</v>
      </c>
      <c r="L69" s="92" t="str">
        <f t="shared" si="35"/>
        <v/>
      </c>
      <c r="M69" s="92" t="str">
        <f t="shared" si="35"/>
        <v/>
      </c>
    </row>
    <row r="70" spans="2:13">
      <c r="B70" s="80" t="str">
        <f>B43</f>
        <v>Operating EBIT</v>
      </c>
      <c r="C70" s="101">
        <f>IF(D$36="","",C43/D43-1)</f>
        <v>0.11483149639830503</v>
      </c>
      <c r="D70" s="101">
        <f t="shared" ref="D70:M70" si="36">IF(E$36="","",D43/E43-1)</f>
        <v>-0.23644072607058586</v>
      </c>
      <c r="E70" s="101">
        <f t="shared" si="36"/>
        <v>0.10705430878060596</v>
      </c>
      <c r="F70" s="101">
        <f t="shared" si="36"/>
        <v>0.11748812776597517</v>
      </c>
      <c r="G70" s="101">
        <f t="shared" si="36"/>
        <v>0.36842852246625246</v>
      </c>
      <c r="H70" s="101">
        <f t="shared" si="36"/>
        <v>0.37023701051598712</v>
      </c>
      <c r="I70" s="101">
        <f t="shared" si="36"/>
        <v>0.34376971800038758</v>
      </c>
      <c r="J70" s="101">
        <f t="shared" si="36"/>
        <v>-0.15619773728622377</v>
      </c>
      <c r="K70" s="101">
        <f t="shared" si="36"/>
        <v>-1.8902279872139549E-2</v>
      </c>
      <c r="L70" s="101" t="str">
        <f t="shared" si="36"/>
        <v/>
      </c>
      <c r="M70" s="101" t="str">
        <f t="shared" si="36"/>
        <v/>
      </c>
    </row>
    <row r="71" spans="2:13">
      <c r="B71" s="43" t="s">
        <v>169</v>
      </c>
      <c r="C71" s="101">
        <f>IF(D$36="","",C44/D44-1)</f>
        <v>-6.9028095891990215E-2</v>
      </c>
      <c r="D71" s="101">
        <f t="shared" ref="D71:M71" si="37">IF(E$36="","",D44/E44-1)</f>
        <v>-0.23237308025324632</v>
      </c>
      <c r="E71" s="101">
        <f t="shared" si="37"/>
        <v>-2.8450738947489174E-2</v>
      </c>
      <c r="F71" s="101">
        <f t="shared" si="37"/>
        <v>0.28529102412893681</v>
      </c>
      <c r="G71" s="101">
        <f t="shared" si="37"/>
        <v>-8.3216992278994262E-2</v>
      </c>
      <c r="H71" s="101">
        <f t="shared" si="37"/>
        <v>0.13544375603017222</v>
      </c>
      <c r="I71" s="101">
        <f t="shared" si="37"/>
        <v>0.4429828884274889</v>
      </c>
      <c r="J71" s="101">
        <f t="shared" si="37"/>
        <v>0.12942473411243327</v>
      </c>
      <c r="K71" s="101">
        <f t="shared" si="37"/>
        <v>4.7482722870137328E-2</v>
      </c>
      <c r="L71" s="101" t="str">
        <f t="shared" si="37"/>
        <v/>
      </c>
      <c r="M71" s="101" t="str">
        <f t="shared" si="37"/>
        <v/>
      </c>
    </row>
    <row r="72" spans="2:13">
      <c r="B72" s="80" t="str">
        <f>B47</f>
        <v>Reported Net Income</v>
      </c>
      <c r="C72" s="101">
        <f>IF(D$36="","",C47/D47-1)</f>
        <v>5.8464890452689655E-2</v>
      </c>
      <c r="D72" s="101">
        <f t="shared" ref="D72:M72" si="38">IF(E$36="","",D47/E47-1)</f>
        <v>-0.1791333381457435</v>
      </c>
      <c r="E72" s="101">
        <f t="shared" si="38"/>
        <v>5.2400110911957176E-2</v>
      </c>
      <c r="F72" s="101">
        <f t="shared" si="38"/>
        <v>0.15487041842193139</v>
      </c>
      <c r="G72" s="101">
        <f t="shared" si="38"/>
        <v>0.334014046860303</v>
      </c>
      <c r="H72" s="101">
        <f t="shared" si="38"/>
        <v>0.36666100490446807</v>
      </c>
      <c r="I72" s="101">
        <f t="shared" si="38"/>
        <v>0.37267083828852465</v>
      </c>
      <c r="J72" s="101">
        <f t="shared" si="38"/>
        <v>-0.1040249764343083</v>
      </c>
      <c r="K72" s="101">
        <f t="shared" si="38"/>
        <v>-1.6754375044731207E-2</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341">
        <f>IF(C$4="","",C79+C80)</f>
        <v>10057056869.68</v>
      </c>
      <c r="D76" s="341">
        <f t="shared" ref="D76:M76" si="39">IF(D$4="","",D79+D80)</f>
        <v>9398773153</v>
      </c>
      <c r="E76" s="341">
        <f t="shared" si="39"/>
        <v>8547307801</v>
      </c>
      <c r="F76" s="341">
        <f t="shared" si="39"/>
        <v>8072221913</v>
      </c>
      <c r="G76" s="341">
        <f t="shared" si="39"/>
        <v>6978984597</v>
      </c>
      <c r="H76" s="341">
        <f t="shared" si="39"/>
        <v>5408704521</v>
      </c>
      <c r="I76" s="341">
        <f t="shared" si="39"/>
        <v>5128131468</v>
      </c>
      <c r="J76" s="341">
        <f t="shared" si="39"/>
        <v>4673876647</v>
      </c>
      <c r="K76" s="341">
        <f t="shared" si="39"/>
        <v>4220141265</v>
      </c>
      <c r="L76" s="341">
        <f t="shared" si="39"/>
        <v>4580811369</v>
      </c>
      <c r="M76" s="341" t="str">
        <f t="shared" si="39"/>
        <v/>
      </c>
    </row>
    <row r="77" spans="2:13">
      <c r="B77" s="93" t="s">
        <v>86</v>
      </c>
      <c r="C77" s="336">
        <f t="shared" ref="C77:H78" si="40">IF(C$4="","",C28)</f>
        <v>488915470.69999999</v>
      </c>
      <c r="D77" s="336">
        <f t="shared" si="40"/>
        <v>422673488</v>
      </c>
      <c r="E77" s="336">
        <f t="shared" si="40"/>
        <v>456344428</v>
      </c>
      <c r="F77" s="336">
        <f t="shared" si="40"/>
        <v>319728461</v>
      </c>
      <c r="G77" s="336">
        <f t="shared" si="40"/>
        <v>217535243</v>
      </c>
      <c r="H77" s="336">
        <f t="shared" si="40"/>
        <v>224562135</v>
      </c>
      <c r="I77" s="342"/>
      <c r="J77" s="342"/>
      <c r="K77" s="342"/>
      <c r="L77" s="342"/>
      <c r="M77" s="342"/>
    </row>
    <row r="78" spans="2:13">
      <c r="B78" s="93" t="s">
        <v>87</v>
      </c>
      <c r="C78" s="336">
        <f t="shared" si="40"/>
        <v>1545872989.1700001</v>
      </c>
      <c r="D78" s="336">
        <f t="shared" si="40"/>
        <v>1623301115</v>
      </c>
      <c r="E78" s="336">
        <f t="shared" si="40"/>
        <v>984697312</v>
      </c>
      <c r="F78" s="336">
        <f t="shared" si="40"/>
        <v>1462249097</v>
      </c>
      <c r="G78" s="336">
        <f t="shared" si="40"/>
        <v>1687299780</v>
      </c>
      <c r="H78" s="336">
        <f t="shared" si="40"/>
        <v>1389523101</v>
      </c>
      <c r="I78" s="342"/>
      <c r="J78" s="342"/>
      <c r="K78" s="342"/>
      <c r="L78" s="342"/>
      <c r="M78" s="342"/>
    </row>
    <row r="79" spans="2:13">
      <c r="B79" s="26" t="s">
        <v>40</v>
      </c>
      <c r="C79" s="326">
        <f t="shared" ref="C79:M79" si="41">IF(C$4="","",C30)</f>
        <v>4328912448.4399996</v>
      </c>
      <c r="D79" s="326">
        <f t="shared" si="41"/>
        <v>3866253573</v>
      </c>
      <c r="E79" s="326">
        <f t="shared" si="41"/>
        <v>3275808581</v>
      </c>
      <c r="F79" s="326">
        <f t="shared" si="41"/>
        <v>3276083890</v>
      </c>
      <c r="G79" s="326">
        <f t="shared" si="41"/>
        <v>2771099894</v>
      </c>
      <c r="H79" s="326">
        <f t="shared" si="41"/>
        <v>1753709637</v>
      </c>
      <c r="I79" s="326">
        <f t="shared" si="41"/>
        <v>1768910685</v>
      </c>
      <c r="J79" s="326">
        <f t="shared" si="41"/>
        <v>1542190319</v>
      </c>
      <c r="K79" s="326">
        <f t="shared" si="41"/>
        <v>1188658961</v>
      </c>
      <c r="L79" s="326">
        <f t="shared" si="41"/>
        <v>1649560528</v>
      </c>
      <c r="M79" s="326" t="str">
        <f t="shared" si="41"/>
        <v/>
      </c>
    </row>
    <row r="80" spans="2:13">
      <c r="B80" s="26" t="s">
        <v>30</v>
      </c>
      <c r="C80" s="326">
        <f t="shared" ref="C80:M80" si="42">IF(C$4="","",C31)</f>
        <v>5728144421.2400007</v>
      </c>
      <c r="D80" s="326">
        <f t="shared" si="42"/>
        <v>5532519580</v>
      </c>
      <c r="E80" s="326">
        <f t="shared" si="42"/>
        <v>5271499220</v>
      </c>
      <c r="F80" s="326">
        <f t="shared" si="42"/>
        <v>4796138023</v>
      </c>
      <c r="G80" s="326">
        <f t="shared" si="42"/>
        <v>4207884703</v>
      </c>
      <c r="H80" s="326">
        <f t="shared" si="42"/>
        <v>3654994884</v>
      </c>
      <c r="I80" s="326">
        <f t="shared" si="42"/>
        <v>3359220783</v>
      </c>
      <c r="J80" s="326">
        <f t="shared" si="42"/>
        <v>3131686328</v>
      </c>
      <c r="K80" s="326">
        <f t="shared" si="42"/>
        <v>3031482304</v>
      </c>
      <c r="L80" s="326">
        <f t="shared" si="42"/>
        <v>2931250841</v>
      </c>
      <c r="M80" s="326"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31" zoomScaleNormal="100" workbookViewId="0">
      <selection activeCell="G28" sqref="G28"/>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64090000+418378550.52+6446920.18</f>
        <v>488915470.69999999</v>
      </c>
      <c r="D4" s="263">
        <v>0.6</v>
      </c>
      <c r="E4" s="25"/>
      <c r="F4" s="4" t="s">
        <v>78</v>
      </c>
      <c r="G4" s="19">
        <v>4583178463.29</v>
      </c>
      <c r="H4" s="263">
        <v>0.9</v>
      </c>
    </row>
    <row r="5" spans="2:8" ht="15" customHeight="1">
      <c r="B5" s="1" t="s">
        <v>33</v>
      </c>
      <c r="C5" s="19">
        <v>0</v>
      </c>
      <c r="D5" s="263">
        <v>0.6</v>
      </c>
      <c r="E5" s="25"/>
      <c r="F5" s="1" t="s">
        <v>29</v>
      </c>
      <c r="G5" s="19">
        <v>0</v>
      </c>
      <c r="H5" s="263">
        <v>0.7</v>
      </c>
    </row>
    <row r="6" spans="2:8" ht="15" customHeight="1">
      <c r="B6" s="4" t="s">
        <v>10</v>
      </c>
      <c r="C6" s="19">
        <v>1545872989.1700001</v>
      </c>
      <c r="D6" s="263">
        <v>0.5</v>
      </c>
      <c r="E6" s="25"/>
      <c r="F6" s="4" t="s">
        <v>178</v>
      </c>
      <c r="G6" s="19">
        <v>0</v>
      </c>
      <c r="H6" s="263">
        <v>0.6</v>
      </c>
    </row>
    <row r="7" spans="2:8" ht="15" customHeight="1">
      <c r="B7" s="1" t="s">
        <v>69</v>
      </c>
      <c r="C7" s="19">
        <v>0</v>
      </c>
      <c r="D7" s="263">
        <v>0.6</v>
      </c>
      <c r="E7" s="25"/>
      <c r="F7" s="4" t="s">
        <v>179</v>
      </c>
      <c r="G7" s="19">
        <v>304944913.81999999</v>
      </c>
      <c r="H7" s="263">
        <v>0.6</v>
      </c>
    </row>
    <row r="8" spans="2:8" ht="15" customHeight="1">
      <c r="B8" s="1" t="s">
        <v>174</v>
      </c>
      <c r="C8" s="19">
        <v>0</v>
      </c>
      <c r="D8" s="263">
        <v>0.6</v>
      </c>
      <c r="E8" s="25"/>
      <c r="F8" s="1" t="s">
        <v>180</v>
      </c>
      <c r="G8" s="19">
        <v>0</v>
      </c>
      <c r="H8" s="263">
        <v>0.6</v>
      </c>
    </row>
    <row r="9" spans="2:8" ht="15" customHeight="1">
      <c r="B9" s="4" t="s">
        <v>25</v>
      </c>
      <c r="C9" s="19">
        <v>63782145.289999999</v>
      </c>
      <c r="D9" s="263">
        <v>0.1</v>
      </c>
      <c r="E9" s="25"/>
      <c r="F9" s="4" t="s">
        <v>181</v>
      </c>
      <c r="G9" s="19">
        <v>0</v>
      </c>
      <c r="H9" s="263">
        <v>0.6</v>
      </c>
    </row>
    <row r="10" spans="2:8" ht="15" customHeight="1">
      <c r="B10" s="4" t="s">
        <v>11</v>
      </c>
      <c r="C10" s="19">
        <v>0</v>
      </c>
      <c r="D10" s="263">
        <v>0.9</v>
      </c>
      <c r="H10" s="264"/>
    </row>
    <row r="11" spans="2:8" ht="15" customHeight="1">
      <c r="B11" s="4" t="s">
        <v>12</v>
      </c>
      <c r="C11" s="19">
        <v>406953110.22000003</v>
      </c>
      <c r="D11" s="263">
        <v>0.05</v>
      </c>
      <c r="H11" s="264"/>
    </row>
    <row r="12" spans="2:8" ht="15" customHeight="1">
      <c r="B12" s="80" t="s">
        <v>72</v>
      </c>
      <c r="C12" s="81">
        <f>SUM(C4:C11)</f>
        <v>2505523715.3800001</v>
      </c>
      <c r="D12" s="20">
        <f>C4*D4+C5*D5+C9*D9+C6*D6+C8*D8+C7*D7+C10*D10+C11*D11</f>
        <v>1093011647.0449998</v>
      </c>
      <c r="F12" s="80" t="s">
        <v>70</v>
      </c>
      <c r="G12" s="81">
        <f>SUM(G4:G9)</f>
        <v>4888123377.1099997</v>
      </c>
      <c r="H12" s="20">
        <f>G4*H4+G5*H5+G6*H6+G7*H7+G8*H8+G9*H9</f>
        <v>4307827565.2530003</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3">
        <v>0.4</v>
      </c>
      <c r="F15" s="4" t="s">
        <v>79</v>
      </c>
      <c r="G15" s="19">
        <v>0</v>
      </c>
      <c r="H15" s="263">
        <v>0.8</v>
      </c>
    </row>
    <row r="16" spans="2:8" ht="15" customHeight="1">
      <c r="B16" s="1" t="s">
        <v>34</v>
      </c>
      <c r="C16" s="19">
        <v>218481267.78999999</v>
      </c>
      <c r="D16" s="263">
        <v>0.5</v>
      </c>
      <c r="F16" s="4" t="s">
        <v>178</v>
      </c>
      <c r="G16" s="19">
        <v>0</v>
      </c>
      <c r="H16" s="263">
        <v>0.6</v>
      </c>
    </row>
    <row r="17" spans="2:8" ht="15" customHeight="1">
      <c r="B17" s="1" t="s">
        <v>69</v>
      </c>
      <c r="C17" s="19">
        <v>0</v>
      </c>
      <c r="D17" s="263">
        <v>0.6</v>
      </c>
      <c r="F17" s="4" t="s">
        <v>179</v>
      </c>
      <c r="G17" s="19">
        <v>664145486.29999995</v>
      </c>
      <c r="H17" s="263">
        <v>0.6</v>
      </c>
    </row>
    <row r="18" spans="2:8" ht="15" customHeight="1">
      <c r="B18" s="4" t="s">
        <v>174</v>
      </c>
      <c r="C18" s="19">
        <v>0</v>
      </c>
      <c r="D18" s="263">
        <v>0.6</v>
      </c>
      <c r="F18" s="4" t="s">
        <v>182</v>
      </c>
      <c r="G18" s="19">
        <v>0</v>
      </c>
      <c r="H18" s="263">
        <v>0.1</v>
      </c>
    </row>
    <row r="19" spans="2:8" ht="15" customHeight="1">
      <c r="B19" s="4" t="s">
        <v>26</v>
      </c>
      <c r="C19" s="19">
        <f>1326974361.16+5553565.01</f>
        <v>1332527926.1700001</v>
      </c>
      <c r="D19" s="263">
        <v>0.1</v>
      </c>
      <c r="F19" s="4" t="s">
        <v>183</v>
      </c>
      <c r="G19" s="19">
        <v>91308996.629999995</v>
      </c>
      <c r="H19" s="263">
        <v>0.1</v>
      </c>
    </row>
    <row r="20" spans="2:8" ht="15" customHeight="1">
      <c r="B20" s="4" t="s">
        <v>18</v>
      </c>
      <c r="C20" s="19">
        <v>0</v>
      </c>
      <c r="D20" s="263">
        <v>0.05</v>
      </c>
      <c r="F20" s="4" t="s">
        <v>180</v>
      </c>
      <c r="G20" s="19">
        <v>0</v>
      </c>
      <c r="H20" s="263">
        <v>0.2</v>
      </c>
    </row>
    <row r="21" spans="2:8" ht="15" customHeight="1">
      <c r="B21" s="4" t="s">
        <v>19</v>
      </c>
      <c r="C21" s="19">
        <v>285880529</v>
      </c>
      <c r="D21" s="263">
        <v>0.05</v>
      </c>
      <c r="F21" s="1" t="s">
        <v>181</v>
      </c>
      <c r="G21" s="19">
        <v>0</v>
      </c>
      <c r="H21" s="263">
        <v>0.1</v>
      </c>
    </row>
    <row r="22" spans="2:8" ht="15" customHeight="1">
      <c r="B22" s="4" t="s">
        <v>20</v>
      </c>
      <c r="C22" s="19">
        <v>64397018.740000002</v>
      </c>
      <c r="D22" s="263">
        <v>0.9</v>
      </c>
      <c r="H22" s="264"/>
    </row>
    <row r="23" spans="2:8" ht="15" customHeight="1">
      <c r="B23" s="4" t="s">
        <v>21</v>
      </c>
      <c r="C23" s="19">
        <f>1931.1+6666621.46</f>
        <v>6668552.5599999996</v>
      </c>
      <c r="D23" s="263">
        <v>0</v>
      </c>
      <c r="H23" s="264"/>
    </row>
    <row r="24" spans="2:8" ht="15" customHeight="1">
      <c r="B24" s="80" t="s">
        <v>74</v>
      </c>
      <c r="C24" s="81">
        <f>SUM(C15:C23)</f>
        <v>1907955294.26</v>
      </c>
      <c r="D24" s="20">
        <f>C15*D15+C16*D16+C18*D18+C17*D17+C19*D19+C20*D20+C21*D21+C22*D22+C23*D23</f>
        <v>314744769.82800001</v>
      </c>
      <c r="F24" s="80" t="s">
        <v>71</v>
      </c>
      <c r="G24" s="81">
        <f>SUM(G15:G21)</f>
        <v>755454482.92999995</v>
      </c>
      <c r="H24" s="20">
        <f>G15*H15+G16*H16+G17*H17+G18*H18+G19*H19+G20*H20+G21*H21</f>
        <v>407618191.44299996</v>
      </c>
    </row>
    <row r="26" spans="2:8" ht="15" customHeight="1">
      <c r="B26" s="16" t="s">
        <v>201</v>
      </c>
      <c r="C26" s="182" t="s">
        <v>137</v>
      </c>
      <c r="F26" s="184" t="s">
        <v>197</v>
      </c>
      <c r="G26" s="185" t="s">
        <v>137</v>
      </c>
      <c r="H26" s="186" t="s">
        <v>35</v>
      </c>
    </row>
    <row r="27" spans="2:8" ht="15" customHeight="1">
      <c r="B27" s="4" t="s">
        <v>5</v>
      </c>
      <c r="C27" s="19">
        <v>850003104.54999995</v>
      </c>
      <c r="F27" s="187" t="s">
        <v>30</v>
      </c>
      <c r="G27" s="85">
        <f>G32-G30</f>
        <v>5728144421.2400007</v>
      </c>
      <c r="H27" s="188">
        <f>H32-G30</f>
        <v>1794289725.1290007</v>
      </c>
    </row>
    <row r="28" spans="2:8" ht="15" customHeight="1">
      <c r="B28" s="4" t="s">
        <v>6</v>
      </c>
      <c r="C28" s="19">
        <v>0</v>
      </c>
      <c r="F28" s="189" t="s">
        <v>245</v>
      </c>
      <c r="G28" s="12">
        <v>2154785.64</v>
      </c>
      <c r="H28" s="188"/>
    </row>
    <row r="29" spans="2:8" ht="15" customHeight="1">
      <c r="B29" s="4" t="s">
        <v>7</v>
      </c>
      <c r="C29" s="19">
        <v>0</v>
      </c>
      <c r="F29" s="190" t="s">
        <v>76</v>
      </c>
      <c r="G29" s="14">
        <f>G27-G28</f>
        <v>5725989635.6000004</v>
      </c>
      <c r="H29" s="188">
        <f>H27-G28</f>
        <v>1792134939.4890006</v>
      </c>
    </row>
    <row r="30" spans="2:8" ht="15" customHeight="1">
      <c r="B30" s="2" t="s">
        <v>8</v>
      </c>
      <c r="C30" s="19">
        <v>0</v>
      </c>
      <c r="F30" s="187" t="s">
        <v>23</v>
      </c>
      <c r="G30" s="85">
        <f>C33+C42</f>
        <v>4328912448.4399996</v>
      </c>
      <c r="H30" s="188"/>
    </row>
    <row r="31" spans="2:8" ht="15" customHeight="1">
      <c r="B31" s="80" t="s">
        <v>204</v>
      </c>
      <c r="C31" s="81">
        <f>SUM(C27:C30)</f>
        <v>850003104.54999995</v>
      </c>
      <c r="F31" s="190" t="s">
        <v>77</v>
      </c>
      <c r="G31" s="191">
        <f>C31+C40</f>
        <v>2209595736.0500002</v>
      </c>
      <c r="H31" s="188"/>
    </row>
    <row r="32" spans="2:8" ht="15" customHeight="1">
      <c r="B32" s="4" t="s">
        <v>9</v>
      </c>
      <c r="C32" s="21">
        <f>C33-C31</f>
        <v>2033032766.8</v>
      </c>
      <c r="F32" s="192" t="s">
        <v>75</v>
      </c>
      <c r="G32" s="193">
        <f>G35+G40</f>
        <v>10057056869.68</v>
      </c>
      <c r="H32" s="188">
        <f>H35+H40</f>
        <v>6123202173.5690002</v>
      </c>
    </row>
    <row r="33" spans="2:8" ht="15" customHeight="1">
      <c r="B33" s="83" t="s">
        <v>4</v>
      </c>
      <c r="C33" s="84">
        <v>2883035871.3499999</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4413479009.6400003</v>
      </c>
      <c r="H35" s="200">
        <f>D12+D24</f>
        <v>1407756416.8729999</v>
      </c>
    </row>
    <row r="36" spans="2:8" ht="15" customHeight="1">
      <c r="B36" s="4" t="s">
        <v>13</v>
      </c>
      <c r="C36" s="19">
        <v>0</v>
      </c>
      <c r="F36" s="190" t="s">
        <v>198</v>
      </c>
      <c r="G36" s="191">
        <f>C4+C15</f>
        <v>488915470.69999999</v>
      </c>
      <c r="H36" s="195"/>
    </row>
    <row r="37" spans="2:8" ht="15" customHeight="1">
      <c r="B37" s="4" t="s">
        <v>14</v>
      </c>
      <c r="C37" s="19">
        <v>2885347.22</v>
      </c>
      <c r="F37" s="190" t="s">
        <v>199</v>
      </c>
      <c r="G37" s="191">
        <f>C6</f>
        <v>1545872989.1700001</v>
      </c>
      <c r="H37" s="195"/>
    </row>
    <row r="38" spans="2:8" ht="15" customHeight="1">
      <c r="B38" s="4" t="s">
        <v>15</v>
      </c>
      <c r="C38" s="19">
        <v>0</v>
      </c>
      <c r="F38" s="190" t="s">
        <v>200</v>
      </c>
      <c r="G38" s="191">
        <f>C7+C17</f>
        <v>0</v>
      </c>
      <c r="H38" s="195"/>
    </row>
    <row r="39" spans="2:8" ht="15" customHeight="1">
      <c r="B39" s="2" t="s">
        <v>16</v>
      </c>
      <c r="C39" s="19">
        <v>1356707284.28</v>
      </c>
      <c r="F39" s="190" t="s">
        <v>80</v>
      </c>
      <c r="G39" s="191">
        <f>C7+C17+C19+C20</f>
        <v>1332527926.1700001</v>
      </c>
      <c r="H39" s="188">
        <f>C7*D7+C17*D17+C19*D19+C20*D20</f>
        <v>133252792.61700001</v>
      </c>
    </row>
    <row r="40" spans="2:8" ht="15" customHeight="1">
      <c r="B40" s="80" t="s">
        <v>205</v>
      </c>
      <c r="C40" s="81">
        <f>SUM(C36:C39)</f>
        <v>1359592631.5</v>
      </c>
      <c r="F40" s="199" t="s">
        <v>139</v>
      </c>
      <c r="G40" s="193">
        <f>G12+G24</f>
        <v>5643577860.04</v>
      </c>
      <c r="H40" s="200">
        <f>H12+H24</f>
        <v>4715445756.6960001</v>
      </c>
    </row>
    <row r="41" spans="2:8" ht="15" customHeight="1">
      <c r="B41" s="4" t="s">
        <v>17</v>
      </c>
      <c r="C41" s="21">
        <f>C42-C40</f>
        <v>86283945.589999914</v>
      </c>
      <c r="F41" s="190" t="s">
        <v>192</v>
      </c>
      <c r="G41" s="191">
        <f>C70</f>
        <v>4583178463.29</v>
      </c>
      <c r="H41" s="200">
        <f>H40-H42</f>
        <v>4124860616.961</v>
      </c>
    </row>
    <row r="42" spans="2:8" ht="15" customHeight="1">
      <c r="B42" s="83" t="s">
        <v>22</v>
      </c>
      <c r="C42" s="84">
        <v>1445876577.0899999</v>
      </c>
      <c r="F42" s="201" t="s">
        <v>193</v>
      </c>
      <c r="G42" s="202">
        <f>C82</f>
        <v>1060399396.7499999</v>
      </c>
      <c r="H42" s="203">
        <f>D82</f>
        <v>590585139.73500001</v>
      </c>
    </row>
    <row r="44" spans="2:8" ht="15" customHeight="1">
      <c r="B44" s="79" t="s">
        <v>97</v>
      </c>
      <c r="C44" s="37"/>
      <c r="D44" s="37"/>
      <c r="E44" s="37"/>
      <c r="F44" s="37"/>
      <c r="G44" s="37"/>
      <c r="H44" s="37"/>
    </row>
    <row r="45" spans="2:8" ht="15" customHeight="1">
      <c r="B45" s="16" t="s">
        <v>272</v>
      </c>
      <c r="C45" s="234" t="s">
        <v>137</v>
      </c>
      <c r="D45" s="182" t="s">
        <v>407</v>
      </c>
      <c r="F45" s="256" t="s">
        <v>59</v>
      </c>
    </row>
    <row r="46" spans="2:8" ht="15" customHeight="1">
      <c r="B46" s="1" t="s">
        <v>274</v>
      </c>
      <c r="C46" s="76">
        <f>G29</f>
        <v>5725989635.6000004</v>
      </c>
      <c r="D46" s="76">
        <f>H29</f>
        <v>1792134939.4890006</v>
      </c>
      <c r="F46" s="253"/>
    </row>
    <row r="47" spans="2:8" ht="15" customHeight="1">
      <c r="B47" s="1" t="str">
        <f>"Equity per share ("&amp;Market_currency&amp;")"</f>
        <v>Equity per share (CNY)</v>
      </c>
      <c r="C47" s="147">
        <f>C46*H1/Common_Shares*Exchange_Rate</f>
        <v>11.319426701748018</v>
      </c>
      <c r="D47" s="147">
        <f>D46*H1/Common_Shares*Exchange_Rate</f>
        <v>3.5427832354191278</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2.3913910654887354</v>
      </c>
      <c r="D50" s="95">
        <f>G31/Normalized_FCF!G8</f>
        <v>2.4827308199218852</v>
      </c>
      <c r="F50" s="253"/>
    </row>
    <row r="51" spans="2:8" ht="15" customHeight="1">
      <c r="B51" s="1" t="s">
        <v>177</v>
      </c>
      <c r="C51" s="181"/>
      <c r="D51" s="92">
        <f>G29/G32</f>
        <v>0.56935042824135806</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0.20935394807077129</v>
      </c>
      <c r="D54" s="92">
        <f>Normalized_FCF!G8/G35</f>
        <v>0.20165180893713927</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v>
      </c>
      <c r="F58" s="5"/>
    </row>
    <row r="59" spans="2:8" ht="15" customHeight="1">
      <c r="B59" s="1" t="s">
        <v>93</v>
      </c>
      <c r="C59" s="98"/>
      <c r="D59" s="92">
        <f>G39/G32</f>
        <v>0.13249680731022842</v>
      </c>
      <c r="F59" s="253"/>
    </row>
    <row r="60" spans="2:8" ht="15" customHeight="1">
      <c r="F60" s="253"/>
    </row>
    <row r="61" spans="2:8" ht="15" customHeight="1">
      <c r="B61" s="157" t="s">
        <v>275</v>
      </c>
      <c r="C61" s="235" t="s">
        <v>138</v>
      </c>
      <c r="D61" s="197" t="s">
        <v>96</v>
      </c>
      <c r="F61" s="253"/>
    </row>
    <row r="62" spans="2:8" ht="15" customHeight="1">
      <c r="B62" s="1" t="s">
        <v>246</v>
      </c>
      <c r="C62" s="92">
        <f>IF(G28&lt;=0,0,G28/G29)</f>
        <v>3.7631672027541312E-4</v>
      </c>
      <c r="D62" s="92">
        <f>G28/G29</f>
        <v>3.7631672027541312E-4</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4583178463.29</v>
      </c>
      <c r="D66" s="76">
        <f>C66-D75</f>
        <v>3530916331.352602</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4583178463.29</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-564798704.21000004</v>
      </c>
      <c r="D73" s="76">
        <f>(Normalized_FCF!C25+Normalized_FCF!C35-Normalized_FCF!C91)/12</f>
        <v>-526131065.96869904</v>
      </c>
      <c r="F73" s="1" t="s">
        <v>352</v>
      </c>
    </row>
    <row r="74" spans="2:6" ht="15" customHeight="1">
      <c r="B74" s="257" t="s">
        <v>322</v>
      </c>
      <c r="C74" s="258">
        <f>-$C$66/C73</f>
        <v>8.1147113637603354</v>
      </c>
      <c r="D74" s="258">
        <f>-$C$66/D73</f>
        <v>8.7110964543626963</v>
      </c>
      <c r="F74" s="253" t="s">
        <v>320</v>
      </c>
    </row>
    <row r="75" spans="2:6" ht="15" customHeight="1">
      <c r="B75" s="80" t="s">
        <v>321</v>
      </c>
      <c r="C75" s="262"/>
      <c r="D75" s="261">
        <f>MAX(-D73*D76,G5)</f>
        <v>1052262131.9373981</v>
      </c>
      <c r="F75" s="253" t="s">
        <v>353</v>
      </c>
    </row>
    <row r="76" spans="2:6" ht="15" customHeight="1">
      <c r="B76" s="259" t="s">
        <v>323</v>
      </c>
      <c r="C76" s="260"/>
      <c r="D76" s="292">
        <f>IF(valuation_method="DCF",IF(D74&lt;=3,1,IF(D74&gt;18,6,2)),-C66/D73)</f>
        <v>2</v>
      </c>
      <c r="F76" s="253" t="s">
        <v>324</v>
      </c>
    </row>
    <row r="77" spans="2:6" ht="15" customHeight="1">
      <c r="F77" s="253"/>
    </row>
    <row r="78" spans="2:6" ht="15" customHeight="1">
      <c r="B78" s="16" t="s">
        <v>190</v>
      </c>
      <c r="C78" s="234" t="s">
        <v>137</v>
      </c>
      <c r="D78" s="183" t="s">
        <v>35</v>
      </c>
      <c r="F78" s="253"/>
    </row>
    <row r="79" spans="2:6" ht="15" customHeight="1">
      <c r="B79" s="105" t="s">
        <v>179</v>
      </c>
      <c r="C79" s="20">
        <f>G7+G17</f>
        <v>969090400.11999989</v>
      </c>
      <c r="D79" s="76">
        <f>G7*H7+G17*H17</f>
        <v>581454240.07200003</v>
      </c>
      <c r="F79" s="253"/>
    </row>
    <row r="80" spans="2:6" ht="15" customHeight="1">
      <c r="B80" s="105" t="s">
        <v>183</v>
      </c>
      <c r="C80" s="20">
        <f>G19</f>
        <v>91308996.629999995</v>
      </c>
      <c r="D80" s="76">
        <f>G19*H19</f>
        <v>9130899.6630000006</v>
      </c>
      <c r="F80" s="253"/>
    </row>
    <row r="81" spans="2:8" ht="15" customHeight="1">
      <c r="B81" s="105" t="s">
        <v>181</v>
      </c>
      <c r="C81" s="20">
        <f>G9+G21</f>
        <v>0</v>
      </c>
      <c r="D81" s="76">
        <f>G9*H9+G21*H21</f>
        <v>0</v>
      </c>
      <c r="F81" s="253"/>
    </row>
    <row r="82" spans="2:8" ht="15" customHeight="1">
      <c r="B82" s="80" t="s">
        <v>190</v>
      </c>
      <c r="C82" s="81">
        <f>SUM(C79:C81)</f>
        <v>1060399396.7499999</v>
      </c>
      <c r="D82" s="81">
        <f>SUM(D79:D81)</f>
        <v>590585139.73500001</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-2209595736.0500002</v>
      </c>
      <c r="D86" s="223">
        <f>C86*scaling_factor/Common_Shares</f>
        <v>-4.3680409093321932</v>
      </c>
      <c r="E86" s="240" t="str">
        <f>Market_currency</f>
        <v>CNY</v>
      </c>
    </row>
    <row r="87" spans="2:8" ht="15" customHeight="1">
      <c r="B87" s="238" t="s">
        <v>288</v>
      </c>
      <c r="C87" s="76">
        <f>DCF!C8*Exchange_Rate</f>
        <v>3530916331.352602</v>
      </c>
      <c r="D87" s="223">
        <f>C87*scaling_factor/Common_Shares</f>
        <v>6.9800944720995357</v>
      </c>
      <c r="E87" s="240" t="str">
        <f>Market_currency</f>
        <v>CNY</v>
      </c>
    </row>
    <row r="88" spans="2:8" ht="15" customHeight="1">
      <c r="B88" s="239" t="s">
        <v>190</v>
      </c>
      <c r="C88" s="76">
        <f>DCF!C9*Exchange_Rate</f>
        <v>590585139.73500001</v>
      </c>
      <c r="D88" s="223">
        <f>C88*scaling_factor/Common_Shares</f>
        <v>1.1674986553955653</v>
      </c>
      <c r="E88" s="240" t="str">
        <f>Market_currency</f>
        <v>CNY</v>
      </c>
    </row>
    <row r="89" spans="2:8" ht="15" customHeight="1">
      <c r="B89" s="80" t="s">
        <v>292</v>
      </c>
      <c r="C89" s="180">
        <f>SUM(C86:C88)</f>
        <v>1911905735.0376019</v>
      </c>
      <c r="D89" s="242">
        <f>SUM(D86:D88)</f>
        <v>3.779552218162908</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E115" sqref="E11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70"/>
      <c r="F3" s="9"/>
      <c r="G3" s="9"/>
    </row>
    <row r="4" spans="1:17" ht="15.75" customHeight="1">
      <c r="A4" s="10"/>
      <c r="B4" s="26" t="s">
        <v>2</v>
      </c>
      <c r="C4" s="320">
        <f>AVERAGE(G4:J4)</f>
        <v>6701345649.5</v>
      </c>
      <c r="D4" s="57"/>
      <c r="E4" s="268"/>
      <c r="F4" s="57"/>
      <c r="G4" s="326">
        <f>Data!C36</f>
        <v>7131364079</v>
      </c>
      <c r="H4" s="326">
        <f>Data!D36</f>
        <v>6805627279</v>
      </c>
      <c r="I4" s="326">
        <f>Data!E36</f>
        <v>6883365208</v>
      </c>
      <c r="J4" s="326">
        <f>Data!F36</f>
        <v>5985026032</v>
      </c>
      <c r="K4" s="326">
        <f>Data!G36</f>
        <v>5289304050</v>
      </c>
      <c r="L4" s="326">
        <f>Data!H36</f>
        <v>4837252294</v>
      </c>
      <c r="M4" s="326">
        <f>Data!I36</f>
        <v>4197045559</v>
      </c>
      <c r="N4" s="326">
        <f>Data!J36</f>
        <v>3602738165</v>
      </c>
      <c r="O4" s="326">
        <f>Data!K36</f>
        <v>3513011838</v>
      </c>
      <c r="P4" s="326">
        <f>Data!L36</f>
        <v>3311372570</v>
      </c>
      <c r="Q4" s="326" t="str">
        <f>Data!M36</f>
        <v/>
      </c>
    </row>
    <row r="5" spans="1:17" ht="15.75" customHeight="1">
      <c r="A5" s="10"/>
      <c r="B5" s="2" t="s">
        <v>46</v>
      </c>
      <c r="C5" s="321">
        <f>C25</f>
        <v>-5416333378.1043882</v>
      </c>
      <c r="E5" s="270"/>
      <c r="G5" s="326">
        <f t="shared" ref="G5:Q5" si="1">G25</f>
        <v>-5857693938</v>
      </c>
      <c r="H5" s="326">
        <f t="shared" si="1"/>
        <v>-5653352275</v>
      </c>
      <c r="I5" s="326">
        <f t="shared" si="1"/>
        <v>-5442320308</v>
      </c>
      <c r="J5" s="326">
        <f t="shared" si="1"/>
        <v>-4729652658</v>
      </c>
      <c r="K5" s="326">
        <f t="shared" si="1"/>
        <v>-4164847890</v>
      </c>
      <c r="L5" s="326">
        <f t="shared" si="1"/>
        <v>-3940677114</v>
      </c>
      <c r="M5" s="326">
        <f t="shared" si="1"/>
        <v>-3505063352</v>
      </c>
      <c r="N5" s="326">
        <f t="shared" si="1"/>
        <v>-3057406162</v>
      </c>
      <c r="O5" s="326">
        <f t="shared" si="1"/>
        <v>-2913154787</v>
      </c>
      <c r="P5" s="326">
        <f t="shared" si="1"/>
        <v>-2691647504</v>
      </c>
      <c r="Q5" s="326" t="str">
        <f t="shared" si="1"/>
        <v/>
      </c>
    </row>
    <row r="6" spans="1:17" ht="15.75" customHeight="1">
      <c r="A6" s="10"/>
      <c r="B6" s="31" t="s">
        <v>48</v>
      </c>
      <c r="C6" s="322">
        <f>C4+C5</f>
        <v>1285012271.3956118</v>
      </c>
      <c r="E6" s="270"/>
      <c r="G6" s="322">
        <f>IF(G4="","",G4+G5)</f>
        <v>1273670141</v>
      </c>
      <c r="H6" s="322">
        <f t="shared" ref="H6:Q6" si="2">IF(H4="","",H4+H5)</f>
        <v>1152275004</v>
      </c>
      <c r="I6" s="322">
        <f t="shared" si="2"/>
        <v>1441044900</v>
      </c>
      <c r="J6" s="322">
        <f t="shared" si="2"/>
        <v>1255373374</v>
      </c>
      <c r="K6" s="322">
        <f t="shared" si="2"/>
        <v>1124456160</v>
      </c>
      <c r="L6" s="322">
        <f t="shared" si="2"/>
        <v>896575180</v>
      </c>
      <c r="M6" s="322">
        <f t="shared" si="2"/>
        <v>691982207</v>
      </c>
      <c r="N6" s="322">
        <f t="shared" si="2"/>
        <v>545332003</v>
      </c>
      <c r="O6" s="322">
        <f t="shared" si="2"/>
        <v>599857051</v>
      </c>
      <c r="P6" s="322">
        <f t="shared" si="2"/>
        <v>619725066</v>
      </c>
      <c r="Q6" s="322" t="str">
        <f t="shared" si="2"/>
        <v/>
      </c>
    </row>
    <row r="7" spans="1:17" ht="15.75" customHeight="1">
      <c r="A7" s="10"/>
      <c r="B7" s="8" t="s">
        <v>45</v>
      </c>
      <c r="C7" s="321">
        <f>C35</f>
        <v>-361033016</v>
      </c>
      <c r="E7" s="270"/>
      <c r="G7" s="321">
        <f t="shared" ref="G7:Q7" si="3">G35</f>
        <v>-383684115</v>
      </c>
      <c r="H7" s="321">
        <f t="shared" si="3"/>
        <v>-353960614</v>
      </c>
      <c r="I7" s="321">
        <f t="shared" si="3"/>
        <v>-395527653</v>
      </c>
      <c r="J7" s="321">
        <f t="shared" si="3"/>
        <v>-310959682</v>
      </c>
      <c r="K7" s="321">
        <f t="shared" si="3"/>
        <v>-279334258</v>
      </c>
      <c r="L7" s="321">
        <f t="shared" si="3"/>
        <v>-278989469</v>
      </c>
      <c r="M7" s="321">
        <f t="shared" si="3"/>
        <v>-241267691</v>
      </c>
      <c r="N7" s="321">
        <f t="shared" si="3"/>
        <v>-209921471</v>
      </c>
      <c r="O7" s="321">
        <f t="shared" si="3"/>
        <v>-202358079</v>
      </c>
      <c r="P7" s="321">
        <f t="shared" si="3"/>
        <v>-214567696</v>
      </c>
      <c r="Q7" s="321" t="str">
        <f t="shared" si="3"/>
        <v/>
      </c>
    </row>
    <row r="8" spans="1:17" ht="15.75" customHeight="1">
      <c r="A8" s="10"/>
      <c r="B8" s="29" t="s">
        <v>153</v>
      </c>
      <c r="C8" s="323">
        <f>C6+C7</f>
        <v>923979255.39561176</v>
      </c>
      <c r="D8" s="59"/>
      <c r="E8" s="276"/>
      <c r="F8" s="59"/>
      <c r="G8" s="322">
        <f>IF(G$4="","",G6+G7)</f>
        <v>889986026</v>
      </c>
      <c r="H8" s="322">
        <f t="shared" ref="H8:Q8" si="4">IF(H$4="","",H6+H7)</f>
        <v>798314390</v>
      </c>
      <c r="I8" s="322">
        <f t="shared" si="4"/>
        <v>1045517247</v>
      </c>
      <c r="J8" s="322">
        <f t="shared" si="4"/>
        <v>944413692</v>
      </c>
      <c r="K8" s="322">
        <f t="shared" si="4"/>
        <v>845121902</v>
      </c>
      <c r="L8" s="322">
        <f t="shared" si="4"/>
        <v>617585711</v>
      </c>
      <c r="M8" s="322">
        <f t="shared" si="4"/>
        <v>450714516</v>
      </c>
      <c r="N8" s="322">
        <f t="shared" si="4"/>
        <v>335410532</v>
      </c>
      <c r="O8" s="322">
        <f t="shared" si="4"/>
        <v>397498972</v>
      </c>
      <c r="P8" s="322">
        <f t="shared" si="4"/>
        <v>405157370</v>
      </c>
      <c r="Q8" s="322" t="str">
        <f t="shared" si="4"/>
        <v/>
      </c>
    </row>
    <row r="9" spans="1:17" ht="15.75" customHeight="1">
      <c r="A9" s="10"/>
      <c r="B9" s="2" t="s">
        <v>65</v>
      </c>
      <c r="C9" s="321">
        <f>BS!$G$39*BS!D58</f>
        <v>0</v>
      </c>
      <c r="E9" s="270"/>
      <c r="G9" s="321">
        <f>IF(Data!C61="","",-Data!C61)</f>
        <v>0</v>
      </c>
      <c r="H9" s="321">
        <f>IF(Data!D61="","",-Data!D61)</f>
        <v>0</v>
      </c>
      <c r="I9" s="321">
        <f>IF(Data!E61="","",-Data!E61)</f>
        <v>0</v>
      </c>
      <c r="J9" s="321">
        <f>IF(Data!F61="","",-Data!F61)</f>
        <v>0</v>
      </c>
      <c r="K9" s="321">
        <f>IF(Data!G61="","",-Data!G61)</f>
        <v>0</v>
      </c>
      <c r="L9" s="321">
        <f>IF(Data!H61="","",-Data!H61)</f>
        <v>0</v>
      </c>
      <c r="M9" s="321">
        <f>IF(Data!I61="","",-Data!I61)</f>
        <v>0</v>
      </c>
      <c r="N9" s="321">
        <f>IF(Data!J61="","",-Data!J61)</f>
        <v>0</v>
      </c>
      <c r="O9" s="321">
        <f>IF(Data!K61="","",-Data!K61)</f>
        <v>0</v>
      </c>
      <c r="P9" s="321">
        <f>IF(Data!L61="","",-Data!L61)</f>
        <v>0</v>
      </c>
      <c r="Q9" s="321" t="str">
        <f>IF(Data!M61="","",-Data!M61)</f>
        <v/>
      </c>
    </row>
    <row r="10" spans="1:17" ht="15.75" customHeight="1">
      <c r="A10" s="10"/>
      <c r="B10" s="2" t="s">
        <v>81</v>
      </c>
      <c r="C10" s="321">
        <f>-C4*C78</f>
        <v>0</v>
      </c>
      <c r="E10" s="270"/>
      <c r="G10" s="321">
        <f>Data!C62</f>
        <v>0</v>
      </c>
      <c r="H10" s="321">
        <f>Data!D62</f>
        <v>0</v>
      </c>
      <c r="I10" s="321">
        <f>Data!E62</f>
        <v>0</v>
      </c>
      <c r="J10" s="321">
        <f>Data!F62</f>
        <v>0</v>
      </c>
      <c r="K10" s="321">
        <f>Data!G62</f>
        <v>0</v>
      </c>
      <c r="L10" s="321">
        <f>Data!H62</f>
        <v>0</v>
      </c>
      <c r="M10" s="321">
        <f>Data!I62</f>
        <v>0</v>
      </c>
      <c r="N10" s="321">
        <f>Data!J62</f>
        <v>0</v>
      </c>
      <c r="O10" s="321">
        <f>Data!K62</f>
        <v>0</v>
      </c>
      <c r="P10" s="321">
        <f>Data!L62</f>
        <v>0</v>
      </c>
      <c r="Q10" s="321" t="str">
        <f>Data!M62</f>
        <v/>
      </c>
    </row>
    <row r="11" spans="1:17" ht="15.75" customHeight="1">
      <c r="A11" s="10"/>
      <c r="B11" s="31" t="s">
        <v>195</v>
      </c>
      <c r="C11" s="324">
        <f>C63</f>
        <v>0</v>
      </c>
      <c r="D11" s="168"/>
      <c r="E11" s="269"/>
      <c r="F11" s="168"/>
      <c r="G11" s="327">
        <f>G61</f>
        <v>0</v>
      </c>
      <c r="H11" s="327">
        <f t="shared" ref="H11:Q11" si="5">H61</f>
        <v>0</v>
      </c>
      <c r="I11" s="327">
        <f t="shared" si="5"/>
        <v>0</v>
      </c>
      <c r="J11" s="327">
        <f t="shared" si="5"/>
        <v>0</v>
      </c>
      <c r="K11" s="327">
        <f t="shared" si="5"/>
        <v>0</v>
      </c>
      <c r="L11" s="327">
        <f t="shared" si="5"/>
        <v>0</v>
      </c>
      <c r="M11" s="327">
        <f t="shared" si="5"/>
        <v>0</v>
      </c>
      <c r="N11" s="327">
        <f t="shared" si="5"/>
        <v>0</v>
      </c>
      <c r="O11" s="327">
        <f t="shared" si="5"/>
        <v>0</v>
      </c>
      <c r="P11" s="327">
        <f t="shared" si="5"/>
        <v>0</v>
      </c>
      <c r="Q11" s="327" t="str">
        <f t="shared" si="5"/>
        <v/>
      </c>
    </row>
    <row r="12" spans="1:17" ht="15.75" customHeight="1">
      <c r="A12" s="10"/>
      <c r="B12" s="2" t="s">
        <v>68</v>
      </c>
      <c r="C12" s="321">
        <f>C50</f>
        <v>-27629280.071495894</v>
      </c>
      <c r="E12" s="270"/>
      <c r="G12" s="321">
        <f>G50</f>
        <v>-27629280.071495891</v>
      </c>
      <c r="H12" s="321">
        <f t="shared" ref="H12:Q12" si="6">H50</f>
        <v>-24728673.051817413</v>
      </c>
      <c r="I12" s="321">
        <f t="shared" si="6"/>
        <v>-36683273.668721363</v>
      </c>
      <c r="J12" s="321">
        <f t="shared" si="6"/>
        <v>-38336529.610388793</v>
      </c>
      <c r="K12" s="321">
        <f t="shared" si="6"/>
        <v>-8889281.3220126256</v>
      </c>
      <c r="L12" s="321">
        <f t="shared" si="6"/>
        <v>-8050411.4433459612</v>
      </c>
      <c r="M12" s="321">
        <f t="shared" si="6"/>
        <v>-24675448.655158319</v>
      </c>
      <c r="N12" s="321">
        <f t="shared" si="6"/>
        <v>0</v>
      </c>
      <c r="O12" s="321">
        <f t="shared" si="6"/>
        <v>0</v>
      </c>
      <c r="P12" s="321">
        <f t="shared" si="6"/>
        <v>0</v>
      </c>
      <c r="Q12" s="321" t="str">
        <f t="shared" si="6"/>
        <v/>
      </c>
    </row>
    <row r="13" spans="1:17" ht="15.75" customHeight="1">
      <c r="A13" s="10"/>
      <c r="B13" s="70" t="s">
        <v>165</v>
      </c>
      <c r="C13" s="322">
        <f>SUM(C8:C12)</f>
        <v>896349975.32411587</v>
      </c>
      <c r="E13" s="270"/>
      <c r="G13" s="322">
        <f>IF(G$4="","",SUM(G8:G12))</f>
        <v>862356745.92850411</v>
      </c>
      <c r="H13" s="322">
        <f t="shared" ref="H13:Q13" si="7">IF(H$4="","",SUM(H8:H12))</f>
        <v>773585716.94818258</v>
      </c>
      <c r="I13" s="322">
        <f t="shared" si="7"/>
        <v>1008833973.3312787</v>
      </c>
      <c r="J13" s="322">
        <f t="shared" si="7"/>
        <v>906077162.38961124</v>
      </c>
      <c r="K13" s="322">
        <f t="shared" si="7"/>
        <v>836232620.67798734</v>
      </c>
      <c r="L13" s="322">
        <f t="shared" si="7"/>
        <v>609535299.5566541</v>
      </c>
      <c r="M13" s="322">
        <f t="shared" si="7"/>
        <v>426039067.34484166</v>
      </c>
      <c r="N13" s="322">
        <f t="shared" si="7"/>
        <v>335410532</v>
      </c>
      <c r="O13" s="322">
        <f t="shared" si="7"/>
        <v>397498972</v>
      </c>
      <c r="P13" s="322">
        <f t="shared" si="7"/>
        <v>405157370</v>
      </c>
      <c r="Q13" s="322" t="str">
        <f t="shared" si="7"/>
        <v/>
      </c>
    </row>
    <row r="14" spans="1:17" ht="15.75" customHeight="1">
      <c r="A14" s="10"/>
      <c r="B14" s="2" t="s">
        <v>63</v>
      </c>
      <c r="C14" s="321">
        <f>-SUM(C8+C11,C12)*C43</f>
        <v>-224087493.83102897</v>
      </c>
      <c r="E14" s="270"/>
      <c r="G14" s="321">
        <f>Data!C46</f>
        <v>-229311604</v>
      </c>
      <c r="H14" s="321">
        <f>Data!D46</f>
        <v>-191295542</v>
      </c>
      <c r="I14" s="321">
        <f>Data!E46</f>
        <v>-242188379</v>
      </c>
      <c r="J14" s="321">
        <f>Data!F46</f>
        <v>-197232207</v>
      </c>
      <c r="K14" s="321">
        <f>Data!G46</f>
        <v>-192105224</v>
      </c>
      <c r="L14" s="321">
        <f>Data!H46</f>
        <v>-162495080</v>
      </c>
      <c r="M14" s="321">
        <f>Data!I46</f>
        <v>-131000165</v>
      </c>
      <c r="N14" s="321">
        <f>Data!J46</f>
        <v>-95459293</v>
      </c>
      <c r="O14" s="321">
        <f>Data!K46</f>
        <v>-110832660</v>
      </c>
      <c r="P14" s="321">
        <f>Data!L46</f>
        <v>-109092609</v>
      </c>
      <c r="Q14" s="321" t="str">
        <f>Data!M46</f>
        <v/>
      </c>
    </row>
    <row r="15" spans="1:17" ht="15.75" customHeight="1">
      <c r="A15" s="10"/>
      <c r="B15" s="40" t="s">
        <v>244</v>
      </c>
      <c r="C15" s="321">
        <f>-C4*C83</f>
        <v>-2378351.0769942678</v>
      </c>
      <c r="D15" s="60"/>
      <c r="E15" s="277"/>
      <c r="F15" s="60"/>
      <c r="G15" s="326">
        <f>Data!C48</f>
        <v>-647365</v>
      </c>
      <c r="H15" s="326">
        <f>Data!D48</f>
        <v>-431576</v>
      </c>
      <c r="I15" s="326">
        <f>Data!E48</f>
        <v>-2442951</v>
      </c>
      <c r="J15" s="326">
        <f>Data!F48</f>
        <v>-1064169</v>
      </c>
      <c r="K15" s="326">
        <f>Data!G48</f>
        <v>0</v>
      </c>
      <c r="L15" s="326">
        <f>Data!H48</f>
        <v>0</v>
      </c>
      <c r="M15" s="326">
        <f>Data!I48</f>
        <v>-8761899</v>
      </c>
      <c r="N15" s="326">
        <f>Data!J48</f>
        <v>-2464891</v>
      </c>
      <c r="O15" s="326">
        <f>Data!K48</f>
        <v>-5326102</v>
      </c>
      <c r="P15" s="326">
        <f>Data!L48</f>
        <v>-1211794</v>
      </c>
      <c r="Q15" s="326" t="str">
        <f>Data!M48</f>
        <v/>
      </c>
    </row>
    <row r="16" spans="1:17" ht="15.75" customHeight="1">
      <c r="A16" s="10"/>
      <c r="B16" s="41" t="s">
        <v>155</v>
      </c>
      <c r="C16" s="325">
        <f>SUM(C13:C15)</f>
        <v>669884130.41609263</v>
      </c>
      <c r="D16" s="61"/>
      <c r="E16" s="278"/>
      <c r="F16" s="61"/>
      <c r="G16" s="322">
        <f>IF(G$4="","",SUM(G13:G15))</f>
        <v>632397776.92850411</v>
      </c>
      <c r="H16" s="322">
        <f t="shared" ref="H16:Q16" si="8">IF(H$4="","",SUM(H13:H15))</f>
        <v>581858598.94818258</v>
      </c>
      <c r="I16" s="322">
        <f t="shared" si="8"/>
        <v>764202643.33127868</v>
      </c>
      <c r="J16" s="322">
        <f t="shared" si="8"/>
        <v>707780786.38961124</v>
      </c>
      <c r="K16" s="322">
        <f t="shared" si="8"/>
        <v>644127396.67798734</v>
      </c>
      <c r="L16" s="322">
        <f t="shared" si="8"/>
        <v>447040219.5566541</v>
      </c>
      <c r="M16" s="322">
        <f t="shared" si="8"/>
        <v>286277003.34484166</v>
      </c>
      <c r="N16" s="322">
        <f t="shared" si="8"/>
        <v>237486348</v>
      </c>
      <c r="O16" s="322">
        <f t="shared" si="8"/>
        <v>281340210</v>
      </c>
      <c r="P16" s="322">
        <f t="shared" si="8"/>
        <v>294852967</v>
      </c>
      <c r="Q16" s="322" t="str">
        <f t="shared" si="8"/>
        <v/>
      </c>
    </row>
    <row r="17" spans="1:17" ht="15.75" customHeight="1">
      <c r="A17" s="10"/>
      <c r="B17" s="27" t="s">
        <v>52</v>
      </c>
      <c r="C17" s="321">
        <f>-C4*C85</f>
        <v>0</v>
      </c>
      <c r="D17" s="58"/>
      <c r="E17" s="269" t="s">
        <v>332</v>
      </c>
      <c r="F17" s="58"/>
      <c r="G17" s="328"/>
      <c r="H17" s="328"/>
      <c r="I17" s="328"/>
      <c r="J17" s="328"/>
      <c r="K17" s="328"/>
      <c r="L17" s="328"/>
      <c r="M17" s="328"/>
      <c r="N17" s="328"/>
      <c r="O17" s="328"/>
      <c r="P17" s="328"/>
      <c r="Q17" s="328"/>
    </row>
    <row r="18" spans="1:17" ht="15.75" customHeight="1">
      <c r="A18" s="10"/>
      <c r="B18" s="27" t="s">
        <v>99</v>
      </c>
      <c r="C18" s="321">
        <v>0</v>
      </c>
      <c r="D18" s="58"/>
      <c r="E18" s="269" t="s">
        <v>333</v>
      </c>
      <c r="F18" s="58"/>
      <c r="G18" s="329"/>
      <c r="H18" s="329"/>
      <c r="I18" s="329"/>
      <c r="J18" s="329"/>
      <c r="K18" s="329"/>
      <c r="L18" s="329"/>
      <c r="M18" s="329"/>
      <c r="N18" s="329"/>
      <c r="O18" s="329"/>
      <c r="P18" s="329"/>
      <c r="Q18" s="329"/>
    </row>
    <row r="19" spans="1:17" ht="15.75" customHeight="1">
      <c r="A19" s="10"/>
      <c r="B19" s="31" t="s">
        <v>66</v>
      </c>
      <c r="C19" s="322">
        <f>C16+C17</f>
        <v>669884130.41609263</v>
      </c>
      <c r="D19" s="27"/>
      <c r="E19" s="267"/>
      <c r="F19" s="27"/>
      <c r="G19" s="327">
        <f>IF(G$4="","",G16+G17)</f>
        <v>632397776.92850411</v>
      </c>
      <c r="H19" s="327">
        <f t="shared" ref="H19:Q19" si="9">IF(H$4="","",H16+H17)</f>
        <v>581858598.94818258</v>
      </c>
      <c r="I19" s="327">
        <f t="shared" si="9"/>
        <v>764202643.33127868</v>
      </c>
      <c r="J19" s="327">
        <f t="shared" si="9"/>
        <v>707780786.38961124</v>
      </c>
      <c r="K19" s="327">
        <f t="shared" si="9"/>
        <v>644127396.67798734</v>
      </c>
      <c r="L19" s="327">
        <f t="shared" si="9"/>
        <v>447040219.5566541</v>
      </c>
      <c r="M19" s="327">
        <f t="shared" si="9"/>
        <v>286277003.34484166</v>
      </c>
      <c r="N19" s="327">
        <f t="shared" si="9"/>
        <v>237486348</v>
      </c>
      <c r="O19" s="327">
        <f t="shared" si="9"/>
        <v>281340210</v>
      </c>
      <c r="P19" s="327">
        <f t="shared" si="9"/>
        <v>294852967</v>
      </c>
      <c r="Q19" s="327"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7"/>
      <c r="F22" s="27"/>
      <c r="G22" s="12"/>
      <c r="H22" s="12"/>
      <c r="I22" s="12"/>
      <c r="J22" s="12"/>
      <c r="K22" s="12"/>
      <c r="L22" s="12"/>
      <c r="M22" s="12"/>
      <c r="N22" s="12"/>
      <c r="O22" s="12"/>
      <c r="P22" s="12"/>
      <c r="Q22" s="12"/>
    </row>
    <row r="23" spans="1:17" ht="15.75" customHeight="1">
      <c r="A23" s="10"/>
      <c r="B23" s="27" t="s">
        <v>43</v>
      </c>
      <c r="C23" s="330">
        <f>-C4*C28</f>
        <v>-4757578204.6885996</v>
      </c>
      <c r="D23" s="58"/>
      <c r="E23" s="269"/>
      <c r="F23" s="58"/>
      <c r="G23" s="326">
        <f>Data!C37</f>
        <v>-5145338820</v>
      </c>
      <c r="H23" s="326">
        <f>Data!D37</f>
        <v>-5036852503</v>
      </c>
      <c r="I23" s="326">
        <f>Data!E37</f>
        <v>-4741732369</v>
      </c>
      <c r="J23" s="326">
        <f>Data!F37</f>
        <v>-4125460517</v>
      </c>
      <c r="K23" s="326">
        <f>Data!G37</f>
        <v>-3648371932</v>
      </c>
      <c r="L23" s="326">
        <f>Data!H37</f>
        <v>-3274676386</v>
      </c>
      <c r="M23" s="326">
        <f>Data!I37</f>
        <v>-2935100815</v>
      </c>
      <c r="N23" s="326">
        <f>Data!J37</f>
        <v>-2568541074</v>
      </c>
      <c r="O23" s="326">
        <f>Data!K37</f>
        <v>-2462409261</v>
      </c>
      <c r="P23" s="326">
        <f>Data!L37</f>
        <v>-2258759022</v>
      </c>
      <c r="Q23" s="326" t="str">
        <f>Data!M37</f>
        <v/>
      </c>
    </row>
    <row r="24" spans="1:17" ht="15.75" customHeight="1">
      <c r="A24" s="10"/>
      <c r="B24" s="68" t="s">
        <v>62</v>
      </c>
      <c r="C24" s="321">
        <f>-C4*C29</f>
        <v>-658755173.41578829</v>
      </c>
      <c r="D24" s="27"/>
      <c r="E24" s="267"/>
      <c r="F24" s="27"/>
      <c r="G24" s="326">
        <f>Data!C40</f>
        <v>-712355118</v>
      </c>
      <c r="H24" s="326">
        <f>Data!D40</f>
        <v>-616499772</v>
      </c>
      <c r="I24" s="326">
        <f>Data!E40</f>
        <v>-700587939</v>
      </c>
      <c r="J24" s="326">
        <f>Data!F40</f>
        <v>-604192141</v>
      </c>
      <c r="K24" s="326">
        <f>Data!G40</f>
        <v>-516475958</v>
      </c>
      <c r="L24" s="326">
        <f>Data!H40</f>
        <v>-666000728</v>
      </c>
      <c r="M24" s="326">
        <f>Data!I40</f>
        <v>-569962537</v>
      </c>
      <c r="N24" s="326">
        <f>Data!J40</f>
        <v>-488865088</v>
      </c>
      <c r="O24" s="326">
        <f>Data!K40</f>
        <v>-450745526</v>
      </c>
      <c r="P24" s="326">
        <f>Data!L40</f>
        <v>-432888482</v>
      </c>
      <c r="Q24" s="326" t="str">
        <f>Data!M40</f>
        <v/>
      </c>
    </row>
    <row r="25" spans="1:17" ht="15.75" customHeight="1">
      <c r="A25" s="10"/>
      <c r="B25" s="70" t="s">
        <v>46</v>
      </c>
      <c r="C25" s="322">
        <f>C23+C24</f>
        <v>-5416333378.1043882</v>
      </c>
      <c r="D25" s="9"/>
      <c r="E25" s="275"/>
      <c r="F25" s="9"/>
      <c r="G25" s="322">
        <f t="shared" ref="G25:Q25" si="10">IF(G$4="","",G23+G24)</f>
        <v>-5857693938</v>
      </c>
      <c r="H25" s="322">
        <f t="shared" si="10"/>
        <v>-5653352275</v>
      </c>
      <c r="I25" s="322">
        <f t="shared" si="10"/>
        <v>-5442320308</v>
      </c>
      <c r="J25" s="322">
        <f t="shared" si="10"/>
        <v>-4729652658</v>
      </c>
      <c r="K25" s="322">
        <f t="shared" si="10"/>
        <v>-4164847890</v>
      </c>
      <c r="L25" s="322">
        <f t="shared" si="10"/>
        <v>-3940677114</v>
      </c>
      <c r="M25" s="322">
        <f t="shared" si="10"/>
        <v>-3505063352</v>
      </c>
      <c r="N25" s="322">
        <f t="shared" si="10"/>
        <v>-3057406162</v>
      </c>
      <c r="O25" s="322">
        <f t="shared" si="10"/>
        <v>-2913154787</v>
      </c>
      <c r="P25" s="322">
        <f t="shared" si="10"/>
        <v>-2691647504</v>
      </c>
      <c r="Q25" s="322" t="str">
        <f t="shared" si="10"/>
        <v/>
      </c>
    </row>
    <row r="26" spans="1:17" ht="15.75" customHeight="1">
      <c r="A26" s="10"/>
      <c r="E26" s="270"/>
    </row>
    <row r="27" spans="1:17" ht="15.75" customHeight="1">
      <c r="A27" s="10"/>
      <c r="B27" s="64" t="s">
        <v>207</v>
      </c>
      <c r="E27" s="270"/>
    </row>
    <row r="28" spans="1:17" ht="15.75" customHeight="1">
      <c r="A28" s="10"/>
      <c r="B28" s="26" t="s">
        <v>43</v>
      </c>
      <c r="C28" s="63">
        <f>AVERAGE(G28:J28)</f>
        <v>0.70994371183399141</v>
      </c>
      <c r="D28" s="26"/>
      <c r="E28" s="268" t="s">
        <v>334</v>
      </c>
      <c r="F28" s="26"/>
      <c r="G28" s="13">
        <f t="shared" ref="G28:Q28" si="11">IF(G$4="","",ABS(G23/G$4))</f>
        <v>0.72150836263593321</v>
      </c>
      <c r="H28" s="13">
        <f t="shared" si="11"/>
        <v>0.74010113932364818</v>
      </c>
      <c r="I28" s="13">
        <f t="shared" si="11"/>
        <v>0.68886834066120062</v>
      </c>
      <c r="J28" s="13">
        <f t="shared" si="11"/>
        <v>0.68929700471518351</v>
      </c>
      <c r="K28" s="13">
        <f t="shared" si="11"/>
        <v>0.68976407813046781</v>
      </c>
      <c r="L28" s="13">
        <f t="shared" si="11"/>
        <v>0.67697035154892005</v>
      </c>
      <c r="M28" s="13">
        <f t="shared" si="11"/>
        <v>0.69932545971679316</v>
      </c>
      <c r="N28" s="13">
        <f t="shared" si="11"/>
        <v>0.7129413674723708</v>
      </c>
      <c r="O28" s="13">
        <f t="shared" si="11"/>
        <v>0.70093964226487759</v>
      </c>
      <c r="P28" s="13">
        <f t="shared" si="11"/>
        <v>0.68212168043658106</v>
      </c>
      <c r="Q28" s="13" t="str">
        <f t="shared" si="11"/>
        <v/>
      </c>
    </row>
    <row r="29" spans="1:17" ht="15.75" customHeight="1">
      <c r="A29" s="10"/>
      <c r="B29" s="68" t="str">
        <f>B24</f>
        <v>Selling Expenses</v>
      </c>
      <c r="C29" s="63">
        <f>AVERAGE(G29:J29)</f>
        <v>9.8301924400055279E-2</v>
      </c>
      <c r="D29" s="26"/>
      <c r="E29" s="268" t="s">
        <v>334</v>
      </c>
      <c r="F29" s="26"/>
      <c r="G29" s="13">
        <f t="shared" ref="G29:Q29" si="12">IF(G$4="","",ABS(G24/G$4))</f>
        <v>9.9890443133831761E-2</v>
      </c>
      <c r="H29" s="13">
        <f t="shared" si="12"/>
        <v>9.0586766910130692E-2</v>
      </c>
      <c r="I29" s="13">
        <f t="shared" si="12"/>
        <v>0.10177985880885139</v>
      </c>
      <c r="J29" s="13">
        <f t="shared" si="12"/>
        <v>0.10095062874740726</v>
      </c>
      <c r="K29" s="13">
        <f t="shared" si="12"/>
        <v>9.7645352416448811E-2</v>
      </c>
      <c r="L29" s="13">
        <f t="shared" si="12"/>
        <v>0.13768161913450117</v>
      </c>
      <c r="M29" s="13">
        <f t="shared" si="12"/>
        <v>0.1358008935065744</v>
      </c>
      <c r="N29" s="13">
        <f t="shared" si="12"/>
        <v>0.13569264975990838</v>
      </c>
      <c r="O29" s="13">
        <f t="shared" si="12"/>
        <v>0.12830743156749932</v>
      </c>
      <c r="P29" s="13">
        <f t="shared" si="12"/>
        <v>0.13072780934463077</v>
      </c>
      <c r="Q29" s="13" t="str">
        <f t="shared" si="12"/>
        <v/>
      </c>
    </row>
    <row r="30" spans="1:17" ht="15.75" customHeight="1">
      <c r="A30" s="10"/>
      <c r="B30" s="70" t="s">
        <v>46</v>
      </c>
      <c r="C30" s="71">
        <f>ABS(C25/$C$4)</f>
        <v>0.80824563623404666</v>
      </c>
      <c r="E30" s="270"/>
      <c r="G30" s="30">
        <f t="shared" ref="G30:Q30" si="13">IF(G$4="","",ABS(G25/G$4))</f>
        <v>0.82139880576976498</v>
      </c>
      <c r="H30" s="30">
        <f t="shared" si="13"/>
        <v>0.83068790623377897</v>
      </c>
      <c r="I30" s="30">
        <f t="shared" si="13"/>
        <v>0.79064819947005205</v>
      </c>
      <c r="J30" s="30">
        <f t="shared" si="13"/>
        <v>0.79024763346259075</v>
      </c>
      <c r="K30" s="30">
        <f t="shared" si="13"/>
        <v>0.7874094305469167</v>
      </c>
      <c r="L30" s="30">
        <f t="shared" si="13"/>
        <v>0.81465197068342121</v>
      </c>
      <c r="M30" s="30">
        <f t="shared" si="13"/>
        <v>0.83512635322336748</v>
      </c>
      <c r="N30" s="30">
        <f t="shared" si="13"/>
        <v>0.84863401723227927</v>
      </c>
      <c r="O30" s="30">
        <f t="shared" si="13"/>
        <v>0.82924707383237684</v>
      </c>
      <c r="P30" s="30">
        <f t="shared" si="13"/>
        <v>0.81284948978121174</v>
      </c>
      <c r="Q30" s="30" t="str">
        <f t="shared" si="13"/>
        <v/>
      </c>
    </row>
    <row r="31" spans="1:17" ht="15.75" customHeight="1">
      <c r="A31" s="10"/>
      <c r="E31" s="270"/>
    </row>
    <row r="32" spans="1:17" ht="15.75" customHeight="1">
      <c r="A32" s="10"/>
      <c r="B32" s="64" t="s">
        <v>45</v>
      </c>
      <c r="E32" s="270"/>
    </row>
    <row r="33" spans="1:17" ht="15.75" customHeight="1">
      <c r="A33" s="10"/>
      <c r="B33" s="8" t="s">
        <v>175</v>
      </c>
      <c r="C33" s="331">
        <f>AVERAGE(G33:J33)</f>
        <v>-301299427</v>
      </c>
      <c r="E33" s="268" t="s">
        <v>334</v>
      </c>
      <c r="G33" s="321">
        <f>Data!C41</f>
        <v>-308000223</v>
      </c>
      <c r="H33" s="321">
        <f>Data!D41</f>
        <v>-289356094</v>
      </c>
      <c r="I33" s="321">
        <f>Data!E41</f>
        <v>-341967201</v>
      </c>
      <c r="J33" s="321">
        <f>Data!F41</f>
        <v>-265874190</v>
      </c>
      <c r="K33" s="321">
        <f>Data!G41</f>
        <v>-243091462</v>
      </c>
      <c r="L33" s="321">
        <f>Data!H41</f>
        <v>-248352945</v>
      </c>
      <c r="M33" s="321">
        <f>Data!I41</f>
        <v>-216078139</v>
      </c>
      <c r="N33" s="321">
        <f>Data!J41</f>
        <v>-209921471</v>
      </c>
      <c r="O33" s="321">
        <f>Data!K41</f>
        <v>-202358079</v>
      </c>
      <c r="P33" s="321">
        <f>Data!L41</f>
        <v>-214567696</v>
      </c>
      <c r="Q33" s="321" t="str">
        <f>Data!M41</f>
        <v/>
      </c>
    </row>
    <row r="34" spans="1:17" ht="15.75" customHeight="1">
      <c r="A34" s="10"/>
      <c r="B34" s="27" t="s">
        <v>49</v>
      </c>
      <c r="C34" s="331">
        <f>AVERAGE(G34:J34)</f>
        <v>-59733589</v>
      </c>
      <c r="D34" s="58"/>
      <c r="E34" s="268" t="s">
        <v>334</v>
      </c>
      <c r="F34" s="58"/>
      <c r="G34" s="326">
        <f>Data!C42</f>
        <v>-75683892</v>
      </c>
      <c r="H34" s="326">
        <f>Data!D42</f>
        <v>-64604520</v>
      </c>
      <c r="I34" s="326">
        <f>Data!E42</f>
        <v>-53560452</v>
      </c>
      <c r="J34" s="326">
        <f>Data!F42</f>
        <v>-45085492</v>
      </c>
      <c r="K34" s="326">
        <f>Data!G42</f>
        <v>-36242796</v>
      </c>
      <c r="L34" s="326">
        <f>Data!H42</f>
        <v>-30636524</v>
      </c>
      <c r="M34" s="326">
        <f>Data!I42</f>
        <v>-25189552</v>
      </c>
      <c r="N34" s="326">
        <f>Data!J42</f>
        <v>0</v>
      </c>
      <c r="O34" s="326">
        <f>Data!K42</f>
        <v>0</v>
      </c>
      <c r="P34" s="326">
        <f>Data!L42</f>
        <v>0</v>
      </c>
      <c r="Q34" s="326" t="str">
        <f>Data!M42</f>
        <v/>
      </c>
    </row>
    <row r="35" spans="1:17" ht="15.75" customHeight="1">
      <c r="A35" s="10"/>
      <c r="B35" s="70" t="s">
        <v>45</v>
      </c>
      <c r="C35" s="322">
        <f>C33+C34</f>
        <v>-361033016</v>
      </c>
      <c r="D35" s="58"/>
      <c r="E35" s="269"/>
      <c r="F35" s="58"/>
      <c r="G35" s="322">
        <f t="shared" ref="G35:Q35" si="14">IF(G4="","",G33+G34)</f>
        <v>-383684115</v>
      </c>
      <c r="H35" s="322">
        <f t="shared" si="14"/>
        <v>-353960614</v>
      </c>
      <c r="I35" s="322">
        <f t="shared" si="14"/>
        <v>-395527653</v>
      </c>
      <c r="J35" s="322">
        <f t="shared" si="14"/>
        <v>-310959682</v>
      </c>
      <c r="K35" s="322">
        <f t="shared" si="14"/>
        <v>-279334258</v>
      </c>
      <c r="L35" s="322">
        <f t="shared" si="14"/>
        <v>-278989469</v>
      </c>
      <c r="M35" s="322">
        <f t="shared" si="14"/>
        <v>-241267691</v>
      </c>
      <c r="N35" s="322">
        <f t="shared" si="14"/>
        <v>-209921471</v>
      </c>
      <c r="O35" s="322">
        <f t="shared" si="14"/>
        <v>-202358079</v>
      </c>
      <c r="P35" s="322">
        <f t="shared" si="14"/>
        <v>-214567696</v>
      </c>
      <c r="Q35" s="322" t="str">
        <f t="shared" si="14"/>
        <v/>
      </c>
    </row>
    <row r="36" spans="1:17" ht="15.75" customHeight="1">
      <c r="A36" s="10"/>
      <c r="E36" s="270"/>
    </row>
    <row r="37" spans="1:17" ht="15.75" customHeight="1">
      <c r="A37" s="10"/>
      <c r="B37" s="64" t="s">
        <v>208</v>
      </c>
      <c r="E37" s="270"/>
    </row>
    <row r="38" spans="1:17" ht="15.75" customHeight="1">
      <c r="A38" s="10"/>
      <c r="B38" s="2" t="str">
        <f>B33</f>
        <v>G&amp;A and other Opex</v>
      </c>
      <c r="C38" s="23">
        <f>ABS(C33/$C$4)</f>
        <v>4.4961033613074491E-2</v>
      </c>
      <c r="D38" s="27"/>
      <c r="E38" s="267"/>
      <c r="F38" s="27"/>
      <c r="G38" s="13">
        <f t="shared" ref="G38:Q38" si="15">IF(G$4="","",ABS(G33/G$4))</f>
        <v>4.3189524414688069E-2</v>
      </c>
      <c r="H38" s="13">
        <f t="shared" si="15"/>
        <v>4.2517182052102795E-2</v>
      </c>
      <c r="I38" s="13">
        <f t="shared" si="15"/>
        <v>4.9680234981947222E-2</v>
      </c>
      <c r="J38" s="13">
        <f t="shared" si="15"/>
        <v>4.4423230338256951E-2</v>
      </c>
      <c r="K38" s="13">
        <f t="shared" si="15"/>
        <v>4.5959063744879632E-2</v>
      </c>
      <c r="L38" s="13">
        <f t="shared" si="15"/>
        <v>5.1341739050504029E-2</v>
      </c>
      <c r="M38" s="13">
        <f t="shared" si="15"/>
        <v>5.1483391343381889E-2</v>
      </c>
      <c r="N38" s="13">
        <f t="shared" si="15"/>
        <v>5.82672016077527E-2</v>
      </c>
      <c r="O38" s="13">
        <f t="shared" si="15"/>
        <v>5.760244722522908E-2</v>
      </c>
      <c r="P38" s="13">
        <f t="shared" si="15"/>
        <v>6.4797207642509402E-2</v>
      </c>
      <c r="Q38" s="13" t="str">
        <f t="shared" si="15"/>
        <v/>
      </c>
    </row>
    <row r="39" spans="1:17" ht="15.75" customHeight="1">
      <c r="A39" s="10"/>
      <c r="B39" s="27" t="str">
        <f>B34</f>
        <v>R&amp;D</v>
      </c>
      <c r="C39" s="23">
        <f>ABS(C34/$C$4)</f>
        <v>8.9136707945301763E-3</v>
      </c>
      <c r="D39" s="27"/>
      <c r="E39" s="267"/>
      <c r="F39" s="27"/>
      <c r="G39" s="13">
        <f t="shared" ref="G39:Q39" si="16">IF(G$4="","",ABS(G34/G$4))</f>
        <v>1.061282121647235E-2</v>
      </c>
      <c r="H39" s="13">
        <f t="shared" si="16"/>
        <v>9.4928090169364675E-3</v>
      </c>
      <c r="I39" s="13">
        <f t="shared" si="16"/>
        <v>7.781143435154487E-3</v>
      </c>
      <c r="J39" s="13">
        <f t="shared" si="16"/>
        <v>7.5330486047917658E-3</v>
      </c>
      <c r="K39" s="13">
        <f t="shared" si="16"/>
        <v>6.8520916281982315E-3</v>
      </c>
      <c r="L39" s="13">
        <f t="shared" si="16"/>
        <v>6.3334558832088906E-3</v>
      </c>
      <c r="M39" s="13">
        <f t="shared" si="16"/>
        <v>6.0017342308768583E-3</v>
      </c>
      <c r="N39" s="13">
        <f t="shared" si="16"/>
        <v>0</v>
      </c>
      <c r="O39" s="13">
        <f t="shared" si="16"/>
        <v>0</v>
      </c>
      <c r="P39" s="13">
        <f t="shared" si="16"/>
        <v>0</v>
      </c>
      <c r="Q39" s="13" t="str">
        <f t="shared" si="16"/>
        <v/>
      </c>
    </row>
    <row r="40" spans="1:17" ht="15.75" customHeight="1">
      <c r="A40" s="10"/>
      <c r="B40" s="70" t="s">
        <v>45</v>
      </c>
      <c r="C40" s="71">
        <f>ABS(C35/$C$4)</f>
        <v>5.3874704407604668E-2</v>
      </c>
      <c r="E40" s="270"/>
      <c r="G40" s="30">
        <f t="shared" ref="G40:Q40" si="17">IF(G$4="","",ABS(G35/G$4))</f>
        <v>5.3802345631160417E-2</v>
      </c>
      <c r="H40" s="30">
        <f t="shared" si="17"/>
        <v>5.2009991069039266E-2</v>
      </c>
      <c r="I40" s="30">
        <f t="shared" si="17"/>
        <v>5.7461378417101708E-2</v>
      </c>
      <c r="J40" s="30">
        <f t="shared" si="17"/>
        <v>5.1956278943048717E-2</v>
      </c>
      <c r="K40" s="30">
        <f t="shared" si="17"/>
        <v>5.2811155373077866E-2</v>
      </c>
      <c r="L40" s="30">
        <f t="shared" si="17"/>
        <v>5.7675194933712919E-2</v>
      </c>
      <c r="M40" s="30">
        <f t="shared" si="17"/>
        <v>5.748512557425875E-2</v>
      </c>
      <c r="N40" s="30">
        <f t="shared" si="17"/>
        <v>5.82672016077527E-2</v>
      </c>
      <c r="O40" s="30">
        <f t="shared" si="17"/>
        <v>5.760244722522908E-2</v>
      </c>
      <c r="P40" s="30">
        <f t="shared" si="17"/>
        <v>6.4797207642509402E-2</v>
      </c>
      <c r="Q40" s="30" t="str">
        <f t="shared" si="17"/>
        <v/>
      </c>
    </row>
    <row r="41" spans="1:17" ht="15.75" customHeight="1">
      <c r="A41" s="10"/>
      <c r="E41" s="270"/>
    </row>
    <row r="42" spans="1:17" ht="15.75" customHeight="1">
      <c r="A42" s="10"/>
      <c r="B42" s="64" t="s">
        <v>209</v>
      </c>
      <c r="E42" s="270"/>
    </row>
    <row r="43" spans="1:17" ht="15.75" customHeight="1">
      <c r="A43" s="10"/>
      <c r="B43" s="27" t="s">
        <v>172</v>
      </c>
      <c r="C43" s="265">
        <v>0.25</v>
      </c>
      <c r="D43" s="27"/>
      <c r="E43" s="267" t="s">
        <v>335</v>
      </c>
      <c r="F43" s="27"/>
      <c r="G43" s="6">
        <f t="shared" ref="G43:Q43" si="18">IF(G$4="","",-G14/SUM(G8+G11,G12))</f>
        <v>0.26591269226183067</v>
      </c>
      <c r="H43" s="6">
        <f t="shared" si="18"/>
        <v>0.2472842217856171</v>
      </c>
      <c r="I43" s="6">
        <f t="shared" si="18"/>
        <v>0.24006762797675005</v>
      </c>
      <c r="J43" s="6">
        <f t="shared" si="18"/>
        <v>0.21767705355230063</v>
      </c>
      <c r="K43" s="6">
        <f t="shared" si="18"/>
        <v>0.2297270152463653</v>
      </c>
      <c r="L43" s="6">
        <f t="shared" si="18"/>
        <v>0.26658846520979329</v>
      </c>
      <c r="M43" s="6">
        <f t="shared" si="18"/>
        <v>0.30748392586721801</v>
      </c>
      <c r="N43" s="6">
        <f t="shared" si="18"/>
        <v>0.28460433973492522</v>
      </c>
      <c r="O43" s="6">
        <f t="shared" si="18"/>
        <v>0.27882502297389589</v>
      </c>
      <c r="P43" s="6">
        <f t="shared" si="18"/>
        <v>0.26925984093538763</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70"/>
    </row>
    <row r="47" spans="1:17" ht="15.75" customHeight="1">
      <c r="A47" s="10"/>
      <c r="B47" s="2" t="s">
        <v>39</v>
      </c>
      <c r="C47" s="321">
        <f>-BS!G31*Normalized_FCF!C54</f>
        <v>-59672121</v>
      </c>
      <c r="E47" s="270"/>
      <c r="G47" s="321">
        <f>Data!C51</f>
        <v>-59672121</v>
      </c>
      <c r="H47" s="321">
        <f>Data!D51</f>
        <v>-55482330</v>
      </c>
      <c r="I47" s="321">
        <f>Data!E51</f>
        <v>-54113032</v>
      </c>
      <c r="J47" s="321">
        <f>Data!F51</f>
        <v>-57135193</v>
      </c>
      <c r="K47" s="321">
        <f>Data!G51</f>
        <v>-20257228</v>
      </c>
      <c r="L47" s="321">
        <f>Data!H51</f>
        <v>-14761326</v>
      </c>
      <c r="M47" s="321">
        <f>Data!I51</f>
        <v>-33195116</v>
      </c>
      <c r="N47" s="321">
        <f>Data!J51</f>
        <v>0</v>
      </c>
      <c r="O47" s="321">
        <f>Data!K51</f>
        <v>0</v>
      </c>
      <c r="P47" s="321">
        <f>Data!L51</f>
        <v>0</v>
      </c>
      <c r="Q47" s="321" t="str">
        <f>Data!M51</f>
        <v/>
      </c>
    </row>
    <row r="48" spans="1:17" ht="15.75" customHeight="1">
      <c r="A48" s="10"/>
      <c r="B48" s="2" t="s">
        <v>346</v>
      </c>
      <c r="C48" s="321">
        <f>BS!D75*C53</f>
        <v>32042840.928504106</v>
      </c>
      <c r="E48" s="270"/>
      <c r="G48" s="330">
        <f>IFERROR(IF(G$4="","",($C$48/$C$49)*G49),0)</f>
        <v>32042840.928504109</v>
      </c>
      <c r="H48" s="330">
        <f t="shared" ref="H48:Q48" si="19">IFERROR(IF(H$4="","",($C$48/$C$49)*H49),0)</f>
        <v>30753656.948182587</v>
      </c>
      <c r="I48" s="330">
        <f t="shared" si="19"/>
        <v>17429758.331278637</v>
      </c>
      <c r="J48" s="330">
        <f t="shared" si="19"/>
        <v>18798663.389611207</v>
      </c>
      <c r="K48" s="330">
        <f t="shared" si="19"/>
        <v>11367946.677987374</v>
      </c>
      <c r="L48" s="330">
        <f t="shared" si="19"/>
        <v>6710914.5566540388</v>
      </c>
      <c r="M48" s="330">
        <f t="shared" si="19"/>
        <v>8519667.3448416796</v>
      </c>
      <c r="N48" s="330">
        <f t="shared" si="19"/>
        <v>0</v>
      </c>
      <c r="O48" s="330">
        <f t="shared" si="19"/>
        <v>0</v>
      </c>
      <c r="P48" s="330">
        <f t="shared" si="19"/>
        <v>0</v>
      </c>
      <c r="Q48" s="330" t="str">
        <f t="shared" si="19"/>
        <v/>
      </c>
    </row>
    <row r="49" spans="1:17" ht="15.75" customHeight="1">
      <c r="A49" s="10"/>
      <c r="B49" s="289" t="s">
        <v>343</v>
      </c>
      <c r="C49" s="332">
        <f>BS!$C$66*C53</f>
        <v>139564139</v>
      </c>
      <c r="D49" s="290"/>
      <c r="E49" s="291"/>
      <c r="F49" s="290"/>
      <c r="G49" s="332">
        <f>Data!C52</f>
        <v>139564139</v>
      </c>
      <c r="H49" s="332">
        <f>Data!D52</f>
        <v>133949036</v>
      </c>
      <c r="I49" s="332">
        <f>Data!E52</f>
        <v>75916153</v>
      </c>
      <c r="J49" s="332">
        <f>Data!F52</f>
        <v>81878485</v>
      </c>
      <c r="K49" s="332">
        <f>Data!G52</f>
        <v>49513640</v>
      </c>
      <c r="L49" s="332">
        <f>Data!H52</f>
        <v>29229712</v>
      </c>
      <c r="M49" s="332">
        <f>Data!I52</f>
        <v>37107822</v>
      </c>
      <c r="N49" s="332">
        <f>Data!J52</f>
        <v>0</v>
      </c>
      <c r="O49" s="332">
        <f>Data!K52</f>
        <v>0</v>
      </c>
      <c r="P49" s="332">
        <f>Data!L52</f>
        <v>0</v>
      </c>
      <c r="Q49" s="332" t="str">
        <f>Data!M52</f>
        <v/>
      </c>
    </row>
    <row r="50" spans="1:17" ht="15.75" customHeight="1">
      <c r="A50" s="10"/>
      <c r="B50" s="70" t="s">
        <v>68</v>
      </c>
      <c r="C50" s="322">
        <f>C47+C48</f>
        <v>-27629280.071495894</v>
      </c>
      <c r="E50" s="270"/>
      <c r="G50" s="322">
        <f>IF(G$4="","",(G47+G48))</f>
        <v>-27629280.071495891</v>
      </c>
      <c r="H50" s="322">
        <f t="shared" ref="H50:Q50" si="20">IF(H$4="","",(H47+H48))</f>
        <v>-24728673.051817413</v>
      </c>
      <c r="I50" s="322">
        <f t="shared" si="20"/>
        <v>-36683273.668721363</v>
      </c>
      <c r="J50" s="322">
        <f t="shared" si="20"/>
        <v>-38336529.610388793</v>
      </c>
      <c r="K50" s="322">
        <f t="shared" si="20"/>
        <v>-8889281.3220126256</v>
      </c>
      <c r="L50" s="322">
        <f t="shared" si="20"/>
        <v>-8050411.4433459612</v>
      </c>
      <c r="M50" s="322">
        <f t="shared" si="20"/>
        <v>-24675448.655158319</v>
      </c>
      <c r="N50" s="322">
        <f t="shared" si="20"/>
        <v>0</v>
      </c>
      <c r="O50" s="322">
        <f t="shared" si="20"/>
        <v>0</v>
      </c>
      <c r="P50" s="322">
        <f t="shared" si="20"/>
        <v>0</v>
      </c>
      <c r="Q50" s="322" t="str">
        <f t="shared" si="20"/>
        <v/>
      </c>
    </row>
    <row r="51" spans="1:17" ht="15.75" customHeight="1">
      <c r="A51" s="10"/>
      <c r="E51" s="270"/>
    </row>
    <row r="52" spans="1:17" ht="15.75" customHeight="1">
      <c r="A52" s="10"/>
      <c r="B52" s="72" t="s">
        <v>156</v>
      </c>
      <c r="E52" s="270"/>
      <c r="G52" s="97" t="s">
        <v>220</v>
      </c>
    </row>
    <row r="53" spans="1:17" ht="15.75" customHeight="1">
      <c r="A53" s="10"/>
      <c r="B53" s="8" t="s">
        <v>89</v>
      </c>
      <c r="C53" s="87">
        <f>G53</f>
        <v>3.0451386547102714E-2</v>
      </c>
      <c r="E53" s="267" t="s">
        <v>336</v>
      </c>
      <c r="G53" s="6">
        <f>IF(Normalized_FCF!G4="","",Normalized_FCF!G49/BS!$C$66)</f>
        <v>3.0451386547102714E-2</v>
      </c>
      <c r="H53" s="169"/>
      <c r="I53" s="169"/>
      <c r="J53" s="169"/>
      <c r="K53" s="169"/>
      <c r="L53" s="169"/>
      <c r="M53" s="169"/>
      <c r="N53" s="169"/>
      <c r="O53" s="169"/>
      <c r="P53" s="169"/>
      <c r="Q53" s="169"/>
    </row>
    <row r="54" spans="1:17" ht="15.75" customHeight="1">
      <c r="A54" s="10"/>
      <c r="B54" s="8" t="s">
        <v>88</v>
      </c>
      <c r="C54" s="82">
        <f>G54</f>
        <v>2.7005899779057908E-2</v>
      </c>
      <c r="E54" s="267" t="s">
        <v>337</v>
      </c>
      <c r="G54" s="23">
        <f>IFERROR(ABS(Normalized_FCF!G47/BS!$G$31),0)</f>
        <v>2.7005899779057908E-2</v>
      </c>
      <c r="H54" s="169"/>
      <c r="I54" s="169"/>
      <c r="J54" s="169"/>
      <c r="K54" s="169"/>
      <c r="L54" s="169"/>
      <c r="M54" s="169"/>
      <c r="N54" s="169"/>
      <c r="O54" s="169"/>
      <c r="P54" s="169"/>
      <c r="Q54" s="169"/>
    </row>
    <row r="55" spans="1:17" ht="15.75" customHeight="1">
      <c r="A55" s="10"/>
      <c r="B55" s="26" t="s">
        <v>91</v>
      </c>
      <c r="C55" s="42">
        <f>-C8/C47</f>
        <v>15.484270374696615</v>
      </c>
      <c r="E55" s="270"/>
      <c r="G55" s="42">
        <f t="shared" ref="G55:Q55" si="21">IF(G4="","",-G8/G47)</f>
        <v>14.914603521466917</v>
      </c>
      <c r="H55" s="42">
        <f t="shared" si="21"/>
        <v>14.388624089867891</v>
      </c>
      <c r="I55" s="42">
        <f t="shared" si="21"/>
        <v>19.320988093958587</v>
      </c>
      <c r="J55" s="42">
        <f t="shared" si="21"/>
        <v>16.529456582040424</v>
      </c>
      <c r="K55" s="42">
        <f t="shared" si="21"/>
        <v>41.719523618927525</v>
      </c>
      <c r="L55" s="42">
        <f t="shared" si="21"/>
        <v>41.838091713440917</v>
      </c>
      <c r="M55" s="42">
        <f t="shared" si="21"/>
        <v>13.577735833187027</v>
      </c>
      <c r="N55" s="42" t="e">
        <f t="shared" si="21"/>
        <v>#DIV/0!</v>
      </c>
      <c r="O55" s="42" t="e">
        <f t="shared" si="21"/>
        <v>#DIV/0!</v>
      </c>
      <c r="P55" s="42" t="e">
        <f t="shared" si="21"/>
        <v>#DIV/0!</v>
      </c>
      <c r="Q55" s="42" t="str">
        <f t="shared" si="21"/>
        <v/>
      </c>
    </row>
    <row r="56" spans="1:17" ht="15.75" customHeight="1">
      <c r="A56" s="10"/>
      <c r="E56" s="270"/>
    </row>
    <row r="57" spans="1:17" ht="15.75" customHeight="1">
      <c r="A57" s="10"/>
      <c r="B57" s="64" t="s">
        <v>169</v>
      </c>
      <c r="E57" s="270"/>
      <c r="G57" s="97" t="s">
        <v>220</v>
      </c>
    </row>
    <row r="58" spans="1:17" ht="15.75" customHeight="1">
      <c r="A58" s="10"/>
      <c r="B58" s="40" t="s">
        <v>168</v>
      </c>
      <c r="C58" s="321">
        <f>BS!$C67*C66</f>
        <v>0</v>
      </c>
      <c r="E58" s="270"/>
      <c r="G58" s="321">
        <f>Data!C56</f>
        <v>0</v>
      </c>
      <c r="H58" s="321">
        <f>Data!D56</f>
        <v>0</v>
      </c>
      <c r="I58" s="321">
        <f>Data!E56</f>
        <v>0</v>
      </c>
      <c r="J58" s="321">
        <f>Data!F56</f>
        <v>0</v>
      </c>
      <c r="K58" s="321">
        <f>Data!G56</f>
        <v>0</v>
      </c>
      <c r="L58" s="321">
        <f>Data!H56</f>
        <v>0</v>
      </c>
      <c r="M58" s="321">
        <f>Data!I56</f>
        <v>0</v>
      </c>
      <c r="N58" s="321">
        <f>Data!J56</f>
        <v>0</v>
      </c>
      <c r="O58" s="321">
        <f>Data!K56</f>
        <v>0</v>
      </c>
      <c r="P58" s="321">
        <f>Data!L56</f>
        <v>0</v>
      </c>
      <c r="Q58" s="321" t="str">
        <f>Data!M56</f>
        <v/>
      </c>
    </row>
    <row r="59" spans="1:17" ht="15.75" customHeight="1">
      <c r="A59" s="10"/>
      <c r="B59" s="40" t="s">
        <v>160</v>
      </c>
      <c r="C59" s="321">
        <f>BS!$C68*C67</f>
        <v>0</v>
      </c>
      <c r="E59" s="270"/>
      <c r="G59" s="321">
        <f>Data!C55</f>
        <v>0</v>
      </c>
      <c r="H59" s="321">
        <f>Data!D55</f>
        <v>0</v>
      </c>
      <c r="I59" s="321">
        <f>Data!E55</f>
        <v>0</v>
      </c>
      <c r="J59" s="321">
        <f>Data!F55</f>
        <v>0</v>
      </c>
      <c r="K59" s="321">
        <f>Data!G55</f>
        <v>0</v>
      </c>
      <c r="L59" s="321">
        <f>Data!H55</f>
        <v>0</v>
      </c>
      <c r="M59" s="321">
        <f>Data!I55</f>
        <v>0</v>
      </c>
      <c r="N59" s="321">
        <f>Data!J55</f>
        <v>0</v>
      </c>
      <c r="O59" s="321">
        <f>Data!K55</f>
        <v>0</v>
      </c>
      <c r="P59" s="321">
        <f>Data!L55</f>
        <v>0</v>
      </c>
      <c r="Q59" s="321" t="str">
        <f>Data!M55</f>
        <v/>
      </c>
    </row>
    <row r="60" spans="1:17" ht="15.75" customHeight="1">
      <c r="A60" s="10"/>
      <c r="B60" s="40" t="s">
        <v>159</v>
      </c>
      <c r="C60" s="321">
        <f>BS!$C69*C68</f>
        <v>0</v>
      </c>
      <c r="E60" s="270"/>
      <c r="G60" s="321">
        <f>Data!C57</f>
        <v>0</v>
      </c>
      <c r="H60" s="321">
        <f>Data!D57</f>
        <v>0</v>
      </c>
      <c r="I60" s="321">
        <f>Data!E57</f>
        <v>0</v>
      </c>
      <c r="J60" s="321">
        <f>Data!F57</f>
        <v>0</v>
      </c>
      <c r="K60" s="321">
        <f>Data!G57</f>
        <v>0</v>
      </c>
      <c r="L60" s="321">
        <f>Data!H57</f>
        <v>0</v>
      </c>
      <c r="M60" s="321">
        <f>Data!I57</f>
        <v>0</v>
      </c>
      <c r="N60" s="321">
        <f>Data!J57</f>
        <v>0</v>
      </c>
      <c r="O60" s="321">
        <f>Data!K57</f>
        <v>0</v>
      </c>
      <c r="P60" s="321">
        <f>Data!L57</f>
        <v>0</v>
      </c>
      <c r="Q60" s="321" t="str">
        <f>Data!M57</f>
        <v/>
      </c>
    </row>
    <row r="61" spans="1:17" ht="15.75" customHeight="1">
      <c r="A61" s="10"/>
      <c r="B61" s="31" t="s">
        <v>195</v>
      </c>
      <c r="C61" s="322">
        <f>SUM(C58:C60)</f>
        <v>0</v>
      </c>
      <c r="E61" s="270"/>
      <c r="G61" s="322">
        <f t="shared" ref="G61:Q61" si="22">IF(G4="","",SUM(G58:G60))</f>
        <v>0</v>
      </c>
      <c r="H61" s="322">
        <f t="shared" si="22"/>
        <v>0</v>
      </c>
      <c r="I61" s="322">
        <f t="shared" si="22"/>
        <v>0</v>
      </c>
      <c r="J61" s="322">
        <f t="shared" si="22"/>
        <v>0</v>
      </c>
      <c r="K61" s="322">
        <f t="shared" si="22"/>
        <v>0</v>
      </c>
      <c r="L61" s="322">
        <f t="shared" si="22"/>
        <v>0</v>
      </c>
      <c r="M61" s="322">
        <f t="shared" si="22"/>
        <v>0</v>
      </c>
      <c r="N61" s="322">
        <f t="shared" si="22"/>
        <v>0</v>
      </c>
      <c r="O61" s="322">
        <f t="shared" si="22"/>
        <v>0</v>
      </c>
      <c r="P61" s="322">
        <f t="shared" si="22"/>
        <v>0</v>
      </c>
      <c r="Q61" s="322" t="str">
        <f t="shared" si="22"/>
        <v/>
      </c>
    </row>
    <row r="62" spans="1:17" ht="15.75" customHeight="1">
      <c r="A62" s="10"/>
      <c r="B62" s="40" t="s">
        <v>161</v>
      </c>
      <c r="C62" s="333">
        <v>0</v>
      </c>
      <c r="E62" s="268" t="s">
        <v>338</v>
      </c>
      <c r="G62" s="321">
        <f>Data!C58</f>
        <v>109561692</v>
      </c>
      <c r="H62" s="321">
        <f>Data!D58</f>
        <v>117685283</v>
      </c>
      <c r="I62" s="321">
        <f>Data!E58</f>
        <v>153310521</v>
      </c>
      <c r="J62" s="321">
        <f>Data!F58</f>
        <v>157800049</v>
      </c>
      <c r="K62" s="321">
        <f>Data!G58</f>
        <v>122773789</v>
      </c>
      <c r="L62" s="321">
        <f>Data!H58</f>
        <v>133918046</v>
      </c>
      <c r="M62" s="321">
        <f>Data!I58</f>
        <v>117943355</v>
      </c>
      <c r="N62" s="321">
        <f>Data!J58</f>
        <v>81735796</v>
      </c>
      <c r="O62" s="321">
        <f>Data!K58</f>
        <v>72369405</v>
      </c>
      <c r="P62" s="321">
        <f>Data!L58</f>
        <v>69088877</v>
      </c>
      <c r="Q62" s="321" t="str">
        <f>Data!M58</f>
        <v/>
      </c>
    </row>
    <row r="63" spans="1:17" ht="15.75" customHeight="1">
      <c r="A63" s="10"/>
      <c r="B63" s="31" t="s">
        <v>196</v>
      </c>
      <c r="C63" s="322">
        <f>C61+C62</f>
        <v>0</v>
      </c>
      <c r="E63" s="270"/>
      <c r="G63" s="322">
        <f t="shared" ref="G63:Q63" si="23">IF(G4="","",G61+G62)</f>
        <v>109561692</v>
      </c>
      <c r="H63" s="322">
        <f t="shared" si="23"/>
        <v>117685283</v>
      </c>
      <c r="I63" s="322">
        <f t="shared" si="23"/>
        <v>153310521</v>
      </c>
      <c r="J63" s="322">
        <f t="shared" si="23"/>
        <v>157800049</v>
      </c>
      <c r="K63" s="322">
        <f t="shared" si="23"/>
        <v>122773789</v>
      </c>
      <c r="L63" s="322">
        <f t="shared" si="23"/>
        <v>133918046</v>
      </c>
      <c r="M63" s="322">
        <f t="shared" si="23"/>
        <v>117943355</v>
      </c>
      <c r="N63" s="322">
        <f t="shared" si="23"/>
        <v>81735796</v>
      </c>
      <c r="O63" s="322">
        <f t="shared" si="23"/>
        <v>72369405</v>
      </c>
      <c r="P63" s="322">
        <f t="shared" si="23"/>
        <v>69088877</v>
      </c>
      <c r="Q63" s="322" t="str">
        <f t="shared" si="23"/>
        <v/>
      </c>
    </row>
    <row r="64" spans="1:17" ht="15.75" customHeight="1">
      <c r="A64" s="10"/>
      <c r="E64" s="270"/>
    </row>
    <row r="65" spans="1:17" ht="15.75" customHeight="1">
      <c r="A65" s="10"/>
      <c r="B65" s="96" t="s">
        <v>170</v>
      </c>
      <c r="E65" s="270"/>
      <c r="G65" s="97" t="s">
        <v>220</v>
      </c>
    </row>
    <row r="66" spans="1:17" ht="15.75" customHeight="1">
      <c r="A66" s="10"/>
      <c r="B66" s="40" t="s">
        <v>168</v>
      </c>
      <c r="C66" s="176">
        <f>G66</f>
        <v>0</v>
      </c>
      <c r="E66" s="270"/>
      <c r="G66" s="23">
        <f>IFERROR(G58/BS!$C$67,0)</f>
        <v>0</v>
      </c>
      <c r="H66" s="175"/>
      <c r="I66" s="175"/>
      <c r="J66" s="175"/>
      <c r="K66" s="175"/>
      <c r="L66" s="175"/>
      <c r="M66" s="175"/>
      <c r="N66" s="175"/>
      <c r="O66" s="175"/>
      <c r="P66" s="175"/>
      <c r="Q66" s="175"/>
    </row>
    <row r="67" spans="1:17" ht="15.75" customHeight="1">
      <c r="A67" s="10"/>
      <c r="B67" s="105" t="s">
        <v>158</v>
      </c>
      <c r="C67" s="176">
        <f>G67</f>
        <v>0</v>
      </c>
      <c r="E67" s="270"/>
      <c r="G67" s="23">
        <f>IFERROR(G59/BS!$C$68,0)</f>
        <v>0</v>
      </c>
      <c r="H67" s="175"/>
      <c r="I67" s="175"/>
      <c r="J67" s="175"/>
      <c r="K67" s="175"/>
      <c r="L67" s="175"/>
      <c r="M67" s="175"/>
      <c r="N67" s="175"/>
      <c r="O67" s="175"/>
      <c r="P67" s="175"/>
      <c r="Q67" s="175"/>
    </row>
    <row r="68" spans="1:17" ht="15.75" customHeight="1">
      <c r="A68" s="10"/>
      <c r="B68" s="105" t="s">
        <v>159</v>
      </c>
      <c r="C68" s="176">
        <f>G68</f>
        <v>0</v>
      </c>
      <c r="E68" s="270"/>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5"/>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461</v>
      </c>
      <c r="F71" s="56"/>
      <c r="G71" s="37"/>
      <c r="H71" s="37"/>
      <c r="I71" s="37"/>
      <c r="J71" s="37"/>
      <c r="K71" s="37"/>
      <c r="L71" s="37"/>
      <c r="M71" s="37"/>
      <c r="N71" s="37"/>
      <c r="O71" s="37"/>
      <c r="P71" s="37"/>
      <c r="Q71" s="37"/>
    </row>
    <row r="72" spans="1:17" ht="15.75" customHeight="1">
      <c r="A72" s="10"/>
      <c r="B72" s="72" t="s">
        <v>217</v>
      </c>
      <c r="C72" s="62"/>
      <c r="D72" s="27"/>
      <c r="E72" s="267"/>
      <c r="F72" s="27"/>
      <c r="G72" s="97"/>
      <c r="H72" s="12"/>
      <c r="I72" s="12"/>
      <c r="J72" s="12"/>
      <c r="K72" s="12"/>
      <c r="L72" s="12"/>
      <c r="M72" s="12"/>
      <c r="N72" s="12"/>
      <c r="O72" s="12"/>
      <c r="P72" s="12"/>
      <c r="Q72" s="12"/>
    </row>
    <row r="73" spans="1:17" ht="15.75" customHeight="1">
      <c r="A73" s="10"/>
      <c r="B73" s="2" t="s">
        <v>46</v>
      </c>
      <c r="C73" s="77">
        <f>ABS(C5/C$4)</f>
        <v>0.80824563623404666</v>
      </c>
      <c r="D73" s="27"/>
      <c r="E73" s="267"/>
      <c r="F73" s="27"/>
      <c r="G73" s="6">
        <f t="shared" ref="G73:Q73" si="24">IF(G$4="","",ABS(G5/G$4))</f>
        <v>0.82139880576976498</v>
      </c>
      <c r="H73" s="6">
        <f t="shared" si="24"/>
        <v>0.83068790623377897</v>
      </c>
      <c r="I73" s="6">
        <f t="shared" si="24"/>
        <v>0.79064819947005205</v>
      </c>
      <c r="J73" s="6">
        <f t="shared" si="24"/>
        <v>0.79024763346259075</v>
      </c>
      <c r="K73" s="6">
        <f t="shared" si="24"/>
        <v>0.7874094305469167</v>
      </c>
      <c r="L73" s="6">
        <f t="shared" si="24"/>
        <v>0.81465197068342121</v>
      </c>
      <c r="M73" s="6">
        <f t="shared" si="24"/>
        <v>0.83512635322336748</v>
      </c>
      <c r="N73" s="6">
        <f t="shared" si="24"/>
        <v>0.84863401723227927</v>
      </c>
      <c r="O73" s="6">
        <f t="shared" si="24"/>
        <v>0.82924707383237684</v>
      </c>
      <c r="P73" s="6">
        <f t="shared" si="24"/>
        <v>0.81284948978121174</v>
      </c>
      <c r="Q73" s="6" t="str">
        <f t="shared" si="24"/>
        <v/>
      </c>
    </row>
    <row r="74" spans="1:17" ht="15.75" customHeight="1">
      <c r="A74" s="10"/>
      <c r="B74" s="31" t="s">
        <v>48</v>
      </c>
      <c r="C74" s="78">
        <f>ABS(C6/C$4)</f>
        <v>0.19175436376595334</v>
      </c>
      <c r="D74" s="27"/>
      <c r="E74" s="267"/>
      <c r="F74" s="27"/>
      <c r="G74" s="65">
        <f t="shared" ref="G74:Q74" si="25">IF(G$4="","",ABS(G6/G$4))</f>
        <v>0.17860119423023502</v>
      </c>
      <c r="H74" s="65">
        <f t="shared" si="25"/>
        <v>0.16931209376622108</v>
      </c>
      <c r="I74" s="65">
        <f t="shared" si="25"/>
        <v>0.20935180052994801</v>
      </c>
      <c r="J74" s="65">
        <f t="shared" si="25"/>
        <v>0.20975236653740925</v>
      </c>
      <c r="K74" s="65">
        <f t="shared" si="25"/>
        <v>0.21259056945308333</v>
      </c>
      <c r="L74" s="65">
        <f t="shared" si="25"/>
        <v>0.18534802931657879</v>
      </c>
      <c r="M74" s="65">
        <f t="shared" si="25"/>
        <v>0.16487364677663247</v>
      </c>
      <c r="N74" s="65">
        <f t="shared" si="25"/>
        <v>0.15136598276772079</v>
      </c>
      <c r="O74" s="65">
        <f t="shared" si="25"/>
        <v>0.17075292616762311</v>
      </c>
      <c r="P74" s="65">
        <f t="shared" si="25"/>
        <v>0.18715051021878823</v>
      </c>
      <c r="Q74" s="65" t="str">
        <f t="shared" si="25"/>
        <v/>
      </c>
    </row>
    <row r="75" spans="1:17" ht="15.75" customHeight="1">
      <c r="A75" s="10"/>
      <c r="B75" s="8" t="s">
        <v>45</v>
      </c>
      <c r="C75" s="77">
        <f>ABS(C7/C$4)</f>
        <v>5.3874704407604668E-2</v>
      </c>
      <c r="D75" s="27"/>
      <c r="E75" s="267"/>
      <c r="F75" s="27"/>
      <c r="G75" s="6">
        <f t="shared" ref="G75:Q75" si="26">IF(G$4="","",ABS(G7/G$4))</f>
        <v>5.3802345631160417E-2</v>
      </c>
      <c r="H75" s="6">
        <f t="shared" si="26"/>
        <v>5.2009991069039266E-2</v>
      </c>
      <c r="I75" s="6">
        <f t="shared" si="26"/>
        <v>5.7461378417101708E-2</v>
      </c>
      <c r="J75" s="6">
        <f t="shared" si="26"/>
        <v>5.1956278943048717E-2</v>
      </c>
      <c r="K75" s="6">
        <f t="shared" si="26"/>
        <v>5.2811155373077866E-2</v>
      </c>
      <c r="L75" s="6">
        <f t="shared" si="26"/>
        <v>5.7675194933712919E-2</v>
      </c>
      <c r="M75" s="6">
        <f t="shared" si="26"/>
        <v>5.748512557425875E-2</v>
      </c>
      <c r="N75" s="6">
        <f t="shared" si="26"/>
        <v>5.82672016077527E-2</v>
      </c>
      <c r="O75" s="6">
        <f t="shared" si="26"/>
        <v>5.760244722522908E-2</v>
      </c>
      <c r="P75" s="6">
        <f t="shared" si="26"/>
        <v>6.4797207642509402E-2</v>
      </c>
      <c r="Q75" s="6" t="str">
        <f t="shared" si="26"/>
        <v/>
      </c>
    </row>
    <row r="76" spans="1:17" ht="15.75" customHeight="1">
      <c r="A76" s="10"/>
      <c r="B76" s="29" t="s">
        <v>153</v>
      </c>
      <c r="C76" s="78">
        <f>ABS(C8/C$4)</f>
        <v>0.13787965935834867</v>
      </c>
      <c r="D76" s="27"/>
      <c r="E76" s="267"/>
      <c r="F76" s="27"/>
      <c r="G76" s="65">
        <f t="shared" ref="G76:Q76" si="27">IF(G$4="","",ABS(G8/G$4))</f>
        <v>0.12479884859907459</v>
      </c>
      <c r="H76" s="65">
        <f t="shared" si="27"/>
        <v>0.1173021026971818</v>
      </c>
      <c r="I76" s="65">
        <f t="shared" si="27"/>
        <v>0.15189042211284629</v>
      </c>
      <c r="J76" s="65">
        <f t="shared" si="27"/>
        <v>0.15779608759436053</v>
      </c>
      <c r="K76" s="65">
        <f t="shared" si="27"/>
        <v>0.15977941408000548</v>
      </c>
      <c r="L76" s="65">
        <f t="shared" si="27"/>
        <v>0.12767283438286586</v>
      </c>
      <c r="M76" s="65">
        <f t="shared" si="27"/>
        <v>0.10738852120237373</v>
      </c>
      <c r="N76" s="65">
        <f t="shared" si="27"/>
        <v>9.3098781159968086E-2</v>
      </c>
      <c r="O76" s="65">
        <f t="shared" si="27"/>
        <v>0.11315047894239405</v>
      </c>
      <c r="P76" s="65">
        <f t="shared" si="27"/>
        <v>0.12235330257627881</v>
      </c>
      <c r="Q76" s="65" t="str">
        <f t="shared" si="27"/>
        <v/>
      </c>
    </row>
    <row r="77" spans="1:17" ht="15.75" customHeight="1">
      <c r="A77" s="10"/>
      <c r="B77" s="2" t="s">
        <v>65</v>
      </c>
      <c r="C77" s="77">
        <f>ABS(C9/C$4)</f>
        <v>0</v>
      </c>
      <c r="D77" s="27"/>
      <c r="E77" s="267"/>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0</v>
      </c>
      <c r="D78" s="27"/>
      <c r="E78" s="268" t="s">
        <v>462</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67"/>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4.1229450794792784E-3</v>
      </c>
      <c r="D80" s="27"/>
      <c r="E80" s="267"/>
      <c r="F80" s="27"/>
      <c r="G80" s="6">
        <f t="shared" ref="G80:Q80" si="31">IF(G$4="","",ABS(G12/G$4))</f>
        <v>3.8743331241293494E-3</v>
      </c>
      <c r="H80" s="6">
        <f t="shared" si="31"/>
        <v>3.6335626442726638E-3</v>
      </c>
      <c r="I80" s="6">
        <f t="shared" si="31"/>
        <v>5.3292644746042598E-3</v>
      </c>
      <c r="J80" s="6">
        <f t="shared" si="31"/>
        <v>6.4054073291270174E-3</v>
      </c>
      <c r="K80" s="6">
        <f t="shared" si="31"/>
        <v>1.6806145455019977E-3</v>
      </c>
      <c r="L80" s="6">
        <f t="shared" si="31"/>
        <v>1.6642529589228742E-3</v>
      </c>
      <c r="M80" s="6">
        <f t="shared" si="31"/>
        <v>5.8792425072072751E-3</v>
      </c>
      <c r="N80" s="6">
        <f t="shared" si="31"/>
        <v>0</v>
      </c>
      <c r="O80" s="6">
        <f t="shared" si="31"/>
        <v>0</v>
      </c>
      <c r="P80" s="6">
        <f t="shared" si="31"/>
        <v>0</v>
      </c>
      <c r="Q80" s="6" t="str">
        <f t="shared" si="31"/>
        <v/>
      </c>
    </row>
    <row r="81" spans="1:17" ht="15.75" customHeight="1">
      <c r="A81" s="10"/>
      <c r="B81" s="70" t="s">
        <v>165</v>
      </c>
      <c r="C81" s="78">
        <f>C13/C4</f>
        <v>0.13375671427886937</v>
      </c>
      <c r="D81" s="27"/>
      <c r="E81" s="267"/>
      <c r="F81" s="27"/>
      <c r="G81" s="65">
        <f t="shared" ref="G81:Q81" si="32">IF(G$4="","",G13/G$4)</f>
        <v>0.12092451547494525</v>
      </c>
      <c r="H81" s="65">
        <f t="shared" si="32"/>
        <v>0.11366854005290915</v>
      </c>
      <c r="I81" s="65">
        <f t="shared" si="32"/>
        <v>0.14656115763824204</v>
      </c>
      <c r="J81" s="65">
        <f t="shared" si="32"/>
        <v>0.1513906802652335</v>
      </c>
      <c r="K81" s="65">
        <f t="shared" si="32"/>
        <v>0.15809879953450348</v>
      </c>
      <c r="L81" s="65">
        <f t="shared" si="32"/>
        <v>0.126008581423943</v>
      </c>
      <c r="M81" s="65">
        <f t="shared" si="32"/>
        <v>0.10150927869516645</v>
      </c>
      <c r="N81" s="65">
        <f t="shared" si="32"/>
        <v>9.3098781159968086E-2</v>
      </c>
      <c r="O81" s="65">
        <f t="shared" si="32"/>
        <v>0.11315047894239405</v>
      </c>
      <c r="P81" s="65">
        <f t="shared" si="32"/>
        <v>0.12235330257627881</v>
      </c>
      <c r="Q81" s="65" t="str">
        <f t="shared" si="32"/>
        <v/>
      </c>
    </row>
    <row r="82" spans="1:17" ht="15.75" customHeight="1">
      <c r="A82" s="10"/>
      <c r="B82" s="2" t="s">
        <v>63</v>
      </c>
      <c r="C82" s="77">
        <f>ABS(C14/C$4)</f>
        <v>3.3439178569717343E-2</v>
      </c>
      <c r="D82" s="27"/>
      <c r="E82" s="267"/>
      <c r="F82" s="27"/>
      <c r="G82" s="6">
        <f t="shared" ref="G82:Q82" si="33">IF(G$4="","",ABS(G14/G$4))</f>
        <v>3.2155363470400093E-2</v>
      </c>
      <c r="H82" s="6">
        <f t="shared" si="33"/>
        <v>2.8108436468490886E-2</v>
      </c>
      <c r="I82" s="6">
        <f t="shared" si="33"/>
        <v>3.5184589467739308E-2</v>
      </c>
      <c r="J82" s="6">
        <f t="shared" si="33"/>
        <v>3.2954277215414454E-2</v>
      </c>
      <c r="K82" s="6">
        <f t="shared" si="33"/>
        <v>3.6319565331094927E-2</v>
      </c>
      <c r="L82" s="6">
        <f t="shared" si="33"/>
        <v>3.359243432507223E-2</v>
      </c>
      <c r="M82" s="6">
        <f t="shared" si="33"/>
        <v>3.1212471525139333E-2</v>
      </c>
      <c r="N82" s="6">
        <f t="shared" si="33"/>
        <v>2.6496317142159012E-2</v>
      </c>
      <c r="O82" s="6">
        <f t="shared" si="33"/>
        <v>3.1549184890620342E-2</v>
      </c>
      <c r="P82" s="6">
        <f t="shared" si="33"/>
        <v>3.2944830789608193E-2</v>
      </c>
      <c r="Q82" s="6" t="str">
        <f t="shared" si="33"/>
        <v/>
      </c>
    </row>
    <row r="83" spans="1:17" ht="15.75" customHeight="1">
      <c r="A83" s="10"/>
      <c r="B83" s="40" t="str">
        <f>B15</f>
        <v>NCI’s Share of Profits</v>
      </c>
      <c r="C83" s="266">
        <f>MIN(BS!C62,MAX(G83:K83))</f>
        <v>3.5490649212695382E-4</v>
      </c>
      <c r="D83" s="27"/>
      <c r="E83" s="267"/>
      <c r="F83" s="27"/>
      <c r="G83" s="6">
        <f t="shared" ref="G83:Q83" si="34">IF(G$4="","",-G15/G$4)</f>
        <v>9.0777163082490832E-5</v>
      </c>
      <c r="H83" s="6">
        <f t="shared" si="34"/>
        <v>6.3414580656173493E-5</v>
      </c>
      <c r="I83" s="6">
        <f t="shared" si="34"/>
        <v>3.5490649212695382E-4</v>
      </c>
      <c r="J83" s="6">
        <f t="shared" si="34"/>
        <v>1.7780524166649105E-4</v>
      </c>
      <c r="K83" s="6">
        <f t="shared" si="34"/>
        <v>0</v>
      </c>
      <c r="L83" s="6">
        <f t="shared" si="34"/>
        <v>0</v>
      </c>
      <c r="M83" s="6">
        <f t="shared" si="34"/>
        <v>2.0876349510219839E-3</v>
      </c>
      <c r="N83" s="6">
        <f t="shared" si="34"/>
        <v>6.8417156260368978E-4</v>
      </c>
      <c r="O83" s="6">
        <f t="shared" si="34"/>
        <v>1.516107045922229E-3</v>
      </c>
      <c r="P83" s="6">
        <f t="shared" si="34"/>
        <v>3.6594915684766936E-4</v>
      </c>
      <c r="Q83" s="6" t="str">
        <f t="shared" si="34"/>
        <v/>
      </c>
    </row>
    <row r="84" spans="1:17" ht="15.75" customHeight="1">
      <c r="A84" s="10"/>
      <c r="B84" s="41" t="s">
        <v>155</v>
      </c>
      <c r="C84" s="78">
        <f>ABS(C16/C$4)</f>
        <v>9.996262921702509E-2</v>
      </c>
      <c r="D84" s="27"/>
      <c r="E84" s="267"/>
      <c r="F84" s="27"/>
      <c r="G84" s="65">
        <f t="shared" ref="G84:Q84" si="35">IF(G$4="","",ABS(G16/G$4))</f>
        <v>8.8678374841462654E-2</v>
      </c>
      <c r="H84" s="65">
        <f t="shared" si="35"/>
        <v>8.5496689003762089E-2</v>
      </c>
      <c r="I84" s="65">
        <f t="shared" si="35"/>
        <v>0.11102166167837578</v>
      </c>
      <c r="J84" s="65">
        <f t="shared" si="35"/>
        <v>0.11825859780815257</v>
      </c>
      <c r="K84" s="65">
        <f t="shared" si="35"/>
        <v>0.12177923420340854</v>
      </c>
      <c r="L84" s="65">
        <f t="shared" si="35"/>
        <v>9.2416147098870777E-2</v>
      </c>
      <c r="M84" s="65">
        <f t="shared" si="35"/>
        <v>6.8209172219005132E-2</v>
      </c>
      <c r="N84" s="65">
        <f t="shared" si="35"/>
        <v>6.5918292455205391E-2</v>
      </c>
      <c r="O84" s="65">
        <f t="shared" si="35"/>
        <v>8.0085187005851474E-2</v>
      </c>
      <c r="P84" s="65">
        <f t="shared" si="35"/>
        <v>8.9042522629822957E-2</v>
      </c>
      <c r="Q84" s="65" t="str">
        <f t="shared" si="35"/>
        <v/>
      </c>
    </row>
    <row r="85" spans="1:17" ht="15.75" customHeight="1">
      <c r="A85" s="10"/>
      <c r="B85" s="27" t="s">
        <v>52</v>
      </c>
      <c r="C85" s="266">
        <v>0</v>
      </c>
      <c r="D85" s="27"/>
      <c r="E85" s="269"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9" t="str">
        <f>E18</f>
        <v>Net borrowing is excluded</v>
      </c>
      <c r="G86" s="169"/>
      <c r="H86" s="169"/>
      <c r="I86" s="169"/>
      <c r="J86" s="169"/>
      <c r="K86" s="169"/>
      <c r="L86" s="169"/>
      <c r="M86" s="169"/>
      <c r="N86" s="169"/>
      <c r="O86" s="169"/>
      <c r="P86" s="169"/>
      <c r="Q86" s="169"/>
    </row>
    <row r="87" spans="1:17" ht="15.75" customHeight="1">
      <c r="A87" s="10"/>
      <c r="B87" s="31" t="s">
        <v>141</v>
      </c>
      <c r="C87" s="78">
        <f>ABS(C19/C$4)</f>
        <v>9.996262921702509E-2</v>
      </c>
      <c r="D87" s="75"/>
      <c r="E87" s="267"/>
      <c r="F87" s="75"/>
      <c r="G87" s="65">
        <f t="shared" ref="G87:Q87" si="36">IF(G$4="","",ABS(G19/G$4))</f>
        <v>8.8678374841462654E-2</v>
      </c>
      <c r="H87" s="65">
        <f t="shared" si="36"/>
        <v>8.5496689003762089E-2</v>
      </c>
      <c r="I87" s="65">
        <f t="shared" si="36"/>
        <v>0.11102166167837578</v>
      </c>
      <c r="J87" s="65">
        <f t="shared" si="36"/>
        <v>0.11825859780815257</v>
      </c>
      <c r="K87" s="65">
        <f t="shared" si="36"/>
        <v>0.12177923420340854</v>
      </c>
      <c r="L87" s="65">
        <f t="shared" si="36"/>
        <v>9.2416147098870777E-2</v>
      </c>
      <c r="M87" s="65">
        <f t="shared" si="36"/>
        <v>6.8209172219005132E-2</v>
      </c>
      <c r="N87" s="65">
        <f t="shared" si="36"/>
        <v>6.5918292455205391E-2</v>
      </c>
      <c r="O87" s="65">
        <f t="shared" si="36"/>
        <v>8.0085187005851474E-2</v>
      </c>
      <c r="P87" s="65">
        <f t="shared" si="36"/>
        <v>8.9042522629822957E-2</v>
      </c>
      <c r="Q87" s="65" t="str">
        <f t="shared" si="36"/>
        <v/>
      </c>
    </row>
    <row r="88" spans="1:17" ht="15.75" customHeight="1">
      <c r="A88" s="10"/>
      <c r="E88" s="270"/>
    </row>
    <row r="89" spans="1:17" ht="15.75" customHeight="1">
      <c r="A89" s="10"/>
      <c r="B89" s="64" t="s">
        <v>215</v>
      </c>
      <c r="E89" s="270"/>
    </row>
    <row r="90" spans="1:17" ht="15.75" customHeight="1">
      <c r="A90" s="10"/>
      <c r="B90" s="2" t="str">
        <f>"Dividend per share ("&amp;Market_currency&amp;")"</f>
        <v>Dividend per share (CNY)</v>
      </c>
      <c r="C90" s="113">
        <f>G90</f>
        <v>1.06</v>
      </c>
      <c r="E90" s="270"/>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536206397.52000004</v>
      </c>
      <c r="E91" s="270"/>
      <c r="G91" s="74">
        <f t="shared" ref="G91:Q91" si="37">IF(G$4="","",G90*Common_Shares/scaling_factor)</f>
        <v>536206397.52000004</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0.80044648495694337</v>
      </c>
      <c r="E92" s="270"/>
      <c r="G92" s="170">
        <f t="shared" ref="G92:Q92" si="38">IF(G$4="","",G90/(G19*scaling_factor/Common_Shares))</f>
        <v>0.84789418477133727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4.5241143832693134E-2</v>
      </c>
      <c r="E93" s="270"/>
      <c r="G93" s="23">
        <f t="shared" ref="G93:Q93" si="39">IF(G$4="","",G90/Market_Price)</f>
        <v>4.5241143832693134E-2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70"/>
    </row>
    <row r="95" spans="1:17" ht="15.75" customHeight="1">
      <c r="A95" s="10"/>
      <c r="B95" s="157" t="s">
        <v>85</v>
      </c>
      <c r="C95" s="62"/>
      <c r="D95" s="27"/>
      <c r="E95" s="267"/>
      <c r="F95" s="27"/>
      <c r="G95" s="12"/>
      <c r="H95" s="12"/>
      <c r="I95" s="12"/>
      <c r="J95" s="12"/>
      <c r="K95" s="12"/>
      <c r="L95" s="12"/>
      <c r="M95" s="12"/>
      <c r="N95" s="12"/>
      <c r="O95" s="12"/>
      <c r="P95" s="12"/>
      <c r="Q95" s="12"/>
    </row>
    <row r="96" spans="1:17" ht="15.75" customHeight="1">
      <c r="A96" s="10"/>
      <c r="B96" s="27" t="s">
        <v>145</v>
      </c>
      <c r="C96" s="77">
        <f>C4/G4-1</f>
        <v>-6.0299603937806423E-2</v>
      </c>
      <c r="D96" s="27"/>
      <c r="E96" s="267"/>
      <c r="F96" s="27"/>
      <c r="G96" s="6">
        <f t="shared" ref="G96:Q96" si="40">IF(H4="","",G4/H4-1)</f>
        <v>4.7862862106057502E-2</v>
      </c>
      <c r="H96" s="6">
        <f t="shared" si="40"/>
        <v>-1.1293593562295867E-2</v>
      </c>
      <c r="I96" s="6">
        <f t="shared" si="40"/>
        <v>0.15009778924884709</v>
      </c>
      <c r="J96" s="6">
        <f t="shared" si="40"/>
        <v>0.13153374724222933</v>
      </c>
      <c r="K96" s="6">
        <f t="shared" si="40"/>
        <v>9.3452176674909682E-2</v>
      </c>
      <c r="L96" s="6">
        <f t="shared" si="40"/>
        <v>0.15253747570768272</v>
      </c>
      <c r="M96" s="6">
        <f t="shared" si="40"/>
        <v>0.16495991847911595</v>
      </c>
      <c r="N96" s="6">
        <f t="shared" si="40"/>
        <v>2.5541139949896152E-2</v>
      </c>
      <c r="O96" s="6">
        <f t="shared" si="40"/>
        <v>6.0892957146166049E-2</v>
      </c>
      <c r="P96" s="6" t="str">
        <f t="shared" si="40"/>
        <v/>
      </c>
      <c r="Q96" s="6" t="str">
        <f t="shared" si="40"/>
        <v/>
      </c>
    </row>
    <row r="97" spans="1:17" ht="15.75" customHeight="1">
      <c r="A97" s="10"/>
      <c r="B97" s="70" t="s">
        <v>165</v>
      </c>
      <c r="C97" s="77">
        <f>C13/G13-1</f>
        <v>3.9418987044637754E-2</v>
      </c>
      <c r="D97" s="27"/>
      <c r="E97" s="267"/>
      <c r="F97" s="27"/>
      <c r="G97" s="6">
        <f t="shared" ref="G97:Q97" si="41">IF(H5="","",G13/H13-1)</f>
        <v>0.11475267321445082</v>
      </c>
      <c r="H97" s="6">
        <f t="shared" si="41"/>
        <v>-0.23318827735973335</v>
      </c>
      <c r="I97" s="6">
        <f t="shared" si="41"/>
        <v>0.11340845482813555</v>
      </c>
      <c r="J97" s="6">
        <f t="shared" si="41"/>
        <v>8.3522861922076697E-2</v>
      </c>
      <c r="K97" s="6">
        <f t="shared" si="41"/>
        <v>0.37191828149447903</v>
      </c>
      <c r="L97" s="6">
        <f t="shared" si="41"/>
        <v>0.43070283050659341</v>
      </c>
      <c r="M97" s="6">
        <f t="shared" si="41"/>
        <v>0.27020181746958882</v>
      </c>
      <c r="N97" s="6">
        <f t="shared" si="41"/>
        <v>-0.15619773728622377</v>
      </c>
      <c r="O97" s="6">
        <f t="shared" si="41"/>
        <v>-1.8902279872139549E-2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70"/>
      <c r="G100" s="97" t="s">
        <v>220</v>
      </c>
    </row>
    <row r="101" spans="1:17" ht="15.75" customHeight="1">
      <c r="A101" s="10"/>
      <c r="B101" s="26" t="s">
        <v>3</v>
      </c>
      <c r="C101" s="334">
        <f>BS!G32</f>
        <v>10057056869.68</v>
      </c>
      <c r="D101" s="26"/>
      <c r="E101" s="271"/>
      <c r="F101" s="26"/>
      <c r="G101" s="326">
        <f t="shared" ref="G101:Q101" si="42">IF(G$4="","",G105+G104)</f>
        <v>10057056869.68</v>
      </c>
      <c r="H101" s="326">
        <f t="shared" si="42"/>
        <v>9398773153</v>
      </c>
      <c r="I101" s="326">
        <f t="shared" si="42"/>
        <v>8547307801</v>
      </c>
      <c r="J101" s="326">
        <f t="shared" si="42"/>
        <v>8072221913</v>
      </c>
      <c r="K101" s="326">
        <f t="shared" si="42"/>
        <v>6978984597</v>
      </c>
      <c r="L101" s="326">
        <f t="shared" si="42"/>
        <v>5408704521</v>
      </c>
      <c r="M101" s="326">
        <f t="shared" si="42"/>
        <v>5128131468</v>
      </c>
      <c r="N101" s="326">
        <f t="shared" si="42"/>
        <v>4673876647</v>
      </c>
      <c r="O101" s="326">
        <f t="shared" si="42"/>
        <v>4220141265</v>
      </c>
      <c r="P101" s="326">
        <f t="shared" si="42"/>
        <v>4580811369</v>
      </c>
      <c r="Q101" s="326" t="str">
        <f t="shared" si="42"/>
        <v/>
      </c>
    </row>
    <row r="102" spans="1:17" ht="15.75" customHeight="1">
      <c r="A102" s="10"/>
      <c r="B102" s="93" t="s">
        <v>211</v>
      </c>
      <c r="C102" s="335">
        <f>BS!C4</f>
        <v>488915470.69999999</v>
      </c>
      <c r="D102" s="89"/>
      <c r="E102" s="272"/>
      <c r="F102" s="89"/>
      <c r="G102" s="336">
        <f>IF(G$4="","",Data!D77)</f>
        <v>422673488</v>
      </c>
      <c r="H102" s="336">
        <f>IF(H$4="","",Data!E77)</f>
        <v>456344428</v>
      </c>
      <c r="I102" s="336">
        <f>IF(I$4="","",Data!F77)</f>
        <v>319728461</v>
      </c>
      <c r="J102" s="336">
        <f>IF(J$4="","",Data!G77)</f>
        <v>217535243</v>
      </c>
      <c r="K102" s="336">
        <f>IF(K$4="","",Data!H77)</f>
        <v>224562135</v>
      </c>
      <c r="L102" s="336">
        <f>IF(L$4="","",Data!I77)</f>
        <v>0</v>
      </c>
      <c r="M102" s="336">
        <f>IF(M$4="","",Data!J77)</f>
        <v>0</v>
      </c>
      <c r="N102" s="336">
        <f>IF(N$4="","",Data!K77)</f>
        <v>0</v>
      </c>
      <c r="O102" s="336">
        <f>IF(O$4="","",Data!L77)</f>
        <v>0</v>
      </c>
      <c r="P102" s="336">
        <f>IF(P$4="","",Data!M77)</f>
        <v>0</v>
      </c>
      <c r="Q102" s="336" t="str">
        <f>IF(Q$4="","",Data!N77)</f>
        <v/>
      </c>
    </row>
    <row r="103" spans="1:17" ht="15.75" customHeight="1">
      <c r="A103" s="10"/>
      <c r="B103" s="93" t="s">
        <v>212</v>
      </c>
      <c r="C103" s="335">
        <f>BS!C6+BS!C7</f>
        <v>1545872989.1700001</v>
      </c>
      <c r="D103" s="89"/>
      <c r="E103" s="272"/>
      <c r="F103" s="89"/>
      <c r="G103" s="336">
        <f>IF(G$4="","",Data!D78)</f>
        <v>1623301115</v>
      </c>
      <c r="H103" s="336">
        <f>IF(H$4="","",Data!E78)</f>
        <v>984697312</v>
      </c>
      <c r="I103" s="336">
        <f>IF(I$4="","",Data!F78)</f>
        <v>1462249097</v>
      </c>
      <c r="J103" s="336">
        <f>IF(J$4="","",Data!G78)</f>
        <v>1687299780</v>
      </c>
      <c r="K103" s="336">
        <f>IF(K$4="","",Data!H78)</f>
        <v>1389523101</v>
      </c>
      <c r="L103" s="336">
        <f>IF(L$4="","",Data!I78)</f>
        <v>0</v>
      </c>
      <c r="M103" s="336">
        <f>IF(M$4="","",Data!J78)</f>
        <v>0</v>
      </c>
      <c r="N103" s="336">
        <f>IF(N$4="","",Data!K78)</f>
        <v>0</v>
      </c>
      <c r="O103" s="336">
        <f>IF(O$4="","",Data!L78)</f>
        <v>0</v>
      </c>
      <c r="P103" s="336">
        <f>IF(P$4="","",Data!M78)</f>
        <v>0</v>
      </c>
      <c r="Q103" s="336" t="str">
        <f>IF(Q$4="","",Data!N78)</f>
        <v/>
      </c>
    </row>
    <row r="104" spans="1:17" ht="15.75" customHeight="1">
      <c r="A104" s="10"/>
      <c r="B104" s="26" t="s">
        <v>40</v>
      </c>
      <c r="C104" s="334">
        <f>BS!G30</f>
        <v>4328912448.4399996</v>
      </c>
      <c r="D104" s="26"/>
      <c r="E104" s="271"/>
      <c r="F104" s="26"/>
      <c r="G104" s="326">
        <f>Data!C79</f>
        <v>4328912448.4399996</v>
      </c>
      <c r="H104" s="326">
        <f>Data!D79</f>
        <v>3866253573</v>
      </c>
      <c r="I104" s="326">
        <f>Data!E79</f>
        <v>3275808581</v>
      </c>
      <c r="J104" s="326">
        <f>Data!F79</f>
        <v>3276083890</v>
      </c>
      <c r="K104" s="326">
        <f>Data!G79</f>
        <v>2771099894</v>
      </c>
      <c r="L104" s="326">
        <f>Data!H79</f>
        <v>1753709637</v>
      </c>
      <c r="M104" s="326">
        <f>Data!I79</f>
        <v>1768910685</v>
      </c>
      <c r="N104" s="326">
        <f>Data!J79</f>
        <v>1542190319</v>
      </c>
      <c r="O104" s="326">
        <f>Data!K79</f>
        <v>1188658961</v>
      </c>
      <c r="P104" s="326">
        <f>Data!L79</f>
        <v>1649560528</v>
      </c>
      <c r="Q104" s="326" t="str">
        <f>Data!M79</f>
        <v/>
      </c>
    </row>
    <row r="105" spans="1:17" ht="15.75" customHeight="1">
      <c r="A105" s="10"/>
      <c r="B105" s="26" t="s">
        <v>30</v>
      </c>
      <c r="C105" s="334">
        <f>BS!G27</f>
        <v>5728144421.2400007</v>
      </c>
      <c r="D105" s="26"/>
      <c r="E105" s="271"/>
      <c r="F105" s="26"/>
      <c r="G105" s="326">
        <f>Data!C80</f>
        <v>5728144421.2400007</v>
      </c>
      <c r="H105" s="326">
        <f>Data!D80</f>
        <v>5532519580</v>
      </c>
      <c r="I105" s="326">
        <f>Data!E80</f>
        <v>5271499220</v>
      </c>
      <c r="J105" s="326">
        <f>Data!F80</f>
        <v>4796138023</v>
      </c>
      <c r="K105" s="326">
        <f>Data!G80</f>
        <v>4207884703</v>
      </c>
      <c r="L105" s="326">
        <f>Data!H80</f>
        <v>3654994884</v>
      </c>
      <c r="M105" s="326">
        <f>Data!I80</f>
        <v>3359220783</v>
      </c>
      <c r="N105" s="326">
        <f>Data!J80</f>
        <v>3131686328</v>
      </c>
      <c r="O105" s="326">
        <f>Data!K80</f>
        <v>3031482304</v>
      </c>
      <c r="P105" s="326">
        <f>Data!L80</f>
        <v>2931250841</v>
      </c>
      <c r="Q105" s="326" t="str">
        <f>Data!M80</f>
        <v/>
      </c>
    </row>
    <row r="106" spans="1:17" ht="15.75" customHeight="1">
      <c r="A106" s="10"/>
      <c r="E106" s="270"/>
    </row>
    <row r="107" spans="1:17" ht="15.75" customHeight="1">
      <c r="A107" s="10"/>
      <c r="B107" s="91" t="s">
        <v>221</v>
      </c>
      <c r="C107" s="26"/>
      <c r="D107" s="26"/>
      <c r="E107" s="271"/>
      <c r="F107" s="26"/>
      <c r="G107" s="97" t="s">
        <v>220</v>
      </c>
      <c r="H107" s="12"/>
      <c r="I107" s="12"/>
      <c r="J107" s="12"/>
      <c r="K107" s="12"/>
      <c r="L107" s="12"/>
      <c r="M107" s="12"/>
      <c r="N107" s="12"/>
      <c r="O107" s="12"/>
      <c r="P107" s="12"/>
      <c r="Q107" s="12"/>
    </row>
    <row r="108" spans="1:17" ht="15.75" customHeight="1">
      <c r="A108" s="10"/>
      <c r="B108" s="26" t="s">
        <v>218</v>
      </c>
      <c r="C108" s="94">
        <f>C102/C$4</f>
        <v>7.295780523371137E-2</v>
      </c>
      <c r="D108" s="26"/>
      <c r="E108" s="271"/>
      <c r="F108" s="26"/>
      <c r="G108" s="94">
        <f t="shared" ref="G108:Q108" si="43">IF(G$4="","",G102/G$4)</f>
        <v>5.9269654910014027E-2</v>
      </c>
      <c r="H108" s="94">
        <f t="shared" si="43"/>
        <v>6.7053984782289452E-2</v>
      </c>
      <c r="I108" s="94">
        <f t="shared" si="43"/>
        <v>4.6449440257565366E-2</v>
      </c>
      <c r="J108" s="94">
        <f t="shared" si="43"/>
        <v>3.6346582594112269E-2</v>
      </c>
      <c r="K108" s="94">
        <f t="shared" si="43"/>
        <v>4.2455894551949612E-2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0.23068098110792726</v>
      </c>
      <c r="D109" s="26"/>
      <c r="E109" s="271"/>
      <c r="F109" s="26"/>
      <c r="G109" s="94">
        <f t="shared" ref="G109:Q109" si="44">IF(G$4="","",G103/G$4)</f>
        <v>0.22762841681021401</v>
      </c>
      <c r="H109" s="94">
        <f t="shared" si="44"/>
        <v>0.14468869240583634</v>
      </c>
      <c r="I109" s="94">
        <f t="shared" si="44"/>
        <v>0.21243229914643227</v>
      </c>
      <c r="J109" s="94">
        <f t="shared" si="44"/>
        <v>0.28192020736059514</v>
      </c>
      <c r="K109" s="94">
        <f t="shared" si="44"/>
        <v>0.26270433460901155</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71"/>
      <c r="F110" s="26"/>
      <c r="G110" s="94">
        <f>BS!$G$38/G$4</f>
        <v>0</v>
      </c>
      <c r="H110" s="204"/>
      <c r="I110" s="204"/>
      <c r="J110" s="204"/>
      <c r="K110" s="204"/>
      <c r="L110" s="204"/>
      <c r="M110" s="204"/>
      <c r="N110" s="204"/>
      <c r="O110" s="204"/>
      <c r="P110" s="204"/>
      <c r="Q110" s="204"/>
    </row>
    <row r="111" spans="1:17" ht="15.75" customHeight="1">
      <c r="A111" s="10"/>
      <c r="E111" s="270"/>
    </row>
    <row r="112" spans="1:17" ht="15.75" customHeight="1">
      <c r="A112" s="10"/>
      <c r="B112" s="64" t="s">
        <v>51</v>
      </c>
      <c r="E112" s="270"/>
    </row>
    <row r="113" spans="1:17" ht="15.75" customHeight="1">
      <c r="A113" s="10"/>
      <c r="B113" s="2" t="s">
        <v>392</v>
      </c>
      <c r="C113" s="169"/>
      <c r="E113" s="270"/>
      <c r="G113" s="297">
        <f>IF(G$4="","",Data!C$22/Data!C15)</f>
        <v>1.2220563640870079</v>
      </c>
      <c r="H113" s="297">
        <f>IF(H$4="","",Data!D$22/Data!D15)</f>
        <v>0.5220279107320227</v>
      </c>
      <c r="I113" s="297">
        <f>IF(I$4="","",Data!E$22/Data!E15)</f>
        <v>1.5660017367806311</v>
      </c>
      <c r="J113" s="297">
        <f>IF(J$4="","",Data!F$22/Data!F15)</f>
        <v>1.4464739656204468</v>
      </c>
      <c r="K113" s="297">
        <f>IF(K$4="","",Data!G$22/Data!G15)</f>
        <v>0.74139088985897428</v>
      </c>
      <c r="L113" s="297">
        <f>IF(L$4="","",Data!H$22/Data!H15)</f>
        <v>1.0709352013930644</v>
      </c>
      <c r="M113" s="297">
        <f>IF(M$4="","",Data!I$22/Data!I15)</f>
        <v>1.6912837855630598</v>
      </c>
      <c r="N113" s="297">
        <f>IF(N$4="","",Data!J$22/Data!J15)</f>
        <v>0.91058543593464991</v>
      </c>
      <c r="O113" s="297">
        <f>IF(O$4="","",Data!K$22/Data!K15)</f>
        <v>1.315617423655931</v>
      </c>
      <c r="P113" s="297">
        <f>IF(P$4="","",Data!L$22/Data!L15)</f>
        <v>0.73045375218197883</v>
      </c>
      <c r="Q113" s="297" t="str">
        <f>IF(Q$4="","",Data!M$22/Data!M15)</f>
        <v/>
      </c>
    </row>
    <row r="114" spans="1:17" ht="15.75" customHeight="1">
      <c r="A114" s="10"/>
      <c r="B114" s="2" t="s">
        <v>393</v>
      </c>
      <c r="C114" s="169"/>
      <c r="E114" s="270"/>
      <c r="G114" s="297">
        <f>IF(G$4="","",Data!C$22/G19)</f>
        <v>1.6428022550076953</v>
      </c>
      <c r="H114" s="297">
        <f>IF(H$4="","",Data!D$22/H19)</f>
        <v>0.72058330796850312</v>
      </c>
      <c r="I114" s="297">
        <f>IF(I$4="","",Data!E$22/I19)</f>
        <v>2.0050214211779154</v>
      </c>
      <c r="J114" s="297">
        <f>IF(J$4="","",Data!F$22/J19)</f>
        <v>1.9000554717795306</v>
      </c>
      <c r="K114" s="297">
        <f>IF(K$4="","",Data!G$22/K19)</f>
        <v>0.92660927803755555</v>
      </c>
      <c r="L114" s="297">
        <f>IF(L$4="","",Data!H$22/L19)</f>
        <v>1.445697281199763</v>
      </c>
      <c r="M114" s="297">
        <f>IF(M$4="","",Data!I$22/M19)</f>
        <v>2.6087351386041981</v>
      </c>
      <c r="N114" s="297">
        <f>IF(N$4="","",Data!J$22/N19)</f>
        <v>1.2334331277013026</v>
      </c>
      <c r="O114" s="297">
        <f>IF(O$4="","",Data!K$22/O19)</f>
        <v>1.6789411119014945</v>
      </c>
      <c r="P114" s="297">
        <f>IF(P$4="","",Data!L$22/P19)</f>
        <v>0.90461306092266658</v>
      </c>
      <c r="Q114" s="297" t="str">
        <f>IF(Q$4="","",Data!M$22/Q19)</f>
        <v/>
      </c>
    </row>
    <row r="115" spans="1:17" ht="15.75" customHeight="1">
      <c r="A115" s="10"/>
      <c r="E115" s="270"/>
    </row>
    <row r="116" spans="1:17" ht="15.75" customHeight="1">
      <c r="A116" s="10"/>
      <c r="B116" s="91" t="s">
        <v>38</v>
      </c>
      <c r="C116" s="55"/>
      <c r="D116" s="55"/>
      <c r="E116" s="273"/>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0.13375671427886937</v>
      </c>
      <c r="E117" s="270"/>
      <c r="G117" s="23">
        <f t="shared" ref="G117:Q117" si="45">G81</f>
        <v>0.12092451547494525</v>
      </c>
      <c r="H117" s="23">
        <f t="shared" si="45"/>
        <v>0.11366854005290915</v>
      </c>
      <c r="I117" s="23">
        <f t="shared" si="45"/>
        <v>0.14656115763824204</v>
      </c>
      <c r="J117" s="23">
        <f t="shared" si="45"/>
        <v>0.1513906802652335</v>
      </c>
      <c r="K117" s="23">
        <f t="shared" si="45"/>
        <v>0.15809879953450348</v>
      </c>
      <c r="L117" s="23">
        <f t="shared" si="45"/>
        <v>0.126008581423943</v>
      </c>
      <c r="M117" s="23">
        <f t="shared" si="45"/>
        <v>0.10150927869516645</v>
      </c>
      <c r="N117" s="23">
        <f t="shared" si="45"/>
        <v>9.3098781159968086E-2</v>
      </c>
      <c r="O117" s="23">
        <f t="shared" si="45"/>
        <v>0.11315047894239405</v>
      </c>
      <c r="P117" s="23">
        <f t="shared" si="45"/>
        <v>0.12235330257627881</v>
      </c>
      <c r="Q117" s="23" t="str">
        <f t="shared" si="45"/>
        <v/>
      </c>
    </row>
    <row r="118" spans="1:17" ht="15.75" customHeight="1">
      <c r="B118" s="7" t="s">
        <v>84</v>
      </c>
      <c r="C118" s="42">
        <f>C4/C101</f>
        <v>0.66633267926556194</v>
      </c>
      <c r="E118" s="270"/>
      <c r="G118" s="42">
        <f t="shared" ref="G118:Q118" si="46">IF(G4="","",G4/G101)</f>
        <v>0.70909055913759678</v>
      </c>
      <c r="H118" s="42">
        <f t="shared" si="46"/>
        <v>0.72409740805667899</v>
      </c>
      <c r="I118" s="42">
        <f t="shared" si="46"/>
        <v>0.80532553270103069</v>
      </c>
      <c r="J118" s="42">
        <f t="shared" si="46"/>
        <v>0.74143477427960047</v>
      </c>
      <c r="K118" s="42">
        <f t="shared" si="46"/>
        <v>0.75789020257670014</v>
      </c>
      <c r="L118" s="42">
        <f t="shared" si="46"/>
        <v>0.89434582259369833</v>
      </c>
      <c r="M118" s="42">
        <f t="shared" si="46"/>
        <v>0.81843563980173684</v>
      </c>
      <c r="N118" s="42">
        <f t="shared" si="46"/>
        <v>0.77082440062094348</v>
      </c>
      <c r="O118" s="42">
        <f t="shared" si="46"/>
        <v>0.8324393941822229</v>
      </c>
      <c r="P118" s="42">
        <f t="shared" si="46"/>
        <v>0.7228790498576847</v>
      </c>
      <c r="Q118" s="42" t="str">
        <f t="shared" si="46"/>
        <v/>
      </c>
    </row>
    <row r="119" spans="1:17" ht="15.75" customHeight="1">
      <c r="B119" s="7" t="s">
        <v>92</v>
      </c>
      <c r="C119" s="15">
        <f>C101/C105</f>
        <v>1.7557268340491488</v>
      </c>
      <c r="D119" s="11"/>
      <c r="E119" s="274"/>
      <c r="F119" s="11"/>
      <c r="G119" s="15">
        <f t="shared" ref="G119:Q119" si="47">IF(G$4="","",G101/G105)</f>
        <v>1.7557268340491488</v>
      </c>
      <c r="H119" s="15">
        <f t="shared" si="47"/>
        <v>1.6988232968892629</v>
      </c>
      <c r="I119" s="15">
        <f t="shared" si="47"/>
        <v>1.6214187737279036</v>
      </c>
      <c r="J119" s="15">
        <f t="shared" si="47"/>
        <v>1.6830670581808651</v>
      </c>
      <c r="K119" s="15">
        <f t="shared" si="47"/>
        <v>1.6585493875400987</v>
      </c>
      <c r="L119" s="15">
        <f t="shared" si="47"/>
        <v>1.4798117897994847</v>
      </c>
      <c r="M119" s="15">
        <f t="shared" si="47"/>
        <v>1.5265836333092251</v>
      </c>
      <c r="N119" s="15">
        <f t="shared" si="47"/>
        <v>1.4924472496531587</v>
      </c>
      <c r="O119" s="15">
        <f t="shared" si="47"/>
        <v>1.3921048654750781</v>
      </c>
      <c r="P119" s="15">
        <f t="shared" si="47"/>
        <v>1.5627496988409393</v>
      </c>
      <c r="Q119" s="15" t="str">
        <f t="shared" si="47"/>
        <v/>
      </c>
    </row>
    <row r="120" spans="1:17" ht="15.75" customHeight="1">
      <c r="A120" s="10"/>
      <c r="B120" s="70" t="s">
        <v>223</v>
      </c>
      <c r="C120" s="102">
        <f>C8/C105</f>
        <v>0.16130516052798705</v>
      </c>
      <c r="D120" s="103"/>
      <c r="E120" s="273"/>
      <c r="F120" s="103"/>
      <c r="G120" s="102">
        <f t="shared" ref="G120:Q120" si="48">IF(G$4="","",G8/G105)</f>
        <v>0.15537073798277945</v>
      </c>
      <c r="H120" s="102">
        <f t="shared" si="48"/>
        <v>0.14429490550488031</v>
      </c>
      <c r="I120" s="102">
        <f t="shared" si="48"/>
        <v>0.19833394701706888</v>
      </c>
      <c r="J120" s="102">
        <f t="shared" si="48"/>
        <v>0.19691128309298866</v>
      </c>
      <c r="K120" s="102">
        <f t="shared" si="48"/>
        <v>0.20084245687565361</v>
      </c>
      <c r="L120" s="102">
        <f t="shared" si="48"/>
        <v>0.16897033528104932</v>
      </c>
      <c r="M120" s="102">
        <f t="shared" si="48"/>
        <v>0.13417234088361496</v>
      </c>
      <c r="N120" s="102">
        <f t="shared" si="48"/>
        <v>0.10710221167462976</v>
      </c>
      <c r="O120" s="102">
        <f t="shared" si="48"/>
        <v>0.13112363264516025</v>
      </c>
      <c r="P120" s="102">
        <f t="shared" si="48"/>
        <v>0.13821995863778755</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7"/>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1.3242609217741999</v>
      </c>
      <c r="D124" s="27"/>
      <c r="E124" s="267"/>
      <c r="F124" s="27"/>
      <c r="G124" s="177">
        <f t="shared" ref="G124:Q124" si="49">IF(G$4="","",G16*$C$3/Common_Shares*Exchange_Rate)</f>
        <v>1.2501559971022376</v>
      </c>
      <c r="H124" s="177">
        <f t="shared" si="49"/>
        <v>1.1502475870069577</v>
      </c>
      <c r="I124" s="177">
        <f t="shared" si="49"/>
        <v>1.5107145414111571</v>
      </c>
      <c r="J124" s="177">
        <f t="shared" si="49"/>
        <v>1.3991769532085905</v>
      </c>
      <c r="K124" s="177">
        <f t="shared" si="49"/>
        <v>1.2733437042835725</v>
      </c>
      <c r="L124" s="177">
        <f t="shared" si="49"/>
        <v>0.8837317773933846</v>
      </c>
      <c r="M124" s="177">
        <f t="shared" si="49"/>
        <v>0.56592689857679968</v>
      </c>
      <c r="N124" s="177">
        <f t="shared" si="49"/>
        <v>0.46947505670260209</v>
      </c>
      <c r="O124" s="177">
        <f t="shared" si="49"/>
        <v>0.55616759512623426</v>
      </c>
      <c r="P124" s="177">
        <f t="shared" si="49"/>
        <v>0.58288029845511569</v>
      </c>
      <c r="Q124" s="177" t="str">
        <f t="shared" si="49"/>
        <v/>
      </c>
    </row>
    <row r="125" spans="1:17" ht="15.75" customHeight="1">
      <c r="A125" s="10"/>
      <c r="B125" s="27" t="s">
        <v>270</v>
      </c>
      <c r="C125" s="77">
        <f>C19*Exchange_Rate*$C$3/(Market_Price*Common_Shares)</f>
        <v>5.6519885692454114E-2</v>
      </c>
      <c r="D125" s="27"/>
      <c r="E125" s="267"/>
      <c r="F125" s="27"/>
      <c r="G125" s="77">
        <f t="shared" ref="G125" si="50">IF(G$4="","",G124/Market_Price)</f>
        <v>5.3357063470005871E-2</v>
      </c>
      <c r="H125" s="77">
        <f t="shared" ref="H125" si="51">IF(H$4="","",H124/Market_Price)</f>
        <v>4.9092940119801864E-2</v>
      </c>
      <c r="I125" s="77">
        <f t="shared" ref="I125" si="52">IF(I$4="","",I124/Market_Price)</f>
        <v>6.4477786658606789E-2</v>
      </c>
      <c r="J125" s="77">
        <f t="shared" ref="J125" si="53">IF(J$4="","",J124/Market_Price)</f>
        <v>5.9717326214621877E-2</v>
      </c>
      <c r="K125" s="77">
        <f t="shared" ref="K125" si="54">IF(K$4="","",K124/Market_Price)</f>
        <v>5.4346722333912613E-2</v>
      </c>
      <c r="L125" s="77">
        <f t="shared" ref="L125" si="55">IF(L$4="","",L124/Market_Price)</f>
        <v>3.7717958915637416E-2</v>
      </c>
      <c r="M125" s="77">
        <f t="shared" ref="M125" si="56">IF(M$4="","",M124/Market_Price)</f>
        <v>2.4153943601229178E-2</v>
      </c>
      <c r="N125" s="77">
        <f t="shared" ref="N125" si="57">IF(N$4="","",N124/Market_Price)</f>
        <v>2.0037347703909608E-2</v>
      </c>
      <c r="O125" s="77">
        <f t="shared" ref="O125" si="58">IF(O$4="","",O124/Market_Price)</f>
        <v>2.3737413364329246E-2</v>
      </c>
      <c r="P125" s="77">
        <f t="shared" ref="P125" si="59">IF(P$4="","",P124/Market_Price)</f>
        <v>2.4877520207217913E-2</v>
      </c>
      <c r="Q125" s="77" t="str">
        <f t="shared" ref="Q125" si="60">IF(Q$4="","",Q124/Market_Price)</f>
        <v/>
      </c>
    </row>
    <row r="126" spans="1:17" ht="15.75" customHeight="1">
      <c r="B126" s="2" t="s">
        <v>395</v>
      </c>
      <c r="C126" s="169"/>
      <c r="G126" s="23">
        <f>IF(G$4="","",(Data!C47*$C$3)/(Market_Price*Common_Shares))</f>
        <v>7.1727546097762065E-2</v>
      </c>
      <c r="H126" s="23">
        <f>IF(H$4="","",(Data!D47*$C$3)/(Market_Price*Common_Shares))</f>
        <v>6.7765635633965399E-2</v>
      </c>
      <c r="I126" s="23">
        <f>IF(I$4="","",(Data!E47*$C$3)/(Market_Price*Common_Shares))</f>
        <v>8.2553767600805641E-2</v>
      </c>
      <c r="J126" s="23">
        <f>IF(J$4="","",(Data!F47*$C$3)/(Market_Price*Common_Shares))</f>
        <v>7.844332848774474E-2</v>
      </c>
      <c r="K126" s="23">
        <f>IF(K$4="","",(Data!G47*$C$3)/(Market_Price*Common_Shares))</f>
        <v>6.7923922230974917E-2</v>
      </c>
      <c r="L126" s="23">
        <f>IF(L$4="","",(Data!H47*$C$3)/(Market_Price*Common_Shares))</f>
        <v>5.0916946782411106E-2</v>
      </c>
      <c r="M126" s="23">
        <f>IF(M$4="","",(Data!I47*$C$3)/(Market_Price*Common_Shares))</f>
        <v>3.72564568680075E-2</v>
      </c>
      <c r="N126" s="23">
        <f>IF(N$4="","",(Data!J47*$C$3)/(Market_Price*Common_Shares))</f>
        <v>2.7141581090525422E-2</v>
      </c>
      <c r="O126" s="23">
        <f>IF(O$4="","",(Data!K47*$C$3)/(Market_Price*Common_Shares))</f>
        <v>3.0292787607528033E-2</v>
      </c>
      <c r="P126" s="23">
        <f>IF(P$4="","",(Data!L47*$C$3)/(Market_Price*Common_Shares))</f>
        <v>3.0808972690731427E-2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v>
      </c>
      <c r="E3" s="109" t="s">
        <v>125</v>
      </c>
      <c r="H3" s="120"/>
    </row>
    <row r="4" spans="2:8">
      <c r="B4" s="100" t="s">
        <v>129</v>
      </c>
      <c r="C4" s="343">
        <f>Normalized_FCF!C19</f>
        <v>669884130.41609263</v>
      </c>
      <c r="D4" t="str">
        <f>Reporting_currency</f>
        <v>CNY</v>
      </c>
      <c r="E4" s="100" t="s">
        <v>251</v>
      </c>
      <c r="F4" s="134">
        <f>Terminal_Growth</f>
        <v>0</v>
      </c>
      <c r="H4" s="120"/>
    </row>
    <row r="5" spans="2:8">
      <c r="B5" s="205" t="s">
        <v>124</v>
      </c>
      <c r="C5" s="206">
        <f>Equity_Cost</f>
        <v>0.06</v>
      </c>
      <c r="E5" s="148"/>
      <c r="H5" s="120"/>
    </row>
    <row r="6" spans="2:8" ht="13.25" customHeight="1">
      <c r="B6" s="149" t="s">
        <v>229</v>
      </c>
      <c r="C6" s="344">
        <f>(C4*(1+Terminal_Growth))/(Equity_Cost-Terminal_Growth)</f>
        <v>11164735506.934877</v>
      </c>
      <c r="D6" t="str">
        <f>Reporting_currency</f>
        <v>CNY</v>
      </c>
      <c r="E6" s="355" t="s">
        <v>250</v>
      </c>
      <c r="F6" s="355"/>
      <c r="H6" s="120"/>
    </row>
    <row r="7" spans="2:8">
      <c r="B7" s="148" t="s">
        <v>225</v>
      </c>
      <c r="C7" s="343">
        <f>BS!G31</f>
        <v>2209595736.0500002</v>
      </c>
      <c r="D7" t="str">
        <f>Reporting_currency</f>
        <v>CNY</v>
      </c>
      <c r="E7" s="355"/>
      <c r="F7" s="355"/>
      <c r="H7" s="120"/>
    </row>
    <row r="8" spans="2:8">
      <c r="B8" s="148" t="s">
        <v>226</v>
      </c>
      <c r="C8" s="343">
        <f>BS!D66</f>
        <v>3530916331.352602</v>
      </c>
      <c r="D8" t="str">
        <f>Reporting_currency</f>
        <v>CNY</v>
      </c>
      <c r="E8" s="355"/>
      <c r="F8" s="355"/>
      <c r="H8" s="120"/>
    </row>
    <row r="9" spans="2:8">
      <c r="B9" s="205" t="s">
        <v>191</v>
      </c>
      <c r="C9" s="345">
        <f>BS!H42</f>
        <v>590585139.73500001</v>
      </c>
      <c r="D9" t="str">
        <f>Reporting_currency</f>
        <v>CNY</v>
      </c>
      <c r="E9" s="355"/>
      <c r="F9" s="355"/>
      <c r="H9" s="120"/>
    </row>
    <row r="10" spans="2:8" ht="13.15">
      <c r="B10" s="149" t="s">
        <v>228</v>
      </c>
      <c r="C10" s="344">
        <f>C6-C7+C8+C9</f>
        <v>13076641241.972479</v>
      </c>
      <c r="D10" t="str">
        <f>Reporting_currency</f>
        <v>CNY</v>
      </c>
      <c r="H10" s="120"/>
    </row>
    <row r="11" spans="2:8" ht="13.15" thickBot="1">
      <c r="B11" s="207" t="s">
        <v>167</v>
      </c>
      <c r="C11" s="208">
        <f>Exchange_Rate</f>
        <v>1</v>
      </c>
      <c r="D11" t="str">
        <f>Thesis!C15</f>
        <v>CNY</v>
      </c>
      <c r="H11" s="120"/>
    </row>
    <row r="12" spans="2:8" ht="13.5" thickTop="1">
      <c r="B12" s="149" t="s">
        <v>103</v>
      </c>
      <c r="C12" s="111">
        <f>(C10*scaling_factor)/Common_Shares*Exchange_Rate</f>
        <v>25.850567581066237</v>
      </c>
      <c r="D12" t="str">
        <f>Market_currency</f>
        <v>CNY</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5.62138395706255E-2</v>
      </c>
      <c r="H16" s="120"/>
    </row>
    <row r="17" spans="2:8" ht="13.25" customHeight="1">
      <c r="B17" s="118" t="s">
        <v>135</v>
      </c>
      <c r="C17" s="162">
        <f>Scenarios!C64</f>
        <v>5</v>
      </c>
      <c r="H17" s="120"/>
    </row>
    <row r="18" spans="2:8" ht="13.25" customHeight="1">
      <c r="B18" s="153" t="s">
        <v>107</v>
      </c>
      <c r="C18" s="140">
        <f>(F52-C7+C8+C9)*Exchange_Rate/Common_Shares*scaling_factor</f>
        <v>27.750110140096613</v>
      </c>
      <c r="D18" t="str">
        <f>Market_currency</f>
        <v>CNY</v>
      </c>
      <c r="H18" s="120"/>
    </row>
    <row r="19" spans="2:8">
      <c r="H19" s="120"/>
    </row>
    <row r="20" spans="2:8" ht="13.15">
      <c r="B20" s="128" t="s">
        <v>108</v>
      </c>
      <c r="C20" s="128" t="s">
        <v>109</v>
      </c>
      <c r="D20" s="128" t="s">
        <v>119</v>
      </c>
      <c r="E20" s="128" t="s">
        <v>110</v>
      </c>
      <c r="F20" s="129" t="s">
        <v>111</v>
      </c>
      <c r="H20" s="120"/>
    </row>
    <row r="21" spans="2:8">
      <c r="B21" s="122">
        <v>1</v>
      </c>
      <c r="C21" s="123">
        <f>C4*(1+D21)</f>
        <v>707540889.45421088</v>
      </c>
      <c r="D21" s="138">
        <f>IF($C$17&lt;B21,0,DCF!$C$16)</f>
        <v>5.62138395706255E-2</v>
      </c>
      <c r="E21" s="124">
        <f t="shared" ref="E21:E50" si="0">IF($C$17&lt;B21,0,1/(1+Equity_Cost)^B21)</f>
        <v>0.94339622641509424</v>
      </c>
      <c r="F21" s="125">
        <f t="shared" ref="F21:F51" si="1">C21*E21</f>
        <v>667491405.14548194</v>
      </c>
      <c r="H21" s="120"/>
    </row>
    <row r="22" spans="2:8">
      <c r="B22" s="122">
        <v>2</v>
      </c>
      <c r="C22" s="123">
        <f t="shared" ref="C22:C50" si="2">IF(ROW()-ROW($C$21)&lt;$C$17, $C$21*(1+D22)^(ROW()-ROW($C$21)), 0)</f>
        <v>747314479.50364757</v>
      </c>
      <c r="D22" s="138">
        <f>IF($C$17&lt;B22,0,DCF!$C$16)</f>
        <v>5.62138395706255E-2</v>
      </c>
      <c r="E22" s="124">
        <f t="shared" si="0"/>
        <v>0.88999644001423983</v>
      </c>
      <c r="F22" s="125">
        <f t="shared" si="1"/>
        <v>665107226.32934093</v>
      </c>
      <c r="H22" s="120"/>
    </row>
    <row r="23" spans="2:8">
      <c r="B23" s="122">
        <v>3</v>
      </c>
      <c r="C23" s="123">
        <f t="shared" si="2"/>
        <v>789323895.76327121</v>
      </c>
      <c r="D23" s="138">
        <f>IF($C$17&lt;B23,0,DCF!$C$16)</f>
        <v>5.62138395706255E-2</v>
      </c>
      <c r="E23" s="124">
        <f t="shared" si="0"/>
        <v>0.8396192830323016</v>
      </c>
      <c r="F23" s="125">
        <f t="shared" si="1"/>
        <v>662731563.44102097</v>
      </c>
      <c r="H23" s="120"/>
    </row>
    <row r="24" spans="2:8">
      <c r="B24" s="122">
        <v>4</v>
      </c>
      <c r="C24" s="123">
        <f t="shared" si="2"/>
        <v>833694822.60896885</v>
      </c>
      <c r="D24" s="138">
        <f>IF($C$17&lt;B24,0,DCF!$C$16)</f>
        <v>5.62138395706255E-2</v>
      </c>
      <c r="E24" s="124">
        <f t="shared" si="0"/>
        <v>0.79209366323802044</v>
      </c>
      <c r="F24" s="125">
        <f t="shared" si="1"/>
        <v>660364386.06290972</v>
      </c>
      <c r="H24" s="120"/>
    </row>
    <row r="25" spans="2:8">
      <c r="B25" s="122">
        <v>5</v>
      </c>
      <c r="C25" s="123">
        <f t="shared" si="2"/>
        <v>880560009.61797059</v>
      </c>
      <c r="D25" s="138">
        <f>IF($C$17&lt;B25,0,DCF!$C$16)</f>
        <v>5.62138395706255E-2</v>
      </c>
      <c r="E25" s="124">
        <f t="shared" si="0"/>
        <v>0.74725817286605689</v>
      </c>
      <c r="F25" s="125">
        <f t="shared" si="1"/>
        <v>658005663.88604224</v>
      </c>
      <c r="H25" s="120"/>
    </row>
    <row r="26" spans="2:8">
      <c r="B26" s="122">
        <v>6</v>
      </c>
      <c r="C26" s="123">
        <f t="shared" si="2"/>
        <v>0</v>
      </c>
      <c r="D26" s="138">
        <f>IF($C$17&lt;B26,0,DCF!$C$16)</f>
        <v>0</v>
      </c>
      <c r="E26" s="124">
        <f t="shared" si="0"/>
        <v>0</v>
      </c>
      <c r="F26" s="125">
        <f t="shared" si="1"/>
        <v>0</v>
      </c>
      <c r="H26" s="120"/>
    </row>
    <row r="27" spans="2:8">
      <c r="B27" s="122">
        <v>7</v>
      </c>
      <c r="C27" s="123">
        <f t="shared" si="2"/>
        <v>0</v>
      </c>
      <c r="D27" s="138">
        <f>IF($C$17&lt;B27,0,DCF!$C$16)</f>
        <v>0</v>
      </c>
      <c r="E27" s="124">
        <f t="shared" si="0"/>
        <v>0</v>
      </c>
      <c r="F27" s="125">
        <f t="shared" si="1"/>
        <v>0</v>
      </c>
      <c r="H27" s="120"/>
    </row>
    <row r="28" spans="2:8">
      <c r="B28" s="122">
        <v>8</v>
      </c>
      <c r="C28" s="123">
        <f t="shared" si="2"/>
        <v>0</v>
      </c>
      <c r="D28" s="138">
        <f>IF($C$17&lt;B28,0,DCF!$C$16)</f>
        <v>0</v>
      </c>
      <c r="E28" s="124">
        <f t="shared" si="0"/>
        <v>0</v>
      </c>
      <c r="F28" s="125">
        <f t="shared" si="1"/>
        <v>0</v>
      </c>
      <c r="H28" s="120"/>
    </row>
    <row r="29" spans="2:8">
      <c r="B29" s="122">
        <v>9</v>
      </c>
      <c r="C29" s="123">
        <f t="shared" si="2"/>
        <v>0</v>
      </c>
      <c r="D29" s="138">
        <f>IF($C$17&lt;B29,0,DCF!$C$16)</f>
        <v>0</v>
      </c>
      <c r="E29" s="124">
        <f t="shared" si="0"/>
        <v>0</v>
      </c>
      <c r="F29" s="125">
        <f t="shared" si="1"/>
        <v>0</v>
      </c>
      <c r="H29" s="120"/>
    </row>
    <row r="30" spans="2:8">
      <c r="B30" s="122">
        <v>10</v>
      </c>
      <c r="C30" s="123">
        <f t="shared" si="2"/>
        <v>0</v>
      </c>
      <c r="D30" s="138">
        <f>IF($C$17&lt;B30,0,DCF!$C$16)</f>
        <v>0</v>
      </c>
      <c r="E30" s="124">
        <f t="shared" si="0"/>
        <v>0</v>
      </c>
      <c r="F30" s="125">
        <f t="shared" si="1"/>
        <v>0</v>
      </c>
      <c r="H30" s="120"/>
    </row>
    <row r="31" spans="2:8">
      <c r="B31" s="122">
        <v>11</v>
      </c>
      <c r="C31" s="123">
        <f t="shared" si="2"/>
        <v>0</v>
      </c>
      <c r="D31" s="138">
        <f>IF($C$17&lt;B31,0,DCF!$C$16)</f>
        <v>0</v>
      </c>
      <c r="E31" s="124">
        <f t="shared" si="0"/>
        <v>0</v>
      </c>
      <c r="F31" s="125">
        <f t="shared" si="1"/>
        <v>0</v>
      </c>
      <c r="H31" s="120"/>
    </row>
    <row r="32" spans="2:8">
      <c r="B32" s="122">
        <v>12</v>
      </c>
      <c r="C32" s="123">
        <f t="shared" si="2"/>
        <v>0</v>
      </c>
      <c r="D32" s="138">
        <f>IF($C$17&lt;B32,0,DCF!$C$16)</f>
        <v>0</v>
      </c>
      <c r="E32" s="124">
        <f t="shared" si="0"/>
        <v>0</v>
      </c>
      <c r="F32" s="125">
        <f t="shared" si="1"/>
        <v>0</v>
      </c>
      <c r="H32" s="120"/>
    </row>
    <row r="33" spans="2:8">
      <c r="B33" s="122">
        <v>13</v>
      </c>
      <c r="C33" s="123">
        <f t="shared" si="2"/>
        <v>0</v>
      </c>
      <c r="D33" s="138">
        <f>IF($C$17&lt;B33,0,DCF!$C$16)</f>
        <v>0</v>
      </c>
      <c r="E33" s="124">
        <f t="shared" si="0"/>
        <v>0</v>
      </c>
      <c r="F33" s="125">
        <f t="shared" si="1"/>
        <v>0</v>
      </c>
      <c r="H33" s="120"/>
    </row>
    <row r="34" spans="2:8">
      <c r="B34" s="122">
        <v>14</v>
      </c>
      <c r="C34" s="123">
        <f t="shared" si="2"/>
        <v>0</v>
      </c>
      <c r="D34" s="138">
        <f>IF($C$17&lt;B34,0,DCF!$C$16)</f>
        <v>0</v>
      </c>
      <c r="E34" s="124">
        <f t="shared" si="0"/>
        <v>0</v>
      </c>
      <c r="F34" s="125">
        <f t="shared" si="1"/>
        <v>0</v>
      </c>
      <c r="H34" s="120"/>
    </row>
    <row r="35" spans="2:8">
      <c r="B35" s="122">
        <v>15</v>
      </c>
      <c r="C35" s="123">
        <f t="shared" si="2"/>
        <v>0</v>
      </c>
      <c r="D35" s="138">
        <f>IF($C$17&lt;B35,0,DCF!$C$16)</f>
        <v>0</v>
      </c>
      <c r="E35" s="124">
        <f t="shared" si="0"/>
        <v>0</v>
      </c>
      <c r="F35" s="125">
        <f t="shared" si="1"/>
        <v>0</v>
      </c>
      <c r="H35" s="120"/>
    </row>
    <row r="36" spans="2:8">
      <c r="B36" s="122">
        <v>16</v>
      </c>
      <c r="C36" s="123">
        <f t="shared" si="2"/>
        <v>0</v>
      </c>
      <c r="D36" s="138">
        <f>IF($C$17&lt;B36,0,DCF!$C$16)</f>
        <v>0</v>
      </c>
      <c r="E36" s="124">
        <f t="shared" si="0"/>
        <v>0</v>
      </c>
      <c r="F36" s="125">
        <f t="shared" si="1"/>
        <v>0</v>
      </c>
      <c r="H36" s="120"/>
    </row>
    <row r="37" spans="2:8">
      <c r="B37" s="122">
        <v>17</v>
      </c>
      <c r="C37" s="123">
        <f t="shared" si="2"/>
        <v>0</v>
      </c>
      <c r="D37" s="138">
        <f>IF($C$17&lt;B37,0,DCF!$C$16)</f>
        <v>0</v>
      </c>
      <c r="E37" s="124">
        <f t="shared" si="0"/>
        <v>0</v>
      </c>
      <c r="F37" s="125">
        <f t="shared" si="1"/>
        <v>0</v>
      </c>
      <c r="H37" s="120"/>
    </row>
    <row r="38" spans="2:8">
      <c r="B38" s="122">
        <v>18</v>
      </c>
      <c r="C38" s="123">
        <f t="shared" si="2"/>
        <v>0</v>
      </c>
      <c r="D38" s="138">
        <f>IF($C$17&lt;B38,0,DCF!$C$16)</f>
        <v>0</v>
      </c>
      <c r="E38" s="124">
        <f t="shared" si="0"/>
        <v>0</v>
      </c>
      <c r="F38" s="125">
        <f t="shared" si="1"/>
        <v>0</v>
      </c>
      <c r="H38" s="120"/>
    </row>
    <row r="39" spans="2:8">
      <c r="B39" s="122">
        <v>19</v>
      </c>
      <c r="C39" s="123">
        <f t="shared" si="2"/>
        <v>0</v>
      </c>
      <c r="D39" s="138">
        <f>IF($C$17&lt;B39,0,DCF!$C$16)</f>
        <v>0</v>
      </c>
      <c r="E39" s="124">
        <f t="shared" si="0"/>
        <v>0</v>
      </c>
      <c r="F39" s="125">
        <f t="shared" si="1"/>
        <v>0</v>
      </c>
      <c r="H39" s="120"/>
    </row>
    <row r="40" spans="2:8">
      <c r="B40" s="122">
        <v>20</v>
      </c>
      <c r="C40" s="123">
        <f t="shared" si="2"/>
        <v>0</v>
      </c>
      <c r="D40" s="138">
        <f>IF($C$17&lt;B40,0,DCF!$C$16)</f>
        <v>0</v>
      </c>
      <c r="E40" s="124">
        <f t="shared" si="0"/>
        <v>0</v>
      </c>
      <c r="F40" s="125">
        <f t="shared" si="1"/>
        <v>0</v>
      </c>
      <c r="H40" s="120"/>
    </row>
    <row r="41" spans="2:8">
      <c r="B41" s="122">
        <v>21</v>
      </c>
      <c r="C41" s="123">
        <f t="shared" si="2"/>
        <v>0</v>
      </c>
      <c r="D41" s="138">
        <f>IF($C$17&lt;B41,0,DCF!$C$16)</f>
        <v>0</v>
      </c>
      <c r="E41" s="124">
        <f t="shared" si="0"/>
        <v>0</v>
      </c>
      <c r="F41" s="125">
        <f t="shared" si="1"/>
        <v>0</v>
      </c>
      <c r="H41" s="120"/>
    </row>
    <row r="42" spans="2:8">
      <c r="B42" s="122">
        <v>22</v>
      </c>
      <c r="C42" s="123">
        <f t="shared" si="2"/>
        <v>0</v>
      </c>
      <c r="D42" s="138">
        <f>IF($C$17&lt;B42,0,DCF!$C$16)</f>
        <v>0</v>
      </c>
      <c r="E42" s="124">
        <f t="shared" si="0"/>
        <v>0</v>
      </c>
      <c r="F42" s="125">
        <f t="shared" si="1"/>
        <v>0</v>
      </c>
      <c r="H42" s="120"/>
    </row>
    <row r="43" spans="2:8">
      <c r="B43" s="122">
        <v>23</v>
      </c>
      <c r="C43" s="123">
        <f t="shared" si="2"/>
        <v>0</v>
      </c>
      <c r="D43" s="138">
        <f>IF($C$17&lt;B43,0,DCF!$C$16)</f>
        <v>0</v>
      </c>
      <c r="E43" s="124">
        <f t="shared" si="0"/>
        <v>0</v>
      </c>
      <c r="F43" s="125">
        <f t="shared" si="1"/>
        <v>0</v>
      </c>
      <c r="H43" s="120"/>
    </row>
    <row r="44" spans="2:8">
      <c r="B44" s="122">
        <v>24</v>
      </c>
      <c r="C44" s="123">
        <f t="shared" si="2"/>
        <v>0</v>
      </c>
      <c r="D44" s="138">
        <f>IF($C$17&lt;B44,0,DCF!$C$16)</f>
        <v>0</v>
      </c>
      <c r="E44" s="124">
        <f t="shared" si="0"/>
        <v>0</v>
      </c>
      <c r="F44" s="125">
        <f t="shared" si="1"/>
        <v>0</v>
      </c>
      <c r="H44" s="120"/>
    </row>
    <row r="45" spans="2:8">
      <c r="B45" s="122">
        <v>25</v>
      </c>
      <c r="C45" s="123">
        <f t="shared" si="2"/>
        <v>0</v>
      </c>
      <c r="D45" s="138">
        <f>IF($C$17&lt;B45,0,DCF!$C$16)</f>
        <v>0</v>
      </c>
      <c r="E45" s="124">
        <f t="shared" si="0"/>
        <v>0</v>
      </c>
      <c r="F45" s="125">
        <f t="shared" si="1"/>
        <v>0</v>
      </c>
      <c r="H45" s="120"/>
    </row>
    <row r="46" spans="2:8">
      <c r="B46" s="122">
        <v>26</v>
      </c>
      <c r="C46" s="123">
        <f t="shared" si="2"/>
        <v>0</v>
      </c>
      <c r="D46" s="138">
        <f>IF($C$17&lt;B46,0,DCF!$C$16)</f>
        <v>0</v>
      </c>
      <c r="E46" s="124">
        <f t="shared" si="0"/>
        <v>0</v>
      </c>
      <c r="F46" s="125">
        <f t="shared" si="1"/>
        <v>0</v>
      </c>
      <c r="H46" s="120"/>
    </row>
    <row r="47" spans="2:8">
      <c r="B47" s="122">
        <v>27</v>
      </c>
      <c r="C47" s="123">
        <f t="shared" si="2"/>
        <v>0</v>
      </c>
      <c r="D47" s="138">
        <f>IF($C$17&lt;B47,0,DCF!$C$16)</f>
        <v>0</v>
      </c>
      <c r="E47" s="124">
        <f t="shared" si="0"/>
        <v>0</v>
      </c>
      <c r="F47" s="125">
        <f t="shared" si="1"/>
        <v>0</v>
      </c>
      <c r="H47" s="120"/>
    </row>
    <row r="48" spans="2:8">
      <c r="B48" s="122">
        <v>28</v>
      </c>
      <c r="C48" s="123">
        <f t="shared" si="2"/>
        <v>0</v>
      </c>
      <c r="D48" s="138">
        <f>IF($C$17&lt;B48,0,DCF!$C$16)</f>
        <v>0</v>
      </c>
      <c r="E48" s="124">
        <f t="shared" si="0"/>
        <v>0</v>
      </c>
      <c r="F48" s="125">
        <f t="shared" si="1"/>
        <v>0</v>
      </c>
      <c r="H48" s="120"/>
    </row>
    <row r="49" spans="1:8">
      <c r="B49" s="122">
        <v>29</v>
      </c>
      <c r="C49" s="123">
        <f t="shared" si="2"/>
        <v>0</v>
      </c>
      <c r="D49" s="138">
        <f>IF($C$17&lt;B49,0,DCF!$C$16)</f>
        <v>0</v>
      </c>
      <c r="E49" s="124">
        <f t="shared" si="0"/>
        <v>0</v>
      </c>
      <c r="F49" s="125">
        <f t="shared" si="1"/>
        <v>0</v>
      </c>
      <c r="H49" s="120"/>
    </row>
    <row r="50" spans="1:8">
      <c r="B50" s="122">
        <v>30</v>
      </c>
      <c r="C50" s="123">
        <f t="shared" si="2"/>
        <v>0</v>
      </c>
      <c r="D50" s="138">
        <f>IF($C$17&lt;B50,0,DCF!$C$16)</f>
        <v>0</v>
      </c>
      <c r="E50" s="124">
        <f t="shared" si="0"/>
        <v>0</v>
      </c>
      <c r="F50" s="125">
        <f t="shared" si="1"/>
        <v>0</v>
      </c>
      <c r="H50" s="120"/>
    </row>
    <row r="51" spans="1:8">
      <c r="B51" s="126" t="s">
        <v>132</v>
      </c>
      <c r="C51" s="123">
        <f>C$21*(1+Terminal_Growth)^$C$17/Equity_Cost</f>
        <v>11792348157.570181</v>
      </c>
      <c r="D51" s="139">
        <f>Terminal_Growth</f>
        <v>0</v>
      </c>
      <c r="E51" s="124">
        <f>1/(1+Equity_Cost)^C17</f>
        <v>0.74725817286605689</v>
      </c>
      <c r="F51" s="125">
        <f t="shared" si="1"/>
        <v>8811928538.0263062</v>
      </c>
      <c r="H51" s="120"/>
    </row>
    <row r="52" spans="1:8">
      <c r="C52" s="114"/>
      <c r="E52" s="127" t="s">
        <v>101</v>
      </c>
      <c r="F52" s="137">
        <f>SUM(F21:F51)</f>
        <v>12125628782.891102</v>
      </c>
      <c r="H52" s="120"/>
    </row>
    <row r="53" spans="1:8">
      <c r="C53" s="114"/>
      <c r="H53" s="120"/>
    </row>
    <row r="54" spans="1:8" ht="13.15">
      <c r="B54" s="119" t="s">
        <v>130</v>
      </c>
      <c r="C54" s="136"/>
      <c r="D54" s="136"/>
      <c r="E54" s="117"/>
      <c r="F54" s="117"/>
      <c r="H54" s="120"/>
    </row>
    <row r="55" spans="1:8" ht="13.15">
      <c r="A55" s="133">
        <f>F52</f>
        <v>12125628782.891102</v>
      </c>
      <c r="B55" s="131">
        <f>C78</f>
        <v>0</v>
      </c>
      <c r="C55" s="131">
        <f>C77</f>
        <v>0.02</v>
      </c>
      <c r="D55" s="131">
        <f>C76</f>
        <v>0.04</v>
      </c>
      <c r="E55" s="131">
        <f>C75</f>
        <v>0.06</v>
      </c>
      <c r="F55" s="131">
        <f>C74</f>
        <v>0.08</v>
      </c>
      <c r="H55" s="120"/>
    </row>
    <row r="56" spans="1:8" ht="13.15">
      <c r="A56" s="143">
        <v>5</v>
      </c>
      <c r="B56" s="123">
        <f t="dataTable" ref="B56:F61" dt2D="1" dtr="1" r1="C16" r2="C17"/>
        <v>11164735506.934874</v>
      </c>
      <c r="C56" s="123">
        <v>11498585981.091312</v>
      </c>
      <c r="D56" s="123">
        <v>11841190823.511272</v>
      </c>
      <c r="E56" s="123">
        <v>12192936898.852106</v>
      </c>
      <c r="F56" s="123">
        <v>12554223104.826691</v>
      </c>
      <c r="H56" s="120"/>
    </row>
    <row r="57" spans="1:8" ht="13.15">
      <c r="A57" s="143">
        <v>10</v>
      </c>
      <c r="B57" s="123">
        <v>11164735506.934872</v>
      </c>
      <c r="C57" s="123">
        <v>11813653303.688793</v>
      </c>
      <c r="D57" s="123">
        <v>12525284186.998447</v>
      </c>
      <c r="E57" s="123">
        <v>13307231096.434795</v>
      </c>
      <c r="F57" s="123">
        <v>14167954144.19693</v>
      </c>
      <c r="H57" s="120"/>
    </row>
    <row r="58" spans="1:8" ht="13.15">
      <c r="A58" s="143">
        <v>15</v>
      </c>
      <c r="B58" s="123">
        <v>11164735506.934868</v>
      </c>
      <c r="C58" s="123">
        <v>12240871940.424587</v>
      </c>
      <c r="D58" s="123">
        <v>13502260044.24229</v>
      </c>
      <c r="E58" s="123">
        <v>14986435238.002663</v>
      </c>
      <c r="F58" s="123">
        <v>16738447922.417589</v>
      </c>
      <c r="H58" s="120"/>
    </row>
    <row r="59" spans="1:8" ht="13.15">
      <c r="A59" s="144">
        <v>20</v>
      </c>
      <c r="B59" s="123">
        <v>11164735506.934868</v>
      </c>
      <c r="C59" s="123">
        <v>12718341118.614334</v>
      </c>
      <c r="D59" s="123">
        <v>14655780270.875019</v>
      </c>
      <c r="E59" s="123">
        <v>17087772952.146759</v>
      </c>
      <c r="F59" s="123">
        <v>20157578776.126354</v>
      </c>
      <c r="H59" s="120"/>
    </row>
    <row r="60" spans="1:8" ht="13.15">
      <c r="A60" s="144">
        <v>25</v>
      </c>
      <c r="B60" s="123">
        <v>11164735506.934868</v>
      </c>
      <c r="C60" s="123">
        <v>13205676061.897917</v>
      </c>
      <c r="D60" s="123">
        <v>15902754360.195995</v>
      </c>
      <c r="E60" s="123">
        <v>19504553428.43959</v>
      </c>
      <c r="F60" s="123">
        <v>24357646016.653687</v>
      </c>
      <c r="H60" s="120"/>
    </row>
    <row r="61" spans="1:8" ht="13.15">
      <c r="A61" s="144">
        <v>30</v>
      </c>
      <c r="B61" s="123">
        <v>11164735506.934868</v>
      </c>
      <c r="C61" s="123">
        <v>13677542754.793108</v>
      </c>
      <c r="D61" s="123">
        <v>17184587137.067047</v>
      </c>
      <c r="E61" s="123">
        <v>22157051086.819511</v>
      </c>
      <c r="F61" s="123">
        <v>29302439936.778774</v>
      </c>
      <c r="H61" s="120"/>
    </row>
    <row r="62" spans="1:8">
      <c r="C62" s="114"/>
      <c r="D62" s="114"/>
      <c r="E62" s="114"/>
      <c r="F62" s="114"/>
      <c r="H62" s="120"/>
    </row>
    <row r="63" spans="1:8" ht="13.15">
      <c r="B63" s="119" t="s">
        <v>131</v>
      </c>
      <c r="C63" s="114"/>
      <c r="D63" s="114"/>
      <c r="E63" s="114"/>
      <c r="F63" s="114"/>
      <c r="H63" s="120"/>
    </row>
    <row r="64" spans="1:8" ht="13.15">
      <c r="B64" s="132">
        <f>B55</f>
        <v>0</v>
      </c>
      <c r="C64" s="132">
        <f>C55</f>
        <v>0.02</v>
      </c>
      <c r="D64" s="132">
        <f>D55</f>
        <v>0.04</v>
      </c>
      <c r="E64" s="132">
        <f>E55</f>
        <v>0.06</v>
      </c>
      <c r="F64" s="132">
        <f>F55</f>
        <v>0.08</v>
      </c>
      <c r="H64" s="120"/>
    </row>
    <row r="65" spans="1:8" ht="13.15">
      <c r="A65" s="143">
        <v>0</v>
      </c>
      <c r="B65" s="124">
        <f>C12</f>
        <v>25.850567581066237</v>
      </c>
      <c r="C65" s="124">
        <f>C12</f>
        <v>25.850567581066237</v>
      </c>
      <c r="D65" s="124">
        <f>C12</f>
        <v>25.850567581066237</v>
      </c>
      <c r="E65" s="141">
        <f>C12</f>
        <v>25.850567581066237</v>
      </c>
      <c r="F65" s="124">
        <f>C12</f>
        <v>25.850567581066237</v>
      </c>
      <c r="H65" s="120"/>
    </row>
    <row r="66" spans="1:8" ht="13.15">
      <c r="A66" s="143">
        <f t="shared" ref="A66:A71" si="3">A56</f>
        <v>5</v>
      </c>
      <c r="B66" s="124">
        <f t="shared" ref="B66:F71" si="4">(B56-$C$7+$C$8+$C$9)/Common_Shares*$C$3*Exchange_Rate</f>
        <v>25.85056758106623</v>
      </c>
      <c r="C66" s="124">
        <f t="shared" si="4"/>
        <v>26.510540129403136</v>
      </c>
      <c r="D66" s="124">
        <f t="shared" si="4"/>
        <v>27.187818756895851</v>
      </c>
      <c r="E66" s="124">
        <f t="shared" si="4"/>
        <v>27.88316823721863</v>
      </c>
      <c r="F66" s="124">
        <f t="shared" si="4"/>
        <v>28.597377131600158</v>
      </c>
      <c r="H66" s="120"/>
    </row>
    <row r="67" spans="1:8" ht="13.15">
      <c r="A67" s="143">
        <f t="shared" si="3"/>
        <v>10</v>
      </c>
      <c r="B67" s="124">
        <f t="shared" si="4"/>
        <v>25.85056758106623</v>
      </c>
      <c r="C67" s="124">
        <f t="shared" si="4"/>
        <v>27.133381191162144</v>
      </c>
      <c r="D67" s="124">
        <f t="shared" si="4"/>
        <v>28.540169211217609</v>
      </c>
      <c r="E67" s="124">
        <f t="shared" si="4"/>
        <v>30.085961517754967</v>
      </c>
      <c r="F67" s="124">
        <f t="shared" si="4"/>
        <v>31.787482489618853</v>
      </c>
      <c r="H67" s="120"/>
    </row>
    <row r="68" spans="1:8" ht="13.15">
      <c r="A68" s="143">
        <f t="shared" si="3"/>
        <v>15</v>
      </c>
      <c r="B68" s="124">
        <f t="shared" si="4"/>
        <v>25.850567581066223</v>
      </c>
      <c r="C68" s="124">
        <f t="shared" si="4"/>
        <v>27.977928658395694</v>
      </c>
      <c r="D68" s="124">
        <f t="shared" si="4"/>
        <v>30.471504632555707</v>
      </c>
      <c r="E68" s="124">
        <f t="shared" si="4"/>
        <v>33.405497424626631</v>
      </c>
      <c r="F68" s="124">
        <f t="shared" si="4"/>
        <v>36.86896495143948</v>
      </c>
      <c r="H68" s="120"/>
    </row>
    <row r="69" spans="1:8" ht="13.15">
      <c r="A69" s="144">
        <f t="shared" si="3"/>
        <v>20</v>
      </c>
      <c r="B69" s="124">
        <f t="shared" si="4"/>
        <v>25.850567581066223</v>
      </c>
      <c r="C69" s="124">
        <f t="shared" si="4"/>
        <v>28.921813944401173</v>
      </c>
      <c r="D69" s="124">
        <f t="shared" si="4"/>
        <v>32.751841916642448</v>
      </c>
      <c r="E69" s="124">
        <f t="shared" si="4"/>
        <v>37.559528386015266</v>
      </c>
      <c r="F69" s="124">
        <f t="shared" si="4"/>
        <v>43.628076222199923</v>
      </c>
      <c r="H69" s="120"/>
    </row>
    <row r="70" spans="1:8" ht="13.15">
      <c r="A70" s="144">
        <f t="shared" si="3"/>
        <v>25</v>
      </c>
      <c r="B70" s="124">
        <f t="shared" si="4"/>
        <v>25.850567581066223</v>
      </c>
      <c r="C70" s="124">
        <f t="shared" si="4"/>
        <v>29.885202375180437</v>
      </c>
      <c r="D70" s="124">
        <f t="shared" si="4"/>
        <v>35.216923535947323</v>
      </c>
      <c r="E70" s="124">
        <f t="shared" si="4"/>
        <v>42.33714259710802</v>
      </c>
      <c r="F70" s="124">
        <f t="shared" si="4"/>
        <v>51.93098214713887</v>
      </c>
    </row>
    <row r="71" spans="1:8" ht="13.15">
      <c r="A71" s="144">
        <f t="shared" si="3"/>
        <v>30</v>
      </c>
      <c r="B71" s="124">
        <f t="shared" si="4"/>
        <v>25.850567581066223</v>
      </c>
      <c r="C71" s="124">
        <f t="shared" si="4"/>
        <v>30.818012384128991</v>
      </c>
      <c r="D71" s="124">
        <f t="shared" si="4"/>
        <v>37.750915576638405</v>
      </c>
      <c r="E71" s="124">
        <f t="shared" si="4"/>
        <v>47.580734488004552</v>
      </c>
      <c r="F71" s="124">
        <f t="shared" si="4"/>
        <v>61.706101540668833</v>
      </c>
    </row>
    <row r="73" spans="1:8" ht="13.15">
      <c r="B73" s="171" t="s">
        <v>118</v>
      </c>
      <c r="C73" s="171" t="s">
        <v>133</v>
      </c>
      <c r="D73" s="171" t="s">
        <v>113</v>
      </c>
      <c r="E73" s="172" t="s">
        <v>114</v>
      </c>
      <c r="F73" s="172" t="s">
        <v>120</v>
      </c>
    </row>
    <row r="74" spans="1:8">
      <c r="B74" s="127" t="str">
        <f>Scenarios!B54</f>
        <v>Snowball Scenario</v>
      </c>
      <c r="C74" s="142">
        <f>Scenarios!C56</f>
        <v>0.08</v>
      </c>
      <c r="D74" s="145">
        <f>Scenarios!C55</f>
        <v>10</v>
      </c>
      <c r="E74" s="135">
        <f>INDEX(B$65:F$71, MATCH(D74, A$65:A$71, 0), MATCH(C74, B$64:F$64, 0))</f>
        <v>31.787482489618853</v>
      </c>
      <c r="F74" s="142">
        <f>Scenarios!C58</f>
        <v>0.15</v>
      </c>
    </row>
    <row r="75" spans="1:8">
      <c r="B75" s="127" t="str">
        <f>Scenarios!B36</f>
        <v>Optimistic</v>
      </c>
      <c r="C75" s="142">
        <f>Scenarios!C38</f>
        <v>0.06</v>
      </c>
      <c r="D75" s="145">
        <f>Scenarios!C37</f>
        <v>5</v>
      </c>
      <c r="E75" s="135">
        <f>INDEX(B$65:F$71, MATCH(D75, A$65:A$71, 0), MATCH(C75, B$64:F$64, 0))</f>
        <v>27.88316823721863</v>
      </c>
      <c r="F75" s="142">
        <f>Scenarios!C40*(1-F$74-F$78)</f>
        <v>0.15000000000000002</v>
      </c>
      <c r="H75" s="120"/>
    </row>
    <row r="76" spans="1:8">
      <c r="B76" s="127" t="str">
        <f>Scenarios!B24</f>
        <v>Base</v>
      </c>
      <c r="C76" s="142">
        <f>Scenarios!C26</f>
        <v>0.04</v>
      </c>
      <c r="D76" s="145">
        <f>Scenarios!C25</f>
        <v>5</v>
      </c>
      <c r="E76" s="135">
        <f>INDEX(B$65:F$71, MATCH(D76, A$65:A$71, 0), MATCH(C76, B$64:F$64, 0))</f>
        <v>27.187818756895851</v>
      </c>
      <c r="F76" s="142">
        <f>Scenarios!C28*(1-F$74-F$78)</f>
        <v>0.44999999999999996</v>
      </c>
      <c r="H76" s="120"/>
    </row>
    <row r="77" spans="1:8">
      <c r="B77" s="127" t="str">
        <f>Scenarios!B30</f>
        <v>Pessimistic</v>
      </c>
      <c r="C77" s="142">
        <f>Scenarios!C32</f>
        <v>0.02</v>
      </c>
      <c r="D77" s="145">
        <f>Scenarios!C31</f>
        <v>5</v>
      </c>
      <c r="E77" s="135">
        <f>INDEX(B$65:F$71, MATCH(D77, A$65:A$71, 0), MATCH(C77, B$64:F$64, 0))</f>
        <v>26.510540129403136</v>
      </c>
      <c r="F77" s="142">
        <f>Scenarios!C34*(1-F$74-F$78)</f>
        <v>0.15000000000000002</v>
      </c>
      <c r="H77" s="120"/>
    </row>
    <row r="78" spans="1:8">
      <c r="B78" s="127" t="str">
        <f>Scenarios!B48</f>
        <v>Devil's advocate</v>
      </c>
      <c r="C78" s="142">
        <f>Scenarios!C50</f>
        <v>0</v>
      </c>
      <c r="D78" s="145">
        <f>Scenarios!C49</f>
        <v>10</v>
      </c>
      <c r="E78" s="135">
        <f>INDEX(B$65:F$71, MATCH(D78, A$65:A$71, 0), MATCH(C78, B$64:F$64, 0))</f>
        <v>25.85056758106623</v>
      </c>
      <c r="F78" s="142">
        <f>Scenarios!C52</f>
        <v>0.1</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445</v>
      </c>
      <c r="C2" s="37"/>
      <c r="D2" s="37"/>
      <c r="E2" s="37"/>
      <c r="F2" s="37"/>
      <c r="H2" s="130" t="s">
        <v>59</v>
      </c>
    </row>
    <row r="3" spans="2:8" ht="13.15">
      <c r="B3" s="109" t="s">
        <v>444</v>
      </c>
      <c r="C3" s="107">
        <f>scaling_factor</f>
        <v>1</v>
      </c>
      <c r="E3" s="109" t="s">
        <v>125</v>
      </c>
      <c r="H3" s="120"/>
    </row>
    <row r="4" spans="2:8">
      <c r="B4" s="100" t="s">
        <v>442</v>
      </c>
      <c r="C4" s="343">
        <f>Normalized_FCF!C91</f>
        <v>536206397.52000004</v>
      </c>
      <c r="D4" t="str">
        <f>Market_currency</f>
        <v>CNY</v>
      </c>
      <c r="E4" s="100" t="s">
        <v>251</v>
      </c>
      <c r="F4" s="134">
        <f>Thesis!E22</f>
        <v>0</v>
      </c>
      <c r="H4" s="120"/>
    </row>
    <row r="5" spans="2:8">
      <c r="B5" s="205" t="s">
        <v>124</v>
      </c>
      <c r="C5" s="206">
        <f>Equity_Cost</f>
        <v>0.06</v>
      </c>
      <c r="E5" s="148"/>
      <c r="H5" s="120"/>
    </row>
    <row r="6" spans="2:8" ht="13.25" customHeight="1">
      <c r="B6" s="149" t="s">
        <v>443</v>
      </c>
      <c r="C6" s="344">
        <f>(C4*(1+Terminal_Growth))/(Equity_Cost-Terminal_Growth)</f>
        <v>8936773292.0000019</v>
      </c>
      <c r="D6" t="str">
        <f>Reporting_currency</f>
        <v>CNY</v>
      </c>
      <c r="E6" s="355"/>
      <c r="F6" s="355"/>
      <c r="H6" s="120"/>
    </row>
    <row r="7" spans="2:8" ht="13.15">
      <c r="B7" s="149" t="s">
        <v>446</v>
      </c>
      <c r="C7" s="111">
        <f>(C6*scaling_factor)/Common_Shares*Exchange_Rate</f>
        <v>17.666666666666671</v>
      </c>
      <c r="D7" t="str">
        <f>Market_currency</f>
        <v>CNY</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5.62138395706255E-2</v>
      </c>
      <c r="H11" s="120"/>
    </row>
    <row r="12" spans="2:8" ht="13.25" customHeight="1">
      <c r="B12" s="118" t="s">
        <v>135</v>
      </c>
      <c r="C12" s="162">
        <f>Scenarios!C64</f>
        <v>5</v>
      </c>
      <c r="H12" s="120"/>
    </row>
    <row r="13" spans="2:8" ht="13.25" customHeight="1">
      <c r="B13" s="153" t="s">
        <v>107</v>
      </c>
      <c r="C13" s="140">
        <f>F47/Common_Shares*scaling_factor</f>
        <v>19.187148831068647</v>
      </c>
      <c r="D13" t="str">
        <f>Market_currency</f>
        <v>CNY</v>
      </c>
      <c r="H13" s="120"/>
    </row>
    <row r="14" spans="2:8">
      <c r="H14" s="120"/>
    </row>
    <row r="15" spans="2:8" ht="13.15">
      <c r="B15" s="128" t="s">
        <v>108</v>
      </c>
      <c r="C15" s="128" t="s">
        <v>448</v>
      </c>
      <c r="D15" s="128" t="s">
        <v>119</v>
      </c>
      <c r="E15" s="128" t="s">
        <v>110</v>
      </c>
      <c r="F15" s="129" t="s">
        <v>447</v>
      </c>
      <c r="H15" s="120"/>
    </row>
    <row r="16" spans="2:8">
      <c r="B16" s="122">
        <v>1</v>
      </c>
      <c r="C16" s="123">
        <f>C4*(1+D16)</f>
        <v>566348617.92693233</v>
      </c>
      <c r="D16" s="138">
        <f>IF($C$12&lt;B16,0,DDM!$C$11)</f>
        <v>5.62138395706255E-2</v>
      </c>
      <c r="E16" s="124">
        <f t="shared" ref="E16:E45" si="0">IF($C$12&lt;B16,0,1/(1+Equity_Cost)^B16)</f>
        <v>0.94339622641509424</v>
      </c>
      <c r="F16" s="125">
        <f t="shared" ref="F16:F46" si="1">C16*E16</f>
        <v>534291148.98767197</v>
      </c>
      <c r="H16" s="120"/>
    </row>
    <row r="17" spans="2:8">
      <c r="B17" s="122">
        <v>2</v>
      </c>
      <c r="C17" s="123">
        <f t="shared" ref="C17:C45" si="2">IF(ROW()-ROW($C$16)&lt;$C$12, $C$16*(1+D17)^(ROW()-ROW($C$16)), 0)</f>
        <v>598185248.27612245</v>
      </c>
      <c r="D17" s="138">
        <f>IF($C$12&lt;B17,0,DDM!$C$11)</f>
        <v>5.62138395706255E-2</v>
      </c>
      <c r="E17" s="124">
        <f t="shared" si="0"/>
        <v>0.88999644001423983</v>
      </c>
      <c r="F17" s="125">
        <f t="shared" si="1"/>
        <v>532382741.43478316</v>
      </c>
      <c r="H17" s="120"/>
    </row>
    <row r="18" spans="2:8">
      <c r="B18" s="122">
        <v>3</v>
      </c>
      <c r="C18" s="123">
        <f t="shared" si="2"/>
        <v>631811537.85623121</v>
      </c>
      <c r="D18" s="138">
        <f>IF($C$12&lt;B18,0,DDM!$C$11)</f>
        <v>5.62138395706255E-2</v>
      </c>
      <c r="E18" s="124">
        <f t="shared" si="0"/>
        <v>0.8396192830323016</v>
      </c>
      <c r="F18" s="125">
        <f t="shared" si="1"/>
        <v>530481150.42638475</v>
      </c>
      <c r="H18" s="120"/>
    </row>
    <row r="19" spans="2:8">
      <c r="B19" s="122">
        <v>4</v>
      </c>
      <c r="C19" s="123">
        <f t="shared" si="2"/>
        <v>667328090.28415155</v>
      </c>
      <c r="D19" s="138">
        <f>IF($C$12&lt;B19,0,DDM!$C$11)</f>
        <v>5.62138395706255E-2</v>
      </c>
      <c r="E19" s="124">
        <f t="shared" si="0"/>
        <v>0.79209366323802044</v>
      </c>
      <c r="F19" s="125">
        <f t="shared" si="1"/>
        <v>528586351.61480606</v>
      </c>
      <c r="H19" s="120"/>
    </row>
    <row r="20" spans="2:8">
      <c r="B20" s="122">
        <v>5</v>
      </c>
      <c r="C20" s="123">
        <f t="shared" si="2"/>
        <v>704841164.49235678</v>
      </c>
      <c r="D20" s="138">
        <f>IF($C$12&lt;B20,0,DDM!$C$11)</f>
        <v>5.62138395706255E-2</v>
      </c>
      <c r="E20" s="124">
        <f t="shared" si="0"/>
        <v>0.74725817286605689</v>
      </c>
      <c r="F20" s="125">
        <f t="shared" si="1"/>
        <v>526698320.73934239</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9439143632.1155396</v>
      </c>
      <c r="D46" s="139">
        <f>Terminal_Growth</f>
        <v>0</v>
      </c>
      <c r="E46" s="124">
        <f>1/(1+Equity_Cost)^C12</f>
        <v>0.74725817286605689</v>
      </c>
      <c r="F46" s="125">
        <f t="shared" si="1"/>
        <v>7053477223.9549341</v>
      </c>
      <c r="H46" s="120"/>
    </row>
    <row r="47" spans="2:8">
      <c r="C47" s="114"/>
      <c r="E47" s="127" t="s">
        <v>101</v>
      </c>
      <c r="F47" s="137">
        <f>SUM(F16:F46)</f>
        <v>9705916937.1579227</v>
      </c>
      <c r="H47" s="120"/>
    </row>
    <row r="48" spans="2:8">
      <c r="C48" s="114"/>
      <c r="H48" s="120"/>
    </row>
    <row r="49" spans="1:8" ht="13.15">
      <c r="B49" s="119" t="s">
        <v>130</v>
      </c>
      <c r="C49" s="136"/>
      <c r="D49" s="136"/>
      <c r="E49" s="117"/>
      <c r="F49" s="117"/>
      <c r="H49" s="120"/>
    </row>
    <row r="50" spans="1:8" ht="13.15">
      <c r="A50" s="133">
        <f>F47</f>
        <v>9705916937.1579227</v>
      </c>
      <c r="B50" s="131">
        <f>C73</f>
        <v>0</v>
      </c>
      <c r="C50" s="131">
        <f>C72</f>
        <v>0.02</v>
      </c>
      <c r="D50" s="131">
        <f>C71</f>
        <v>0.04</v>
      </c>
      <c r="E50" s="131">
        <f>C70</f>
        <v>0.06</v>
      </c>
      <c r="F50" s="131">
        <f>C69</f>
        <v>0.08</v>
      </c>
      <c r="H50" s="120"/>
    </row>
    <row r="51" spans="1:8" ht="13.15">
      <c r="A51" s="143">
        <v>5</v>
      </c>
      <c r="B51" s="123">
        <f t="dataTable" ref="B51:F56" dt2D="1" dtr="1" r1="C11" r2="C12"/>
        <v>8936773291.9999981</v>
      </c>
      <c r="C51" s="123">
        <v>9204002730.5397282</v>
      </c>
      <c r="D51" s="123">
        <v>9478239572.3840122</v>
      </c>
      <c r="E51" s="123">
        <v>9759793481.9879837</v>
      </c>
      <c r="F51" s="123">
        <v>10048983755.62377</v>
      </c>
      <c r="H51" s="120"/>
    </row>
    <row r="52" spans="1:8" ht="13.15">
      <c r="A52" s="143">
        <v>10</v>
      </c>
      <c r="B52" s="123">
        <v>8936773291.9999981</v>
      </c>
      <c r="C52" s="123">
        <v>9456197261.4376793</v>
      </c>
      <c r="D52" s="123">
        <v>10025819700.569693</v>
      </c>
      <c r="E52" s="123">
        <v>10651726355.650965</v>
      </c>
      <c r="F52" s="123">
        <v>11340689093.753593</v>
      </c>
      <c r="H52" s="120"/>
    </row>
    <row r="53" spans="1:8" ht="13.15">
      <c r="A53" s="143">
        <v>15</v>
      </c>
      <c r="B53" s="123">
        <v>8936773291.9999962</v>
      </c>
      <c r="C53" s="123">
        <v>9798162917.5209427</v>
      </c>
      <c r="D53" s="123">
        <v>10807836591.388325</v>
      </c>
      <c r="E53" s="123">
        <v>11995839408.294106</v>
      </c>
      <c r="F53" s="123">
        <v>13398231803.134014</v>
      </c>
      <c r="H53" s="120"/>
    </row>
    <row r="54" spans="1:8" ht="13.15">
      <c r="A54" s="144">
        <v>20</v>
      </c>
      <c r="B54" s="123">
        <v>8936773291.9999962</v>
      </c>
      <c r="C54" s="123">
        <v>10180351442.878204</v>
      </c>
      <c r="D54" s="123">
        <v>11731167802.123228</v>
      </c>
      <c r="E54" s="123">
        <v>13677847795.288212</v>
      </c>
      <c r="F54" s="123">
        <v>16135063076.593027</v>
      </c>
      <c r="H54" s="120"/>
    </row>
    <row r="55" spans="1:8" ht="13.15">
      <c r="A55" s="144">
        <v>25</v>
      </c>
      <c r="B55" s="123">
        <v>8936773291.9999943</v>
      </c>
      <c r="C55" s="123">
        <v>10570436985.22624</v>
      </c>
      <c r="D55" s="123">
        <v>12729303828.752592</v>
      </c>
      <c r="E55" s="123">
        <v>15612351232.449381</v>
      </c>
      <c r="F55" s="123">
        <v>19496992135.855938</v>
      </c>
      <c r="H55" s="120"/>
    </row>
    <row r="56" spans="1:8" ht="13.15">
      <c r="A56" s="144">
        <v>30</v>
      </c>
      <c r="B56" s="123">
        <v>8936773291.9999943</v>
      </c>
      <c r="C56" s="123">
        <v>10948141020.922453</v>
      </c>
      <c r="D56" s="123">
        <v>13755342369.301622</v>
      </c>
      <c r="E56" s="123">
        <v>17735533659.456116</v>
      </c>
      <c r="F56" s="123">
        <v>23455035048.056538</v>
      </c>
      <c r="H56" s="120"/>
    </row>
    <row r="57" spans="1:8">
      <c r="C57" s="114"/>
      <c r="D57" s="114"/>
      <c r="E57" s="114"/>
      <c r="F57" s="114"/>
      <c r="H57" s="120"/>
    </row>
    <row r="58" spans="1:8" ht="13.15">
      <c r="B58" s="119" t="s">
        <v>131</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17.666666666666671</v>
      </c>
      <c r="C60" s="124">
        <f>C7</f>
        <v>17.666666666666671</v>
      </c>
      <c r="D60" s="124">
        <f>C7</f>
        <v>17.666666666666671</v>
      </c>
      <c r="E60" s="141">
        <f>C7</f>
        <v>17.666666666666671</v>
      </c>
      <c r="F60" s="124">
        <f>C7</f>
        <v>17.666666666666671</v>
      </c>
      <c r="H60" s="120"/>
    </row>
    <row r="61" spans="1:8" ht="13.15">
      <c r="A61" s="143">
        <f t="shared" ref="A61:A66" si="3">A51</f>
        <v>5</v>
      </c>
      <c r="B61" s="124">
        <f t="shared" ref="B61:F66" si="4">B51/Common_Shares*$C$3*Exchange_Rate</f>
        <v>17.666666666666664</v>
      </c>
      <c r="C61" s="124">
        <f t="shared" si="4"/>
        <v>18.194939373151012</v>
      </c>
      <c r="D61" s="124">
        <f t="shared" si="4"/>
        <v>18.737064669864019</v>
      </c>
      <c r="E61" s="124">
        <f t="shared" si="4"/>
        <v>19.29365471720503</v>
      </c>
      <c r="F61" s="124">
        <f t="shared" si="4"/>
        <v>19.865340716237704</v>
      </c>
      <c r="H61" s="120"/>
    </row>
    <row r="62" spans="1:8" ht="13.15">
      <c r="A62" s="143">
        <f t="shared" si="3"/>
        <v>10</v>
      </c>
      <c r="B62" s="124">
        <f t="shared" si="4"/>
        <v>17.666666666666664</v>
      </c>
      <c r="C62" s="124">
        <f t="shared" si="4"/>
        <v>18.693490311722865</v>
      </c>
      <c r="D62" s="124">
        <f t="shared" si="4"/>
        <v>19.819548837455791</v>
      </c>
      <c r="E62" s="124">
        <f t="shared" si="4"/>
        <v>21.056872855697112</v>
      </c>
      <c r="F62" s="124">
        <f t="shared" si="4"/>
        <v>22.418849336706081</v>
      </c>
      <c r="H62" s="120"/>
    </row>
    <row r="63" spans="1:8" ht="13.15">
      <c r="A63" s="143">
        <f t="shared" si="3"/>
        <v>15</v>
      </c>
      <c r="B63" s="124">
        <f t="shared" si="4"/>
        <v>17.666666666666661</v>
      </c>
      <c r="C63" s="124">
        <f t="shared" si="4"/>
        <v>19.36950536324925</v>
      </c>
      <c r="D63" s="124">
        <f t="shared" si="4"/>
        <v>21.365479486738714</v>
      </c>
      <c r="E63" s="124">
        <f t="shared" si="4"/>
        <v>23.713983704040892</v>
      </c>
      <c r="F63" s="124">
        <f t="shared" si="4"/>
        <v>26.486304111640759</v>
      </c>
      <c r="H63" s="120"/>
    </row>
    <row r="64" spans="1:8" ht="13.15">
      <c r="A64" s="144">
        <f t="shared" si="3"/>
        <v>20</v>
      </c>
      <c r="B64" s="124">
        <f t="shared" si="4"/>
        <v>17.666666666666661</v>
      </c>
      <c r="C64" s="124">
        <f t="shared" si="4"/>
        <v>20.125035022634911</v>
      </c>
      <c r="D64" s="124">
        <f t="shared" si="4"/>
        <v>23.190767450302207</v>
      </c>
      <c r="E64" s="124">
        <f t="shared" si="4"/>
        <v>27.039063185486746</v>
      </c>
      <c r="F64" s="124">
        <f t="shared" si="4"/>
        <v>31.896610969753819</v>
      </c>
      <c r="H64" s="120"/>
    </row>
    <row r="65" spans="1:8" ht="13.15">
      <c r="A65" s="144">
        <f t="shared" si="3"/>
        <v>25</v>
      </c>
      <c r="B65" s="124">
        <f t="shared" si="4"/>
        <v>17.666666666666654</v>
      </c>
      <c r="C65" s="124">
        <f t="shared" si="4"/>
        <v>20.896175905700364</v>
      </c>
      <c r="D65" s="124">
        <f t="shared" si="4"/>
        <v>25.16393336760677</v>
      </c>
      <c r="E65" s="124">
        <f t="shared" si="4"/>
        <v>30.863287687236291</v>
      </c>
      <c r="F65" s="124">
        <f t="shared" si="4"/>
        <v>38.542642832299371</v>
      </c>
    </row>
    <row r="66" spans="1:8" ht="13.15">
      <c r="A66" s="144">
        <f t="shared" si="3"/>
        <v>30</v>
      </c>
      <c r="B66" s="124">
        <f t="shared" si="4"/>
        <v>17.666666666666654</v>
      </c>
      <c r="C66" s="124">
        <f t="shared" si="4"/>
        <v>21.642840398495885</v>
      </c>
      <c r="D66" s="124">
        <f t="shared" si="4"/>
        <v>27.19225838948681</v>
      </c>
      <c r="E66" s="124">
        <f t="shared" si="4"/>
        <v>35.060502384853159</v>
      </c>
      <c r="F66" s="124">
        <f t="shared" si="4"/>
        <v>46.3671027908849</v>
      </c>
    </row>
    <row r="68" spans="1:8" ht="13.15">
      <c r="B68" s="171" t="s">
        <v>118</v>
      </c>
      <c r="C68" s="171" t="s">
        <v>133</v>
      </c>
      <c r="D68" s="171" t="s">
        <v>113</v>
      </c>
      <c r="E68" s="172" t="s">
        <v>114</v>
      </c>
      <c r="F68" s="172" t="s">
        <v>120</v>
      </c>
    </row>
    <row r="69" spans="1:8">
      <c r="B69" s="127" t="str">
        <f>Scenarios!B54</f>
        <v>Snowball Scenario</v>
      </c>
      <c r="C69" s="142">
        <f>Scenarios!C56</f>
        <v>0.08</v>
      </c>
      <c r="D69" s="145">
        <f>Scenarios!C55</f>
        <v>10</v>
      </c>
      <c r="E69" s="135">
        <f>INDEX(B$60:F$66, MATCH(D69, A$60:A$66, 0), MATCH(C69, B$59:F$59, 0))</f>
        <v>22.418849336706081</v>
      </c>
      <c r="F69" s="142">
        <f>Scenarios!C58</f>
        <v>0.15</v>
      </c>
    </row>
    <row r="70" spans="1:8">
      <c r="B70" s="127" t="str">
        <f>Scenarios!B36</f>
        <v>Optimistic</v>
      </c>
      <c r="C70" s="142">
        <f>Scenarios!C38</f>
        <v>0.06</v>
      </c>
      <c r="D70" s="145">
        <f>Scenarios!C37</f>
        <v>5</v>
      </c>
      <c r="E70" s="135">
        <f>INDEX(B$60:F$66, MATCH(D70, A$60:A$66, 0), MATCH(C70, B$59:F$59, 0))</f>
        <v>19.29365471720503</v>
      </c>
      <c r="F70" s="142">
        <f>Scenarios!C40*(1-F$69-F$73)</f>
        <v>0.15000000000000002</v>
      </c>
      <c r="H70" s="120"/>
    </row>
    <row r="71" spans="1:8">
      <c r="B71" s="127" t="str">
        <f>Scenarios!B24</f>
        <v>Base</v>
      </c>
      <c r="C71" s="142">
        <f>Scenarios!C26</f>
        <v>0.04</v>
      </c>
      <c r="D71" s="145">
        <f>Scenarios!C25</f>
        <v>5</v>
      </c>
      <c r="E71" s="135">
        <f>INDEX(B$60:F$66, MATCH(D71, A$60:A$66, 0), MATCH(C71, B$59:F$59, 0))</f>
        <v>18.737064669864019</v>
      </c>
      <c r="F71" s="142">
        <f>Scenarios!C28*(1-F$69-F$73)</f>
        <v>0.44999999999999996</v>
      </c>
      <c r="H71" s="120"/>
    </row>
    <row r="72" spans="1:8">
      <c r="B72" s="127" t="str">
        <f>Scenarios!B30</f>
        <v>Pessimistic</v>
      </c>
      <c r="C72" s="142">
        <f>Scenarios!C32</f>
        <v>0.02</v>
      </c>
      <c r="D72" s="145">
        <f>Scenarios!C31</f>
        <v>5</v>
      </c>
      <c r="E72" s="135">
        <f>INDEX(B$60:F$66, MATCH(D72, A$60:A$66, 0), MATCH(C72, B$59:F$59, 0))</f>
        <v>18.194939373151012</v>
      </c>
      <c r="F72" s="142">
        <f>Scenarios!C34*(1-F$69-F$73)</f>
        <v>0.15000000000000002</v>
      </c>
      <c r="H72" s="120"/>
    </row>
    <row r="73" spans="1:8">
      <c r="B73" s="127" t="str">
        <f>Scenarios!B48</f>
        <v>Devil's advocate</v>
      </c>
      <c r="C73" s="142">
        <f>Scenarios!C50</f>
        <v>0</v>
      </c>
      <c r="D73" s="145">
        <f>Scenarios!C49</f>
        <v>10</v>
      </c>
      <c r="E73" s="135">
        <f>INDEX(B$60:F$66, MATCH(D73, A$60:A$66, 0), MATCH(C73, B$59:F$59, 0))</f>
        <v>17.666666666666664</v>
      </c>
      <c r="F73" s="142">
        <f>Scenarios!C52</f>
        <v>0.1</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-23.43</v>
      </c>
    </row>
    <row r="4" spans="2:9">
      <c r="B4" s="152" t="s">
        <v>147</v>
      </c>
      <c r="C4" s="120">
        <v>3</v>
      </c>
      <c r="D4" s="120"/>
      <c r="E4" s="155" t="s">
        <v>151</v>
      </c>
      <c r="F4" s="155"/>
      <c r="H4" s="247">
        <v>1</v>
      </c>
      <c r="I4" s="124">
        <f t="shared" ref="I4:I13" si="0">IF(ROW()-3 &lt; $C$76, $C$77, IF(ROW()-3 = $C$76, $C$77 + $C$60, ""))</f>
        <v>1.06</v>
      </c>
    </row>
    <row r="5" spans="2:9">
      <c r="H5" s="247">
        <v>2</v>
      </c>
      <c r="I5" s="124">
        <f t="shared" si="0"/>
        <v>1.06</v>
      </c>
    </row>
    <row r="6" spans="2:9" ht="13.15">
      <c r="B6" s="159" t="s">
        <v>96</v>
      </c>
      <c r="C6" s="107">
        <f>DCF!C3</f>
        <v>1</v>
      </c>
      <c r="E6" s="100" t="s">
        <v>280</v>
      </c>
      <c r="F6" s="100"/>
      <c r="H6" s="247">
        <v>3</v>
      </c>
      <c r="I6" s="124">
        <f t="shared" si="0"/>
        <v>28.806753827145844</v>
      </c>
    </row>
    <row r="7" spans="2:9" ht="12.75" customHeight="1">
      <c r="B7" s="100" t="s">
        <v>276</v>
      </c>
      <c r="C7" s="343">
        <f>Normalized_FCF!G8</f>
        <v>889986026</v>
      </c>
      <c r="D7" t="str">
        <f>Reporting_currency</f>
        <v>CNY</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洽洽食品(002557.SZ). Each scenario should include the Compound Growth Rate, the Probability Assessment, and the Business Narrative.</v>
      </c>
      <c r="F7" s="357"/>
      <c r="H7" s="247">
        <v>4</v>
      </c>
      <c r="I7" s="124" t="str">
        <f t="shared" si="0"/>
        <v/>
      </c>
    </row>
    <row r="8" spans="2:9">
      <c r="B8" s="100" t="s">
        <v>66</v>
      </c>
      <c r="C8" s="343">
        <f>Normalized_FCF!G19</f>
        <v>632397776.92850411</v>
      </c>
      <c r="D8" t="str">
        <f>Reporting_currency</f>
        <v>CNY</v>
      </c>
      <c r="E8" s="357"/>
      <c r="F8" s="357"/>
      <c r="H8" s="247">
        <v>5</v>
      </c>
      <c r="I8" s="124" t="str">
        <f t="shared" si="0"/>
        <v/>
      </c>
    </row>
    <row r="9" spans="2:9">
      <c r="B9" s="100" t="s">
        <v>57</v>
      </c>
      <c r="C9" s="343">
        <f>Normalized_FCF!C19</f>
        <v>669884130.41609263</v>
      </c>
      <c r="D9" t="str">
        <f>Reporting_currency</f>
        <v>CNY</v>
      </c>
      <c r="E9" s="357"/>
      <c r="F9" s="357"/>
      <c r="H9" s="247">
        <v>6</v>
      </c>
      <c r="I9" s="124" t="str">
        <f t="shared" si="0"/>
        <v/>
      </c>
    </row>
    <row r="10" spans="2:9">
      <c r="E10" s="357"/>
      <c r="F10" s="357"/>
      <c r="H10" s="247">
        <v>7</v>
      </c>
      <c r="I10" s="124" t="str">
        <f t="shared" si="0"/>
        <v/>
      </c>
    </row>
    <row r="11" spans="2:9" ht="13.15">
      <c r="B11" s="159" t="s">
        <v>449</v>
      </c>
      <c r="E11" s="357"/>
      <c r="F11" s="357"/>
      <c r="H11" s="247">
        <v>8</v>
      </c>
      <c r="I11" s="124" t="str">
        <f t="shared" si="0"/>
        <v/>
      </c>
    </row>
    <row r="12" spans="2:9">
      <c r="B12" s="118" t="s">
        <v>145</v>
      </c>
      <c r="C12" s="158">
        <f ca="1">(Normalized_FCF!G4/OFFSET(Normalized_FCF!G4, 0, $C$4))^(1/$C$4) - 1</f>
        <v>6.0153753070249838E-2</v>
      </c>
      <c r="D12" s="158"/>
      <c r="E12" s="357"/>
      <c r="F12" s="357"/>
      <c r="H12" s="247">
        <v>9</v>
      </c>
      <c r="I12" s="124" t="str">
        <f t="shared" si="0"/>
        <v/>
      </c>
    </row>
    <row r="13" spans="2:9">
      <c r="B13" s="148" t="s">
        <v>153</v>
      </c>
      <c r="C13" s="158">
        <f ca="1">(Normalized_FCF!G8/OFFSET(Normalized_FCF!G8, 0, $C$4))^(1/$C$4) - 1</f>
        <v>-1.9591718766888921E-2</v>
      </c>
      <c r="E13" s="357"/>
      <c r="F13" s="357"/>
      <c r="H13" s="247">
        <v>10</v>
      </c>
      <c r="I13" s="124" t="str">
        <f t="shared" si="0"/>
        <v/>
      </c>
    </row>
    <row r="14" spans="2:9">
      <c r="B14" s="100" t="s">
        <v>66</v>
      </c>
      <c r="C14" s="158">
        <f ca="1">(Normalized_FCF!G19/OFFSET(Normalized_FCF!G19, 0, $C$4))^(1/$C$4) - 1</f>
        <v>-3.6842771130545571E-2</v>
      </c>
      <c r="E14" s="357"/>
      <c r="F14" s="357"/>
    </row>
    <row r="16" spans="2:9" ht="13.9">
      <c r="B16" s="36" t="s">
        <v>163</v>
      </c>
      <c r="C16" s="37"/>
      <c r="D16" s="37"/>
      <c r="E16" s="37"/>
      <c r="F16" s="37"/>
    </row>
    <row r="17" spans="2:6" ht="13.15">
      <c r="B17" s="109" t="s">
        <v>152</v>
      </c>
      <c r="E17" s="159" t="s">
        <v>330</v>
      </c>
    </row>
    <row r="18" spans="2:6">
      <c r="B18" s="152" t="s">
        <v>134</v>
      </c>
      <c r="C18" s="150">
        <v>5</v>
      </c>
      <c r="E18" s="357" t="s">
        <v>331</v>
      </c>
      <c r="F18" s="358"/>
    </row>
    <row r="19" spans="2:6">
      <c r="E19" s="358"/>
      <c r="F19" s="358"/>
    </row>
    <row r="20" spans="2:6" ht="13.15">
      <c r="B20" s="159" t="s">
        <v>304</v>
      </c>
      <c r="E20" s="358"/>
      <c r="F20" s="358"/>
    </row>
    <row r="21" spans="2:6">
      <c r="B21" s="100" t="s">
        <v>278</v>
      </c>
      <c r="C21" s="160">
        <f>Market_Price</f>
        <v>23.43</v>
      </c>
      <c r="D21" t="str">
        <f>Market_currency</f>
        <v>CNY</v>
      </c>
      <c r="E21" s="358"/>
      <c r="F21" s="358"/>
    </row>
    <row r="22" spans="2:6">
      <c r="B22" s="100" t="s">
        <v>279</v>
      </c>
      <c r="C22" s="160">
        <f>IF(valuation_method="DCF",DCF!C12,DDM!C7)</f>
        <v>25.850567581066237</v>
      </c>
      <c r="D22" t="str">
        <f>Market_currency</f>
        <v>CNY</v>
      </c>
      <c r="E22" s="358"/>
      <c r="F22" s="358"/>
    </row>
    <row r="24" spans="2:6" ht="13.15">
      <c r="B24" s="159" t="s">
        <v>116</v>
      </c>
      <c r="E24" s="159" t="s">
        <v>150</v>
      </c>
      <c r="F24" s="159"/>
    </row>
    <row r="25" spans="2:6">
      <c r="B25" s="152" t="s">
        <v>134</v>
      </c>
      <c r="C25" s="166">
        <f>C18</f>
        <v>5</v>
      </c>
      <c r="D25" s="163"/>
      <c r="E25" s="356"/>
      <c r="F25" s="356"/>
    </row>
    <row r="26" spans="2:6">
      <c r="B26" s="118" t="s">
        <v>135</v>
      </c>
      <c r="C26" s="164">
        <v>0.04</v>
      </c>
      <c r="D26" s="164"/>
      <c r="E26" s="356"/>
      <c r="F26" s="356"/>
    </row>
    <row r="27" spans="2:6">
      <c r="B27" s="100" t="s">
        <v>114</v>
      </c>
      <c r="C27" s="160">
        <f>IF(valuation_method="DCF",DCF!E76,DDM!E71)</f>
        <v>27.187818756895851</v>
      </c>
      <c r="D27" s="160" t="str">
        <f>Market_currency</f>
        <v>CNY</v>
      </c>
      <c r="E27" s="356"/>
      <c r="F27" s="356"/>
    </row>
    <row r="28" spans="2:6">
      <c r="B28" s="100" t="s">
        <v>148</v>
      </c>
      <c r="C28" s="165">
        <v>0.6</v>
      </c>
      <c r="D28" s="165"/>
      <c r="E28" s="356"/>
      <c r="F28" s="356"/>
    </row>
    <row r="30" spans="2:6" ht="13.15">
      <c r="B30" s="159" t="s">
        <v>117</v>
      </c>
      <c r="E30" s="159" t="s">
        <v>150</v>
      </c>
      <c r="F30" s="159"/>
    </row>
    <row r="31" spans="2:6">
      <c r="B31" s="152" t="s">
        <v>134</v>
      </c>
      <c r="C31" s="166">
        <f>C18</f>
        <v>5</v>
      </c>
      <c r="D31" s="163"/>
      <c r="E31" s="356"/>
      <c r="F31" s="356"/>
    </row>
    <row r="32" spans="2:6">
      <c r="B32" s="118" t="s">
        <v>135</v>
      </c>
      <c r="C32" s="164">
        <v>0.02</v>
      </c>
      <c r="D32" s="164"/>
      <c r="E32" s="356"/>
      <c r="F32" s="356"/>
    </row>
    <row r="33" spans="2:6">
      <c r="B33" s="100" t="s">
        <v>114</v>
      </c>
      <c r="C33" s="160">
        <f>IF(valuation_method="DCF",DCF!E77,DDM!E72)</f>
        <v>26.510540129403136</v>
      </c>
      <c r="D33" t="str">
        <f>Market_currency</f>
        <v>CNY</v>
      </c>
      <c r="E33" s="356"/>
      <c r="F33" s="356"/>
    </row>
    <row r="34" spans="2:6">
      <c r="B34" s="100" t="s">
        <v>148</v>
      </c>
      <c r="C34" s="165">
        <v>0.2</v>
      </c>
      <c r="D34" s="165"/>
      <c r="E34" s="356"/>
      <c r="F34" s="356"/>
    </row>
    <row r="36" spans="2:6" ht="13.15">
      <c r="B36" s="159" t="s">
        <v>115</v>
      </c>
      <c r="E36" s="159" t="s">
        <v>150</v>
      </c>
      <c r="F36" s="159"/>
    </row>
    <row r="37" spans="2:6">
      <c r="B37" s="152" t="s">
        <v>134</v>
      </c>
      <c r="C37" s="166">
        <f>C18</f>
        <v>5</v>
      </c>
      <c r="D37" s="163"/>
      <c r="E37" s="356"/>
      <c r="F37" s="356"/>
    </row>
    <row r="38" spans="2:6">
      <c r="B38" s="118" t="s">
        <v>135</v>
      </c>
      <c r="C38" s="164">
        <v>0.06</v>
      </c>
      <c r="D38" s="164"/>
      <c r="E38" s="356"/>
      <c r="F38" s="356"/>
    </row>
    <row r="39" spans="2:6">
      <c r="B39" s="100" t="s">
        <v>114</v>
      </c>
      <c r="C39" s="160">
        <f>IF(valuation_method="DCF",DCF!E75,DDM!E70)</f>
        <v>27.88316823721863</v>
      </c>
      <c r="D39" t="str">
        <f>Market_currency</f>
        <v>CNY</v>
      </c>
      <c r="E39" s="356"/>
      <c r="F39" s="356"/>
    </row>
    <row r="40" spans="2:6">
      <c r="B40" s="100" t="s">
        <v>148</v>
      </c>
      <c r="C40" s="167">
        <f>1-C28-C34</f>
        <v>0.2</v>
      </c>
      <c r="D40" s="165"/>
      <c r="E40" s="356"/>
      <c r="F40" s="356"/>
    </row>
    <row r="42" spans="2:6" ht="13.15">
      <c r="B42" s="100" t="s">
        <v>121</v>
      </c>
      <c r="C42" s="154">
        <f>C27*C28+C33*C34+C39*C40</f>
        <v>27.191432927461861</v>
      </c>
      <c r="D42" t="str">
        <f>Market_currency</f>
        <v>CNY</v>
      </c>
    </row>
    <row r="44" spans="2:6" ht="13.9">
      <c r="B44" s="36" t="s">
        <v>162</v>
      </c>
      <c r="C44" s="37"/>
      <c r="D44" s="37"/>
      <c r="E44" s="37"/>
      <c r="F44" s="37"/>
    </row>
    <row r="45" spans="2:6" ht="13.15">
      <c r="B45" s="109" t="s">
        <v>152</v>
      </c>
    </row>
    <row r="46" spans="2:6">
      <c r="B46" s="152" t="s">
        <v>134</v>
      </c>
      <c r="C46" s="150">
        <v>10</v>
      </c>
      <c r="E46" s="100"/>
      <c r="F46" s="100"/>
    </row>
    <row r="47" spans="2:6" ht="13.15">
      <c r="B47" s="159"/>
      <c r="E47" s="159"/>
      <c r="F47" s="159"/>
    </row>
    <row r="48" spans="2:6" ht="13.15">
      <c r="B48" s="159" t="s">
        <v>166</v>
      </c>
      <c r="E48" s="159" t="s">
        <v>150</v>
      </c>
      <c r="F48" s="159"/>
    </row>
    <row r="49" spans="2:6" ht="12.75" customHeight="1">
      <c r="B49" s="152" t="s">
        <v>134</v>
      </c>
      <c r="C49" s="166">
        <f>C46</f>
        <v>10</v>
      </c>
      <c r="D49" s="163"/>
      <c r="E49" s="356"/>
      <c r="F49" s="356"/>
    </row>
    <row r="50" spans="2:6">
      <c r="B50" s="118" t="s">
        <v>135</v>
      </c>
      <c r="C50" s="164">
        <v>0</v>
      </c>
      <c r="D50" s="164"/>
      <c r="E50" s="356"/>
      <c r="F50" s="356"/>
    </row>
    <row r="51" spans="2:6">
      <c r="B51" s="100" t="s">
        <v>114</v>
      </c>
      <c r="C51" s="160">
        <f>IF(valuation_method="DCF",DCF!E78,DDM!E73)</f>
        <v>25.85056758106623</v>
      </c>
      <c r="D51" t="str">
        <f>Market_currency</f>
        <v>CNY</v>
      </c>
      <c r="E51" s="356"/>
      <c r="F51" s="356"/>
    </row>
    <row r="52" spans="2:6">
      <c r="B52" s="100" t="s">
        <v>148</v>
      </c>
      <c r="C52" s="165">
        <v>0.1</v>
      </c>
      <c r="D52" s="165"/>
      <c r="E52" s="356"/>
      <c r="F52" s="356"/>
    </row>
    <row r="54" spans="2:6" ht="13.15">
      <c r="B54" s="159" t="s">
        <v>317</v>
      </c>
      <c r="E54" s="159" t="s">
        <v>150</v>
      </c>
      <c r="F54" s="159"/>
    </row>
    <row r="55" spans="2:6">
      <c r="B55" s="152" t="s">
        <v>134</v>
      </c>
      <c r="C55" s="166">
        <f>C46</f>
        <v>10</v>
      </c>
      <c r="D55" s="163"/>
      <c r="E55" s="356"/>
      <c r="F55" s="356"/>
    </row>
    <row r="56" spans="2:6">
      <c r="B56" s="118" t="s">
        <v>135</v>
      </c>
      <c r="C56" s="164">
        <v>0.08</v>
      </c>
      <c r="D56" s="164"/>
      <c r="E56" s="356"/>
      <c r="F56" s="356"/>
    </row>
    <row r="57" spans="2:6">
      <c r="B57" s="100" t="s">
        <v>114</v>
      </c>
      <c r="C57" s="160">
        <f>IF(valuation_method="DCF",DCF!E74,DDM!E69)</f>
        <v>31.787482489618853</v>
      </c>
      <c r="D57" t="str">
        <f>Market_currency</f>
        <v>CNY</v>
      </c>
      <c r="E57" s="356"/>
      <c r="F57" s="356"/>
    </row>
    <row r="58" spans="2:6">
      <c r="B58" s="100" t="s">
        <v>148</v>
      </c>
      <c r="C58" s="165">
        <v>0.15</v>
      </c>
      <c r="D58" s="165"/>
      <c r="E58" s="356"/>
      <c r="F58" s="356"/>
    </row>
    <row r="60" spans="2:6" ht="13.15">
      <c r="B60" s="100" t="s">
        <v>121</v>
      </c>
      <c r="C60" s="154">
        <f>C51*C52+C57*C58+C42*(1-C52-C58)</f>
        <v>27.746753827145845</v>
      </c>
      <c r="D60" t="str">
        <f>Market_currency</f>
        <v>CNY</v>
      </c>
      <c r="E60" s="100" t="s">
        <v>297</v>
      </c>
      <c r="F60" s="279">
        <f>Thesis!F28</f>
        <v>3</v>
      </c>
    </row>
    <row r="62" spans="2:6" ht="13.9">
      <c r="B62" s="36" t="s">
        <v>350</v>
      </c>
      <c r="C62" s="37"/>
      <c r="D62" s="37"/>
      <c r="E62" s="37"/>
      <c r="F62" s="37"/>
    </row>
    <row r="63" spans="2:6" ht="13.15">
      <c r="B63" s="109" t="s">
        <v>305</v>
      </c>
      <c r="E63" s="252" t="s">
        <v>312</v>
      </c>
    </row>
    <row r="64" spans="2:6">
      <c r="B64" s="152" t="s">
        <v>134</v>
      </c>
      <c r="C64" s="166">
        <f>C18</f>
        <v>5</v>
      </c>
      <c r="D64" s="150"/>
      <c r="E64" s="251" t="s">
        <v>396</v>
      </c>
    </row>
    <row r="65" spans="2:6">
      <c r="B65" s="118" t="s">
        <v>135</v>
      </c>
      <c r="C65" s="151">
        <v>5.62138395706255E-2</v>
      </c>
      <c r="D65" s="151"/>
      <c r="E65" s="251" t="s">
        <v>313</v>
      </c>
    </row>
    <row r="66" spans="2:6">
      <c r="B66" s="100" t="s">
        <v>103</v>
      </c>
      <c r="C66" s="160">
        <f>IF(valuation_method="DCF",DCF!C18,DDM!C13)</f>
        <v>27.750110140096613</v>
      </c>
      <c r="D66" s="160" t="str">
        <f>Market_currency</f>
        <v>CNY</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3">
        <f>BS!D89/C60</f>
        <v>0.13621601437445302</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1.06</v>
      </c>
      <c r="D77" t="str">
        <f>Market_currency</f>
        <v>CNY</v>
      </c>
    </row>
    <row r="79" spans="2:6" ht="13.15">
      <c r="B79" s="109" t="s">
        <v>302</v>
      </c>
    </row>
    <row r="80" spans="2:6">
      <c r="B80" s="148" t="s">
        <v>300</v>
      </c>
      <c r="C80" s="167">
        <f>Thesis!F29</f>
        <v>0.33699999999999997</v>
      </c>
    </row>
    <row r="81" spans="2:8">
      <c r="B81" s="100" t="s">
        <v>122</v>
      </c>
      <c r="C81" s="116">
        <f>PV(C80, C76, -C77, 0)</f>
        <v>1.829322250329541</v>
      </c>
      <c r="D81" s="116"/>
      <c r="E81" s="100"/>
      <c r="F81" s="100"/>
    </row>
    <row r="82" spans="2:8">
      <c r="B82" s="100" t="s">
        <v>123</v>
      </c>
      <c r="C82" s="116">
        <f>C60/(1+C80)^C76</f>
        <v>11.609618781212262</v>
      </c>
      <c r="D82" s="116"/>
    </row>
    <row r="83" spans="2:8" ht="13.15">
      <c r="B83" s="110" t="s">
        <v>102</v>
      </c>
      <c r="C83" s="111">
        <f>C81+C82</f>
        <v>13.438941031541804</v>
      </c>
      <c r="D83" t="str">
        <f>Market_currency</f>
        <v>CNY</v>
      </c>
      <c r="E83" s="146" t="s">
        <v>127</v>
      </c>
      <c r="F83" s="293">
        <f>(1-C83/C60)</f>
        <v>0.51565717866448546</v>
      </c>
    </row>
    <row r="84" spans="2:8">
      <c r="E84" s="120"/>
    </row>
    <row r="85" spans="2:8" ht="13.15">
      <c r="B85" s="109" t="s">
        <v>303</v>
      </c>
    </row>
    <row r="86" spans="2:8">
      <c r="B86" s="148" t="s">
        <v>301</v>
      </c>
      <c r="C86" s="116">
        <f>Market_Price</f>
        <v>23.43</v>
      </c>
      <c r="D86" t="str">
        <f>Market_currency</f>
        <v>CNY</v>
      </c>
    </row>
    <row r="87" spans="2:8" ht="13.15">
      <c r="B87" s="100" t="s">
        <v>299</v>
      </c>
      <c r="C87" s="237">
        <f ca="1">IRR(OFFSET($I$3, 0, 0, $C$76 + 1, 1))</f>
        <v>0.10085683037892057</v>
      </c>
    </row>
    <row r="88" spans="2:8">
      <c r="B88" s="100"/>
    </row>
    <row r="89" spans="2:8" ht="13.15">
      <c r="B89" s="109" t="s">
        <v>414</v>
      </c>
    </row>
    <row r="90" spans="2:8">
      <c r="B90" s="148" t="s">
        <v>415</v>
      </c>
      <c r="C90" s="167">
        <f>Thesis!F30</f>
        <v>0.187</v>
      </c>
    </row>
    <row r="91" spans="2:8">
      <c r="B91" s="100" t="s">
        <v>122</v>
      </c>
      <c r="C91" s="116">
        <f>PV(C90, C76, -C77, 0)</f>
        <v>2.279132885208865</v>
      </c>
      <c r="D91" s="116"/>
      <c r="E91" s="100"/>
      <c r="F91" s="100"/>
    </row>
    <row r="92" spans="2:8">
      <c r="B92" s="100" t="s">
        <v>123</v>
      </c>
      <c r="C92" s="116">
        <f>C60/(1+C90)^C76</f>
        <v>16.59052098499448</v>
      </c>
      <c r="D92" s="116"/>
    </row>
    <row r="93" spans="2:8" ht="13.15">
      <c r="B93" s="110" t="s">
        <v>102</v>
      </c>
      <c r="C93" s="111">
        <f>C91+C92</f>
        <v>18.869653870203344</v>
      </c>
      <c r="D93" t="str">
        <f>Market_currency</f>
        <v>CNY</v>
      </c>
      <c r="E93" s="146" t="s">
        <v>127</v>
      </c>
      <c r="F93" s="293">
        <f>(1-C93/C60)</f>
        <v>0.31993291944146818</v>
      </c>
    </row>
    <row r="95" spans="2:8" ht="13.15">
      <c r="B95" s="109" t="s">
        <v>398</v>
      </c>
      <c r="G95" s="2"/>
      <c r="H95" s="283"/>
    </row>
    <row r="96" spans="2:8">
      <c r="B96" s="148" t="s">
        <v>404</v>
      </c>
      <c r="C96" s="134">
        <f>Thesis!F31</f>
        <v>0.06</v>
      </c>
      <c r="G96" s="2"/>
      <c r="H96" s="283"/>
    </row>
    <row r="97" spans="2:8">
      <c r="B97" s="100" t="s">
        <v>122</v>
      </c>
      <c r="C97" s="116">
        <f>PV(C96, C76, -C77, 0)</f>
        <v>2.8333926664293383</v>
      </c>
      <c r="D97" s="116"/>
      <c r="G97" s="2"/>
      <c r="H97" s="283"/>
    </row>
    <row r="98" spans="2:8">
      <c r="B98" s="100" t="s">
        <v>123</v>
      </c>
      <c r="C98" s="116">
        <f>C60/(1+C96)^C76</f>
        <v>23.296709554821966</v>
      </c>
      <c r="D98" s="116"/>
      <c r="G98" s="2"/>
      <c r="H98" s="283"/>
    </row>
    <row r="99" spans="2:8" ht="13.15">
      <c r="B99" s="110" t="s">
        <v>399</v>
      </c>
      <c r="C99" s="111">
        <f>C97+C98</f>
        <v>26.130102221251306</v>
      </c>
      <c r="D99" t="s">
        <v>397</v>
      </c>
      <c r="E99" s="146" t="s">
        <v>127</v>
      </c>
      <c r="F99" s="293">
        <f>(1-C99/C60)</f>
        <v>5.8264531266100761E-2</v>
      </c>
    </row>
    <row r="100" spans="2:8">
      <c r="B100" s="100"/>
    </row>
    <row r="101" spans="2:8" ht="13.15">
      <c r="B101" s="109" t="s">
        <v>424</v>
      </c>
    </row>
    <row r="102" spans="2:8">
      <c r="B102" s="148" t="s">
        <v>423</v>
      </c>
      <c r="C102" s="134">
        <f>Thesis!F32</f>
        <v>8.6999999999999994E-2</v>
      </c>
    </row>
    <row r="103" spans="2:8">
      <c r="B103" s="100" t="s">
        <v>122</v>
      </c>
      <c r="C103" s="116">
        <f>PV(C102, C76, -C77, 0)</f>
        <v>2.6975834619563113</v>
      </c>
      <c r="D103" s="116"/>
    </row>
    <row r="104" spans="2:8">
      <c r="B104" s="100" t="s">
        <v>123</v>
      </c>
      <c r="C104" s="116">
        <f>C60/(1+C102)^C76</f>
        <v>21.603471723847637</v>
      </c>
      <c r="D104" s="116"/>
    </row>
    <row r="105" spans="2:8" ht="13.15">
      <c r="B105" s="110" t="s">
        <v>399</v>
      </c>
      <c r="C105" s="111">
        <f>C103+C104</f>
        <v>24.301055185803946</v>
      </c>
      <c r="D105" t="s">
        <v>397</v>
      </c>
      <c r="E105" s="146" t="s">
        <v>127</v>
      </c>
      <c r="F105" s="293">
        <f>(1-C105/C66)</f>
        <v>0.12428977531548846</v>
      </c>
    </row>
    <row r="106" spans="2:8">
      <c r="B106" s="100"/>
    </row>
    <row r="107" spans="2:8" ht="14.65">
      <c r="E107" s="287" t="s">
        <v>325</v>
      </c>
      <c r="F107" s="284"/>
    </row>
    <row r="108" spans="2:8" ht="13.9">
      <c r="E108" s="280" t="s">
        <v>326</v>
      </c>
      <c r="F108" s="285" t="s">
        <v>327</v>
      </c>
    </row>
    <row r="109" spans="2:8" ht="13.9">
      <c r="E109" s="281" t="s">
        <v>326</v>
      </c>
      <c r="F109" s="285" t="s">
        <v>328</v>
      </c>
    </row>
    <row r="110" spans="2:8" ht="13.9">
      <c r="E110" s="282" t="s">
        <v>326</v>
      </c>
      <c r="F110" s="286"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2025-05-21T14:46:17Z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