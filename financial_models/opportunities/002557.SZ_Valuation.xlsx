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6032DAE-F08D-4585-89B3-E64F0D6C0826}" xr6:coauthVersionLast="47" xr6:coauthVersionMax="47" xr10:uidLastSave="{00000000-0000-0000-0000-000000000000}"/>
  <bookViews>
    <workbookView xWindow="735" yWindow="735" windowWidth="12690" windowHeight="7643"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O94" i="2"/>
  <c r="Q92" i="2"/>
  <c r="Q94" i="2"/>
  <c r="J94" i="2"/>
  <c r="N94" i="2"/>
  <c r="I94" i="2"/>
  <c r="K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<sst xmlns="http://schemas.openxmlformats.org/spreadsheetml/2006/main" count="686" uniqueCount="466">
  <si>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</si>
  <si>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</si>
  <si>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</si>
  <si>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</si>
  <si>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</si>
  <si>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</si>
  <si>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</si>
  <si>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</si>
  <si>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</si>
  <si>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</si>
  <si>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</si>
  <si>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</si>
  <si>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</si>
  <si>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</si>
  <si>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</si>
  <si>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</si>
  <si>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</si>
  <si>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</si>
  <si>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</si>
  <si>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</si>
  <si>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</si>
  <si>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</si>
  <si>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</si>
  <si>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</si>
  <si>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</si>
  <si>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</si>
  <si>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</si>
  <si>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</si>
  <si>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</si>
  <si>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</si>
  <si>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</si>
  <si>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</si>
  <si>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</si>
  <si>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</si>
  <si>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</si>
  <si>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</si>
  <si>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</si>
  <si>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</si>
  <si>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</si>
  <si>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</si>
  <si>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</si>
  <si>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</si>
  <si>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</si>
  <si>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</si>
  <si>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</si>
  <si>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</si>
  <si>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</si>
  <si>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</si>
  <si>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</si>
  <si>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</si>
  <si>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</si>
  <si>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</si>
  <si>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</si>
  <si>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</si>
  <si>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</si>
  <si>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</si>
  <si>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</si>
  <si>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</si>
  <si>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</si>
  <si>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</si>
  <si>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</si>
  <si>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</si>
  <si>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</si>
  <si>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</si>
  <si>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</si>
  <si>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</si>
  <si>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</si>
  <si>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</si>
  <si>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</si>
  <si>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</si>
  <si>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</si>
  <si>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</si>
  <si>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</si>
  <si>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</si>
  <si>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</si>
  <si>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</si>
  <si>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</si>
  <si>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</si>
  <si>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</si>
  <si>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</si>
  <si>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</si>
  <si>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</si>
  <si>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</si>
  <si>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</si>
  <si>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</si>
  <si>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</si>
  <si>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</si>
  <si>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</si>
  <si>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</si>
  <si>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</si>
  <si>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</si>
  <si>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</si>
  <si>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</si>
  <si>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</si>
  <si>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</si>
  <si>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</si>
  <si>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</si>
  <si>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</si>
  <si>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</si>
  <si>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</si>
  <si>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</si>
  <si>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</si>
  <si>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</si>
  <si>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</si>
  <si>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</si>
  <si>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</si>
  <si>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</si>
  <si>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</si>
  <si>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</si>
  <si>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</si>
  <si>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</si>
  <si>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</si>
  <si>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</si>
  <si>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</si>
  <si>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</si>
  <si>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</si>
  <si>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</si>
  <si>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</si>
  <si>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</si>
  <si>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</si>
  <si>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</si>
  <si>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</si>
  <si>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</si>
  <si>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</si>
  <si>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</si>
  <si>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</si>
  <si>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</si>
  <si>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</si>
  <si>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</si>
  <si>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</si>
  <si>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</si>
  <si>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</si>
  <si>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</si>
  <si>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</si>
  <si>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</si>
  <si>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</si>
  <si>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</si>
  <si>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</si>
  <si>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</si>
  <si>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</si>
  <si>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</si>
  <si>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</si>
  <si>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</si>
  <si>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</si>
  <si>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</si>
  <si>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</si>
  <si>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</si>
  <si>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</si>
  <si>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</si>
  <si>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</si>
  <si>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</si>
  <si>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</si>
  <si>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</si>
  <si>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</si>
  <si>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</si>
  <si>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</si>
  <si>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</si>
  <si>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</si>
  <si>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</si>
  <si>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</si>
  <si>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</si>
  <si>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</si>
  <si>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</si>
  <si>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</si>
  <si>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</si>
  <si>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</si>
  <si>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</si>
  <si>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</si>
  <si>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</si>
  <si>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</si>
  <si>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</si>
  <si>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</si>
  <si>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</si>
  <si>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</si>
  <si>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</si>
  <si>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</si>
  <si>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</si>
  <si>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</si>
  <si>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</si>
  <si>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</si>
  <si>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</si>
  <si>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</si>
  <si>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</si>
  <si>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</si>
  <si>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</si>
  <si>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</si>
  <si>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</si>
  <si>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</si>
  <si>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</si>
  <si>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</si>
  <si>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</si>
  <si>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</si>
  <si>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</si>
  <si>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</si>
  <si>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</si>
  <si>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</si>
  <si>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</si>
  <si>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</si>
  <si>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</si>
  <si>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</si>
  <si>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</si>
  <si>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</si>
  <si>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</si>
  <si>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</si>
  <si>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</si>
  <si>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</si>
  <si>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</si>
  <si>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</si>
  <si>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</si>
  <si>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</si>
  <si>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</si>
  <si>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</si>
  <si>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</si>
  <si>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</si>
  <si>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</si>
  <si>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</si>
  <si>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</si>
  <si>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</si>
  <si>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</si>
  <si>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</si>
  <si>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</si>
  <si>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</si>
  <si>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</si>
  <si>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</si>
  <si>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</si>
  <si>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</si>
  <si>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</si>
  <si>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</si>
  <si>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</si>
  <si>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</si>
  <si>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</si>
  <si>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</si>
  <si>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</si>
  <si>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</si>
  <si>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</si>
  <si>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</si>
  <si>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</si>
  <si>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</si>
  <si>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</si>
  <si>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</si>
  <si>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</si>
  <si>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</si>
  <si>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</si>
  <si>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</si>
  <si>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</si>
  <si>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</si>
  <si>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</si>
  <si>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</si>
  <si>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</si>
  <si>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</si>
  <si>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</si>
  <si>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</si>
  <si>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</si>
  <si>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</si>
  <si>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</si>
  <si>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</si>
  <si>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</si>
  <si>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</si>
  <si>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</si>
  <si>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</si>
  <si>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</si>
  <si>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</si>
  <si>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</si>
  <si>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</si>
  <si>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</si>
  <si>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</si>
  <si>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</si>
  <si>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</si>
  <si>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</si>
  <si>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</si>
  <si>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</si>
  <si>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</si>
  <si>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</si>
  <si>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</si>
  <si>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</si>
  <si>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</si>
  <si>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</si>
  <si>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</si>
  <si>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</si>
  <si>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</si>
  <si>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</si>
  <si>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</si>
  <si>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</si>
  <si>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</si>
  <si>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</si>
  <si>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</si>
  <si>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</si>
  <si>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</si>
  <si>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</si>
  <si>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</si>
  <si>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</si>
  <si>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</si>
  <si>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</si>
  <si>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</si>
  <si>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</si>
  <si>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</si>
  <si>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</si>
  <si>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</si>
  <si>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</si>
  <si>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</si>
  <si>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</si>
  <si>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</si>
  <si>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</si>
  <si>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</si>
  <si>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</si>
  <si>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</si>
  <si>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</si>
  <si>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</si>
  <si>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</si>
  <si>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</si>
  <si>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</si>
  <si>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</si>
  <si>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</si>
  <si>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</si>
  <si>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</si>
  <si>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</si>
  <si>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</si>
  <si>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</si>
  <si>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</si>
  <si>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</si>
  <si>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</si>
  <si>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</si>
  <si>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</si>
  <si>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</si>
  <si>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</si>
  <si>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</si>
  <si>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</si>
  <si>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</si>
  <si>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</si>
  <si>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</si>
  <si>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</si>
  <si>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</si>
  <si>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</si>
  <si>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</si>
  <si>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</si>
  <si>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</si>
  <si>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</si>
  <si>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</si>
  <si>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</si>
  <si>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</si>
  <si>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</si>
  <si>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</si>
  <si>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</si>
  <si>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</si>
  <si>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</si>
  <si>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</si>
  <si>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</si>
  <si>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</si>
  <si>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</si>
  <si>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</si>
  <si>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</si>
  <si>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</si>
  <si>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</si>
  <si>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</si>
  <si>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</si>
  <si>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</si>
  <si>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</si>
  <si>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</si>
  <si>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</si>
  <si>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</si>
  <si>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</si>
  <si>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</si>
  <si>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</si>
  <si>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</si>
  <si>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</si>
  <si>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</si>
  <si>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</si>
  <si>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</si>
  <si>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</si>
  <si>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</si>
  <si>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</si>
  <si>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</si>
  <si>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</si>
  <si>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</si>
  <si>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</si>
  <si>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</si>
  <si>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</si>
  <si>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</si>
  <si>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</si>
  <si>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</si>
  <si>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</si>
  <si>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</si>
  <si>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</si>
  <si>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</si>
  <si>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</si>
  <si>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</si>
  <si>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</si>
  <si>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</si>
  <si>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</si>
  <si>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</si>
  <si>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</si>
  <si>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</si>
  <si>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</si>
  <si>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</si>
  <si>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</si>
  <si>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</si>
  <si>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</si>
  <si>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</si>
  <si>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</si>
  <si>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</si>
  <si>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</si>
  <si>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</si>
  <si>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</si>
  <si>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</si>
  <si>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</si>
  <si>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</si>
  <si>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</si>
  <si>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</si>
  <si>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</si>
  <si>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</si>
  <si>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</si>
  <si>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</si>
  <si>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</si>
  <si>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</si>
  <si>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</si>
  <si>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</si>
  <si>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</si>
  <si>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</si>
  <si>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</si>
  <si>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</si>
  <si>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</si>
  <si>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</si>
  <si>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</si>
  <si>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</si>
  <si>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</si>
  <si>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</si>
  <si>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</si>
  <si>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</si>
  <si>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</si>
  <si>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</si>
  <si>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</si>
  <si>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</si>
  <si>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</si>
  <si>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</si>
  <si>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</si>
  <si>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</si>
  <si>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</si>
  <si>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</si>
  <si>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</si>
  <si>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</si>
  <si>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</si>
  <si>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</si>
  <si>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</si>
  <si>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</si>
  <si>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</si>
  <si>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</si>
  <si>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</si>
  <si>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</si>
  <si>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</si>
  <si>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</si>
  <si>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</si>
  <si>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</si>
  <si>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</si>
  <si>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</si>
  <si>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</si>
  <si>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</si>
  <si>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</si>
  <si>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</si>
  <si>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洽洽食品</t>
  </si>
  <si>
    <t>002557.SZ</t>
  </si>
  <si>
    <t/>
  </si>
  <si>
    <t>CNS_01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</si>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</sst>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505855092</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22.95</v>
      </c>
      <c r="D12" s="50"/>
      <c r="E12" s="48"/>
    </row>
    <row r="13" spans="1:10">
      <c r="B13" s="1" t="s">
        <v>413</v>
      </c>
      <c r="C13" s="48" t="s">
        <v>411</v>
      </c>
      <c r="D13" s="48"/>
      <c r="E13" s="5"/>
    </row>
    <row r="14" spans="1:10">
      <c r="B14" s="4" t="s">
        <v>417</v>
      </c>
      <c r="C14" s="35">
        <f>Thesis!C12*Common_Shares/1000000</f>
        <v>11609.3743614</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27.746753827145845</v>
      </c>
      <c r="D26" s="1" t="s">
        <v>396</v>
      </c>
      <c r="E26" s="301">
        <f ca="1">Scenarios!C87</f>
        <v>0.10444287078173975</v>
      </c>
    </row>
    <row r="27" spans="2:6">
      <c r="D27" s="5"/>
      <c r="E27" s="5"/>
    </row>
    <row r="28" spans="2:6">
      <c r="B28" s="45" t="s">
        <v>430</v>
      </c>
      <c r="C28" s="309" t="str">
        <f>C145&amp;" ("&amp;Market_currency&amp;")"</f>
        <v>002557.SZ (CNY)</v>
      </c>
      <c r="D28" s="309" t="str">
        <f>IF(D11="","",D145&amp;" ("&amp;D13&amp;")")</f>
        <v/>
      </c>
      <c r="E28" s="305" t="s">
        <v>426</v>
      </c>
      <c r="F28" s="303">
        <v>3</v>
      </c>
    </row>
    <row r="29" spans="2:6">
      <c r="B29" s="1" t="s">
        <v>422</v>
      </c>
      <c r="C29" s="310">
        <f>C149</f>
        <v>13.256008806508849</v>
      </c>
      <c r="D29" s="310" t="str">
        <f>D149</f>
        <v/>
      </c>
      <c r="E29" s="306" t="s">
        <v>421</v>
      </c>
      <c r="F29" s="302">
        <v>0.33699999999999997</v>
      </c>
    </row>
    <row r="30" spans="2:6">
      <c r="B30" s="1" t="s">
        <v>423</v>
      </c>
      <c r="C30" s="311">
        <f>C157</f>
        <v>18.641740581682459</v>
      </c>
      <c r="D30" s="311" t="str">
        <f>D157</f>
        <v/>
      </c>
      <c r="E30" s="307" t="s">
        <v>434</v>
      </c>
      <c r="F30" s="312">
        <v>0.187</v>
      </c>
    </row>
    <row r="31" spans="2:6">
      <c r="B31" s="1" t="s">
        <v>424</v>
      </c>
      <c r="C31" s="311">
        <f>C165</f>
        <v>25.846762954608369</v>
      </c>
      <c r="D31" s="311" t="str">
        <f>D165</f>
        <v/>
      </c>
      <c r="E31" s="307" t="s">
        <v>433</v>
      </c>
      <c r="F31" s="312">
        <v>0.06</v>
      </c>
    </row>
    <row r="32" spans="2:6">
      <c r="B32" s="1" t="s">
        <v>425</v>
      </c>
      <c r="C32" s="311">
        <f>C173</f>
        <v>24.031296839608316</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923979255.39561176</v>
      </c>
      <c r="D41" s="1" t="str">
        <f>Reporting_currency</f>
        <v>CNY</v>
      </c>
    </row>
    <row r="42" spans="1:6">
      <c r="B42" s="47"/>
      <c r="C42" s="76"/>
    </row>
    <row r="43" spans="1:6" ht="24.6" customHeight="1">
      <c r="B43" s="359" t="s">
        <v>232</v>
      </c>
      <c r="C43" s="359"/>
      <c r="D43" s="359"/>
      <c r="E43" s="359"/>
      <c r="F43" s="359"/>
    </row>
    <row r="44" spans="1:6">
      <c r="B44" s="47" t="s">
        <v>233</v>
      </c>
      <c r="C44" s="349">
        <f>Normalized_FCF!C9</f>
        <v>0</v>
      </c>
      <c r="D44" s="1" t="str">
        <f>Reporting_currency</f>
        <v>CNY</v>
      </c>
    </row>
    <row r="45" spans="1:6">
      <c r="B45" s="52" t="s">
        <v>234</v>
      </c>
      <c r="C45" s="349">
        <f>Normalized_FCF!C10</f>
        <v>0</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32042840.928504106</v>
      </c>
      <c r="D51" s="1" t="str">
        <f>Reporting_currency</f>
        <v>CNY</v>
      </c>
      <c r="E51" s="286"/>
      <c r="F51" s="286"/>
    </row>
    <row r="52" spans="2:6">
      <c r="B52" s="47" t="s">
        <v>338</v>
      </c>
      <c r="C52" s="350">
        <f>Normalized_FCF!C47</f>
        <v>-59672121</v>
      </c>
      <c r="D52" s="1" t="str">
        <f>Reporting_currency</f>
        <v>CNY</v>
      </c>
      <c r="E52" s="286"/>
      <c r="F52" s="286"/>
    </row>
    <row r="53" spans="2:6">
      <c r="B53" s="47" t="s">
        <v>237</v>
      </c>
      <c r="C53" s="349">
        <f>Normalized_FCF!C12</f>
        <v>-27629280.071495894</v>
      </c>
      <c r="D53" s="1" t="str">
        <f>Reporting_currency</f>
        <v>CNY</v>
      </c>
    </row>
    <row r="55" spans="2:6">
      <c r="B55" s="1" t="s">
        <v>245</v>
      </c>
    </row>
    <row r="56" spans="2:6">
      <c r="B56" s="47" t="s">
        <v>264</v>
      </c>
      <c r="C56" s="349">
        <f>Normalized_FCF!C15</f>
        <v>-2378351.0769942678</v>
      </c>
      <c r="D56" s="1" t="str">
        <f>Reporting_currency</f>
        <v>CNY</v>
      </c>
    </row>
    <row r="58" spans="2:6">
      <c r="B58" s="359" t="s">
        <v>240</v>
      </c>
      <c r="C58" s="359"/>
      <c r="D58" s="359"/>
      <c r="E58" s="359"/>
      <c r="F58" s="359"/>
    </row>
    <row r="59" spans="2:6">
      <c r="B59" s="47" t="s">
        <v>238</v>
      </c>
      <c r="C59" s="349">
        <f>Normalized_FCF!C14</f>
        <v>-224087493.83102897</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632397776.92850411</v>
      </c>
      <c r="D67" s="1" t="str">
        <f>Reporting_currency</f>
        <v>CNY</v>
      </c>
    </row>
    <row r="68" spans="1:6">
      <c r="B68" s="47" t="s">
        <v>247</v>
      </c>
      <c r="C68" s="349">
        <f>Normalized_FCF!C19</f>
        <v>669884130.41609263</v>
      </c>
      <c r="D68" s="1" t="str">
        <f>Reporting_currency</f>
        <v>CNY</v>
      </c>
    </row>
    <row r="69" spans="1:6">
      <c r="B69" s="227" t="s">
        <v>387</v>
      </c>
      <c r="C69" s="92">
        <f>Normalized_FCF!C126</f>
        <v>5.7702000948766874E-2</v>
      </c>
      <c r="F69" s="314"/>
    </row>
    <row r="70" spans="1:6">
      <c r="B70" s="227" t="s">
        <v>454</v>
      </c>
      <c r="C70" s="92">
        <f>Normalized_FCF!C94</f>
        <v>4.1568627450980396E-2</v>
      </c>
      <c r="E70" s="47" t="s">
        <v>445</v>
      </c>
      <c r="F70" s="315">
        <f>Normalized_FCF!C92</f>
        <v>0.80044648495694337</v>
      </c>
    </row>
    <row r="72" spans="1:6">
      <c r="B72" s="210" t="s">
        <v>447</v>
      </c>
      <c r="C72" s="323" t="s">
        <v>449</v>
      </c>
      <c r="D72" s="323" t="s">
        <v>450</v>
      </c>
    </row>
    <row r="73" spans="1:6">
      <c r="B73" s="47" t="s">
        <v>448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22.071015362903331</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2209595736.0500002</v>
      </c>
      <c r="D102" s="1" t="str">
        <f>Reporting_currency</f>
        <v>CNY</v>
      </c>
    </row>
    <row r="103" spans="2:6">
      <c r="B103" s="47" t="s">
        <v>280</v>
      </c>
      <c r="C103" s="223">
        <f>C102*scaling_factor*Exchange_Rate/Common_Shares</f>
        <v>4.3680409093321932</v>
      </c>
      <c r="D103" s="1" t="str">
        <f>Market_currency</f>
        <v>CNY</v>
      </c>
    </row>
    <row r="104" spans="2:6">
      <c r="B104" s="296" t="s">
        <v>401</v>
      </c>
      <c r="C104" s="325">
        <f>IF(BS!G31/BS!G27&gt;300%,"nm",BS!G31/BS!G27)</f>
        <v>0.3857437197038544</v>
      </c>
    </row>
    <row r="105" spans="2:6">
      <c r="B105" s="296" t="s">
        <v>403</v>
      </c>
      <c r="C105" s="326">
        <f>IF(BS!C50&gt;30,"nm",BS!C50)</f>
        <v>2.3913910654887354</v>
      </c>
    </row>
    <row r="107" spans="2:6">
      <c r="B107" s="1" t="s">
        <v>253</v>
      </c>
    </row>
    <row r="108" spans="2:6">
      <c r="B108" s="47" t="s">
        <v>263</v>
      </c>
      <c r="C108" s="349">
        <f>BS!C66</f>
        <v>4583178463.29</v>
      </c>
      <c r="D108" s="1" t="str">
        <f>Reporting_currency</f>
        <v>CNY</v>
      </c>
    </row>
    <row r="109" spans="2:6">
      <c r="B109" s="47" t="s">
        <v>265</v>
      </c>
      <c r="C109" s="349">
        <f>DCF!C8</f>
        <v>3530916331.352602</v>
      </c>
      <c r="D109" s="1" t="str">
        <f>Reporting_currency</f>
        <v>CNY</v>
      </c>
    </row>
    <row r="110" spans="2:6">
      <c r="B110" s="47" t="s">
        <v>281</v>
      </c>
      <c r="C110" s="223">
        <f>C109*scaling_factor*Exchange_Rate/Common_Shares</f>
        <v>6.9800944720995357</v>
      </c>
      <c r="D110" s="1" t="str">
        <f>Market_currency</f>
        <v>CNY</v>
      </c>
    </row>
    <row r="112" spans="2:6">
      <c r="B112" s="1" t="s">
        <v>255</v>
      </c>
    </row>
    <row r="113" spans="1:6">
      <c r="B113" s="47" t="s">
        <v>256</v>
      </c>
      <c r="C113" s="349">
        <f>DCF!C9</f>
        <v>590585139.73500001</v>
      </c>
      <c r="D113" s="1" t="str">
        <f>Reporting_currency</f>
        <v>CNY</v>
      </c>
    </row>
    <row r="114" spans="1:6">
      <c r="B114" s="47" t="s">
        <v>282</v>
      </c>
      <c r="C114" s="223">
        <f>C113*scaling_factor*Exchange_Rate/Common_Shares</f>
        <v>1.1674986553955653</v>
      </c>
      <c r="D114" s="1" t="str">
        <f>Market_currency</f>
        <v>CNY</v>
      </c>
    </row>
    <row r="116" spans="1:6" ht="24.6" customHeight="1">
      <c r="B116" s="358" t="s">
        <v>363</v>
      </c>
      <c r="C116" s="358"/>
      <c r="D116" s="358"/>
      <c r="E116" s="358"/>
      <c r="F116" s="358"/>
    </row>
    <row r="118" spans="1:6">
      <c r="B118" s="47" t="s">
        <v>446</v>
      </c>
      <c r="C118" s="223">
        <f>IF(valuation_method="DCF",DCF!C12,DDM!C7)</f>
        <v>25.850567581066237</v>
      </c>
      <c r="D118" s="1" t="str">
        <f>Market_currency</f>
        <v>CNY</v>
      </c>
    </row>
    <row r="119" spans="1:6">
      <c r="B119" s="296" t="s">
        <v>402</v>
      </c>
      <c r="C119" s="223">
        <f>BS!D47</f>
        <v>3.5427832354191278</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31.79 CNY</v>
      </c>
      <c r="F126" s="232">
        <f>DCF!F74</f>
        <v>0.15</v>
      </c>
    </row>
    <row r="127" spans="1:6">
      <c r="B127" s="218" t="str">
        <f>DCF!B75</f>
        <v>Optimistic</v>
      </c>
      <c r="C127" s="219">
        <f>DCF!C75</f>
        <v>0.06</v>
      </c>
      <c r="D127" s="220">
        <f>DCF!D75</f>
        <v>5</v>
      </c>
      <c r="E127" s="231" t="str">
        <f>ROUND(IF(valuation_method="DCF",DCF!E75,DDM!E70),2)&amp;" "&amp;Market_currency</f>
        <v>27.88 CNY</v>
      </c>
      <c r="F127" s="221">
        <f>DCF!F75</f>
        <v>0.15000000000000002</v>
      </c>
    </row>
    <row r="128" spans="1:6">
      <c r="B128" s="218" t="str">
        <f>DCF!B76</f>
        <v>Base</v>
      </c>
      <c r="C128" s="219">
        <f>DCF!C76</f>
        <v>0.04</v>
      </c>
      <c r="D128" s="220">
        <f>DCF!D76</f>
        <v>5</v>
      </c>
      <c r="E128" s="231" t="str">
        <f>ROUND(IF(valuation_method="DCF",DCF!E76,DDM!E71),2)&amp;" "&amp;Market_currency</f>
        <v>27.19 CNY</v>
      </c>
      <c r="F128" s="221">
        <f>DCF!F76</f>
        <v>0.44999999999999996</v>
      </c>
    </row>
    <row r="129" spans="1:6">
      <c r="B129" s="218" t="str">
        <f>DCF!B77</f>
        <v>Pessimistic</v>
      </c>
      <c r="C129" s="219">
        <f>DCF!C77</f>
        <v>0.02</v>
      </c>
      <c r="D129" s="220">
        <f>DCF!D77</f>
        <v>5</v>
      </c>
      <c r="E129" s="231" t="str">
        <f>ROUND(IF(valuation_method="DCF",DCF!E77,DDM!E72),2)&amp;" "&amp;Market_currency</f>
        <v>26.51 CNY</v>
      </c>
      <c r="F129" s="221">
        <f>DCF!F77</f>
        <v>0.15000000000000002</v>
      </c>
    </row>
    <row r="130" spans="1:6">
      <c r="B130" s="218" t="str">
        <f>DCF!B78</f>
        <v>Devil's advocate</v>
      </c>
      <c r="C130" s="219">
        <f>DCF!C78</f>
        <v>0</v>
      </c>
      <c r="D130" s="220">
        <f>DCF!D78</f>
        <v>10</v>
      </c>
      <c r="E130" s="231" t="str">
        <f>ROUND(IF(valuation_method="DCF",DCF!E78,DDM!E73),2)&amp;" "&amp;Market_currency</f>
        <v>25.85 CNY</v>
      </c>
      <c r="F130" s="221">
        <f>DCF!F78</f>
        <v>0.1</v>
      </c>
    </row>
    <row r="132" spans="1:6">
      <c r="B132" s="211" t="s">
        <v>257</v>
      </c>
      <c r="C132" s="217">
        <f>Scenarios!C60</f>
        <v>27.746753827145845</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0.33699999999999997</v>
      </c>
    </row>
    <row r="143" spans="1:6">
      <c r="B143" s="212" t="s">
        <v>260</v>
      </c>
      <c r="C143" s="213">
        <f>Scenarios!C77</f>
        <v>0.95400000000000007</v>
      </c>
      <c r="D143" s="212" t="str">
        <f>Market_currency</f>
        <v>CNY</v>
      </c>
    </row>
    <row r="145" spans="2:4">
      <c r="B145" s="210" t="s">
        <v>405</v>
      </c>
      <c r="C145" s="241" t="str">
        <f>C11</f>
        <v>002557.SZ</v>
      </c>
      <c r="D145" s="241" t="str">
        <f>IF(D11="","",D11)</f>
        <v/>
      </c>
    </row>
    <row r="146" spans="2:4">
      <c r="B146" s="1" t="s">
        <v>404</v>
      </c>
      <c r="C146" s="297">
        <f>F29</f>
        <v>0.33699999999999997</v>
      </c>
    </row>
    <row r="147" spans="2:4">
      <c r="B147" s="212" t="str">
        <f>"PV("&amp;C141&amp;" yrs of Dividends)"</f>
        <v>PV(3 yrs of Dividends)</v>
      </c>
      <c r="C147" s="216">
        <f>Scenarios!C81</f>
        <v>1.6463900252965868</v>
      </c>
    </row>
    <row r="148" spans="2:4">
      <c r="B148" s="212" t="str">
        <f>"+ PV(Equity Value realized at year "&amp;C141&amp;")"</f>
        <v>+ PV(Equity Value realized at year 3)</v>
      </c>
      <c r="C148" s="216">
        <f>Scenarios!C82</f>
        <v>11.609618781212262</v>
      </c>
    </row>
    <row r="149" spans="2:4">
      <c r="B149" s="80" t="s">
        <v>259</v>
      </c>
      <c r="C149" s="215">
        <f>Scenarios!C83</f>
        <v>13.256008806508849</v>
      </c>
      <c r="D149" s="300" t="str">
        <f>IF($D$11="","",C149*$E$25)</f>
        <v/>
      </c>
    </row>
    <row r="150" spans="2:4">
      <c r="B150" s="259" t="s">
        <v>413</v>
      </c>
      <c r="C150" s="298" t="str">
        <f>Market_currency</f>
        <v>CNY</v>
      </c>
      <c r="D150" s="298" t="str">
        <f>IF($D$11="","",D$13)</f>
        <v/>
      </c>
    </row>
    <row r="151" spans="2:4">
      <c r="B151" s="214" t="s">
        <v>261</v>
      </c>
      <c r="C151" s="92">
        <f>Scenarios!F83</f>
        <v>0.5222501021528535</v>
      </c>
    </row>
    <row r="153" spans="2:4">
      <c r="B153" s="210" t="s">
        <v>408</v>
      </c>
    </row>
    <row r="154" spans="2:4">
      <c r="B154" s="1" t="s">
        <v>407</v>
      </c>
      <c r="C154" s="297">
        <f>Scenarios!C90</f>
        <v>0.187</v>
      </c>
    </row>
    <row r="155" spans="2:4">
      <c r="B155" s="212" t="str">
        <f>"PV("&amp;C141&amp;" yrs of Dividends)"</f>
        <v>PV(3 yrs of Dividends)</v>
      </c>
      <c r="C155" s="216">
        <f>Scenarios!C91</f>
        <v>2.0512195966879787</v>
      </c>
    </row>
    <row r="156" spans="2:4">
      <c r="B156" s="212" t="str">
        <f>"+ PV(Equity Value realized at year "&amp;C141&amp;")"</f>
        <v>+ PV(Equity Value realized at year 3)</v>
      </c>
      <c r="C156" s="216">
        <f>Scenarios!C92</f>
        <v>16.59052098499448</v>
      </c>
    </row>
    <row r="157" spans="2:4">
      <c r="B157" s="80" t="s">
        <v>259</v>
      </c>
      <c r="C157" s="215">
        <f>Scenarios!C93</f>
        <v>18.641740581682459</v>
      </c>
      <c r="D157" s="300" t="str">
        <f>IF($D$11="","",C157*$E$25)</f>
        <v/>
      </c>
    </row>
    <row r="158" spans="2:4">
      <c r="B158" s="259" t="s">
        <v>413</v>
      </c>
      <c r="C158" s="298" t="str">
        <f>Market_currency</f>
        <v>CNY</v>
      </c>
      <c r="D158" s="298" t="str">
        <f>IF($D$11="","",D$13)</f>
        <v/>
      </c>
    </row>
    <row r="159" spans="2:4">
      <c r="B159" s="214" t="s">
        <v>261</v>
      </c>
      <c r="C159" s="92">
        <f>Scenarios!F93</f>
        <v>0.32814697179298713</v>
      </c>
    </row>
    <row r="161" spans="2:4">
      <c r="B161" s="210" t="s">
        <v>397</v>
      </c>
    </row>
    <row r="162" spans="2:4">
      <c r="B162" s="1" t="s">
        <v>406</v>
      </c>
      <c r="C162" s="92">
        <f>Scenarios!C96</f>
        <v>0.06</v>
      </c>
    </row>
    <row r="163" spans="2:4">
      <c r="B163" s="212" t="str">
        <f>"PV("&amp;C141&amp;" yrs of Dividends)"</f>
        <v>PV(3 yrs of Dividends)</v>
      </c>
      <c r="C163" s="216">
        <f>Scenarios!C97</f>
        <v>2.5500533997864046</v>
      </c>
    </row>
    <row r="164" spans="2:4">
      <c r="B164" s="212" t="str">
        <f>"+ PV(Equity Value realized at year "&amp;C141&amp;")"</f>
        <v>+ PV(Equity Value realized at year 3)</v>
      </c>
      <c r="C164" s="216">
        <f>Scenarios!C98</f>
        <v>23.296709554821966</v>
      </c>
    </row>
    <row r="165" spans="2:4">
      <c r="B165" s="80" t="s">
        <v>398</v>
      </c>
      <c r="C165" s="215">
        <f>Scenarios!C99</f>
        <v>25.846762954608369</v>
      </c>
      <c r="D165" s="300" t="str">
        <f>IF($D$11="","",C165*$E$25)</f>
        <v/>
      </c>
    </row>
    <row r="166" spans="2:4">
      <c r="B166" s="259" t="s">
        <v>413</v>
      </c>
      <c r="C166" s="298" t="str">
        <f>Market_currency</f>
        <v>CNY</v>
      </c>
      <c r="D166" s="298" t="str">
        <f>IF($D$11="","",D$13)</f>
        <v/>
      </c>
    </row>
    <row r="167" spans="2:4">
      <c r="B167" s="214" t="s">
        <v>261</v>
      </c>
      <c r="C167" s="92">
        <f>Scenarios!F99</f>
        <v>6.8476149836260602E-2</v>
      </c>
    </row>
    <row r="169" spans="2:4">
      <c r="B169" s="210" t="s">
        <v>429</v>
      </c>
    </row>
    <row r="170" spans="2:4">
      <c r="B170" s="1" t="s">
        <v>420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21.603471723847637</v>
      </c>
    </row>
    <row r="173" spans="2:4">
      <c r="B173" s="80" t="s">
        <v>398</v>
      </c>
      <c r="C173" s="215">
        <f>Scenarios!C105</f>
        <v>24.031296839608316</v>
      </c>
      <c r="D173" s="300" t="str">
        <f>IF($D$11="","",C173*$E$25)</f>
        <v/>
      </c>
    </row>
    <row r="174" spans="2:4">
      <c r="B174" s="259" t="s">
        <v>413</v>
      </c>
      <c r="C174" s="298" t="str">
        <f>Market_currency</f>
        <v>CNY</v>
      </c>
      <c r="D174" s="298" t="str">
        <f>IF($D$11="","",D$13)</f>
        <v/>
      </c>
    </row>
    <row r="175" spans="2:4">
      <c r="B175" s="214" t="s">
        <v>261</v>
      </c>
      <c r="C175" s="92">
        <f>Scenarios!F105</f>
        <v>0.13401075821731312</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7131364079</v>
      </c>
      <c r="D4" s="351">
        <v>6805627279</v>
      </c>
      <c r="E4" s="351">
        <v>6883365208</v>
      </c>
      <c r="F4" s="351">
        <v>5985026032</v>
      </c>
      <c r="G4" s="351">
        <v>5289304050</v>
      </c>
      <c r="H4" s="351">
        <v>4837252294</v>
      </c>
      <c r="I4" s="351">
        <v>4197045559</v>
      </c>
      <c r="J4" s="351">
        <v>3602738165</v>
      </c>
      <c r="K4" s="351">
        <v>3513011838</v>
      </c>
      <c r="L4" s="351">
        <v>3311372570</v>
      </c>
      <c r="M4" s="351"/>
    </row>
    <row r="5" spans="2:13">
      <c r="B5" s="40" t="s">
        <v>43</v>
      </c>
      <c r="C5" s="351">
        <v>5145338820</v>
      </c>
      <c r="D5" s="351">
        <v>5036852503</v>
      </c>
      <c r="E5" s="351">
        <v>4741732369</v>
      </c>
      <c r="F5" s="351">
        <v>4125460517</v>
      </c>
      <c r="G5" s="351">
        <v>3648371932</v>
      </c>
      <c r="H5" s="351">
        <v>3274676386</v>
      </c>
      <c r="I5" s="351">
        <v>2935100815</v>
      </c>
      <c r="J5" s="351">
        <v>2568541074</v>
      </c>
      <c r="K5" s="351">
        <v>2462409261</v>
      </c>
      <c r="L5" s="351">
        <v>2258759022</v>
      </c>
      <c r="M5" s="351"/>
    </row>
    <row r="6" spans="2:13">
      <c r="B6" s="40" t="s">
        <v>54</v>
      </c>
      <c r="C6" s="351">
        <v>1020355341</v>
      </c>
      <c r="D6" s="351">
        <v>905855866</v>
      </c>
      <c r="E6" s="351">
        <v>1042555140</v>
      </c>
      <c r="F6" s="351">
        <v>870066331</v>
      </c>
      <c r="G6" s="351">
        <v>759567420</v>
      </c>
      <c r="H6" s="351">
        <v>914353673</v>
      </c>
      <c r="I6" s="351">
        <v>786040676</v>
      </c>
      <c r="J6" s="351">
        <v>698786559</v>
      </c>
      <c r="K6" s="351">
        <v>653103605</v>
      </c>
      <c r="L6" s="351">
        <v>647456178</v>
      </c>
      <c r="M6" s="351"/>
    </row>
    <row r="7" spans="2:13">
      <c r="B7" s="69" t="s">
        <v>61</v>
      </c>
      <c r="C7" s="352">
        <v>712355118</v>
      </c>
      <c r="D7" s="352">
        <v>616499772</v>
      </c>
      <c r="E7" s="352">
        <v>700587939</v>
      </c>
      <c r="F7" s="352">
        <v>604192141</v>
      </c>
      <c r="G7" s="352">
        <v>516475958</v>
      </c>
      <c r="H7" s="352">
        <v>666000728</v>
      </c>
      <c r="I7" s="352">
        <v>569962537</v>
      </c>
      <c r="J7" s="352">
        <v>488865088</v>
      </c>
      <c r="K7" s="352">
        <v>450745526</v>
      </c>
      <c r="L7" s="352">
        <v>432888482</v>
      </c>
      <c r="M7" s="352"/>
    </row>
    <row r="8" spans="2:13">
      <c r="B8" s="40" t="s">
        <v>49</v>
      </c>
      <c r="C8" s="351">
        <v>75683892</v>
      </c>
      <c r="D8" s="351">
        <v>64604520</v>
      </c>
      <c r="E8" s="351">
        <v>53560452</v>
      </c>
      <c r="F8" s="351">
        <v>45085492</v>
      </c>
      <c r="G8" s="351">
        <v>36242796</v>
      </c>
      <c r="H8" s="351">
        <v>30636524</v>
      </c>
      <c r="I8" s="351">
        <v>25189552</v>
      </c>
      <c r="J8" s="351">
        <v>0</v>
      </c>
      <c r="K8" s="351">
        <v>0</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59672121</v>
      </c>
      <c r="D12" s="351">
        <v>55482330</v>
      </c>
      <c r="E12" s="351">
        <v>54113032</v>
      </c>
      <c r="F12" s="351">
        <v>57135193</v>
      </c>
      <c r="G12" s="351">
        <v>20257228</v>
      </c>
      <c r="H12" s="351">
        <v>14761326</v>
      </c>
      <c r="I12" s="351">
        <v>33195116</v>
      </c>
      <c r="J12" s="351"/>
      <c r="K12" s="351"/>
      <c r="L12" s="351"/>
      <c r="M12" s="351"/>
    </row>
    <row r="13" spans="2:13">
      <c r="B13" s="40" t="s">
        <v>67</v>
      </c>
      <c r="C13" s="351">
        <v>139564139</v>
      </c>
      <c r="D13" s="351">
        <v>133949036</v>
      </c>
      <c r="E13" s="351">
        <v>75916153</v>
      </c>
      <c r="F13" s="351">
        <v>81878485</v>
      </c>
      <c r="G13" s="351">
        <v>49513640</v>
      </c>
      <c r="H13" s="351">
        <v>29229712</v>
      </c>
      <c r="I13" s="351">
        <v>37107822</v>
      </c>
      <c r="J13" s="351"/>
      <c r="K13" s="351"/>
      <c r="L13" s="351"/>
      <c r="M13" s="351"/>
    </row>
    <row r="14" spans="2:13">
      <c r="B14" s="40" t="s">
        <v>50</v>
      </c>
      <c r="C14" s="351">
        <v>229311604</v>
      </c>
      <c r="D14" s="351">
        <v>191295542</v>
      </c>
      <c r="E14" s="351">
        <v>242188379</v>
      </c>
      <c r="F14" s="351">
        <v>197232207</v>
      </c>
      <c r="G14" s="351">
        <v>192105224</v>
      </c>
      <c r="H14" s="351">
        <v>162495080</v>
      </c>
      <c r="I14" s="351">
        <v>131000165</v>
      </c>
      <c r="J14" s="351">
        <v>95459293</v>
      </c>
      <c r="K14" s="351">
        <v>110832660</v>
      </c>
      <c r="L14" s="351">
        <v>109092609</v>
      </c>
      <c r="M14" s="351"/>
    </row>
    <row r="15" spans="2:13">
      <c r="B15" s="43" t="s">
        <v>42</v>
      </c>
      <c r="C15" s="353">
        <v>850128132</v>
      </c>
      <c r="D15" s="353">
        <v>803170837</v>
      </c>
      <c r="E15" s="353">
        <v>978442510</v>
      </c>
      <c r="F15" s="353">
        <v>929724826</v>
      </c>
      <c r="G15" s="353">
        <v>805046879</v>
      </c>
      <c r="H15" s="353">
        <v>603477063</v>
      </c>
      <c r="I15" s="353">
        <v>441570412</v>
      </c>
      <c r="J15" s="353">
        <v>321687035</v>
      </c>
      <c r="K15" s="353">
        <v>359035717</v>
      </c>
      <c r="L15" s="353">
        <v>365153638</v>
      </c>
      <c r="M15" s="353"/>
    </row>
    <row r="16" spans="2:13">
      <c r="B16" s="28" t="s">
        <v>44</v>
      </c>
      <c r="C16" s="351">
        <v>647365</v>
      </c>
      <c r="D16" s="351">
        <v>431576</v>
      </c>
      <c r="E16" s="351">
        <v>2442951</v>
      </c>
      <c r="F16" s="351">
        <v>1064169</v>
      </c>
      <c r="G16" s="351">
        <v>-67938</v>
      </c>
      <c r="H16" s="351">
        <v>-48477</v>
      </c>
      <c r="I16" s="351">
        <v>8761899</v>
      </c>
      <c r="J16" s="351">
        <v>2464891</v>
      </c>
      <c r="K16" s="351">
        <v>5326102</v>
      </c>
      <c r="L16" s="351">
        <v>1211794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1038904494</v>
      </c>
      <c r="D22" s="351">
        <v>419277594</v>
      </c>
      <c r="E22" s="351">
        <v>1532242670</v>
      </c>
      <c r="F22" s="351">
        <v>1344822756</v>
      </c>
      <c r="G22" s="351">
        <v>596854422</v>
      </c>
      <c r="H22" s="351">
        <v>646284830</v>
      </c>
      <c r="I22" s="351">
        <v>746820878</v>
      </c>
      <c r="J22" s="351">
        <v>292923529</v>
      </c>
      <c r="K22" s="351">
        <v>472353645</v>
      </c>
      <c r="L22" s="351">
        <v>266727845</v>
      </c>
      <c r="M22" s="351"/>
    </row>
    <row r="23" spans="2:13">
      <c r="B23" s="27" t="s">
        <v>370</v>
      </c>
      <c r="C23" s="351">
        <v>-581740675</v>
      </c>
      <c r="D23" s="351">
        <v>1111872716</v>
      </c>
      <c r="E23" s="351">
        <v>313454337</v>
      </c>
      <c r="F23" s="351">
        <v>-596185154</v>
      </c>
      <c r="G23" s="351">
        <v>-178162782</v>
      </c>
      <c r="H23" s="351">
        <v>-152623096</v>
      </c>
      <c r="I23" s="351">
        <v>-291851861</v>
      </c>
      <c r="J23" s="351">
        <v>-363586849</v>
      </c>
      <c r="K23" s="351">
        <v>341081432</v>
      </c>
      <c r="L23" s="351">
        <v>-135754035</v>
      </c>
      <c r="M23" s="351"/>
    </row>
    <row r="24" spans="2:13">
      <c r="B24" s="27" t="s">
        <v>369</v>
      </c>
      <c r="C24" s="351">
        <v>-435769097</v>
      </c>
      <c r="D24" s="351">
        <v>-203084462</v>
      </c>
      <c r="E24" s="351">
        <v>-532792445</v>
      </c>
      <c r="F24" s="351">
        <v>-222928124</v>
      </c>
      <c r="G24" s="351">
        <v>517207059</v>
      </c>
      <c r="H24" s="351">
        <v>-634956157</v>
      </c>
      <c r="I24" s="351">
        <v>-324343319</v>
      </c>
      <c r="J24" s="351">
        <v>96730747</v>
      </c>
      <c r="K24" s="351">
        <v>-854943133</v>
      </c>
      <c r="L24" s="351">
        <v>-254787292</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464</v>
      </c>
    </row>
    <row r="28" spans="2:13">
      <c r="B28" s="26" t="s">
        <v>24</v>
      </c>
      <c r="C28" s="333">
        <f>BS!C4</f>
        <v>488915470.69999999</v>
      </c>
      <c r="D28" s="351">
        <v>422673488</v>
      </c>
      <c r="E28" s="351">
        <v>456344428</v>
      </c>
      <c r="F28" s="351">
        <v>319728461</v>
      </c>
      <c r="G28" s="351">
        <v>217535243</v>
      </c>
      <c r="H28" s="351">
        <v>224562135</v>
      </c>
      <c r="I28" s="351">
        <v>179925262</v>
      </c>
      <c r="J28" s="351">
        <v>189740348</v>
      </c>
      <c r="K28" s="351">
        <v>149960778</v>
      </c>
      <c r="L28" s="351">
        <v>123329934</v>
      </c>
      <c r="M28" s="351"/>
    </row>
    <row r="29" spans="2:13">
      <c r="B29" s="26" t="s">
        <v>32</v>
      </c>
      <c r="C29" s="333">
        <f>BS!C6</f>
        <v>1545872989.1700001</v>
      </c>
      <c r="D29" s="351">
        <v>1623301115</v>
      </c>
      <c r="E29" s="351">
        <v>984697312</v>
      </c>
      <c r="F29" s="351">
        <v>1462249097</v>
      </c>
      <c r="G29" s="351">
        <v>1687299780</v>
      </c>
      <c r="H29" s="351">
        <v>1389523101</v>
      </c>
      <c r="I29" s="351">
        <v>1209137008</v>
      </c>
      <c r="J29" s="351">
        <v>1068705861</v>
      </c>
      <c r="K29" s="351">
        <v>1085846527</v>
      </c>
      <c r="L29" s="351">
        <v>1183037453</v>
      </c>
      <c r="M29" s="351"/>
    </row>
    <row r="30" spans="2:13">
      <c r="B30" s="29" t="s">
        <v>40</v>
      </c>
      <c r="C30" s="334">
        <f>BS!C33+BS!C42</f>
        <v>4328912448.4399996</v>
      </c>
      <c r="D30" s="353">
        <v>3866253573</v>
      </c>
      <c r="E30" s="353">
        <v>3275808581</v>
      </c>
      <c r="F30" s="353">
        <v>3276083890</v>
      </c>
      <c r="G30" s="353">
        <v>2771099894</v>
      </c>
      <c r="H30" s="353">
        <v>1753709637</v>
      </c>
      <c r="I30" s="353">
        <v>1768910685</v>
      </c>
      <c r="J30" s="353">
        <v>1542190319</v>
      </c>
      <c r="K30" s="353">
        <v>1188658961</v>
      </c>
      <c r="L30" s="353">
        <v>1649560528</v>
      </c>
      <c r="M30" s="353"/>
    </row>
    <row r="31" spans="2:13">
      <c r="B31" s="29" t="s">
        <v>30</v>
      </c>
      <c r="C31" s="334">
        <f>BS!G27</f>
        <v>5728144421.2400007</v>
      </c>
      <c r="D31" s="353">
        <v>5532519580</v>
      </c>
      <c r="E31" s="353">
        <v>5271499220</v>
      </c>
      <c r="F31" s="353">
        <v>4796138023</v>
      </c>
      <c r="G31" s="353">
        <v>4207884703</v>
      </c>
      <c r="H31" s="353">
        <v>3654994884</v>
      </c>
      <c r="I31" s="353">
        <v>3359220783</v>
      </c>
      <c r="J31" s="353">
        <v>3131686328</v>
      </c>
      <c r="K31" s="353">
        <v>3031482304</v>
      </c>
      <c r="L31" s="353">
        <v>2931250841</v>
      </c>
      <c r="M31" s="353"/>
    </row>
    <row r="32" spans="2:13">
      <c r="B32" s="26" t="s">
        <v>171</v>
      </c>
      <c r="C32" s="333">
        <f>BS!G28</f>
        <v>2154785.64</v>
      </c>
      <c r="D32" s="351">
        <v>3206458</v>
      </c>
      <c r="E32" s="351">
        <v>2776011</v>
      </c>
      <c r="F32" s="351">
        <v>1702867</v>
      </c>
      <c r="G32" s="351">
        <v>638758</v>
      </c>
      <c r="H32" s="351">
        <v>703065</v>
      </c>
      <c r="I32" s="351">
        <v>33066516</v>
      </c>
      <c r="J32" s="351">
        <v>68702668</v>
      </c>
      <c r="K32" s="351">
        <v>82250087</v>
      </c>
      <c r="L32" s="351">
        <v>77231819</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7131364079</v>
      </c>
      <c r="D36" s="333">
        <f t="shared" si="1"/>
        <v>6805627279</v>
      </c>
      <c r="E36" s="333">
        <f t="shared" si="1"/>
        <v>6883365208</v>
      </c>
      <c r="F36" s="333">
        <f t="shared" si="1"/>
        <v>5985026032</v>
      </c>
      <c r="G36" s="333">
        <f t="shared" si="1"/>
        <v>5289304050</v>
      </c>
      <c r="H36" s="333">
        <f t="shared" si="1"/>
        <v>4837252294</v>
      </c>
      <c r="I36" s="333">
        <f t="shared" si="1"/>
        <v>4197045559</v>
      </c>
      <c r="J36" s="333">
        <f t="shared" si="1"/>
        <v>3602738165</v>
      </c>
      <c r="K36" s="333">
        <f t="shared" si="1"/>
        <v>3513011838</v>
      </c>
      <c r="L36" s="333">
        <f t="shared" si="1"/>
        <v>3311372570</v>
      </c>
      <c r="M36" s="333" t="str">
        <f t="shared" si="1"/>
        <v/>
      </c>
    </row>
    <row r="37" spans="2:13">
      <c r="B37" s="40" t="s">
        <v>43</v>
      </c>
      <c r="C37" s="333">
        <f t="shared" ref="C37:M37" si="2">IF(C$4="","",-C5)</f>
        <v>-5145338820</v>
      </c>
      <c r="D37" s="333">
        <f t="shared" si="2"/>
        <v>-5036852503</v>
      </c>
      <c r="E37" s="333">
        <f t="shared" si="2"/>
        <v>-4741732369</v>
      </c>
      <c r="F37" s="333">
        <f t="shared" si="2"/>
        <v>-4125460517</v>
      </c>
      <c r="G37" s="333">
        <f t="shared" si="2"/>
        <v>-3648371932</v>
      </c>
      <c r="H37" s="333">
        <f t="shared" si="2"/>
        <v>-3274676386</v>
      </c>
      <c r="I37" s="333">
        <f t="shared" si="2"/>
        <v>-2935100815</v>
      </c>
      <c r="J37" s="333">
        <f t="shared" si="2"/>
        <v>-2568541074</v>
      </c>
      <c r="K37" s="333">
        <f t="shared" si="2"/>
        <v>-2462409261</v>
      </c>
      <c r="L37" s="333">
        <f t="shared" si="2"/>
        <v>-2258759022</v>
      </c>
      <c r="M37" s="333" t="str">
        <f t="shared" si="2"/>
        <v/>
      </c>
    </row>
    <row r="38" spans="2:13">
      <c r="B38" s="31" t="s">
        <v>58</v>
      </c>
      <c r="C38" s="329">
        <f>IF(C36="","",C36+C37)</f>
        <v>1986025259</v>
      </c>
      <c r="D38" s="329">
        <f t="shared" ref="D38" si="3">IF(D36="","",D36+D37)</f>
        <v>1768774776</v>
      </c>
      <c r="E38" s="329">
        <f t="shared" ref="E38" si="4">IF(E36="","",E36+E37)</f>
        <v>2141632839</v>
      </c>
      <c r="F38" s="329">
        <f t="shared" ref="F38" si="5">IF(F36="","",F36+F37)</f>
        <v>1859565515</v>
      </c>
      <c r="G38" s="329">
        <f t="shared" ref="G38" si="6">IF(G36="","",G36+G37)</f>
        <v>1640932118</v>
      </c>
      <c r="H38" s="329">
        <f t="shared" ref="H38" si="7">IF(H36="","",H36+H37)</f>
        <v>1562575908</v>
      </c>
      <c r="I38" s="329">
        <f t="shared" ref="I38" si="8">IF(I36="","",I36+I37)</f>
        <v>1261944744</v>
      </c>
      <c r="J38" s="329">
        <f t="shared" ref="J38" si="9">IF(J36="","",J36+J37)</f>
        <v>1034197091</v>
      </c>
      <c r="K38" s="329">
        <f t="shared" ref="K38" si="10">IF(K36="","",K36+K37)</f>
        <v>1050602577</v>
      </c>
      <c r="L38" s="329">
        <f t="shared" ref="L38" si="11">IF(L36="","",L36+L37)</f>
        <v>1052613548</v>
      </c>
      <c r="M38" s="329" t="str">
        <f t="shared" ref="M38" si="12">IF(M36="","",M36+M37)</f>
        <v/>
      </c>
    </row>
    <row r="39" spans="2:13">
      <c r="B39" s="40" t="s">
        <v>54</v>
      </c>
      <c r="C39" s="333">
        <f t="shared" ref="C39:M39" si="13">IF(C$4="","",-C6)</f>
        <v>-1020355341</v>
      </c>
      <c r="D39" s="333">
        <f t="shared" si="13"/>
        <v>-905855866</v>
      </c>
      <c r="E39" s="333">
        <f t="shared" si="13"/>
        <v>-1042555140</v>
      </c>
      <c r="F39" s="333">
        <f t="shared" si="13"/>
        <v>-870066331</v>
      </c>
      <c r="G39" s="333">
        <f t="shared" si="13"/>
        <v>-759567420</v>
      </c>
      <c r="H39" s="333">
        <f t="shared" si="13"/>
        <v>-914353673</v>
      </c>
      <c r="I39" s="333">
        <f t="shared" si="13"/>
        <v>-786040676</v>
      </c>
      <c r="J39" s="333">
        <f t="shared" si="13"/>
        <v>-698786559</v>
      </c>
      <c r="K39" s="333">
        <f t="shared" si="13"/>
        <v>-653103605</v>
      </c>
      <c r="L39" s="333">
        <f t="shared" si="13"/>
        <v>-647456178</v>
      </c>
      <c r="M39" s="333" t="str">
        <f t="shared" si="13"/>
        <v/>
      </c>
    </row>
    <row r="40" spans="2:13">
      <c r="B40" s="69" t="s">
        <v>61</v>
      </c>
      <c r="C40" s="346">
        <f t="shared" ref="C40:M40" si="14">IF(C$4="","",-C7)</f>
        <v>-712355118</v>
      </c>
      <c r="D40" s="346">
        <f t="shared" si="14"/>
        <v>-616499772</v>
      </c>
      <c r="E40" s="346">
        <f t="shared" si="14"/>
        <v>-700587939</v>
      </c>
      <c r="F40" s="346">
        <f t="shared" si="14"/>
        <v>-604192141</v>
      </c>
      <c r="G40" s="346">
        <f t="shared" si="14"/>
        <v>-516475958</v>
      </c>
      <c r="H40" s="346">
        <f t="shared" si="14"/>
        <v>-666000728</v>
      </c>
      <c r="I40" s="346">
        <f t="shared" si="14"/>
        <v>-569962537</v>
      </c>
      <c r="J40" s="346">
        <f t="shared" si="14"/>
        <v>-488865088</v>
      </c>
      <c r="K40" s="346">
        <f t="shared" si="14"/>
        <v>-450745526</v>
      </c>
      <c r="L40" s="346">
        <f t="shared" si="14"/>
        <v>-432888482</v>
      </c>
      <c r="M40" s="346" t="str">
        <f t="shared" si="14"/>
        <v/>
      </c>
    </row>
    <row r="41" spans="2:13">
      <c r="B41" s="69" t="s">
        <v>64</v>
      </c>
      <c r="C41" s="346">
        <f>IF(C$4="","",C39-C40)</f>
        <v>-308000223</v>
      </c>
      <c r="D41" s="346">
        <f t="shared" ref="D41:M41" si="15">IF(D$4="","",D39-D40)</f>
        <v>-289356094</v>
      </c>
      <c r="E41" s="346">
        <f t="shared" si="15"/>
        <v>-341967201</v>
      </c>
      <c r="F41" s="346">
        <f t="shared" si="15"/>
        <v>-265874190</v>
      </c>
      <c r="G41" s="346">
        <f t="shared" si="15"/>
        <v>-243091462</v>
      </c>
      <c r="H41" s="346">
        <f t="shared" si="15"/>
        <v>-248352945</v>
      </c>
      <c r="I41" s="346">
        <f t="shared" si="15"/>
        <v>-216078139</v>
      </c>
      <c r="J41" s="346">
        <f t="shared" si="15"/>
        <v>-209921471</v>
      </c>
      <c r="K41" s="346">
        <f t="shared" si="15"/>
        <v>-202358079</v>
      </c>
      <c r="L41" s="346">
        <f t="shared" si="15"/>
        <v>-214567696</v>
      </c>
      <c r="M41" s="346" t="str">
        <f t="shared" si="15"/>
        <v/>
      </c>
    </row>
    <row r="42" spans="2:13">
      <c r="B42" s="40" t="s">
        <v>49</v>
      </c>
      <c r="C42" s="333">
        <f t="shared" ref="C42:M42" si="16">IF(C$4="","",-C8)</f>
        <v>-75683892</v>
      </c>
      <c r="D42" s="333">
        <f t="shared" si="16"/>
        <v>-64604520</v>
      </c>
      <c r="E42" s="333">
        <f t="shared" si="16"/>
        <v>-53560452</v>
      </c>
      <c r="F42" s="333">
        <f t="shared" si="16"/>
        <v>-45085492</v>
      </c>
      <c r="G42" s="333">
        <f t="shared" si="16"/>
        <v>-36242796</v>
      </c>
      <c r="H42" s="333">
        <f t="shared" si="16"/>
        <v>-30636524</v>
      </c>
      <c r="I42" s="333">
        <f t="shared" si="16"/>
        <v>-25189552</v>
      </c>
      <c r="J42" s="333">
        <f t="shared" si="16"/>
        <v>0</v>
      </c>
      <c r="K42" s="333">
        <f t="shared" si="16"/>
        <v>0</v>
      </c>
      <c r="L42" s="333">
        <f t="shared" si="16"/>
        <v>0</v>
      </c>
      <c r="M42" s="333" t="str">
        <f t="shared" si="16"/>
        <v/>
      </c>
    </row>
    <row r="43" spans="2:13">
      <c r="B43" s="43" t="s">
        <v>151</v>
      </c>
      <c r="C43" s="334">
        <f>IF(C$4="","",C38+C39+C42)</f>
        <v>889986026</v>
      </c>
      <c r="D43" s="334">
        <f t="shared" ref="D43:M43" si="17">IF(D$4="","",D38+D39+D42)</f>
        <v>798314390</v>
      </c>
      <c r="E43" s="334">
        <f t="shared" si="17"/>
        <v>1045517247</v>
      </c>
      <c r="F43" s="334">
        <f t="shared" si="17"/>
        <v>944413692</v>
      </c>
      <c r="G43" s="334">
        <f t="shared" si="17"/>
        <v>845121902</v>
      </c>
      <c r="H43" s="334">
        <f t="shared" si="17"/>
        <v>617585711</v>
      </c>
      <c r="I43" s="334">
        <f t="shared" si="17"/>
        <v>450714516</v>
      </c>
      <c r="J43" s="334">
        <f t="shared" si="17"/>
        <v>335410532</v>
      </c>
      <c r="K43" s="334">
        <f t="shared" si="17"/>
        <v>397498972</v>
      </c>
      <c r="L43" s="334">
        <f t="shared" si="17"/>
        <v>405157370</v>
      </c>
      <c r="M43" s="334" t="str">
        <f t="shared" si="17"/>
        <v/>
      </c>
    </row>
    <row r="44" spans="2:13">
      <c r="B44" s="43" t="s">
        <v>167</v>
      </c>
      <c r="C44" s="354">
        <f t="shared" ref="C44:M44" si="18">IF(C$4="","",C47-C46-C45-C43)</f>
        <v>109561692</v>
      </c>
      <c r="D44" s="354">
        <f t="shared" si="18"/>
        <v>117685283</v>
      </c>
      <c r="E44" s="354">
        <f t="shared" si="18"/>
        <v>153310521</v>
      </c>
      <c r="F44" s="354">
        <f t="shared" si="18"/>
        <v>157800049</v>
      </c>
      <c r="G44" s="354">
        <f t="shared" si="18"/>
        <v>122773789</v>
      </c>
      <c r="H44" s="354">
        <f t="shared" si="18"/>
        <v>133918046</v>
      </c>
      <c r="I44" s="354">
        <f t="shared" si="18"/>
        <v>117943355</v>
      </c>
      <c r="J44" s="354">
        <f t="shared" si="18"/>
        <v>81735796</v>
      </c>
      <c r="K44" s="354">
        <f t="shared" si="18"/>
        <v>72369405</v>
      </c>
      <c r="L44" s="354">
        <f t="shared" si="18"/>
        <v>69088877</v>
      </c>
      <c r="M44" s="354" t="str">
        <f t="shared" si="18"/>
        <v/>
      </c>
    </row>
    <row r="45" spans="2:13">
      <c r="B45" s="40" t="s">
        <v>68</v>
      </c>
      <c r="C45" s="349">
        <f t="shared" ref="C45:M45" si="19">IF(C$4="","",C51+C52)</f>
        <v>79892018</v>
      </c>
      <c r="D45" s="349">
        <f t="shared" si="19"/>
        <v>78466706</v>
      </c>
      <c r="E45" s="349">
        <f t="shared" si="19"/>
        <v>21803121</v>
      </c>
      <c r="F45" s="349">
        <f t="shared" si="19"/>
        <v>24743292</v>
      </c>
      <c r="G45" s="349">
        <f t="shared" si="19"/>
        <v>29256412</v>
      </c>
      <c r="H45" s="349">
        <f t="shared" si="19"/>
        <v>14468386</v>
      </c>
      <c r="I45" s="349">
        <f t="shared" si="19"/>
        <v>3912706</v>
      </c>
      <c r="J45" s="349">
        <f t="shared" si="19"/>
        <v>0</v>
      </c>
      <c r="K45" s="349">
        <f t="shared" si="19"/>
        <v>0</v>
      </c>
      <c r="L45" s="349">
        <f t="shared" si="19"/>
        <v>0</v>
      </c>
      <c r="M45" s="349" t="str">
        <f t="shared" si="19"/>
        <v/>
      </c>
    </row>
    <row r="46" spans="2:13">
      <c r="B46" s="40" t="s">
        <v>50</v>
      </c>
      <c r="C46" s="333">
        <f t="shared" ref="C46:M46" si="20">IF(C$4="","",-C14)</f>
        <v>-229311604</v>
      </c>
      <c r="D46" s="333">
        <f t="shared" si="20"/>
        <v>-191295542</v>
      </c>
      <c r="E46" s="333">
        <f t="shared" si="20"/>
        <v>-242188379</v>
      </c>
      <c r="F46" s="333">
        <f t="shared" si="20"/>
        <v>-197232207</v>
      </c>
      <c r="G46" s="333">
        <f t="shared" si="20"/>
        <v>-192105224</v>
      </c>
      <c r="H46" s="333">
        <f t="shared" si="20"/>
        <v>-162495080</v>
      </c>
      <c r="I46" s="333">
        <f t="shared" si="20"/>
        <v>-131000165</v>
      </c>
      <c r="J46" s="333">
        <f t="shared" si="20"/>
        <v>-95459293</v>
      </c>
      <c r="K46" s="333">
        <f t="shared" si="20"/>
        <v>-110832660</v>
      </c>
      <c r="L46" s="333">
        <f t="shared" si="20"/>
        <v>-109092609</v>
      </c>
      <c r="M46" s="333" t="str">
        <f t="shared" si="20"/>
        <v/>
      </c>
    </row>
    <row r="47" spans="2:13">
      <c r="B47" s="43" t="s">
        <v>42</v>
      </c>
      <c r="C47" s="334">
        <f t="shared" ref="C47:M47" si="21">IF(C$4="","",C15)</f>
        <v>850128132</v>
      </c>
      <c r="D47" s="334">
        <f t="shared" si="21"/>
        <v>803170837</v>
      </c>
      <c r="E47" s="334">
        <f t="shared" si="21"/>
        <v>978442510</v>
      </c>
      <c r="F47" s="334">
        <f t="shared" si="21"/>
        <v>929724826</v>
      </c>
      <c r="G47" s="334">
        <f t="shared" si="21"/>
        <v>805046879</v>
      </c>
      <c r="H47" s="334">
        <f t="shared" si="21"/>
        <v>603477063</v>
      </c>
      <c r="I47" s="334">
        <f t="shared" si="21"/>
        <v>441570412</v>
      </c>
      <c r="J47" s="334">
        <f t="shared" si="21"/>
        <v>321687035</v>
      </c>
      <c r="K47" s="334">
        <f t="shared" si="21"/>
        <v>359035717</v>
      </c>
      <c r="L47" s="334">
        <f t="shared" si="21"/>
        <v>365153638</v>
      </c>
      <c r="M47" s="334" t="str">
        <f t="shared" si="21"/>
        <v/>
      </c>
    </row>
    <row r="48" spans="2:13">
      <c r="B48" s="28" t="s">
        <v>44</v>
      </c>
      <c r="C48" s="333">
        <f t="shared" ref="C48:M48" si="22">IF(C$4="","",MIN(-C16,0))</f>
        <v>-647365</v>
      </c>
      <c r="D48" s="333">
        <f t="shared" si="22"/>
        <v>-431576</v>
      </c>
      <c r="E48" s="333">
        <f t="shared" si="22"/>
        <v>-2442951</v>
      </c>
      <c r="F48" s="333">
        <f t="shared" si="22"/>
        <v>-1064169</v>
      </c>
      <c r="G48" s="333">
        <f t="shared" si="22"/>
        <v>0</v>
      </c>
      <c r="H48" s="333">
        <f t="shared" si="22"/>
        <v>0</v>
      </c>
      <c r="I48" s="333">
        <f t="shared" si="22"/>
        <v>-8761899</v>
      </c>
      <c r="J48" s="333">
        <f t="shared" si="22"/>
        <v>-2464891</v>
      </c>
      <c r="K48" s="333">
        <f t="shared" si="22"/>
        <v>-5326102</v>
      </c>
      <c r="L48" s="333">
        <f t="shared" si="22"/>
        <v>-1211794</v>
      </c>
      <c r="M48" s="333" t="str">
        <f t="shared" si="22"/>
        <v/>
      </c>
    </row>
    <row r="50" spans="2:13">
      <c r="B50" s="16" t="s">
        <v>68</v>
      </c>
    </row>
    <row r="51" spans="2:13">
      <c r="B51" s="40" t="s">
        <v>39</v>
      </c>
      <c r="C51" s="333">
        <f t="shared" ref="C51:M51" si="23">IF(C$4="","",-C12)</f>
        <v>-59672121</v>
      </c>
      <c r="D51" s="333">
        <f t="shared" si="23"/>
        <v>-55482330</v>
      </c>
      <c r="E51" s="333">
        <f t="shared" si="23"/>
        <v>-54113032</v>
      </c>
      <c r="F51" s="333">
        <f t="shared" si="23"/>
        <v>-57135193</v>
      </c>
      <c r="G51" s="333">
        <f t="shared" si="23"/>
        <v>-20257228</v>
      </c>
      <c r="H51" s="333">
        <f t="shared" si="23"/>
        <v>-14761326</v>
      </c>
      <c r="I51" s="333">
        <f t="shared" si="23"/>
        <v>-33195116</v>
      </c>
      <c r="J51" s="333">
        <f t="shared" si="23"/>
        <v>0</v>
      </c>
      <c r="K51" s="333">
        <f t="shared" si="23"/>
        <v>0</v>
      </c>
      <c r="L51" s="333">
        <f t="shared" si="23"/>
        <v>0</v>
      </c>
      <c r="M51" s="333" t="str">
        <f t="shared" si="23"/>
        <v/>
      </c>
    </row>
    <row r="52" spans="2:13">
      <c r="B52" s="40" t="s">
        <v>67</v>
      </c>
      <c r="C52" s="333">
        <f t="shared" ref="C52:M52" si="24">IF(C$4="","",C13)</f>
        <v>139564139</v>
      </c>
      <c r="D52" s="333">
        <f t="shared" si="24"/>
        <v>133949036</v>
      </c>
      <c r="E52" s="333">
        <f t="shared" si="24"/>
        <v>75916153</v>
      </c>
      <c r="F52" s="333">
        <f t="shared" si="24"/>
        <v>81878485</v>
      </c>
      <c r="G52" s="333">
        <f t="shared" si="24"/>
        <v>49513640</v>
      </c>
      <c r="H52" s="333">
        <f t="shared" si="24"/>
        <v>29229712</v>
      </c>
      <c r="I52" s="333">
        <f t="shared" si="24"/>
        <v>37107822</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109561692</v>
      </c>
      <c r="D58" s="349">
        <f t="shared" ref="D58:M58" si="28">IF(D$4="","",D44-D55-D56-D57)</f>
        <v>117685283</v>
      </c>
      <c r="E58" s="349">
        <f t="shared" si="28"/>
        <v>153310521</v>
      </c>
      <c r="F58" s="349">
        <f t="shared" si="28"/>
        <v>157800049</v>
      </c>
      <c r="G58" s="349">
        <f t="shared" si="28"/>
        <v>122773789</v>
      </c>
      <c r="H58" s="349">
        <f t="shared" si="28"/>
        <v>133918046</v>
      </c>
      <c r="I58" s="349">
        <f t="shared" si="28"/>
        <v>117943355</v>
      </c>
      <c r="J58" s="349">
        <f t="shared" si="28"/>
        <v>81735796</v>
      </c>
      <c r="K58" s="349">
        <f t="shared" si="28"/>
        <v>72369405</v>
      </c>
      <c r="L58" s="349">
        <f t="shared" si="28"/>
        <v>69088877</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21394722</v>
      </c>
      <c r="D64" s="333">
        <f t="shared" ref="D64:M64" si="32">IF(D$4="","",D22+D23+D24)</f>
        <v>1328065848</v>
      </c>
      <c r="E64" s="333">
        <f t="shared" si="32"/>
        <v>1312904562</v>
      </c>
      <c r="F64" s="333">
        <f t="shared" si="32"/>
        <v>525709478</v>
      </c>
      <c r="G64" s="333">
        <f t="shared" si="32"/>
        <v>935898699</v>
      </c>
      <c r="H64" s="333">
        <f t="shared" si="32"/>
        <v>-141294423</v>
      </c>
      <c r="I64" s="333">
        <f t="shared" si="32"/>
        <v>130625698</v>
      </c>
      <c r="J64" s="333">
        <f t="shared" si="32"/>
        <v>26067427</v>
      </c>
      <c r="K64" s="333">
        <f t="shared" si="32"/>
        <v>-41508056</v>
      </c>
      <c r="L64" s="333">
        <f t="shared" si="32"/>
        <v>-123813482</v>
      </c>
      <c r="M64" s="33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58</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167</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10057056869.68</v>
      </c>
      <c r="D76" s="349">
        <f t="shared" ref="D76:M76" si="39">IF(D$4="","",D79+D80)</f>
        <v>9398773153</v>
      </c>
      <c r="E76" s="349">
        <f t="shared" si="39"/>
        <v>8547307801</v>
      </c>
      <c r="F76" s="349">
        <f t="shared" si="39"/>
        <v>8072221913</v>
      </c>
      <c r="G76" s="349">
        <f t="shared" si="39"/>
        <v>6978984597</v>
      </c>
      <c r="H76" s="349">
        <f t="shared" si="39"/>
        <v>5408704521</v>
      </c>
      <c r="I76" s="349">
        <f t="shared" si="39"/>
        <v>5128131468</v>
      </c>
      <c r="J76" s="349">
        <f t="shared" si="39"/>
        <v>4673876647</v>
      </c>
      <c r="K76" s="349">
        <f t="shared" si="39"/>
        <v>4220141265</v>
      </c>
      <c r="L76" s="349">
        <f t="shared" si="39"/>
        <v>4580811369</v>
      </c>
      <c r="M76" s="349" t="str">
        <f t="shared" si="39"/>
        <v/>
      </c>
    </row>
    <row r="77" spans="2:13">
      <c r="B77" s="93" t="s">
        <v>85</v>
      </c>
      <c r="C77" s="318">
        <f t="shared" ref="C77:H78" si="40">IF(C$4="","",C28)</f>
        <v>488915470.69999999</v>
      </c>
      <c r="D77" s="346">
        <f t="shared" si="40"/>
        <v>422673488</v>
      </c>
      <c r="E77" s="346">
        <f t="shared" si="40"/>
        <v>456344428</v>
      </c>
      <c r="F77" s="346">
        <f t="shared" si="40"/>
        <v>319728461</v>
      </c>
      <c r="G77" s="346">
        <f t="shared" si="40"/>
        <v>217535243</v>
      </c>
      <c r="H77" s="346">
        <f t="shared" si="40"/>
        <v>224562135</v>
      </c>
      <c r="I77" s="355"/>
      <c r="J77" s="355"/>
      <c r="K77" s="355"/>
      <c r="L77" s="355"/>
      <c r="M77" s="355"/>
    </row>
    <row r="78" spans="2:13">
      <c r="B78" s="93" t="s">
        <v>86</v>
      </c>
      <c r="C78" s="318">
        <f t="shared" si="40"/>
        <v>1545872989.1700001</v>
      </c>
      <c r="D78" s="346">
        <f t="shared" si="40"/>
        <v>1623301115</v>
      </c>
      <c r="E78" s="346">
        <f t="shared" si="40"/>
        <v>984697312</v>
      </c>
      <c r="F78" s="346">
        <f t="shared" si="40"/>
        <v>1462249097</v>
      </c>
      <c r="G78" s="346">
        <f t="shared" si="40"/>
        <v>1687299780</v>
      </c>
      <c r="H78" s="346">
        <f t="shared" si="40"/>
        <v>1389523101</v>
      </c>
      <c r="I78" s="355"/>
      <c r="J78" s="355"/>
      <c r="K78" s="355"/>
      <c r="L78" s="355"/>
      <c r="M78" s="355"/>
    </row>
    <row r="79" spans="2:13">
      <c r="B79" s="26" t="s">
        <v>40</v>
      </c>
      <c r="C79" s="317">
        <f t="shared" ref="C79:M79" si="41">IF(C$4="","",C30)</f>
        <v>4328912448.4399996</v>
      </c>
      <c r="D79" s="333">
        <f t="shared" si="41"/>
        <v>3866253573</v>
      </c>
      <c r="E79" s="333">
        <f t="shared" si="41"/>
        <v>3275808581</v>
      </c>
      <c r="F79" s="333">
        <f t="shared" si="41"/>
        <v>3276083890</v>
      </c>
      <c r="G79" s="333">
        <f t="shared" si="41"/>
        <v>2771099894</v>
      </c>
      <c r="H79" s="333">
        <f t="shared" si="41"/>
        <v>1753709637</v>
      </c>
      <c r="I79" s="333">
        <f t="shared" si="41"/>
        <v>1768910685</v>
      </c>
      <c r="J79" s="333">
        <f t="shared" si="41"/>
        <v>1542190319</v>
      </c>
      <c r="K79" s="333">
        <f t="shared" si="41"/>
        <v>1188658961</v>
      </c>
      <c r="L79" s="333">
        <f t="shared" si="41"/>
        <v>1649560528</v>
      </c>
      <c r="M79" s="333" t="str">
        <f t="shared" si="41"/>
        <v/>
      </c>
    </row>
    <row r="80" spans="2:13">
      <c r="B80" s="26" t="s">
        <v>30</v>
      </c>
      <c r="C80" s="317">
        <f t="shared" ref="C80:M80" si="42">IF(C$4="","",C31)</f>
        <v>5728144421.2400007</v>
      </c>
      <c r="D80" s="333">
        <f t="shared" si="42"/>
        <v>5532519580</v>
      </c>
      <c r="E80" s="333">
        <f t="shared" si="42"/>
        <v>5271499220</v>
      </c>
      <c r="F80" s="333">
        <f t="shared" si="42"/>
        <v>4796138023</v>
      </c>
      <c r="G80" s="333">
        <f t="shared" si="42"/>
        <v>4207884703</v>
      </c>
      <c r="H80" s="333">
        <f t="shared" si="42"/>
        <v>3654994884</v>
      </c>
      <c r="I80" s="333">
        <f t="shared" si="42"/>
        <v>3359220783</v>
      </c>
      <c r="J80" s="333">
        <f t="shared" si="42"/>
        <v>3131686328</v>
      </c>
      <c r="K80" s="333">
        <f t="shared" si="42"/>
        <v>3031482304</v>
      </c>
      <c r="L80" s="333">
        <f t="shared" si="42"/>
        <v>2931250841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64090000+418378550.52+6446920.18</f>
        <v>488915470.69999999</v>
      </c>
      <c r="D4" s="261">
        <v>0.6</v>
      </c>
      <c r="E4" s="25"/>
      <c r="F4" s="4" t="s">
        <v>77</v>
      </c>
      <c r="G4" s="19">
        <v>4583178463.29</v>
      </c>
      <c r="H4" s="261">
        <v>0.9</v>
      </c>
    </row>
    <row r="5" spans="2:8" ht="15" customHeight="1">
      <c r="B5" s="1" t="s">
        <v>33</v>
      </c>
      <c r="C5" s="19">
        <v>0</v>
      </c>
      <c r="D5" s="261">
        <v>0.6</v>
      </c>
      <c r="E5" s="25"/>
      <c r="F5" s="1" t="s">
        <v>29</v>
      </c>
      <c r="G5" s="19">
        <v>0</v>
      </c>
      <c r="H5" s="261">
        <v>0.7</v>
      </c>
    </row>
    <row r="6" spans="2:8" ht="15" customHeight="1">
      <c r="B6" s="4" t="s">
        <v>10</v>
      </c>
      <c r="C6" s="19">
        <v>1545872989.1700001</v>
      </c>
      <c r="D6" s="261">
        <v>0.5</v>
      </c>
      <c r="E6" s="25"/>
      <c r="F6" s="4" t="s">
        <v>176</v>
      </c>
      <c r="G6" s="19">
        <v>0</v>
      </c>
      <c r="H6" s="261">
        <v>0.6</v>
      </c>
    </row>
    <row r="7" spans="2:8" ht="15" customHeight="1">
      <c r="B7" s="1" t="s">
        <v>69</v>
      </c>
      <c r="C7" s="19">
        <v>0</v>
      </c>
      <c r="D7" s="261">
        <v>0.6</v>
      </c>
      <c r="E7" s="25"/>
      <c r="F7" s="4" t="s">
        <v>177</v>
      </c>
      <c r="G7" s="19">
        <v>304944913.81999999</v>
      </c>
      <c r="H7" s="261">
        <v>0.6</v>
      </c>
    </row>
    <row r="8" spans="2:8" ht="15" customHeight="1">
      <c r="B8" s="1" t="s">
        <v>172</v>
      </c>
      <c r="C8" s="19">
        <v>0</v>
      </c>
      <c r="D8" s="261">
        <v>0.6</v>
      </c>
      <c r="E8" s="25"/>
      <c r="F8" s="1" t="s">
        <v>178</v>
      </c>
      <c r="G8" s="19">
        <v>0</v>
      </c>
      <c r="H8" s="261">
        <v>0.6</v>
      </c>
    </row>
    <row r="9" spans="2:8" ht="15" customHeight="1">
      <c r="B9" s="4" t="s">
        <v>25</v>
      </c>
      <c r="C9" s="19">
        <v>63782145.289999999</v>
      </c>
      <c r="D9" s="261">
        <v>0.1</v>
      </c>
      <c r="E9" s="25"/>
      <c r="F9" s="4" t="s">
        <v>179</v>
      </c>
      <c r="G9" s="19">
        <v>0</v>
      </c>
      <c r="H9" s="261">
        <v>0.6</v>
      </c>
    </row>
    <row r="10" spans="2:8" ht="15" customHeight="1">
      <c r="B10" s="4" t="s">
        <v>11</v>
      </c>
      <c r="C10" s="19">
        <v>0</v>
      </c>
      <c r="D10" s="261">
        <v>0.9</v>
      </c>
      <c r="H10" s="262"/>
    </row>
    <row r="11" spans="2:8" ht="15" customHeight="1">
      <c r="B11" s="4" t="s">
        <v>12</v>
      </c>
      <c r="C11" s="19">
        <v>406953110.22000003</v>
      </c>
      <c r="D11" s="261">
        <v>0.05</v>
      </c>
      <c r="H11" s="262"/>
    </row>
    <row r="12" spans="2:8" ht="15" customHeight="1">
      <c r="B12" s="80" t="s">
        <v>72</v>
      </c>
      <c r="C12" s="81">
        <f>SUM(C4:C11)</f>
        <v>2505523715.3800001</v>
      </c>
      <c r="D12" s="20">
        <f>C4*D4+C5*D5+C9*D9+C6*D6+C8*D8+C7*D7+C10*D10+C11*D11</f>
        <v>1093011647.0449998</v>
      </c>
      <c r="F12" s="80" t="s">
        <v>70</v>
      </c>
      <c r="G12" s="81">
        <f>SUM(G4:G9)</f>
        <v>4888123377.1099997</v>
      </c>
      <c r="H12" s="20">
        <f>G4*H4+G5*H5+G6*H6+G7*H7+G8*H8+G9*H9</f>
        <v>4307827565.2530003</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218481267.78999999</v>
      </c>
      <c r="D16" s="261">
        <v>0.5</v>
      </c>
      <c r="F16" s="4" t="s">
        <v>176</v>
      </c>
      <c r="G16" s="19">
        <v>0</v>
      </c>
      <c r="H16" s="261">
        <v>0.6</v>
      </c>
    </row>
    <row r="17" spans="2:8" ht="15" customHeight="1">
      <c r="B17" s="1" t="s">
        <v>69</v>
      </c>
      <c r="C17" s="19">
        <v>0</v>
      </c>
      <c r="D17" s="261">
        <v>0.6</v>
      </c>
      <c r="F17" s="4" t="s">
        <v>177</v>
      </c>
      <c r="G17" s="19">
        <v>664145486.29999995</v>
      </c>
      <c r="H17" s="261">
        <v>0.6</v>
      </c>
    </row>
    <row r="18" spans="2:8" ht="15" customHeight="1">
      <c r="B18" s="4" t="s">
        <v>172</v>
      </c>
      <c r="C18" s="19">
        <v>0</v>
      </c>
      <c r="D18" s="261">
        <v>0.6</v>
      </c>
      <c r="F18" s="4" t="s">
        <v>180</v>
      </c>
      <c r="G18" s="19">
        <v>0</v>
      </c>
      <c r="H18" s="261">
        <v>0.1</v>
      </c>
    </row>
    <row r="19" spans="2:8" ht="15" customHeight="1">
      <c r="B19" s="4" t="s">
        <v>26</v>
      </c>
      <c r="C19" s="19">
        <f>1326974361.16+5553565.01</f>
        <v>1332527926.1700001</v>
      </c>
      <c r="D19" s="261">
        <v>0.1</v>
      </c>
      <c r="F19" s="4" t="s">
        <v>181</v>
      </c>
      <c r="G19" s="19">
        <v>91308996.629999995</v>
      </c>
      <c r="H19" s="261">
        <v>0.1</v>
      </c>
    </row>
    <row r="20" spans="2:8" ht="15" customHeight="1">
      <c r="B20" s="4" t="s">
        <v>18</v>
      </c>
      <c r="C20" s="19">
        <v>0</v>
      </c>
      <c r="D20" s="261">
        <v>0.05</v>
      </c>
      <c r="F20" s="4" t="s">
        <v>178</v>
      </c>
      <c r="G20" s="19">
        <v>0</v>
      </c>
      <c r="H20" s="261">
        <v>0.2</v>
      </c>
    </row>
    <row r="21" spans="2:8" ht="15" customHeight="1">
      <c r="B21" s="4" t="s">
        <v>19</v>
      </c>
      <c r="C21" s="19">
        <v>285880529</v>
      </c>
      <c r="D21" s="261">
        <v>0.05</v>
      </c>
      <c r="F21" s="1" t="s">
        <v>179</v>
      </c>
      <c r="G21" s="19">
        <v>0</v>
      </c>
      <c r="H21" s="261">
        <v>0.1</v>
      </c>
    </row>
    <row r="22" spans="2:8" ht="15" customHeight="1">
      <c r="B22" s="4" t="s">
        <v>20</v>
      </c>
      <c r="C22" s="19">
        <v>64397018.740000002</v>
      </c>
      <c r="D22" s="261">
        <v>0.9</v>
      </c>
      <c r="H22" s="262"/>
    </row>
    <row r="23" spans="2:8" ht="15" customHeight="1">
      <c r="B23" s="4" t="s">
        <v>21</v>
      </c>
      <c r="C23" s="19">
        <f>1931.1+6666621.46</f>
        <v>6668552.5599999996</v>
      </c>
      <c r="D23" s="261">
        <v>0</v>
      </c>
      <c r="H23" s="262"/>
    </row>
    <row r="24" spans="2:8" ht="15" customHeight="1">
      <c r="B24" s="80" t="s">
        <v>73</v>
      </c>
      <c r="C24" s="81">
        <f>SUM(C15:C23)</f>
        <v>1907955294.26</v>
      </c>
      <c r="D24" s="20">
        <f>C15*D15+C16*D16+C18*D18+C17*D17+C19*D19+C20*D20+C21*D21+C22*D22+C23*D23</f>
        <v>314744769.82800001</v>
      </c>
      <c r="F24" s="80" t="s">
        <v>71</v>
      </c>
      <c r="G24" s="81">
        <f>SUM(G15:G21)</f>
        <v>755454482.92999995</v>
      </c>
      <c r="H24" s="20">
        <f>G15*H15+G16*H16+G17*H17+G18*H18+G19*H19+G20*H20+G21*H21</f>
        <v>407618191.44299996</v>
      </c>
    </row>
    <row r="26" spans="2:8" ht="15" customHeight="1">
      <c r="B26" s="16" t="s">
        <v>199</v>
      </c>
      <c r="C26" s="182" t="s">
        <v>135</v>
      </c>
      <c r="F26" s="184" t="s">
        <v>195</v>
      </c>
      <c r="G26" s="185" t="s">
        <v>135</v>
      </c>
      <c r="H26" s="186" t="s">
        <v>35</v>
      </c>
    </row>
    <row r="27" spans="2:8" ht="15" customHeight="1">
      <c r="B27" s="4" t="s">
        <v>5</v>
      </c>
      <c r="C27" s="19">
        <v>850003104.54999995</v>
      </c>
      <c r="F27" s="187" t="s">
        <v>30</v>
      </c>
      <c r="G27" s="85">
        <f>G32-G30</f>
        <v>5728144421.2400007</v>
      </c>
      <c r="H27" s="188">
        <f>H32-G30</f>
        <v>1794289725.1290007</v>
      </c>
    </row>
    <row r="28" spans="2:8" ht="15" customHeight="1">
      <c r="B28" s="4" t="s">
        <v>6</v>
      </c>
      <c r="C28" s="19">
        <v>0</v>
      </c>
      <c r="F28" s="189" t="s">
        <v>243</v>
      </c>
      <c r="G28" s="12">
        <v>2154785.64</v>
      </c>
      <c r="H28" s="188"/>
    </row>
    <row r="29" spans="2:8" ht="15" customHeight="1">
      <c r="B29" s="4" t="s">
        <v>7</v>
      </c>
      <c r="C29" s="19">
        <v>0</v>
      </c>
      <c r="F29" s="190" t="s">
        <v>75</v>
      </c>
      <c r="G29" s="14">
        <f>G27-G28</f>
        <v>5725989635.6000004</v>
      </c>
      <c r="H29" s="188">
        <f>H27-G28</f>
        <v>1792134939.4890006</v>
      </c>
    </row>
    <row r="30" spans="2:8" ht="15" customHeight="1">
      <c r="B30" s="2" t="s">
        <v>8</v>
      </c>
      <c r="C30" s="19">
        <v>0</v>
      </c>
      <c r="F30" s="187" t="s">
        <v>23</v>
      </c>
      <c r="G30" s="85">
        <f>C33+C42</f>
        <v>4328912448.4399996</v>
      </c>
      <c r="H30" s="188"/>
    </row>
    <row r="31" spans="2:8" ht="15" customHeight="1">
      <c r="B31" s="80" t="s">
        <v>202</v>
      </c>
      <c r="C31" s="81">
        <f>SUM(C27:C30)</f>
        <v>850003104.54999995</v>
      </c>
      <c r="F31" s="190" t="s">
        <v>76</v>
      </c>
      <c r="G31" s="191">
        <f>C31+C40</f>
        <v>2209595736.0500002</v>
      </c>
      <c r="H31" s="188"/>
    </row>
    <row r="32" spans="2:8" ht="15" customHeight="1">
      <c r="B32" s="4" t="s">
        <v>9</v>
      </c>
      <c r="C32" s="21">
        <f>C33-C31</f>
        <v>2033032766.8</v>
      </c>
      <c r="F32" s="192" t="s">
        <v>74</v>
      </c>
      <c r="G32" s="193">
        <f>G35+G40</f>
        <v>10057056869.68</v>
      </c>
      <c r="H32" s="188">
        <f>H35+H40</f>
        <v>6123202173.5690002</v>
      </c>
    </row>
    <row r="33" spans="2:8" ht="15" customHeight="1">
      <c r="B33" s="83" t="s">
        <v>4</v>
      </c>
      <c r="C33" s="84">
        <v>2883035871.3499999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4413479009.6400003</v>
      </c>
      <c r="H35" s="200">
        <f>D12+D24</f>
        <v>1407756416.8729999</v>
      </c>
    </row>
    <row r="36" spans="2:8" ht="15" customHeight="1">
      <c r="B36" s="4" t="s">
        <v>13</v>
      </c>
      <c r="C36" s="19">
        <v>0</v>
      </c>
      <c r="F36" s="190" t="s">
        <v>196</v>
      </c>
      <c r="G36" s="191">
        <f>C4+C15</f>
        <v>488915470.69999999</v>
      </c>
      <c r="H36" s="195"/>
    </row>
    <row r="37" spans="2:8" ht="15" customHeight="1">
      <c r="B37" s="4" t="s">
        <v>14</v>
      </c>
      <c r="C37" s="19">
        <v>2885347.22</v>
      </c>
      <c r="F37" s="190" t="s">
        <v>197</v>
      </c>
      <c r="G37" s="191">
        <f>C6</f>
        <v>1545872989.1700001</v>
      </c>
      <c r="H37" s="195"/>
    </row>
    <row r="38" spans="2:8" ht="15" customHeight="1">
      <c r="B38" s="4" t="s">
        <v>15</v>
      </c>
      <c r="C38" s="19">
        <v>0</v>
      </c>
      <c r="F38" s="190" t="s">
        <v>198</v>
      </c>
      <c r="G38" s="191">
        <f>C7+C17</f>
        <v>0</v>
      </c>
      <c r="H38" s="195"/>
    </row>
    <row r="39" spans="2:8" ht="15" customHeight="1">
      <c r="B39" s="2" t="s">
        <v>16</v>
      </c>
      <c r="C39" s="19">
        <v>1356707284.28</v>
      </c>
      <c r="F39" s="190" t="s">
        <v>79</v>
      </c>
      <c r="G39" s="191">
        <f>C7+C17+C19+C20</f>
        <v>1332527926.1700001</v>
      </c>
      <c r="H39" s="188">
        <f>C7*D7+C17*D17+C19*D19+C20*D20</f>
        <v>133252792.61700001</v>
      </c>
    </row>
    <row r="40" spans="2:8" ht="15" customHeight="1">
      <c r="B40" s="80" t="s">
        <v>203</v>
      </c>
      <c r="C40" s="81">
        <f>SUM(C36:C39)</f>
        <v>1359592631.5</v>
      </c>
      <c r="F40" s="199" t="s">
        <v>137</v>
      </c>
      <c r="G40" s="193">
        <f>G12+G24</f>
        <v>5643577860.04</v>
      </c>
      <c r="H40" s="200">
        <f>H12+H24</f>
        <v>4715445756.6960001</v>
      </c>
    </row>
    <row r="41" spans="2:8" ht="15" customHeight="1">
      <c r="B41" s="4" t="s">
        <v>17</v>
      </c>
      <c r="C41" s="21">
        <f>C42-C40</f>
        <v>86283945.589999914</v>
      </c>
      <c r="F41" s="190" t="s">
        <v>190</v>
      </c>
      <c r="G41" s="191">
        <f>C70</f>
        <v>4583178463.29</v>
      </c>
      <c r="H41" s="200">
        <f>H40-H42</f>
        <v>4124860616.961</v>
      </c>
    </row>
    <row r="42" spans="2:8" ht="15" customHeight="1">
      <c r="B42" s="83" t="s">
        <v>22</v>
      </c>
      <c r="C42" s="84">
        <v>1445876577.0899999</v>
      </c>
      <c r="F42" s="201" t="s">
        <v>191</v>
      </c>
      <c r="G42" s="202">
        <f>C82</f>
        <v>1060399396.7499999</v>
      </c>
      <c r="H42" s="203">
        <f>D82</f>
        <v>590585139.73500001</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2.3913910654887354</v>
      </c>
      <c r="D50" s="95">
        <f>G31/Normalized_FCF!G8</f>
        <v>2.4827308199218852</v>
      </c>
      <c r="F50" s="253"/>
    </row>
    <row r="51" spans="2:8" ht="15" customHeight="1">
      <c r="B51" s="1" t="s">
        <v>175</v>
      </c>
      <c r="C51" s="181"/>
      <c r="D51" s="92">
        <f>G29/G32</f>
        <v>0.56935042824135806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0.20935394807077129</v>
      </c>
      <c r="D54" s="92">
        <f>Normalized_FCF!G8/G35</f>
        <v>0.20165180893713927</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0.13249680731022842</v>
      </c>
      <c r="F59" s="253"/>
    </row>
    <row r="60" spans="2:8" ht="15" customHeight="1">
      <c r="F60" s="253"/>
    </row>
    <row r="61" spans="2:8" ht="15" customHeight="1">
      <c r="B61" s="157" t="s">
        <v>273</v>
      </c>
      <c r="C61" s="235" t="s">
        <v>136</v>
      </c>
      <c r="D61" s="197" t="s">
        <v>95</v>
      </c>
      <c r="F61" s="253"/>
    </row>
    <row r="62" spans="2:8" ht="15" customHeight="1">
      <c r="B62" s="1" t="s">
        <v>244</v>
      </c>
      <c r="C62" s="92">
        <f>IF(G28&lt;=0,0,G28/G29)</f>
        <v>3.7631672027541312E-4</v>
      </c>
      <c r="D62" s="92">
        <f>G28/G29</f>
        <v>3.7631672027541312E-4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4583178463.29</v>
      </c>
      <c r="D66" s="76">
        <f>C66-D75</f>
        <v>3530916331.352602</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4583178463.29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-564798704.21000004</v>
      </c>
      <c r="D73" s="349">
        <f>(Normalized_FCF!C25+Normalized_FCF!C35-Normalized_FCF!C91)/12</f>
        <v>-526131065.96869904</v>
      </c>
      <c r="F73" s="1" t="s">
        <v>348</v>
      </c>
    </row>
    <row r="74" spans="2:6" ht="15" customHeight="1">
      <c r="B74" s="257" t="s">
        <v>318</v>
      </c>
      <c r="C74" s="258">
        <f>-$C$66/C73</f>
        <v>8.1147113637603354</v>
      </c>
      <c r="D74" s="258">
        <f>-$C$66/D73</f>
        <v>8.7110964543626963</v>
      </c>
      <c r="F74" s="253" t="s">
        <v>316</v>
      </c>
    </row>
    <row r="75" spans="2:6" ht="15" customHeight="1">
      <c r="B75" s="80" t="s">
        <v>317</v>
      </c>
      <c r="C75" s="320"/>
      <c r="D75" s="321">
        <f>MAX(-D73*D76,G5)</f>
        <v>1052262131.9373981</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969090400.11999989</v>
      </c>
      <c r="D79" s="76">
        <f>G7*H7+G17*H17</f>
        <v>581454240.07200003</v>
      </c>
      <c r="F79" s="253"/>
    </row>
    <row r="80" spans="2:6" ht="15" customHeight="1">
      <c r="B80" s="105" t="s">
        <v>181</v>
      </c>
      <c r="C80" s="20">
        <f>G19</f>
        <v>91308996.629999995</v>
      </c>
      <c r="D80" s="76">
        <f>G19*H19</f>
        <v>9130899.6630000006</v>
      </c>
      <c r="F80" s="253"/>
    </row>
    <row r="81" spans="2:8" ht="15" customHeight="1">
      <c r="B81" s="105" t="s">
        <v>179</v>
      </c>
      <c r="C81" s="20">
        <f>G9+G21</f>
        <v>0</v>
      </c>
      <c r="D81" s="76">
        <f>G9*H9+G21*H21</f>
        <v>0</v>
      </c>
      <c r="F81" s="253"/>
    </row>
    <row r="82" spans="2:8" ht="15" customHeight="1">
      <c r="B82" s="80" t="s">
        <v>188</v>
      </c>
      <c r="C82" s="81">
        <f>SUM(C79:C81)</f>
        <v>1060399396.7499999</v>
      </c>
      <c r="D82" s="81">
        <f>SUM(D79:D81)</f>
        <v>590585139.73500001</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-2209595736.0500002</v>
      </c>
      <c r="D86" s="223">
        <f>C86*scaling_factor/Common_Shares</f>
        <v>-4.3680409093321932</v>
      </c>
      <c r="E86" s="240" t="str">
        <f>Market_currency</f>
        <v>CNY</v>
      </c>
    </row>
    <row r="87" spans="2:8" ht="15" customHeight="1">
      <c r="B87" s="238" t="s">
        <v>286</v>
      </c>
      <c r="C87" s="76">
        <f>DCF!C8*Exchange_Rate</f>
        <v>3530916331.352602</v>
      </c>
      <c r="D87" s="223">
        <f>C87*scaling_factor/Common_Shares</f>
        <v>6.9800944720995357</v>
      </c>
      <c r="E87" s="240" t="str">
        <f>Market_currency</f>
        <v>CNY</v>
      </c>
    </row>
    <row r="88" spans="2:8" ht="15" customHeight="1">
      <c r="B88" s="239" t="s">
        <v>188</v>
      </c>
      <c r="C88" s="76">
        <f>DCF!C9*Exchange_Rate</f>
        <v>590585139.73500001</v>
      </c>
      <c r="D88" s="223">
        <f>C88*scaling_factor/Common_Shares</f>
        <v>1.1674986553955653</v>
      </c>
      <c r="E88" s="240" t="str">
        <f>Market_currency</f>
        <v>CNY</v>
      </c>
    </row>
    <row r="89" spans="2:8" ht="15" customHeight="1">
      <c r="B89" s="80" t="s">
        <v>290</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6701345649.5</v>
      </c>
      <c r="D4" s="57"/>
      <c r="E4" s="266"/>
      <c r="F4" s="57"/>
      <c r="G4" s="333">
        <f>Data!C36</f>
        <v>7131364079</v>
      </c>
      <c r="H4" s="333">
        <f>Data!D36</f>
        <v>6805627279</v>
      </c>
      <c r="I4" s="333">
        <f>Data!E36</f>
        <v>6883365208</v>
      </c>
      <c r="J4" s="333">
        <f>Data!F36</f>
        <v>5985026032</v>
      </c>
      <c r="K4" s="333">
        <f>Data!G36</f>
        <v>5289304050</v>
      </c>
      <c r="L4" s="333">
        <f>Data!H36</f>
        <v>4837252294</v>
      </c>
      <c r="M4" s="333">
        <f>Data!I36</f>
        <v>4197045559</v>
      </c>
      <c r="N4" s="333">
        <f>Data!J36</f>
        <v>3602738165</v>
      </c>
      <c r="O4" s="333">
        <f>Data!K36</f>
        <v>3513011838</v>
      </c>
      <c r="P4" s="333">
        <f>Data!L36</f>
        <v>3311372570</v>
      </c>
      <c r="Q4" s="333" t="str">
        <f>Data!M36</f>
        <v/>
      </c>
    </row>
    <row r="5" spans="1:17" ht="15.75" customHeight="1">
      <c r="A5" s="10"/>
      <c r="B5" s="2" t="s">
        <v>46</v>
      </c>
      <c r="C5" s="328">
        <f>C25</f>
        <v>-5416333378.1043882</v>
      </c>
      <c r="E5" s="268"/>
      <c r="G5" s="333">
        <f t="shared" ref="G5:Q5" si="1">G25</f>
        <v>-5857693938</v>
      </c>
      <c r="H5" s="333">
        <f t="shared" si="1"/>
        <v>-5653352275</v>
      </c>
      <c r="I5" s="333">
        <f t="shared" si="1"/>
        <v>-5442320308</v>
      </c>
      <c r="J5" s="333">
        <f t="shared" si="1"/>
        <v>-4729652658</v>
      </c>
      <c r="K5" s="333">
        <f t="shared" si="1"/>
        <v>-4164847890</v>
      </c>
      <c r="L5" s="333">
        <f t="shared" si="1"/>
        <v>-3940677114</v>
      </c>
      <c r="M5" s="333">
        <f t="shared" si="1"/>
        <v>-3505063352</v>
      </c>
      <c r="N5" s="333">
        <f t="shared" si="1"/>
        <v>-3057406162</v>
      </c>
      <c r="O5" s="333">
        <f t="shared" si="1"/>
        <v>-2913154787</v>
      </c>
      <c r="P5" s="333">
        <f t="shared" si="1"/>
        <v>-2691647504</v>
      </c>
      <c r="Q5" s="333" t="str">
        <f t="shared" si="1"/>
        <v/>
      </c>
    </row>
    <row r="6" spans="1:17" ht="15.75" customHeight="1">
      <c r="A6" s="10"/>
      <c r="B6" s="31" t="s">
        <v>48</v>
      </c>
      <c r="C6" s="329">
        <f>C4+C5</f>
        <v>1285012271.3956118</v>
      </c>
      <c r="E6" s="268"/>
      <c r="G6" s="329">
        <f>IF(G4="","",G4+G5)</f>
        <v>1273670141</v>
      </c>
      <c r="H6" s="329">
        <f t="shared" ref="H6:Q6" si="2">IF(H4="","",H4+H5)</f>
        <v>1152275004</v>
      </c>
      <c r="I6" s="329">
        <f t="shared" si="2"/>
        <v>1441044900</v>
      </c>
      <c r="J6" s="329">
        <f t="shared" si="2"/>
        <v>1255373374</v>
      </c>
      <c r="K6" s="329">
        <f t="shared" si="2"/>
        <v>1124456160</v>
      </c>
      <c r="L6" s="329">
        <f t="shared" si="2"/>
        <v>896575180</v>
      </c>
      <c r="M6" s="329">
        <f t="shared" si="2"/>
        <v>691982207</v>
      </c>
      <c r="N6" s="329">
        <f t="shared" si="2"/>
        <v>545332003</v>
      </c>
      <c r="O6" s="329">
        <f t="shared" si="2"/>
        <v>599857051</v>
      </c>
      <c r="P6" s="329">
        <f t="shared" si="2"/>
        <v>619725066</v>
      </c>
      <c r="Q6" s="329" t="str">
        <f t="shared" si="2"/>
        <v/>
      </c>
    </row>
    <row r="7" spans="1:17" ht="15.75" customHeight="1">
      <c r="A7" s="10"/>
      <c r="B7" s="8" t="s">
        <v>45</v>
      </c>
      <c r="C7" s="328">
        <f>C35</f>
        <v>-361033016</v>
      </c>
      <c r="E7" s="268"/>
      <c r="G7" s="328">
        <f t="shared" ref="G7:Q7" si="3">G35</f>
        <v>-383684115</v>
      </c>
      <c r="H7" s="328">
        <f t="shared" si="3"/>
        <v>-353960614</v>
      </c>
      <c r="I7" s="328">
        <f t="shared" si="3"/>
        <v>-395527653</v>
      </c>
      <c r="J7" s="328">
        <f t="shared" si="3"/>
        <v>-310959682</v>
      </c>
      <c r="K7" s="328">
        <f t="shared" si="3"/>
        <v>-279334258</v>
      </c>
      <c r="L7" s="328">
        <f t="shared" si="3"/>
        <v>-278989469</v>
      </c>
      <c r="M7" s="328">
        <f t="shared" si="3"/>
        <v>-241267691</v>
      </c>
      <c r="N7" s="328">
        <f t="shared" si="3"/>
        <v>-209921471</v>
      </c>
      <c r="O7" s="328">
        <f t="shared" si="3"/>
        <v>-202358079</v>
      </c>
      <c r="P7" s="328">
        <f t="shared" si="3"/>
        <v>-214567696</v>
      </c>
      <c r="Q7" s="328" t="str">
        <f t="shared" si="3"/>
        <v/>
      </c>
    </row>
    <row r="8" spans="1:17" ht="15.75" customHeight="1">
      <c r="A8" s="10"/>
      <c r="B8" s="29" t="s">
        <v>151</v>
      </c>
      <c r="C8" s="330">
        <f>C6+C7</f>
        <v>923979255.39561176</v>
      </c>
      <c r="D8" s="59"/>
      <c r="E8" s="274"/>
      <c r="F8" s="59"/>
      <c r="G8" s="329">
        <f>IF(G$4="","",G6+G7)</f>
        <v>889986026</v>
      </c>
      <c r="H8" s="329">
        <f t="shared" ref="H8:Q8" si="4">IF(H$4="","",H6+H7)</f>
        <v>798314390</v>
      </c>
      <c r="I8" s="329">
        <f t="shared" si="4"/>
        <v>1045517247</v>
      </c>
      <c r="J8" s="329">
        <f t="shared" si="4"/>
        <v>944413692</v>
      </c>
      <c r="K8" s="329">
        <f t="shared" si="4"/>
        <v>845121902</v>
      </c>
      <c r="L8" s="329">
        <f t="shared" si="4"/>
        <v>617585711</v>
      </c>
      <c r="M8" s="329">
        <f t="shared" si="4"/>
        <v>450714516</v>
      </c>
      <c r="N8" s="329">
        <f t="shared" si="4"/>
        <v>335410532</v>
      </c>
      <c r="O8" s="329">
        <f t="shared" si="4"/>
        <v>397498972</v>
      </c>
      <c r="P8" s="329">
        <f t="shared" si="4"/>
        <v>405157370</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-27629280.071495894</v>
      </c>
      <c r="E12" s="268"/>
      <c r="G12" s="328">
        <f>G50</f>
        <v>-27629280.071495891</v>
      </c>
      <c r="H12" s="328">
        <f t="shared" ref="H12:Q12" si="6">H50</f>
        <v>-24728673.051817413</v>
      </c>
      <c r="I12" s="328">
        <f t="shared" si="6"/>
        <v>-36683273.668721363</v>
      </c>
      <c r="J12" s="328">
        <f t="shared" si="6"/>
        <v>-38336529.610388793</v>
      </c>
      <c r="K12" s="328">
        <f t="shared" si="6"/>
        <v>-8889281.3220126256</v>
      </c>
      <c r="L12" s="328">
        <f t="shared" si="6"/>
        <v>-8050411.4433459612</v>
      </c>
      <c r="M12" s="328">
        <f t="shared" si="6"/>
        <v>-24675448.655158319</v>
      </c>
      <c r="N12" s="328">
        <f t="shared" si="6"/>
        <v>0</v>
      </c>
      <c r="O12" s="328">
        <f t="shared" si="6"/>
        <v>0</v>
      </c>
      <c r="P12" s="328">
        <f t="shared" si="6"/>
        <v>0</v>
      </c>
      <c r="Q12" s="328" t="str">
        <f t="shared" si="6"/>
        <v/>
      </c>
    </row>
    <row r="13" spans="1:17" ht="15.75" customHeight="1">
      <c r="A13" s="10"/>
      <c r="B13" s="70" t="s">
        <v>163</v>
      </c>
      <c r="C13" s="329">
        <f>SUM(C8:C12)</f>
        <v>896349975.32411587</v>
      </c>
      <c r="E13" s="268"/>
      <c r="G13" s="329">
        <f>IF(G$4="","",SUM(G8:G12))</f>
        <v>862356745.92850411</v>
      </c>
      <c r="H13" s="329">
        <f t="shared" ref="H13:Q13" si="7">IF(H$4="","",SUM(H8:H12))</f>
        <v>773585716.94818258</v>
      </c>
      <c r="I13" s="329">
        <f t="shared" si="7"/>
        <v>1008833973.3312787</v>
      </c>
      <c r="J13" s="329">
        <f t="shared" si="7"/>
        <v>906077162.38961124</v>
      </c>
      <c r="K13" s="329">
        <f t="shared" si="7"/>
        <v>836232620.67798734</v>
      </c>
      <c r="L13" s="329">
        <f t="shared" si="7"/>
        <v>609535299.5566541</v>
      </c>
      <c r="M13" s="329">
        <f t="shared" si="7"/>
        <v>426039067.34484166</v>
      </c>
      <c r="N13" s="329">
        <f t="shared" si="7"/>
        <v>335410532</v>
      </c>
      <c r="O13" s="329">
        <f t="shared" si="7"/>
        <v>397498972</v>
      </c>
      <c r="P13" s="329">
        <f t="shared" si="7"/>
        <v>405157370</v>
      </c>
      <c r="Q13" s="329" t="str">
        <f t="shared" si="7"/>
        <v/>
      </c>
    </row>
    <row r="14" spans="1:17" ht="15.75" customHeight="1">
      <c r="A14" s="10"/>
      <c r="B14" s="2" t="s">
        <v>63</v>
      </c>
      <c r="C14" s="328">
        <f>-SUM(C8+C11,C12)*C43</f>
        <v>-224087493.83102897</v>
      </c>
      <c r="E14" s="268"/>
      <c r="G14" s="328">
        <f>Data!C46</f>
        <v>-229311604</v>
      </c>
      <c r="H14" s="328">
        <f>Data!D46</f>
        <v>-191295542</v>
      </c>
      <c r="I14" s="328">
        <f>Data!E46</f>
        <v>-242188379</v>
      </c>
      <c r="J14" s="328">
        <f>Data!F46</f>
        <v>-197232207</v>
      </c>
      <c r="K14" s="328">
        <f>Data!G46</f>
        <v>-192105224</v>
      </c>
      <c r="L14" s="328">
        <f>Data!H46</f>
        <v>-162495080</v>
      </c>
      <c r="M14" s="328">
        <f>Data!I46</f>
        <v>-131000165</v>
      </c>
      <c r="N14" s="328">
        <f>Data!J46</f>
        <v>-95459293</v>
      </c>
      <c r="O14" s="328">
        <f>Data!K46</f>
        <v>-110832660</v>
      </c>
      <c r="P14" s="328">
        <f>Data!L46</f>
        <v>-109092609</v>
      </c>
      <c r="Q14" s="328" t="str">
        <f>Data!M46</f>
        <v/>
      </c>
    </row>
    <row r="15" spans="1:17" ht="15.75" customHeight="1">
      <c r="A15" s="10"/>
      <c r="B15" s="40" t="s">
        <v>242</v>
      </c>
      <c r="C15" s="328">
        <f>-C4*C83</f>
        <v>-2378351.0769942678</v>
      </c>
      <c r="D15" s="60"/>
      <c r="E15" s="275"/>
      <c r="F15" s="60"/>
      <c r="G15" s="333">
        <f>Data!C48</f>
        <v>-647365</v>
      </c>
      <c r="H15" s="333">
        <f>Data!D48</f>
        <v>-431576</v>
      </c>
      <c r="I15" s="333">
        <f>Data!E48</f>
        <v>-2442951</v>
      </c>
      <c r="J15" s="333">
        <f>Data!F48</f>
        <v>-1064169</v>
      </c>
      <c r="K15" s="333">
        <f>Data!G48</f>
        <v>0</v>
      </c>
      <c r="L15" s="333">
        <f>Data!H48</f>
        <v>0</v>
      </c>
      <c r="M15" s="333">
        <f>Data!I48</f>
        <v>-8761899</v>
      </c>
      <c r="N15" s="333">
        <f>Data!J48</f>
        <v>-2464891</v>
      </c>
      <c r="O15" s="333">
        <f>Data!K48</f>
        <v>-5326102</v>
      </c>
      <c r="P15" s="333">
        <f>Data!L48</f>
        <v>-1211794</v>
      </c>
      <c r="Q15" s="333" t="str">
        <f>Data!M48</f>
        <v/>
      </c>
    </row>
    <row r="16" spans="1:17" ht="15.75" customHeight="1">
      <c r="A16" s="10"/>
      <c r="B16" s="41" t="s">
        <v>153</v>
      </c>
      <c r="C16" s="332">
        <f>SUM(C13:C15)</f>
        <v>669884130.41609263</v>
      </c>
      <c r="D16" s="61"/>
      <c r="E16" s="276"/>
      <c r="F16" s="61"/>
      <c r="G16" s="329">
        <f>IF(G$4="","",SUM(G13:G15))</f>
        <v>632397776.92850411</v>
      </c>
      <c r="H16" s="329">
        <f t="shared" ref="H16:Q16" si="8">IF(H$4="","",SUM(H13:H15))</f>
        <v>581858598.94818258</v>
      </c>
      <c r="I16" s="329">
        <f t="shared" si="8"/>
        <v>764202643.33127868</v>
      </c>
      <c r="J16" s="329">
        <f t="shared" si="8"/>
        <v>707780786.38961124</v>
      </c>
      <c r="K16" s="329">
        <f t="shared" si="8"/>
        <v>644127396.67798734</v>
      </c>
      <c r="L16" s="329">
        <f t="shared" si="8"/>
        <v>447040219.5566541</v>
      </c>
      <c r="M16" s="329">
        <f t="shared" si="8"/>
        <v>286277003.34484166</v>
      </c>
      <c r="N16" s="329">
        <f t="shared" si="8"/>
        <v>237486348</v>
      </c>
      <c r="O16" s="329">
        <f t="shared" si="8"/>
        <v>281340210</v>
      </c>
      <c r="P16" s="329">
        <f t="shared" si="8"/>
        <v>294852967</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669884130.41609263</v>
      </c>
      <c r="D19" s="27"/>
      <c r="E19" s="265"/>
      <c r="F19" s="27"/>
      <c r="G19" s="334">
        <f>IF(G$4="","",G16+G17)</f>
        <v>632397776.92850411</v>
      </c>
      <c r="H19" s="334">
        <f t="shared" ref="H19:Q19" si="9">IF(H$4="","",H16+H17)</f>
        <v>581858598.94818258</v>
      </c>
      <c r="I19" s="334">
        <f t="shared" si="9"/>
        <v>764202643.33127868</v>
      </c>
      <c r="J19" s="334">
        <f t="shared" si="9"/>
        <v>707780786.38961124</v>
      </c>
      <c r="K19" s="334">
        <f t="shared" si="9"/>
        <v>644127396.67798734</v>
      </c>
      <c r="L19" s="334">
        <f t="shared" si="9"/>
        <v>447040219.5566541</v>
      </c>
      <c r="M19" s="334">
        <f t="shared" si="9"/>
        <v>286277003.34484166</v>
      </c>
      <c r="N19" s="334">
        <f t="shared" si="9"/>
        <v>237486348</v>
      </c>
      <c r="O19" s="334">
        <f t="shared" si="9"/>
        <v>281340210</v>
      </c>
      <c r="P19" s="334">
        <f t="shared" si="9"/>
        <v>294852967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-4757578204.6885996</v>
      </c>
      <c r="D23" s="58"/>
      <c r="E23" s="267"/>
      <c r="F23" s="58"/>
      <c r="G23" s="333">
        <f>Data!C37</f>
        <v>-5145338820</v>
      </c>
      <c r="H23" s="333">
        <f>Data!D37</f>
        <v>-5036852503</v>
      </c>
      <c r="I23" s="333">
        <f>Data!E37</f>
        <v>-4741732369</v>
      </c>
      <c r="J23" s="333">
        <f>Data!F37</f>
        <v>-4125460517</v>
      </c>
      <c r="K23" s="333">
        <f>Data!G37</f>
        <v>-3648371932</v>
      </c>
      <c r="L23" s="333">
        <f>Data!H37</f>
        <v>-3274676386</v>
      </c>
      <c r="M23" s="333">
        <f>Data!I37</f>
        <v>-2935100815</v>
      </c>
      <c r="N23" s="333">
        <f>Data!J37</f>
        <v>-2568541074</v>
      </c>
      <c r="O23" s="333">
        <f>Data!K37</f>
        <v>-2462409261</v>
      </c>
      <c r="P23" s="333">
        <f>Data!L37</f>
        <v>-2258759022</v>
      </c>
      <c r="Q23" s="333" t="str">
        <f>Data!M37</f>
        <v/>
      </c>
    </row>
    <row r="24" spans="1:17" ht="15.75" customHeight="1">
      <c r="A24" s="10"/>
      <c r="B24" s="68" t="s">
        <v>62</v>
      </c>
      <c r="C24" s="328">
        <f>-C4*C29</f>
        <v>-658755173.41578829</v>
      </c>
      <c r="D24" s="27"/>
      <c r="E24" s="265"/>
      <c r="F24" s="27"/>
      <c r="G24" s="333">
        <f>Data!C40</f>
        <v>-712355118</v>
      </c>
      <c r="H24" s="333">
        <f>Data!D40</f>
        <v>-616499772</v>
      </c>
      <c r="I24" s="333">
        <f>Data!E40</f>
        <v>-700587939</v>
      </c>
      <c r="J24" s="333">
        <f>Data!F40</f>
        <v>-604192141</v>
      </c>
      <c r="K24" s="333">
        <f>Data!G40</f>
        <v>-516475958</v>
      </c>
      <c r="L24" s="333">
        <f>Data!H40</f>
        <v>-666000728</v>
      </c>
      <c r="M24" s="333">
        <f>Data!I40</f>
        <v>-569962537</v>
      </c>
      <c r="N24" s="333">
        <f>Data!J40</f>
        <v>-488865088</v>
      </c>
      <c r="O24" s="333">
        <f>Data!K40</f>
        <v>-450745526</v>
      </c>
      <c r="P24" s="333">
        <f>Data!L40</f>
        <v>-432888482</v>
      </c>
      <c r="Q24" s="333" t="str">
        <f>Data!M40</f>
        <v/>
      </c>
    </row>
    <row r="25" spans="1:17" ht="15.75" customHeight="1">
      <c r="A25" s="10"/>
      <c r="B25" s="70" t="s">
        <v>46</v>
      </c>
      <c r="C25" s="329">
        <f>C23+C24</f>
        <v>-5416333378.1043882</v>
      </c>
      <c r="D25" s="9"/>
      <c r="E25" s="273"/>
      <c r="F25" s="9"/>
      <c r="G25" s="329">
        <f t="shared" ref="G25:Q25" si="10">IF(G$4="","",G23+G24)</f>
        <v>-5857693938</v>
      </c>
      <c r="H25" s="329">
        <f t="shared" si="10"/>
        <v>-5653352275</v>
      </c>
      <c r="I25" s="329">
        <f t="shared" si="10"/>
        <v>-5442320308</v>
      </c>
      <c r="J25" s="329">
        <f t="shared" si="10"/>
        <v>-4729652658</v>
      </c>
      <c r="K25" s="329">
        <f t="shared" si="10"/>
        <v>-4164847890</v>
      </c>
      <c r="L25" s="329">
        <f t="shared" si="10"/>
        <v>-3940677114</v>
      </c>
      <c r="M25" s="329">
        <f t="shared" si="10"/>
        <v>-3505063352</v>
      </c>
      <c r="N25" s="329">
        <f t="shared" si="10"/>
        <v>-3057406162</v>
      </c>
      <c r="O25" s="329">
        <f t="shared" si="10"/>
        <v>-2913154787</v>
      </c>
      <c r="P25" s="329">
        <f t="shared" si="10"/>
        <v>-2691647504</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0.70994371183399141</v>
      </c>
      <c r="D28" s="26"/>
      <c r="E28" s="266" t="s">
        <v>330</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6" t="s">
        <v>330</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46</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-301299427</v>
      </c>
      <c r="E33" s="266" t="s">
        <v>330</v>
      </c>
      <c r="G33" s="328">
        <f>Data!C41</f>
        <v>-308000223</v>
      </c>
      <c r="H33" s="328">
        <f>Data!D41</f>
        <v>-289356094</v>
      </c>
      <c r="I33" s="328">
        <f>Data!E41</f>
        <v>-341967201</v>
      </c>
      <c r="J33" s="328">
        <f>Data!F41</f>
        <v>-265874190</v>
      </c>
      <c r="K33" s="328">
        <f>Data!G41</f>
        <v>-243091462</v>
      </c>
      <c r="L33" s="328">
        <f>Data!H41</f>
        <v>-248352945</v>
      </c>
      <c r="M33" s="328">
        <f>Data!I41</f>
        <v>-216078139</v>
      </c>
      <c r="N33" s="328">
        <f>Data!J41</f>
        <v>-209921471</v>
      </c>
      <c r="O33" s="328">
        <f>Data!K41</f>
        <v>-202358079</v>
      </c>
      <c r="P33" s="328">
        <f>Data!L41</f>
        <v>-214567696</v>
      </c>
      <c r="Q33" s="328" t="str">
        <f>Data!M41</f>
        <v/>
      </c>
    </row>
    <row r="34" spans="1:17" ht="15.75" customHeight="1">
      <c r="A34" s="10"/>
      <c r="B34" s="27" t="s">
        <v>49</v>
      </c>
      <c r="C34" s="340">
        <f>AVERAGE(G34:J34)</f>
        <v>-59733589</v>
      </c>
      <c r="D34" s="58"/>
      <c r="E34" s="266" t="s">
        <v>330</v>
      </c>
      <c r="F34" s="58"/>
      <c r="G34" s="333">
        <f>Data!C42</f>
        <v>-75683892</v>
      </c>
      <c r="H34" s="333">
        <f>Data!D42</f>
        <v>-64604520</v>
      </c>
      <c r="I34" s="333">
        <f>Data!E42</f>
        <v>-53560452</v>
      </c>
      <c r="J34" s="333">
        <f>Data!F42</f>
        <v>-45085492</v>
      </c>
      <c r="K34" s="333">
        <f>Data!G42</f>
        <v>-36242796</v>
      </c>
      <c r="L34" s="333">
        <f>Data!H42</f>
        <v>-30636524</v>
      </c>
      <c r="M34" s="333">
        <f>Data!I42</f>
        <v>-25189552</v>
      </c>
      <c r="N34" s="333">
        <f>Data!J42</f>
        <v>0</v>
      </c>
      <c r="O34" s="333">
        <f>Data!K42</f>
        <v>0</v>
      </c>
      <c r="P34" s="333">
        <f>Data!L42</f>
        <v>0</v>
      </c>
      <c r="Q34" s="333" t="str">
        <f>Data!M42</f>
        <v/>
      </c>
    </row>
    <row r="35" spans="1:17" ht="15.75" customHeight="1">
      <c r="A35" s="10"/>
      <c r="B35" s="70" t="s">
        <v>45</v>
      </c>
      <c r="C35" s="329">
        <f>C33+C34</f>
        <v>-361033016</v>
      </c>
      <c r="D35" s="58"/>
      <c r="E35" s="267"/>
      <c r="F35" s="58"/>
      <c r="G35" s="329">
        <f t="shared" ref="G35:Q35" si="14">IF(G4="","",G33+G34)</f>
        <v>-383684115</v>
      </c>
      <c r="H35" s="329">
        <f t="shared" si="14"/>
        <v>-353960614</v>
      </c>
      <c r="I35" s="329">
        <f t="shared" si="14"/>
        <v>-395527653</v>
      </c>
      <c r="J35" s="329">
        <f t="shared" si="14"/>
        <v>-310959682</v>
      </c>
      <c r="K35" s="329">
        <f t="shared" si="14"/>
        <v>-279334258</v>
      </c>
      <c r="L35" s="329">
        <f t="shared" si="14"/>
        <v>-278989469</v>
      </c>
      <c r="M35" s="329">
        <f t="shared" si="14"/>
        <v>-241267691</v>
      </c>
      <c r="N35" s="329">
        <f t="shared" si="14"/>
        <v>-209921471</v>
      </c>
      <c r="O35" s="329">
        <f t="shared" si="14"/>
        <v>-202358079</v>
      </c>
      <c r="P35" s="329">
        <f t="shared" si="14"/>
        <v>-214567696</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45</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-59672121</v>
      </c>
      <c r="E47" s="268"/>
      <c r="G47" s="328">
        <f>Data!C51</f>
        <v>-59672121</v>
      </c>
      <c r="H47" s="328">
        <f>Data!D51</f>
        <v>-55482330</v>
      </c>
      <c r="I47" s="328">
        <f>Data!E51</f>
        <v>-54113032</v>
      </c>
      <c r="J47" s="328">
        <f>Data!F51</f>
        <v>-57135193</v>
      </c>
      <c r="K47" s="328">
        <f>Data!G51</f>
        <v>-20257228</v>
      </c>
      <c r="L47" s="328">
        <f>Data!H51</f>
        <v>-14761326</v>
      </c>
      <c r="M47" s="328">
        <f>Data!I51</f>
        <v>-33195116</v>
      </c>
      <c r="N47" s="328">
        <f>Data!J51</f>
        <v>0</v>
      </c>
      <c r="O47" s="328">
        <f>Data!K51</f>
        <v>0</v>
      </c>
      <c r="P47" s="328">
        <f>Data!L51</f>
        <v>0</v>
      </c>
      <c r="Q47" s="328" t="str">
        <f>Data!M51</f>
        <v/>
      </c>
    </row>
    <row r="48" spans="1:17" ht="15.75" customHeight="1">
      <c r="A48" s="10"/>
      <c r="B48" s="2" t="s">
        <v>342</v>
      </c>
      <c r="C48" s="328">
        <f>BS!D75*C53</f>
        <v>32042840.928504106</v>
      </c>
      <c r="E48" s="268"/>
      <c r="G48" s="337">
        <f>IFERROR(IF(G$4="","",($C$48/$C$49)*G49),0)</f>
        <v>32042840.928504109</v>
      </c>
      <c r="H48" s="337">
        <f t="shared" ref="H48:Q48" si="19">IFERROR(IF(H$4="","",($C$48/$C$49)*H49),0)</f>
        <v>30753656.948182587</v>
      </c>
      <c r="I48" s="337">
        <f t="shared" si="19"/>
        <v>17429758.331278637</v>
      </c>
      <c r="J48" s="337">
        <f t="shared" si="19"/>
        <v>18798663.389611207</v>
      </c>
      <c r="K48" s="337">
        <f t="shared" si="19"/>
        <v>11367946.677987374</v>
      </c>
      <c r="L48" s="337">
        <f t="shared" si="19"/>
        <v>6710914.5566540388</v>
      </c>
      <c r="M48" s="337">
        <f t="shared" si="19"/>
        <v>8519667.3448416796</v>
      </c>
      <c r="N48" s="337">
        <f t="shared" si="19"/>
        <v>0</v>
      </c>
      <c r="O48" s="337">
        <f t="shared" si="19"/>
        <v>0</v>
      </c>
      <c r="P48" s="337">
        <f t="shared" si="19"/>
        <v>0</v>
      </c>
      <c r="Q48" s="337" t="str">
        <f t="shared" si="19"/>
        <v/>
      </c>
    </row>
    <row r="49" spans="1:17" ht="15.75" customHeight="1">
      <c r="A49" s="10"/>
      <c r="B49" s="287" t="s">
        <v>339</v>
      </c>
      <c r="C49" s="342">
        <f>BS!$C$66*C53</f>
        <v>139564139</v>
      </c>
      <c r="D49" s="288"/>
      <c r="E49" s="289"/>
      <c r="F49" s="288"/>
      <c r="G49" s="342">
        <f>Data!C52</f>
        <v>139564139</v>
      </c>
      <c r="H49" s="342">
        <f>Data!D52</f>
        <v>133949036</v>
      </c>
      <c r="I49" s="342">
        <f>Data!E52</f>
        <v>75916153</v>
      </c>
      <c r="J49" s="342">
        <f>Data!F52</f>
        <v>81878485</v>
      </c>
      <c r="K49" s="342">
        <f>Data!G52</f>
        <v>49513640</v>
      </c>
      <c r="L49" s="342">
        <f>Data!H52</f>
        <v>29229712</v>
      </c>
      <c r="M49" s="342">
        <f>Data!I52</f>
        <v>37107822</v>
      </c>
      <c r="N49" s="342">
        <f>Data!J52</f>
        <v>0</v>
      </c>
      <c r="O49" s="342">
        <f>Data!K52</f>
        <v>0</v>
      </c>
      <c r="P49" s="342">
        <f>Data!L52</f>
        <v>0</v>
      </c>
      <c r="Q49" s="342" t="str">
        <f>Data!M52</f>
        <v/>
      </c>
    </row>
    <row r="50" spans="1:17" ht="15.75" customHeight="1">
      <c r="A50" s="10"/>
      <c r="B50" s="70" t="s">
        <v>68</v>
      </c>
      <c r="C50" s="329">
        <f>C47+C48</f>
        <v>-27629280.071495894</v>
      </c>
      <c r="E50" s="268"/>
      <c r="G50" s="329">
        <f>IF(G$4="","",(G47+G48))</f>
        <v>-27629280.071495891</v>
      </c>
      <c r="H50" s="329">
        <f t="shared" ref="H50:Q50" si="20">IF(H$4="","",(H47+H48))</f>
        <v>-24728673.051817413</v>
      </c>
      <c r="I50" s="329">
        <f t="shared" si="20"/>
        <v>-36683273.668721363</v>
      </c>
      <c r="J50" s="329">
        <f t="shared" si="20"/>
        <v>-38336529.610388793</v>
      </c>
      <c r="K50" s="329">
        <f t="shared" si="20"/>
        <v>-8889281.3220126256</v>
      </c>
      <c r="L50" s="329">
        <f t="shared" si="20"/>
        <v>-8050411.4433459612</v>
      </c>
      <c r="M50" s="329">
        <f t="shared" si="20"/>
        <v>-24675448.655158319</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3.0451386547102714E-2</v>
      </c>
      <c r="E53" s="265" t="s">
        <v>332</v>
      </c>
      <c r="G53" s="6">
        <f>IF(Normalized_FCF!G4="","",Normalized_FCF!G49/BS!$C$66)</f>
        <v>3.0451386547102714E-2</v>
      </c>
      <c r="H53" s="169"/>
      <c r="I53" s="169"/>
      <c r="J53" s="169"/>
      <c r="K53" s="169"/>
      <c r="L53" s="169"/>
      <c r="M53" s="169"/>
      <c r="N53" s="169"/>
      <c r="O53" s="169"/>
      <c r="P53" s="169"/>
      <c r="Q53" s="169"/>
    </row>
    <row r="54" spans="1:17" ht="15.75" customHeight="1">
      <c r="A54" s="10"/>
      <c r="B54" s="8" t="s">
        <v>87</v>
      </c>
      <c r="C54" s="82">
        <f>G54</f>
        <v>2.7005899779057908E-2</v>
      </c>
      <c r="E54" s="265" t="s">
        <v>333</v>
      </c>
      <c r="G54" s="23">
        <f>IFERROR(ABS(Normalized_FCF!G47/BS!$G$31),0)</f>
        <v>2.7005899779057908E-2</v>
      </c>
      <c r="H54" s="169"/>
      <c r="I54" s="169"/>
      <c r="J54" s="169"/>
      <c r="K54" s="169"/>
      <c r="L54" s="169"/>
      <c r="M54" s="169"/>
      <c r="N54" s="169"/>
      <c r="O54" s="169"/>
      <c r="P54" s="169"/>
      <c r="Q54" s="169"/>
    </row>
    <row r="55" spans="1:17" ht="15.75" customHeight="1">
      <c r="A55" s="10"/>
      <c r="B55" s="26" t="s">
        <v>90</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109561692</v>
      </c>
      <c r="H62" s="328">
        <f>Data!D58</f>
        <v>117685283</v>
      </c>
      <c r="I62" s="328">
        <f>Data!E58</f>
        <v>153310521</v>
      </c>
      <c r="J62" s="328">
        <f>Data!F58</f>
        <v>157800049</v>
      </c>
      <c r="K62" s="328">
        <f>Data!G58</f>
        <v>122773789</v>
      </c>
      <c r="L62" s="328">
        <f>Data!H58</f>
        <v>133918046</v>
      </c>
      <c r="M62" s="328">
        <f>Data!I58</f>
        <v>117943355</v>
      </c>
      <c r="N62" s="328">
        <f>Data!J58</f>
        <v>81735796</v>
      </c>
      <c r="O62" s="328">
        <f>Data!K58</f>
        <v>72369405</v>
      </c>
      <c r="P62" s="328">
        <f>Data!L58</f>
        <v>69088877</v>
      </c>
      <c r="Q62" s="328" t="str">
        <f>Data!M58</f>
        <v/>
      </c>
    </row>
    <row r="63" spans="1:17" ht="15.75" customHeight="1">
      <c r="A63" s="10"/>
      <c r="B63" s="31" t="s">
        <v>194</v>
      </c>
      <c r="C63" s="329">
        <f>C61+C62</f>
        <v>0</v>
      </c>
      <c r="E63" s="268"/>
      <c r="G63" s="329">
        <f t="shared" ref="G63:Q63" si="23">IF(G4="","",G61+G62)</f>
        <v>109561692</v>
      </c>
      <c r="H63" s="329">
        <f t="shared" si="23"/>
        <v>117685283</v>
      </c>
      <c r="I63" s="329">
        <f t="shared" si="23"/>
        <v>153310521</v>
      </c>
      <c r="J63" s="329">
        <f t="shared" si="23"/>
        <v>157800049</v>
      </c>
      <c r="K63" s="329">
        <f t="shared" si="23"/>
        <v>122773789</v>
      </c>
      <c r="L63" s="329">
        <f t="shared" si="23"/>
        <v>133918046</v>
      </c>
      <c r="M63" s="329">
        <f t="shared" si="23"/>
        <v>117943355</v>
      </c>
      <c r="N63" s="329">
        <f t="shared" si="23"/>
        <v>81735796</v>
      </c>
      <c r="O63" s="329">
        <f t="shared" si="23"/>
        <v>72369405</v>
      </c>
      <c r="P63" s="329">
        <f t="shared" si="23"/>
        <v>69088877</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48</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45</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151</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163</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63</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153</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4.1568627450980396E-2</v>
      </c>
      <c r="E94" s="268"/>
      <c r="G94" s="23">
        <f t="shared" ref="G94:Q94" si="39">IF(G$4="","",(G90*(1-dividend_tax_rate))/Market_Price)</f>
        <v>4.1568627450980396E-2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-6.0299603937806423E-2</v>
      </c>
      <c r="D97" s="27"/>
      <c r="E97" s="265"/>
      <c r="F97" s="27"/>
      <c r="G97" s="6">
        <f t="shared" ref="G97:Q97" si="40">IF(H4="","",G4/H4-1)</f>
        <v>4.7862862106057502E-2</v>
      </c>
      <c r="H97" s="6">
        <f t="shared" si="40"/>
        <v>-1.1293593562295867E-2</v>
      </c>
      <c r="I97" s="6">
        <f t="shared" si="40"/>
        <v>0.15009778924884709</v>
      </c>
      <c r="J97" s="6">
        <f t="shared" si="40"/>
        <v>0.13153374724222933</v>
      </c>
      <c r="K97" s="6">
        <f t="shared" si="40"/>
        <v>9.3452176674909682E-2</v>
      </c>
      <c r="L97" s="6">
        <f t="shared" si="40"/>
        <v>0.15253747570768272</v>
      </c>
      <c r="M97" s="6">
        <f t="shared" si="40"/>
        <v>0.16495991847911595</v>
      </c>
      <c r="N97" s="6">
        <f t="shared" si="40"/>
        <v>2.5541139949896152E-2</v>
      </c>
      <c r="O97" s="6">
        <f t="shared" si="40"/>
        <v>6.0892957146166049E-2</v>
      </c>
      <c r="P97" s="6" t="str">
        <f t="shared" si="40"/>
        <v/>
      </c>
      <c r="Q97" s="6" t="str">
        <f t="shared" si="40"/>
        <v/>
      </c>
    </row>
    <row r="98" spans="1:17" ht="15.75" customHeight="1">
      <c r="A98" s="10"/>
      <c r="B98" s="70" t="s">
        <v>163</v>
      </c>
      <c r="C98" s="77">
        <f>C13/G13-1</f>
        <v>3.9418987044637754E-2</v>
      </c>
      <c r="D98" s="27"/>
      <c r="E98" s="265"/>
      <c r="F98" s="27"/>
      <c r="G98" s="6">
        <f t="shared" ref="G98:Q98" si="41">IF(H5="","",G13/H13-1)</f>
        <v>0.11475267321445082</v>
      </c>
      <c r="H98" s="6">
        <f t="shared" si="41"/>
        <v>-0.23318827735973335</v>
      </c>
      <c r="I98" s="6">
        <f t="shared" si="41"/>
        <v>0.11340845482813555</v>
      </c>
      <c r="J98" s="6">
        <f t="shared" si="41"/>
        <v>8.3522861922076697E-2</v>
      </c>
      <c r="K98" s="6">
        <f t="shared" si="41"/>
        <v>0.37191828149447903</v>
      </c>
      <c r="L98" s="6">
        <f t="shared" si="41"/>
        <v>0.43070283050659341</v>
      </c>
      <c r="M98" s="6">
        <f t="shared" si="41"/>
        <v>0.27020181746958882</v>
      </c>
      <c r="N98" s="6">
        <f t="shared" si="41"/>
        <v>-0.15619773728622377</v>
      </c>
      <c r="O98" s="6">
        <f t="shared" si="41"/>
        <v>-1.8902279872139549E-2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10057056869.68</v>
      </c>
      <c r="D102" s="26"/>
      <c r="E102" s="269"/>
      <c r="F102" s="26"/>
      <c r="G102" s="333">
        <f t="shared" ref="G102:Q102" si="42">IF(G$4="","",G106+G105)</f>
        <v>10057056869.68</v>
      </c>
      <c r="H102" s="333">
        <f t="shared" si="42"/>
        <v>9398773153</v>
      </c>
      <c r="I102" s="333">
        <f t="shared" si="42"/>
        <v>8547307801</v>
      </c>
      <c r="J102" s="333">
        <f t="shared" si="42"/>
        <v>8072221913</v>
      </c>
      <c r="K102" s="333">
        <f t="shared" si="42"/>
        <v>6978984597</v>
      </c>
      <c r="L102" s="333">
        <f t="shared" si="42"/>
        <v>5408704521</v>
      </c>
      <c r="M102" s="333">
        <f t="shared" si="42"/>
        <v>5128131468</v>
      </c>
      <c r="N102" s="333">
        <f t="shared" si="42"/>
        <v>4673876647</v>
      </c>
      <c r="O102" s="333">
        <f t="shared" si="42"/>
        <v>4220141265</v>
      </c>
      <c r="P102" s="333">
        <f t="shared" si="42"/>
        <v>4580811369</v>
      </c>
      <c r="Q102" s="333" t="str">
        <f t="shared" si="42"/>
        <v/>
      </c>
    </row>
    <row r="103" spans="1:17" ht="15.75" customHeight="1">
      <c r="A103" s="10"/>
      <c r="B103" s="93" t="s">
        <v>209</v>
      </c>
      <c r="C103" s="345">
        <f>BS!C4</f>
        <v>488915470.69999999</v>
      </c>
      <c r="D103" s="89"/>
      <c r="E103" s="270"/>
      <c r="F103" s="89"/>
      <c r="G103" s="346">
        <f>IF(G$4="","",Data!D77)</f>
        <v>422673488</v>
      </c>
      <c r="H103" s="346">
        <f>IF(H$4="","",Data!E77)</f>
        <v>456344428</v>
      </c>
      <c r="I103" s="346">
        <f>IF(I$4="","",Data!F77)</f>
        <v>319728461</v>
      </c>
      <c r="J103" s="346">
        <f>IF(J$4="","",Data!G77)</f>
        <v>217535243</v>
      </c>
      <c r="K103" s="346">
        <f>IF(K$4="","",Data!H77)</f>
        <v>224562135</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1545872989.1700001</v>
      </c>
      <c r="D104" s="89"/>
      <c r="E104" s="270"/>
      <c r="F104" s="89"/>
      <c r="G104" s="346">
        <f>IF(G$4="","",Data!D78)</f>
        <v>1623301115</v>
      </c>
      <c r="H104" s="346">
        <f>IF(H$4="","",Data!E78)</f>
        <v>984697312</v>
      </c>
      <c r="I104" s="346">
        <f>IF(I$4="","",Data!F78)</f>
        <v>1462249097</v>
      </c>
      <c r="J104" s="346">
        <f>IF(J$4="","",Data!G78)</f>
        <v>1687299780</v>
      </c>
      <c r="K104" s="346">
        <f>IF(K$4="","",Data!H78)</f>
        <v>1389523101</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4328912448.4399996</v>
      </c>
      <c r="D105" s="26"/>
      <c r="E105" s="269"/>
      <c r="F105" s="26"/>
      <c r="G105" s="333">
        <f>Data!C79</f>
        <v>4328912448.4399996</v>
      </c>
      <c r="H105" s="333">
        <f>Data!D79</f>
        <v>3866253573</v>
      </c>
      <c r="I105" s="333">
        <f>Data!E79</f>
        <v>3275808581</v>
      </c>
      <c r="J105" s="333">
        <f>Data!F79</f>
        <v>3276083890</v>
      </c>
      <c r="K105" s="333">
        <f>Data!G79</f>
        <v>2771099894</v>
      </c>
      <c r="L105" s="333">
        <f>Data!H79</f>
        <v>1753709637</v>
      </c>
      <c r="M105" s="333">
        <f>Data!I79</f>
        <v>1768910685</v>
      </c>
      <c r="N105" s="333">
        <f>Data!J79</f>
        <v>1542190319</v>
      </c>
      <c r="O105" s="333">
        <f>Data!K79</f>
        <v>1188658961</v>
      </c>
      <c r="P105" s="333">
        <f>Data!L79</f>
        <v>1649560528</v>
      </c>
      <c r="Q105" s="333" t="str">
        <f>Data!M79</f>
        <v/>
      </c>
    </row>
    <row r="106" spans="1:17" ht="15.75" customHeight="1">
      <c r="A106" s="10"/>
      <c r="B106" s="26" t="s">
        <v>30</v>
      </c>
      <c r="C106" s="344">
        <f>BS!G27</f>
        <v>5728144421.2400007</v>
      </c>
      <c r="D106" s="26"/>
      <c r="E106" s="269"/>
      <c r="F106" s="26"/>
      <c r="G106" s="333">
        <f>Data!C80</f>
        <v>5728144421.2400007</v>
      </c>
      <c r="H106" s="333">
        <f>Data!D80</f>
        <v>5532519580</v>
      </c>
      <c r="I106" s="333">
        <f>Data!E80</f>
        <v>5271499220</v>
      </c>
      <c r="J106" s="333">
        <f>Data!F80</f>
        <v>4796138023</v>
      </c>
      <c r="K106" s="333">
        <f>Data!G80</f>
        <v>4207884703</v>
      </c>
      <c r="L106" s="333">
        <f>Data!H80</f>
        <v>3654994884</v>
      </c>
      <c r="M106" s="333">
        <f>Data!I80</f>
        <v>3359220783</v>
      </c>
      <c r="N106" s="333">
        <f>Data!J80</f>
        <v>3131686328</v>
      </c>
      <c r="O106" s="333">
        <f>Data!K80</f>
        <v>3031482304</v>
      </c>
      <c r="P106" s="333">
        <f>Data!L80</f>
        <v>2931250841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7.295780523371137E-2</v>
      </c>
      <c r="D109" s="26"/>
      <c r="E109" s="269"/>
      <c r="F109" s="26"/>
      <c r="G109" s="94">
        <f t="shared" ref="G109:Q109" si="43">IF(G$4="","",G103/G$4)</f>
        <v>5.9269654910014027E-2</v>
      </c>
      <c r="H109" s="94">
        <f t="shared" si="43"/>
        <v>6.7053984782289452E-2</v>
      </c>
      <c r="I109" s="94">
        <f t="shared" si="43"/>
        <v>4.6449440257565366E-2</v>
      </c>
      <c r="J109" s="94">
        <f t="shared" si="43"/>
        <v>3.6346582594112269E-2</v>
      </c>
      <c r="K109" s="94">
        <f t="shared" si="43"/>
        <v>4.2455894551949612E-2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0.23068098110792726</v>
      </c>
      <c r="D110" s="26"/>
      <c r="E110" s="269"/>
      <c r="F110" s="26"/>
      <c r="G110" s="94">
        <f t="shared" ref="G110:Q110" si="44">IF(G$4="","",G104/G$4)</f>
        <v>0.22762841681021401</v>
      </c>
      <c r="H110" s="94">
        <f t="shared" si="44"/>
        <v>0.14468869240583634</v>
      </c>
      <c r="I110" s="94">
        <f t="shared" si="44"/>
        <v>0.21243229914643227</v>
      </c>
      <c r="J110" s="94">
        <f t="shared" si="44"/>
        <v>0.28192020736059514</v>
      </c>
      <c r="K110" s="94">
        <f t="shared" si="44"/>
        <v>0.26270433460901155</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1.2220563640870079</v>
      </c>
      <c r="H114" s="295">
        <f>IF(H$4="","",Data!D$22/Data!D15)</f>
        <v>0.5220279107320227</v>
      </c>
      <c r="I114" s="295">
        <f>IF(I$4="","",Data!E$22/Data!E15)</f>
        <v>1.5660017367806311</v>
      </c>
      <c r="J114" s="295">
        <f>IF(J$4="","",Data!F$22/Data!F15)</f>
        <v>1.4464739656204468</v>
      </c>
      <c r="K114" s="295">
        <f>IF(K$4="","",Data!G$22/Data!G15)</f>
        <v>0.74139088985897428</v>
      </c>
      <c r="L114" s="295">
        <f>IF(L$4="","",Data!H$22/Data!H15)</f>
        <v>1.0709352013930644</v>
      </c>
      <c r="M114" s="295">
        <f>IF(M$4="","",Data!I$22/Data!I15)</f>
        <v>1.6912837855630598</v>
      </c>
      <c r="N114" s="295">
        <f>IF(N$4="","",Data!J$22/Data!J15)</f>
        <v>0.91058543593464991</v>
      </c>
      <c r="O114" s="295">
        <f>IF(O$4="","",Data!K$22/Data!K15)</f>
        <v>1.315617423655931</v>
      </c>
      <c r="P114" s="295">
        <f>IF(P$4="","",Data!L$22/Data!L15)</f>
        <v>0.73045375218197883</v>
      </c>
      <c r="Q114" s="295" t="str">
        <f>IF(Q$4="","",Data!M$22/Data!M15)</f>
        <v/>
      </c>
    </row>
    <row r="115" spans="1:17" ht="15.75" customHeight="1">
      <c r="A115" s="10"/>
      <c r="B115" s="2" t="s">
        <v>389</v>
      </c>
      <c r="C115" s="169"/>
      <c r="E115" s="268"/>
      <c r="G115" s="295">
        <f>IF(G$4="","",Data!C$22/G19)</f>
        <v>1.6428022550076953</v>
      </c>
      <c r="H115" s="295">
        <f>IF(H$4="","",Data!D$22/H19)</f>
        <v>0.72058330796850312</v>
      </c>
      <c r="I115" s="295">
        <f>IF(I$4="","",Data!E$22/I19)</f>
        <v>2.0050214211779154</v>
      </c>
      <c r="J115" s="295">
        <f>IF(J$4="","",Data!F$22/J19)</f>
        <v>1.9000554717795306</v>
      </c>
      <c r="K115" s="295">
        <f>IF(K$4="","",Data!G$22/K19)</f>
        <v>0.92660927803755555</v>
      </c>
      <c r="L115" s="295">
        <f>IF(L$4="","",Data!H$22/L19)</f>
        <v>1.445697281199763</v>
      </c>
      <c r="M115" s="295">
        <f>IF(M$4="","",Data!I$22/M19)</f>
        <v>2.6087351386041981</v>
      </c>
      <c r="N115" s="295">
        <f>IF(N$4="","",Data!J$22/N19)</f>
        <v>1.2334331277013026</v>
      </c>
      <c r="O115" s="295">
        <f>IF(O$4="","",Data!K$22/O19)</f>
        <v>1.6789411119014945</v>
      </c>
      <c r="P115" s="295">
        <f>IF(P$4="","",Data!L$22/P19)</f>
        <v>0.90461306092266658</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0.13375671427886937</v>
      </c>
      <c r="E118" s="268"/>
      <c r="G118" s="23">
        <f t="shared" ref="G118:Q118" si="45">IF(G4="","",IF(valuation_method="DDM",G13/(G4+G12),G81))</f>
        <v>0.12092451547494525</v>
      </c>
      <c r="H118" s="23">
        <f t="shared" si="45"/>
        <v>0.11366854005290915</v>
      </c>
      <c r="I118" s="23">
        <f t="shared" si="45"/>
        <v>0.14656115763824204</v>
      </c>
      <c r="J118" s="23">
        <f t="shared" si="45"/>
        <v>0.1513906802652335</v>
      </c>
      <c r="K118" s="23">
        <f t="shared" si="45"/>
        <v>0.15809879953450348</v>
      </c>
      <c r="L118" s="23">
        <f t="shared" si="45"/>
        <v>0.126008581423943</v>
      </c>
      <c r="M118" s="23">
        <f t="shared" si="45"/>
        <v>0.10150927869516645</v>
      </c>
      <c r="N118" s="23">
        <f t="shared" si="45"/>
        <v>9.3098781159968086E-2</v>
      </c>
      <c r="O118" s="23">
        <f t="shared" si="45"/>
        <v>0.11315047894239405</v>
      </c>
      <c r="P118" s="23">
        <f t="shared" si="45"/>
        <v>0.12235330257627881</v>
      </c>
      <c r="Q118" s="23" t="str">
        <f t="shared" si="45"/>
        <v/>
      </c>
    </row>
    <row r="119" spans="1:17" ht="15.75" customHeight="1">
      <c r="B119" s="7" t="s">
        <v>83</v>
      </c>
      <c r="C119" s="42">
        <f>IF(valuation_method="DDM",(C4+C12)/C102,C4/C102)</f>
        <v>0.66633267926556194</v>
      </c>
      <c r="E119" s="268"/>
      <c r="G119" s="42">
        <f t="shared" ref="G119:Q119" si="46">IF(G4="","",IF(valuation_method="DDM",(G4+G12)/G102,G4/G102))</f>
        <v>0.70909055913759678</v>
      </c>
      <c r="H119" s="42">
        <f t="shared" si="46"/>
        <v>0.72409740805667899</v>
      </c>
      <c r="I119" s="42">
        <f t="shared" si="46"/>
        <v>0.80532553270103069</v>
      </c>
      <c r="J119" s="42">
        <f t="shared" si="46"/>
        <v>0.74143477427960047</v>
      </c>
      <c r="K119" s="42">
        <f t="shared" si="46"/>
        <v>0.75789020257670014</v>
      </c>
      <c r="L119" s="42">
        <f t="shared" si="46"/>
        <v>0.89434582259369833</v>
      </c>
      <c r="M119" s="42">
        <f t="shared" si="46"/>
        <v>0.81843563980173684</v>
      </c>
      <c r="N119" s="42">
        <f t="shared" si="46"/>
        <v>0.77082440062094348</v>
      </c>
      <c r="O119" s="42">
        <f t="shared" si="46"/>
        <v>0.8324393941822229</v>
      </c>
      <c r="P119" s="42">
        <f t="shared" si="46"/>
        <v>0.7228790498576847</v>
      </c>
      <c r="Q119" s="42" t="str">
        <f t="shared" si="46"/>
        <v/>
      </c>
    </row>
    <row r="120" spans="1:17" ht="15.75" customHeight="1">
      <c r="B120" s="7" t="s">
        <v>91</v>
      </c>
      <c r="C120" s="15">
        <f>C102/C106</f>
        <v>1.7557268340491488</v>
      </c>
      <c r="D120" s="11"/>
      <c r="E120" s="272"/>
      <c r="F120" s="11"/>
      <c r="G120" s="15">
        <f t="shared" ref="G120:Q120" si="47">IF(G$4="","",G102/G106)</f>
        <v>1.7557268340491488</v>
      </c>
      <c r="H120" s="15">
        <f t="shared" si="47"/>
        <v>1.6988232968892629</v>
      </c>
      <c r="I120" s="15">
        <f t="shared" si="47"/>
        <v>1.6214187737279036</v>
      </c>
      <c r="J120" s="15">
        <f t="shared" si="47"/>
        <v>1.6830670581808651</v>
      </c>
      <c r="K120" s="15">
        <f t="shared" si="47"/>
        <v>1.6585493875400987</v>
      </c>
      <c r="L120" s="15">
        <f t="shared" si="47"/>
        <v>1.4798117897994847</v>
      </c>
      <c r="M120" s="15">
        <f t="shared" si="47"/>
        <v>1.5265836333092251</v>
      </c>
      <c r="N120" s="15">
        <f t="shared" si="47"/>
        <v>1.4924472496531587</v>
      </c>
      <c r="O120" s="15">
        <f t="shared" si="47"/>
        <v>1.3921048654750781</v>
      </c>
      <c r="P120" s="15">
        <f t="shared" si="47"/>
        <v>1.5627496988409393</v>
      </c>
      <c r="Q120" s="15" t="str">
        <f t="shared" si="47"/>
        <v/>
      </c>
    </row>
    <row r="121" spans="1:17" ht="15.75" customHeight="1">
      <c r="A121" s="10"/>
      <c r="B121" s="70" t="s">
        <v>221</v>
      </c>
      <c r="C121" s="102">
        <f>C13/C106</f>
        <v>0.15648173464349882</v>
      </c>
      <c r="D121" s="103"/>
      <c r="E121" s="271"/>
      <c r="F121" s="103"/>
      <c r="G121" s="102">
        <f t="shared" ref="G121:Q121" si="48">IF(G$4="","",G13/G106)</f>
        <v>0.15054731209829122</v>
      </c>
      <c r="H121" s="102">
        <f t="shared" si="48"/>
        <v>0.13982521087583435</v>
      </c>
      <c r="I121" s="102">
        <f t="shared" si="48"/>
        <v>0.19137515367616401</v>
      </c>
      <c r="J121" s="102">
        <f t="shared" si="48"/>
        <v>0.18891807492705495</v>
      </c>
      <c r="K121" s="102">
        <f t="shared" si="48"/>
        <v>0.19872992719638863</v>
      </c>
      <c r="L121" s="102">
        <f t="shared" si="48"/>
        <v>0.16676775724774287</v>
      </c>
      <c r="M121" s="102">
        <f t="shared" si="48"/>
        <v>0.12682675384151482</v>
      </c>
      <c r="N121" s="102">
        <f t="shared" si="48"/>
        <v>0.10710221167462976</v>
      </c>
      <c r="O121" s="102">
        <f t="shared" si="48"/>
        <v>0.13112363264516025</v>
      </c>
      <c r="P121" s="102">
        <f t="shared" si="48"/>
        <v>0.13821995863778755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1.3242609217741999</v>
      </c>
      <c r="D125" s="27"/>
      <c r="E125" s="265"/>
      <c r="F125" s="27"/>
      <c r="G125" s="177">
        <f t="shared" ref="G125:Q125" si="49">IF(G$4="","",G16*$C$3/Common_Shares*Exchange_Rate)</f>
        <v>1.2501559971022376</v>
      </c>
      <c r="H125" s="177">
        <f t="shared" si="49"/>
        <v>1.1502475870069577</v>
      </c>
      <c r="I125" s="177">
        <f t="shared" si="49"/>
        <v>1.5107145414111571</v>
      </c>
      <c r="J125" s="177">
        <f t="shared" si="49"/>
        <v>1.3991769532085905</v>
      </c>
      <c r="K125" s="177">
        <f t="shared" si="49"/>
        <v>1.2733437042835725</v>
      </c>
      <c r="L125" s="177">
        <f t="shared" si="49"/>
        <v>0.8837317773933846</v>
      </c>
      <c r="M125" s="177">
        <f t="shared" si="49"/>
        <v>0.56592689857679968</v>
      </c>
      <c r="N125" s="177">
        <f t="shared" si="49"/>
        <v>0.46947505670260209</v>
      </c>
      <c r="O125" s="177">
        <f t="shared" si="49"/>
        <v>0.55616759512623426</v>
      </c>
      <c r="P125" s="177">
        <f t="shared" si="49"/>
        <v>0.58288029845511569</v>
      </c>
      <c r="Q125" s="177" t="str">
        <f t="shared" si="49"/>
        <v/>
      </c>
    </row>
    <row r="126" spans="1:17" ht="15.75" customHeight="1">
      <c r="A126" s="10"/>
      <c r="B126" s="27" t="s">
        <v>268</v>
      </c>
      <c r="C126" s="77">
        <f>C19*Exchange_Rate*$C$3/(Market_Price*Common_Shares)</f>
        <v>5.7702000948766874E-2</v>
      </c>
      <c r="D126" s="27"/>
      <c r="E126" s="265"/>
      <c r="F126" s="27"/>
      <c r="G126" s="77">
        <f t="shared" ref="G126" si="50">IF(G$4="","",G125/Market_Price)</f>
        <v>5.4473028196175929E-2</v>
      </c>
      <c r="H126" s="77">
        <f t="shared" ref="H126" si="51">IF(H$4="","",H125/Market_Price)</f>
        <v>5.0119720566751971E-2</v>
      </c>
      <c r="I126" s="77">
        <f t="shared" ref="I126" si="52">IF(I$4="","",I125/Market_Price)</f>
        <v>6.5826341673688768E-2</v>
      </c>
      <c r="J126" s="77">
        <f t="shared" ref="J126" si="53">IF(J$4="","",J125/Market_Price)</f>
        <v>6.0966316043947297E-2</v>
      </c>
      <c r="K126" s="77">
        <f t="shared" ref="K126" si="54">IF(K$4="","",K125/Market_Price)</f>
        <v>5.5483385807563075E-2</v>
      </c>
      <c r="L126" s="77">
        <f t="shared" ref="L126" si="55">IF(L$4="","",L125/Market_Price)</f>
        <v>3.850683125897101E-2</v>
      </c>
      <c r="M126" s="77">
        <f t="shared" ref="M126" si="56">IF(M$4="","",M125/Market_Price)</f>
        <v>2.4659124120993452E-2</v>
      </c>
      <c r="N126" s="77">
        <f t="shared" ref="N126" si="57">IF(N$4="","",N125/Market_Price)</f>
        <v>2.0456429485952162E-2</v>
      </c>
      <c r="O126" s="77">
        <f t="shared" ref="O126" si="58">IF(O$4="","",O125/Market_Price)</f>
        <v>2.4233882140576656E-2</v>
      </c>
      <c r="P126" s="77">
        <f t="shared" ref="P126" si="59">IF(P$4="","",P125/Market_Price)</f>
        <v>2.5397834355342732E-2</v>
      </c>
      <c r="Q126" s="77" t="str">
        <f t="shared" ref="Q126" si="60">IF(Q$4="","",Q125/Market_Price)</f>
        <v/>
      </c>
    </row>
    <row r="127" spans="1:17" ht="15.75" customHeight="1">
      <c r="B127" s="2" t="s">
        <v>391</v>
      </c>
      <c r="C127" s="169"/>
      <c r="G127" s="23">
        <f>IF(G$4="","",(Data!C47*$C$3)/(Market_Price*Common_Shares))</f>
        <v>7.3227730068434208E-2</v>
      </c>
      <c r="H127" s="23">
        <f>IF(H$4="","",(Data!D47*$C$3)/(Market_Price*Common_Shares))</f>
        <v>6.9182956117813041E-2</v>
      </c>
      <c r="I127" s="23">
        <f>IF(I$4="","",(Data!E47*$C$3)/(Market_Price*Common_Shares))</f>
        <v>8.4280382348012037E-2</v>
      </c>
      <c r="J127" s="23">
        <f>IF(J$4="","",(Data!F47*$C$3)/(Market_Price*Common_Shares))</f>
        <v>8.0083973266573377E-2</v>
      </c>
      <c r="K127" s="23">
        <f>IF(K$4="","",(Data!G47*$C$3)/(Market_Price*Common_Shares))</f>
        <v>6.9344553284171773E-2</v>
      </c>
      <c r="L127" s="23">
        <f>IF(L$4="","",(Data!H47*$C$3)/(Market_Price*Common_Shares))</f>
        <v>5.1981876388317742E-2</v>
      </c>
      <c r="M127" s="23">
        <f>IF(M$4="","",(Data!I47*$C$3)/(Market_Price*Common_Shares))</f>
        <v>3.803567688093315E-2</v>
      </c>
      <c r="N127" s="23">
        <f>IF(N$4="","",(Data!J47*$C$3)/(Market_Price*Common_Shares))</f>
        <v>2.7709248146013533E-2</v>
      </c>
      <c r="O127" s="23">
        <f>IF(O$4="","",(Data!K47*$C$3)/(Market_Price*Common_Shares))</f>
        <v>3.092636225029986E-2</v>
      </c>
      <c r="P127" s="23">
        <f>IF(P$4="","",(Data!L47*$C$3)/(Market_Price*Common_Shares))</f>
        <v>3.1453343361387248E-2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669884130.41609263</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11164735506.934877</v>
      </c>
      <c r="D6" t="str">
        <f>Reporting_currency</f>
        <v>CNY</v>
      </c>
      <c r="E6" s="366" t="s">
        <v>248</v>
      </c>
      <c r="F6" s="366"/>
      <c r="H6" s="120"/>
    </row>
    <row r="7" spans="2:8">
      <c r="B7" s="148" t="s">
        <v>223</v>
      </c>
      <c r="C7" s="338">
        <f>BS!G31</f>
        <v>2209595736.0500002</v>
      </c>
      <c r="D7" t="str">
        <f>Reporting_currency</f>
        <v>CNY</v>
      </c>
      <c r="E7" s="366"/>
      <c r="F7" s="366"/>
      <c r="H7" s="120"/>
    </row>
    <row r="8" spans="2:8">
      <c r="B8" s="148" t="s">
        <v>224</v>
      </c>
      <c r="C8" s="338">
        <f>BS!D66</f>
        <v>3530916331.352602</v>
      </c>
      <c r="D8" t="str">
        <f>Reporting_currency</f>
        <v>CNY</v>
      </c>
      <c r="E8" s="366"/>
      <c r="F8" s="366"/>
      <c r="H8" s="120"/>
    </row>
    <row r="9" spans="2:8">
      <c r="B9" s="205" t="s">
        <v>189</v>
      </c>
      <c r="C9" s="348">
        <f>BS!H42</f>
        <v>590585139.73500001</v>
      </c>
      <c r="D9" t="str">
        <f>Reporting_currency</f>
        <v>CNY</v>
      </c>
      <c r="E9" s="366"/>
      <c r="F9" s="366"/>
      <c r="H9" s="120"/>
    </row>
    <row r="10" spans="2:8" ht="13.15">
      <c r="B10" s="149" t="s">
        <v>226</v>
      </c>
      <c r="C10" s="347">
        <f>C6-C7+C8+C9</f>
        <v>13076641241.972479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25.850567581066237</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5.62138395706255E-2</v>
      </c>
      <c r="H16" s="120"/>
    </row>
    <row r="17" spans="2:17" ht="13.35" customHeight="1">
      <c r="B17" s="118" t="s">
        <v>133</v>
      </c>
      <c r="C17" s="162">
        <f>Scenarios!C64</f>
        <v>5</v>
      </c>
      <c r="H17" s="120"/>
    </row>
    <row r="18" spans="2:17" ht="13.35" customHeight="1">
      <c r="B18" s="153" t="s">
        <v>106</v>
      </c>
      <c r="C18" s="140">
        <f>(F52-C7+C8+C9)*Exchange_Rate/Common_Shares*scaling_factor</f>
        <v>27.750110140096613</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707540889.45421088</v>
      </c>
      <c r="D21" s="138">
        <f>IF($C$17&lt;B21,0,DCF!$C$16)</f>
        <v>5.62138395706255E-2</v>
      </c>
      <c r="E21" s="124">
        <f t="shared" ref="E21:E50" si="0">IF($C$17&lt;B21,0,1/(1+Equity_Cost)^B21)</f>
        <v>0.94339622641509424</v>
      </c>
      <c r="F21" s="125">
        <f t="shared" ref="F21:F51" si="1">C21*E21</f>
        <v>667491405.14548194</v>
      </c>
      <c r="H21" s="120"/>
    </row>
    <row r="22" spans="2:17">
      <c r="B22" s="122">
        <v>2</v>
      </c>
      <c r="C22" s="123">
        <f t="shared" ref="C22:C50" si="2">IF(ROW()-ROW($C$21)&lt;$C$17, $C$21*(1+D22)^(ROW()-ROW($C$21)), 0)</f>
        <v>747314479.50364757</v>
      </c>
      <c r="D22" s="138">
        <f>IF($C$17&lt;B22,0,DCF!$C$16)</f>
        <v>5.62138395706255E-2</v>
      </c>
      <c r="E22" s="124">
        <f t="shared" si="0"/>
        <v>0.88999644001423983</v>
      </c>
      <c r="F22" s="125">
        <f t="shared" si="1"/>
        <v>665107226.32934093</v>
      </c>
      <c r="H22" s="120"/>
    </row>
    <row r="23" spans="2:17">
      <c r="B23" s="122">
        <v>3</v>
      </c>
      <c r="C23" s="123">
        <f t="shared" si="2"/>
        <v>789323895.76327121</v>
      </c>
      <c r="D23" s="138">
        <f>IF($C$17&lt;B23,0,DCF!$C$16)</f>
        <v>5.62138395706255E-2</v>
      </c>
      <c r="E23" s="124">
        <f t="shared" si="0"/>
        <v>0.8396192830323016</v>
      </c>
      <c r="F23" s="125">
        <f t="shared" si="1"/>
        <v>662731563.44102097</v>
      </c>
      <c r="G23" s="338"/>
      <c r="H23" s="339"/>
      <c r="I23" s="338"/>
      <c r="J23" s="338"/>
      <c r="K23" s="338"/>
      <c r="L23" s="338"/>
      <c r="M23" s="338"/>
      <c r="N23" s="338"/>
      <c r="O23" s="338"/>
      <c r="P23" s="338"/>
      <c r="Q23" s="338"/>
    </row>
    <row r="24" spans="2:17">
      <c r="B24" s="122">
        <v>4</v>
      </c>
      <c r="C24" s="123">
        <f t="shared" si="2"/>
        <v>833694822.60896885</v>
      </c>
      <c r="D24" s="138">
        <f>IF($C$17&lt;B24,0,DCF!$C$16)</f>
        <v>5.62138395706255E-2</v>
      </c>
      <c r="E24" s="124">
        <f t="shared" si="0"/>
        <v>0.79209366323802044</v>
      </c>
      <c r="F24" s="125">
        <f t="shared" si="1"/>
        <v>660364386.06290972</v>
      </c>
      <c r="G24" s="338"/>
      <c r="H24" s="339"/>
      <c r="I24" s="338"/>
      <c r="J24" s="338"/>
      <c r="K24" s="338"/>
      <c r="L24" s="338"/>
      <c r="M24" s="338"/>
      <c r="N24" s="338"/>
      <c r="O24" s="338"/>
      <c r="P24" s="338"/>
      <c r="Q24" s="338"/>
    </row>
    <row r="25" spans="2:17">
      <c r="B25" s="122">
        <v>5</v>
      </c>
      <c r="C25" s="123">
        <f t="shared" si="2"/>
        <v>880560009.61797059</v>
      </c>
      <c r="D25" s="138">
        <f>IF($C$17&lt;B25,0,DCF!$C$16)</f>
        <v>5.62138395706255E-2</v>
      </c>
      <c r="E25" s="124">
        <f t="shared" si="0"/>
        <v>0.74725817286605689</v>
      </c>
      <c r="F25" s="125">
        <f t="shared" si="1"/>
        <v>658005663.88604224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11792348157.570181</v>
      </c>
      <c r="D51" s="139">
        <f>Terminal_Growth</f>
        <v>0</v>
      </c>
      <c r="E51" s="124">
        <f>1/(1+Equity_Cost)^C17</f>
        <v>0.74725817286605689</v>
      </c>
      <c r="F51" s="125">
        <f t="shared" si="1"/>
        <v>8811928538.0263062</v>
      </c>
      <c r="H51" s="120"/>
    </row>
    <row r="52" spans="1:17">
      <c r="C52" s="114"/>
      <c r="E52" s="127" t="s">
        <v>100</v>
      </c>
      <c r="F52" s="137">
        <f>SUM(F21:F51)</f>
        <v>12125628782.891102</v>
      </c>
      <c r="H52" s="120"/>
    </row>
    <row r="53" spans="1:17">
      <c r="C53" s="114"/>
      <c r="H53" s="120"/>
    </row>
    <row r="54" spans="1:17" ht="13.15">
      <c r="B54" s="119" t="s">
        <v>128</v>
      </c>
      <c r="C54" s="136"/>
      <c r="D54" s="136"/>
      <c r="E54" s="117"/>
      <c r="F54" s="117"/>
      <c r="H54" s="120"/>
    </row>
    <row r="55" spans="1:17" ht="13.15">
      <c r="A55" s="133">
        <f>F52</f>
        <v>12125628782.891102</v>
      </c>
      <c r="B55" s="131">
        <f>C78</f>
        <v>0</v>
      </c>
      <c r="C55" s="131">
        <f>C77</f>
        <v>0.02</v>
      </c>
      <c r="D55" s="131">
        <f>C76</f>
        <v>0.04</v>
      </c>
      <c r="E55" s="131">
        <f>C75</f>
        <v>0.06</v>
      </c>
      <c r="F55" s="131">
        <f>C74</f>
        <v>0.08</v>
      </c>
      <c r="H55" s="120"/>
    </row>
    <row r="56" spans="1:17" ht="13.15">
      <c r="A56" s="143">
        <v>5</v>
      </c>
      <c r="B56" s="123">
        <f t="dataTable" ref="B56:F61" dt2D="1" dtr="1" r1="C16" r2="C17"/>
        <v>11164735506.934874</v>
      </c>
      <c r="C56" s="123">
        <v>11498585981.091312</v>
      </c>
      <c r="D56" s="123">
        <v>11841190823.511272</v>
      </c>
      <c r="E56" s="123">
        <v>12192936898.852106</v>
      </c>
      <c r="F56" s="123">
        <v>12554223104.826691</v>
      </c>
      <c r="H56" s="120"/>
    </row>
    <row r="57" spans="1:17" ht="13.15">
      <c r="A57" s="143">
        <v>10</v>
      </c>
      <c r="B57" s="123">
        <v>11164735506.934872</v>
      </c>
      <c r="C57" s="123">
        <v>11813653303.688793</v>
      </c>
      <c r="D57" s="123">
        <v>12525284186.998447</v>
      </c>
      <c r="E57" s="123">
        <v>13307231096.434795</v>
      </c>
      <c r="F57" s="123">
        <v>14167954144.19693</v>
      </c>
      <c r="H57" s="120"/>
    </row>
    <row r="58" spans="1:17" ht="13.15">
      <c r="A58" s="143">
        <v>15</v>
      </c>
      <c r="B58" s="123">
        <v>11164735506.934868</v>
      </c>
      <c r="C58" s="341">
        <v>12240871940.424587</v>
      </c>
      <c r="D58" s="123">
        <v>13502260044.24229</v>
      </c>
      <c r="E58" s="123">
        <v>14986435238.002663</v>
      </c>
      <c r="F58" s="123">
        <v>16738447922.417589</v>
      </c>
      <c r="G58" s="338"/>
      <c r="H58" s="339"/>
      <c r="I58" s="338"/>
      <c r="J58" s="338"/>
      <c r="K58" s="338"/>
      <c r="L58" s="338"/>
      <c r="M58" s="338"/>
      <c r="N58" s="338"/>
      <c r="O58" s="338"/>
      <c r="P58" s="338"/>
      <c r="Q58" s="338"/>
    </row>
    <row r="59" spans="1:17" ht="13.15">
      <c r="A59" s="144">
        <v>20</v>
      </c>
      <c r="B59" s="123">
        <v>11164735506.934868</v>
      </c>
      <c r="C59" s="341">
        <v>12718341118.614334</v>
      </c>
      <c r="D59" s="123">
        <v>14655780270.875019</v>
      </c>
      <c r="E59" s="123">
        <v>17087772952.146759</v>
      </c>
      <c r="F59" s="123">
        <v>20157578776.126354</v>
      </c>
      <c r="G59" s="338"/>
      <c r="H59" s="339"/>
      <c r="I59" s="338"/>
      <c r="J59" s="338"/>
      <c r="K59" s="338"/>
      <c r="L59" s="338"/>
      <c r="M59" s="338"/>
      <c r="N59" s="338"/>
      <c r="O59" s="338"/>
      <c r="P59" s="338"/>
      <c r="Q59" s="338"/>
    </row>
    <row r="60" spans="1:17" ht="13.15">
      <c r="A60" s="144">
        <v>25</v>
      </c>
      <c r="B60" s="123">
        <v>11164735506.934868</v>
      </c>
      <c r="C60" s="341">
        <v>13205676061.897917</v>
      </c>
      <c r="D60" s="123">
        <v>15902754360.195995</v>
      </c>
      <c r="E60" s="123">
        <v>19504553428.43959</v>
      </c>
      <c r="F60" s="123">
        <v>24357646016.653687</v>
      </c>
      <c r="G60" s="338"/>
      <c r="H60" s="339"/>
      <c r="I60" s="338"/>
      <c r="J60" s="338"/>
      <c r="K60" s="338"/>
      <c r="L60" s="338"/>
      <c r="M60" s="338"/>
      <c r="N60" s="338"/>
      <c r="O60" s="338"/>
      <c r="P60" s="338"/>
      <c r="Q60" s="338"/>
    </row>
    <row r="61" spans="1:17" ht="13.15">
      <c r="A61" s="144">
        <v>30</v>
      </c>
      <c r="B61" s="123">
        <v>11164735506.934868</v>
      </c>
      <c r="C61" s="341">
        <v>13677542754.793108</v>
      </c>
      <c r="D61" s="123">
        <v>17184587137.067047</v>
      </c>
      <c r="E61" s="123">
        <v>22157051086.819511</v>
      </c>
      <c r="F61" s="123">
        <v>29302439936.778774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25.850567581066237</v>
      </c>
      <c r="C65" s="124">
        <f>C12</f>
        <v>25.850567581066237</v>
      </c>
      <c r="D65" s="124">
        <f>C12</f>
        <v>25.850567581066237</v>
      </c>
      <c r="E65" s="141">
        <f>C12</f>
        <v>25.850567581066237</v>
      </c>
      <c r="F65" s="124">
        <f>C12</f>
        <v>25.850567581066237</v>
      </c>
      <c r="H65" s="120"/>
    </row>
    <row r="66" spans="1:8" ht="13.15">
      <c r="A66" s="143">
        <f t="shared" ref="A66:A71" si="3">A56</f>
        <v>5</v>
      </c>
      <c r="B66" s="124">
        <f t="shared" ref="B66:F71" si="4">(B56-$C$7+$C$8+$C$9)/Common_Shares*$C$3*Exchange_Rate</f>
        <v>25.85056758106623</v>
      </c>
      <c r="C66" s="124">
        <f t="shared" si="4"/>
        <v>26.510540129403136</v>
      </c>
      <c r="D66" s="124">
        <f t="shared" si="4"/>
        <v>27.187818756895851</v>
      </c>
      <c r="E66" s="124">
        <f t="shared" si="4"/>
        <v>27.88316823721863</v>
      </c>
      <c r="F66" s="124">
        <f t="shared" si="4"/>
        <v>28.597377131600158</v>
      </c>
      <c r="H66" s="120"/>
    </row>
    <row r="67" spans="1:8" ht="13.15">
      <c r="A67" s="143">
        <f t="shared" si="3"/>
        <v>10</v>
      </c>
      <c r="B67" s="124">
        <f t="shared" si="4"/>
        <v>25.85056758106623</v>
      </c>
      <c r="C67" s="124">
        <f t="shared" si="4"/>
        <v>27.133381191162144</v>
      </c>
      <c r="D67" s="124">
        <f t="shared" si="4"/>
        <v>28.540169211217609</v>
      </c>
      <c r="E67" s="124">
        <f t="shared" si="4"/>
        <v>30.085961517754967</v>
      </c>
      <c r="F67" s="124">
        <f t="shared" si="4"/>
        <v>31.787482489618853</v>
      </c>
      <c r="H67" s="120"/>
    </row>
    <row r="68" spans="1:8" ht="13.15">
      <c r="A68" s="143">
        <f t="shared" si="3"/>
        <v>15</v>
      </c>
      <c r="B68" s="124">
        <f t="shared" si="4"/>
        <v>25.850567581066223</v>
      </c>
      <c r="C68" s="124">
        <f t="shared" si="4"/>
        <v>27.977928658395694</v>
      </c>
      <c r="D68" s="124">
        <f t="shared" si="4"/>
        <v>30.471504632555707</v>
      </c>
      <c r="E68" s="124">
        <f t="shared" si="4"/>
        <v>33.405497424626631</v>
      </c>
      <c r="F68" s="124">
        <f t="shared" si="4"/>
        <v>36.86896495143948</v>
      </c>
      <c r="H68" s="120"/>
    </row>
    <row r="69" spans="1:8" ht="13.15">
      <c r="A69" s="144">
        <f t="shared" si="3"/>
        <v>20</v>
      </c>
      <c r="B69" s="124">
        <f t="shared" si="4"/>
        <v>25.850567581066223</v>
      </c>
      <c r="C69" s="124">
        <f t="shared" si="4"/>
        <v>28.921813944401173</v>
      </c>
      <c r="D69" s="124">
        <f t="shared" si="4"/>
        <v>32.751841916642448</v>
      </c>
      <c r="E69" s="124">
        <f t="shared" si="4"/>
        <v>37.559528386015266</v>
      </c>
      <c r="F69" s="124">
        <f t="shared" si="4"/>
        <v>43.628076222199923</v>
      </c>
      <c r="H69" s="120"/>
    </row>
    <row r="70" spans="1:8" ht="13.15">
      <c r="A70" s="144">
        <f t="shared" si="3"/>
        <v>25</v>
      </c>
      <c r="B70" s="124">
        <f t="shared" si="4"/>
        <v>25.850567581066223</v>
      </c>
      <c r="C70" s="124">
        <f t="shared" si="4"/>
        <v>29.885202375180437</v>
      </c>
      <c r="D70" s="124">
        <f t="shared" si="4"/>
        <v>35.216923535947323</v>
      </c>
      <c r="E70" s="124">
        <f t="shared" si="4"/>
        <v>42.33714259710802</v>
      </c>
      <c r="F70" s="124">
        <f t="shared" si="4"/>
        <v>51.93098214713887</v>
      </c>
    </row>
    <row r="71" spans="1:8" ht="13.15">
      <c r="A71" s="144">
        <f t="shared" si="3"/>
        <v>30</v>
      </c>
      <c r="B71" s="124">
        <f t="shared" si="4"/>
        <v>25.850567581066223</v>
      </c>
      <c r="C71" s="124">
        <f t="shared" si="4"/>
        <v>30.818012384128991</v>
      </c>
      <c r="D71" s="124">
        <f t="shared" si="4"/>
        <v>37.750915576638405</v>
      </c>
      <c r="E71" s="124">
        <f t="shared" si="4"/>
        <v>47.580734488004552</v>
      </c>
      <c r="F71" s="124">
        <f t="shared" si="4"/>
        <v>61.706101540668833</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31.787482489618853</v>
      </c>
      <c r="F74" s="142">
        <f>Scenarios!C58</f>
        <v>0.15</v>
      </c>
    </row>
    <row r="75" spans="1:8">
      <c r="B75" s="127" t="str">
        <f>Scenarios!B36</f>
        <v>Optimistic</v>
      </c>
      <c r="C75" s="142">
        <f>Scenarios!C38</f>
        <v>0.06</v>
      </c>
      <c r="D75" s="145">
        <f>Scenarios!C37</f>
        <v>5</v>
      </c>
      <c r="E75" s="135">
        <f>INDEX(B$65:F$71, MATCH(D75, A$65:A$71, 0), MATCH(C75, B$64:F$64, 0))</f>
        <v>27.88316823721863</v>
      </c>
      <c r="F75" s="142">
        <f>Scenarios!C40*(1-F$74-F$78)</f>
        <v>0.15000000000000002</v>
      </c>
      <c r="H75" s="120"/>
    </row>
    <row r="76" spans="1:8">
      <c r="B76" s="127" t="str">
        <f>Scenarios!B24</f>
        <v>Base</v>
      </c>
      <c r="C76" s="142">
        <f>Scenarios!C26</f>
        <v>0.04</v>
      </c>
      <c r="D76" s="145">
        <f>Scenarios!C25</f>
        <v>5</v>
      </c>
      <c r="E76" s="135">
        <f>INDEX(B$65:F$71, MATCH(D76, A$65:A$71, 0), MATCH(C76, B$64:F$64, 0))</f>
        <v>27.187818756895851</v>
      </c>
      <c r="F76" s="142">
        <f>Scenarios!C28*(1-F$74-F$78)</f>
        <v>0.44999999999999996</v>
      </c>
      <c r="H76" s="120"/>
    </row>
    <row r="77" spans="1:8">
      <c r="B77" s="127" t="str">
        <f>Scenarios!B30</f>
        <v>Pessimistic</v>
      </c>
      <c r="C77" s="142">
        <f>Scenarios!C32</f>
        <v>0.02</v>
      </c>
      <c r="D77" s="145">
        <f>Scenarios!C31</f>
        <v>5</v>
      </c>
      <c r="E77" s="135">
        <f>INDEX(B$65:F$71, MATCH(D77, A$65:A$71, 0), MATCH(C77, B$64:F$64, 0))</f>
        <v>26.510540129403136</v>
      </c>
      <c r="F77" s="142">
        <f>Scenarios!C34*(1-F$74-F$78)</f>
        <v>0.15000000000000002</v>
      </c>
      <c r="H77" s="120"/>
    </row>
    <row r="78" spans="1:8">
      <c r="B78" s="127" t="str">
        <f>Scenarios!B48</f>
        <v>Devil's advocate</v>
      </c>
      <c r="C78" s="142">
        <f>Scenarios!C50</f>
        <v>0</v>
      </c>
      <c r="D78" s="145">
        <f>Scenarios!C49</f>
        <v>10</v>
      </c>
      <c r="E78" s="135">
        <f>INDEX(B$65:F$71, MATCH(D78, A$65:A$71, 0), MATCH(C78, B$64:F$64, 0))</f>
        <v>25.85056758106623</v>
      </c>
      <c r="F78" s="142">
        <f>Scenarios!C52</f>
        <v>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482585757.76800007</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8043095962.8000011</v>
      </c>
      <c r="D6" t="str">
        <f>Reporting_currency</f>
        <v>CNY</v>
      </c>
      <c r="E6" s="366"/>
      <c r="F6" s="366"/>
      <c r="H6" s="120"/>
    </row>
    <row r="7" spans="2:8" ht="13.15">
      <c r="B7" s="149" t="s">
        <v>441</v>
      </c>
      <c r="C7" s="111">
        <f>(C6*scaling_factor)/Common_Shares*Exchange_Rate</f>
        <v>15.900000000000002</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5.62138395706255E-2</v>
      </c>
      <c r="H11" s="120"/>
    </row>
    <row r="12" spans="2:8" ht="13.35" customHeight="1">
      <c r="B12" s="118" t="s">
        <v>133</v>
      </c>
      <c r="C12" s="162">
        <f>Scenarios!C64</f>
        <v>5</v>
      </c>
      <c r="H12" s="120"/>
    </row>
    <row r="13" spans="2:8" ht="13.35" customHeight="1">
      <c r="B13" s="153" t="s">
        <v>106</v>
      </c>
      <c r="C13" s="140">
        <f>F47/Common_Shares*scaling_factor</f>
        <v>17.268433947961782</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509713756.1342392</v>
      </c>
      <c r="D16" s="138">
        <f>IF($C$12&lt;B16,0,DDM!$C$11)</f>
        <v>5.62138395706255E-2</v>
      </c>
      <c r="E16" s="124">
        <f t="shared" ref="E16:E45" si="0">IF($C$12&lt;B16,0,1/(1+Equity_Cost)^B16)</f>
        <v>0.94339622641509424</v>
      </c>
      <c r="F16" s="125">
        <f t="shared" ref="F16:F46" si="1">C16*E16</f>
        <v>480862034.08890486</v>
      </c>
      <c r="H16" s="120"/>
    </row>
    <row r="17" spans="2:8">
      <c r="B17" s="122">
        <v>2</v>
      </c>
      <c r="C17" s="123">
        <f t="shared" ref="C17:C45" si="2">IF(ROW()-ROW($C$16)&lt;$C$12, $C$16*(1+D17)^(ROW()-ROW($C$16)), 0)</f>
        <v>538366723.44851029</v>
      </c>
      <c r="D17" s="138">
        <f>IF($C$12&lt;B17,0,DDM!$C$11)</f>
        <v>5.62138395706255E-2</v>
      </c>
      <c r="E17" s="124">
        <f t="shared" si="0"/>
        <v>0.88999644001423983</v>
      </c>
      <c r="F17" s="125">
        <f t="shared" si="1"/>
        <v>479144467.29130495</v>
      </c>
      <c r="H17" s="120"/>
    </row>
    <row r="18" spans="2:8">
      <c r="B18" s="122">
        <v>3</v>
      </c>
      <c r="C18" s="123">
        <f t="shared" si="2"/>
        <v>568630384.07060814</v>
      </c>
      <c r="D18" s="138">
        <f>IF($C$12&lt;B18,0,DDM!$C$11)</f>
        <v>5.62138395706255E-2</v>
      </c>
      <c r="E18" s="124">
        <f t="shared" si="0"/>
        <v>0.8396192830323016</v>
      </c>
      <c r="F18" s="125">
        <f t="shared" si="1"/>
        <v>477433035.38374633</v>
      </c>
      <c r="H18" s="120"/>
    </row>
    <row r="19" spans="2:8">
      <c r="B19" s="122">
        <v>4</v>
      </c>
      <c r="C19" s="123">
        <f t="shared" si="2"/>
        <v>600595281.25573647</v>
      </c>
      <c r="D19" s="138">
        <f>IF($C$12&lt;B19,0,DDM!$C$11)</f>
        <v>5.62138395706255E-2</v>
      </c>
      <c r="E19" s="124">
        <f t="shared" si="0"/>
        <v>0.79209366323802044</v>
      </c>
      <c r="F19" s="125">
        <f t="shared" si="1"/>
        <v>475727716.45332551</v>
      </c>
      <c r="H19" s="120"/>
    </row>
    <row r="20" spans="2:8">
      <c r="B20" s="122">
        <v>5</v>
      </c>
      <c r="C20" s="123">
        <f t="shared" si="2"/>
        <v>634357048.04312122</v>
      </c>
      <c r="D20" s="138">
        <f>IF($C$12&lt;B20,0,DDM!$C$11)</f>
        <v>5.62138395706255E-2</v>
      </c>
      <c r="E20" s="124">
        <f t="shared" si="0"/>
        <v>0.74725817286605689</v>
      </c>
      <c r="F20" s="125">
        <f t="shared" si="1"/>
        <v>474028488.66540825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8495229268.9039869</v>
      </c>
      <c r="D46" s="139">
        <f>Terminal_Growth</f>
        <v>0</v>
      </c>
      <c r="E46" s="124">
        <f>1/(1+Equity_Cost)^C12</f>
        <v>0.74725817286605689</v>
      </c>
      <c r="F46" s="125">
        <f t="shared" si="1"/>
        <v>6348129501.5594416</v>
      </c>
      <c r="H46" s="120"/>
    </row>
    <row r="47" spans="2:8">
      <c r="C47" s="114"/>
      <c r="E47" s="127" t="s">
        <v>100</v>
      </c>
      <c r="F47" s="137">
        <f>SUM(F16:F46)</f>
        <v>8735325243.442131</v>
      </c>
      <c r="H47" s="120"/>
    </row>
    <row r="48" spans="2:8">
      <c r="C48" s="114"/>
      <c r="H48" s="120"/>
    </row>
    <row r="49" spans="1:8" ht="13.15">
      <c r="B49" s="119" t="s">
        <v>128</v>
      </c>
      <c r="C49" s="136"/>
      <c r="D49" s="136"/>
      <c r="E49" s="117"/>
      <c r="F49" s="117"/>
      <c r="H49" s="120"/>
    </row>
    <row r="50" spans="1:8" ht="13.15">
      <c r="A50" s="133">
        <f>F47</f>
        <v>8735325243.442131</v>
      </c>
      <c r="B50" s="131">
        <f>C73</f>
        <v>0</v>
      </c>
      <c r="C50" s="131">
        <f>C72</f>
        <v>0.02</v>
      </c>
      <c r="D50" s="131">
        <f>C71</f>
        <v>0.04</v>
      </c>
      <c r="E50" s="131">
        <f>C70</f>
        <v>0.06</v>
      </c>
      <c r="F50" s="131">
        <f>C69</f>
        <v>0.08</v>
      </c>
      <c r="H50" s="120"/>
    </row>
    <row r="51" spans="1:8" ht="13.15">
      <c r="A51" s="143">
        <v>5</v>
      </c>
      <c r="B51" s="123">
        <f t="dataTable" ref="B51:F56" dt2D="1" dtr="1" r1="C11" r2="C12"/>
        <v>8043095962.7999983</v>
      </c>
      <c r="C51" s="123">
        <v>8283602457.485754</v>
      </c>
      <c r="D51" s="123">
        <v>8530415615.1456127</v>
      </c>
      <c r="E51" s="123">
        <v>8783814133.7891846</v>
      </c>
      <c r="F51" s="123">
        <v>9044085380.0613937</v>
      </c>
      <c r="H51" s="120"/>
    </row>
    <row r="52" spans="1:8" ht="13.15">
      <c r="A52" s="143">
        <v>10</v>
      </c>
      <c r="B52" s="123">
        <v>8043095962.7999973</v>
      </c>
      <c r="C52" s="123">
        <v>8510577535.2939081</v>
      </c>
      <c r="D52" s="123">
        <v>9023237730.5127239</v>
      </c>
      <c r="E52" s="123">
        <v>9586553720.0858688</v>
      </c>
      <c r="F52" s="123">
        <v>10206620184.378235</v>
      </c>
      <c r="H52" s="120"/>
    </row>
    <row r="53" spans="1:8" ht="13.15">
      <c r="A53" s="143">
        <v>15</v>
      </c>
      <c r="B53" s="123">
        <v>8043095962.7999954</v>
      </c>
      <c r="C53" s="123">
        <v>8818346625.7688465</v>
      </c>
      <c r="D53" s="123">
        <v>9727052932.2494926</v>
      </c>
      <c r="E53" s="123">
        <v>10796255467.464691</v>
      </c>
      <c r="F53" s="123">
        <v>12058408622.820614</v>
      </c>
      <c r="H53" s="120"/>
    </row>
    <row r="54" spans="1:8" ht="13.15">
      <c r="A54" s="144">
        <v>20</v>
      </c>
      <c r="B54" s="123">
        <v>8043095962.7999954</v>
      </c>
      <c r="C54" s="123">
        <v>9162316298.5903816</v>
      </c>
      <c r="D54" s="123">
        <v>10558051021.910906</v>
      </c>
      <c r="E54" s="123">
        <v>12310063015.759386</v>
      </c>
      <c r="F54" s="123">
        <v>14521556768.933723</v>
      </c>
      <c r="H54" s="120"/>
    </row>
    <row r="55" spans="1:8" ht="13.15">
      <c r="A55" s="144">
        <v>25</v>
      </c>
      <c r="B55" s="123">
        <v>8043095962.7999954</v>
      </c>
      <c r="C55" s="123">
        <v>9513393286.7036152</v>
      </c>
      <c r="D55" s="123">
        <v>11456373445.877329</v>
      </c>
      <c r="E55" s="123">
        <v>14051116109.204435</v>
      </c>
      <c r="F55" s="123">
        <v>17547292922.270344</v>
      </c>
      <c r="H55" s="120"/>
    </row>
    <row r="56" spans="1:8" ht="13.15">
      <c r="A56" s="144">
        <v>30</v>
      </c>
      <c r="B56" s="123">
        <v>8043095962.7999945</v>
      </c>
      <c r="C56" s="123">
        <v>9853326918.8302059</v>
      </c>
      <c r="D56" s="123">
        <v>12379808132.371458</v>
      </c>
      <c r="E56" s="123">
        <v>15961980293.510492</v>
      </c>
      <c r="F56" s="123">
        <v>21109531543.250881</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15.900000000000002</v>
      </c>
      <c r="C60" s="124">
        <f>C7</f>
        <v>15.900000000000002</v>
      </c>
      <c r="D60" s="124">
        <f>C7</f>
        <v>15.900000000000002</v>
      </c>
      <c r="E60" s="141">
        <f>C7</f>
        <v>15.900000000000002</v>
      </c>
      <c r="F60" s="124">
        <f>C7</f>
        <v>15.900000000000002</v>
      </c>
      <c r="H60" s="120"/>
    </row>
    <row r="61" spans="1:8" ht="13.15">
      <c r="A61" s="143">
        <f t="shared" ref="A61:A66" si="3">A51</f>
        <v>5</v>
      </c>
      <c r="B61" s="124">
        <f t="shared" ref="B61:F66" si="4">B51/Common_Shares*$C$3*Exchange_Rate</f>
        <v>15.899999999999997</v>
      </c>
      <c r="C61" s="124">
        <f t="shared" si="4"/>
        <v>16.375445435835911</v>
      </c>
      <c r="D61" s="124">
        <f t="shared" si="4"/>
        <v>16.86335820287762</v>
      </c>
      <c r="E61" s="124">
        <f t="shared" si="4"/>
        <v>17.364289245484525</v>
      </c>
      <c r="F61" s="124">
        <f t="shared" si="4"/>
        <v>17.878806644613935</v>
      </c>
      <c r="H61" s="120"/>
    </row>
    <row r="62" spans="1:8" ht="13.15">
      <c r="A62" s="143">
        <f t="shared" si="3"/>
        <v>10</v>
      </c>
      <c r="B62" s="124">
        <f t="shared" si="4"/>
        <v>15.899999999999995</v>
      </c>
      <c r="C62" s="124">
        <f t="shared" si="4"/>
        <v>16.824141280550574</v>
      </c>
      <c r="D62" s="124">
        <f t="shared" si="4"/>
        <v>17.837593953710215</v>
      </c>
      <c r="E62" s="124">
        <f t="shared" si="4"/>
        <v>18.9511855701274</v>
      </c>
      <c r="F62" s="124">
        <f t="shared" si="4"/>
        <v>20.176964403035473</v>
      </c>
      <c r="H62" s="120"/>
    </row>
    <row r="63" spans="1:8" ht="13.15">
      <c r="A63" s="143">
        <f t="shared" si="3"/>
        <v>15</v>
      </c>
      <c r="B63" s="124">
        <f t="shared" si="4"/>
        <v>15.899999999999991</v>
      </c>
      <c r="C63" s="124">
        <f t="shared" si="4"/>
        <v>17.432554826924321</v>
      </c>
      <c r="D63" s="124">
        <f t="shared" si="4"/>
        <v>19.228931538064842</v>
      </c>
      <c r="E63" s="124">
        <f t="shared" si="4"/>
        <v>21.342585333636794</v>
      </c>
      <c r="F63" s="124">
        <f t="shared" si="4"/>
        <v>23.837673700476685</v>
      </c>
      <c r="H63" s="120"/>
    </row>
    <row r="64" spans="1:8" ht="13.15">
      <c r="A64" s="144">
        <f t="shared" si="3"/>
        <v>20</v>
      </c>
      <c r="B64" s="124">
        <f t="shared" si="4"/>
        <v>15.899999999999991</v>
      </c>
      <c r="C64" s="124">
        <f t="shared" si="4"/>
        <v>18.112531520371416</v>
      </c>
      <c r="D64" s="124">
        <f t="shared" si="4"/>
        <v>20.871690705271988</v>
      </c>
      <c r="E64" s="124">
        <f t="shared" si="4"/>
        <v>24.335156866938064</v>
      </c>
      <c r="F64" s="124">
        <f t="shared" si="4"/>
        <v>28.706949872778434</v>
      </c>
      <c r="H64" s="120"/>
    </row>
    <row r="65" spans="1:8" ht="13.15">
      <c r="A65" s="144">
        <f t="shared" si="3"/>
        <v>25</v>
      </c>
      <c r="B65" s="124">
        <f t="shared" si="4"/>
        <v>15.899999999999991</v>
      </c>
      <c r="C65" s="124">
        <f t="shared" si="4"/>
        <v>18.806558315130324</v>
      </c>
      <c r="D65" s="124">
        <f t="shared" si="4"/>
        <v>22.647540030846084</v>
      </c>
      <c r="E65" s="124">
        <f t="shared" si="4"/>
        <v>27.776958918512648</v>
      </c>
      <c r="F65" s="124">
        <f t="shared" si="4"/>
        <v>34.688378549069434</v>
      </c>
    </row>
    <row r="66" spans="1:8" ht="13.15">
      <c r="A66" s="144">
        <f t="shared" si="3"/>
        <v>30</v>
      </c>
      <c r="B66" s="124">
        <f t="shared" si="4"/>
        <v>15.89999999999999</v>
      </c>
      <c r="C66" s="124">
        <f t="shared" si="4"/>
        <v>19.478556358646294</v>
      </c>
      <c r="D66" s="124">
        <f t="shared" si="4"/>
        <v>24.473032550538125</v>
      </c>
      <c r="E66" s="124">
        <f t="shared" si="4"/>
        <v>31.554452146367822</v>
      </c>
      <c r="F66" s="124">
        <f t="shared" si="4"/>
        <v>41.730392511796403</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20.176964403035473</v>
      </c>
      <c r="F69" s="142">
        <f>Scenarios!C58</f>
        <v>0.15</v>
      </c>
    </row>
    <row r="70" spans="1:8">
      <c r="B70" s="127" t="str">
        <f>Scenarios!B36</f>
        <v>Optimistic</v>
      </c>
      <c r="C70" s="142">
        <f>Scenarios!C38</f>
        <v>0.06</v>
      </c>
      <c r="D70" s="145">
        <f>Scenarios!C37</f>
        <v>5</v>
      </c>
      <c r="E70" s="135">
        <f>INDEX(B$60:F$66, MATCH(D70, A$60:A$66, 0), MATCH(C70, B$59:F$59, 0))</f>
        <v>17.364289245484525</v>
      </c>
      <c r="F70" s="142">
        <f>Scenarios!C40*(1-F$69-F$73)</f>
        <v>0.15000000000000002</v>
      </c>
      <c r="H70" s="120"/>
    </row>
    <row r="71" spans="1:8">
      <c r="B71" s="127" t="str">
        <f>Scenarios!B24</f>
        <v>Base</v>
      </c>
      <c r="C71" s="142">
        <f>Scenarios!C26</f>
        <v>0.04</v>
      </c>
      <c r="D71" s="145">
        <f>Scenarios!C25</f>
        <v>5</v>
      </c>
      <c r="E71" s="135">
        <f>INDEX(B$60:F$66, MATCH(D71, A$60:A$66, 0), MATCH(C71, B$59:F$59, 0))</f>
        <v>16.86335820287762</v>
      </c>
      <c r="F71" s="142">
        <f>Scenarios!C28*(1-F$69-F$73)</f>
        <v>0.44999999999999996</v>
      </c>
      <c r="H71" s="120"/>
    </row>
    <row r="72" spans="1:8">
      <c r="B72" s="127" t="str">
        <f>Scenarios!B30</f>
        <v>Pessimistic</v>
      </c>
      <c r="C72" s="142">
        <f>Scenarios!C32</f>
        <v>0.02</v>
      </c>
      <c r="D72" s="145">
        <f>Scenarios!C31</f>
        <v>5</v>
      </c>
      <c r="E72" s="135">
        <f>INDEX(B$60:F$66, MATCH(D72, A$60:A$66, 0), MATCH(C72, B$59:F$59, 0))</f>
        <v>16.375445435835911</v>
      </c>
      <c r="F72" s="142">
        <f>Scenarios!C34*(1-F$69-F$73)</f>
        <v>0.15000000000000002</v>
      </c>
      <c r="H72" s="120"/>
    </row>
    <row r="73" spans="1:8">
      <c r="B73" s="127" t="str">
        <f>Scenarios!B48</f>
        <v>Devil's advocate</v>
      </c>
      <c r="C73" s="142">
        <f>Scenarios!C50</f>
        <v>0</v>
      </c>
      <c r="D73" s="145">
        <f>Scenarios!C49</f>
        <v>10</v>
      </c>
      <c r="E73" s="135">
        <f>INDEX(B$60:F$66, MATCH(D73, A$60:A$66, 0), MATCH(C73, B$59:F$59, 0))</f>
        <v>15.899999999999995</v>
      </c>
      <c r="F73" s="142">
        <f>Scenarios!C52</f>
        <v>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-22.95</v>
      </c>
    </row>
    <row r="4" spans="2:9">
      <c r="B4" s="152" t="s">
        <v>145</v>
      </c>
      <c r="C4" s="120">
        <v>3</v>
      </c>
      <c r="D4" s="120"/>
      <c r="E4" s="155" t="s">
        <v>149</v>
      </c>
      <c r="F4" s="155"/>
      <c r="H4" s="247">
        <v>1</v>
      </c>
      <c r="I4" s="124">
        <f t="shared" ref="I4:I13" si="0">IF(ROW()-3 &lt; $C$76, $C$77, IF(ROW()-3 = $C$76, $C$77 + $C$60, ""))</f>
        <v>0.95400000000000007</v>
      </c>
    </row>
    <row r="5" spans="2:9">
      <c r="H5" s="247">
        <v>2</v>
      </c>
      <c r="I5" s="124">
        <f t="shared" si="0"/>
        <v>0.95400000000000007</v>
      </c>
    </row>
    <row r="6" spans="2:9" ht="13.15">
      <c r="B6" s="159" t="s">
        <v>95</v>
      </c>
      <c r="C6" s="107">
        <f>DCF!C3</f>
        <v>1</v>
      </c>
      <c r="E6" s="100" t="s">
        <v>278</v>
      </c>
      <c r="F6" s="100"/>
      <c r="H6" s="247">
        <v>3</v>
      </c>
      <c r="I6" s="124">
        <f t="shared" si="0"/>
        <v>28.700753827145846</v>
      </c>
    </row>
    <row r="7" spans="2:9" ht="12.75" customHeight="1">
      <c r="B7" s="100" t="s">
        <v>274</v>
      </c>
      <c r="C7" s="338">
        <f>Normalized_FCF!G8</f>
        <v>889986026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68"/>
      <c r="H7" s="247">
        <v>4</v>
      </c>
      <c r="I7" s="124" t="str">
        <f t="shared" si="0"/>
        <v/>
      </c>
    </row>
    <row r="8" spans="2:9">
      <c r="B8" s="100" t="s">
        <v>66</v>
      </c>
      <c r="C8" s="338">
        <f>Normalized_FCF!G19</f>
        <v>632397776.92850411</v>
      </c>
      <c r="D8" t="str">
        <f>Reporting_currency</f>
        <v>CNY</v>
      </c>
      <c r="E8" s="368"/>
      <c r="F8" s="368"/>
      <c r="H8" s="247">
        <v>5</v>
      </c>
      <c r="I8" s="124" t="str">
        <f t="shared" si="0"/>
        <v/>
      </c>
    </row>
    <row r="9" spans="2:9">
      <c r="B9" s="100" t="s">
        <v>57</v>
      </c>
      <c r="C9" s="338">
        <f>Normalized_FCF!C19</f>
        <v>669884130.41609263</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6.0153753070249838E-2</v>
      </c>
      <c r="D12" s="158"/>
      <c r="E12" s="368"/>
      <c r="F12" s="368"/>
      <c r="H12" s="247">
        <v>9</v>
      </c>
      <c r="I12" s="124" t="str">
        <f t="shared" si="0"/>
        <v/>
      </c>
    </row>
    <row r="13" spans="2:9">
      <c r="B13" s="148" t="s">
        <v>151</v>
      </c>
      <c r="C13" s="158">
        <f ca="1">(Normalized_FCF!G8/OFFSET(Normalized_FCF!G8, 0, $C$4))^(1/$C$4) - 1</f>
        <v>-1.9591718766888921E-2</v>
      </c>
      <c r="E13" s="368"/>
      <c r="F13" s="368"/>
      <c r="H13" s="247">
        <v>10</v>
      </c>
      <c r="I13" s="124" t="str">
        <f t="shared" si="0"/>
        <v/>
      </c>
    </row>
    <row r="14" spans="2:9">
      <c r="B14" s="100" t="s">
        <v>66</v>
      </c>
      <c r="C14" s="158">
        <f ca="1">(Normalized_FCF!G19/OFFSET(Normalized_FCF!G19, 0, $C$4))^(1/$C$4) - 1</f>
        <v>-3.6842771130545571E-2</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22.95</v>
      </c>
      <c r="D21" t="str">
        <f>Market_currency</f>
        <v>CNY</v>
      </c>
      <c r="E21" s="369"/>
      <c r="F21" s="369"/>
    </row>
    <row r="22" spans="2:6">
      <c r="B22" s="100" t="s">
        <v>277</v>
      </c>
      <c r="C22" s="160">
        <f>IF(valuation_method="DCF",DCF!C12,DDM!C7)</f>
        <v>25.850567581066237</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0.04</v>
      </c>
      <c r="D26" s="164"/>
      <c r="E26" s="367"/>
      <c r="F26" s="367"/>
    </row>
    <row r="27" spans="2:6">
      <c r="B27" s="100" t="s">
        <v>112</v>
      </c>
      <c r="C27" s="160">
        <f>IF(valuation_method="DCF",DCF!E76,DDM!E71)</f>
        <v>27.187818756895851</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0.02</v>
      </c>
      <c r="D32" s="164"/>
      <c r="E32" s="367"/>
      <c r="F32" s="367"/>
    </row>
    <row r="33" spans="2:6">
      <c r="B33" s="100" t="s">
        <v>112</v>
      </c>
      <c r="C33" s="160">
        <f>IF(valuation_method="DCF",DCF!E77,DDM!E72)</f>
        <v>26.510540129403136</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0.06</v>
      </c>
      <c r="D38" s="164"/>
      <c r="E38" s="367"/>
      <c r="F38" s="367"/>
    </row>
    <row r="39" spans="2:6">
      <c r="B39" s="100" t="s">
        <v>112</v>
      </c>
      <c r="C39" s="160">
        <f>IF(valuation_method="DCF",DCF!E75,DDM!E70)</f>
        <v>27.88316823721863</v>
      </c>
      <c r="D39" t="str">
        <f>Market_currency</f>
        <v>CNY</v>
      </c>
      <c r="E39" s="367"/>
      <c r="F39" s="367"/>
    </row>
    <row r="40" spans="2:6">
      <c r="B40" s="100" t="s">
        <v>146</v>
      </c>
      <c r="C40" s="167">
        <f>1-C28-C34</f>
        <v>0.2</v>
      </c>
      <c r="D40" s="165"/>
      <c r="E40" s="367"/>
      <c r="F40" s="367"/>
    </row>
    <row r="42" spans="2:6" ht="13.15">
      <c r="B42" s="100" t="s">
        <v>119</v>
      </c>
      <c r="C42" s="154">
        <f>C27*C28+C33*C34+C39*C40</f>
        <v>27.191432927461861</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25.85056758106623</v>
      </c>
      <c r="D51" t="str">
        <f>Market_currency</f>
        <v>CNY</v>
      </c>
      <c r="E51" s="367"/>
      <c r="F51" s="367"/>
    </row>
    <row r="52" spans="2:6">
      <c r="B52" s="100" t="s">
        <v>146</v>
      </c>
      <c r="C52" s="165">
        <v>0.1</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31.787482489618853</v>
      </c>
      <c r="D57" t="str">
        <f>Market_currency</f>
        <v>CNY</v>
      </c>
      <c r="E57" s="367"/>
      <c r="F57" s="367"/>
    </row>
    <row r="58" spans="2:6">
      <c r="B58" s="100" t="s">
        <v>146</v>
      </c>
      <c r="C58" s="165">
        <v>0.15</v>
      </c>
      <c r="D58" s="165"/>
      <c r="E58" s="367"/>
      <c r="F58" s="367"/>
    </row>
    <row r="60" spans="2:6" ht="13.15">
      <c r="B60" s="100" t="s">
        <v>119</v>
      </c>
      <c r="C60" s="154">
        <f>C51*C52+C57*C58+C42*(1-C52-C58)</f>
        <v>27.746753827145845</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5.62138395706255E-2</v>
      </c>
      <c r="D65" s="151"/>
      <c r="E65" s="251" t="s">
        <v>309</v>
      </c>
    </row>
    <row r="66" spans="2:6">
      <c r="B66" s="100" t="s">
        <v>102</v>
      </c>
      <c r="C66" s="160">
        <f>IF(valuation_method="DCF",DCF!C18,DDM!C13)</f>
        <v>27.750110140096613</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0.13621601437445302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0.95400000000000007</v>
      </c>
      <c r="D77" t="str">
        <f>Market_currency</f>
        <v>CNY</v>
      </c>
    </row>
    <row r="79" spans="2:6" ht="13.15">
      <c r="B79" s="109" t="s">
        <v>300</v>
      </c>
    </row>
    <row r="80" spans="2:6">
      <c r="B80" s="148" t="s">
        <v>298</v>
      </c>
      <c r="C80" s="167">
        <f>Thesis!F29</f>
        <v>0.33699999999999997</v>
      </c>
    </row>
    <row r="81" spans="2:8">
      <c r="B81" s="100" t="s">
        <v>120</v>
      </c>
      <c r="C81" s="116">
        <f>PV(C80, C76, -C77, 0)</f>
        <v>1.6463900252965868</v>
      </c>
      <c r="D81" s="116"/>
      <c r="E81" s="100"/>
      <c r="F81" s="100"/>
    </row>
    <row r="82" spans="2:8">
      <c r="B82" s="100" t="s">
        <v>121</v>
      </c>
      <c r="C82" s="116">
        <f>C60/(1+C80)^C76</f>
        <v>11.609618781212262</v>
      </c>
      <c r="D82" s="116"/>
    </row>
    <row r="83" spans="2:8" ht="13.15">
      <c r="B83" s="110" t="s">
        <v>101</v>
      </c>
      <c r="C83" s="111">
        <f>C81+C82</f>
        <v>13.256008806508849</v>
      </c>
      <c r="D83" t="str">
        <f>Market_currency</f>
        <v>CNY</v>
      </c>
      <c r="E83" s="146" t="s">
        <v>125</v>
      </c>
      <c r="F83" s="291">
        <f>(1-C83/C60)</f>
        <v>0.5222501021528535</v>
      </c>
    </row>
    <row r="84" spans="2:8">
      <c r="E84" s="120"/>
    </row>
    <row r="85" spans="2:8" ht="13.15">
      <c r="B85" s="109" t="s">
        <v>301</v>
      </c>
    </row>
    <row r="86" spans="2:8">
      <c r="B86" s="148" t="s">
        <v>299</v>
      </c>
      <c r="C86" s="116">
        <f>Market_Price</f>
        <v>22.95</v>
      </c>
      <c r="D86" t="str">
        <f>Market_currency</f>
        <v>CNY</v>
      </c>
    </row>
    <row r="87" spans="2:8" ht="13.15">
      <c r="B87" s="100" t="s">
        <v>297</v>
      </c>
      <c r="C87" s="237">
        <f ca="1">IRR(OFFSET($I$3, 0, 0, $C$76 + 1, 1))</f>
        <v>0.10444287078173975</v>
      </c>
    </row>
    <row r="88" spans="2:8">
      <c r="B88" s="100"/>
    </row>
    <row r="89" spans="2:8" ht="13.15">
      <c r="B89" s="109" t="s">
        <v>409</v>
      </c>
    </row>
    <row r="90" spans="2:8">
      <c r="B90" s="148" t="s">
        <v>410</v>
      </c>
      <c r="C90" s="167">
        <f>Thesis!F30</f>
        <v>0.187</v>
      </c>
    </row>
    <row r="91" spans="2:8">
      <c r="B91" s="100" t="s">
        <v>120</v>
      </c>
      <c r="C91" s="116">
        <f>PV(C90, C76, -C77, 0)</f>
        <v>2.0512195966879787</v>
      </c>
      <c r="D91" s="116"/>
      <c r="E91" s="100"/>
      <c r="F91" s="100"/>
    </row>
    <row r="92" spans="2:8">
      <c r="B92" s="100" t="s">
        <v>121</v>
      </c>
      <c r="C92" s="116">
        <f>C60/(1+C90)^C76</f>
        <v>16.59052098499448</v>
      </c>
      <c r="D92" s="116"/>
    </row>
    <row r="93" spans="2:8" ht="13.15">
      <c r="B93" s="110" t="s">
        <v>101</v>
      </c>
      <c r="C93" s="111">
        <f>C91+C92</f>
        <v>18.641740581682459</v>
      </c>
      <c r="D93" t="str">
        <f>Market_currency</f>
        <v>CNY</v>
      </c>
      <c r="E93" s="146" t="s">
        <v>125</v>
      </c>
      <c r="F93" s="291">
        <f>(1-C93/C60)</f>
        <v>0.32814697179298713</v>
      </c>
    </row>
    <row r="95" spans="2:8" ht="13.15">
      <c r="B95" s="109" t="s">
        <v>394</v>
      </c>
      <c r="G95" s="2"/>
      <c r="H95" s="281"/>
    </row>
    <row r="96" spans="2:8">
      <c r="B96" s="148" t="s">
        <v>400</v>
      </c>
      <c r="C96" s="134">
        <f>Thesis!F31</f>
        <v>0.06</v>
      </c>
      <c r="G96" s="2"/>
      <c r="H96" s="281"/>
    </row>
    <row r="97" spans="2:8">
      <c r="B97" s="100" t="s">
        <v>120</v>
      </c>
      <c r="C97" s="116">
        <f>PV(C96, C76, -C77, 0)</f>
        <v>2.5500533997864046</v>
      </c>
      <c r="D97" s="116"/>
      <c r="G97" s="2"/>
      <c r="H97" s="281"/>
    </row>
    <row r="98" spans="2:8">
      <c r="B98" s="100" t="s">
        <v>121</v>
      </c>
      <c r="C98" s="116">
        <f>C60/(1+C96)^C76</f>
        <v>23.296709554821966</v>
      </c>
      <c r="D98" s="116"/>
      <c r="G98" s="2"/>
      <c r="H98" s="281"/>
    </row>
    <row r="99" spans="2:8" ht="13.15">
      <c r="B99" s="110" t="s">
        <v>395</v>
      </c>
      <c r="C99" s="111">
        <f>C97+C98</f>
        <v>25.846762954608369</v>
      </c>
      <c r="D99" t="s">
        <v>393</v>
      </c>
      <c r="E99" s="146" t="s">
        <v>125</v>
      </c>
      <c r="F99" s="291">
        <f>(1-C99/C60)</f>
        <v>6.8476149836260602E-2</v>
      </c>
    </row>
    <row r="100" spans="2:8">
      <c r="B100" s="100"/>
    </row>
    <row r="101" spans="2:8" ht="13.15">
      <c r="B101" s="109" t="s">
        <v>419</v>
      </c>
    </row>
    <row r="102" spans="2:8">
      <c r="B102" s="148" t="s">
        <v>418</v>
      </c>
      <c r="C102" s="134">
        <f>Thesis!F32</f>
        <v>8.6999999999999994E-2</v>
      </c>
    </row>
    <row r="103" spans="2:8">
      <c r="B103" s="100" t="s">
        <v>120</v>
      </c>
      <c r="C103" s="116">
        <f>PV(C102, C76, -C77, 0)</f>
        <v>2.4278251157606801</v>
      </c>
      <c r="D103" s="116"/>
    </row>
    <row r="104" spans="2:8">
      <c r="B104" s="100" t="s">
        <v>121</v>
      </c>
      <c r="C104" s="116">
        <f>C60/(1+C102)^C76</f>
        <v>21.603471723847637</v>
      </c>
      <c r="D104" s="116"/>
    </row>
    <row r="105" spans="2:8" ht="13.15">
      <c r="B105" s="110" t="s">
        <v>395</v>
      </c>
      <c r="C105" s="111">
        <f>C103+C104</f>
        <v>24.031296839608316</v>
      </c>
      <c r="D105" t="s">
        <v>393</v>
      </c>
      <c r="E105" s="146" t="s">
        <v>125</v>
      </c>
      <c r="F105" s="291">
        <f>(1-C105/C66)</f>
        <v>0.13401075821731312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2025-06-19T03:04:06Z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