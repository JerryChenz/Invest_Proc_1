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D456702-5BE0-46C0-A625-E3004947488A}"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I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<sst xmlns="http://schemas.openxmlformats.org/spreadsheetml/2006/main" count="686" uniqueCount="466">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</sst>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505855092</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21.55</v>
      </c>
      <c r="D12" s="50"/>
      <c r="E12" s="48"/>
    </row>
    <row r="13" spans="1:10">
      <c r="B13" s="1" t="s">
        <v>413</v>
      </c>
      <c r="C13" s="48" t="s">
        <v>411</v>
      </c>
      <c r="D13" s="48"/>
      <c r="E13" s="5"/>
    </row>
    <row r="14" spans="1:10">
      <c r="B14" s="4" t="s">
        <v>417</v>
      </c>
      <c r="C14" s="35">
        <f>Thesis!C12*Common_Shares/1000000</f>
        <v>10901.177232600001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27.746753827145845</v>
      </c>
      <c r="D26" s="1" t="s">
        <v>396</v>
      </c>
      <c r="E26" s="301">
        <f ca="1">Scenarios!C87</f>
        <v>0.12877138948591438</v>
      </c>
    </row>
    <row r="27" spans="2:6">
      <c r="D27" s="5"/>
      <c r="E27" s="5"/>
    </row>
    <row r="28" spans="2:6">
      <c r="B28" s="45" t="s">
        <v>430</v>
      </c>
      <c r="C28" s="309" t="str">
        <f>C145&amp;" ("&amp;Market_currency&amp;")"</f>
        <v>002557.SZ (CNY)</v>
      </c>
      <c r="D28" s="309" t="str">
        <f>IF(D11="","",D145&amp;" ("&amp;D13&amp;")")</f>
        <v/>
      </c>
      <c r="E28" s="305" t="s">
        <v>426</v>
      </c>
      <c r="F28" s="303">
        <v>3</v>
      </c>
    </row>
    <row r="29" spans="2:6">
      <c r="B29" s="1" t="s">
        <v>422</v>
      </c>
      <c r="C29" s="310">
        <f>C149</f>
        <v>13.256008806508849</v>
      </c>
      <c r="D29" s="310" t="str">
        <f>D149</f>
        <v/>
      </c>
      <c r="E29" s="306" t="s">
        <v>421</v>
      </c>
      <c r="F29" s="302">
        <v>0.33699999999999997</v>
      </c>
    </row>
    <row r="30" spans="2:6">
      <c r="B30" s="1" t="s">
        <v>423</v>
      </c>
      <c r="C30" s="311">
        <f>C157</f>
        <v>18.641740581682459</v>
      </c>
      <c r="D30" s="311" t="str">
        <f>D157</f>
        <v/>
      </c>
      <c r="E30" s="307" t="s">
        <v>434</v>
      </c>
      <c r="F30" s="312">
        <v>0.187</v>
      </c>
    </row>
    <row r="31" spans="2:6">
      <c r="B31" s="1" t="s">
        <v>424</v>
      </c>
      <c r="C31" s="311">
        <f>C165</f>
        <v>25.846762954608369</v>
      </c>
      <c r="D31" s="311" t="str">
        <f>D165</f>
        <v/>
      </c>
      <c r="E31" s="307" t="s">
        <v>433</v>
      </c>
      <c r="F31" s="312">
        <v>0.06</v>
      </c>
    </row>
    <row r="32" spans="2:6">
      <c r="B32" s="1" t="s">
        <v>425</v>
      </c>
      <c r="C32" s="311">
        <f>C173</f>
        <v>24.031296839608316</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923979255.39561176</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32042840.928504106</v>
      </c>
      <c r="D51" s="1" t="str">
        <f>Reporting_currency</f>
        <v>CNY</v>
      </c>
      <c r="E51" s="286"/>
      <c r="F51" s="286"/>
    </row>
    <row r="52" spans="2:6">
      <c r="B52" s="47" t="s">
        <v>338</v>
      </c>
      <c r="C52" s="350">
        <f>Normalized_FCF!C47</f>
        <v>-59672121</v>
      </c>
      <c r="D52" s="1" t="str">
        <f>Reporting_currency</f>
        <v>CNY</v>
      </c>
      <c r="E52" s="286"/>
      <c r="F52" s="286"/>
    </row>
    <row r="53" spans="2:6">
      <c r="B53" s="47" t="s">
        <v>237</v>
      </c>
      <c r="C53" s="349">
        <f>Normalized_FCF!C12</f>
        <v>-27629280.071495894</v>
      </c>
      <c r="D53" s="1" t="str">
        <f>Reporting_currency</f>
        <v>CNY</v>
      </c>
    </row>
    <row r="55" spans="2:6">
      <c r="B55" s="1" t="s">
        <v>245</v>
      </c>
    </row>
    <row r="56" spans="2:6">
      <c r="B56" s="47" t="s">
        <v>264</v>
      </c>
      <c r="C56" s="349">
        <f>Normalized_FCF!C15</f>
        <v>-2378351.0769942678</v>
      </c>
      <c r="D56" s="1" t="str">
        <f>Reporting_currency</f>
        <v>CNY</v>
      </c>
    </row>
    <row r="58" spans="2:6">
      <c r="B58" s="359" t="s">
        <v>240</v>
      </c>
      <c r="C58" s="359"/>
      <c r="D58" s="359"/>
      <c r="E58" s="359"/>
      <c r="F58" s="359"/>
    </row>
    <row r="59" spans="2:6">
      <c r="B59" s="47" t="s">
        <v>238</v>
      </c>
      <c r="C59" s="349">
        <f>Normalized_FCF!C14</f>
        <v>-224087493.83102897</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632397776.92850411</v>
      </c>
      <c r="D67" s="1" t="str">
        <f>Reporting_currency</f>
        <v>CNY</v>
      </c>
    </row>
    <row r="68" spans="1:6">
      <c r="B68" s="47" t="s">
        <v>247</v>
      </c>
      <c r="C68" s="349">
        <f>Normalized_FCF!C19</f>
        <v>669884130.41609263</v>
      </c>
      <c r="D68" s="1" t="str">
        <f>Reporting_currency</f>
        <v>CNY</v>
      </c>
    </row>
    <row r="69" spans="1:6">
      <c r="B69" s="227" t="s">
        <v>387</v>
      </c>
      <c r="C69" s="92">
        <f>Normalized_FCF!C126</f>
        <v>6.145062282014848E-2</v>
      </c>
      <c r="F69" s="314"/>
    </row>
    <row r="70" spans="1:6">
      <c r="B70" s="227" t="s">
        <v>454</v>
      </c>
      <c r="C70" s="92">
        <f>Normalized_FCF!C94</f>
        <v>4.4269141531322505E-2</v>
      </c>
      <c r="E70" s="47" t="s">
        <v>445</v>
      </c>
      <c r="F70" s="315">
        <f>Normalized_FCF!C92</f>
        <v>0.80044648495694337</v>
      </c>
    </row>
    <row r="72" spans="1:6">
      <c r="B72" s="210" t="s">
        <v>447</v>
      </c>
      <c r="C72" s="323" t="s">
        <v>449</v>
      </c>
      <c r="D72" s="323" t="s">
        <v>450</v>
      </c>
    </row>
    <row r="73" spans="1:6">
      <c r="B73" s="47" t="s">
        <v>448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22.071015362903331</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2209595736.0500002</v>
      </c>
      <c r="D102" s="1" t="str">
        <f>Reporting_currency</f>
        <v>CNY</v>
      </c>
    </row>
    <row r="103" spans="2:6">
      <c r="B103" s="47" t="s">
        <v>280</v>
      </c>
      <c r="C103" s="223">
        <f>C102*scaling_factor*Exchange_Rate/Common_Shares</f>
        <v>4.3680409093321932</v>
      </c>
      <c r="D103" s="1" t="str">
        <f>Market_currency</f>
        <v>CNY</v>
      </c>
    </row>
    <row r="104" spans="2:6">
      <c r="B104" s="296" t="s">
        <v>401</v>
      </c>
      <c r="C104" s="325">
        <f>IF(BS!G31/BS!G27&gt;300%,"nm",BS!G31/BS!G27)</f>
        <v>0.3857437197038544</v>
      </c>
    </row>
    <row r="105" spans="2:6">
      <c r="B105" s="296" t="s">
        <v>403</v>
      </c>
      <c r="C105" s="326">
        <f>IF(BS!C50&gt;30,"nm",BS!C50)</f>
        <v>2.3913910654887354</v>
      </c>
    </row>
    <row r="107" spans="2:6">
      <c r="B107" s="1" t="s">
        <v>253</v>
      </c>
    </row>
    <row r="108" spans="2:6">
      <c r="B108" s="47" t="s">
        <v>263</v>
      </c>
      <c r="C108" s="349">
        <f>BS!C66</f>
        <v>4583178463.29</v>
      </c>
      <c r="D108" s="1" t="str">
        <f>Reporting_currency</f>
        <v>CNY</v>
      </c>
    </row>
    <row r="109" spans="2:6">
      <c r="B109" s="47" t="s">
        <v>265</v>
      </c>
      <c r="C109" s="349">
        <f>DCF!C8</f>
        <v>3530916331.352602</v>
      </c>
      <c r="D109" s="1" t="str">
        <f>Reporting_currency</f>
        <v>CNY</v>
      </c>
    </row>
    <row r="110" spans="2:6">
      <c r="B110" s="47" t="s">
        <v>281</v>
      </c>
      <c r="C110" s="223">
        <f>C109*scaling_factor*Exchange_Rate/Common_Shares</f>
        <v>6.9800944720995357</v>
      </c>
      <c r="D110" s="1" t="str">
        <f>Market_currency</f>
        <v>CNY</v>
      </c>
    </row>
    <row r="112" spans="2:6">
      <c r="B112" s="1" t="s">
        <v>255</v>
      </c>
    </row>
    <row r="113" spans="1:6">
      <c r="B113" s="47" t="s">
        <v>256</v>
      </c>
      <c r="C113" s="349">
        <f>DCF!C9</f>
        <v>590585139.73500001</v>
      </c>
      <c r="D113" s="1" t="str">
        <f>Reporting_currency</f>
        <v>CNY</v>
      </c>
    </row>
    <row r="114" spans="1:6">
      <c r="B114" s="47" t="s">
        <v>282</v>
      </c>
      <c r="C114" s="223">
        <f>C113*scaling_factor*Exchange_Rate/Common_Shares</f>
        <v>1.1674986553955653</v>
      </c>
      <c r="D114" s="1" t="str">
        <f>Market_currency</f>
        <v>CNY</v>
      </c>
    </row>
    <row r="116" spans="1:6" ht="24.6" customHeight="1">
      <c r="B116" s="358" t="s">
        <v>363</v>
      </c>
      <c r="C116" s="358"/>
      <c r="D116" s="358"/>
      <c r="E116" s="358"/>
      <c r="F116" s="358"/>
    </row>
    <row r="118" spans="1:6">
      <c r="B118" s="47" t="s">
        <v>446</v>
      </c>
      <c r="C118" s="223">
        <f>IF(valuation_method="DCF",DCF!C12,DDM!C7)</f>
        <v>25.850567581066237</v>
      </c>
      <c r="D118" s="1" t="str">
        <f>Market_currency</f>
        <v>CNY</v>
      </c>
    </row>
    <row r="119" spans="1:6">
      <c r="B119" s="296" t="s">
        <v>402</v>
      </c>
      <c r="C119" s="223">
        <f>BS!D47</f>
        <v>3.5427832354191278</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257</v>
      </c>
      <c r="C132" s="217">
        <f>Scenarios!C60</f>
        <v>27.746753827145845</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0.95400000000000007</v>
      </c>
      <c r="D143" s="212" t="str">
        <f>Market_currency</f>
        <v>CNY</v>
      </c>
    </row>
    <row r="145" spans="2:4">
      <c r="B145" s="210" t="s">
        <v>405</v>
      </c>
      <c r="C145" s="241" t="str">
        <f>C11</f>
        <v>002557.SZ</v>
      </c>
      <c r="D145" s="241" t="str">
        <f>IF(D11="","",D11)</f>
        <v/>
      </c>
    </row>
    <row r="146" spans="2:4">
      <c r="B146" s="1" t="s">
        <v>404</v>
      </c>
      <c r="C146" s="297">
        <f>F29</f>
        <v>0.33699999999999997</v>
      </c>
    </row>
    <row r="147" spans="2:4">
      <c r="B147" s="212" t="str">
        <f>"PV("&amp;C141&amp;" yrs of Dividends)"</f>
        <v>PV(3 yrs of Dividends)</v>
      </c>
      <c r="C147" s="216">
        <f>Scenarios!C81</f>
        <v>1.6463900252965868</v>
      </c>
    </row>
    <row r="148" spans="2:4">
      <c r="B148" s="212" t="str">
        <f>"+ PV(Equity Value realized at year "&amp;C141&amp;")"</f>
        <v>+ PV(Equity Value realized at year 3)</v>
      </c>
      <c r="C148" s="216">
        <f>Scenarios!C82</f>
        <v>11.609618781212262</v>
      </c>
    </row>
    <row r="149" spans="2:4">
      <c r="B149" s="80" t="s">
        <v>259</v>
      </c>
      <c r="C149" s="215">
        <f>Scenarios!C83</f>
        <v>13.256008806508849</v>
      </c>
      <c r="D149" s="300" t="str">
        <f>IF($D$11="","",C149*$E$25)</f>
        <v/>
      </c>
    </row>
    <row r="150" spans="2:4">
      <c r="B150" s="259" t="s">
        <v>413</v>
      </c>
      <c r="C150" s="298" t="str">
        <f>Market_currency</f>
        <v>CNY</v>
      </c>
      <c r="D150" s="298" t="str">
        <f>IF($D$11="","",D$13)</f>
        <v/>
      </c>
    </row>
    <row r="151" spans="2:4">
      <c r="B151" s="214" t="s">
        <v>261</v>
      </c>
      <c r="C151" s="92">
        <f>Scenarios!F83</f>
        <v>0.5222501021528535</v>
      </c>
    </row>
    <row r="153" spans="2:4">
      <c r="B153" s="210" t="s">
        <v>408</v>
      </c>
    </row>
    <row r="154" spans="2:4">
      <c r="B154" s="1" t="s">
        <v>407</v>
      </c>
      <c r="C154" s="297">
        <f>Scenarios!C90</f>
        <v>0.187</v>
      </c>
    </row>
    <row r="155" spans="2:4">
      <c r="B155" s="212" t="str">
        <f>"PV("&amp;C141&amp;" yrs of Dividends)"</f>
        <v>PV(3 yrs of Dividends)</v>
      </c>
      <c r="C155" s="216">
        <f>Scenarios!C91</f>
        <v>2.0512195966879787</v>
      </c>
    </row>
    <row r="156" spans="2:4">
      <c r="B156" s="212" t="str">
        <f>"+ PV(Equity Value realized at year "&amp;C141&amp;")"</f>
        <v>+ PV(Equity Value realized at year 3)</v>
      </c>
      <c r="C156" s="216">
        <f>Scenarios!C92</f>
        <v>16.59052098499448</v>
      </c>
    </row>
    <row r="157" spans="2:4">
      <c r="B157" s="80" t="s">
        <v>259</v>
      </c>
      <c r="C157" s="215">
        <f>Scenarios!C93</f>
        <v>18.641740581682459</v>
      </c>
      <c r="D157" s="300" t="str">
        <f>IF($D$11="","",C157*$E$25)</f>
        <v/>
      </c>
    </row>
    <row r="158" spans="2:4">
      <c r="B158" s="259" t="s">
        <v>413</v>
      </c>
      <c r="C158" s="298" t="str">
        <f>Market_currency</f>
        <v>CNY</v>
      </c>
      <c r="D158" s="298" t="str">
        <f>IF($D$11="","",D$13)</f>
        <v/>
      </c>
    </row>
    <row r="159" spans="2:4">
      <c r="B159" s="214" t="s">
        <v>261</v>
      </c>
      <c r="C159" s="92">
        <f>Scenarios!F93</f>
        <v>0.32814697179298713</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23.296709554821966</v>
      </c>
    </row>
    <row r="165" spans="2:4">
      <c r="B165" s="80" t="s">
        <v>398</v>
      </c>
      <c r="C165" s="215">
        <f>Scenarios!C99</f>
        <v>25.846762954608369</v>
      </c>
      <c r="D165" s="300" t="str">
        <f>IF($D$11="","",C165*$E$25)</f>
        <v/>
      </c>
    </row>
    <row r="166" spans="2:4">
      <c r="B166" s="259" t="s">
        <v>413</v>
      </c>
      <c r="C166" s="298" t="str">
        <f>Market_currency</f>
        <v>CNY</v>
      </c>
      <c r="D166" s="298" t="str">
        <f>IF($D$11="","",D$13)</f>
        <v/>
      </c>
    </row>
    <row r="167" spans="2:4">
      <c r="B167" s="214" t="s">
        <v>261</v>
      </c>
      <c r="C167" s="92">
        <f>Scenarios!F99</f>
        <v>6.8476149836260602E-2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21.603471723847637</v>
      </c>
    </row>
    <row r="173" spans="2:4">
      <c r="B173" s="80" t="s">
        <v>398</v>
      </c>
      <c r="C173" s="215">
        <f>Scenarios!C105</f>
        <v>24.031296839608316</v>
      </c>
      <c r="D173" s="300" t="str">
        <f>IF($D$11="","",C173*$E$25)</f>
        <v/>
      </c>
    </row>
    <row r="174" spans="2:4">
      <c r="B174" s="259" t="s">
        <v>413</v>
      </c>
      <c r="C174" s="298" t="str">
        <f>Market_currency</f>
        <v>CNY</v>
      </c>
      <c r="D174" s="298" t="str">
        <f>IF($D$11="","",D$13)</f>
        <v/>
      </c>
    </row>
    <row r="175" spans="2:4">
      <c r="B175" s="214" t="s">
        <v>261</v>
      </c>
      <c r="C175" s="92">
        <f>Scenarios!F105</f>
        <v>0.13401075821731312</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370</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369</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171</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151</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167</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167</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176</v>
      </c>
      <c r="G6" s="19">
        <v>0</v>
      </c>
      <c r="H6" s="261">
        <v>0.6</v>
      </c>
    </row>
    <row r="7" spans="2:8" ht="15" customHeight="1">
      <c r="B7" s="1" t="s">
        <v>69</v>
      </c>
      <c r="C7" s="19">
        <v>0</v>
      </c>
      <c r="D7" s="261">
        <v>0.6</v>
      </c>
      <c r="E7" s="25"/>
      <c r="F7" s="4" t="s">
        <v>177</v>
      </c>
      <c r="G7" s="19">
        <v>304944913.81999999</v>
      </c>
      <c r="H7" s="261">
        <v>0.6</v>
      </c>
    </row>
    <row r="8" spans="2:8" ht="15" customHeight="1">
      <c r="B8" s="1" t="s">
        <v>172</v>
      </c>
      <c r="C8" s="19">
        <v>0</v>
      </c>
      <c r="D8" s="261">
        <v>0.6</v>
      </c>
      <c r="E8" s="25"/>
      <c r="F8" s="1" t="s">
        <v>178</v>
      </c>
      <c r="G8" s="19">
        <v>0</v>
      </c>
      <c r="H8" s="261">
        <v>0.6</v>
      </c>
    </row>
    <row r="9" spans="2:8" ht="15" customHeight="1">
      <c r="B9" s="4" t="s">
        <v>25</v>
      </c>
      <c r="C9" s="19">
        <v>63782145.289999999</v>
      </c>
      <c r="D9" s="261">
        <v>0.1</v>
      </c>
      <c r="E9" s="25"/>
      <c r="F9" s="4" t="s">
        <v>179</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218481267.78999999</v>
      </c>
      <c r="D16" s="261">
        <v>0.5</v>
      </c>
      <c r="F16" s="4" t="s">
        <v>176</v>
      </c>
      <c r="G16" s="19">
        <v>0</v>
      </c>
      <c r="H16" s="261">
        <v>0.6</v>
      </c>
    </row>
    <row r="17" spans="2:8" ht="15" customHeight="1">
      <c r="B17" s="1" t="s">
        <v>69</v>
      </c>
      <c r="C17" s="19">
        <v>0</v>
      </c>
      <c r="D17" s="261">
        <v>0.6</v>
      </c>
      <c r="F17" s="4" t="s">
        <v>177</v>
      </c>
      <c r="G17" s="19">
        <v>664145486.29999995</v>
      </c>
      <c r="H17" s="261">
        <v>0.6</v>
      </c>
    </row>
    <row r="18" spans="2:8" ht="15" customHeight="1">
      <c r="B18" s="4" t="s">
        <v>172</v>
      </c>
      <c r="C18" s="19">
        <v>0</v>
      </c>
      <c r="D18" s="261">
        <v>0.6</v>
      </c>
      <c r="F18" s="4" t="s">
        <v>180</v>
      </c>
      <c r="G18" s="19">
        <v>0</v>
      </c>
      <c r="H18" s="261">
        <v>0.1</v>
      </c>
    </row>
    <row r="19" spans="2:8" ht="15" customHeight="1">
      <c r="B19" s="4" t="s">
        <v>26</v>
      </c>
      <c r="C19" s="19">
        <f>1326974361.16+5553565.01</f>
        <v>1332527926.1700001</v>
      </c>
      <c r="D19" s="261">
        <v>0.1</v>
      </c>
      <c r="F19" s="4" t="s">
        <v>181</v>
      </c>
      <c r="G19" s="19">
        <v>91308996.629999995</v>
      </c>
      <c r="H19" s="261">
        <v>0.1</v>
      </c>
    </row>
    <row r="20" spans="2:8" ht="15" customHeight="1">
      <c r="B20" s="4" t="s">
        <v>18</v>
      </c>
      <c r="C20" s="19">
        <v>0</v>
      </c>
      <c r="D20" s="261">
        <v>0.05</v>
      </c>
      <c r="F20" s="4" t="s">
        <v>178</v>
      </c>
      <c r="G20" s="19">
        <v>0</v>
      </c>
      <c r="H20" s="261">
        <v>0.2</v>
      </c>
    </row>
    <row r="21" spans="2:8" ht="15" customHeight="1">
      <c r="B21" s="4" t="s">
        <v>19</v>
      </c>
      <c r="C21" s="19">
        <v>285880529</v>
      </c>
      <c r="D21" s="261">
        <v>0.05</v>
      </c>
      <c r="F21" s="1" t="s">
        <v>179</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199</v>
      </c>
      <c r="C26" s="182" t="s">
        <v>135</v>
      </c>
      <c r="F26" s="184" t="s">
        <v>195</v>
      </c>
      <c r="G26" s="185" t="s">
        <v>135</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243</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202</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4413479009.6400003</v>
      </c>
      <c r="H35" s="200">
        <f>D12+D24</f>
        <v>1407756416.8729999</v>
      </c>
    </row>
    <row r="36" spans="2:8" ht="15" customHeight="1">
      <c r="B36" s="4" t="s">
        <v>13</v>
      </c>
      <c r="C36" s="19">
        <v>0</v>
      </c>
      <c r="F36" s="190" t="s">
        <v>196</v>
      </c>
      <c r="G36" s="191">
        <f>C4+C15</f>
        <v>488915470.69999999</v>
      </c>
      <c r="H36" s="195"/>
    </row>
    <row r="37" spans="2:8" ht="15" customHeight="1">
      <c r="B37" s="4" t="s">
        <v>14</v>
      </c>
      <c r="C37" s="19">
        <v>2885347.22</v>
      </c>
      <c r="F37" s="190" t="s">
        <v>197</v>
      </c>
      <c r="G37" s="191">
        <f>C6</f>
        <v>1545872989.1700001</v>
      </c>
      <c r="H37" s="195"/>
    </row>
    <row r="38" spans="2:8" ht="15" customHeight="1">
      <c r="B38" s="4" t="s">
        <v>15</v>
      </c>
      <c r="C38" s="19">
        <v>0</v>
      </c>
      <c r="F38" s="190" t="s">
        <v>198</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203</v>
      </c>
      <c r="C40" s="81">
        <f>SUM(C36:C39)</f>
        <v>1359592631.5</v>
      </c>
      <c r="F40" s="199" t="s">
        <v>137</v>
      </c>
      <c r="G40" s="193">
        <f>G12+G24</f>
        <v>5643577860.04</v>
      </c>
      <c r="H40" s="200">
        <f>H12+H24</f>
        <v>4715445756.6960001</v>
      </c>
    </row>
    <row r="41" spans="2:8" ht="15" customHeight="1">
      <c r="B41" s="4" t="s">
        <v>17</v>
      </c>
      <c r="C41" s="21">
        <f>C42-C40</f>
        <v>86283945.589999914</v>
      </c>
      <c r="F41" s="190" t="s">
        <v>190</v>
      </c>
      <c r="G41" s="191">
        <f>C70</f>
        <v>4583178463.29</v>
      </c>
      <c r="H41" s="200">
        <f>H40-H42</f>
        <v>4124860616.961</v>
      </c>
    </row>
    <row r="42" spans="2:8" ht="15" customHeight="1">
      <c r="B42" s="83" t="s">
        <v>22</v>
      </c>
      <c r="C42" s="84">
        <v>1445876577.0899999</v>
      </c>
      <c r="F42" s="201" t="s">
        <v>191</v>
      </c>
      <c r="G42" s="202">
        <f>C82</f>
        <v>1060399396.7499999</v>
      </c>
      <c r="H42" s="203">
        <f>D82</f>
        <v>590585139.73500001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175</v>
      </c>
      <c r="C51" s="181"/>
      <c r="D51" s="92">
        <f>G29/G32</f>
        <v>0.56935042824135806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0.20935394807077129</v>
      </c>
      <c r="D54" s="92">
        <f>Normalized_FCF!G8/G35</f>
        <v>0.20165180893713927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273</v>
      </c>
      <c r="C61" s="235" t="s">
        <v>136</v>
      </c>
      <c r="D61" s="197" t="s">
        <v>95</v>
      </c>
      <c r="F61" s="253"/>
    </row>
    <row r="62" spans="2:8" ht="15" customHeight="1">
      <c r="B62" s="1" t="s">
        <v>244</v>
      </c>
      <c r="C62" s="92">
        <f>IF(G28&lt;=0,0,G28/G29)</f>
        <v>3.7631672027541312E-4</v>
      </c>
      <c r="D62" s="92">
        <f>G28/G29</f>
        <v>3.7631672027541312E-4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4583178463.29</v>
      </c>
      <c r="D66" s="76">
        <f>C66-D75</f>
        <v>3530916331.352602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4583178463.29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-564798704.21000004</v>
      </c>
      <c r="D73" s="349">
        <f>(Normalized_FCF!C25+Normalized_FCF!C35-Normalized_FCF!C91)/12</f>
        <v>-526131065.96869904</v>
      </c>
      <c r="F73" s="1" t="s">
        <v>348</v>
      </c>
    </row>
    <row r="74" spans="2:6" ht="15" customHeight="1">
      <c r="B74" s="257" t="s">
        <v>318</v>
      </c>
      <c r="C74" s="258">
        <f>-$C$66/C73</f>
        <v>8.1147113637603354</v>
      </c>
      <c r="D74" s="258">
        <f>-$C$66/D73</f>
        <v>8.7110964543626963</v>
      </c>
      <c r="F74" s="253" t="s">
        <v>316</v>
      </c>
    </row>
    <row r="75" spans="2:6" ht="15" customHeight="1">
      <c r="B75" s="80" t="s">
        <v>317</v>
      </c>
      <c r="C75" s="320"/>
      <c r="D75" s="321">
        <f>MAX(-D73*D76,G5)</f>
        <v>1052262131.9373981</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969090400.11999989</v>
      </c>
      <c r="D79" s="76">
        <f>G7*H7+G17*H17</f>
        <v>581454240.07200003</v>
      </c>
      <c r="F79" s="253"/>
    </row>
    <row r="80" spans="2:6" ht="15" customHeight="1">
      <c r="B80" s="105" t="s">
        <v>181</v>
      </c>
      <c r="C80" s="20">
        <f>G19</f>
        <v>91308996.629999995</v>
      </c>
      <c r="D80" s="76">
        <f>G19*H19</f>
        <v>9130899.6630000006</v>
      </c>
      <c r="F80" s="253"/>
    </row>
    <row r="81" spans="2:8" ht="15" customHeight="1">
      <c r="B81" s="105" t="s">
        <v>179</v>
      </c>
      <c r="C81" s="20">
        <f>G9+G21</f>
        <v>0</v>
      </c>
      <c r="D81" s="76">
        <f>G9*H9+G21*H21</f>
        <v>0</v>
      </c>
      <c r="F81" s="253"/>
    </row>
    <row r="82" spans="2:8" ht="15" customHeight="1">
      <c r="B82" s="80" t="s">
        <v>188</v>
      </c>
      <c r="C82" s="81">
        <f>SUM(C79:C81)</f>
        <v>1060399396.7499999</v>
      </c>
      <c r="D82" s="81">
        <f>SUM(D79:D81)</f>
        <v>590585139.73500001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-2209595736.0500002</v>
      </c>
      <c r="D86" s="223">
        <f>C86*scaling_factor/Common_Shares</f>
        <v>-4.3680409093321932</v>
      </c>
      <c r="E86" s="240" t="str">
        <f>Market_currency</f>
        <v>CNY</v>
      </c>
    </row>
    <row r="87" spans="2:8" ht="15" customHeight="1">
      <c r="B87" s="238" t="s">
        <v>286</v>
      </c>
      <c r="C87" s="76">
        <f>DCF!C8*Exchange_Rate</f>
        <v>3530916331.352602</v>
      </c>
      <c r="D87" s="223">
        <f>C87*scaling_factor/Common_Shares</f>
        <v>6.9800944720995357</v>
      </c>
      <c r="E87" s="240" t="str">
        <f>Market_currency</f>
        <v>CNY</v>
      </c>
    </row>
    <row r="88" spans="2:8" ht="15" customHeight="1">
      <c r="B88" s="239" t="s">
        <v>188</v>
      </c>
      <c r="C88" s="76">
        <f>DCF!C9*Exchange_Rate</f>
        <v>590585139.73500001</v>
      </c>
      <c r="D88" s="223">
        <f>C88*scaling_factor/Common_Shares</f>
        <v>1.1674986553955653</v>
      </c>
      <c r="E88" s="240" t="str">
        <f>Market_currency</f>
        <v>CNY</v>
      </c>
    </row>
    <row r="89" spans="2:8" ht="15" customHeight="1">
      <c r="B89" s="80" t="s">
        <v>290</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151</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163</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242</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153</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0.70994371183399141</v>
      </c>
      <c r="D28" s="26"/>
      <c r="E28" s="266" t="s">
        <v>330</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330</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-301299427</v>
      </c>
      <c r="E33" s="266" t="s">
        <v>330</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330</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342</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339</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3.0451386547102714E-2</v>
      </c>
      <c r="E53" s="265" t="s">
        <v>332</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333</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194</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151</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163</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153</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4.4269141531322505E-2</v>
      </c>
      <c r="E94" s="268"/>
      <c r="G94" s="23">
        <f t="shared" ref="G94:Q94" si="39">IF(G$4="","",(G90*(1-dividend_tax_rate))/Market_Price)</f>
        <v>4.4269141531322505E-2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163</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209</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30</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389</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83</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91</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221</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268</v>
      </c>
      <c r="C126" s="77">
        <f>C19*Exchange_Rate*$C$3/(Market_Price*Common_Shares)</f>
        <v>6.145062282014848E-2</v>
      </c>
      <c r="D126" s="27"/>
      <c r="E126" s="265"/>
      <c r="F126" s="27"/>
      <c r="G126" s="77">
        <f t="shared" ref="G126" si="50">IF(G$4="","",G125/Market_Price)</f>
        <v>5.8011879215881093E-2</v>
      </c>
      <c r="H126" s="77">
        <f t="shared" ref="H126" si="51">IF(H$4="","",H125/Market_Price)</f>
        <v>5.3375758097770662E-2</v>
      </c>
      <c r="I126" s="77">
        <f t="shared" ref="I126" si="52">IF(I$4="","",I125/Market_Price)</f>
        <v>7.0102762942513094E-2</v>
      </c>
      <c r="J126" s="77">
        <f t="shared" ref="J126" si="53">IF(J$4="","",J125/Market_Price)</f>
        <v>6.4927004789261736E-2</v>
      </c>
      <c r="K126" s="77">
        <f t="shared" ref="K126" si="54">IF(K$4="","",K125/Market_Price)</f>
        <v>5.9087874908750462E-2</v>
      </c>
      <c r="L126" s="77">
        <f t="shared" ref="L126" si="55">IF(L$4="","",L125/Market_Price)</f>
        <v>4.1008435145864712E-2</v>
      </c>
      <c r="M126" s="77">
        <f t="shared" ref="M126" si="56">IF(M$4="","",M125/Market_Price)</f>
        <v>2.6261108982682118E-2</v>
      </c>
      <c r="N126" s="77">
        <f t="shared" ref="N126" si="57">IF(N$4="","",N125/Market_Price)</f>
        <v>2.1785385461837684E-2</v>
      </c>
      <c r="O126" s="77">
        <f t="shared" ref="O126" si="58">IF(O$4="","",O125/Market_Price)</f>
        <v>2.5808241073143119E-2</v>
      </c>
      <c r="P126" s="77">
        <f t="shared" ref="P126" si="59">IF(P$4="","",P125/Market_Price)</f>
        <v>2.7047809673091214E-2</v>
      </c>
      <c r="Q126" s="77" t="str">
        <f t="shared" ref="Q126" si="60">IF(Q$4="","",Q125/Market_Price)</f>
        <v/>
      </c>
    </row>
    <row r="127" spans="1:17" ht="15.75" customHeight="1">
      <c r="B127" s="2" t="s">
        <v>391</v>
      </c>
      <c r="C127" s="169"/>
      <c r="G127" s="23">
        <f>IF(G$4="","",(Data!C47*$C$3)/(Market_Price*Common_Shares))</f>
        <v>7.7984983993993742E-2</v>
      </c>
      <c r="H127" s="23">
        <f>IF(H$4="","",(Data!D47*$C$3)/(Market_Price*Common_Shares))</f>
        <v>7.3677440505977229E-2</v>
      </c>
      <c r="I127" s="23">
        <f>IF(I$4="","",(Data!E47*$C$3)/(Market_Price*Common_Shares))</f>
        <v>8.9755674008671738E-2</v>
      </c>
      <c r="J127" s="23">
        <f>IF(J$4="","",(Data!F47*$C$3)/(Market_Price*Common_Shares))</f>
        <v>8.5286644383659349E-2</v>
      </c>
      <c r="K127" s="23">
        <f>IF(K$4="","",(Data!G47*$C$3)/(Market_Price*Common_Shares))</f>
        <v>7.3849535864117966E-2</v>
      </c>
      <c r="L127" s="23">
        <f>IF(L$4="","",(Data!H47*$C$3)/(Market_Price*Common_Shares))</f>
        <v>5.5358889239530952E-2</v>
      </c>
      <c r="M127" s="23">
        <f>IF(M$4="","",(Data!I47*$C$3)/(Market_Price*Common_Shares))</f>
        <v>4.0506672130738546E-2</v>
      </c>
      <c r="N127" s="23">
        <f>IF(N$4="","",(Data!J47*$C$3)/(Market_Price*Common_Shares))</f>
        <v>2.9509384916520214E-2</v>
      </c>
      <c r="O127" s="23">
        <f>IF(O$4="","",(Data!K47*$C$3)/(Market_Price*Common_Shares))</f>
        <v>3.2935499473057156E-2</v>
      </c>
      <c r="P127" s="23">
        <f>IF(P$4="","",(Data!L47*$C$3)/(Market_Price*Common_Shares))</f>
        <v>3.349671601595533E-2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669884130.41609263</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11164735506.934877</v>
      </c>
      <c r="D6" t="str">
        <f>Reporting_currency</f>
        <v>CNY</v>
      </c>
      <c r="E6" s="366" t="s">
        <v>248</v>
      </c>
      <c r="F6" s="366"/>
      <c r="H6" s="120"/>
    </row>
    <row r="7" spans="2:8">
      <c r="B7" s="148" t="s">
        <v>223</v>
      </c>
      <c r="C7" s="338">
        <f>BS!G31</f>
        <v>2209595736.0500002</v>
      </c>
      <c r="D7" t="str">
        <f>Reporting_currency</f>
        <v>CNY</v>
      </c>
      <c r="E7" s="366"/>
      <c r="F7" s="366"/>
      <c r="H7" s="120"/>
    </row>
    <row r="8" spans="2:8">
      <c r="B8" s="148" t="s">
        <v>224</v>
      </c>
      <c r="C8" s="338">
        <f>BS!D66</f>
        <v>3530916331.352602</v>
      </c>
      <c r="D8" t="str">
        <f>Reporting_currency</f>
        <v>CNY</v>
      </c>
      <c r="E8" s="366"/>
      <c r="F8" s="366"/>
      <c r="H8" s="120"/>
    </row>
    <row r="9" spans="2:8">
      <c r="B9" s="205" t="s">
        <v>189</v>
      </c>
      <c r="C9" s="348">
        <f>BS!H42</f>
        <v>590585139.73500001</v>
      </c>
      <c r="D9" t="str">
        <f>Reporting_currency</f>
        <v>CNY</v>
      </c>
      <c r="E9" s="366"/>
      <c r="F9" s="366"/>
      <c r="H9" s="120"/>
    </row>
    <row r="10" spans="2:8" ht="13.15">
      <c r="B10" s="149" t="s">
        <v>226</v>
      </c>
      <c r="C10" s="347">
        <f>C6-C7+C8+C9</f>
        <v>13076641241.972479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5.62138395706255E-2</v>
      </c>
      <c r="H16" s="120"/>
    </row>
    <row r="17" spans="2:17" ht="13.35" customHeight="1">
      <c r="B17" s="118" t="s">
        <v>133</v>
      </c>
      <c r="C17" s="162">
        <f>Scenarios!C64</f>
        <v>5</v>
      </c>
      <c r="H17" s="120"/>
    </row>
    <row r="18" spans="2:17" ht="13.3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128</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482585757.76800007</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8043095962.8000011</v>
      </c>
      <c r="D6" t="str">
        <f>Reporting_currency</f>
        <v>CNY</v>
      </c>
      <c r="E6" s="366"/>
      <c r="F6" s="366"/>
      <c r="H6" s="120"/>
    </row>
    <row r="7" spans="2:8" ht="13.15">
      <c r="B7" s="149" t="s">
        <v>441</v>
      </c>
      <c r="C7" s="111">
        <f>(C6*scaling_factor)/Common_Shares*Exchange_Rate</f>
        <v>15.900000000000002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5.62138395706255E-2</v>
      </c>
      <c r="H11" s="120"/>
    </row>
    <row r="12" spans="2:8" ht="13.35" customHeight="1">
      <c r="B12" s="118" t="s">
        <v>133</v>
      </c>
      <c r="C12" s="162">
        <f>Scenarios!C64</f>
        <v>5</v>
      </c>
      <c r="H12" s="120"/>
    </row>
    <row r="13" spans="2:8" ht="13.35" customHeight="1">
      <c r="B13" s="153" t="s">
        <v>106</v>
      </c>
      <c r="C13" s="140">
        <f>F47/Common_Shares*scaling_factor</f>
        <v>17.268433947961782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509713756.1342392</v>
      </c>
      <c r="D16" s="138">
        <f>IF($C$12&lt;B16,0,DDM!$C$11)</f>
        <v>5.62138395706255E-2</v>
      </c>
      <c r="E16" s="124">
        <f t="shared" ref="E16:E45" si="0">IF($C$12&lt;B16,0,1/(1+Equity_Cost)^B16)</f>
        <v>0.94339622641509424</v>
      </c>
      <c r="F16" s="125">
        <f t="shared" ref="F16:F46" si="1">C16*E16</f>
        <v>480862034.08890486</v>
      </c>
      <c r="H16" s="120"/>
    </row>
    <row r="17" spans="2:8">
      <c r="B17" s="122">
        <v>2</v>
      </c>
      <c r="C17" s="123">
        <f t="shared" ref="C17:C45" si="2">IF(ROW()-ROW($C$16)&lt;$C$12, $C$16*(1+D17)^(ROW()-ROW($C$16)), 0)</f>
        <v>538366723.44851029</v>
      </c>
      <c r="D17" s="138">
        <f>IF($C$12&lt;B17,0,DDM!$C$11)</f>
        <v>5.62138395706255E-2</v>
      </c>
      <c r="E17" s="124">
        <f t="shared" si="0"/>
        <v>0.88999644001423983</v>
      </c>
      <c r="F17" s="125">
        <f t="shared" si="1"/>
        <v>479144467.29130495</v>
      </c>
      <c r="H17" s="120"/>
    </row>
    <row r="18" spans="2:8">
      <c r="B18" s="122">
        <v>3</v>
      </c>
      <c r="C18" s="123">
        <f t="shared" si="2"/>
        <v>568630384.07060814</v>
      </c>
      <c r="D18" s="138">
        <f>IF($C$12&lt;B18,0,DDM!$C$11)</f>
        <v>5.62138395706255E-2</v>
      </c>
      <c r="E18" s="124">
        <f t="shared" si="0"/>
        <v>0.8396192830323016</v>
      </c>
      <c r="F18" s="125">
        <f t="shared" si="1"/>
        <v>477433035.38374633</v>
      </c>
      <c r="H18" s="120"/>
    </row>
    <row r="19" spans="2:8">
      <c r="B19" s="122">
        <v>4</v>
      </c>
      <c r="C19" s="123">
        <f t="shared" si="2"/>
        <v>600595281.25573647</v>
      </c>
      <c r="D19" s="138">
        <f>IF($C$12&lt;B19,0,DDM!$C$11)</f>
        <v>5.62138395706255E-2</v>
      </c>
      <c r="E19" s="124">
        <f t="shared" si="0"/>
        <v>0.79209366323802044</v>
      </c>
      <c r="F19" s="125">
        <f t="shared" si="1"/>
        <v>475727716.45332551</v>
      </c>
      <c r="H19" s="120"/>
    </row>
    <row r="20" spans="2:8">
      <c r="B20" s="122">
        <v>5</v>
      </c>
      <c r="C20" s="123">
        <f t="shared" si="2"/>
        <v>634357048.04312122</v>
      </c>
      <c r="D20" s="138">
        <f>IF($C$12&lt;B20,0,DDM!$C$11)</f>
        <v>5.62138395706255E-2</v>
      </c>
      <c r="E20" s="124">
        <f t="shared" si="0"/>
        <v>0.74725817286605689</v>
      </c>
      <c r="F20" s="125">
        <f t="shared" si="1"/>
        <v>474028488.66540825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8495229268.9039869</v>
      </c>
      <c r="D46" s="139">
        <f>Terminal_Growth</f>
        <v>0</v>
      </c>
      <c r="E46" s="124">
        <f>1/(1+Equity_Cost)^C12</f>
        <v>0.74725817286605689</v>
      </c>
      <c r="F46" s="125">
        <f t="shared" si="1"/>
        <v>6348129501.5594416</v>
      </c>
      <c r="H46" s="120"/>
    </row>
    <row r="47" spans="2:8">
      <c r="C47" s="114"/>
      <c r="E47" s="127" t="s">
        <v>100</v>
      </c>
      <c r="F47" s="137">
        <f>SUM(F16:F46)</f>
        <v>8735325243.442131</v>
      </c>
      <c r="H47" s="120"/>
    </row>
    <row r="48" spans="2:8">
      <c r="C48" s="114"/>
      <c r="H48" s="120"/>
    </row>
    <row r="49" spans="1:8" ht="13.15">
      <c r="B49" s="119" t="s">
        <v>128</v>
      </c>
      <c r="C49" s="136"/>
      <c r="D49" s="136"/>
      <c r="E49" s="117"/>
      <c r="F49" s="117"/>
      <c r="H49" s="120"/>
    </row>
    <row r="50" spans="1:8" ht="13.15">
      <c r="A50" s="133">
        <f>F47</f>
        <v>8735325243.442131</v>
      </c>
      <c r="B50" s="131">
        <f>C73</f>
        <v>0</v>
      </c>
      <c r="C50" s="131">
        <f>C72</f>
        <v>0.02</v>
      </c>
      <c r="D50" s="131">
        <f>C71</f>
        <v>0.04</v>
      </c>
      <c r="E50" s="131">
        <f>C70</f>
        <v>0.06</v>
      </c>
      <c r="F50" s="131">
        <f>C69</f>
        <v>0.08</v>
      </c>
      <c r="H50" s="120"/>
    </row>
    <row r="51" spans="1:8" ht="13.15">
      <c r="A51" s="143">
        <v>5</v>
      </c>
      <c r="B51" s="123">
        <f t="dataTable" ref="B51:F56" dt2D="1" dtr="1" r1="C11" r2="C12"/>
        <v>8043095962.7999983</v>
      </c>
      <c r="C51" s="123">
        <v>8283602457.485754</v>
      </c>
      <c r="D51" s="123">
        <v>8530415615.1456127</v>
      </c>
      <c r="E51" s="123">
        <v>8783814133.7891846</v>
      </c>
      <c r="F51" s="123">
        <v>9044085380.0613937</v>
      </c>
      <c r="H51" s="120"/>
    </row>
    <row r="52" spans="1:8" ht="13.15">
      <c r="A52" s="143">
        <v>10</v>
      </c>
      <c r="B52" s="123">
        <v>8043095962.7999973</v>
      </c>
      <c r="C52" s="123">
        <v>8510577535.2939081</v>
      </c>
      <c r="D52" s="123">
        <v>9023237730.5127239</v>
      </c>
      <c r="E52" s="123">
        <v>9586553720.0858688</v>
      </c>
      <c r="F52" s="123">
        <v>10206620184.378235</v>
      </c>
      <c r="H52" s="120"/>
    </row>
    <row r="53" spans="1:8" ht="13.15">
      <c r="A53" s="143">
        <v>15</v>
      </c>
      <c r="B53" s="123">
        <v>8043095962.7999954</v>
      </c>
      <c r="C53" s="123">
        <v>8818346625.7688465</v>
      </c>
      <c r="D53" s="123">
        <v>9727052932.2494926</v>
      </c>
      <c r="E53" s="123">
        <v>10796255467.464691</v>
      </c>
      <c r="F53" s="123">
        <v>12058408622.820614</v>
      </c>
      <c r="H53" s="120"/>
    </row>
    <row r="54" spans="1:8" ht="13.15">
      <c r="A54" s="144">
        <v>20</v>
      </c>
      <c r="B54" s="123">
        <v>8043095962.7999954</v>
      </c>
      <c r="C54" s="123">
        <v>9162316298.5903816</v>
      </c>
      <c r="D54" s="123">
        <v>10558051021.910906</v>
      </c>
      <c r="E54" s="123">
        <v>12310063015.759386</v>
      </c>
      <c r="F54" s="123">
        <v>14521556768.933723</v>
      </c>
      <c r="H54" s="120"/>
    </row>
    <row r="55" spans="1:8" ht="13.15">
      <c r="A55" s="144">
        <v>25</v>
      </c>
      <c r="B55" s="123">
        <v>8043095962.7999954</v>
      </c>
      <c r="C55" s="123">
        <v>9513393286.7036152</v>
      </c>
      <c r="D55" s="123">
        <v>11456373445.877329</v>
      </c>
      <c r="E55" s="123">
        <v>14051116109.204435</v>
      </c>
      <c r="F55" s="123">
        <v>17547292922.270344</v>
      </c>
      <c r="H55" s="120"/>
    </row>
    <row r="56" spans="1:8" ht="13.15">
      <c r="A56" s="144">
        <v>30</v>
      </c>
      <c r="B56" s="123">
        <v>8043095962.7999945</v>
      </c>
      <c r="C56" s="123">
        <v>9853326918.8302059</v>
      </c>
      <c r="D56" s="123">
        <v>12379808132.371458</v>
      </c>
      <c r="E56" s="123">
        <v>15961980293.510492</v>
      </c>
      <c r="F56" s="123">
        <v>21109531543.250881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15.900000000000002</v>
      </c>
      <c r="C60" s="124">
        <f>C7</f>
        <v>15.900000000000002</v>
      </c>
      <c r="D60" s="124">
        <f>C7</f>
        <v>15.900000000000002</v>
      </c>
      <c r="E60" s="141">
        <f>C7</f>
        <v>15.900000000000002</v>
      </c>
      <c r="F60" s="124">
        <f>C7</f>
        <v>15.900000000000002</v>
      </c>
      <c r="H60" s="120"/>
    </row>
    <row r="61" spans="1:8" ht="13.15">
      <c r="A61" s="143">
        <f t="shared" ref="A61:A66" si="3">A51</f>
        <v>5</v>
      </c>
      <c r="B61" s="124">
        <f t="shared" ref="B61:F66" si="4">B51/Common_Shares*$C$3*Exchange_Rate</f>
        <v>15.899999999999997</v>
      </c>
      <c r="C61" s="124">
        <f t="shared" si="4"/>
        <v>16.375445435835911</v>
      </c>
      <c r="D61" s="124">
        <f t="shared" si="4"/>
        <v>16.86335820287762</v>
      </c>
      <c r="E61" s="124">
        <f t="shared" si="4"/>
        <v>17.364289245484525</v>
      </c>
      <c r="F61" s="124">
        <f t="shared" si="4"/>
        <v>17.878806644613935</v>
      </c>
      <c r="H61" s="120"/>
    </row>
    <row r="62" spans="1:8" ht="13.15">
      <c r="A62" s="143">
        <f t="shared" si="3"/>
        <v>10</v>
      </c>
      <c r="B62" s="124">
        <f t="shared" si="4"/>
        <v>15.899999999999995</v>
      </c>
      <c r="C62" s="124">
        <f t="shared" si="4"/>
        <v>16.824141280550574</v>
      </c>
      <c r="D62" s="124">
        <f t="shared" si="4"/>
        <v>17.837593953710215</v>
      </c>
      <c r="E62" s="124">
        <f t="shared" si="4"/>
        <v>18.9511855701274</v>
      </c>
      <c r="F62" s="124">
        <f t="shared" si="4"/>
        <v>20.176964403035473</v>
      </c>
      <c r="H62" s="120"/>
    </row>
    <row r="63" spans="1:8" ht="13.15">
      <c r="A63" s="143">
        <f t="shared" si="3"/>
        <v>15</v>
      </c>
      <c r="B63" s="124">
        <f t="shared" si="4"/>
        <v>15.899999999999991</v>
      </c>
      <c r="C63" s="124">
        <f t="shared" si="4"/>
        <v>17.432554826924321</v>
      </c>
      <c r="D63" s="124">
        <f t="shared" si="4"/>
        <v>19.228931538064842</v>
      </c>
      <c r="E63" s="124">
        <f t="shared" si="4"/>
        <v>21.342585333636794</v>
      </c>
      <c r="F63" s="124">
        <f t="shared" si="4"/>
        <v>23.837673700476685</v>
      </c>
      <c r="H63" s="120"/>
    </row>
    <row r="64" spans="1:8" ht="13.15">
      <c r="A64" s="144">
        <f t="shared" si="3"/>
        <v>20</v>
      </c>
      <c r="B64" s="124">
        <f t="shared" si="4"/>
        <v>15.899999999999991</v>
      </c>
      <c r="C64" s="124">
        <f t="shared" si="4"/>
        <v>18.112531520371416</v>
      </c>
      <c r="D64" s="124">
        <f t="shared" si="4"/>
        <v>20.871690705271988</v>
      </c>
      <c r="E64" s="124">
        <f t="shared" si="4"/>
        <v>24.335156866938064</v>
      </c>
      <c r="F64" s="124">
        <f t="shared" si="4"/>
        <v>28.706949872778434</v>
      </c>
      <c r="H64" s="120"/>
    </row>
    <row r="65" spans="1:8" ht="13.15">
      <c r="A65" s="144">
        <f t="shared" si="3"/>
        <v>25</v>
      </c>
      <c r="B65" s="124">
        <f t="shared" si="4"/>
        <v>15.899999999999991</v>
      </c>
      <c r="C65" s="124">
        <f t="shared" si="4"/>
        <v>18.806558315130324</v>
      </c>
      <c r="D65" s="124">
        <f t="shared" si="4"/>
        <v>22.647540030846084</v>
      </c>
      <c r="E65" s="124">
        <f t="shared" si="4"/>
        <v>27.776958918512648</v>
      </c>
      <c r="F65" s="124">
        <f t="shared" si="4"/>
        <v>34.688378549069434</v>
      </c>
    </row>
    <row r="66" spans="1:8" ht="13.15">
      <c r="A66" s="144">
        <f t="shared" si="3"/>
        <v>30</v>
      </c>
      <c r="B66" s="124">
        <f t="shared" si="4"/>
        <v>15.89999999999999</v>
      </c>
      <c r="C66" s="124">
        <f t="shared" si="4"/>
        <v>19.478556358646294</v>
      </c>
      <c r="D66" s="124">
        <f t="shared" si="4"/>
        <v>24.473032550538125</v>
      </c>
      <c r="E66" s="124">
        <f t="shared" si="4"/>
        <v>31.554452146367822</v>
      </c>
      <c r="F66" s="124">
        <f t="shared" si="4"/>
        <v>41.730392511796403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20.176964403035473</v>
      </c>
      <c r="F69" s="142">
        <f>Scenarios!C58</f>
        <v>0.15</v>
      </c>
    </row>
    <row r="70" spans="1:8">
      <c r="B70" s="127" t="str">
        <f>Scenarios!B36</f>
        <v>Optimistic</v>
      </c>
      <c r="C70" s="142">
        <f>Scenarios!C38</f>
        <v>0.06</v>
      </c>
      <c r="D70" s="145">
        <f>Scenarios!C37</f>
        <v>5</v>
      </c>
      <c r="E70" s="135">
        <f>INDEX(B$60:F$66, MATCH(D70, A$60:A$66, 0), MATCH(C70, B$59:F$59, 0))</f>
        <v>17.364289245484525</v>
      </c>
      <c r="F70" s="142">
        <f>Scenarios!C40*(1-F$69-F$73)</f>
        <v>0.15000000000000002</v>
      </c>
      <c r="H70" s="120"/>
    </row>
    <row r="71" spans="1:8">
      <c r="B71" s="127" t="str">
        <f>Scenarios!B24</f>
        <v>Base</v>
      </c>
      <c r="C71" s="142">
        <f>Scenarios!C26</f>
        <v>0.04</v>
      </c>
      <c r="D71" s="145">
        <f>Scenarios!C25</f>
        <v>5</v>
      </c>
      <c r="E71" s="135">
        <f>INDEX(B$60:F$66, MATCH(D71, A$60:A$66, 0), MATCH(C71, B$59:F$59, 0))</f>
        <v>16.86335820287762</v>
      </c>
      <c r="F71" s="142">
        <f>Scenarios!C28*(1-F$69-F$73)</f>
        <v>0.44999999999999996</v>
      </c>
      <c r="H71" s="120"/>
    </row>
    <row r="72" spans="1:8">
      <c r="B72" s="127" t="str">
        <f>Scenarios!B30</f>
        <v>Pessimistic</v>
      </c>
      <c r="C72" s="142">
        <f>Scenarios!C32</f>
        <v>0.02</v>
      </c>
      <c r="D72" s="145">
        <f>Scenarios!C31</f>
        <v>5</v>
      </c>
      <c r="E72" s="135">
        <f>INDEX(B$60:F$66, MATCH(D72, A$60:A$66, 0), MATCH(C72, B$59:F$59, 0))</f>
        <v>16.375445435835911</v>
      </c>
      <c r="F72" s="142">
        <f>Scenarios!C34*(1-F$69-F$73)</f>
        <v>0.15000000000000002</v>
      </c>
      <c r="H72" s="120"/>
    </row>
    <row r="73" spans="1:8">
      <c r="B73" s="127" t="str">
        <f>Scenarios!B48</f>
        <v>Devil's advocate</v>
      </c>
      <c r="C73" s="142">
        <f>Scenarios!C50</f>
        <v>0</v>
      </c>
      <c r="D73" s="145">
        <f>Scenarios!C49</f>
        <v>10</v>
      </c>
      <c r="E73" s="135">
        <f>INDEX(B$60:F$66, MATCH(D73, A$60:A$66, 0), MATCH(C73, B$59:F$59, 0))</f>
        <v>15.899999999999995</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-21.55</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28.700753827145846</v>
      </c>
    </row>
    <row r="7" spans="2:9" ht="12.75" customHeight="1">
      <c r="B7" s="100" t="s">
        <v>274</v>
      </c>
      <c r="C7" s="338">
        <f>Normalized_FCF!G8</f>
        <v>889986026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8"/>
      <c r="H7" s="247">
        <v>4</v>
      </c>
      <c r="I7" s="124" t="str">
        <f t="shared" si="0"/>
        <v/>
      </c>
    </row>
    <row r="8" spans="2:9">
      <c r="B8" s="100" t="s">
        <v>66</v>
      </c>
      <c r="C8" s="338">
        <f>Normalized_FCF!G19</f>
        <v>632397776.92850411</v>
      </c>
      <c r="D8" t="str">
        <f>Reporting_currency</f>
        <v>CNY</v>
      </c>
      <c r="E8" s="368"/>
      <c r="F8" s="368"/>
      <c r="H8" s="247">
        <v>5</v>
      </c>
      <c r="I8" s="124" t="str">
        <f t="shared" si="0"/>
        <v/>
      </c>
    </row>
    <row r="9" spans="2:9">
      <c r="B9" s="100" t="s">
        <v>57</v>
      </c>
      <c r="C9" s="338">
        <f>Normalized_FCF!C19</f>
        <v>669884130.41609263</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6.0153753070249838E-2</v>
      </c>
      <c r="D12" s="158"/>
      <c r="E12" s="368"/>
      <c r="F12" s="368"/>
      <c r="H12" s="247">
        <v>9</v>
      </c>
      <c r="I12" s="124" t="str">
        <f t="shared" si="0"/>
        <v/>
      </c>
    </row>
    <row r="13" spans="2:9">
      <c r="B13" s="148" t="s">
        <v>151</v>
      </c>
      <c r="C13" s="158">
        <f ca="1">(Normalized_FCF!G8/OFFSET(Normalized_FCF!G8, 0, $C$4))^(1/$C$4) - 1</f>
        <v>-1.9591718766888921E-2</v>
      </c>
      <c r="E13" s="368"/>
      <c r="F13" s="368"/>
      <c r="H13" s="247">
        <v>10</v>
      </c>
      <c r="I13" s="124" t="str">
        <f t="shared" si="0"/>
        <v/>
      </c>
    </row>
    <row r="14" spans="2:9">
      <c r="B14" s="100" t="s">
        <v>66</v>
      </c>
      <c r="C14" s="158">
        <f ca="1">(Normalized_FCF!G19/OFFSET(Normalized_FCF!G19, 0, $C$4))^(1/$C$4) - 1</f>
        <v>-3.6842771130545571E-2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21.55</v>
      </c>
      <c r="D21" t="str">
        <f>Market_currency</f>
        <v>CNY</v>
      </c>
      <c r="E21" s="369"/>
      <c r="F21" s="369"/>
    </row>
    <row r="22" spans="2:6">
      <c r="B22" s="100" t="s">
        <v>277</v>
      </c>
      <c r="C22" s="160">
        <f>IF(valuation_method="DCF",DCF!C12,DDM!C7)</f>
        <v>25.850567581066237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27.187818756895851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26.510540129403136</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27.88316823721863</v>
      </c>
      <c r="D39" t="str">
        <f>Market_currency</f>
        <v>CNY</v>
      </c>
      <c r="E39" s="367"/>
      <c r="F39" s="367"/>
    </row>
    <row r="40" spans="2:6">
      <c r="B40" s="100" t="s">
        <v>146</v>
      </c>
      <c r="C40" s="167">
        <f>1-C28-C34</f>
        <v>0.2</v>
      </c>
      <c r="D40" s="165"/>
      <c r="E40" s="367"/>
      <c r="F40" s="367"/>
    </row>
    <row r="42" spans="2:6" ht="13.15">
      <c r="B42" s="100" t="s">
        <v>119</v>
      </c>
      <c r="C42" s="154">
        <f>C27*C28+C33*C34+C39*C40</f>
        <v>27.191432927461861</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25.85056758106623</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31.787482489618853</v>
      </c>
      <c r="D57" t="str">
        <f>Market_currency</f>
        <v>CNY</v>
      </c>
      <c r="E57" s="367"/>
      <c r="F57" s="367"/>
    </row>
    <row r="58" spans="2:6">
      <c r="B58" s="100" t="s">
        <v>146</v>
      </c>
      <c r="C58" s="165">
        <v>0.15</v>
      </c>
      <c r="D58" s="165"/>
      <c r="E58" s="367"/>
      <c r="F58" s="367"/>
    </row>
    <row r="60" spans="2:6" ht="13.15">
      <c r="B60" s="100" t="s">
        <v>119</v>
      </c>
      <c r="C60" s="154">
        <f>C51*C52+C57*C58+C42*(1-C52-C58)</f>
        <v>27.746753827145845</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5.62138395706255E-2</v>
      </c>
      <c r="D65" s="151"/>
      <c r="E65" s="251" t="s">
        <v>309</v>
      </c>
    </row>
    <row r="66" spans="2:6">
      <c r="B66" s="100" t="s">
        <v>102</v>
      </c>
      <c r="C66" s="160">
        <f>IF(valuation_method="DCF",DCF!C18,DDM!C13)</f>
        <v>27.750110140096613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0.13621601437445302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0.33699999999999997</v>
      </c>
    </row>
    <row r="81" spans="2:8">
      <c r="B81" s="100" t="s">
        <v>120</v>
      </c>
      <c r="C81" s="116">
        <f>PV(C80, C76, -C77, 0)</f>
        <v>1.6463900252965868</v>
      </c>
      <c r="D81" s="116"/>
      <c r="E81" s="100"/>
      <c r="F81" s="100"/>
    </row>
    <row r="82" spans="2:8">
      <c r="B82" s="100" t="s">
        <v>121</v>
      </c>
      <c r="C82" s="116">
        <f>C60/(1+C80)^C76</f>
        <v>11.609618781212262</v>
      </c>
      <c r="D82" s="116"/>
    </row>
    <row r="83" spans="2:8" ht="13.15">
      <c r="B83" s="110" t="s">
        <v>101</v>
      </c>
      <c r="C83" s="111">
        <f>C81+C82</f>
        <v>13.256008806508849</v>
      </c>
      <c r="D83" t="str">
        <f>Market_currency</f>
        <v>CNY</v>
      </c>
      <c r="E83" s="146" t="s">
        <v>125</v>
      </c>
      <c r="F83" s="291">
        <f>(1-C83/C60)</f>
        <v>0.5222501021528535</v>
      </c>
    </row>
    <row r="84" spans="2:8">
      <c r="E84" s="120"/>
    </row>
    <row r="85" spans="2:8" ht="13.15">
      <c r="B85" s="109" t="s">
        <v>301</v>
      </c>
    </row>
    <row r="86" spans="2:8">
      <c r="B86" s="148" t="s">
        <v>299</v>
      </c>
      <c r="C86" s="116">
        <f>Market_Price</f>
        <v>21.55</v>
      </c>
      <c r="D86" t="str">
        <f>Market_currency</f>
        <v>CNY</v>
      </c>
    </row>
    <row r="87" spans="2:8" ht="13.15">
      <c r="B87" s="100" t="s">
        <v>297</v>
      </c>
      <c r="C87" s="237">
        <f ca="1">IRR(OFFSET($I$3, 0, 0, $C$76 + 1, 1))</f>
        <v>0.12877138948591438</v>
      </c>
    </row>
    <row r="88" spans="2:8">
      <c r="B88" s="100"/>
    </row>
    <row r="89" spans="2:8" ht="13.15">
      <c r="B89" s="109" t="s">
        <v>409</v>
      </c>
    </row>
    <row r="90" spans="2:8">
      <c r="B90" s="148" t="s">
        <v>410</v>
      </c>
      <c r="C90" s="167">
        <f>Thesis!F30</f>
        <v>0.187</v>
      </c>
    </row>
    <row r="91" spans="2:8">
      <c r="B91" s="100" t="s">
        <v>120</v>
      </c>
      <c r="C91" s="116">
        <f>PV(C90, C76, -C77, 0)</f>
        <v>2.0512195966879787</v>
      </c>
      <c r="D91" s="116"/>
      <c r="E91" s="100"/>
      <c r="F91" s="100"/>
    </row>
    <row r="92" spans="2:8">
      <c r="B92" s="100" t="s">
        <v>121</v>
      </c>
      <c r="C92" s="116">
        <f>C60/(1+C90)^C76</f>
        <v>16.59052098499448</v>
      </c>
      <c r="D92" s="116"/>
    </row>
    <row r="93" spans="2:8" ht="13.15">
      <c r="B93" s="110" t="s">
        <v>101</v>
      </c>
      <c r="C93" s="111">
        <f>C91+C92</f>
        <v>18.641740581682459</v>
      </c>
      <c r="D93" t="str">
        <f>Market_currency</f>
        <v>CNY</v>
      </c>
      <c r="E93" s="146" t="s">
        <v>125</v>
      </c>
      <c r="F93" s="291">
        <f>(1-C93/C60)</f>
        <v>0.32814697179298713</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23.296709554821966</v>
      </c>
      <c r="D98" s="116"/>
      <c r="G98" s="2"/>
      <c r="H98" s="281"/>
    </row>
    <row r="99" spans="2:8" ht="13.15">
      <c r="B99" s="110" t="s">
        <v>395</v>
      </c>
      <c r="C99" s="111">
        <f>C97+C98</f>
        <v>25.846762954608369</v>
      </c>
      <c r="D99" t="s">
        <v>393</v>
      </c>
      <c r="E99" s="146" t="s">
        <v>125</v>
      </c>
      <c r="F99" s="291">
        <f>(1-C99/C60)</f>
        <v>6.8476149836260602E-2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21.603471723847637</v>
      </c>
      <c r="D104" s="116"/>
    </row>
    <row r="105" spans="2:8" ht="13.15">
      <c r="B105" s="110" t="s">
        <v>395</v>
      </c>
      <c r="C105" s="111">
        <f>C103+C104</f>
        <v>24.031296839608316</v>
      </c>
      <c r="D105" t="s">
        <v>393</v>
      </c>
      <c r="E105" s="146" t="s">
        <v>125</v>
      </c>
      <c r="F105" s="291">
        <f>(1-C105/C66)</f>
        <v>0.13401075821731312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