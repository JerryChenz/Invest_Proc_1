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9A67BAE-0493-4895-8932-631432A1A67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G4" i="3"/>
  <c r="C6" i="4"/>
  <c r="C13" i="4"/>
  <c r="D13" i="4"/>
  <c r="E13" i="4"/>
  <c r="C25" i="4"/>
  <c r="D25" i="4"/>
  <c r="E25" i="4"/>
  <c r="F25" i="4"/>
  <c r="G25" i="4"/>
  <c r="H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<sst xmlns="http://schemas.openxmlformats.org/spreadsheetml/2006/main" count="768" uniqueCount="558">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</sst>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46113</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3.4</v>
      </c>
      <c r="E8" s="32"/>
    </row>
    <row r="9" spans="1:9">
      <c r="B9" s="4" t="s">
        <v>345</v>
      </c>
      <c r="C9" s="48">
        <v>9065251704</v>
      </c>
    </row>
    <row r="10" spans="1:9">
      <c r="B10" s="4" t="s">
        <v>351</v>
      </c>
      <c r="C10" s="33">
        <f>Thesis!C8*Common_Shares/1000000</f>
        <v>30821.8557936</v>
      </c>
      <c r="D10" s="1" t="s">
        <v>526</v>
      </c>
      <c r="E10" s="303">
        <f>Scenarios!F34</f>
        <v>0.15043399714701342</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1.1454299999999999</v>
      </c>
    </row>
    <row r="17" spans="1:6">
      <c r="B17" s="1" t="s">
        <v>530</v>
      </c>
      <c r="C17" s="456">
        <v>0</v>
      </c>
      <c r="D17" s="4" t="s">
        <v>273</v>
      </c>
      <c r="E17" s="224" t="s">
        <v>557</v>
      </c>
    </row>
    <row r="18" spans="1:6">
      <c r="B18" s="1" t="str">
        <f>"Expected Equity Value ("&amp;C7&amp;") :"</f>
        <v>Expected Equity Value (HKD) :</v>
      </c>
      <c r="C18" s="252">
        <f>C125</f>
        <v>4.336834764952032</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2.4131164155448479</v>
      </c>
      <c r="D22" s="38" t="s">
        <v>405</v>
      </c>
      <c r="E22" s="79">
        <v>0.3</v>
      </c>
    </row>
    <row r="23" spans="1:6">
      <c r="B23" s="1" t="s">
        <v>312</v>
      </c>
      <c r="C23" s="256">
        <f>E141</f>
        <v>3.0190895630509447</v>
      </c>
      <c r="D23" s="38" t="s">
        <v>406</v>
      </c>
      <c r="E23" s="443">
        <v>0.2</v>
      </c>
    </row>
    <row r="24" spans="1:6">
      <c r="B24" s="1" t="s">
        <v>314</v>
      </c>
      <c r="C24" s="256">
        <f>E144</f>
        <v>3.691838826419243</v>
      </c>
      <c r="D24" s="38" t="s">
        <v>407</v>
      </c>
      <c r="E24" s="443">
        <v>0.1174</v>
      </c>
    </row>
    <row r="25" spans="1:6">
      <c r="B25" s="1" t="s">
        <v>313</v>
      </c>
      <c r="C25" s="256">
        <f>E145</f>
        <v>4.1471227163204709</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2821841.2269425951</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-24191</v>
      </c>
      <c r="D41" s="1" t="str">
        <f>Reporting_currency</f>
        <v>CNY</v>
      </c>
    </row>
    <row r="43" spans="2:6">
      <c r="B43" s="463" t="s">
        <v>204</v>
      </c>
      <c r="C43" s="463"/>
      <c r="D43" s="463"/>
      <c r="E43" s="463"/>
      <c r="F43" s="463"/>
    </row>
    <row r="44" spans="2:6">
      <c r="B44" s="44" t="s">
        <v>266</v>
      </c>
      <c r="C44" s="286">
        <f>Normalized_FCF!C46</f>
        <v>17482.721635084607</v>
      </c>
      <c r="D44" s="1" t="str">
        <f>Reporting_currency</f>
        <v>CNY</v>
      </c>
      <c r="E44" s="244"/>
      <c r="F44" s="244"/>
    </row>
    <row r="45" spans="2:6">
      <c r="B45" s="44" t="s">
        <v>267</v>
      </c>
      <c r="C45" s="286">
        <f>Normalized_FCF!C45</f>
        <v>-31767.000000000004</v>
      </c>
      <c r="D45" s="1" t="str">
        <f>Reporting_currency</f>
        <v>CNY</v>
      </c>
      <c r="E45" s="244"/>
      <c r="F45" s="244"/>
    </row>
    <row r="46" spans="2:6">
      <c r="B46" s="44" t="s">
        <v>202</v>
      </c>
      <c r="C46" s="285">
        <f>Normalized_FCF!C10</f>
        <v>-14284.278364915397</v>
      </c>
      <c r="D46" s="1" t="str">
        <f>Reporting_currency</f>
        <v>CNY</v>
      </c>
    </row>
    <row r="48" spans="2:6">
      <c r="B48" s="1" t="s">
        <v>210</v>
      </c>
    </row>
    <row r="49" spans="2:6">
      <c r="B49" s="44" t="s">
        <v>222</v>
      </c>
      <c r="C49" s="285">
        <f>Normalized_FCF!C13</f>
        <v>-154341</v>
      </c>
      <c r="D49" s="1" t="str">
        <f>Reporting_currency</f>
        <v>CNY</v>
      </c>
    </row>
    <row r="51" spans="2:6">
      <c r="B51" s="463" t="s">
        <v>205</v>
      </c>
      <c r="C51" s="463"/>
      <c r="D51" s="463"/>
      <c r="E51" s="463"/>
      <c r="F51" s="463"/>
    </row>
    <row r="52" spans="2:6">
      <c r="B52" s="44" t="s">
        <v>203</v>
      </c>
      <c r="C52" s="285">
        <f>Normalized_FCF!C12</f>
        <v>-695841.48714441992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1336982.9381279261</v>
      </c>
      <c r="D60" s="1" t="str">
        <f>Reporting_currency</f>
        <v>CNY</v>
      </c>
    </row>
    <row r="61" spans="2:6">
      <c r="B61" s="44" t="s">
        <v>212</v>
      </c>
      <c r="C61" s="285">
        <f>Normalized_FCF!C19</f>
        <v>1933183.4614332598</v>
      </c>
      <c r="D61" s="1" t="str">
        <f>Reporting_currency</f>
        <v>CNY</v>
      </c>
    </row>
    <row r="62" spans="2:6">
      <c r="B62" s="204" t="s">
        <v>301</v>
      </c>
      <c r="C62" s="89">
        <f>Normalized_FCF!C124</f>
        <v>7.1842732217613336E-2</v>
      </c>
      <c r="F62" s="257"/>
    </row>
    <row r="63" spans="2:6">
      <c r="B63" s="204" t="s">
        <v>331</v>
      </c>
      <c r="C63" s="89">
        <f>Normalized_FCF!C92</f>
        <v>7.1117647058823522E-2</v>
      </c>
      <c r="E63" s="44" t="s">
        <v>321</v>
      </c>
      <c r="F63" s="258">
        <f>Normalized_FCF!C90</f>
        <v>1.1338695502816223</v>
      </c>
    </row>
    <row r="65" spans="1:6">
      <c r="B65" s="192" t="s">
        <v>324</v>
      </c>
      <c r="C65" s="264" t="s">
        <v>326</v>
      </c>
      <c r="D65" s="264" t="s">
        <v>327</v>
      </c>
    </row>
    <row r="66" spans="1:6">
      <c r="B66" s="44" t="s">
        <v>325</v>
      </c>
      <c r="C66" s="89">
        <f>Normalized_FCF!E119</f>
        <v>0.10655464759808782</v>
      </c>
      <c r="D66" s="89">
        <f>Normalized_FCF!G119</f>
        <v>0.10526639746280633</v>
      </c>
    </row>
    <row r="67" spans="1:6">
      <c r="B67" s="229" t="str">
        <f>Normalized_FCF!B116</f>
        <v>Pre-tax Profit/Sales</v>
      </c>
      <c r="C67" s="263">
        <f>Normalized_FCF!E116</f>
        <v>0.15367027669312136</v>
      </c>
      <c r="D67" s="263">
        <f>Normalized_FCF!G116</f>
        <v>0.1518123966362574</v>
      </c>
    </row>
    <row r="68" spans="1:6">
      <c r="B68" s="229" t="str">
        <f>Normalized_FCF!B117</f>
        <v>Sales/Total Assets</v>
      </c>
      <c r="C68" s="265">
        <f>Normalized_FCF!E117</f>
        <v>0.53211669431065411</v>
      </c>
      <c r="D68" s="265">
        <f>Normalized_FCF!G117</f>
        <v>0.53211669431065411</v>
      </c>
    </row>
    <row r="69" spans="1:6">
      <c r="B69" s="229" t="str">
        <f>Normalized_FCF!B118</f>
        <v>Total Assets/Equity</v>
      </c>
      <c r="C69" s="265">
        <f>Normalized_FCF!E118</f>
        <v>1.3030936828713586</v>
      </c>
      <c r="D69" s="265">
        <f>Normalized_FCF!G118</f>
        <v>1.3030936828713586</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-855226</v>
      </c>
      <c r="D78" s="1" t="str">
        <f>Reporting_currency</f>
        <v>CNY</v>
      </c>
    </row>
    <row r="79" spans="1:6">
      <c r="A79" s="191"/>
      <c r="B79" s="44" t="s">
        <v>233</v>
      </c>
      <c r="C79" s="201">
        <f>C78*scaling_factor*Exchange_Rate/Common_Shares</f>
        <v>-0.10806114922851567</v>
      </c>
      <c r="D79" s="1" t="str">
        <f>Market_currency</f>
        <v>HKD</v>
      </c>
    </row>
    <row r="80" spans="1:6">
      <c r="A80" s="191"/>
      <c r="B80" s="229" t="s">
        <v>308</v>
      </c>
      <c r="C80" s="337">
        <f>IF(BS!G31/BS!G27&gt;300%,"nm",BS!G31/BS!G27)</f>
        <v>3.2740324747196639E-2</v>
      </c>
    </row>
    <row r="81" spans="1:6">
      <c r="A81" s="191"/>
      <c r="B81" s="229" t="s">
        <v>310</v>
      </c>
      <c r="C81" s="338">
        <f>IF(BS!C50&gt;30,"nm",BS!C50)</f>
        <v>0.3030737490948841</v>
      </c>
    </row>
    <row r="82" spans="1:6">
      <c r="A82" s="191"/>
    </row>
    <row r="83" spans="1:6">
      <c r="A83" s="191"/>
      <c r="B83" s="1" t="s">
        <v>465</v>
      </c>
    </row>
    <row r="84" spans="1:6">
      <c r="A84" s="191"/>
      <c r="B84" s="1" t="s">
        <v>223</v>
      </c>
      <c r="C84" s="285">
        <f>DCF!F5</f>
        <v>14067317.060819233</v>
      </c>
      <c r="D84" s="1" t="str">
        <f>Reporting_currency</f>
        <v>CNY</v>
      </c>
    </row>
    <row r="85" spans="1:6">
      <c r="A85" s="191"/>
      <c r="B85" s="229" t="s">
        <v>221</v>
      </c>
      <c r="C85" s="291">
        <f>BS!C66</f>
        <v>16981104</v>
      </c>
      <c r="D85" s="339" t="str">
        <f>Reporting_currency</f>
        <v>CNY</v>
      </c>
    </row>
    <row r="86" spans="1:6">
      <c r="A86" s="191"/>
      <c r="B86" s="44" t="s">
        <v>234</v>
      </c>
      <c r="C86" s="201">
        <f>C84*scaling_factor*Exchange_Rate/Common_Shares</f>
        <v>1.7774605170493314</v>
      </c>
      <c r="D86" s="1" t="str">
        <f>Market_currency</f>
        <v>HKD</v>
      </c>
    </row>
    <row r="87" spans="1:6">
      <c r="A87" s="191"/>
    </row>
    <row r="88" spans="1:6">
      <c r="A88" s="191"/>
      <c r="B88" s="1" t="s">
        <v>215</v>
      </c>
    </row>
    <row r="89" spans="1:6">
      <c r="A89" s="191"/>
      <c r="B89" s="1" t="s">
        <v>216</v>
      </c>
      <c r="C89" s="285">
        <f>DCF!F6</f>
        <v>3853.6000000000004</v>
      </c>
      <c r="D89" s="1" t="str">
        <f>Reporting_currency</f>
        <v>CNY</v>
      </c>
    </row>
    <row r="90" spans="1:6">
      <c r="A90" s="191"/>
      <c r="B90" s="44" t="s">
        <v>235</v>
      </c>
      <c r="C90" s="201">
        <f>C89*scaling_factor*Exchange_Rate/Common_Shares</f>
        <v>4.8691742845400872E-4</v>
      </c>
      <c r="D90" s="1" t="str">
        <f>Market_currency</f>
        <v>HKD</v>
      </c>
    </row>
    <row r="91" spans="1:6">
      <c r="A91" s="191"/>
    </row>
    <row r="92" spans="1:6">
      <c r="A92" s="191"/>
      <c r="B92" s="44" t="s">
        <v>468</v>
      </c>
      <c r="C92" s="216">
        <f>DCF!F8</f>
        <v>1.6698862852492697</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1.0934770748615938</v>
      </c>
      <c r="D111" s="1" t="str">
        <f>Market_currency</f>
        <v>HKD</v>
      </c>
    </row>
    <row r="112" spans="2:6">
      <c r="B112" s="44" t="s">
        <v>322</v>
      </c>
      <c r="C112" s="216">
        <f>DCF!C11</f>
        <v>5.0390626926959641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(3yrs)</v>
      </c>
      <c r="C118" s="206">
        <f>DCF!C90</f>
        <v>0.05</v>
      </c>
      <c r="D118" s="207" t="str">
        <f>ROUND(DCF!E90,2)&amp;" "&amp;Market_currency</f>
        <v>5.53 HKD</v>
      </c>
      <c r="E118" s="208">
        <f>DCF!F90</f>
        <v>0.05</v>
      </c>
      <c r="F118" s="208">
        <f>RATE(Holding_Period,Scenarios!C$58,-DCF!E90,C$18)</f>
        <v>-3.0668548962521879E-2</v>
      </c>
    </row>
    <row r="119" spans="2:6">
      <c r="B119" s="205" t="str">
        <f>DCF!B91&amp;" ("&amp;DCF!D91&amp;"yrs)"</f>
        <v>Optimistic (3yrs)</v>
      </c>
      <c r="C119" s="198">
        <f>DCF!C91</f>
        <v>0.02</v>
      </c>
      <c r="D119" s="207" t="str">
        <f>ROUND(DCF!E91,2)&amp;" "&amp;Market_currency</f>
        <v>5.23 HKD</v>
      </c>
      <c r="E119" s="199">
        <f>DCF!F91</f>
        <v>0.15999999999999995</v>
      </c>
      <c r="F119" s="208">
        <f>RATE(Holding_Period,Scenarios!C$58,-DCF!E91,C$18)</f>
        <v>-1.1440903807652957E-2</v>
      </c>
    </row>
    <row r="120" spans="2:6">
      <c r="B120" s="205" t="str">
        <f>DCF!B92&amp;" ("&amp;DCF!D92&amp;"yrs)"</f>
        <v>Base (3yrs)</v>
      </c>
      <c r="C120" s="198">
        <f>DCF!C92</f>
        <v>-0.05</v>
      </c>
      <c r="D120" s="207" t="str">
        <f>ROUND(DCF!E92,2)&amp;" "&amp;Market_currency</f>
        <v>4.59 HKD</v>
      </c>
      <c r="E120" s="199">
        <f>DCF!F92</f>
        <v>0.44</v>
      </c>
      <c r="F120" s="208">
        <f>RATE(Holding_Period,Scenarios!C$58,-DCF!E92,C$18)</f>
        <v>3.4984178324816186E-2</v>
      </c>
    </row>
    <row r="121" spans="2:6">
      <c r="B121" s="205" t="str">
        <f>DCF!B93&amp;" ("&amp;DCF!D93&amp;"yrs)"</f>
        <v>Pessimistic (3yrs)</v>
      </c>
      <c r="C121" s="198">
        <f>DCF!C93</f>
        <v>-0.15</v>
      </c>
      <c r="D121" s="207" t="str">
        <f>ROUND(DCF!E93,2)&amp;" "&amp;Market_currency</f>
        <v>3.82 HKD</v>
      </c>
      <c r="E121" s="199">
        <f>DCF!F93</f>
        <v>0.19999999999999998</v>
      </c>
      <c r="F121" s="208">
        <f>RATE(Holding_Period,Scenarios!C$58,-DCF!E93,C$18)</f>
        <v>0.10445259727732933</v>
      </c>
    </row>
    <row r="122" spans="2:6">
      <c r="B122" s="205" t="str">
        <f>DCF!B94&amp;" ("&amp;DCF!D94&amp;"yrs)"</f>
        <v>Devil's advocate (3yrs)</v>
      </c>
      <c r="C122" s="198">
        <f>DCF!C94</f>
        <v>-0.3</v>
      </c>
      <c r="D122" s="207" t="str">
        <f>ROUND(DCF!E94,2)&amp;" "&amp;Market_currency</f>
        <v>2.94 HKD</v>
      </c>
      <c r="E122" s="199">
        <f>DCF!F94</f>
        <v>0.15</v>
      </c>
      <c r="F122" s="208">
        <f>RATE(Holding_Period,Scenarios!C$58,-DCF!E94,C$18)</f>
        <v>0.21167984604034701</v>
      </c>
    </row>
    <row r="124" spans="2:6">
      <c r="B124" s="463" t="s">
        <v>356</v>
      </c>
      <c r="C124" s="463"/>
      <c r="D124" s="463"/>
      <c r="E124" s="463"/>
      <c r="F124" s="463"/>
    </row>
    <row r="125" spans="2:6">
      <c r="B125" s="193" t="s">
        <v>217</v>
      </c>
      <c r="C125" s="197">
        <f>Scenarios!C36</f>
        <v>4.336834764952032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0.24179999999999999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0.43913609467455633</v>
      </c>
      <c r="D140" s="333">
        <f>Scenarios!D62</f>
        <v>1.9739803208702917</v>
      </c>
      <c r="E140" s="334">
        <f>Scenarios!E62</f>
        <v>2.4131164155448479</v>
      </c>
      <c r="F140" s="335">
        <f>E22</f>
        <v>0.3</v>
      </c>
    </row>
    <row r="141" spans="1:6">
      <c r="B141" s="336" t="s">
        <v>312</v>
      </c>
      <c r="C141" s="333">
        <f>Scenarios!C63</f>
        <v>0.50934722222222217</v>
      </c>
      <c r="D141" s="333">
        <f>Scenarios!D63</f>
        <v>2.5097423408287223</v>
      </c>
      <c r="E141" s="334">
        <f>Scenarios!E63</f>
        <v>3.0190895630509447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0.58336743585196538</v>
      </c>
      <c r="D144" s="333">
        <f>Scenarios!D66</f>
        <v>3.1084713905672774</v>
      </c>
      <c r="E144" s="334">
        <f>Scenarios!E66</f>
        <v>3.691838826419243</v>
      </c>
      <c r="F144" s="335">
        <f>E24</f>
        <v>0.1174</v>
      </c>
    </row>
    <row r="145" spans="1:6">
      <c r="B145" s="336" t="s">
        <v>313</v>
      </c>
      <c r="C145" s="333">
        <f>Scenarios!C67</f>
        <v>0.63167232993043521</v>
      </c>
      <c r="D145" s="333">
        <f>Scenarios!D67</f>
        <v>3.5154503863900355</v>
      </c>
      <c r="E145" s="334">
        <f>Scenarios!E67</f>
        <v>4.1471227163204709</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18112585</v>
      </c>
      <c r="D4" s="287">
        <v>20748550</v>
      </c>
      <c r="E4" s="287">
        <v>19532203</v>
      </c>
      <c r="F4" s="287">
        <v>21310933</v>
      </c>
      <c r="G4" s="287">
        <v>22776265</v>
      </c>
      <c r="H4" s="287">
        <v>18592465</v>
      </c>
      <c r="I4" s="287">
        <v>10391917</v>
      </c>
      <c r="J4" s="287">
        <v>5887260</v>
      </c>
      <c r="K4" s="287">
        <v>3724381</v>
      </c>
      <c r="L4" s="287"/>
      <c r="M4" s="287"/>
    </row>
    <row r="5" spans="2:13">
      <c r="B5" s="38" t="s">
        <v>39</v>
      </c>
      <c r="C5" s="287">
        <v>6337185</v>
      </c>
      <c r="D5" s="287">
        <v>6983747</v>
      </c>
      <c r="E5" s="287">
        <v>6868850</v>
      </c>
      <c r="F5" s="287">
        <v>7360333</v>
      </c>
      <c r="G5" s="287">
        <v>6768676</v>
      </c>
      <c r="H5" s="287">
        <v>5112187</v>
      </c>
      <c r="I5" s="287">
        <v>3372827</v>
      </c>
      <c r="J5" s="287">
        <v>2096800</v>
      </c>
      <c r="K5" s="287">
        <v>1690421</v>
      </c>
      <c r="L5" s="287"/>
      <c r="M5" s="287"/>
    </row>
    <row r="6" spans="2:13">
      <c r="B6" s="38" t="s">
        <v>50</v>
      </c>
      <c r="C6" s="287">
        <f>1682666+C7+178317</f>
        <v>9022974</v>
      </c>
      <c r="D6" s="287">
        <v>8862484</v>
      </c>
      <c r="E6" s="287">
        <v>8471116</v>
      </c>
      <c r="F6" s="287">
        <v>8080385</v>
      </c>
      <c r="G6" s="287">
        <v>7937287</v>
      </c>
      <c r="H6" s="287">
        <v>6424644</v>
      </c>
      <c r="I6" s="287">
        <v>4241603</v>
      </c>
      <c r="J6" s="287">
        <v>2499647</v>
      </c>
      <c r="K6" s="287">
        <v>1600378</v>
      </c>
      <c r="L6" s="287"/>
      <c r="M6" s="287"/>
    </row>
    <row r="7" spans="2:13">
      <c r="B7" s="66" t="s">
        <v>57</v>
      </c>
      <c r="C7" s="288">
        <v>7161991</v>
      </c>
      <c r="D7" s="288">
        <v>7181223</v>
      </c>
      <c r="E7" s="288">
        <v>6709067</v>
      </c>
      <c r="F7" s="288">
        <v>6545373</v>
      </c>
      <c r="G7" s="288">
        <v>6729305</v>
      </c>
      <c r="H7" s="288">
        <v>5263430</v>
      </c>
      <c r="I7" s="288">
        <v>3661314</v>
      </c>
      <c r="J7" s="288">
        <v>2139107</v>
      </c>
      <c r="K7" s="288">
        <v>1369520</v>
      </c>
      <c r="L7" s="288"/>
      <c r="M7" s="288"/>
    </row>
    <row r="8" spans="2:13">
      <c r="B8" s="38" t="s">
        <v>45</v>
      </c>
      <c r="C8" s="287"/>
      <c r="D8" s="287"/>
      <c r="E8" s="287"/>
      <c r="F8" s="287"/>
      <c r="G8" s="287"/>
      <c r="H8" s="287"/>
      <c r="I8" s="287"/>
      <c r="J8" s="287"/>
      <c r="K8" s="287"/>
      <c r="L8" s="287"/>
      <c r="M8" s="287"/>
    </row>
    <row r="9" spans="2:13">
      <c r="B9" s="38" t="s">
        <v>133</v>
      </c>
      <c r="C9" s="287">
        <v>-24191</v>
      </c>
      <c r="D9" s="287">
        <v>-12182</v>
      </c>
      <c r="E9" s="287">
        <v>-7408</v>
      </c>
      <c r="F9" s="287">
        <v>-17253</v>
      </c>
      <c r="G9" s="287">
        <v>-15586</v>
      </c>
      <c r="H9" s="287">
        <v>-5571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31767</v>
      </c>
      <c r="D12" s="287">
        <v>44646</v>
      </c>
      <c r="E12" s="287">
        <v>53132</v>
      </c>
      <c r="F12" s="287">
        <v>33640</v>
      </c>
      <c r="G12" s="287">
        <v>29152</v>
      </c>
      <c r="H12" s="287">
        <v>50160</v>
      </c>
      <c r="I12" s="287">
        <v>58675</v>
      </c>
      <c r="J12" s="287">
        <v>21409</v>
      </c>
      <c r="K12" s="287">
        <v>26773</v>
      </c>
      <c r="L12" s="287"/>
      <c r="M12" s="287"/>
    </row>
    <row r="13" spans="2:13">
      <c r="B13" s="38" t="s">
        <v>63</v>
      </c>
      <c r="C13" s="287">
        <f>218979+91336</f>
        <v>310315</v>
      </c>
      <c r="D13" s="287">
        <f>218979+91336</f>
        <v>310315</v>
      </c>
      <c r="E13" s="287">
        <f>198911+99510</f>
        <v>298421</v>
      </c>
      <c r="F13" s="287"/>
      <c r="G13" s="287"/>
      <c r="H13" s="287"/>
      <c r="I13" s="287"/>
      <c r="J13" s="287"/>
      <c r="K13" s="287"/>
      <c r="L13" s="287"/>
      <c r="M13" s="287"/>
    </row>
    <row r="14" spans="2:13">
      <c r="B14" s="38" t="s">
        <v>46</v>
      </c>
      <c r="C14" s="287">
        <v>1258391</v>
      </c>
      <c r="D14" s="287">
        <v>1895606</v>
      </c>
      <c r="E14" s="287">
        <v>1559940</v>
      </c>
      <c r="F14" s="287">
        <v>1715003</v>
      </c>
      <c r="G14" s="287">
        <v>2757433</v>
      </c>
      <c r="H14" s="287">
        <v>2463857</v>
      </c>
      <c r="I14" s="287">
        <v>946317</v>
      </c>
      <c r="J14" s="287">
        <v>490835</v>
      </c>
      <c r="K14" s="287">
        <v>188795</v>
      </c>
      <c r="L14" s="287"/>
      <c r="M14" s="287"/>
    </row>
    <row r="15" spans="2:13">
      <c r="B15" s="41" t="s">
        <v>38</v>
      </c>
      <c r="C15" s="289">
        <v>2093799</v>
      </c>
      <c r="D15" s="289">
        <v>3654120</v>
      </c>
      <c r="E15" s="289">
        <v>3290352</v>
      </c>
      <c r="F15" s="289">
        <v>4948106</v>
      </c>
      <c r="G15" s="289">
        <v>6914896</v>
      </c>
      <c r="H15" s="289">
        <v>7436632</v>
      </c>
      <c r="I15" s="289">
        <v>2242254</v>
      </c>
      <c r="J15" s="289">
        <v>1160226</v>
      </c>
      <c r="K15" s="289">
        <v>406152</v>
      </c>
      <c r="L15" s="289"/>
      <c r="M15" s="289"/>
    </row>
    <row r="16" spans="2:13">
      <c r="B16" s="27" t="s">
        <v>40</v>
      </c>
      <c r="C16" s="287">
        <v>154341</v>
      </c>
      <c r="D16" s="287">
        <v>83995</v>
      </c>
      <c r="E16" s="287">
        <v>-99657</v>
      </c>
      <c r="F16" s="287">
        <v>6058</v>
      </c>
      <c r="G16" s="287">
        <v>43852</v>
      </c>
      <c r="H16" s="287">
        <v>-241</v>
      </c>
      <c r="I16" s="287">
        <v>0</v>
      </c>
      <c r="J16" s="287">
        <v>0</v>
      </c>
      <c r="K16" s="287">
        <v>-10836</v>
      </c>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4179313</v>
      </c>
      <c r="E22" s="287">
        <v>4145346</v>
      </c>
      <c r="F22" s="287">
        <v>6279079</v>
      </c>
      <c r="G22" s="287">
        <v>6814937</v>
      </c>
      <c r="H22" s="287">
        <v>7747973</v>
      </c>
      <c r="I22" s="287">
        <v>3121196</v>
      </c>
      <c r="J22" s="287">
        <v>2205574</v>
      </c>
      <c r="K22" s="287">
        <v>129094</v>
      </c>
      <c r="L22" s="287"/>
      <c r="M22" s="287"/>
    </row>
    <row r="23" spans="2:13">
      <c r="B23" s="26" t="s">
        <v>287</v>
      </c>
      <c r="C23" s="287"/>
      <c r="D23" s="287">
        <v>-1316832</v>
      </c>
      <c r="E23" s="287">
        <v>386697</v>
      </c>
      <c r="F23" s="287">
        <v>-4803708</v>
      </c>
      <c r="G23" s="287">
        <v>-2444226</v>
      </c>
      <c r="H23" s="287">
        <v>-3786486</v>
      </c>
      <c r="I23" s="287">
        <v>-3272449</v>
      </c>
      <c r="J23" s="287">
        <v>-1680076</v>
      </c>
      <c r="K23" s="287">
        <v>947343</v>
      </c>
      <c r="L23" s="287"/>
      <c r="M23" s="287"/>
    </row>
    <row r="24" spans="2:13">
      <c r="B24" s="26" t="s">
        <v>286</v>
      </c>
      <c r="C24" s="287"/>
      <c r="D24" s="287">
        <v>-3031620</v>
      </c>
      <c r="E24" s="287">
        <v>-2705301</v>
      </c>
      <c r="F24" s="287">
        <v>-1975285</v>
      </c>
      <c r="G24" s="287">
        <v>-4245443</v>
      </c>
      <c r="H24" s="287">
        <v>-2542842</v>
      </c>
      <c r="I24" s="287">
        <v>-509032</v>
      </c>
      <c r="J24" s="287">
        <v>222174</v>
      </c>
      <c r="K24" s="287">
        <v>-395455</v>
      </c>
      <c r="L24" s="287"/>
      <c r="M24" s="287"/>
    </row>
    <row r="25" spans="2:13">
      <c r="B25" s="23" t="str">
        <f>"Dividend per share ("&amp;Market_currency&amp;")"</f>
        <v>Dividend per share (HKD)</v>
      </c>
      <c r="C25" s="37">
        <f>0.1632*2</f>
        <v>0.32640000000000002</v>
      </c>
      <c r="D25" s="37">
        <f>0.1632*2</f>
        <v>0.32640000000000002</v>
      </c>
      <c r="E25" s="37">
        <f>0.1349+0.1484</f>
        <v>0.2833</v>
      </c>
      <c r="F25" s="37">
        <f>0.1131+0.1721</f>
        <v>0.28520000000000001</v>
      </c>
      <c r="G25" s="37">
        <f>0.2973+0.1733</f>
        <v>0.47060000000000002</v>
      </c>
      <c r="H25" s="37">
        <f>0.1375+0.1586</f>
        <v>0.29610000000000003</v>
      </c>
      <c r="I25" s="37"/>
      <c r="J25" s="37"/>
      <c r="K25" s="37"/>
      <c r="L25" s="37"/>
      <c r="M25" s="37"/>
    </row>
    <row r="27" spans="2:13">
      <c r="B27" s="16" t="s">
        <v>25</v>
      </c>
      <c r="C27" s="94" t="s">
        <v>545</v>
      </c>
    </row>
    <row r="28" spans="2:13">
      <c r="B28" s="25" t="s">
        <v>21</v>
      </c>
      <c r="C28" s="270">
        <f>BS!C4</f>
        <v>373991</v>
      </c>
      <c r="D28" s="287">
        <v>334915</v>
      </c>
      <c r="E28" s="287">
        <v>431184</v>
      </c>
      <c r="F28" s="287">
        <v>430651</v>
      </c>
      <c r="G28" s="287">
        <v>477328</v>
      </c>
      <c r="H28" s="287">
        <v>288808</v>
      </c>
      <c r="I28" s="287">
        <v>512837</v>
      </c>
      <c r="J28" s="287">
        <v>174705</v>
      </c>
      <c r="K28" s="287">
        <v>93183</v>
      </c>
      <c r="L28" s="287"/>
      <c r="M28" s="287"/>
    </row>
    <row r="29" spans="2:13">
      <c r="B29" s="25" t="s">
        <v>29</v>
      </c>
      <c r="C29" s="270">
        <f>BS!C6</f>
        <v>2505587</v>
      </c>
      <c r="D29" s="287">
        <v>2050919</v>
      </c>
      <c r="E29" s="287">
        <v>2258059</v>
      </c>
      <c r="F29" s="287">
        <v>1994166</v>
      </c>
      <c r="G29" s="287">
        <v>1721807</v>
      </c>
      <c r="H29" s="287">
        <v>1284472</v>
      </c>
      <c r="I29" s="287">
        <v>660066</v>
      </c>
      <c r="J29" s="287">
        <v>394658</v>
      </c>
      <c r="K29" s="287">
        <v>293631</v>
      </c>
      <c r="L29" s="287"/>
      <c r="M29" s="287"/>
    </row>
    <row r="30" spans="2:13">
      <c r="B30" s="28" t="s">
        <v>37</v>
      </c>
      <c r="C30" s="271">
        <f>BS!C33+BS!C42</f>
        <v>7917258</v>
      </c>
      <c r="D30" s="289">
        <v>6749408</v>
      </c>
      <c r="E30" s="289">
        <v>9860332</v>
      </c>
      <c r="F30" s="289">
        <v>10040830</v>
      </c>
      <c r="G30" s="289">
        <v>9078054</v>
      </c>
      <c r="H30" s="289">
        <v>9137313</v>
      </c>
      <c r="I30" s="289">
        <v>6069951</v>
      </c>
      <c r="J30" s="289">
        <v>3428545</v>
      </c>
      <c r="K30" s="289">
        <v>2318007</v>
      </c>
      <c r="L30" s="289"/>
      <c r="M30" s="289"/>
    </row>
    <row r="31" spans="2:13">
      <c r="B31" s="28" t="s">
        <v>27</v>
      </c>
      <c r="C31" s="271">
        <f>BS!G27</f>
        <v>26121488</v>
      </c>
      <c r="D31" s="289">
        <v>27153285</v>
      </c>
      <c r="E31" s="289">
        <v>26334346</v>
      </c>
      <c r="F31" s="289">
        <v>25474943</v>
      </c>
      <c r="G31" s="289">
        <v>22403370</v>
      </c>
      <c r="H31" s="289">
        <v>19185525</v>
      </c>
      <c r="I31" s="289">
        <v>5787484</v>
      </c>
      <c r="J31" s="289">
        <v>3585013</v>
      </c>
      <c r="K31" s="289">
        <v>2376940</v>
      </c>
      <c r="L31" s="289"/>
      <c r="M31" s="289"/>
    </row>
    <row r="32" spans="2:13">
      <c r="B32" s="25" t="s">
        <v>142</v>
      </c>
      <c r="C32" s="270">
        <f>BS!G28</f>
        <v>1689367</v>
      </c>
      <c r="D32" s="287">
        <v>1542743</v>
      </c>
      <c r="E32" s="287">
        <v>1389487</v>
      </c>
      <c r="F32" s="287">
        <v>1488944</v>
      </c>
      <c r="G32" s="287">
        <v>1482070</v>
      </c>
      <c r="H32" s="287">
        <v>1438416</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18112585</v>
      </c>
      <c r="D36" s="270">
        <f t="shared" si="1"/>
        <v>20748550</v>
      </c>
      <c r="E36" s="270">
        <f t="shared" si="1"/>
        <v>19532203</v>
      </c>
      <c r="F36" s="270">
        <f t="shared" si="1"/>
        <v>21310933</v>
      </c>
      <c r="G36" s="270">
        <f t="shared" si="1"/>
        <v>22776265</v>
      </c>
      <c r="H36" s="270">
        <f t="shared" si="1"/>
        <v>18592465</v>
      </c>
      <c r="I36" s="270">
        <f t="shared" si="1"/>
        <v>10391917</v>
      </c>
      <c r="J36" s="270">
        <f t="shared" si="1"/>
        <v>5887260</v>
      </c>
      <c r="K36" s="270">
        <f t="shared" si="1"/>
        <v>3724381</v>
      </c>
      <c r="L36" s="270" t="str">
        <f t="shared" si="1"/>
        <v/>
      </c>
      <c r="M36" s="270" t="str">
        <f t="shared" si="1"/>
        <v/>
      </c>
    </row>
    <row r="37" spans="2:13">
      <c r="B37" s="38" t="s">
        <v>39</v>
      </c>
      <c r="C37" s="270">
        <f t="shared" ref="C37:M37" si="2">IF(C$4="","",-C5)</f>
        <v>-6337185</v>
      </c>
      <c r="D37" s="270">
        <f t="shared" si="2"/>
        <v>-6983747</v>
      </c>
      <c r="E37" s="270">
        <f t="shared" si="2"/>
        <v>-6868850</v>
      </c>
      <c r="F37" s="270">
        <f t="shared" si="2"/>
        <v>-7360333</v>
      </c>
      <c r="G37" s="270">
        <f t="shared" si="2"/>
        <v>-6768676</v>
      </c>
      <c r="H37" s="270">
        <f t="shared" si="2"/>
        <v>-5112187</v>
      </c>
      <c r="I37" s="270">
        <f t="shared" si="2"/>
        <v>-3372827</v>
      </c>
      <c r="J37" s="270">
        <f t="shared" si="2"/>
        <v>-2096800</v>
      </c>
      <c r="K37" s="270">
        <f t="shared" si="2"/>
        <v>-1690421</v>
      </c>
      <c r="L37" s="270" t="str">
        <f t="shared" si="2"/>
        <v/>
      </c>
      <c r="M37" s="270" t="str">
        <f t="shared" si="2"/>
        <v/>
      </c>
    </row>
    <row r="38" spans="2:13">
      <c r="B38" s="30" t="s">
        <v>54</v>
      </c>
      <c r="C38" s="267">
        <f>IF(C36="","",C36+C37)</f>
        <v>11775400</v>
      </c>
      <c r="D38" s="267">
        <f t="shared" ref="D38" si="3">IF(D36="","",D36+D37)</f>
        <v>13764803</v>
      </c>
      <c r="E38" s="267">
        <f t="shared" ref="E38" si="4">IF(E36="","",E36+E37)</f>
        <v>12663353</v>
      </c>
      <c r="F38" s="267">
        <f t="shared" ref="F38" si="5">IF(F36="","",F36+F37)</f>
        <v>13950600</v>
      </c>
      <c r="G38" s="267">
        <f t="shared" ref="G38" si="6">IF(G36="","",G36+G37)</f>
        <v>16007589</v>
      </c>
      <c r="H38" s="267">
        <f t="shared" ref="H38" si="7">IF(H36="","",H36+H37)</f>
        <v>13480278</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50</v>
      </c>
      <c r="C39" s="270">
        <f t="shared" ref="C39:M39" si="13">IF(C$4="","",-C6)</f>
        <v>-9022974</v>
      </c>
      <c r="D39" s="270">
        <f t="shared" si="13"/>
        <v>-8862484</v>
      </c>
      <c r="E39" s="270">
        <f t="shared" si="13"/>
        <v>-8471116</v>
      </c>
      <c r="F39" s="270">
        <f t="shared" si="13"/>
        <v>-8080385</v>
      </c>
      <c r="G39" s="270">
        <f t="shared" si="13"/>
        <v>-7937287</v>
      </c>
      <c r="H39" s="270">
        <f t="shared" si="13"/>
        <v>-6424644</v>
      </c>
      <c r="I39" s="270">
        <f t="shared" si="13"/>
        <v>-4241603</v>
      </c>
      <c r="J39" s="270">
        <f t="shared" si="13"/>
        <v>-2499647</v>
      </c>
      <c r="K39" s="270">
        <f t="shared" si="13"/>
        <v>-1600378</v>
      </c>
      <c r="L39" s="270" t="str">
        <f t="shared" si="13"/>
        <v/>
      </c>
      <c r="M39" s="270" t="str">
        <f t="shared" si="13"/>
        <v/>
      </c>
    </row>
    <row r="40" spans="2:13">
      <c r="B40" s="66" t="s">
        <v>57</v>
      </c>
      <c r="C40" s="282">
        <f t="shared" ref="C40:M40" si="14">IF(C$4="","",-C7)</f>
        <v>-7161991</v>
      </c>
      <c r="D40" s="282">
        <f t="shared" si="14"/>
        <v>-7181223</v>
      </c>
      <c r="E40" s="282">
        <f t="shared" si="14"/>
        <v>-6709067</v>
      </c>
      <c r="F40" s="282">
        <f t="shared" si="14"/>
        <v>-6545373</v>
      </c>
      <c r="G40" s="282">
        <f t="shared" si="14"/>
        <v>-6729305</v>
      </c>
      <c r="H40" s="282">
        <f t="shared" si="14"/>
        <v>-5263430</v>
      </c>
      <c r="I40" s="282">
        <f t="shared" si="14"/>
        <v>-3661314</v>
      </c>
      <c r="J40" s="282">
        <f t="shared" si="14"/>
        <v>-2139107</v>
      </c>
      <c r="K40" s="282">
        <f t="shared" si="14"/>
        <v>-1369520</v>
      </c>
      <c r="L40" s="282" t="str">
        <f t="shared" si="14"/>
        <v/>
      </c>
      <c r="M40" s="282" t="str">
        <f t="shared" si="14"/>
        <v/>
      </c>
    </row>
    <row r="41" spans="2:13">
      <c r="B41" s="66" t="s">
        <v>60</v>
      </c>
      <c r="C41" s="282">
        <f>IF(C$4="","",C39-C40)</f>
        <v>-1860983</v>
      </c>
      <c r="D41" s="282">
        <f t="shared" ref="D41:M41" si="15">IF(D$4="","",D39-D40)</f>
        <v>-1681261</v>
      </c>
      <c r="E41" s="282">
        <f t="shared" si="15"/>
        <v>-1762049</v>
      </c>
      <c r="F41" s="282">
        <f t="shared" si="15"/>
        <v>-1535012</v>
      </c>
      <c r="G41" s="282">
        <f t="shared" si="15"/>
        <v>-1207982</v>
      </c>
      <c r="H41" s="282">
        <f t="shared" si="15"/>
        <v>-1161214</v>
      </c>
      <c r="I41" s="282">
        <f t="shared" si="15"/>
        <v>-580289</v>
      </c>
      <c r="J41" s="282">
        <f t="shared" si="15"/>
        <v>-360540</v>
      </c>
      <c r="K41" s="282">
        <f t="shared" si="15"/>
        <v>-230858</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126</v>
      </c>
      <c r="C43" s="271">
        <f>IF(C$4="","",C38+C39+C42)</f>
        <v>2752426</v>
      </c>
      <c r="D43" s="271">
        <f t="shared" ref="D43:M43" si="17">IF(D$4="","",D38+D39+D42)</f>
        <v>4902319</v>
      </c>
      <c r="E43" s="271">
        <f t="shared" si="17"/>
        <v>4192237</v>
      </c>
      <c r="F43" s="271">
        <f t="shared" si="17"/>
        <v>5870215</v>
      </c>
      <c r="G43" s="271">
        <f t="shared" si="17"/>
        <v>8070302</v>
      </c>
      <c r="H43" s="271">
        <f t="shared" si="17"/>
        <v>7055634</v>
      </c>
      <c r="I43" s="271">
        <f t="shared" si="17"/>
        <v>2777487</v>
      </c>
      <c r="J43" s="271">
        <f t="shared" si="17"/>
        <v>1290813</v>
      </c>
      <c r="K43" s="271">
        <f t="shared" si="17"/>
        <v>433582</v>
      </c>
      <c r="L43" s="271" t="str">
        <f t="shared" si="17"/>
        <v/>
      </c>
      <c r="M43" s="271" t="str">
        <f t="shared" si="17"/>
        <v/>
      </c>
    </row>
    <row r="44" spans="2:13">
      <c r="B44" s="41" t="s">
        <v>138</v>
      </c>
      <c r="C44" s="290">
        <f t="shared" ref="C44:M44" si="18">IF(C$4="","",C47-C46-C45-C43)</f>
        <v>321216</v>
      </c>
      <c r="D44" s="290">
        <f t="shared" si="18"/>
        <v>381738</v>
      </c>
      <c r="E44" s="290">
        <f t="shared" si="18"/>
        <v>412766</v>
      </c>
      <c r="F44" s="290">
        <f t="shared" si="18"/>
        <v>826534</v>
      </c>
      <c r="G44" s="290">
        <f t="shared" si="18"/>
        <v>1631179</v>
      </c>
      <c r="H44" s="290">
        <f t="shared" si="18"/>
        <v>2895015</v>
      </c>
      <c r="I44" s="290">
        <f t="shared" si="18"/>
        <v>469759</v>
      </c>
      <c r="J44" s="290">
        <f t="shared" si="18"/>
        <v>381657</v>
      </c>
      <c r="K44" s="290">
        <f t="shared" si="18"/>
        <v>188138</v>
      </c>
      <c r="L44" s="290" t="str">
        <f t="shared" si="18"/>
        <v/>
      </c>
      <c r="M44" s="290" t="str">
        <f t="shared" si="18"/>
        <v/>
      </c>
    </row>
    <row r="45" spans="2:13">
      <c r="B45" s="38" t="s">
        <v>64</v>
      </c>
      <c r="C45" s="285">
        <f t="shared" ref="C45:M45" si="19">IF(C$4="","",C51+C52)</f>
        <v>278548</v>
      </c>
      <c r="D45" s="285">
        <f t="shared" si="19"/>
        <v>265669</v>
      </c>
      <c r="E45" s="285">
        <f t="shared" si="19"/>
        <v>245289</v>
      </c>
      <c r="F45" s="285">
        <f t="shared" si="19"/>
        <v>-33640</v>
      </c>
      <c r="G45" s="285">
        <f t="shared" si="19"/>
        <v>-29152</v>
      </c>
      <c r="H45" s="285">
        <f t="shared" si="19"/>
        <v>-50160</v>
      </c>
      <c r="I45" s="285">
        <f t="shared" si="19"/>
        <v>-58675</v>
      </c>
      <c r="J45" s="285">
        <f t="shared" si="19"/>
        <v>-21409</v>
      </c>
      <c r="K45" s="285">
        <f t="shared" si="19"/>
        <v>-26773</v>
      </c>
      <c r="L45" s="285" t="str">
        <f t="shared" si="19"/>
        <v/>
      </c>
      <c r="M45" s="285" t="str">
        <f t="shared" si="19"/>
        <v/>
      </c>
    </row>
    <row r="46" spans="2:13">
      <c r="B46" s="38" t="s">
        <v>46</v>
      </c>
      <c r="C46" s="270">
        <f>IF(C$4="","",-C14)</f>
        <v>-1258391</v>
      </c>
      <c r="D46" s="270">
        <f t="shared" ref="D46:M46" si="20">IF(D$4="","",-D14)</f>
        <v>-1895606</v>
      </c>
      <c r="E46" s="270">
        <f t="shared" si="20"/>
        <v>-1559940</v>
      </c>
      <c r="F46" s="270">
        <f t="shared" si="20"/>
        <v>-1715003</v>
      </c>
      <c r="G46" s="270">
        <f t="shared" si="20"/>
        <v>-2757433</v>
      </c>
      <c r="H46" s="270">
        <f t="shared" si="20"/>
        <v>-2463857</v>
      </c>
      <c r="I46" s="270">
        <f t="shared" si="20"/>
        <v>-946317</v>
      </c>
      <c r="J46" s="270">
        <f t="shared" si="20"/>
        <v>-490835</v>
      </c>
      <c r="K46" s="270">
        <f t="shared" si="20"/>
        <v>-188795</v>
      </c>
      <c r="L46" s="270" t="str">
        <f t="shared" si="20"/>
        <v/>
      </c>
      <c r="M46" s="270" t="str">
        <f t="shared" si="20"/>
        <v/>
      </c>
    </row>
    <row r="47" spans="2:13">
      <c r="B47" s="41" t="s">
        <v>38</v>
      </c>
      <c r="C47" s="271">
        <f t="shared" ref="C47:M47" si="21">IF(C$4="","",C15)</f>
        <v>2093799</v>
      </c>
      <c r="D47" s="271">
        <f t="shared" si="21"/>
        <v>3654120</v>
      </c>
      <c r="E47" s="271">
        <f t="shared" si="21"/>
        <v>3290352</v>
      </c>
      <c r="F47" s="271">
        <f t="shared" si="21"/>
        <v>4948106</v>
      </c>
      <c r="G47" s="271">
        <f t="shared" si="21"/>
        <v>6914896</v>
      </c>
      <c r="H47" s="271">
        <f t="shared" si="21"/>
        <v>7436632</v>
      </c>
      <c r="I47" s="271">
        <f t="shared" si="21"/>
        <v>2242254</v>
      </c>
      <c r="J47" s="271">
        <f t="shared" si="21"/>
        <v>1160226</v>
      </c>
      <c r="K47" s="271">
        <f t="shared" si="21"/>
        <v>406152</v>
      </c>
      <c r="L47" s="271" t="str">
        <f t="shared" si="21"/>
        <v/>
      </c>
      <c r="M47" s="271" t="str">
        <f t="shared" si="21"/>
        <v/>
      </c>
    </row>
    <row r="48" spans="2:13">
      <c r="B48" s="27" t="s">
        <v>40</v>
      </c>
      <c r="C48" s="270">
        <f t="shared" ref="C48:M48" si="22">IF(C$4="","",MIN(-C16,0))</f>
        <v>-154341</v>
      </c>
      <c r="D48" s="270">
        <f t="shared" si="22"/>
        <v>-83995</v>
      </c>
      <c r="E48" s="270">
        <f t="shared" si="22"/>
        <v>0</v>
      </c>
      <c r="F48" s="270">
        <f t="shared" si="22"/>
        <v>-6058</v>
      </c>
      <c r="G48" s="270">
        <f t="shared" si="22"/>
        <v>-43852</v>
      </c>
      <c r="H48" s="270">
        <f t="shared" si="22"/>
        <v>0</v>
      </c>
      <c r="I48" s="270">
        <f t="shared" si="22"/>
        <v>0</v>
      </c>
      <c r="J48" s="270">
        <f t="shared" si="22"/>
        <v>0</v>
      </c>
      <c r="K48" s="270">
        <f t="shared" si="22"/>
        <v>0</v>
      </c>
      <c r="L48" s="270" t="str">
        <f t="shared" si="22"/>
        <v/>
      </c>
      <c r="M48" s="270" t="str">
        <f t="shared" si="22"/>
        <v/>
      </c>
    </row>
    <row r="50" spans="2:13">
      <c r="B50" s="16" t="s">
        <v>64</v>
      </c>
    </row>
    <row r="51" spans="2:13">
      <c r="B51" s="38" t="s">
        <v>36</v>
      </c>
      <c r="C51" s="270">
        <f t="shared" ref="C51:M51" si="23">IF(C$4="","",-C12)</f>
        <v>-31767</v>
      </c>
      <c r="D51" s="270">
        <f t="shared" si="23"/>
        <v>-44646</v>
      </c>
      <c r="E51" s="270">
        <f t="shared" si="23"/>
        <v>-53132</v>
      </c>
      <c r="F51" s="270">
        <f t="shared" si="23"/>
        <v>-33640</v>
      </c>
      <c r="G51" s="270">
        <f t="shared" si="23"/>
        <v>-29152</v>
      </c>
      <c r="H51" s="270">
        <f t="shared" si="23"/>
        <v>-50160</v>
      </c>
      <c r="I51" s="270">
        <f t="shared" si="23"/>
        <v>-58675</v>
      </c>
      <c r="J51" s="270">
        <f t="shared" si="23"/>
        <v>-21409</v>
      </c>
      <c r="K51" s="270">
        <f t="shared" si="23"/>
        <v>-26773</v>
      </c>
      <c r="L51" s="270" t="str">
        <f t="shared" si="23"/>
        <v/>
      </c>
      <c r="M51" s="270" t="str">
        <f t="shared" si="23"/>
        <v/>
      </c>
    </row>
    <row r="52" spans="2:13">
      <c r="B52" s="38" t="s">
        <v>63</v>
      </c>
      <c r="C52" s="270">
        <f>IF(C$4="","",C13)</f>
        <v>310315</v>
      </c>
      <c r="D52" s="270">
        <f t="shared" ref="D52:M52" si="24">IF(D$4="","",D13)</f>
        <v>310315</v>
      </c>
      <c r="E52" s="270">
        <f t="shared" si="24"/>
        <v>298421</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138</v>
      </c>
    </row>
    <row r="55" spans="2:13">
      <c r="B55" s="38" t="s">
        <v>133</v>
      </c>
      <c r="C55" s="285">
        <f t="shared" ref="C55:M55" si="25">IF(C$4="","",C9)</f>
        <v>-24191</v>
      </c>
      <c r="D55" s="285">
        <f t="shared" si="25"/>
        <v>-12182</v>
      </c>
      <c r="E55" s="285">
        <f t="shared" si="25"/>
        <v>-7408</v>
      </c>
      <c r="F55" s="285">
        <f t="shared" si="25"/>
        <v>-17253</v>
      </c>
      <c r="G55" s="285">
        <f t="shared" si="25"/>
        <v>-15586</v>
      </c>
      <c r="H55" s="285">
        <f t="shared" si="25"/>
        <v>-5571</v>
      </c>
      <c r="I55" s="285">
        <f t="shared" si="25"/>
        <v>0</v>
      </c>
      <c r="J55" s="285">
        <f t="shared" si="25"/>
        <v>0</v>
      </c>
      <c r="K55" s="285">
        <f t="shared" si="25"/>
        <v>0</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134</v>
      </c>
      <c r="C58" s="285">
        <f>IF(C$4="","",C44-C55-C56-C57)</f>
        <v>345407</v>
      </c>
      <c r="D58" s="285">
        <f t="shared" ref="D58:M58" si="28">IF(D$4="","",D44-D55-D56-D57)</f>
        <v>393920</v>
      </c>
      <c r="E58" s="285">
        <f t="shared" si="28"/>
        <v>420174</v>
      </c>
      <c r="F58" s="285">
        <f t="shared" si="28"/>
        <v>843787</v>
      </c>
      <c r="G58" s="285">
        <f t="shared" si="28"/>
        <v>1646765</v>
      </c>
      <c r="H58" s="285">
        <f t="shared" si="28"/>
        <v>2900586</v>
      </c>
      <c r="I58" s="285">
        <f t="shared" si="28"/>
        <v>469759</v>
      </c>
      <c r="J58" s="285">
        <f t="shared" si="28"/>
        <v>381657</v>
      </c>
      <c r="K58" s="285">
        <f t="shared" si="28"/>
        <v>188138</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304</v>
      </c>
      <c r="C64" s="270">
        <f>IF(C$4="","",C22+C23+C24)</f>
        <v>0</v>
      </c>
      <c r="D64" s="270">
        <f t="shared" ref="D64:M64" si="32">IF(D$4="","",D22+D23+D24)</f>
        <v>-169139</v>
      </c>
      <c r="E64" s="270">
        <f t="shared" si="32"/>
        <v>1826742</v>
      </c>
      <c r="F64" s="270">
        <f t="shared" si="32"/>
        <v>-499914</v>
      </c>
      <c r="G64" s="270">
        <f t="shared" si="32"/>
        <v>125268</v>
      </c>
      <c r="H64" s="270">
        <f t="shared" si="32"/>
        <v>1418645</v>
      </c>
      <c r="I64" s="270">
        <f t="shared" si="32"/>
        <v>-660285</v>
      </c>
      <c r="J64" s="270">
        <f t="shared" si="32"/>
        <v>747672</v>
      </c>
      <c r="K64" s="270">
        <f t="shared" si="32"/>
        <v>680982</v>
      </c>
      <c r="L64" s="270" t="str">
        <f t="shared" si="32"/>
        <v/>
      </c>
      <c r="M64" s="270" t="str">
        <f t="shared" si="32"/>
        <v/>
      </c>
    </row>
    <row r="65" spans="2:13">
      <c r="B65" s="23" t="s">
        <v>33</v>
      </c>
      <c r="C65" s="70">
        <f>IF(C$4="","",C25)</f>
        <v>0.32640000000000002</v>
      </c>
      <c r="D65" s="70">
        <f t="shared" ref="D65:M65" si="33">IF(D$4="","",D25)</f>
        <v>0.32640000000000002</v>
      </c>
      <c r="E65" s="70">
        <f t="shared" si="33"/>
        <v>0.2833</v>
      </c>
      <c r="F65" s="70">
        <f t="shared" si="33"/>
        <v>0.28520000000000001</v>
      </c>
      <c r="G65" s="70">
        <f t="shared" si="33"/>
        <v>0.47060000000000002</v>
      </c>
      <c r="H65" s="70">
        <f t="shared" si="33"/>
        <v>0.29610000000000003</v>
      </c>
      <c r="I65" s="70">
        <f t="shared" si="33"/>
        <v>0</v>
      </c>
      <c r="J65" s="70">
        <f t="shared" si="33"/>
        <v>0</v>
      </c>
      <c r="K65" s="70">
        <f t="shared" si="33"/>
        <v>0</v>
      </c>
      <c r="L65" s="70" t="str">
        <f t="shared" si="33"/>
        <v/>
      </c>
      <c r="M65" s="70" t="str">
        <f t="shared" si="33"/>
        <v/>
      </c>
    </row>
    <row r="67" spans="2:13">
      <c r="B67" s="88" t="s">
        <v>80</v>
      </c>
    </row>
    <row r="68" spans="2:13">
      <c r="B68" s="1" t="str">
        <f>B36</f>
        <v>Sales</v>
      </c>
      <c r="C68" s="89">
        <f t="shared" ref="C68:M68" si="34">IF(D$36="","",C36/D36-1)</f>
        <v>-0.12704333555838843</v>
      </c>
      <c r="D68" s="89">
        <f t="shared" si="34"/>
        <v>6.2273927830875042E-2</v>
      </c>
      <c r="E68" s="89">
        <f t="shared" si="34"/>
        <v>-8.3465608943540825E-2</v>
      </c>
      <c r="F68" s="89">
        <f t="shared" si="34"/>
        <v>-6.4335921627185155E-2</v>
      </c>
      <c r="G68" s="89">
        <f t="shared" si="34"/>
        <v>0.22502664385814364</v>
      </c>
      <c r="H68" s="89">
        <f t="shared" si="34"/>
        <v>0.78912754980625799</v>
      </c>
      <c r="I68" s="89">
        <f t="shared" si="34"/>
        <v>0.76515339903452539</v>
      </c>
      <c r="J68" s="89">
        <f t="shared" si="34"/>
        <v>0.58073516109119883</v>
      </c>
      <c r="K68" s="89" t="str">
        <f t="shared" si="34"/>
        <v/>
      </c>
      <c r="L68" s="89" t="str">
        <f t="shared" si="34"/>
        <v/>
      </c>
      <c r="M68" s="89" t="str">
        <f t="shared" si="34"/>
        <v/>
      </c>
    </row>
    <row r="69" spans="2:13">
      <c r="B69" s="30" t="s">
        <v>54</v>
      </c>
      <c r="C69" s="89">
        <f>IF(D$36="","",C38/D38-1)</f>
        <v>-0.14452825805062375</v>
      </c>
      <c r="D69" s="89">
        <f t="shared" ref="D69:M69" si="35">IF(E$36="","",D38/E38-1)</f>
        <v>8.69793331987192E-2</v>
      </c>
      <c r="E69" s="89">
        <f t="shared" si="35"/>
        <v>-9.2271801929666108E-2</v>
      </c>
      <c r="F69" s="89">
        <f t="shared" si="35"/>
        <v>-0.1285008629344494</v>
      </c>
      <c r="G69" s="89">
        <f t="shared" si="35"/>
        <v>0.18748211275761517</v>
      </c>
      <c r="H69" s="89">
        <f t="shared" si="35"/>
        <v>0.92051647720715923</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-0.43854612480338384</v>
      </c>
      <c r="D70" s="98">
        <f t="shared" ref="D70:M70" si="36">IF(E$36="","",D43/E43-1)</f>
        <v>0.16938021395259861</v>
      </c>
      <c r="E70" s="98">
        <f t="shared" si="36"/>
        <v>-0.28584608911257936</v>
      </c>
      <c r="F70" s="98">
        <f t="shared" si="36"/>
        <v>-0.27261520076943835</v>
      </c>
      <c r="G70" s="98">
        <f t="shared" si="36"/>
        <v>0.14380961370728707</v>
      </c>
      <c r="H70" s="98">
        <f t="shared" si="36"/>
        <v>1.5402941579924585</v>
      </c>
      <c r="I70" s="98">
        <f t="shared" si="36"/>
        <v>1.1517346044702061</v>
      </c>
      <c r="J70" s="98">
        <f t="shared" si="36"/>
        <v>1.9770908386418253</v>
      </c>
      <c r="K70" s="98" t="str">
        <f t="shared" si="36"/>
        <v/>
      </c>
      <c r="L70" s="98" t="str">
        <f t="shared" si="36"/>
        <v/>
      </c>
      <c r="M70" s="98" t="str">
        <f t="shared" si="36"/>
        <v/>
      </c>
    </row>
    <row r="71" spans="2:13">
      <c r="B71" s="41" t="s">
        <v>138</v>
      </c>
      <c r="C71" s="98">
        <f>IF(D$36="","",C44/D44-1)</f>
        <v>-0.15854329409175927</v>
      </c>
      <c r="D71" s="98">
        <f t="shared" ref="D71:M71" si="37">IF(E$36="","",D44/E44-1)</f>
        <v>-7.5170920085472104E-2</v>
      </c>
      <c r="E71" s="98">
        <f t="shared" si="37"/>
        <v>-0.50060614566369921</v>
      </c>
      <c r="F71" s="98">
        <f t="shared" si="37"/>
        <v>-0.49329043593621547</v>
      </c>
      <c r="G71" s="98">
        <f t="shared" si="37"/>
        <v>-0.43655594185176938</v>
      </c>
      <c r="H71" s="98">
        <f t="shared" si="37"/>
        <v>5.1627664398127546</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-0.42700321828511378</v>
      </c>
      <c r="D72" s="98">
        <f t="shared" ref="D72:M72" si="38">IF(E$36="","",D47/E47-1)</f>
        <v>0.1105559526761879</v>
      </c>
      <c r="E72" s="98">
        <f t="shared" si="38"/>
        <v>-0.33502798848690796</v>
      </c>
      <c r="F72" s="98">
        <f t="shared" si="38"/>
        <v>-0.28442799428942966</v>
      </c>
      <c r="G72" s="98">
        <f t="shared" si="38"/>
        <v>-7.0157565951898704E-2</v>
      </c>
      <c r="H72" s="98">
        <f t="shared" si="38"/>
        <v>2.3165876836433341</v>
      </c>
      <c r="I72" s="98">
        <f t="shared" si="38"/>
        <v>0.93260106220684591</v>
      </c>
      <c r="J72" s="98">
        <f t="shared" si="38"/>
        <v>1.8566300301365004</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34038746</v>
      </c>
      <c r="D76" s="285">
        <f t="shared" ref="D76:M76" si="39">IF(D$4="","",D79+D80)</f>
        <v>33902693</v>
      </c>
      <c r="E76" s="285">
        <f t="shared" si="39"/>
        <v>36194678</v>
      </c>
      <c r="F76" s="285">
        <f t="shared" si="39"/>
        <v>35515773</v>
      </c>
      <c r="G76" s="285">
        <f t="shared" si="39"/>
        <v>31481424</v>
      </c>
      <c r="H76" s="285">
        <f t="shared" si="39"/>
        <v>28322838</v>
      </c>
      <c r="I76" s="285">
        <f t="shared" si="39"/>
        <v>11857435</v>
      </c>
      <c r="J76" s="285">
        <f t="shared" si="39"/>
        <v>7013558</v>
      </c>
      <c r="K76" s="285">
        <f t="shared" si="39"/>
        <v>4694947</v>
      </c>
      <c r="L76" s="285" t="str">
        <f t="shared" si="39"/>
        <v/>
      </c>
      <c r="M76" s="285" t="str">
        <f t="shared" si="39"/>
        <v/>
      </c>
    </row>
    <row r="77" spans="2:13">
      <c r="B77" s="90" t="s">
        <v>81</v>
      </c>
      <c r="C77" s="260">
        <f t="shared" ref="C77:H78" si="40">IF(C$4="","",C28)</f>
        <v>373991</v>
      </c>
      <c r="D77" s="282">
        <f t="shared" si="40"/>
        <v>334915</v>
      </c>
      <c r="E77" s="282">
        <f t="shared" si="40"/>
        <v>431184</v>
      </c>
      <c r="F77" s="282">
        <f t="shared" si="40"/>
        <v>430651</v>
      </c>
      <c r="G77" s="282">
        <f t="shared" si="40"/>
        <v>477328</v>
      </c>
      <c r="H77" s="282">
        <f t="shared" si="40"/>
        <v>288808</v>
      </c>
      <c r="I77" s="291"/>
      <c r="J77" s="291"/>
      <c r="K77" s="291"/>
      <c r="L77" s="291"/>
      <c r="M77" s="291"/>
    </row>
    <row r="78" spans="2:13">
      <c r="B78" s="90" t="s">
        <v>82</v>
      </c>
      <c r="C78" s="260">
        <f t="shared" si="40"/>
        <v>2505587</v>
      </c>
      <c r="D78" s="282">
        <f t="shared" si="40"/>
        <v>2050919</v>
      </c>
      <c r="E78" s="282">
        <f t="shared" si="40"/>
        <v>2258059</v>
      </c>
      <c r="F78" s="282">
        <f t="shared" si="40"/>
        <v>1994166</v>
      </c>
      <c r="G78" s="282">
        <f t="shared" si="40"/>
        <v>1721807</v>
      </c>
      <c r="H78" s="282">
        <f t="shared" si="40"/>
        <v>1284472</v>
      </c>
      <c r="I78" s="291"/>
      <c r="J78" s="291"/>
      <c r="K78" s="291"/>
      <c r="L78" s="291"/>
      <c r="M78" s="291"/>
    </row>
    <row r="79" spans="2:13">
      <c r="B79" s="25" t="s">
        <v>37</v>
      </c>
      <c r="C79" s="259">
        <f t="shared" ref="C79:M79" si="41">IF(C$4="","",C30)</f>
        <v>7917258</v>
      </c>
      <c r="D79" s="270">
        <f t="shared" si="41"/>
        <v>6749408</v>
      </c>
      <c r="E79" s="270">
        <f t="shared" si="41"/>
        <v>9860332</v>
      </c>
      <c r="F79" s="270">
        <f t="shared" si="41"/>
        <v>10040830</v>
      </c>
      <c r="G79" s="270">
        <f t="shared" si="41"/>
        <v>9078054</v>
      </c>
      <c r="H79" s="270">
        <f t="shared" si="41"/>
        <v>9137313</v>
      </c>
      <c r="I79" s="270">
        <f t="shared" si="41"/>
        <v>6069951</v>
      </c>
      <c r="J79" s="270">
        <f t="shared" si="41"/>
        <v>3428545</v>
      </c>
      <c r="K79" s="270">
        <f t="shared" si="41"/>
        <v>2318007</v>
      </c>
      <c r="L79" s="270" t="str">
        <f t="shared" si="41"/>
        <v/>
      </c>
      <c r="M79" s="270" t="str">
        <f t="shared" si="41"/>
        <v/>
      </c>
    </row>
    <row r="80" spans="2:13">
      <c r="B80" s="25" t="s">
        <v>27</v>
      </c>
      <c r="C80" s="259">
        <f t="shared" ref="C80:M80" si="42">IF(C$4="","",C31)</f>
        <v>26121488</v>
      </c>
      <c r="D80" s="270">
        <f t="shared" si="42"/>
        <v>27153285</v>
      </c>
      <c r="E80" s="270">
        <f t="shared" si="42"/>
        <v>26334346</v>
      </c>
      <c r="F80" s="270">
        <f t="shared" si="42"/>
        <v>25474943</v>
      </c>
      <c r="G80" s="270">
        <f t="shared" si="42"/>
        <v>22403370</v>
      </c>
      <c r="H80" s="270">
        <f t="shared" si="42"/>
        <v>19185525</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373991</v>
      </c>
      <c r="D4" s="231">
        <v>0.6</v>
      </c>
      <c r="E4" s="24"/>
      <c r="F4" s="4" t="s">
        <v>73</v>
      </c>
      <c r="G4" s="18">
        <f>8632252+7538805</f>
        <v>16171057</v>
      </c>
      <c r="H4" s="231">
        <v>0.9</v>
      </c>
    </row>
    <row r="5" spans="2:8" ht="15" customHeight="1">
      <c r="B5" s="1" t="s">
        <v>30</v>
      </c>
      <c r="C5" s="18">
        <v>0</v>
      </c>
      <c r="D5" s="231">
        <v>0.6</v>
      </c>
      <c r="E5" s="24"/>
      <c r="F5" s="1" t="s">
        <v>26</v>
      </c>
      <c r="G5" s="18">
        <v>120047</v>
      </c>
      <c r="H5" s="231">
        <v>0.7</v>
      </c>
    </row>
    <row r="6" spans="2:8" ht="15" customHeight="1">
      <c r="B6" s="4" t="s">
        <v>8</v>
      </c>
      <c r="C6" s="18">
        <v>2505587</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1086540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3966118</v>
      </c>
      <c r="D12" s="19">
        <f>C4*D4+C5*D5+C9*D9+C6*D6+C8*D8+C7*D7+C10*D10+C11*D11</f>
        <v>1585842.1</v>
      </c>
      <c r="F12" s="77" t="s">
        <v>66</v>
      </c>
      <c r="G12" s="78">
        <f>SUM(G4:G10)</f>
        <v>16291104</v>
      </c>
      <c r="H12" s="19">
        <f>G4*H4+G5*H5+G6*H6+G7*H7+G8*H8+G9*H9+G10*H10</f>
        <v>14637984.200000001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78499</v>
      </c>
      <c r="D15" s="231">
        <v>0.4</v>
      </c>
      <c r="F15" s="4" t="s">
        <v>74</v>
      </c>
      <c r="G15" s="18">
        <v>690000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1800</v>
      </c>
      <c r="H17" s="231">
        <v>0.6</v>
      </c>
    </row>
    <row r="18" spans="2:8" ht="15" customHeight="1">
      <c r="B18" s="4" t="s">
        <v>143</v>
      </c>
      <c r="C18" s="18">
        <v>0</v>
      </c>
      <c r="D18" s="231">
        <v>0.6</v>
      </c>
      <c r="F18" s="4" t="s">
        <v>150</v>
      </c>
      <c r="G18" s="18">
        <v>100985</v>
      </c>
      <c r="H18" s="231">
        <v>0.1</v>
      </c>
    </row>
    <row r="19" spans="2:8" ht="15" customHeight="1">
      <c r="B19" s="4" t="s">
        <v>23</v>
      </c>
      <c r="C19" s="18">
        <f>9576742+420020</f>
        <v>9996762</v>
      </c>
      <c r="D19" s="231">
        <v>0.1</v>
      </c>
      <c r="F19" s="4" t="s">
        <v>151</v>
      </c>
      <c r="G19" s="18">
        <v>0</v>
      </c>
      <c r="H19" s="231">
        <v>0.1</v>
      </c>
    </row>
    <row r="20" spans="2:8" ht="15" customHeight="1">
      <c r="B20" s="4" t="s">
        <v>554</v>
      </c>
      <c r="C20" s="18">
        <v>2407030</v>
      </c>
      <c r="D20" s="231">
        <v>0.05</v>
      </c>
      <c r="F20" s="4" t="s">
        <v>148</v>
      </c>
      <c r="G20" s="18">
        <v>0</v>
      </c>
      <c r="H20" s="231">
        <v>0.2</v>
      </c>
    </row>
    <row r="21" spans="2:8" ht="15" customHeight="1">
      <c r="B21" s="4" t="s">
        <v>16</v>
      </c>
      <c r="C21" s="18">
        <v>11974</v>
      </c>
      <c r="D21" s="231">
        <v>0.05</v>
      </c>
      <c r="F21" s="1" t="s">
        <v>149</v>
      </c>
      <c r="G21" s="18">
        <v>27736</v>
      </c>
      <c r="H21" s="231">
        <v>0.1</v>
      </c>
    </row>
    <row r="22" spans="2:8" ht="15" customHeight="1">
      <c r="B22" s="4" t="s">
        <v>17</v>
      </c>
      <c r="C22" s="18">
        <v>354336</v>
      </c>
      <c r="D22" s="231">
        <v>0.9</v>
      </c>
      <c r="H22" s="232"/>
    </row>
    <row r="23" spans="2:8" ht="15" customHeight="1">
      <c r="B23" s="4" t="s">
        <v>18</v>
      </c>
      <c r="C23" s="18">
        <v>112402</v>
      </c>
      <c r="D23" s="231">
        <v>0</v>
      </c>
      <c r="H23" s="232"/>
    </row>
    <row r="24" spans="2:8" ht="15" customHeight="1">
      <c r="B24" s="77" t="s">
        <v>69</v>
      </c>
      <c r="C24" s="78">
        <f>SUM(C15:C23)</f>
        <v>12961003</v>
      </c>
      <c r="D24" s="19">
        <f>C15*D15+C16*D16+C18*D18+C17*D17+C19*D19+C20*D20+C21*D21+C22*D22+C23*D23</f>
        <v>1470928.4</v>
      </c>
      <c r="F24" s="77" t="s">
        <v>67</v>
      </c>
      <c r="G24" s="78">
        <f>SUM(G15:G21)</f>
        <v>820521</v>
      </c>
      <c r="H24" s="19">
        <f>G15*H15+G16*H16+G17*H17+G18*H18+G19*H19+G20*H20+G21*H21</f>
        <v>565952.1</v>
      </c>
    </row>
    <row r="26" spans="2:8" ht="15" customHeight="1">
      <c r="B26" s="16" t="s">
        <v>168</v>
      </c>
      <c r="C26" s="164" t="s">
        <v>112</v>
      </c>
      <c r="F26" s="166" t="s">
        <v>164</v>
      </c>
      <c r="G26" s="167" t="s">
        <v>112</v>
      </c>
      <c r="H26" s="168" t="s">
        <v>32</v>
      </c>
    </row>
    <row r="27" spans="2:8" ht="15" customHeight="1">
      <c r="B27" s="4" t="s">
        <v>3</v>
      </c>
      <c r="C27" s="18">
        <v>567350</v>
      </c>
      <c r="F27" s="169" t="s">
        <v>27</v>
      </c>
      <c r="G27" s="82">
        <f>G32-G30</f>
        <v>26121488</v>
      </c>
      <c r="H27" s="170">
        <f>H32-G30</f>
        <v>10343448.800000001</v>
      </c>
    </row>
    <row r="28" spans="2:8" ht="15" customHeight="1">
      <c r="B28" s="4" t="s">
        <v>4</v>
      </c>
      <c r="C28" s="18">
        <v>37568</v>
      </c>
      <c r="F28" s="171" t="s">
        <v>208</v>
      </c>
      <c r="G28" s="287">
        <v>1689367</v>
      </c>
      <c r="H28" s="170"/>
    </row>
    <row r="29" spans="2:8" ht="15" customHeight="1">
      <c r="B29" s="4" t="s">
        <v>5</v>
      </c>
      <c r="C29" s="18">
        <v>0</v>
      </c>
      <c r="F29" s="172" t="s">
        <v>71</v>
      </c>
      <c r="G29" s="14">
        <f>G27-G28</f>
        <v>24432121</v>
      </c>
      <c r="H29" s="170">
        <f>H27-G28</f>
        <v>8654081.8000000007</v>
      </c>
    </row>
    <row r="30" spans="2:8" ht="15" customHeight="1">
      <c r="B30" s="2" t="s">
        <v>6</v>
      </c>
      <c r="C30" s="18">
        <v>0</v>
      </c>
      <c r="F30" s="169" t="s">
        <v>20</v>
      </c>
      <c r="G30" s="82">
        <f>C33+C42</f>
        <v>7917258</v>
      </c>
      <c r="H30" s="170"/>
    </row>
    <row r="31" spans="2:8" ht="15" customHeight="1">
      <c r="B31" s="77" t="s">
        <v>171</v>
      </c>
      <c r="C31" s="78">
        <f>SUM(C27:C30)</f>
        <v>604918</v>
      </c>
      <c r="F31" s="172" t="s">
        <v>72</v>
      </c>
      <c r="G31" s="173">
        <f>C31+C40</f>
        <v>855226</v>
      </c>
      <c r="H31" s="170"/>
    </row>
    <row r="32" spans="2:8" ht="15" customHeight="1">
      <c r="B32" s="4" t="s">
        <v>7</v>
      </c>
      <c r="C32" s="20">
        <f>C33-C31</f>
        <v>6144399</v>
      </c>
      <c r="F32" s="174" t="s">
        <v>70</v>
      </c>
      <c r="G32" s="175">
        <f>G35+G40</f>
        <v>34038746</v>
      </c>
      <c r="H32" s="170">
        <f>H35+H40</f>
        <v>18260706.800000001</v>
      </c>
    </row>
    <row r="33" spans="2:8" ht="15" customHeight="1">
      <c r="B33" s="80" t="s">
        <v>2</v>
      </c>
      <c r="C33" s="81">
        <v>6749317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16927121</v>
      </c>
      <c r="H35" s="182">
        <f>D12+D24</f>
        <v>3056770.5</v>
      </c>
    </row>
    <row r="36" spans="2:8" ht="15" customHeight="1">
      <c r="B36" s="4" t="s">
        <v>11</v>
      </c>
      <c r="C36" s="18">
        <v>165450</v>
      </c>
      <c r="F36" s="172" t="s">
        <v>165</v>
      </c>
      <c r="G36" s="173">
        <f>C4+C15</f>
        <v>452490</v>
      </c>
      <c r="H36" s="177"/>
    </row>
    <row r="37" spans="2:8" ht="15" customHeight="1">
      <c r="B37" s="4" t="s">
        <v>12</v>
      </c>
      <c r="C37" s="18">
        <v>84858</v>
      </c>
      <c r="F37" s="172" t="s">
        <v>166</v>
      </c>
      <c r="G37" s="173">
        <f>C6</f>
        <v>2505587</v>
      </c>
      <c r="H37" s="177"/>
    </row>
    <row r="38" spans="2:8" ht="15" customHeight="1">
      <c r="B38" s="4" t="s">
        <v>13</v>
      </c>
      <c r="C38" s="18">
        <v>0</v>
      </c>
      <c r="F38" s="172" t="s">
        <v>167</v>
      </c>
      <c r="G38" s="173">
        <f>C7+C17</f>
        <v>0</v>
      </c>
      <c r="H38" s="177"/>
    </row>
    <row r="39" spans="2:8" ht="15" customHeight="1">
      <c r="B39" s="2" t="s">
        <v>14</v>
      </c>
      <c r="C39" s="18">
        <v>0</v>
      </c>
      <c r="F39" s="172" t="s">
        <v>75</v>
      </c>
      <c r="G39" s="173">
        <f>C7+C17+C19+C20</f>
        <v>12403792</v>
      </c>
      <c r="H39" s="170">
        <f>C7*D7+C17*D17+C19*D19+C20*D20</f>
        <v>1120027.7000000002</v>
      </c>
    </row>
    <row r="40" spans="2:8" ht="15" customHeight="1">
      <c r="B40" s="77" t="s">
        <v>172</v>
      </c>
      <c r="C40" s="78">
        <f>SUM(C36:C39)</f>
        <v>250308</v>
      </c>
      <c r="F40" s="181" t="s">
        <v>114</v>
      </c>
      <c r="G40" s="175">
        <f>G12+G24</f>
        <v>17111625</v>
      </c>
      <c r="H40" s="182">
        <f>H12+H24</f>
        <v>15203936.300000001</v>
      </c>
    </row>
    <row r="41" spans="2:8" ht="15" customHeight="1">
      <c r="B41" s="4" t="s">
        <v>15</v>
      </c>
      <c r="C41" s="20">
        <f>C42-C40</f>
        <v>917633</v>
      </c>
      <c r="F41" s="172" t="s">
        <v>159</v>
      </c>
      <c r="G41" s="173">
        <f>C70</f>
        <v>17082089</v>
      </c>
      <c r="H41" s="182">
        <f>H40-H42</f>
        <v>15200082.700000001</v>
      </c>
    </row>
    <row r="42" spans="2:8" ht="15" customHeight="1">
      <c r="B42" s="80" t="s">
        <v>19</v>
      </c>
      <c r="C42" s="81">
        <v>1167941</v>
      </c>
      <c r="F42" s="183" t="s">
        <v>160</v>
      </c>
      <c r="G42" s="184">
        <f>C82</f>
        <v>29536</v>
      </c>
      <c r="H42" s="185">
        <f>D82</f>
        <v>3853.6000000000004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24432121</v>
      </c>
      <c r="D46" s="73">
        <f>H29</f>
        <v>8654081.8000000007</v>
      </c>
      <c r="F46" s="223"/>
    </row>
    <row r="47" spans="2:8" ht="15" customHeight="1">
      <c r="B47" s="1" t="str">
        <f>"Equity per share ("&amp;Market_currency&amp;")"</f>
        <v>Equity per share (HKD)</v>
      </c>
      <c r="C47" s="134">
        <f>C46*H1/Common_Shares*Exchange_Rate</f>
        <v>3.0870940235097528</v>
      </c>
      <c r="D47" s="134">
        <f>D46*H1/Common_Shares*Exchange_Rate</f>
        <v>1.0934770748615938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0.3030737490948841</v>
      </c>
      <c r="D50" s="92">
        <f>G31/Normalized_FCF!G8</f>
        <v>0.31071716369486407</v>
      </c>
      <c r="F50" s="223"/>
    </row>
    <row r="51" spans="2:8" ht="15" customHeight="1">
      <c r="B51" s="1" t="s">
        <v>145</v>
      </c>
      <c r="C51" s="163"/>
      <c r="D51" s="89">
        <f>G29/G32</f>
        <v>0.71777382750821661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0.16670532614155681</v>
      </c>
      <c r="D54" s="89">
        <f>Normalized_FCF!G8/G35</f>
        <v>0.1626044972443926</v>
      </c>
      <c r="F54" s="223"/>
    </row>
    <row r="55" spans="2:8" ht="15" customHeight="1">
      <c r="B55" s="1" t="s">
        <v>117</v>
      </c>
      <c r="C55" s="89">
        <f>Normalized_FCF!C9/G40</f>
        <v>-1.4137172828413433E-3</v>
      </c>
      <c r="D55" s="89">
        <f>Normalized_FCF!G9/G40</f>
        <v>-1.4137172828413433E-3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0.3644021433692064</v>
      </c>
      <c r="F59" s="223"/>
    </row>
    <row r="60" spans="2:8" ht="15" customHeight="1">
      <c r="F60" s="223"/>
    </row>
    <row r="61" spans="2:8" ht="15" customHeight="1">
      <c r="B61" s="143" t="s">
        <v>230</v>
      </c>
      <c r="C61" s="210" t="s">
        <v>113</v>
      </c>
      <c r="D61" s="179" t="s">
        <v>90</v>
      </c>
      <c r="F61" s="223"/>
    </row>
    <row r="62" spans="2:8" ht="15" customHeight="1">
      <c r="B62" s="1" t="s">
        <v>209</v>
      </c>
      <c r="C62" s="89">
        <f>IF(G28&lt;=0,0,G28/G29)</f>
        <v>6.9145327169917017E-2</v>
      </c>
      <c r="D62" s="89">
        <f>G28/G29</f>
        <v>6.9145327169917017E-2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16981104</v>
      </c>
      <c r="D66" s="73">
        <f>C66-D75</f>
        <v>14067317.060819233</v>
      </c>
      <c r="F66" s="5" t="s">
        <v>192</v>
      </c>
    </row>
    <row r="67" spans="2:6" ht="15" customHeight="1">
      <c r="B67" s="102" t="s">
        <v>146</v>
      </c>
      <c r="C67" s="19">
        <f>G6+G16</f>
        <v>0</v>
      </c>
      <c r="F67" s="223"/>
    </row>
    <row r="68" spans="2:6" ht="15" customHeight="1">
      <c r="B68" s="102" t="s">
        <v>150</v>
      </c>
      <c r="C68" s="19">
        <f>G18</f>
        <v>100985</v>
      </c>
      <c r="F68" s="223"/>
    </row>
    <row r="69" spans="2:6" ht="15" customHeight="1">
      <c r="B69" s="102" t="s">
        <v>148</v>
      </c>
      <c r="C69" s="19">
        <f>G8+G20</f>
        <v>0</v>
      </c>
      <c r="F69" s="223"/>
    </row>
    <row r="70" spans="2:6" ht="15" customHeight="1">
      <c r="B70" s="77" t="s">
        <v>157</v>
      </c>
      <c r="C70" s="78">
        <f>SUM(C66:C69)</f>
        <v>17082089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-1526588.0963488</v>
      </c>
      <c r="D73" s="285">
        <f>(Normalized_FCF!C26+Normalized_FCF!C35-Normalized_FCF!C89)/12</f>
        <v>-1456893.4695903838</v>
      </c>
      <c r="F73" s="1" t="s">
        <v>277</v>
      </c>
    </row>
    <row r="74" spans="2:6" ht="15" customHeight="1">
      <c r="B74" s="227" t="s">
        <v>258</v>
      </c>
      <c r="C74" s="228">
        <f>-$C$66/C73</f>
        <v>11.123566363850449</v>
      </c>
      <c r="D74" s="228">
        <f>-$C$66/D73</f>
        <v>11.655693675924267</v>
      </c>
      <c r="F74" s="223" t="s">
        <v>256</v>
      </c>
    </row>
    <row r="75" spans="2:6" ht="15" customHeight="1">
      <c r="B75" s="77" t="s">
        <v>257</v>
      </c>
      <c r="C75" s="261"/>
      <c r="D75" s="262">
        <f>MAX(-D73*D76,G5)</f>
        <v>2913786.9391807676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1800</v>
      </c>
      <c r="D79" s="73">
        <f>G7*H7+G17*H17</f>
        <v>1080</v>
      </c>
      <c r="F79" s="223"/>
    </row>
    <row r="80" spans="2:6" ht="15" customHeight="1">
      <c r="B80" s="102" t="s">
        <v>151</v>
      </c>
      <c r="C80" s="19">
        <f>G19</f>
        <v>0</v>
      </c>
      <c r="D80" s="73">
        <f>G19*H19</f>
        <v>0</v>
      </c>
      <c r="F80" s="223"/>
    </row>
    <row r="81" spans="2:8" ht="15" customHeight="1">
      <c r="B81" s="102" t="s">
        <v>149</v>
      </c>
      <c r="C81" s="19">
        <f>G9+G21</f>
        <v>27736</v>
      </c>
      <c r="D81" s="73">
        <f>G9*H9+G21*H21</f>
        <v>2773.6000000000004</v>
      </c>
      <c r="F81" s="223"/>
    </row>
    <row r="82" spans="2:8" ht="15" customHeight="1">
      <c r="B82" s="77" t="s">
        <v>158</v>
      </c>
      <c r="C82" s="78">
        <f>SUM(C79:C81)</f>
        <v>29536</v>
      </c>
      <c r="D82" s="78">
        <f>SUM(D79:D81)</f>
        <v>3853.6000000000004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-979601.51717999997</v>
      </c>
      <c r="D86" s="201">
        <f>C86*scaling_factor/Common_Shares</f>
        <v>-0.10806114922851567</v>
      </c>
      <c r="E86" s="214" t="str">
        <f>Market_currency</f>
        <v>HKD</v>
      </c>
    </row>
    <row r="87" spans="2:8" ht="15" customHeight="1">
      <c r="B87" s="212" t="s">
        <v>239</v>
      </c>
      <c r="C87" s="73">
        <f>DCF!F5*Exchange_Rate</f>
        <v>16113126.980974173</v>
      </c>
      <c r="D87" s="201">
        <f>C87*scaling_factor/Common_Shares</f>
        <v>1.7774605170493314</v>
      </c>
      <c r="E87" s="214" t="str">
        <f>Market_currency</f>
        <v>HKD</v>
      </c>
    </row>
    <row r="88" spans="2:8" ht="15" customHeight="1">
      <c r="B88" s="213" t="s">
        <v>158</v>
      </c>
      <c r="C88" s="73">
        <f>DCF!F6*Exchange_Rate</f>
        <v>4414.0290480000003</v>
      </c>
      <c r="D88" s="201">
        <f>C88*scaling_factor/Common_Shares</f>
        <v>4.8691742845400872E-4</v>
      </c>
      <c r="E88" s="214" t="str">
        <f>Market_currency</f>
        <v>HKD</v>
      </c>
    </row>
    <row r="89" spans="2:8" ht="15" customHeight="1">
      <c r="B89" s="77" t="s">
        <v>243</v>
      </c>
      <c r="C89" s="162">
        <f>SUM(C86:C88)</f>
        <v>15137939.492842173</v>
      </c>
      <c r="D89" s="216">
        <f>SUM(D86:D88)</f>
        <v>1.6698862852492697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18112585</v>
      </c>
      <c r="D4" s="54"/>
      <c r="E4" s="235"/>
      <c r="F4" s="54"/>
      <c r="G4" s="270">
        <f>Data!C36</f>
        <v>18112585</v>
      </c>
      <c r="H4" s="270">
        <f>Data!D36</f>
        <v>20748550</v>
      </c>
      <c r="I4" s="270">
        <f>Data!E36</f>
        <v>19532203</v>
      </c>
      <c r="J4" s="270">
        <f>Data!F36</f>
        <v>21310933</v>
      </c>
      <c r="K4" s="270">
        <f>Data!G36</f>
        <v>22776265</v>
      </c>
      <c r="L4" s="270">
        <f>Data!H36</f>
        <v>18592465</v>
      </c>
      <c r="M4" s="270">
        <f>Data!I36</f>
        <v>10391917</v>
      </c>
      <c r="N4" s="270">
        <f>Data!J36</f>
        <v>5887260</v>
      </c>
      <c r="O4" s="270">
        <f>Data!K36</f>
        <v>3724381</v>
      </c>
      <c r="P4" s="270" t="str">
        <f>Data!L36</f>
        <v/>
      </c>
      <c r="Q4" s="270" t="str">
        <f>Data!M36</f>
        <v/>
      </c>
    </row>
    <row r="5" spans="1:17" ht="15.75" customHeight="1">
      <c r="A5" s="10"/>
      <c r="B5" s="2" t="s">
        <v>42</v>
      </c>
      <c r="C5" s="266">
        <f>C26</f>
        <v>-13429760.773057405</v>
      </c>
      <c r="E5" s="237"/>
      <c r="G5" s="270">
        <f t="shared" ref="G5:Q5" si="1">G26</f>
        <v>-13499176</v>
      </c>
      <c r="H5" s="270">
        <f t="shared" si="1"/>
        <v>-14164970</v>
      </c>
      <c r="I5" s="270">
        <f t="shared" si="1"/>
        <v>-13577917</v>
      </c>
      <c r="J5" s="270">
        <f t="shared" si="1"/>
        <v>-13905706</v>
      </c>
      <c r="K5" s="270">
        <f t="shared" si="1"/>
        <v>-13497981</v>
      </c>
      <c r="L5" s="270">
        <f t="shared" si="1"/>
        <v>-10375617</v>
      </c>
      <c r="M5" s="270">
        <f t="shared" si="1"/>
        <v>-7034141</v>
      </c>
      <c r="N5" s="270">
        <f t="shared" si="1"/>
        <v>-4235907</v>
      </c>
      <c r="O5" s="270">
        <f t="shared" si="1"/>
        <v>-3059941</v>
      </c>
      <c r="P5" s="270" t="str">
        <f t="shared" si="1"/>
        <v/>
      </c>
      <c r="Q5" s="270" t="str">
        <f t="shared" si="1"/>
        <v/>
      </c>
    </row>
    <row r="6" spans="1:17" ht="15.75" customHeight="1">
      <c r="A6" s="10"/>
      <c r="B6" s="30" t="s">
        <v>44</v>
      </c>
      <c r="C6" s="267">
        <f>C4+C5</f>
        <v>4682824.2269425951</v>
      </c>
      <c r="E6" s="237"/>
      <c r="G6" s="267">
        <f>IF(G4="","",G4+G5)</f>
        <v>4613409</v>
      </c>
      <c r="H6" s="267">
        <f t="shared" ref="H6:Q6" si="2">IF(H4="","",H4+H5)</f>
        <v>6583580</v>
      </c>
      <c r="I6" s="267">
        <f t="shared" si="2"/>
        <v>5954286</v>
      </c>
      <c r="J6" s="267">
        <f t="shared" si="2"/>
        <v>7405227</v>
      </c>
      <c r="K6" s="267">
        <f t="shared" si="2"/>
        <v>9278284</v>
      </c>
      <c r="L6" s="267">
        <f t="shared" si="2"/>
        <v>8216848</v>
      </c>
      <c r="M6" s="267">
        <f t="shared" si="2"/>
        <v>3357776</v>
      </c>
      <c r="N6" s="267">
        <f t="shared" si="2"/>
        <v>1651353</v>
      </c>
      <c r="O6" s="267">
        <f t="shared" si="2"/>
        <v>664440</v>
      </c>
      <c r="P6" s="267" t="str">
        <f t="shared" si="2"/>
        <v/>
      </c>
      <c r="Q6" s="267" t="str">
        <f t="shared" si="2"/>
        <v/>
      </c>
    </row>
    <row r="7" spans="1:17" ht="15.75" customHeight="1">
      <c r="A7" s="10"/>
      <c r="B7" s="8" t="s">
        <v>41</v>
      </c>
      <c r="C7" s="266">
        <f>C35</f>
        <v>-1860983</v>
      </c>
      <c r="E7" s="237"/>
      <c r="G7" s="266">
        <f t="shared" ref="G7:Q7" si="3">G35</f>
        <v>-1860983</v>
      </c>
      <c r="H7" s="266">
        <f t="shared" si="3"/>
        <v>-1681261</v>
      </c>
      <c r="I7" s="266">
        <f t="shared" si="3"/>
        <v>-1762049</v>
      </c>
      <c r="J7" s="266">
        <f t="shared" si="3"/>
        <v>-1535012</v>
      </c>
      <c r="K7" s="266">
        <f t="shared" si="3"/>
        <v>-1207982</v>
      </c>
      <c r="L7" s="266">
        <f t="shared" si="3"/>
        <v>-1161214</v>
      </c>
      <c r="M7" s="266">
        <f t="shared" si="3"/>
        <v>-580289</v>
      </c>
      <c r="N7" s="266">
        <f t="shared" si="3"/>
        <v>-360540</v>
      </c>
      <c r="O7" s="266">
        <f t="shared" si="3"/>
        <v>-230858</v>
      </c>
      <c r="P7" s="266" t="str">
        <f t="shared" si="3"/>
        <v/>
      </c>
      <c r="Q7" s="266" t="str">
        <f t="shared" si="3"/>
        <v/>
      </c>
    </row>
    <row r="8" spans="1:17" ht="15.75" customHeight="1">
      <c r="A8" s="10"/>
      <c r="B8" s="28" t="s">
        <v>126</v>
      </c>
      <c r="C8" s="268">
        <f>C6+C7</f>
        <v>2821841.2269425951</v>
      </c>
      <c r="D8" s="56"/>
      <c r="E8" s="241"/>
      <c r="F8" s="56"/>
      <c r="G8" s="267">
        <f>IF(G$4="","",G6+G7)</f>
        <v>2752426</v>
      </c>
      <c r="H8" s="267">
        <f t="shared" ref="H8:Q8" si="4">IF(H$4="","",H6+H7)</f>
        <v>4902319</v>
      </c>
      <c r="I8" s="267">
        <f t="shared" si="4"/>
        <v>4192237</v>
      </c>
      <c r="J8" s="267">
        <f t="shared" si="4"/>
        <v>5870215</v>
      </c>
      <c r="K8" s="267">
        <f t="shared" si="4"/>
        <v>8070302</v>
      </c>
      <c r="L8" s="267">
        <f t="shared" si="4"/>
        <v>7055634</v>
      </c>
      <c r="M8" s="267">
        <f t="shared" si="4"/>
        <v>2777487</v>
      </c>
      <c r="N8" s="267">
        <f t="shared" si="4"/>
        <v>1290813</v>
      </c>
      <c r="O8" s="267">
        <f t="shared" si="4"/>
        <v>433582</v>
      </c>
      <c r="P8" s="267" t="str">
        <f t="shared" si="4"/>
        <v/>
      </c>
      <c r="Q8" s="267" t="str">
        <f t="shared" si="4"/>
        <v/>
      </c>
    </row>
    <row r="9" spans="1:17" ht="15.75" customHeight="1">
      <c r="A9" s="10"/>
      <c r="B9" s="26" t="s">
        <v>414</v>
      </c>
      <c r="C9" s="300">
        <f>C61</f>
        <v>-24191</v>
      </c>
      <c r="D9" s="55"/>
      <c r="E9" s="236"/>
      <c r="F9" s="55"/>
      <c r="G9" s="270">
        <f>G59</f>
        <v>-24191</v>
      </c>
      <c r="H9" s="270">
        <f t="shared" ref="H9:Q9" si="5">H59</f>
        <v>-12182</v>
      </c>
      <c r="I9" s="270">
        <f t="shared" si="5"/>
        <v>-7408</v>
      </c>
      <c r="J9" s="270">
        <f t="shared" si="5"/>
        <v>-17253</v>
      </c>
      <c r="K9" s="270">
        <f t="shared" si="5"/>
        <v>-15586</v>
      </c>
      <c r="L9" s="270">
        <f t="shared" si="5"/>
        <v>-5571</v>
      </c>
      <c r="M9" s="270">
        <f t="shared" si="5"/>
        <v>0</v>
      </c>
      <c r="N9" s="270">
        <f t="shared" si="5"/>
        <v>0</v>
      </c>
      <c r="O9" s="270">
        <f t="shared" si="5"/>
        <v>0</v>
      </c>
      <c r="P9" s="270" t="str">
        <f t="shared" si="5"/>
        <v/>
      </c>
      <c r="Q9" s="270" t="str">
        <f t="shared" si="5"/>
        <v/>
      </c>
    </row>
    <row r="10" spans="1:17" ht="15.75" customHeight="1">
      <c r="A10" s="10"/>
      <c r="B10" s="2" t="s">
        <v>64</v>
      </c>
      <c r="C10" s="266">
        <f>C48</f>
        <v>-14284.278364915397</v>
      </c>
      <c r="E10" s="237"/>
      <c r="G10" s="266">
        <f>G48</f>
        <v>21479.938127926187</v>
      </c>
      <c r="H10" s="266">
        <f t="shared" ref="H10:Q10" si="6">H48</f>
        <v>8600.938127926187</v>
      </c>
      <c r="I10" s="266">
        <f t="shared" si="6"/>
        <v>-1925.9528444520547</v>
      </c>
      <c r="J10" s="266">
        <f t="shared" si="6"/>
        <v>-33640</v>
      </c>
      <c r="K10" s="266">
        <f t="shared" si="6"/>
        <v>-29152</v>
      </c>
      <c r="L10" s="266">
        <f t="shared" si="6"/>
        <v>-50160</v>
      </c>
      <c r="M10" s="266">
        <f t="shared" si="6"/>
        <v>-58675</v>
      </c>
      <c r="N10" s="266">
        <f t="shared" si="6"/>
        <v>-21409</v>
      </c>
      <c r="O10" s="266">
        <f t="shared" si="6"/>
        <v>-26773</v>
      </c>
      <c r="P10" s="266" t="str">
        <f t="shared" si="6"/>
        <v/>
      </c>
      <c r="Q10" s="266" t="str">
        <f t="shared" si="6"/>
        <v/>
      </c>
    </row>
    <row r="11" spans="1:17" ht="15.75" customHeight="1">
      <c r="A11" s="10"/>
      <c r="B11" s="67" t="s">
        <v>136</v>
      </c>
      <c r="C11" s="267">
        <f>SUM(C8:C10)</f>
        <v>2783365.9485776797</v>
      </c>
      <c r="E11" s="237"/>
      <c r="G11" s="267">
        <f t="shared" ref="G11:Q11" si="7">IF(G$4="","",SUM(G8:G10))</f>
        <v>2749714.9381279261</v>
      </c>
      <c r="H11" s="267">
        <f t="shared" si="7"/>
        <v>4898737.9381279266</v>
      </c>
      <c r="I11" s="267">
        <f t="shared" si="7"/>
        <v>4182903.0471555479</v>
      </c>
      <c r="J11" s="267">
        <f t="shared" si="7"/>
        <v>5819322</v>
      </c>
      <c r="K11" s="267">
        <f t="shared" si="7"/>
        <v>8025564</v>
      </c>
      <c r="L11" s="267">
        <f t="shared" si="7"/>
        <v>6999903</v>
      </c>
      <c r="M11" s="267">
        <f t="shared" si="7"/>
        <v>2718812</v>
      </c>
      <c r="N11" s="267">
        <f t="shared" si="7"/>
        <v>1269404</v>
      </c>
      <c r="O11" s="267">
        <f t="shared" si="7"/>
        <v>406809</v>
      </c>
      <c r="P11" s="267" t="str">
        <f t="shared" si="7"/>
        <v/>
      </c>
      <c r="Q11" s="267" t="str">
        <f t="shared" si="7"/>
        <v/>
      </c>
    </row>
    <row r="12" spans="1:17" ht="15.75" customHeight="1">
      <c r="A12" s="10"/>
      <c r="B12" s="2" t="s">
        <v>59</v>
      </c>
      <c r="C12" s="266">
        <f>-C11*C41</f>
        <v>-695841.48714441992</v>
      </c>
      <c r="E12" s="237"/>
      <c r="G12" s="266">
        <f>Data!C46</f>
        <v>-1258391</v>
      </c>
      <c r="H12" s="266">
        <f>Data!D46</f>
        <v>-1895606</v>
      </c>
      <c r="I12" s="266">
        <f>Data!E46</f>
        <v>-1559940</v>
      </c>
      <c r="J12" s="266">
        <f>Data!F46</f>
        <v>-1715003</v>
      </c>
      <c r="K12" s="266">
        <f>Data!G46</f>
        <v>-2757433</v>
      </c>
      <c r="L12" s="266">
        <f>Data!H46</f>
        <v>-2463857</v>
      </c>
      <c r="M12" s="266">
        <f>Data!I46</f>
        <v>-946317</v>
      </c>
      <c r="N12" s="266">
        <f>Data!J46</f>
        <v>-490835</v>
      </c>
      <c r="O12" s="266">
        <f>Data!K46</f>
        <v>-188795</v>
      </c>
      <c r="P12" s="266" t="str">
        <f>Data!L46</f>
        <v/>
      </c>
      <c r="Q12" s="266" t="str">
        <f>Data!M46</f>
        <v/>
      </c>
    </row>
    <row r="13" spans="1:17" ht="15.75" customHeight="1">
      <c r="A13" s="10"/>
      <c r="B13" s="38" t="s">
        <v>207</v>
      </c>
      <c r="C13" s="266">
        <f>-C4*C79</f>
        <v>-154341</v>
      </c>
      <c r="D13" s="57"/>
      <c r="E13" s="242"/>
      <c r="F13" s="57"/>
      <c r="G13" s="270">
        <f>Data!C48</f>
        <v>-154341</v>
      </c>
      <c r="H13" s="270">
        <f>Data!D48</f>
        <v>-83995</v>
      </c>
      <c r="I13" s="270">
        <f>Data!E48</f>
        <v>0</v>
      </c>
      <c r="J13" s="270">
        <f>Data!F48</f>
        <v>-6058</v>
      </c>
      <c r="K13" s="270">
        <f>Data!G48</f>
        <v>-43852</v>
      </c>
      <c r="L13" s="270">
        <f>Data!H48</f>
        <v>0</v>
      </c>
      <c r="M13" s="270">
        <f>Data!I48</f>
        <v>0</v>
      </c>
      <c r="N13" s="270">
        <f>Data!J48</f>
        <v>0</v>
      </c>
      <c r="O13" s="270">
        <f>Data!K48</f>
        <v>0</v>
      </c>
      <c r="P13" s="270" t="str">
        <f>Data!L48</f>
        <v/>
      </c>
      <c r="Q13" s="270" t="str">
        <f>Data!M48</f>
        <v/>
      </c>
    </row>
    <row r="14" spans="1:17" ht="15.75" customHeight="1">
      <c r="A14" s="10"/>
      <c r="B14" s="39" t="s">
        <v>128</v>
      </c>
      <c r="C14" s="269">
        <f>SUM(C11:C13)</f>
        <v>1933183.4614332598</v>
      </c>
      <c r="D14" s="58"/>
      <c r="E14" s="243"/>
      <c r="F14" s="58"/>
      <c r="G14" s="267">
        <f t="shared" ref="G14:Q14" si="8">IF(G$4="","",SUM(G11:G13))</f>
        <v>1336982.9381279261</v>
      </c>
      <c r="H14" s="267">
        <f t="shared" si="8"/>
        <v>2919136.9381279266</v>
      </c>
      <c r="I14" s="267">
        <f t="shared" si="8"/>
        <v>2622963.0471555479</v>
      </c>
      <c r="J14" s="267">
        <f t="shared" si="8"/>
        <v>4098261</v>
      </c>
      <c r="K14" s="267">
        <f t="shared" si="8"/>
        <v>5224279</v>
      </c>
      <c r="L14" s="267">
        <f t="shared" si="8"/>
        <v>4536046</v>
      </c>
      <c r="M14" s="267">
        <f t="shared" si="8"/>
        <v>1772495</v>
      </c>
      <c r="N14" s="267">
        <f t="shared" si="8"/>
        <v>778569</v>
      </c>
      <c r="O14" s="267">
        <f t="shared" si="8"/>
        <v>218014</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1933183.4614332598</v>
      </c>
      <c r="D19" s="26"/>
      <c r="E19" s="234"/>
      <c r="F19" s="26"/>
      <c r="G19" s="271">
        <f t="shared" ref="G19:Q19" si="9">IF(G$4="","",G14+G17)</f>
        <v>1336982.9381279261</v>
      </c>
      <c r="H19" s="271">
        <f t="shared" si="9"/>
        <v>2919136.9381279266</v>
      </c>
      <c r="I19" s="271">
        <f t="shared" si="9"/>
        <v>2622963.0471555479</v>
      </c>
      <c r="J19" s="271">
        <f t="shared" si="9"/>
        <v>4098261</v>
      </c>
      <c r="K19" s="271">
        <f t="shared" si="9"/>
        <v>5224279</v>
      </c>
      <c r="L19" s="271">
        <f t="shared" si="9"/>
        <v>4536046</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-6267769.773057404</v>
      </c>
      <c r="D23" s="55"/>
      <c r="E23" s="236"/>
      <c r="F23" s="55"/>
      <c r="G23" s="270">
        <f>Data!C37</f>
        <v>-6337185</v>
      </c>
      <c r="H23" s="270">
        <f>Data!D37</f>
        <v>-6983747</v>
      </c>
      <c r="I23" s="270">
        <f>Data!E37</f>
        <v>-6868850</v>
      </c>
      <c r="J23" s="270">
        <f>Data!F37</f>
        <v>-7360333</v>
      </c>
      <c r="K23" s="270">
        <f>Data!G37</f>
        <v>-6768676</v>
      </c>
      <c r="L23" s="270">
        <f>Data!H37</f>
        <v>-5112187</v>
      </c>
      <c r="M23" s="270">
        <f>Data!I37</f>
        <v>-3372827</v>
      </c>
      <c r="N23" s="270">
        <f>Data!J37</f>
        <v>-2096800</v>
      </c>
      <c r="O23" s="270">
        <f>Data!K37</f>
        <v>-1690421</v>
      </c>
      <c r="P23" s="270" t="str">
        <f>Data!L37</f>
        <v/>
      </c>
      <c r="Q23" s="270" t="str">
        <f>Data!M37</f>
        <v/>
      </c>
    </row>
    <row r="24" spans="1:17" ht="15.75" customHeight="1">
      <c r="A24" s="10"/>
      <c r="B24" s="65" t="s">
        <v>58</v>
      </c>
      <c r="C24" s="266">
        <f>-C4*C30</f>
        <v>-7161991</v>
      </c>
      <c r="D24" s="26"/>
      <c r="E24" s="234"/>
      <c r="F24" s="26"/>
      <c r="G24" s="270">
        <f>Data!C40</f>
        <v>-7161991</v>
      </c>
      <c r="H24" s="270">
        <f>Data!D40</f>
        <v>-7181223</v>
      </c>
      <c r="I24" s="270">
        <f>Data!E40</f>
        <v>-6709067</v>
      </c>
      <c r="J24" s="270">
        <f>Data!F40</f>
        <v>-6545373</v>
      </c>
      <c r="K24" s="270">
        <f>Data!G40</f>
        <v>-6729305</v>
      </c>
      <c r="L24" s="270">
        <f>Data!H40</f>
        <v>-5263430</v>
      </c>
      <c r="M24" s="270">
        <f>Data!I40</f>
        <v>-3661314</v>
      </c>
      <c r="N24" s="270">
        <f>Data!J40</f>
        <v>-2139107</v>
      </c>
      <c r="O24" s="270">
        <f>Data!K40</f>
        <v>-1369520</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42</v>
      </c>
      <c r="C26" s="267">
        <f>SUM(C23:C25)</f>
        <v>-13429760.773057405</v>
      </c>
      <c r="D26" s="9"/>
      <c r="E26" s="240"/>
      <c r="F26" s="9"/>
      <c r="G26" s="267">
        <f>IF(G$4="","",SUM(G23:G25))</f>
        <v>-13499176</v>
      </c>
      <c r="H26" s="267">
        <f t="shared" ref="H26:Q26" si="10">IF(H$4="","",SUM(H23:H25))</f>
        <v>-14164970</v>
      </c>
      <c r="I26" s="267">
        <f t="shared" si="10"/>
        <v>-13577917</v>
      </c>
      <c r="J26" s="267">
        <f t="shared" si="10"/>
        <v>-13905706</v>
      </c>
      <c r="K26" s="267">
        <f t="shared" si="10"/>
        <v>-13497981</v>
      </c>
      <c r="L26" s="267">
        <f t="shared" si="10"/>
        <v>-10375617</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AVERAGE(G29:I29)</f>
        <v>0.34604501638266455</v>
      </c>
      <c r="D29" s="25"/>
      <c r="E29" s="235"/>
      <c r="F29" s="25"/>
      <c r="G29" s="13">
        <f t="shared" ref="G29:Q29" si="11">IF(G$4="","",ABS(G23/G$4))</f>
        <v>0.34987744708996532</v>
      </c>
      <c r="H29" s="13">
        <f t="shared" si="11"/>
        <v>0.33658964120384316</v>
      </c>
      <c r="I29" s="13">
        <f t="shared" si="11"/>
        <v>0.35166796085418528</v>
      </c>
      <c r="J29" s="13">
        <f t="shared" si="11"/>
        <v>0.34537826194657922</v>
      </c>
      <c r="K29" s="13">
        <f t="shared" si="11"/>
        <v>0.29718112254138246</v>
      </c>
      <c r="L29" s="13">
        <f t="shared" si="11"/>
        <v>0.27496015186797446</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0.39541517679558164</v>
      </c>
      <c r="D30" s="25"/>
      <c r="E30" s="235"/>
      <c r="F30" s="25"/>
      <c r="G30" s="13">
        <f t="shared" ref="G30:Q30" si="12">IF(G$4="","",ABS(G24/G$4))</f>
        <v>0.39541517679558164</v>
      </c>
      <c r="H30" s="13">
        <f t="shared" si="12"/>
        <v>0.34610722195044957</v>
      </c>
      <c r="I30" s="13">
        <f t="shared" si="12"/>
        <v>0.3434874704097638</v>
      </c>
      <c r="J30" s="13">
        <f t="shared" si="12"/>
        <v>0.3071368578747819</v>
      </c>
      <c r="K30" s="13">
        <f t="shared" si="12"/>
        <v>0.29545252481036727</v>
      </c>
      <c r="L30" s="13">
        <f t="shared" si="12"/>
        <v>0.28309479135768173</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42</v>
      </c>
      <c r="C32" s="68">
        <f>ABS(C26/$C$4)</f>
        <v>0.74146019317824619</v>
      </c>
      <c r="E32" s="237"/>
      <c r="G32" s="29">
        <f t="shared" ref="G32:Q32" si="14">IF(G$4="","",ABS(G26/G$4))</f>
        <v>0.74529262388554696</v>
      </c>
      <c r="H32" s="29">
        <f t="shared" si="14"/>
        <v>0.68269686315429268</v>
      </c>
      <c r="I32" s="29">
        <f t="shared" si="14"/>
        <v>0.69515543126394908</v>
      </c>
      <c r="J32" s="29">
        <f t="shared" si="14"/>
        <v>0.65251511982136112</v>
      </c>
      <c r="K32" s="29">
        <f t="shared" si="14"/>
        <v>0.59263364735174973</v>
      </c>
      <c r="L32" s="29">
        <f t="shared" si="14"/>
        <v>0.55805494322565619</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-1860983</v>
      </c>
      <c r="D35" s="55"/>
      <c r="E35" s="236"/>
      <c r="F35" s="55"/>
      <c r="G35" s="267">
        <f>IF(G4="","",Data!C41)</f>
        <v>-1860983</v>
      </c>
      <c r="H35" s="267">
        <f>IF(H4="","",Data!D41)</f>
        <v>-1681261</v>
      </c>
      <c r="I35" s="267">
        <f>IF(I4="","",Data!E41)</f>
        <v>-1762049</v>
      </c>
      <c r="J35" s="267">
        <f>IF(J4="","",Data!F41)</f>
        <v>-1535012</v>
      </c>
      <c r="K35" s="267">
        <f>IF(K4="","",Data!G41)</f>
        <v>-1207982</v>
      </c>
      <c r="L35" s="267">
        <f>IF(L4="","",Data!H41)</f>
        <v>-1161214</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0.10274530112626111</v>
      </c>
      <c r="E38" s="237"/>
      <c r="G38" s="29">
        <f t="shared" ref="G38:Q38" si="15">IF(G$4="","",ABS(G35/G$4))</f>
        <v>0.10274530112626111</v>
      </c>
      <c r="H38" s="29">
        <f t="shared" si="15"/>
        <v>8.1030288863559147E-2</v>
      </c>
      <c r="I38" s="29">
        <f t="shared" si="15"/>
        <v>9.0212507007018106E-2</v>
      </c>
      <c r="J38" s="29">
        <f t="shared" si="15"/>
        <v>7.2029319410839496E-2</v>
      </c>
      <c r="K38" s="29">
        <f t="shared" si="15"/>
        <v>5.3036878522444306E-2</v>
      </c>
      <c r="L38" s="29">
        <f t="shared" si="15"/>
        <v>6.2456161676248956E-2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0.45764416614645287</v>
      </c>
      <c r="H41" s="6">
        <f t="shared" si="16"/>
        <v>0.38695803366946668</v>
      </c>
      <c r="I41" s="6">
        <f t="shared" si="16"/>
        <v>0.37293238270506612</v>
      </c>
      <c r="J41" s="6">
        <f t="shared" si="16"/>
        <v>0.29470838699078689</v>
      </c>
      <c r="K41" s="6">
        <f t="shared" si="16"/>
        <v>0.34358121123948421</v>
      </c>
      <c r="L41" s="6">
        <f t="shared" si="16"/>
        <v>0.35198444892736369</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-31767.000000000004</v>
      </c>
      <c r="E45" s="237"/>
      <c r="G45" s="266">
        <f>Data!C51</f>
        <v>-31767</v>
      </c>
      <c r="H45" s="266">
        <f>Data!D51</f>
        <v>-44646</v>
      </c>
      <c r="I45" s="266">
        <f>Data!E51</f>
        <v>-53132</v>
      </c>
      <c r="J45" s="266">
        <f>Data!F51</f>
        <v>-33640</v>
      </c>
      <c r="K45" s="266">
        <f>Data!G51</f>
        <v>-29152</v>
      </c>
      <c r="L45" s="266">
        <f>Data!H51</f>
        <v>-50160</v>
      </c>
      <c r="M45" s="266">
        <f>Data!I51</f>
        <v>-58675</v>
      </c>
      <c r="N45" s="266">
        <f>Data!J51</f>
        <v>-21409</v>
      </c>
      <c r="O45" s="266">
        <f>Data!K51</f>
        <v>-26773</v>
      </c>
      <c r="P45" s="266" t="str">
        <f>Data!L51</f>
        <v/>
      </c>
      <c r="Q45" s="266" t="str">
        <f>Data!M51</f>
        <v/>
      </c>
    </row>
    <row r="46" spans="1:17" ht="15.75" customHeight="1">
      <c r="A46" s="10"/>
      <c r="B46" s="2" t="s">
        <v>271</v>
      </c>
      <c r="C46" s="266">
        <f>BS!D75*C51</f>
        <v>17482.721635084607</v>
      </c>
      <c r="E46" s="237"/>
      <c r="G46" s="274">
        <f t="shared" ref="G46:Q46" si="17">IFERROR(IF(G$4="","",($C$46/$C$47)*G47),0)</f>
        <v>53246.938127926187</v>
      </c>
      <c r="H46" s="274">
        <f t="shared" si="17"/>
        <v>53246.938127926187</v>
      </c>
      <c r="I46" s="274">
        <f t="shared" si="17"/>
        <v>51206.047155547945</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268</v>
      </c>
      <c r="C47" s="278">
        <f>BS!$C$66*C51</f>
        <v>101886.624</v>
      </c>
      <c r="D47" s="246"/>
      <c r="E47" s="247"/>
      <c r="F47" s="246"/>
      <c r="G47" s="278">
        <f>Data!C52</f>
        <v>310315</v>
      </c>
      <c r="H47" s="278">
        <f>Data!D52</f>
        <v>310315</v>
      </c>
      <c r="I47" s="278">
        <f>Data!E52</f>
        <v>298421</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64</v>
      </c>
      <c r="C48" s="267">
        <f>C45+C46</f>
        <v>-14284.278364915397</v>
      </c>
      <c r="E48" s="237"/>
      <c r="G48" s="267">
        <f>IF(G$4="","",(G45+G46))</f>
        <v>21479.938127926187</v>
      </c>
      <c r="H48" s="267">
        <f t="shared" ref="H48:Q48" si="18">IF(H$4="","",(H45+H46))</f>
        <v>8600.938127926187</v>
      </c>
      <c r="I48" s="267">
        <f t="shared" si="18"/>
        <v>-1925.9528444520547</v>
      </c>
      <c r="J48" s="267">
        <f t="shared" si="18"/>
        <v>-33640</v>
      </c>
      <c r="K48" s="267">
        <f t="shared" si="18"/>
        <v>-29152</v>
      </c>
      <c r="L48" s="267">
        <f t="shared" si="18"/>
        <v>-50160</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1.8274135768793359E-2</v>
      </c>
      <c r="H51" s="151"/>
      <c r="I51" s="151"/>
      <c r="J51" s="151"/>
      <c r="K51" s="151"/>
      <c r="L51" s="151"/>
      <c r="M51" s="151"/>
      <c r="N51" s="151"/>
      <c r="O51" s="151"/>
      <c r="P51" s="151"/>
      <c r="Q51" s="151"/>
    </row>
    <row r="52" spans="1:17" ht="15.75" customHeight="1">
      <c r="A52" s="10"/>
      <c r="B52" s="8" t="s">
        <v>83</v>
      </c>
      <c r="C52" s="79">
        <f>G52</f>
        <v>3.7144567634753857E-2</v>
      </c>
      <c r="E52" s="234"/>
      <c r="G52" s="22">
        <f>IFERROR(ABS(Normalized_FCF!G45/BS!$G$31),0)</f>
        <v>3.7144567634753857E-2</v>
      </c>
      <c r="H52" s="151"/>
      <c r="I52" s="151"/>
      <c r="J52" s="151"/>
      <c r="K52" s="151"/>
      <c r="L52" s="151"/>
      <c r="M52" s="151"/>
      <c r="N52" s="151"/>
      <c r="O52" s="151"/>
      <c r="P52" s="151"/>
      <c r="Q52" s="151"/>
    </row>
    <row r="53" spans="1:17" ht="15.75" customHeight="1">
      <c r="A53" s="10"/>
      <c r="B53" s="25" t="s">
        <v>86</v>
      </c>
      <c r="C53" s="40">
        <f>-C8/C45</f>
        <v>88.829326878288626</v>
      </c>
      <c r="E53" s="237"/>
      <c r="G53" s="40">
        <f t="shared" ref="G53:Q53" si="19">IF(G4="","",-G8/G45)</f>
        <v>86.644190512166716</v>
      </c>
      <c r="H53" s="40">
        <f t="shared" si="19"/>
        <v>109.80421538323702</v>
      </c>
      <c r="I53" s="40">
        <f t="shared" si="19"/>
        <v>78.902299932244219</v>
      </c>
      <c r="J53" s="40">
        <f t="shared" si="19"/>
        <v>174.50104042806183</v>
      </c>
      <c r="K53" s="40">
        <f t="shared" si="19"/>
        <v>276.83527716794731</v>
      </c>
      <c r="L53" s="40">
        <f t="shared" si="19"/>
        <v>140.66255980861243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133</v>
      </c>
      <c r="C57" s="266">
        <f>BS!$C68*C65</f>
        <v>-24191</v>
      </c>
      <c r="E57" s="237"/>
      <c r="G57" s="266">
        <f>Data!C55</f>
        <v>-24191</v>
      </c>
      <c r="H57" s="266">
        <f>Data!D55</f>
        <v>-12182</v>
      </c>
      <c r="I57" s="266">
        <f>Data!E55</f>
        <v>-7408</v>
      </c>
      <c r="J57" s="266">
        <f>Data!F55</f>
        <v>-17253</v>
      </c>
      <c r="K57" s="266">
        <f>Data!G55</f>
        <v>-15586</v>
      </c>
      <c r="L57" s="266">
        <f>Data!H55</f>
        <v>-5571</v>
      </c>
      <c r="M57" s="266">
        <f>Data!I55</f>
        <v>0</v>
      </c>
      <c r="N57" s="266">
        <f>Data!J55</f>
        <v>0</v>
      </c>
      <c r="O57" s="266">
        <f>Data!K55</f>
        <v>0</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162</v>
      </c>
      <c r="C59" s="267">
        <f>SUM(C56:C58)</f>
        <v>-24191</v>
      </c>
      <c r="E59" s="237"/>
      <c r="G59" s="267">
        <f t="shared" ref="G59:Q59" si="20">IF(G4="","",SUM(G56:G58))</f>
        <v>-24191</v>
      </c>
      <c r="H59" s="267">
        <f t="shared" si="20"/>
        <v>-12182</v>
      </c>
      <c r="I59" s="267">
        <f t="shared" si="20"/>
        <v>-7408</v>
      </c>
      <c r="J59" s="267">
        <f t="shared" si="20"/>
        <v>-17253</v>
      </c>
      <c r="K59" s="267">
        <f t="shared" si="20"/>
        <v>-15586</v>
      </c>
      <c r="L59" s="267">
        <f t="shared" si="20"/>
        <v>-5571</v>
      </c>
      <c r="M59" s="267">
        <f t="shared" si="20"/>
        <v>0</v>
      </c>
      <c r="N59" s="267">
        <f t="shared" si="20"/>
        <v>0</v>
      </c>
      <c r="O59" s="267">
        <f t="shared" si="20"/>
        <v>0</v>
      </c>
      <c r="P59" s="267" t="str">
        <f t="shared" si="20"/>
        <v/>
      </c>
      <c r="Q59" s="267" t="str">
        <f t="shared" si="20"/>
        <v/>
      </c>
    </row>
    <row r="60" spans="1:17" ht="15.75" customHeight="1">
      <c r="A60" s="10"/>
      <c r="B60" s="38" t="s">
        <v>134</v>
      </c>
      <c r="C60" s="279">
        <v>0</v>
      </c>
      <c r="E60" s="235" t="s">
        <v>263</v>
      </c>
      <c r="G60" s="266">
        <f>Data!C58</f>
        <v>345407</v>
      </c>
      <c r="H60" s="266">
        <f>Data!D58</f>
        <v>393920</v>
      </c>
      <c r="I60" s="266">
        <f>Data!E58</f>
        <v>420174</v>
      </c>
      <c r="J60" s="266">
        <f>Data!F58</f>
        <v>843787</v>
      </c>
      <c r="K60" s="266">
        <f>Data!G58</f>
        <v>1646765</v>
      </c>
      <c r="L60" s="266">
        <f>Data!H58</f>
        <v>2900586</v>
      </c>
      <c r="M60" s="266">
        <f>Data!I58</f>
        <v>469759</v>
      </c>
      <c r="N60" s="266">
        <f>Data!J58</f>
        <v>381657</v>
      </c>
      <c r="O60" s="266">
        <f>Data!K58</f>
        <v>188138</v>
      </c>
      <c r="P60" s="266" t="str">
        <f>Data!L58</f>
        <v/>
      </c>
      <c r="Q60" s="266" t="str">
        <f>Data!M58</f>
        <v/>
      </c>
    </row>
    <row r="61" spans="1:17" ht="15.75" customHeight="1">
      <c r="A61" s="10"/>
      <c r="B61" s="30" t="s">
        <v>163</v>
      </c>
      <c r="C61" s="267">
        <f>C59+C60</f>
        <v>-24191</v>
      </c>
      <c r="E61" s="237"/>
      <c r="G61" s="267">
        <f t="shared" ref="G61:Q61" si="21">IF(G4="","",G59+G60)</f>
        <v>321216</v>
      </c>
      <c r="H61" s="267">
        <f t="shared" si="21"/>
        <v>381738</v>
      </c>
      <c r="I61" s="267">
        <f t="shared" si="21"/>
        <v>412766</v>
      </c>
      <c r="J61" s="267">
        <f t="shared" si="21"/>
        <v>826534</v>
      </c>
      <c r="K61" s="267">
        <f t="shared" si="21"/>
        <v>1631179</v>
      </c>
      <c r="L61" s="267">
        <f t="shared" si="21"/>
        <v>2895015</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-0.23955042828142795</v>
      </c>
      <c r="E65" s="237"/>
      <c r="G65" s="22">
        <f>IFERROR(G57/BS!$C$68,0)</f>
        <v>-0.23955042828142795</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-1.4161616884211293E-3</v>
      </c>
      <c r="D67" s="9"/>
      <c r="E67" s="240"/>
      <c r="F67" s="9"/>
      <c r="G67" s="68">
        <f>G59/BS!C70</f>
        <v>-1.4161616884211293E-3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0.74146019317824619</v>
      </c>
      <c r="D71" s="26"/>
      <c r="E71" s="234"/>
      <c r="F71" s="26"/>
      <c r="G71" s="6">
        <f t="shared" ref="G71:Q71" si="23">IF(G$4="","",ABS(G5/G$4))</f>
        <v>0.74529262388554696</v>
      </c>
      <c r="H71" s="6">
        <f t="shared" si="23"/>
        <v>0.68269686315429268</v>
      </c>
      <c r="I71" s="6">
        <f t="shared" si="23"/>
        <v>0.69515543126394908</v>
      </c>
      <c r="J71" s="6">
        <f t="shared" si="23"/>
        <v>0.65251511982136112</v>
      </c>
      <c r="K71" s="6">
        <f t="shared" si="23"/>
        <v>0.59263364735174973</v>
      </c>
      <c r="L71" s="6">
        <f t="shared" si="23"/>
        <v>0.55805494322565619</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44</v>
      </c>
      <c r="C72" s="75">
        <f t="shared" si="22"/>
        <v>0.25853980682175376</v>
      </c>
      <c r="D72" s="26"/>
      <c r="E72" s="234"/>
      <c r="F72" s="26"/>
      <c r="G72" s="62">
        <f t="shared" ref="G72:Q72" si="24">IF(G$4="","",ABS(G6/G$4))</f>
        <v>0.25470737611445304</v>
      </c>
      <c r="H72" s="62">
        <f t="shared" si="24"/>
        <v>0.31730313684570727</v>
      </c>
      <c r="I72" s="62">
        <f t="shared" si="24"/>
        <v>0.30484456873605092</v>
      </c>
      <c r="J72" s="62">
        <f t="shared" si="24"/>
        <v>0.34748488017863882</v>
      </c>
      <c r="K72" s="62">
        <f t="shared" si="24"/>
        <v>0.40736635264825027</v>
      </c>
      <c r="L72" s="62">
        <f t="shared" si="24"/>
        <v>0.44194505677434381</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41</v>
      </c>
      <c r="C73" s="74">
        <f t="shared" si="22"/>
        <v>0.10274530112626111</v>
      </c>
      <c r="D73" s="26"/>
      <c r="E73" s="234"/>
      <c r="F73" s="26"/>
      <c r="G73" s="6">
        <f t="shared" ref="G73:Q73" si="25">IF(G$4="","",ABS(G7/G$4))</f>
        <v>0.10274530112626111</v>
      </c>
      <c r="H73" s="6">
        <f t="shared" si="25"/>
        <v>8.1030288863559147E-2</v>
      </c>
      <c r="I73" s="6">
        <f t="shared" si="25"/>
        <v>9.0212507007018106E-2</v>
      </c>
      <c r="J73" s="6">
        <f t="shared" si="25"/>
        <v>7.2029319410839496E-2</v>
      </c>
      <c r="K73" s="6">
        <f t="shared" si="25"/>
        <v>5.3036878522444306E-2</v>
      </c>
      <c r="L73" s="6">
        <f t="shared" si="25"/>
        <v>6.2456161676248956E-2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126</v>
      </c>
      <c r="C74" s="75">
        <f t="shared" si="22"/>
        <v>0.15579450569549266</v>
      </c>
      <c r="D74" s="26"/>
      <c r="E74" s="234"/>
      <c r="F74" s="26"/>
      <c r="G74" s="62">
        <f t="shared" ref="G74:Q74" si="26">IF(G$4="","",ABS(G8/G$4))</f>
        <v>0.15196207498819192</v>
      </c>
      <c r="H74" s="62">
        <f t="shared" si="26"/>
        <v>0.23627284798214815</v>
      </c>
      <c r="I74" s="62">
        <f t="shared" si="26"/>
        <v>0.21463206172903282</v>
      </c>
      <c r="J74" s="62">
        <f t="shared" si="26"/>
        <v>0.27545556076779931</v>
      </c>
      <c r="K74" s="62">
        <f t="shared" si="26"/>
        <v>0.35432947412580595</v>
      </c>
      <c r="L74" s="62">
        <f t="shared" si="26"/>
        <v>0.37948889509809486</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127</v>
      </c>
      <c r="C75" s="74">
        <f t="shared" si="22"/>
        <v>1.3355906956406278E-3</v>
      </c>
      <c r="D75" s="26"/>
      <c r="E75" s="234"/>
      <c r="F75" s="26"/>
      <c r="G75" s="6">
        <f t="shared" ref="G75:Q75" si="27">IF(G$4="","",G9/G$4)</f>
        <v>-1.3355906956406278E-3</v>
      </c>
      <c r="H75" s="6">
        <f t="shared" si="27"/>
        <v>-5.8712536538697889E-4</v>
      </c>
      <c r="I75" s="6">
        <f t="shared" si="27"/>
        <v>-3.7927109399794792E-4</v>
      </c>
      <c r="J75" s="6">
        <f t="shared" si="27"/>
        <v>-8.0958445132364688E-4</v>
      </c>
      <c r="K75" s="6">
        <f t="shared" si="27"/>
        <v>-6.8430886275690943E-4</v>
      </c>
      <c r="L75" s="6">
        <f t="shared" si="27"/>
        <v>-2.9963751444469572E-4</v>
      </c>
      <c r="M75" s="6">
        <f t="shared" si="27"/>
        <v>0</v>
      </c>
      <c r="N75" s="6">
        <f t="shared" si="27"/>
        <v>0</v>
      </c>
      <c r="O75" s="6">
        <f t="shared" si="27"/>
        <v>0</v>
      </c>
      <c r="P75" s="6" t="str">
        <f t="shared" si="27"/>
        <v/>
      </c>
      <c r="Q75" s="6" t="str">
        <f t="shared" si="27"/>
        <v/>
      </c>
    </row>
    <row r="76" spans="1:17" ht="15.75" customHeight="1">
      <c r="A76" s="10"/>
      <c r="B76" s="2" t="s">
        <v>64</v>
      </c>
      <c r="C76" s="74">
        <f t="shared" si="22"/>
        <v>7.8863830673067356E-4</v>
      </c>
      <c r="D76" s="26"/>
      <c r="E76" s="234"/>
      <c r="F76" s="26"/>
      <c r="G76" s="6">
        <f t="shared" ref="G76:Q76" si="28">IF(G$4="","",ABS(G10/G$4))</f>
        <v>1.185912343706113E-3</v>
      </c>
      <c r="H76" s="6">
        <f t="shared" si="28"/>
        <v>4.1453200960675263E-4</v>
      </c>
      <c r="I76" s="6">
        <f t="shared" si="28"/>
        <v>9.8603974393060261E-5</v>
      </c>
      <c r="J76" s="6">
        <f t="shared" si="28"/>
        <v>1.5785324837725313E-3</v>
      </c>
      <c r="K76" s="6">
        <f t="shared" si="28"/>
        <v>1.2799289084492124E-3</v>
      </c>
      <c r="L76" s="6">
        <f t="shared" si="28"/>
        <v>2.6978671198251551E-3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136</v>
      </c>
      <c r="C77" s="75">
        <f>C11/C4</f>
        <v>0.15367027669312136</v>
      </c>
      <c r="D77" s="26"/>
      <c r="E77" s="234"/>
      <c r="F77" s="26"/>
      <c r="G77" s="62">
        <f t="shared" ref="G77:Q77" si="29">IF(G$4="","",G11/G$4)</f>
        <v>0.1518123966362574</v>
      </c>
      <c r="H77" s="62">
        <f t="shared" si="29"/>
        <v>0.23610025462636794</v>
      </c>
      <c r="I77" s="62">
        <f t="shared" si="29"/>
        <v>0.21415418666064182</v>
      </c>
      <c r="J77" s="62">
        <f t="shared" si="29"/>
        <v>0.27306744383270315</v>
      </c>
      <c r="K77" s="62">
        <f t="shared" si="29"/>
        <v>0.35236523635459982</v>
      </c>
      <c r="L77" s="62">
        <f t="shared" si="29"/>
        <v>0.37649139046382502</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59</v>
      </c>
      <c r="C78" s="74">
        <f>ABS(C12/C$4)</f>
        <v>3.841756917328034E-2</v>
      </c>
      <c r="D78" s="26"/>
      <c r="E78" s="234"/>
      <c r="F78" s="26"/>
      <c r="G78" s="6">
        <f t="shared" ref="G78:Q78" si="30">IF(G$4="","",ABS(G12/G$4))</f>
        <v>6.9476057669294586E-2</v>
      </c>
      <c r="H78" s="6">
        <f t="shared" si="30"/>
        <v>9.1360890279079746E-2</v>
      </c>
      <c r="I78" s="6">
        <f t="shared" si="30"/>
        <v>7.9865031097618638E-2</v>
      </c>
      <c r="J78" s="6">
        <f t="shared" si="30"/>
        <v>8.0475265911633245E-2</v>
      </c>
      <c r="K78" s="6">
        <f t="shared" si="30"/>
        <v>0.12106607470540055</v>
      </c>
      <c r="L78" s="6">
        <f t="shared" si="30"/>
        <v>0.13251911459830637</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8.5212022469459778E-3</v>
      </c>
      <c r="D79" s="26"/>
      <c r="E79" s="234"/>
      <c r="F79" s="26"/>
      <c r="G79" s="6">
        <f t="shared" ref="G79:Q79" si="31">IF(G$4="","",-G13/G$4)</f>
        <v>8.5212022469459778E-3</v>
      </c>
      <c r="H79" s="6">
        <f t="shared" si="31"/>
        <v>4.0482346959185098E-3</v>
      </c>
      <c r="I79" s="6">
        <f t="shared" si="31"/>
        <v>0</v>
      </c>
      <c r="J79" s="6">
        <f t="shared" si="31"/>
        <v>2.8426723503846595E-4</v>
      </c>
      <c r="K79" s="6">
        <f t="shared" si="31"/>
        <v>1.9253376266916459E-3</v>
      </c>
      <c r="L79" s="6">
        <f t="shared" si="31"/>
        <v>0</v>
      </c>
      <c r="M79" s="6">
        <f t="shared" si="31"/>
        <v>0</v>
      </c>
      <c r="N79" s="6">
        <f t="shared" si="31"/>
        <v>0</v>
      </c>
      <c r="O79" s="6">
        <f t="shared" si="31"/>
        <v>0</v>
      </c>
      <c r="P79" s="6" t="str">
        <f t="shared" si="31"/>
        <v/>
      </c>
      <c r="Q79" s="6" t="str">
        <f t="shared" si="31"/>
        <v/>
      </c>
    </row>
    <row r="80" spans="1:17" ht="15.75" customHeight="1">
      <c r="A80" s="10"/>
      <c r="B80" s="39" t="s">
        <v>128</v>
      </c>
      <c r="C80" s="75">
        <f>ABS(C14/C$4)</f>
        <v>0.10673150527289504</v>
      </c>
      <c r="D80" s="26"/>
      <c r="E80" s="234"/>
      <c r="F80" s="26"/>
      <c r="G80" s="62">
        <f t="shared" ref="G80:Q80" si="32">IF(G$4="","",ABS(G14/G$4))</f>
        <v>7.3815136720016827E-2</v>
      </c>
      <c r="H80" s="62">
        <f t="shared" si="32"/>
        <v>0.14069112965136968</v>
      </c>
      <c r="I80" s="62">
        <f t="shared" si="32"/>
        <v>0.13428915556302318</v>
      </c>
      <c r="J80" s="62">
        <f t="shared" si="32"/>
        <v>0.19230791068603142</v>
      </c>
      <c r="K80" s="62">
        <f t="shared" si="32"/>
        <v>0.22937382402250764</v>
      </c>
      <c r="L80" s="62">
        <f t="shared" si="32"/>
        <v>0.24397227586551865</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0.10673150527289504</v>
      </c>
      <c r="D85" s="72"/>
      <c r="E85" s="234"/>
      <c r="F85" s="72"/>
      <c r="G85" s="62">
        <f t="shared" ref="G85:Q85" si="35">IF(G$4="","",ABS(G19/G$4))</f>
        <v>7.3815136720016827E-2</v>
      </c>
      <c r="H85" s="62">
        <f t="shared" si="35"/>
        <v>0.14069112965136968</v>
      </c>
      <c r="I85" s="62">
        <f t="shared" si="35"/>
        <v>0.13428915556302318</v>
      </c>
      <c r="J85" s="62">
        <f t="shared" si="35"/>
        <v>0.19230791068603142</v>
      </c>
      <c r="K85" s="62">
        <f t="shared" si="35"/>
        <v>0.22937382402250764</v>
      </c>
      <c r="L85" s="62">
        <f t="shared" si="35"/>
        <v>0.24397227586551865</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0.1209*2</f>
        <v>0.24179999999999999</v>
      </c>
      <c r="E88" s="237"/>
      <c r="G88" s="109">
        <f>Data!C65</f>
        <v>0.32640000000000002</v>
      </c>
      <c r="H88" s="109">
        <f>Data!D65</f>
        <v>0.32640000000000002</v>
      </c>
      <c r="I88" s="109">
        <f>Data!E65</f>
        <v>0.2833</v>
      </c>
      <c r="J88" s="109">
        <f>Data!F65</f>
        <v>0.28520000000000001</v>
      </c>
      <c r="K88" s="109">
        <f>Data!G65</f>
        <v>0.47060000000000002</v>
      </c>
      <c r="L88" s="109">
        <f>Data!H65</f>
        <v>0.29610000000000003</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2958898.1561856004</v>
      </c>
      <c r="I89" s="71">
        <f t="shared" si="36"/>
        <v>2568185.8077431996</v>
      </c>
      <c r="J89" s="71">
        <f t="shared" si="36"/>
        <v>2585409.7859808002</v>
      </c>
      <c r="K89" s="71">
        <f t="shared" si="36"/>
        <v>4266107.4519023998</v>
      </c>
      <c r="L89" s="71">
        <f t="shared" si="36"/>
        <v>2684221.0295544006</v>
      </c>
      <c r="M89" s="71">
        <f t="shared" si="36"/>
        <v>0</v>
      </c>
      <c r="N89" s="71">
        <f t="shared" si="36"/>
        <v>0</v>
      </c>
      <c r="O89" s="71">
        <f t="shared" si="36"/>
        <v>0</v>
      </c>
      <c r="P89" s="71" t="str">
        <f t="shared" si="36"/>
        <v/>
      </c>
      <c r="Q89" s="71" t="str">
        <f t="shared" si="36"/>
        <v/>
      </c>
    </row>
    <row r="90" spans="1:17" ht="15.75" customHeight="1">
      <c r="A90" s="10"/>
      <c r="B90" s="2" t="s">
        <v>181</v>
      </c>
      <c r="C90" s="22">
        <f>C88/(C19*scaling_factor/Common_Shares)</f>
        <v>1.1338695502816223</v>
      </c>
      <c r="E90" s="237"/>
      <c r="G90" s="152">
        <f t="shared" ref="G90:Q90" si="37">IF(G$4="","",G88/(G19*scaling_factor/Common_Shares))</f>
        <v>2.2131158684259029</v>
      </c>
      <c r="H90" s="152">
        <f t="shared" si="37"/>
        <v>1.0136208814113301</v>
      </c>
      <c r="I90" s="152">
        <f t="shared" si="37"/>
        <v>0.97911627482828989</v>
      </c>
      <c r="J90" s="152">
        <f t="shared" si="37"/>
        <v>0.63085532765746255</v>
      </c>
      <c r="K90" s="152">
        <f t="shared" si="37"/>
        <v>0.81659257706228938</v>
      </c>
      <c r="L90" s="152">
        <f t="shared" si="37"/>
        <v>0.59175348520592608</v>
      </c>
      <c r="M90" s="152">
        <f t="shared" si="37"/>
        <v>0</v>
      </c>
      <c r="N90" s="152">
        <f t="shared" si="37"/>
        <v>0</v>
      </c>
      <c r="O90" s="152">
        <f t="shared" si="37"/>
        <v>0</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7.1117647058823522E-2</v>
      </c>
      <c r="E92" s="237"/>
      <c r="G92" s="22">
        <f t="shared" ref="G92:Q92" si="38">IF(G$4="","",(G88*(1-dividend_tax_rate))/Market_Price)</f>
        <v>9.6000000000000016E-2</v>
      </c>
      <c r="H92" s="22">
        <f t="shared" si="38"/>
        <v>9.6000000000000016E-2</v>
      </c>
      <c r="I92" s="22">
        <f t="shared" si="38"/>
        <v>8.3323529411764713E-2</v>
      </c>
      <c r="J92" s="22">
        <f t="shared" si="38"/>
        <v>8.3882352941176477E-2</v>
      </c>
      <c r="K92" s="22">
        <f t="shared" si="38"/>
        <v>0.13841176470588237</v>
      </c>
      <c r="L92" s="22">
        <f t="shared" si="38"/>
        <v>8.7088235294117661E-2</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-0.12704333555838843</v>
      </c>
      <c r="H95" s="6">
        <f t="shared" si="39"/>
        <v>6.2273927830875042E-2</v>
      </c>
      <c r="I95" s="6">
        <f t="shared" si="39"/>
        <v>-8.3465608943540825E-2</v>
      </c>
      <c r="J95" s="6">
        <f t="shared" si="39"/>
        <v>-6.4335921627185155E-2</v>
      </c>
      <c r="K95" s="6">
        <f t="shared" si="39"/>
        <v>0.22502664385814364</v>
      </c>
      <c r="L95" s="6">
        <f t="shared" si="39"/>
        <v>0.78912754980625799</v>
      </c>
      <c r="M95" s="6">
        <f t="shared" si="39"/>
        <v>0.76515339903452539</v>
      </c>
      <c r="N95" s="6">
        <f t="shared" si="39"/>
        <v>0.58073516109119883</v>
      </c>
      <c r="O95" s="6" t="str">
        <f t="shared" si="39"/>
        <v/>
      </c>
      <c r="P95" s="6" t="str">
        <f t="shared" si="39"/>
        <v/>
      </c>
      <c r="Q95" s="6" t="str">
        <f t="shared" si="39"/>
        <v/>
      </c>
    </row>
    <row r="96" spans="1:17" ht="15.75" customHeight="1">
      <c r="A96" s="10"/>
      <c r="B96" s="67" t="s">
        <v>136</v>
      </c>
      <c r="C96" s="74">
        <f>C11/G11-1</f>
        <v>1.2237999649761466E-2</v>
      </c>
      <c r="D96" s="26"/>
      <c r="E96" s="234"/>
      <c r="F96" s="26"/>
      <c r="G96" s="6">
        <f t="shared" ref="G96:Q96" si="40">IF(H5="","",G11/H11-1)</f>
        <v>-0.43868911281693479</v>
      </c>
      <c r="H96" s="6">
        <f t="shared" si="40"/>
        <v>0.17113351251570608</v>
      </c>
      <c r="I96" s="6">
        <f t="shared" si="40"/>
        <v>-0.28120440024532967</v>
      </c>
      <c r="J96" s="6">
        <f t="shared" si="40"/>
        <v>-0.27490180129396513</v>
      </c>
      <c r="K96" s="6">
        <f t="shared" si="40"/>
        <v>0.14652503041827858</v>
      </c>
      <c r="L96" s="6">
        <f t="shared" si="40"/>
        <v>1.5746182523837615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34038746</v>
      </c>
      <c r="D100" s="25"/>
      <c r="E100" s="238"/>
      <c r="F100" s="25"/>
      <c r="G100" s="270">
        <f t="shared" ref="G100:Q100" si="41">IF(G$4="","",G104+G103)</f>
        <v>34038746</v>
      </c>
      <c r="H100" s="270">
        <f t="shared" si="41"/>
        <v>33902693</v>
      </c>
      <c r="I100" s="270">
        <f t="shared" si="41"/>
        <v>36194678</v>
      </c>
      <c r="J100" s="270">
        <f t="shared" si="41"/>
        <v>35515773</v>
      </c>
      <c r="K100" s="270">
        <f t="shared" si="41"/>
        <v>31481424</v>
      </c>
      <c r="L100" s="270">
        <f t="shared" si="41"/>
        <v>28322838</v>
      </c>
      <c r="M100" s="270">
        <f t="shared" si="41"/>
        <v>11857435</v>
      </c>
      <c r="N100" s="270">
        <f t="shared" si="41"/>
        <v>7013558</v>
      </c>
      <c r="O100" s="270">
        <f t="shared" si="41"/>
        <v>4694947</v>
      </c>
      <c r="P100" s="270" t="str">
        <f t="shared" si="41"/>
        <v/>
      </c>
      <c r="Q100" s="270" t="str">
        <f t="shared" si="41"/>
        <v/>
      </c>
    </row>
    <row r="101" spans="1:17" ht="15.75" customHeight="1">
      <c r="A101" s="10"/>
      <c r="B101" s="90" t="s">
        <v>178</v>
      </c>
      <c r="C101" s="281">
        <f>BS!C4</f>
        <v>373991</v>
      </c>
      <c r="D101" s="86"/>
      <c r="E101" s="239"/>
      <c r="F101" s="86"/>
      <c r="G101" s="282">
        <f>IF(G$4="","",Data!D77)</f>
        <v>334915</v>
      </c>
      <c r="H101" s="282">
        <f>IF(H$4="","",Data!E77)</f>
        <v>431184</v>
      </c>
      <c r="I101" s="282">
        <f>IF(I$4="","",Data!F77)</f>
        <v>430651</v>
      </c>
      <c r="J101" s="282">
        <f>IF(J$4="","",Data!G77)</f>
        <v>477328</v>
      </c>
      <c r="K101" s="282">
        <f>IF(K$4="","",Data!H77)</f>
        <v>288808</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179</v>
      </c>
      <c r="C102" s="281">
        <f>BS!C6+BS!C7</f>
        <v>2505587</v>
      </c>
      <c r="D102" s="86"/>
      <c r="E102" s="239"/>
      <c r="F102" s="86"/>
      <c r="G102" s="282">
        <f>IF(G$4="","",Data!D78)</f>
        <v>2050919</v>
      </c>
      <c r="H102" s="282">
        <f>IF(H$4="","",Data!E78)</f>
        <v>2258059</v>
      </c>
      <c r="I102" s="282">
        <f>IF(I$4="","",Data!F78)</f>
        <v>1994166</v>
      </c>
      <c r="J102" s="282">
        <f>IF(J$4="","",Data!G78)</f>
        <v>1721807</v>
      </c>
      <c r="K102" s="282">
        <f>IF(K$4="","",Data!H78)</f>
        <v>1284472</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37</v>
      </c>
      <c r="C103" s="280">
        <f>BS!G30</f>
        <v>7917258</v>
      </c>
      <c r="D103" s="25"/>
      <c r="E103" s="238"/>
      <c r="F103" s="25"/>
      <c r="G103" s="270">
        <f>Data!C79</f>
        <v>7917258</v>
      </c>
      <c r="H103" s="270">
        <f>Data!D79</f>
        <v>6749408</v>
      </c>
      <c r="I103" s="270">
        <f>Data!E79</f>
        <v>9860332</v>
      </c>
      <c r="J103" s="270">
        <f>Data!F79</f>
        <v>10040830</v>
      </c>
      <c r="K103" s="270">
        <f>Data!G79</f>
        <v>9078054</v>
      </c>
      <c r="L103" s="270">
        <f>Data!H79</f>
        <v>9137313</v>
      </c>
      <c r="M103" s="270">
        <f>Data!I79</f>
        <v>6069951</v>
      </c>
      <c r="N103" s="270">
        <f>Data!J79</f>
        <v>3428545</v>
      </c>
      <c r="O103" s="270">
        <f>Data!K79</f>
        <v>2318007</v>
      </c>
      <c r="P103" s="270" t="str">
        <f>Data!L79</f>
        <v/>
      </c>
      <c r="Q103" s="270" t="str">
        <f>Data!M79</f>
        <v/>
      </c>
    </row>
    <row r="104" spans="1:17" ht="15.75" customHeight="1">
      <c r="A104" s="10"/>
      <c r="B104" s="25" t="s">
        <v>27</v>
      </c>
      <c r="C104" s="280">
        <f>BS!G27</f>
        <v>26121488</v>
      </c>
      <c r="D104" s="25"/>
      <c r="E104" s="238"/>
      <c r="F104" s="25"/>
      <c r="G104" s="270">
        <f>Data!C80</f>
        <v>26121488</v>
      </c>
      <c r="H104" s="270">
        <f>Data!D80</f>
        <v>27153285</v>
      </c>
      <c r="I104" s="270">
        <f>Data!E80</f>
        <v>26334346</v>
      </c>
      <c r="J104" s="270">
        <f>Data!F80</f>
        <v>25474943</v>
      </c>
      <c r="K104" s="270">
        <f>Data!G80</f>
        <v>22403370</v>
      </c>
      <c r="L104" s="270">
        <f>Data!H80</f>
        <v>19185525</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2.0648129463574635E-2</v>
      </c>
      <c r="D107" s="25"/>
      <c r="E107" s="238"/>
      <c r="F107" s="25"/>
      <c r="G107" s="91">
        <f t="shared" ref="G107:Q107" si="42">IF(G$4="","",G101/G$4)</f>
        <v>1.8490734481025211E-2</v>
      </c>
      <c r="H107" s="91">
        <f t="shared" si="42"/>
        <v>2.0781404001725422E-2</v>
      </c>
      <c r="I107" s="91">
        <f t="shared" si="42"/>
        <v>2.2048255386245986E-2</v>
      </c>
      <c r="J107" s="91">
        <f t="shared" si="42"/>
        <v>2.2398268531931474E-2</v>
      </c>
      <c r="K107" s="91">
        <f t="shared" si="42"/>
        <v>1.2680217761779642E-2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186</v>
      </c>
      <c r="C108" s="91">
        <f>C102/C$4</f>
        <v>0.13833403680369202</v>
      </c>
      <c r="D108" s="25"/>
      <c r="E108" s="238"/>
      <c r="F108" s="25"/>
      <c r="G108" s="91">
        <f t="shared" ref="G108:Q108" si="43">IF(G$4="","",G102/G$4)</f>
        <v>0.11323171154200243</v>
      </c>
      <c r="H108" s="91">
        <f t="shared" si="43"/>
        <v>0.10882972545069415</v>
      </c>
      <c r="I108" s="91">
        <f t="shared" si="43"/>
        <v>0.10209631755311983</v>
      </c>
      <c r="J108" s="91">
        <f t="shared" si="43"/>
        <v>8.079453865300032E-2</v>
      </c>
      <c r="K108" s="91">
        <f t="shared" si="43"/>
        <v>5.6395199125054085E-2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1.1437262596740119</v>
      </c>
      <c r="I112" s="251">
        <f>IF(I$4="","",Data!E$22/Data!E15)</f>
        <v>1.2598487942931333</v>
      </c>
      <c r="J112" s="251">
        <f>IF(J$4="","",Data!F$22/Data!F15)</f>
        <v>1.2689863555873702</v>
      </c>
      <c r="K112" s="251">
        <f>IF(K$4="","",Data!G$22/Data!G15)</f>
        <v>0.9855443957508544</v>
      </c>
      <c r="L112" s="251">
        <f>IF(L$4="","",Data!H$22/Data!H15)</f>
        <v>1.0418658607821389</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1.4316947401173437</v>
      </c>
      <c r="I113" s="251">
        <f>IF(I$4="","",Data!E$22/I19)</f>
        <v>1.5804057950779706</v>
      </c>
      <c r="J113" s="251">
        <f>IF(J$4="","",Data!F$22/J19)</f>
        <v>1.5321325313346319</v>
      </c>
      <c r="K113" s="251">
        <f>IF(K$4="","",Data!G$22/K19)</f>
        <v>1.3044741676315526</v>
      </c>
      <c r="L113" s="251">
        <f>IF(L$4="","",Data!H$22/L19)</f>
        <v>1.7080896005022876</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0.15367027669312136</v>
      </c>
      <c r="E116" s="22">
        <f>E119/E117/E118</f>
        <v>0.15367027669312136</v>
      </c>
      <c r="G116" s="22">
        <f t="shared" ref="G116:Q116" si="44">IF(G4="","",G77)</f>
        <v>0.1518123966362574</v>
      </c>
      <c r="H116" s="22">
        <f t="shared" si="44"/>
        <v>0.23610025462636794</v>
      </c>
      <c r="I116" s="22">
        <f t="shared" si="44"/>
        <v>0.21415418666064182</v>
      </c>
      <c r="J116" s="22">
        <f t="shared" si="44"/>
        <v>0.27306744383270315</v>
      </c>
      <c r="K116" s="22">
        <f t="shared" si="44"/>
        <v>0.35236523635459982</v>
      </c>
      <c r="L116" s="22">
        <f t="shared" si="44"/>
        <v>0.37649139046382502</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79</v>
      </c>
      <c r="C117" s="452">
        <f>G117</f>
        <v>0.53211669431065411</v>
      </c>
      <c r="E117" s="452">
        <f>C117</f>
        <v>0.53211669431065411</v>
      </c>
      <c r="G117" s="40">
        <f t="shared" ref="G117:Q117" si="45">IF(G4="","",G4/G100)</f>
        <v>0.53211669431065411</v>
      </c>
      <c r="H117" s="40">
        <f t="shared" si="45"/>
        <v>0.61200300518899786</v>
      </c>
      <c r="I117" s="40">
        <f t="shared" si="45"/>
        <v>0.53964295524330952</v>
      </c>
      <c r="J117" s="40">
        <f t="shared" si="45"/>
        <v>0.60004136753548909</v>
      </c>
      <c r="K117" s="40">
        <f t="shared" si="45"/>
        <v>0.72348267981778713</v>
      </c>
      <c r="L117" s="40">
        <f t="shared" si="45"/>
        <v>0.65644781077376502</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87</v>
      </c>
      <c r="C118" s="15">
        <f>C100/C104</f>
        <v>1.3030936828713586</v>
      </c>
      <c r="D118" s="11"/>
      <c r="E118" s="15">
        <f>C100/C104</f>
        <v>1.3030936828713586</v>
      </c>
      <c r="F118" s="11"/>
      <c r="G118" s="15">
        <f t="shared" ref="G118:Q118" si="46">IF(G$4="","",G100/G104)</f>
        <v>1.3030936828713586</v>
      </c>
      <c r="H118" s="15">
        <f t="shared" si="46"/>
        <v>1.2485669045200241</v>
      </c>
      <c r="I118" s="15">
        <f t="shared" si="46"/>
        <v>1.374428588429726</v>
      </c>
      <c r="J118" s="15">
        <f t="shared" si="46"/>
        <v>1.3941453372437378</v>
      </c>
      <c r="K118" s="15">
        <f t="shared" si="46"/>
        <v>1.4052093055642969</v>
      </c>
      <c r="L118" s="15">
        <f t="shared" si="46"/>
        <v>1.4762607747246947</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190</v>
      </c>
      <c r="C119" s="62">
        <f>C11/C104</f>
        <v>0.10655464759808782</v>
      </c>
      <c r="D119" s="100"/>
      <c r="E119" s="453">
        <f>C11/C104</f>
        <v>0.10655464759808782</v>
      </c>
      <c r="F119" s="100"/>
      <c r="G119" s="99">
        <f t="shared" ref="G119:Q119" si="47">IF(G$4="","",G11/G104)</f>
        <v>0.10526639746280633</v>
      </c>
      <c r="H119" s="99">
        <f t="shared" si="47"/>
        <v>0.18041050790458416</v>
      </c>
      <c r="I119" s="99">
        <f t="shared" si="47"/>
        <v>0.1588383112743923</v>
      </c>
      <c r="J119" s="99">
        <f t="shared" si="47"/>
        <v>0.22843317058648571</v>
      </c>
      <c r="K119" s="99">
        <f t="shared" si="47"/>
        <v>0.35823021268675204</v>
      </c>
      <c r="L119" s="99">
        <f t="shared" si="47"/>
        <v>0.36485334646823581</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0.2442652895398853</v>
      </c>
      <c r="D123" s="26"/>
      <c r="E123" s="234"/>
      <c r="F123" s="26"/>
      <c r="G123" s="159">
        <f t="shared" ref="G123:Q123" si="48">IF(G$4="","",G14*$C$3/Common_Shares*Exchange_Rate)</f>
        <v>0.16893302214037126</v>
      </c>
      <c r="H123" s="159">
        <f t="shared" si="48"/>
        <v>0.36884436662299108</v>
      </c>
      <c r="I123" s="159">
        <f t="shared" si="48"/>
        <v>0.33142163739123676</v>
      </c>
      <c r="J123" s="159">
        <f t="shared" si="48"/>
        <v>0.51783130248426246</v>
      </c>
      <c r="K123" s="159">
        <f t="shared" si="48"/>
        <v>0.66010807977119568</v>
      </c>
      <c r="L123" s="159">
        <f t="shared" si="48"/>
        <v>0.57314714907335784</v>
      </c>
      <c r="M123" s="159">
        <f t="shared" si="48"/>
        <v>0.22396167410929729</v>
      </c>
      <c r="N123" s="159">
        <f t="shared" si="48"/>
        <v>9.8375237532180054E-2</v>
      </c>
      <c r="O123" s="159">
        <f t="shared" si="48"/>
        <v>2.7546921384412559E-2</v>
      </c>
      <c r="P123" s="159" t="str">
        <f t="shared" si="48"/>
        <v/>
      </c>
      <c r="Q123" s="159" t="str">
        <f t="shared" si="48"/>
        <v/>
      </c>
    </row>
    <row r="124" spans="1:17" ht="15.75" customHeight="1">
      <c r="A124" s="10"/>
      <c r="B124" s="26" t="s">
        <v>225</v>
      </c>
      <c r="C124" s="74">
        <f>C19*Exchange_Rate*$C$3/(Market_Price*Common_Shares)</f>
        <v>7.1842732217613336E-2</v>
      </c>
      <c r="D124" s="26"/>
      <c r="E124" s="234"/>
      <c r="F124" s="26"/>
      <c r="G124" s="74">
        <f t="shared" ref="G124" si="49">IF(G$4="","",G123/Market_Price)</f>
        <v>4.9686182982462135E-2</v>
      </c>
      <c r="H124" s="74">
        <f t="shared" ref="H124" si="50">IF(H$4="","",H123/Market_Price)</f>
        <v>0.1084836372420562</v>
      </c>
      <c r="I124" s="74">
        <f t="shared" ref="I124" si="51">IF(I$4="","",I123/Market_Price)</f>
        <v>9.7476952173893169E-2</v>
      </c>
      <c r="J124" s="74">
        <f t="shared" ref="J124" si="52">IF(J$4="","",J123/Market_Price)</f>
        <v>0.1523033242600772</v>
      </c>
      <c r="K124" s="74">
        <f t="shared" ref="K124" si="53">IF(K$4="","",K123/Market_Price)</f>
        <v>0.19414943522682226</v>
      </c>
      <c r="L124" s="74">
        <f t="shared" ref="L124" si="54">IF(L$4="","",L123/Market_Price)</f>
        <v>0.16857269090392879</v>
      </c>
      <c r="M124" s="74">
        <f t="shared" ref="M124" si="55">IF(M$4="","",M123/Market_Price)</f>
        <v>6.5871080620381564E-2</v>
      </c>
      <c r="N124" s="74">
        <f t="shared" ref="N124" si="56">IF(N$4="","",N123/Market_Price)</f>
        <v>2.8933893391817664E-2</v>
      </c>
      <c r="O124" s="74">
        <f t="shared" ref="O124" si="57">IF(O$4="","",O123/Market_Price)</f>
        <v>8.102035701297812E-3</v>
      </c>
      <c r="P124" s="74" t="str">
        <f t="shared" ref="P124" si="58">IF(P$4="","",P123/Market_Price)</f>
        <v/>
      </c>
      <c r="Q124" s="74" t="str">
        <f t="shared" ref="Q124" si="59">IF(Q$4="","",Q123/Market_Price)</f>
        <v/>
      </c>
    </row>
    <row r="125" spans="1:17" ht="15.75" customHeight="1">
      <c r="B125" s="2" t="s">
        <v>305</v>
      </c>
      <c r="C125" s="151"/>
      <c r="G125" s="22">
        <f>IF(G$4="","",(Data!C47*$C$3)/(Market_Price*Common_Shares))</f>
        <v>6.7932282015113657E-2</v>
      </c>
      <c r="H125" s="22">
        <f>IF(H$4="","",(Data!D47*$C$3)/(Market_Price*Common_Shares))</f>
        <v>0.11855613187181155</v>
      </c>
      <c r="I125" s="22">
        <f>IF(I$4="","",(Data!E47*$C$3)/(Market_Price*Common_Shares))</f>
        <v>0.10675385745861626</v>
      </c>
      <c r="J125" s="22">
        <f>IF(J$4="","",(Data!F47*$C$3)/(Market_Price*Common_Shares))</f>
        <v>0.16053887323122992</v>
      </c>
      <c r="K125" s="22">
        <f>IF(K$4="","",(Data!G47*$C$3)/(Market_Price*Common_Shares))</f>
        <v>0.22435041051083768</v>
      </c>
      <c r="L125" s="22">
        <f>IF(L$4="","",(Data!H47*$C$3)/(Market_Price*Common_Shares))</f>
        <v>0.24127787923607699</v>
      </c>
      <c r="M125" s="22">
        <f>IF(M$4="","",(Data!I47*$C$3)/(Market_Price*Common_Shares))</f>
        <v>7.2748831706155495E-2</v>
      </c>
      <c r="N125" s="22">
        <f>IF(N$4="","",(Data!J47*$C$3)/(Market_Price*Common_Shares))</f>
        <v>3.7642963738767313E-2</v>
      </c>
      <c r="O125" s="22">
        <f>IF(O$4="","",(Data!K47*$C$3)/(Market_Price*Common_Shares))</f>
        <v>1.3177402513327422E-2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1933183.4614332598</v>
      </c>
      <c r="D4" t="str">
        <f>Reporting_currency</f>
        <v>CNY</v>
      </c>
      <c r="E4" s="135" t="s">
        <v>430</v>
      </c>
      <c r="F4" s="275">
        <f>-BS!G31</f>
        <v>-855226</v>
      </c>
      <c r="G4" t="str">
        <f>Reporting_currency</f>
        <v>CNY</v>
      </c>
      <c r="H4" s="308" t="s">
        <v>393</v>
      </c>
      <c r="I4" s="305">
        <f>Normalized_FCF!C4</f>
        <v>18112585</v>
      </c>
      <c r="J4" s="305"/>
    </row>
    <row r="5" spans="2:15">
      <c r="B5" s="187" t="s">
        <v>104</v>
      </c>
      <c r="C5" s="188">
        <f>Equity_Cost</f>
        <v>7.2499999999999995E-2</v>
      </c>
      <c r="E5" s="135" t="s">
        <v>431</v>
      </c>
      <c r="F5" s="275">
        <f>BS!D66</f>
        <v>14067317.060819233</v>
      </c>
      <c r="G5" t="str">
        <f>Reporting_currency</f>
        <v>CNY</v>
      </c>
      <c r="H5" s="308" t="s">
        <v>394</v>
      </c>
      <c r="I5" s="305">
        <f>Normalized_FCF!C7</f>
        <v>-1860983</v>
      </c>
      <c r="J5" s="305"/>
    </row>
    <row r="6" spans="2:15" ht="13.25" customHeight="1">
      <c r="B6" s="136" t="s">
        <v>193</v>
      </c>
      <c r="C6" s="283">
        <f>(C4*(1+Terminal_Growth))/(Equity_Cost-Terminal_Growth)</f>
        <v>26664599.468044963</v>
      </c>
      <c r="D6" t="str">
        <f>Reporting_currency</f>
        <v>CNY</v>
      </c>
      <c r="E6" s="187" t="s">
        <v>432</v>
      </c>
      <c r="F6" s="284">
        <f>BS!H42</f>
        <v>3853.6000000000004</v>
      </c>
      <c r="G6" t="str">
        <f>Reporting_currency</f>
        <v>CNY</v>
      </c>
      <c r="H6" s="308" t="s">
        <v>415</v>
      </c>
      <c r="I6" s="305">
        <f>I7+I8</f>
        <v>-38475.278364915401</v>
      </c>
      <c r="J6" s="305"/>
      <c r="N6" s="135"/>
    </row>
    <row r="7" spans="2:15" ht="12.75" customHeight="1">
      <c r="B7" s="318" t="s">
        <v>429</v>
      </c>
      <c r="C7" s="275">
        <f>F7</f>
        <v>13215944.660819232</v>
      </c>
      <c r="E7" s="140" t="s">
        <v>423</v>
      </c>
      <c r="F7" s="283">
        <f>SUM(F4:F6)</f>
        <v>13215944.660819232</v>
      </c>
      <c r="G7" t="str">
        <f>Reporting_currency</f>
        <v>CNY</v>
      </c>
      <c r="H7" s="312" t="s">
        <v>416</v>
      </c>
      <c r="I7" s="313">
        <f>Normalized_FCF!C9</f>
        <v>-24191</v>
      </c>
      <c r="J7" s="313"/>
      <c r="N7" s="304"/>
      <c r="O7" s="304"/>
    </row>
    <row r="8" spans="2:15" ht="13.15">
      <c r="B8" s="136" t="s">
        <v>425</v>
      </c>
      <c r="C8" s="283">
        <f>C6+C7</f>
        <v>39880544.128864199</v>
      </c>
      <c r="D8" t="str">
        <f>Reporting_currency</f>
        <v>CNY</v>
      </c>
      <c r="E8" s="140" t="s">
        <v>463</v>
      </c>
      <c r="F8" s="108">
        <f>FV_adjustments*scaling_factor/Common_Shares*Exchange_Rate</f>
        <v>1.6698862852492697</v>
      </c>
      <c r="G8" s="294" t="str">
        <f>Market_currency</f>
        <v>HKD</v>
      </c>
      <c r="H8" s="314" t="str">
        <f>Normalized_FCF!B10</f>
        <v>Net Interest Income</v>
      </c>
      <c r="I8" s="313">
        <f>Normalized_FCF!C10</f>
        <v>-14284.278364915397</v>
      </c>
      <c r="J8" s="313"/>
      <c r="N8" s="304"/>
      <c r="O8" s="304"/>
    </row>
    <row r="9" spans="2:15" ht="13.15" thickBot="1">
      <c r="B9" s="189" t="str">
        <f>"*"&amp;Thesis!E15</f>
        <v>*CNY/HKD</v>
      </c>
      <c r="C9" s="190">
        <f>Exchange_Rate</f>
        <v>1.1454299999999999</v>
      </c>
      <c r="D9" t="str">
        <f>Thesis!E15</f>
        <v>CNY/HKD</v>
      </c>
      <c r="F9" s="322"/>
      <c r="H9" s="308" t="str">
        <f>Normalized_FCF!B79</f>
        <v>NCI’s Share of Profits</v>
      </c>
      <c r="I9" s="144">
        <f>Normalized_FCF!C79</f>
        <v>8.5212022469459778E-3</v>
      </c>
      <c r="J9" s="306"/>
      <c r="N9" s="304"/>
      <c r="O9" s="304"/>
    </row>
    <row r="10" spans="2:15" ht="13.5" thickTop="1">
      <c r="B10" s="107" t="s">
        <v>426</v>
      </c>
      <c r="C10" s="283">
        <f>C8*Exchange_Rate</f>
        <v>45680371.661524914</v>
      </c>
      <c r="D10" t="str">
        <f>Market_currency</f>
        <v>HKD</v>
      </c>
      <c r="H10" s="308" t="s">
        <v>396</v>
      </c>
      <c r="I10" s="306">
        <f>Normalized_FCF!C41</f>
        <v>0.25</v>
      </c>
      <c r="N10" s="304"/>
      <c r="O10" s="304"/>
    </row>
    <row r="11" spans="2:15" ht="13.15">
      <c r="B11" s="136" t="s">
        <v>424</v>
      </c>
      <c r="C11" s="108">
        <f>(C10*scaling_factor)/Common_Shares</f>
        <v>5.0390626926959641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1.8613012126595999E-2</v>
      </c>
      <c r="E16" s="308" t="s">
        <v>399</v>
      </c>
      <c r="F16" s="311">
        <f>Scenarios!C41</f>
        <v>1.8613012126595999E-2</v>
      </c>
    </row>
    <row r="17" spans="1:21" ht="13.25" customHeight="1">
      <c r="B17" s="308" t="s">
        <v>548</v>
      </c>
      <c r="C17" s="306">
        <f>Normalized_FCF!C77</f>
        <v>0.15367027669312136</v>
      </c>
      <c r="E17" s="308" t="s">
        <v>549</v>
      </c>
      <c r="F17" s="311">
        <f>Scenarios!C40</f>
        <v>0.15367027669312136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5.2179000340530308</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18449714.764249001</v>
      </c>
      <c r="D21" s="299">
        <f t="shared" ref="D21:D50" si="1">IF(A21="",0,IF(A21="I",$C$16,$F$16))</f>
        <v>1.8613012126595999E-2</v>
      </c>
      <c r="E21" s="299">
        <f>$C$17</f>
        <v>0.15367027669312136</v>
      </c>
      <c r="F21" s="277">
        <f>C21*E21</f>
        <v>2835172.7727313102</v>
      </c>
      <c r="G21" s="299">
        <f t="shared" ref="G21:G50" si="2">IF(A21="",0%,IF(A21="I",$C$18,$F$18))</f>
        <v>0</v>
      </c>
      <c r="H21" s="277">
        <f>(F21*(1-$I$10)+C21*(G21-$I$9))</f>
        <v>1969165.8286438519</v>
      </c>
      <c r="I21" s="299">
        <f>H21/C4-1</f>
        <v>1.861301212659594E-2</v>
      </c>
      <c r="J21" s="299">
        <f>H21/C21</f>
        <v>0.10673150527289506</v>
      </c>
      <c r="K21" s="119">
        <f t="shared" ref="K21:K50" si="3">IF($C$15&lt;B21,0,1/(1+Equity_Cost)^B21)</f>
        <v>0.93240093240093236</v>
      </c>
      <c r="L21" s="277">
        <f t="shared" ref="L21:L51" si="4">H21*K21</f>
        <v>1836052.0546795821</v>
      </c>
    </row>
    <row r="22" spans="1:21">
      <c r="A22" s="302" t="str">
        <f t="shared" si="0"/>
        <v>I</v>
      </c>
      <c r="B22" s="117">
        <v>2</v>
      </c>
      <c r="C22" s="277">
        <f t="shared" ref="C22:C50" si="5">IF(A22="",0,C21*(1+D22))</f>
        <v>18793119.528888203</v>
      </c>
      <c r="D22" s="299">
        <f t="shared" si="1"/>
        <v>1.8613012126595999E-2</v>
      </c>
      <c r="E22" s="299">
        <f t="shared" ref="E22:E50" si="6">IF($C$15&lt;B22,0,IF(B22&gt;=$F$15,$F$17,$C$17))</f>
        <v>0.15367027669312136</v>
      </c>
      <c r="F22" s="277">
        <f t="shared" ref="F22:F50" si="7">IF(A22="", 0,C22*E22)</f>
        <v>2887943.8779311529</v>
      </c>
      <c r="G22" s="299">
        <f t="shared" si="2"/>
        <v>0</v>
      </c>
      <c r="H22" s="277">
        <f t="shared" ref="H22:H50" si="8">IF(A22="", 0,F22*(1-$I$10)+C22*(G22-$I$9))</f>
        <v>2005817.9360916782</v>
      </c>
      <c r="I22" s="299">
        <f t="shared" ref="I22:I50" si="9">IF(A22="", 0,H22/H21-1)</f>
        <v>1.861301212659594E-2</v>
      </c>
      <c r="J22" s="299">
        <f>IF(A22="", 0,H22/C22)</f>
        <v>0.10673150527289504</v>
      </c>
      <c r="K22" s="119">
        <f t="shared" si="3"/>
        <v>0.86937149874212816</v>
      </c>
      <c r="L22" s="277">
        <f t="shared" si="4"/>
        <v>1743800.9453038645</v>
      </c>
    </row>
    <row r="23" spans="1:21">
      <c r="A23" s="302" t="str">
        <f t="shared" si="0"/>
        <v>I</v>
      </c>
      <c r="B23" s="117">
        <v>3</v>
      </c>
      <c r="C23" s="277">
        <f t="shared" si="5"/>
        <v>19142916.090575967</v>
      </c>
      <c r="D23" s="299">
        <f t="shared" si="1"/>
        <v>1.8613012126595999E-2</v>
      </c>
      <c r="E23" s="299">
        <f t="shared" si="6"/>
        <v>0.15367027669312136</v>
      </c>
      <c r="F23" s="277">
        <f t="shared" si="7"/>
        <v>2941697.2123520137</v>
      </c>
      <c r="G23" s="299">
        <f t="shared" si="2"/>
        <v>0</v>
      </c>
      <c r="H23" s="277">
        <f t="shared" si="8"/>
        <v>2043152.2496598961</v>
      </c>
      <c r="I23" s="299">
        <f t="shared" si="9"/>
        <v>1.861301212659594E-2</v>
      </c>
      <c r="J23" s="299">
        <f t="shared" ref="J23:J50" si="10">IF(A23="", 0,H23/C23)</f>
        <v>0.10673150527289504</v>
      </c>
      <c r="K23" s="119">
        <f t="shared" si="3"/>
        <v>0.81060279602995633</v>
      </c>
      <c r="L23" s="277">
        <f t="shared" si="4"/>
        <v>1656184.9262892073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19142916.090575967</v>
      </c>
      <c r="D51" s="301">
        <f>Terminal_Growth</f>
        <v>0</v>
      </c>
      <c r="E51" s="301">
        <f>F17</f>
        <v>0.15367027669312136</v>
      </c>
      <c r="F51" s="277">
        <f>C51*E51</f>
        <v>2941697.2123520137</v>
      </c>
      <c r="G51" s="299">
        <f>F18</f>
        <v>0</v>
      </c>
      <c r="H51" s="277">
        <f>(F51*(1-$I$10)+C51*(G51-$I$9))/Equity_Cost</f>
        <v>28181410.340136502</v>
      </c>
      <c r="I51" s="415">
        <f>(F51*(1-$I$10)+C51*(G51-$I$9))/VLOOKUP(C15,B21:H50,COLUMN(H20)-1,FALSE)-1</f>
        <v>0</v>
      </c>
      <c r="J51" s="454"/>
      <c r="K51" s="119">
        <f>1/(1+Equity_Cost)^C15</f>
        <v>0.81060279602995633</v>
      </c>
      <c r="L51" s="277">
        <f t="shared" si="4"/>
        <v>22843930.01778217</v>
      </c>
    </row>
    <row r="52" spans="1:21" ht="13.15">
      <c r="G52" s="111"/>
      <c r="H52" s="111"/>
      <c r="I52" s="111"/>
      <c r="J52" s="468" t="s">
        <v>419</v>
      </c>
      <c r="K52" s="468"/>
      <c r="L52" s="317">
        <f>SUM(L21:L51)</f>
        <v>28079967.944054823</v>
      </c>
    </row>
    <row r="53" spans="1:21">
      <c r="C53" s="111"/>
    </row>
    <row r="54" spans="1:21" ht="13.15">
      <c r="B54" s="115" t="s">
        <v>107</v>
      </c>
      <c r="C54" s="128"/>
      <c r="D54" s="128"/>
      <c r="E54" s="113"/>
      <c r="F54" s="113"/>
      <c r="G54" s="113"/>
      <c r="H54" s="113"/>
      <c r="I54" s="113"/>
      <c r="J54" s="113"/>
      <c r="K54" s="113"/>
      <c r="L54" s="113"/>
    </row>
    <row r="55" spans="1:21" ht="13.15">
      <c r="A55" s="125">
        <f>L52</f>
        <v>28079967.944054823</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18665219.627631474</v>
      </c>
      <c r="C56" s="118">
        <v>22664909.547838219</v>
      </c>
      <c r="D56" s="118">
        <v>25331369.494642712</v>
      </c>
      <c r="E56" s="118">
        <v>27197891.457405854</v>
      </c>
      <c r="F56" s="118">
        <v>27997829.441447206</v>
      </c>
      <c r="G56" s="295"/>
      <c r="H56" s="295"/>
      <c r="I56" s="295"/>
      <c r="J56" s="295"/>
      <c r="K56" s="295"/>
      <c r="L56" s="295"/>
    </row>
    <row r="57" spans="1:21" ht="13.15">
      <c r="A57" s="131">
        <v>2</v>
      </c>
      <c r="B57" s="118">
        <v>13444179.172349939</v>
      </c>
      <c r="C57" s="118">
        <v>19494992.128560148</v>
      </c>
      <c r="D57" s="118">
        <v>24150419.867852844</v>
      </c>
      <c r="E57" s="118">
        <v>27705078.244490352</v>
      </c>
      <c r="F57" s="118">
        <v>29303089.555267595</v>
      </c>
      <c r="G57" s="295"/>
      <c r="H57" s="295"/>
      <c r="I57" s="295"/>
      <c r="J57" s="295"/>
      <c r="K57" s="295"/>
      <c r="L57" s="295"/>
    </row>
    <row r="58" spans="1:21" ht="13.15">
      <c r="A58" s="131">
        <v>3</v>
      </c>
      <c r="B58" s="118">
        <v>10036507.080324698</v>
      </c>
      <c r="C58" s="118">
        <v>16982703.264796637</v>
      </c>
      <c r="D58" s="118">
        <v>23104357.261372305</v>
      </c>
      <c r="E58" s="118">
        <v>28187437.706332948</v>
      </c>
      <c r="F58" s="118">
        <v>30580966.589777064</v>
      </c>
      <c r="G58" s="295"/>
      <c r="H58" s="295"/>
      <c r="I58" s="295"/>
      <c r="J58" s="295"/>
      <c r="K58" s="295"/>
      <c r="L58" s="295"/>
    </row>
    <row r="59" spans="1:21" ht="13.15">
      <c r="A59" s="131">
        <v>4</v>
      </c>
      <c r="B59" s="118">
        <v>7812385.4351800196</v>
      </c>
      <c r="C59" s="118">
        <v>14991611.857618101</v>
      </c>
      <c r="D59" s="118">
        <v>22177774.999221709</v>
      </c>
      <c r="E59" s="118">
        <v>28646185.166546885</v>
      </c>
      <c r="F59" s="118">
        <v>31832035.015170943</v>
      </c>
      <c r="G59" s="295"/>
      <c r="H59" s="295"/>
      <c r="I59" s="295"/>
      <c r="J59" s="295"/>
      <c r="K59" s="295"/>
      <c r="L59" s="295"/>
    </row>
    <row r="60" spans="1:21" ht="13.15">
      <c r="A60" s="131">
        <v>5</v>
      </c>
      <c r="B60" s="118">
        <v>6360744.2681858223</v>
      </c>
      <c r="C60" s="118">
        <v>13413590.69575166</v>
      </c>
      <c r="D60" s="118">
        <v>21357026.142305098</v>
      </c>
      <c r="E60" s="118">
        <v>29082476.457379717</v>
      </c>
      <c r="F60" s="118">
        <v>33056857.249822304</v>
      </c>
      <c r="G60" s="295"/>
      <c r="H60" s="295"/>
      <c r="I60" s="295"/>
      <c r="J60" s="295"/>
      <c r="K60" s="295"/>
      <c r="L60" s="295"/>
    </row>
    <row r="61" spans="1:21" ht="13.15">
      <c r="A61" s="131">
        <v>6</v>
      </c>
      <c r="B61" s="118">
        <v>5413286.1638539452</v>
      </c>
      <c r="C61" s="118">
        <v>12162944.553479888</v>
      </c>
      <c r="D61" s="118">
        <v>20630022.492821854</v>
      </c>
      <c r="E61" s="118">
        <v>29497410.831878081</v>
      </c>
      <c r="F61" s="118">
        <v>34255983.913117334</v>
      </c>
      <c r="G61" s="295"/>
      <c r="H61" s="295"/>
      <c r="I61" s="295"/>
      <c r="J61" s="295"/>
      <c r="K61" s="295"/>
      <c r="L61" s="295"/>
    </row>
    <row r="62" spans="1:21" ht="13.15">
      <c r="A62" s="131">
        <v>7</v>
      </c>
      <c r="B62" s="118">
        <v>4794898.5899310429</v>
      </c>
      <c r="C62" s="118">
        <v>11171756.468695736</v>
      </c>
      <c r="D62" s="118">
        <v>19986056.55621665</v>
      </c>
      <c r="E62" s="118">
        <v>29892033.733498897</v>
      </c>
      <c r="F62" s="118">
        <v>35429954.072986603</v>
      </c>
      <c r="G62" s="295"/>
      <c r="H62" s="295"/>
      <c r="I62" s="295"/>
      <c r="J62" s="295"/>
      <c r="K62" s="295"/>
      <c r="L62" s="295"/>
    </row>
    <row r="63" spans="1:21" ht="13.15">
      <c r="A63" s="131">
        <v>8</v>
      </c>
      <c r="B63" s="118">
        <v>4391288.9845734369</v>
      </c>
      <c r="C63" s="118">
        <v>10386199.478423912</v>
      </c>
      <c r="D63" s="118">
        <v>19415643.838477775</v>
      </c>
      <c r="E63" s="118">
        <v>30267339.430145264</v>
      </c>
      <c r="F63" s="118">
        <v>36579295.488243222</v>
      </c>
      <c r="G63" s="295"/>
      <c r="H63" s="295"/>
      <c r="I63" s="295"/>
      <c r="J63" s="295"/>
      <c r="K63" s="295"/>
      <c r="L63" s="295"/>
    </row>
    <row r="64" spans="1:21" ht="13.15">
      <c r="A64" s="131">
        <v>9</v>
      </c>
      <c r="B64" s="118">
        <v>4127860.8039204543</v>
      </c>
      <c r="C64" s="118">
        <v>9763613.5187679194</v>
      </c>
      <c r="D64" s="118">
        <v>18910383.156098351</v>
      </c>
      <c r="E64" s="118">
        <v>30624273.519263491</v>
      </c>
      <c r="F64" s="118">
        <v>37704524.845837109</v>
      </c>
      <c r="G64" s="295"/>
      <c r="H64" s="295"/>
      <c r="I64" s="295"/>
      <c r="J64" s="295"/>
      <c r="K64" s="295"/>
      <c r="L64" s="295"/>
    </row>
    <row r="65" spans="1:21" ht="13.15">
      <c r="A65" s="131">
        <v>10</v>
      </c>
      <c r="B65" s="118">
        <v>3955926.3270373885</v>
      </c>
      <c r="C65" s="118">
        <v>9270188.7488773931</v>
      </c>
      <c r="D65" s="118">
        <v>18462832.901310053</v>
      </c>
      <c r="E65" s="118">
        <v>30963735.310312998</v>
      </c>
      <c r="F65" s="118">
        <v>38806147.993131831</v>
      </c>
      <c r="G65" s="295"/>
      <c r="H65" s="295"/>
      <c r="I65" s="295"/>
      <c r="J65" s="295"/>
      <c r="K65" s="295"/>
      <c r="L65" s="295"/>
    </row>
    <row r="66" spans="1:21" ht="13.15">
      <c r="A66" s="131">
        <v>15</v>
      </c>
      <c r="B66" s="118">
        <v>3671096.2160489345</v>
      </c>
      <c r="C66" s="277">
        <v>7974605.9001770141</v>
      </c>
      <c r="D66" s="118">
        <v>16884643.773785606</v>
      </c>
      <c r="E66" s="118">
        <v>32427471.839239378</v>
      </c>
      <c r="F66" s="118">
        <v>43977144.717533968</v>
      </c>
      <c r="G66" s="295"/>
      <c r="H66" s="295"/>
      <c r="I66" s="295"/>
      <c r="J66" s="295"/>
      <c r="K66" s="295"/>
      <c r="L66" s="295"/>
      <c r="M66" s="275"/>
      <c r="N66" s="275"/>
      <c r="O66" s="275"/>
      <c r="P66" s="275"/>
      <c r="Q66" s="275"/>
      <c r="R66" s="275"/>
      <c r="S66" s="275"/>
      <c r="T66" s="275"/>
      <c r="U66" s="275"/>
    </row>
    <row r="67" spans="1:21" ht="13.15">
      <c r="A67" s="132">
        <v>20</v>
      </c>
      <c r="B67" s="118">
        <v>3637360.5262332838</v>
      </c>
      <c r="C67" s="277">
        <v>7569495.5731152492</v>
      </c>
      <c r="D67" s="118">
        <v>16024065.120309083</v>
      </c>
      <c r="E67" s="118">
        <v>33566350.002004072</v>
      </c>
      <c r="F67" s="118">
        <v>48628015.288811684</v>
      </c>
      <c r="G67" s="295"/>
      <c r="H67" s="295"/>
      <c r="I67" s="295"/>
      <c r="J67" s="295"/>
      <c r="K67" s="295"/>
      <c r="L67" s="295"/>
      <c r="M67" s="275"/>
      <c r="N67" s="275"/>
      <c r="O67" s="275"/>
      <c r="P67" s="275"/>
      <c r="Q67" s="275"/>
      <c r="R67" s="275"/>
      <c r="S67" s="275"/>
      <c r="T67" s="275"/>
      <c r="U67" s="275"/>
    </row>
    <row r="68" spans="1:21" ht="13.15">
      <c r="A68" s="132">
        <v>25</v>
      </c>
      <c r="B68" s="118">
        <v>3633364.8223963962</v>
      </c>
      <c r="C68" s="277">
        <v>7442823.3365564551</v>
      </c>
      <c r="D68" s="118">
        <v>15554795.876272934</v>
      </c>
      <c r="E68" s="118">
        <v>34452468.12776652</v>
      </c>
      <c r="F68" s="118">
        <v>52811076.741684273</v>
      </c>
      <c r="G68" s="295"/>
      <c r="H68" s="295"/>
      <c r="I68" s="295"/>
      <c r="J68" s="295"/>
      <c r="K68" s="295"/>
      <c r="L68" s="295"/>
      <c r="M68" s="275"/>
      <c r="N68" s="275"/>
      <c r="O68" s="275"/>
      <c r="P68" s="275"/>
      <c r="Q68" s="275"/>
      <c r="R68" s="275"/>
      <c r="S68" s="275"/>
      <c r="T68" s="275"/>
      <c r="U68" s="275"/>
    </row>
    <row r="69" spans="1:21" ht="13.15">
      <c r="A69" s="132">
        <v>30</v>
      </c>
      <c r="B69" s="118">
        <v>3632891.5654616966</v>
      </c>
      <c r="C69" s="277">
        <v>7403214.7301030327</v>
      </c>
      <c r="D69" s="118">
        <v>15298905.699926296</v>
      </c>
      <c r="E69" s="118">
        <v>35141923.205997743</v>
      </c>
      <c r="F69" s="118">
        <v>56573383.787287869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5.0390626926959641</v>
      </c>
      <c r="C73" s="119">
        <f>C11</f>
        <v>5.0390626926959641</v>
      </c>
      <c r="D73" s="119">
        <f>C11</f>
        <v>5.0390626926959641</v>
      </c>
      <c r="E73" s="119">
        <f>C11</f>
        <v>5.0390626926959641</v>
      </c>
      <c r="F73" s="119">
        <f>C11</f>
        <v>5.0390626926959641</v>
      </c>
      <c r="G73" s="296"/>
      <c r="H73" s="296"/>
      <c r="I73" s="296"/>
      <c r="J73" s="296"/>
      <c r="K73" s="296"/>
      <c r="L73" s="296"/>
    </row>
    <row r="74" spans="1:21" ht="13.15">
      <c r="A74" s="131">
        <v>1</v>
      </c>
      <c r="B74" s="119">
        <f t="shared" ref="B74:F87" si="11">(B56+FV_adjustments)/Common_Shares*scaling_factor*Exchange_Rate</f>
        <v>4.0283097704619557</v>
      </c>
      <c r="C74" s="119">
        <f t="shared" si="11"/>
        <v>4.5336862315789599</v>
      </c>
      <c r="D74" s="119">
        <f t="shared" si="11"/>
        <v>4.8706038723236285</v>
      </c>
      <c r="E74" s="119">
        <f t="shared" si="11"/>
        <v>5.1064462208448962</v>
      </c>
      <c r="F74" s="119">
        <f t="shared" si="11"/>
        <v>5.2075215130682979</v>
      </c>
      <c r="G74" s="296"/>
      <c r="H74" s="296"/>
      <c r="I74" s="296"/>
      <c r="J74" s="296"/>
      <c r="K74" s="296"/>
      <c r="L74" s="296"/>
    </row>
    <row r="75" spans="1:21" ht="13.15">
      <c r="A75" s="131">
        <v>2</v>
      </c>
      <c r="B75" s="119">
        <f t="shared" si="11"/>
        <v>3.368610893479385</v>
      </c>
      <c r="C75" s="119">
        <f t="shared" si="11"/>
        <v>4.133154770553829</v>
      </c>
      <c r="D75" s="119">
        <f t="shared" si="11"/>
        <v>4.7213862691966186</v>
      </c>
      <c r="E75" s="119">
        <f t="shared" si="11"/>
        <v>5.1705312546089184</v>
      </c>
      <c r="F75" s="119">
        <f t="shared" si="11"/>
        <v>5.3724462323139406</v>
      </c>
      <c r="G75" s="296"/>
      <c r="H75" s="296"/>
      <c r="I75" s="296"/>
      <c r="J75" s="296"/>
      <c r="K75" s="296"/>
      <c r="L75" s="296"/>
    </row>
    <row r="76" spans="1:21" ht="13.15">
      <c r="A76" s="131">
        <v>3</v>
      </c>
      <c r="B76" s="119">
        <f t="shared" si="11"/>
        <v>2.9380381998777088</v>
      </c>
      <c r="C76" s="119">
        <f t="shared" si="11"/>
        <v>3.8157172489954485</v>
      </c>
      <c r="D76" s="119">
        <f t="shared" si="11"/>
        <v>4.5892121685246758</v>
      </c>
      <c r="E76" s="119">
        <f t="shared" si="11"/>
        <v>5.2314792587481271</v>
      </c>
      <c r="F76" s="119">
        <f t="shared" si="11"/>
        <v>5.5339109924145706</v>
      </c>
      <c r="G76" s="296"/>
      <c r="H76" s="296"/>
      <c r="I76" s="296"/>
      <c r="J76" s="296"/>
      <c r="K76" s="296"/>
      <c r="L76" s="296"/>
    </row>
    <row r="77" spans="1:21" ht="13.15">
      <c r="A77" s="131">
        <v>4</v>
      </c>
      <c r="B77" s="119">
        <f t="shared" si="11"/>
        <v>2.6570117331912995</v>
      </c>
      <c r="C77" s="119">
        <f t="shared" si="11"/>
        <v>3.5641350640773859</v>
      </c>
      <c r="D77" s="119">
        <f t="shared" si="11"/>
        <v>4.4721348765541897</v>
      </c>
      <c r="E77" s="119">
        <f t="shared" si="11"/>
        <v>5.2894437941532484</v>
      </c>
      <c r="F77" s="119">
        <f t="shared" si="11"/>
        <v>5.6919883799256752</v>
      </c>
      <c r="G77" s="296"/>
      <c r="H77" s="296"/>
      <c r="I77" s="296"/>
      <c r="J77" s="296"/>
      <c r="K77" s="296"/>
      <c r="L77" s="296"/>
    </row>
    <row r="78" spans="1:21" ht="13.15">
      <c r="A78" s="131">
        <v>5</v>
      </c>
      <c r="B78" s="119">
        <f t="shared" si="11"/>
        <v>2.4735911954938765</v>
      </c>
      <c r="C78" s="119">
        <f t="shared" si="11"/>
        <v>3.3647459198532803</v>
      </c>
      <c r="D78" s="119">
        <f t="shared" si="11"/>
        <v>4.3684300491677446</v>
      </c>
      <c r="E78" s="119">
        <f t="shared" si="11"/>
        <v>5.3445709047483296</v>
      </c>
      <c r="F78" s="119">
        <f t="shared" si="11"/>
        <v>5.846749458607877</v>
      </c>
      <c r="G78" s="296"/>
      <c r="H78" s="296"/>
      <c r="I78" s="296"/>
      <c r="J78" s="296"/>
      <c r="K78" s="296"/>
      <c r="L78" s="296"/>
    </row>
    <row r="79" spans="1:21" ht="13.15">
      <c r="A79" s="131">
        <v>6</v>
      </c>
      <c r="B79" s="119">
        <f t="shared" si="11"/>
        <v>2.3538761592344852</v>
      </c>
      <c r="C79" s="119">
        <f t="shared" si="11"/>
        <v>3.2067218894658769</v>
      </c>
      <c r="D79" s="119">
        <f t="shared" si="11"/>
        <v>4.2765702953056266</v>
      </c>
      <c r="E79" s="119">
        <f t="shared" si="11"/>
        <v>5.3969994854541419</v>
      </c>
      <c r="F79" s="119">
        <f t="shared" si="11"/>
        <v>5.9982638013736684</v>
      </c>
      <c r="G79" s="296"/>
      <c r="H79" s="296"/>
      <c r="I79" s="296"/>
      <c r="J79" s="296"/>
      <c r="K79" s="296"/>
      <c r="L79" s="296"/>
    </row>
    <row r="80" spans="1:21" ht="13.15">
      <c r="A80" s="131">
        <f t="shared" ref="A80" si="12">A62</f>
        <v>7</v>
      </c>
      <c r="B80" s="119">
        <f t="shared" si="11"/>
        <v>2.2757404712330187</v>
      </c>
      <c r="C80" s="119">
        <f t="shared" si="11"/>
        <v>3.0814813991821546</v>
      </c>
      <c r="D80" s="119">
        <f t="shared" si="11"/>
        <v>4.1952026811620247</v>
      </c>
      <c r="E80" s="119">
        <f t="shared" si="11"/>
        <v>5.446861632139389</v>
      </c>
      <c r="F80" s="119">
        <f t="shared" si="11"/>
        <v>6.1465995215639531</v>
      </c>
      <c r="G80" s="296"/>
      <c r="H80" s="296"/>
      <c r="I80" s="296"/>
      <c r="J80" s="296"/>
      <c r="K80" s="296"/>
      <c r="L80" s="296"/>
    </row>
    <row r="81" spans="1:12" ht="13.15">
      <c r="A81" s="131">
        <v>8</v>
      </c>
      <c r="B81" s="119">
        <f t="shared" si="11"/>
        <v>2.2247428193905696</v>
      </c>
      <c r="C81" s="119">
        <f t="shared" si="11"/>
        <v>2.9822232017544956</v>
      </c>
      <c r="D81" s="119">
        <f t="shared" si="11"/>
        <v>4.1231288038320271</v>
      </c>
      <c r="E81" s="119">
        <f t="shared" si="11"/>
        <v>5.4942829744414405</v>
      </c>
      <c r="F81" s="119">
        <f t="shared" si="11"/>
        <v>6.2918233035684281</v>
      </c>
      <c r="G81" s="296"/>
      <c r="H81" s="296"/>
      <c r="I81" s="296"/>
      <c r="J81" s="296"/>
      <c r="K81" s="296"/>
      <c r="L81" s="296"/>
    </row>
    <row r="82" spans="1:12" ht="13.15">
      <c r="A82" s="131">
        <f t="shared" ref="A82" si="13">A64</f>
        <v>9</v>
      </c>
      <c r="B82" s="119">
        <f t="shared" si="11"/>
        <v>2.1914576387008591</v>
      </c>
      <c r="C82" s="119">
        <f t="shared" si="11"/>
        <v>2.9035570312990076</v>
      </c>
      <c r="D82" s="119">
        <f t="shared" si="11"/>
        <v>4.0592871409290003</v>
      </c>
      <c r="E82" s="119">
        <f t="shared" si="11"/>
        <v>5.5393829922951419</v>
      </c>
      <c r="F82" s="119">
        <f t="shared" si="11"/>
        <v>6.434000432803578</v>
      </c>
      <c r="G82" s="296"/>
      <c r="H82" s="296"/>
      <c r="I82" s="296"/>
      <c r="J82" s="296"/>
      <c r="K82" s="296"/>
      <c r="L82" s="296"/>
    </row>
    <row r="83" spans="1:12" ht="13.15">
      <c r="A83" s="131">
        <f t="shared" ref="A83:A87" si="14">A65</f>
        <v>10</v>
      </c>
      <c r="B83" s="119">
        <f t="shared" si="11"/>
        <v>2.1697330452437051</v>
      </c>
      <c r="C83" s="119">
        <f t="shared" si="11"/>
        <v>2.8412108822200666</v>
      </c>
      <c r="D83" s="119">
        <f t="shared" si="11"/>
        <v>4.0027374162130318</v>
      </c>
      <c r="E83" s="119">
        <f t="shared" si="11"/>
        <v>5.5822753169671939</v>
      </c>
      <c r="F83" s="119">
        <f t="shared" si="11"/>
        <v>6.5731948250617673</v>
      </c>
      <c r="G83" s="296"/>
      <c r="H83" s="296"/>
      <c r="I83" s="296"/>
      <c r="J83" s="296"/>
      <c r="K83" s="296"/>
      <c r="L83" s="296"/>
    </row>
    <row r="84" spans="1:12" ht="13.15">
      <c r="A84" s="131">
        <f t="shared" si="14"/>
        <v>15</v>
      </c>
      <c r="B84" s="119">
        <f t="shared" si="11"/>
        <v>2.133743646969684</v>
      </c>
      <c r="C84" s="119">
        <f t="shared" si="11"/>
        <v>2.6775089232626486</v>
      </c>
      <c r="D84" s="119">
        <f t="shared" si="11"/>
        <v>3.8033270488712532</v>
      </c>
      <c r="E84" s="119">
        <f t="shared" si="11"/>
        <v>5.7672241509403683</v>
      </c>
      <c r="F84" s="119">
        <f t="shared" si="11"/>
        <v>7.2265704809653348</v>
      </c>
      <c r="G84" s="296"/>
      <c r="H84" s="296"/>
      <c r="I84" s="296"/>
      <c r="J84" s="296"/>
      <c r="K84" s="296"/>
      <c r="L84" s="296"/>
    </row>
    <row r="85" spans="1:12" ht="13.15">
      <c r="A85" s="132">
        <f t="shared" si="14"/>
        <v>20</v>
      </c>
      <c r="B85" s="119">
        <f t="shared" si="11"/>
        <v>2.1294810106472433</v>
      </c>
      <c r="C85" s="119">
        <f t="shared" si="11"/>
        <v>2.6263216493647148</v>
      </c>
      <c r="D85" s="119">
        <f t="shared" si="11"/>
        <v>3.694589570945884</v>
      </c>
      <c r="E85" s="119">
        <f t="shared" si="11"/>
        <v>5.9111258600787879</v>
      </c>
      <c r="F85" s="119">
        <f t="shared" si="11"/>
        <v>7.8142261636098675</v>
      </c>
      <c r="G85" s="296"/>
      <c r="H85" s="296"/>
      <c r="I85" s="296"/>
      <c r="J85" s="296"/>
      <c r="K85" s="296"/>
      <c r="L85" s="296"/>
    </row>
    <row r="86" spans="1:12" ht="13.15">
      <c r="A86" s="132">
        <f t="shared" si="14"/>
        <v>25</v>
      </c>
      <c r="B86" s="119">
        <f t="shared" si="11"/>
        <v>2.1289761378433405</v>
      </c>
      <c r="C86" s="119">
        <f t="shared" si="11"/>
        <v>2.610316116958205</v>
      </c>
      <c r="D86" s="119">
        <f t="shared" si="11"/>
        <v>3.6352955670122533</v>
      </c>
      <c r="E86" s="119">
        <f t="shared" si="11"/>
        <v>6.0230903501926383</v>
      </c>
      <c r="F86" s="119">
        <f t="shared" si="11"/>
        <v>8.3427723349036729</v>
      </c>
      <c r="G86" s="296"/>
      <c r="H86" s="296"/>
      <c r="I86" s="296"/>
      <c r="J86" s="296"/>
      <c r="K86" s="296"/>
      <c r="L86" s="296"/>
    </row>
    <row r="87" spans="1:12" ht="13.15">
      <c r="A87" s="132">
        <f t="shared" si="14"/>
        <v>30</v>
      </c>
      <c r="B87" s="119">
        <f t="shared" si="11"/>
        <v>2.128916339979098</v>
      </c>
      <c r="C87" s="119">
        <f t="shared" si="11"/>
        <v>2.6053114146541394</v>
      </c>
      <c r="D87" s="119">
        <f t="shared" si="11"/>
        <v>3.6029628426419635</v>
      </c>
      <c r="E87" s="119">
        <f t="shared" si="11"/>
        <v>6.1102056952535957</v>
      </c>
      <c r="F87" s="119">
        <f t="shared" si="11"/>
        <v>8.8181545415934437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5.5339109924145706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5.2314792587481271</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4.5892121685246758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3.8157172489954485</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2.9380381998777088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2752426</v>
      </c>
      <c r="D7" s="469"/>
      <c r="E7" s="469"/>
      <c r="F7" s="469"/>
      <c r="G7" s="469"/>
    </row>
    <row r="8" spans="2:7">
      <c r="B8" s="97" t="s">
        <v>62</v>
      </c>
      <c r="C8" s="447">
        <f>Normalized_FCF!G19</f>
        <v>1336982.9381279261</v>
      </c>
      <c r="D8" s="469"/>
      <c r="E8" s="469"/>
      <c r="F8" s="469"/>
      <c r="G8" s="469"/>
    </row>
    <row r="9" spans="2:7">
      <c r="B9" s="97" t="s">
        <v>53</v>
      </c>
      <c r="C9" s="447">
        <f>Normalized_FCF!C19</f>
        <v>1933183.4614332598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-3.7025906494608796E-2</v>
      </c>
      <c r="D12" s="469"/>
      <c r="E12" s="469"/>
      <c r="F12" s="469"/>
      <c r="G12" s="469"/>
    </row>
    <row r="13" spans="2:7">
      <c r="B13" s="135" t="s">
        <v>126</v>
      </c>
      <c r="C13" s="249">
        <f ca="1">(Normalized_FCF!G8/OFFSET(Normalized_FCF!G8, 0, $C$4))^(1/$C$4) - 1</f>
        <v>-0.18972038609999908</v>
      </c>
      <c r="D13" s="469"/>
      <c r="E13" s="469"/>
      <c r="F13" s="469"/>
      <c r="G13" s="469"/>
    </row>
    <row r="14" spans="2:7">
      <c r="B14" s="97" t="s">
        <v>62</v>
      </c>
      <c r="C14" s="249">
        <f ca="1">(Normalized_FCF!G19/OFFSET(Normalized_FCF!G19, 0, $C$4))^(1/$C$4) - 1</f>
        <v>-0.28605156420494537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3</v>
      </c>
      <c r="E22" s="326">
        <f>DCF!E91</f>
        <v>5.2314792587481271</v>
      </c>
      <c r="F22" s="328">
        <f>1-F23-F24</f>
        <v>0.19999999999999996</v>
      </c>
      <c r="G22" s="328">
        <f>F22*(1-F$29-F$30)</f>
        <v>0.15999999999999995</v>
      </c>
    </row>
    <row r="23" spans="2:7">
      <c r="B23" s="302" t="s">
        <v>436</v>
      </c>
      <c r="C23" s="324">
        <v>-0.05</v>
      </c>
      <c r="D23" s="325">
        <f>C18</f>
        <v>3</v>
      </c>
      <c r="E23" s="326">
        <f>DCF!E92</f>
        <v>4.5892121685246758</v>
      </c>
      <c r="F23" s="327">
        <v>0.55000000000000004</v>
      </c>
      <c r="G23" s="328">
        <f t="shared" ref="G23:G24" si="0">F23*(1-F$29-F$30)</f>
        <v>0.44</v>
      </c>
    </row>
    <row r="24" spans="2:7">
      <c r="B24" s="302" t="s">
        <v>445</v>
      </c>
      <c r="C24" s="324">
        <v>-0.15</v>
      </c>
      <c r="D24" s="325">
        <f>C18</f>
        <v>3</v>
      </c>
      <c r="E24" s="326">
        <f>DCF!E93</f>
        <v>3.8157172489954485</v>
      </c>
      <c r="F24" s="327">
        <v>0.25</v>
      </c>
      <c r="G24" s="328">
        <f t="shared" si="0"/>
        <v>0.19999999999999998</v>
      </c>
    </row>
    <row r="25" spans="2:7">
      <c r="B25" s="141" t="s">
        <v>450</v>
      </c>
      <c r="C25" s="441">
        <f>E23*F23+E24*F24+E22*F22</f>
        <v>4.5242918566870589</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3</v>
      </c>
      <c r="E29" s="326">
        <f>DCF!E90</f>
        <v>5.5339109924145706</v>
      </c>
      <c r="F29" s="327">
        <v>0.05</v>
      </c>
      <c r="G29" s="328">
        <f>F29</f>
        <v>0.05</v>
      </c>
    </row>
    <row r="30" spans="2:7">
      <c r="B30" s="315" t="s">
        <v>446</v>
      </c>
      <c r="C30" s="324">
        <v>-0.3</v>
      </c>
      <c r="D30" s="325">
        <f>C18</f>
        <v>3</v>
      </c>
      <c r="E30" s="326">
        <f>DCF!E94</f>
        <v>2.9380381998777088</v>
      </c>
      <c r="F30" s="327">
        <v>0.15</v>
      </c>
      <c r="G30" s="328">
        <f>F30</f>
        <v>0.15</v>
      </c>
    </row>
    <row r="31" spans="2:7">
      <c r="E31" s="329"/>
      <c r="F31" s="329"/>
    </row>
    <row r="32" spans="2:7" ht="13.15">
      <c r="B32" s="145" t="s">
        <v>455</v>
      </c>
    </row>
    <row r="33" spans="2:7">
      <c r="B33" s="97" t="s">
        <v>457</v>
      </c>
      <c r="C33" s="155">
        <f>Normalized_FCF!C88*(1-dividend_tax_rate)</f>
        <v>0.24179999999999999</v>
      </c>
      <c r="D33" t="str">
        <f>Market_currency</f>
        <v>HKD</v>
      </c>
      <c r="E33" s="97" t="s">
        <v>454</v>
      </c>
      <c r="F33" s="219">
        <f>Holding_Period</f>
        <v>3</v>
      </c>
    </row>
    <row r="34" spans="2:7">
      <c r="B34" s="97" t="s">
        <v>232</v>
      </c>
      <c r="C34" s="146">
        <f>Market_Price</f>
        <v>3.4</v>
      </c>
      <c r="D34" t="str">
        <f>Market_currency</f>
        <v>HKD</v>
      </c>
      <c r="E34" s="97" t="s">
        <v>453</v>
      </c>
      <c r="F34" s="330">
        <f>RATE(Holding_Period,$C$33,-C34,$C$36)</f>
        <v>0.15043399714701342</v>
      </c>
    </row>
    <row r="35" spans="2:7">
      <c r="B35" s="97" t="s">
        <v>433</v>
      </c>
      <c r="C35" s="320">
        <f>DCF!C11</f>
        <v>5.0390626926959641</v>
      </c>
      <c r="D35" s="97" t="str">
        <f>Market_currency</f>
        <v>HKD</v>
      </c>
      <c r="E35" s="97" t="s">
        <v>453</v>
      </c>
      <c r="F35" s="330">
        <f>RATE(Holding_Period,$C$33,-C35,$C$36)</f>
        <v>1.6074178061950318E-3</v>
      </c>
    </row>
    <row r="36" spans="2:7">
      <c r="B36" s="97" t="s">
        <v>434</v>
      </c>
      <c r="C36" s="321">
        <f>E22*G22+E23*G23+E24*G24+E30*G30+E29*G29</f>
        <v>4.336834764952032</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0.15367027669312136</v>
      </c>
      <c r="E40" s="97" t="s">
        <v>400</v>
      </c>
    </row>
    <row r="41" spans="2:7">
      <c r="B41" s="97" t="s">
        <v>399</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1.8613012126595999E-2</v>
      </c>
      <c r="D46" s="138"/>
      <c r="E46" s="221" t="s">
        <v>251</v>
      </c>
    </row>
    <row r="47" spans="2:7">
      <c r="B47" s="97" t="s">
        <v>95</v>
      </c>
      <c r="C47" s="146">
        <f>DCF!I18</f>
        <v>5.2179000340530308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0.3850472466104527</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0.24179999999999999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0.43913609467455633</v>
      </c>
      <c r="D62" s="119">
        <f>C36/(1+F62)^Holding_Period</f>
        <v>1.9739803208702917</v>
      </c>
      <c r="E62" s="332">
        <f>C62+D62</f>
        <v>2.4131164155448479</v>
      </c>
      <c r="F62" s="301">
        <f>Thesis!E22</f>
        <v>0.3</v>
      </c>
      <c r="G62" s="440">
        <f>(1-E62/C36)</f>
        <v>0.44357658376879883</v>
      </c>
    </row>
    <row r="63" spans="2:7" ht="13.15">
      <c r="B63" s="302" t="s">
        <v>312</v>
      </c>
      <c r="C63" s="119">
        <f>PV(F63, Holding_Period, -C58, 0)</f>
        <v>0.50934722222222217</v>
      </c>
      <c r="D63" s="119">
        <f>C36/(1+F63)^Holding_Period</f>
        <v>2.5097423408287223</v>
      </c>
      <c r="E63" s="332">
        <f>C63+D63</f>
        <v>3.0190895630509447</v>
      </c>
      <c r="F63" s="301">
        <f>Thesis!E23</f>
        <v>0.2</v>
      </c>
      <c r="G63" s="440">
        <f>(1-E63/C36)</f>
        <v>0.30384952928121589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0.58336743585196538</v>
      </c>
      <c r="D66" s="119">
        <f>C36/(1+F66)^Holding_Period</f>
        <v>3.1084713905672774</v>
      </c>
      <c r="E66" s="332">
        <f>C66+D66</f>
        <v>3.691838826419243</v>
      </c>
      <c r="F66" s="301">
        <f>Thesis!E24</f>
        <v>0.1174</v>
      </c>
      <c r="G66" s="440">
        <f>(1-E66/C36)</f>
        <v>0.14872504337617365</v>
      </c>
    </row>
    <row r="67" spans="2:7" ht="13.15">
      <c r="B67" s="302" t="s">
        <v>313</v>
      </c>
      <c r="C67" s="119">
        <f>PV(F67, Holding_Period, -C58, 0)</f>
        <v>0.63167232993043521</v>
      </c>
      <c r="D67" s="119">
        <f>C36/(1+F67)^Holding_Period</f>
        <v>3.5154503863900355</v>
      </c>
      <c r="E67" s="332">
        <f>C67+D67</f>
        <v>4.1471227163204709</v>
      </c>
      <c r="F67" s="301">
        <f>Thesis!E25</f>
        <v>7.2499999999999995E-2</v>
      </c>
      <c r="G67" s="440">
        <f>(1-E67/C36)</f>
        <v>4.3744357097649123E-2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46113</v>
      </c>
    </row>
    <row r="4" spans="1:10">
      <c r="B4" s="422" t="s">
        <v>532</v>
      </c>
      <c r="C4" s="423" t="str">
        <f>Thesis!C4</f>
        <v>中国飞鹤</v>
      </c>
      <c r="D4" s="349"/>
      <c r="E4" s="434" t="s">
        <v>538</v>
      </c>
      <c r="F4" s="437" t="str">
        <f>Thesis!F4</f>
        <v>INT</v>
      </c>
    </row>
    <row r="5" spans="1:10">
      <c r="B5" s="343" t="s">
        <v>363</v>
      </c>
      <c r="C5" s="355" t="str">
        <f>Thesis!C5</f>
        <v>6186.HK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3.4</v>
      </c>
    </row>
    <row r="9" spans="1:10">
      <c r="B9" s="351" t="s">
        <v>360</v>
      </c>
      <c r="C9" s="353">
        <f>Common_Shares</f>
        <v>9065251704</v>
      </c>
    </row>
    <row r="10" spans="1:10">
      <c r="B10" s="351" t="s">
        <v>366</v>
      </c>
      <c r="C10" s="357">
        <f>投资主题!C8*Common_Shares/1000000</f>
        <v>30821.8557936</v>
      </c>
      <c r="D10" s="343" t="s">
        <v>527</v>
      </c>
      <c r="E10" s="360">
        <f>Scenarios!F34</f>
        <v>0.15043399714701342</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1.1454299999999999</v>
      </c>
    </row>
    <row r="17" spans="1:6">
      <c r="B17" s="343" t="s">
        <v>533</v>
      </c>
      <c r="C17" s="424">
        <f>Terminal_Growth</f>
        <v>0</v>
      </c>
      <c r="D17" s="351" t="s">
        <v>338</v>
      </c>
      <c r="E17" s="344" t="str">
        <f>Reporting_currency</f>
        <v>CNY</v>
      </c>
    </row>
    <row r="18" spans="1:6">
      <c r="B18" s="343" t="str">
        <f>"预期股权价值 ("&amp;C7&amp;") :"</f>
        <v>预期股权价值 (HKD) :</v>
      </c>
      <c r="C18" s="359">
        <f>C125</f>
        <v>4.336834764952032</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2.4131164155448479</v>
      </c>
      <c r="D22" s="365" t="s">
        <v>439</v>
      </c>
      <c r="E22" s="366">
        <f>Thesis!E22</f>
        <v>0.3</v>
      </c>
    </row>
    <row r="23" spans="1:6">
      <c r="B23" s="343" t="s">
        <v>340</v>
      </c>
      <c r="C23" s="367">
        <f>E141</f>
        <v>3.0190895630509447</v>
      </c>
      <c r="D23" s="365" t="s">
        <v>440</v>
      </c>
      <c r="E23" s="368">
        <f>Thesis!E23</f>
        <v>0.2</v>
      </c>
    </row>
    <row r="24" spans="1:6">
      <c r="B24" s="343" t="s">
        <v>342</v>
      </c>
      <c r="C24" s="367">
        <f>E144</f>
        <v>3.691838826419243</v>
      </c>
      <c r="D24" s="365" t="s">
        <v>442</v>
      </c>
      <c r="E24" s="368">
        <f>Thesis!E24</f>
        <v>0.1174</v>
      </c>
    </row>
    <row r="25" spans="1:6">
      <c r="B25" s="343" t="s">
        <v>341</v>
      </c>
      <c r="C25" s="367">
        <f>E145</f>
        <v>4.1471227163204709</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2821841.2269425951</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-24191</v>
      </c>
      <c r="D41" s="343" t="str">
        <f>Reporting_currency</f>
        <v>CNY</v>
      </c>
    </row>
    <row r="43" spans="2:6">
      <c r="B43" s="470" t="s">
        <v>502</v>
      </c>
      <c r="C43" s="470"/>
      <c r="D43" s="470"/>
      <c r="E43" s="470"/>
      <c r="F43" s="470"/>
    </row>
    <row r="44" spans="2:6">
      <c r="B44" s="372" t="s">
        <v>266</v>
      </c>
      <c r="C44" s="376">
        <f>Normalized_FCF!C46</f>
        <v>17482.721635084607</v>
      </c>
      <c r="D44" s="343" t="str">
        <f>Reporting_currency</f>
        <v>CNY</v>
      </c>
      <c r="E44" s="371"/>
      <c r="F44" s="371"/>
    </row>
    <row r="45" spans="2:6">
      <c r="B45" s="372" t="s">
        <v>267</v>
      </c>
      <c r="C45" s="376">
        <f>Normalized_FCF!C45</f>
        <v>-31767.000000000004</v>
      </c>
      <c r="D45" s="343" t="str">
        <f>Reporting_currency</f>
        <v>CNY</v>
      </c>
      <c r="E45" s="371"/>
      <c r="F45" s="371"/>
    </row>
    <row r="46" spans="2:6">
      <c r="B46" s="372" t="s">
        <v>202</v>
      </c>
      <c r="C46" s="373">
        <f>Normalized_FCF!C10</f>
        <v>-14284.278364915397</v>
      </c>
      <c r="D46" s="343" t="str">
        <f>Reporting_currency</f>
        <v>CNY</v>
      </c>
    </row>
    <row r="48" spans="2:6">
      <c r="B48" s="343" t="s">
        <v>503</v>
      </c>
    </row>
    <row r="49" spans="2:6">
      <c r="B49" s="372" t="s">
        <v>222</v>
      </c>
      <c r="C49" s="373">
        <f>Normalized_FCF!C13</f>
        <v>-154341</v>
      </c>
      <c r="D49" s="343" t="str">
        <f>Reporting_currency</f>
        <v>CNY</v>
      </c>
    </row>
    <row r="51" spans="2:6">
      <c r="B51" s="470" t="s">
        <v>504</v>
      </c>
      <c r="C51" s="470"/>
      <c r="D51" s="470"/>
      <c r="E51" s="470"/>
      <c r="F51" s="470"/>
    </row>
    <row r="52" spans="2:6">
      <c r="B52" s="372" t="s">
        <v>495</v>
      </c>
      <c r="C52" s="373">
        <f>Normalized_FCF!C12</f>
        <v>-695841.48714441992</v>
      </c>
      <c r="D52" s="343" t="str">
        <f>Reporting_currency</f>
        <v>CNY</v>
      </c>
    </row>
    <row r="54" spans="2:6">
      <c r="B54" s="470" t="s">
        <v>505</v>
      </c>
      <c r="C54" s="476"/>
      <c r="D54" s="476"/>
      <c r="E54" s="476"/>
      <c r="F54" s="476"/>
    </row>
    <row r="55" spans="2:6">
      <c r="B55" s="372" t="s">
        <v>206</v>
      </c>
      <c r="C55" s="373">
        <f>Normalized_FCF!C17</f>
        <v>0</v>
      </c>
      <c r="D55" s="343" t="str">
        <f>Reporting_currency</f>
        <v>CNY</v>
      </c>
    </row>
    <row r="57" spans="2:6">
      <c r="B57" s="474" t="s">
        <v>506</v>
      </c>
      <c r="C57" s="474"/>
      <c r="D57" s="474"/>
      <c r="E57" s="474"/>
      <c r="F57" s="474"/>
    </row>
    <row r="58" spans="2:6">
      <c r="B58" s="474" t="s">
        <v>507</v>
      </c>
      <c r="C58" s="474"/>
      <c r="D58" s="474"/>
      <c r="E58" s="474"/>
      <c r="F58" s="474"/>
    </row>
    <row r="60" spans="2:6">
      <c r="B60" s="372" t="s">
        <v>371</v>
      </c>
      <c r="C60" s="373">
        <f>Normalized_FCF!G19</f>
        <v>1336982.9381279261</v>
      </c>
      <c r="D60" s="343" t="str">
        <f>Reporting_currency</f>
        <v>CNY</v>
      </c>
    </row>
    <row r="61" spans="2:6">
      <c r="B61" s="372" t="s">
        <v>212</v>
      </c>
      <c r="C61" s="373">
        <f>Normalized_FCF!C19</f>
        <v>1933183.4614332598</v>
      </c>
      <c r="D61" s="343" t="str">
        <f>Reporting_currency</f>
        <v>CNY</v>
      </c>
    </row>
    <row r="62" spans="2:6">
      <c r="B62" s="377" t="s">
        <v>301</v>
      </c>
      <c r="C62" s="378">
        <f>Normalized_FCF!C124</f>
        <v>7.1842732217613336E-2</v>
      </c>
      <c r="F62" s="379"/>
    </row>
    <row r="63" spans="2:6">
      <c r="B63" s="377" t="s">
        <v>331</v>
      </c>
      <c r="C63" s="378">
        <f>Normalized_FCF!C92</f>
        <v>7.1117647058823522E-2</v>
      </c>
      <c r="E63" s="372" t="s">
        <v>372</v>
      </c>
      <c r="F63" s="380">
        <f>Normalized_FCF!C90</f>
        <v>1.1338695502816223</v>
      </c>
    </row>
    <row r="65" spans="1:6">
      <c r="B65" s="369" t="s">
        <v>375</v>
      </c>
      <c r="C65" s="381" t="s">
        <v>326</v>
      </c>
      <c r="D65" s="381" t="s">
        <v>373</v>
      </c>
    </row>
    <row r="66" spans="1:6">
      <c r="B66" s="372" t="s">
        <v>325</v>
      </c>
      <c r="C66" s="378">
        <f>Normalized_FCF!E119</f>
        <v>0.10655464759808782</v>
      </c>
      <c r="D66" s="378">
        <f>Normalized_FCF!G119</f>
        <v>0.10526639746280633</v>
      </c>
    </row>
    <row r="67" spans="1:6">
      <c r="B67" s="382" t="str">
        <f>Normalized_FCF!B116</f>
        <v>Pre-tax Profit/Sales</v>
      </c>
      <c r="C67" s="383">
        <f>Normalized_FCF!E116</f>
        <v>0.15367027669312136</v>
      </c>
      <c r="D67" s="383">
        <f>Normalized_FCF!G116</f>
        <v>0.1518123966362574</v>
      </c>
    </row>
    <row r="68" spans="1:6">
      <c r="B68" s="382" t="str">
        <f>Normalized_FCF!B117</f>
        <v>Sales/Total Assets</v>
      </c>
      <c r="C68" s="384">
        <f>Normalized_FCF!E117</f>
        <v>0.53211669431065411</v>
      </c>
      <c r="D68" s="384">
        <f>Normalized_FCF!G117</f>
        <v>0.53211669431065411</v>
      </c>
    </row>
    <row r="69" spans="1:6">
      <c r="B69" s="382" t="str">
        <f>Normalized_FCF!B118</f>
        <v>Total Assets/Equity</v>
      </c>
      <c r="C69" s="384">
        <f>Normalized_FCF!E118</f>
        <v>1.3030936828713586</v>
      </c>
      <c r="D69" s="384">
        <f>Normalized_FCF!G118</f>
        <v>1.3030936828713586</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-855226</v>
      </c>
      <c r="D78" s="343" t="str">
        <f>Reporting_currency</f>
        <v>CNY</v>
      </c>
    </row>
    <row r="79" spans="1:6">
      <c r="B79" s="372" t="s">
        <v>233</v>
      </c>
      <c r="C79" s="387">
        <f>C78*scaling_factor*Exchange_Rate/Common_Shares</f>
        <v>-0.10806114922851567</v>
      </c>
      <c r="D79" s="343" t="str">
        <f>Market_currency</f>
        <v>HKD</v>
      </c>
    </row>
    <row r="80" spans="1:6">
      <c r="B80" s="382" t="s">
        <v>308</v>
      </c>
      <c r="C80" s="388">
        <f>IF(BS!G31/BS!G27&gt;300%,"nm",BS!G31/BS!G27)</f>
        <v>3.2740324747196639E-2</v>
      </c>
    </row>
    <row r="81" spans="1:6">
      <c r="B81" s="382" t="s">
        <v>310</v>
      </c>
      <c r="C81" s="389">
        <f>IF(BS!C50&gt;30,"nm",BS!C50)</f>
        <v>0.3030737490948841</v>
      </c>
    </row>
    <row r="83" spans="1:6">
      <c r="B83" s="343" t="s">
        <v>510</v>
      </c>
    </row>
    <row r="84" spans="1:6">
      <c r="B84" s="343" t="s">
        <v>223</v>
      </c>
      <c r="C84" s="373">
        <f>DCF!F5</f>
        <v>14067317.060819233</v>
      </c>
      <c r="D84" s="343" t="str">
        <f>Reporting_currency</f>
        <v>CNY</v>
      </c>
    </row>
    <row r="85" spans="1:6">
      <c r="B85" s="382" t="s">
        <v>480</v>
      </c>
      <c r="C85" s="390">
        <f>BS!C66</f>
        <v>16981104</v>
      </c>
      <c r="D85" s="391" t="str">
        <f>Reporting_currency</f>
        <v>CNY</v>
      </c>
    </row>
    <row r="86" spans="1:6">
      <c r="B86" s="372" t="s">
        <v>234</v>
      </c>
      <c r="C86" s="387">
        <f>C84*scaling_factor*Exchange_Rate/Common_Shares</f>
        <v>1.7774605170493314</v>
      </c>
      <c r="D86" s="343" t="str">
        <f>Market_currency</f>
        <v>HKD</v>
      </c>
    </row>
    <row r="88" spans="1:6">
      <c r="B88" s="343" t="s">
        <v>511</v>
      </c>
    </row>
    <row r="89" spans="1:6">
      <c r="B89" s="343" t="s">
        <v>216</v>
      </c>
      <c r="C89" s="373">
        <f>DCF!F6</f>
        <v>3853.6000000000004</v>
      </c>
      <c r="D89" s="343" t="str">
        <f>Reporting_currency</f>
        <v>CNY</v>
      </c>
    </row>
    <row r="90" spans="1:6">
      <c r="B90" s="372" t="s">
        <v>235</v>
      </c>
      <c r="C90" s="387">
        <f>C89*scaling_factor*Exchange_Rate/Common_Shares</f>
        <v>4.8691742845400872E-4</v>
      </c>
      <c r="D90" s="343" t="str">
        <f>Market_currency</f>
        <v>HKD</v>
      </c>
    </row>
    <row r="92" spans="1:6">
      <c r="B92" s="372" t="s">
        <v>479</v>
      </c>
      <c r="C92" s="387">
        <f>DCF!F8</f>
        <v>1.6698862852492697</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1.0934770748615938</v>
      </c>
      <c r="D111" s="343" t="str">
        <f>Market_currency</f>
        <v>HKD</v>
      </c>
    </row>
    <row r="112" spans="1:6">
      <c r="A112" s="385"/>
      <c r="B112" s="372" t="s">
        <v>376</v>
      </c>
      <c r="C112" s="394">
        <f>DCF!C11</f>
        <v>5.0390626926959641</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3</v>
      </c>
      <c r="E118" s="398" t="str">
        <f>ROUND(DCF!E90,2)&amp;" "&amp;Market_currency</f>
        <v>5.53 HKD</v>
      </c>
      <c r="F118" s="399">
        <f>DCF!F90</f>
        <v>0.05</v>
      </c>
    </row>
    <row r="119" spans="1:6">
      <c r="A119" s="385"/>
      <c r="B119" s="400" t="str">
        <f>DCF!B91</f>
        <v>Optimistic</v>
      </c>
      <c r="C119" s="401">
        <f>DCF!C91</f>
        <v>0.02</v>
      </c>
      <c r="D119" s="402">
        <f>DCF!D91</f>
        <v>3</v>
      </c>
      <c r="E119" s="398" t="str">
        <f>ROUND(DCF!E91,2)&amp;" "&amp;Market_currency</f>
        <v>5.23 HKD</v>
      </c>
      <c r="F119" s="403">
        <f>DCF!F91</f>
        <v>0.15999999999999995</v>
      </c>
    </row>
    <row r="120" spans="1:6">
      <c r="B120" s="400" t="str">
        <f>DCF!B92</f>
        <v>Base</v>
      </c>
      <c r="C120" s="401">
        <f>DCF!C92</f>
        <v>-0.05</v>
      </c>
      <c r="D120" s="402">
        <f>DCF!D92</f>
        <v>3</v>
      </c>
      <c r="E120" s="398" t="str">
        <f>ROUND(DCF!E92,2)&amp;" "&amp;Market_currency</f>
        <v>4.59 HKD</v>
      </c>
      <c r="F120" s="403">
        <f>DCF!F92</f>
        <v>0.44</v>
      </c>
    </row>
    <row r="121" spans="1:6">
      <c r="B121" s="400" t="str">
        <f>DCF!B93</f>
        <v>Pessimistic</v>
      </c>
      <c r="C121" s="401">
        <f>DCF!C93</f>
        <v>-0.15</v>
      </c>
      <c r="D121" s="402">
        <f>DCF!D93</f>
        <v>3</v>
      </c>
      <c r="E121" s="398" t="str">
        <f>ROUND(DCF!E93,2)&amp;" "&amp;Market_currency</f>
        <v>3.82 HKD</v>
      </c>
      <c r="F121" s="403">
        <f>DCF!F93</f>
        <v>0.19999999999999998</v>
      </c>
    </row>
    <row r="122" spans="1:6">
      <c r="B122" s="400" t="str">
        <f>DCF!B94</f>
        <v>Devil's advocate</v>
      </c>
      <c r="C122" s="401">
        <f>DCF!C94</f>
        <v>-0.3</v>
      </c>
      <c r="D122" s="402">
        <f>DCF!D94</f>
        <v>3</v>
      </c>
      <c r="E122" s="398" t="str">
        <f>ROUND(DCF!E94,2)&amp;" "&amp;Market_currency</f>
        <v>2.94 HKD</v>
      </c>
      <c r="F122" s="403">
        <f>DCF!F94</f>
        <v>0.15</v>
      </c>
    </row>
    <row r="124" spans="1:6">
      <c r="B124" s="470" t="s">
        <v>517</v>
      </c>
      <c r="C124" s="470"/>
      <c r="D124" s="470"/>
      <c r="E124" s="470"/>
      <c r="F124" s="470"/>
    </row>
    <row r="125" spans="1:6">
      <c r="B125" s="372" t="s">
        <v>217</v>
      </c>
      <c r="C125" s="404">
        <f>Scenarios!C36</f>
        <v>4.336834764952032</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0.24179999999999999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0.43913609467455633</v>
      </c>
      <c r="D140" s="409">
        <f>Scenarios!D62</f>
        <v>1.9739803208702917</v>
      </c>
      <c r="E140" s="410">
        <f>Scenarios!E62</f>
        <v>2.4131164155448479</v>
      </c>
      <c r="F140" s="411">
        <f>E22</f>
        <v>0.3</v>
      </c>
    </row>
    <row r="141" spans="1:6">
      <c r="B141" s="408" t="s">
        <v>312</v>
      </c>
      <c r="C141" s="409">
        <f>Scenarios!C63</f>
        <v>0.50934722222222217</v>
      </c>
      <c r="D141" s="409">
        <f>Scenarios!D63</f>
        <v>2.5097423408287223</v>
      </c>
      <c r="E141" s="410">
        <f>Scenarios!E63</f>
        <v>3.0190895630509447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0.58336743585196538</v>
      </c>
      <c r="D144" s="409">
        <f>Scenarios!D66</f>
        <v>3.1084713905672774</v>
      </c>
      <c r="E144" s="410">
        <f>Scenarios!E66</f>
        <v>3.691838826419243</v>
      </c>
      <c r="F144" s="411">
        <f>E24</f>
        <v>0.1174</v>
      </c>
    </row>
    <row r="145" spans="1:6">
      <c r="B145" s="408" t="s">
        <v>313</v>
      </c>
      <c r="C145" s="409">
        <f>Scenarios!C67</f>
        <v>0.63167232993043521</v>
      </c>
      <c r="D145" s="409">
        <f>Scenarios!D67</f>
        <v>3.5154503863900355</v>
      </c>
      <c r="E145" s="410">
        <f>Scenarios!E67</f>
        <v>4.1471227163204709</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