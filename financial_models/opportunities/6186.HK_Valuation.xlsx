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54DD0A62-689D-1447-950B-BF900A6CEBBA}" xr6:coauthVersionLast="47" xr6:coauthVersionMax="47" xr10:uidLastSave="{00000000-0000-0000-0000-000000000000}"/>
  <bookViews>
    <workbookView xWindow="0" yWindow="0" windowWidth="17120" windowHeight="10760"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C52" i="2" s="1"/>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<sst xmlns="http://schemas.openxmlformats.org/spreadsheetml/2006/main" count="768" uniqueCount="558">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</sst>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2"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4" fontId="14" fillId="0" borderId="2" xfId="0" applyNumberFormat="1" applyFont="1" applyBorder="1" applyAlignment="1">
      <alignment horizontal="left"/>
    </xf>
    <xf numFmtId="182"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8"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2"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Normal"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0" t="s">
        <v>225</v>
      </c>
      <c r="B2" s="34"/>
      <c r="C2" s="34"/>
      <c r="D2" s="34"/>
      <c r="E2" s="34"/>
      <c r="F2" s="34"/>
      <c r="G2" s="21"/>
      <c r="H2" s="21"/>
      <c r="I2" s="21"/>
    </row>
    <row r="3" spans="1:9" x14ac:dyDescent="0.15">
      <c r="E3" s="428" t="s">
        <v>537</v>
      </c>
      <c r="F3" s="429">
        <v>45930</v>
      </c>
    </row>
    <row r="4" spans="1:9" ht="14" x14ac:dyDescent="0.2">
      <c r="B4" s="421" t="s">
        <v>532</v>
      </c>
      <c r="C4" s="420" t="s">
        <v>555</v>
      </c>
      <c r="E4" s="430" t="s">
        <v>536</v>
      </c>
      <c r="F4" s="431" t="s">
        <v>324</v>
      </c>
    </row>
    <row r="5" spans="1:9" x14ac:dyDescent="0.15">
      <c r="B5" s="1" t="s">
        <v>349</v>
      </c>
      <c r="C5" s="46" t="s">
        <v>556</v>
      </c>
      <c r="E5" s="433" t="s">
        <v>538</v>
      </c>
      <c r="F5" s="432" t="s">
        <v>545</v>
      </c>
    </row>
    <row r="6" spans="1:9" x14ac:dyDescent="0.15">
      <c r="B6" s="2" t="s">
        <v>53</v>
      </c>
      <c r="C6" s="45" t="s">
        <v>548</v>
      </c>
      <c r="D6" s="45"/>
      <c r="E6" s="45"/>
    </row>
    <row r="7" spans="1:9" x14ac:dyDescent="0.15">
      <c r="B7" s="1" t="s">
        <v>351</v>
      </c>
      <c r="C7" s="45" t="s">
        <v>308</v>
      </c>
      <c r="D7" s="45"/>
      <c r="E7" s="45"/>
    </row>
    <row r="8" spans="1:9" x14ac:dyDescent="0.15">
      <c r="B8" s="4" t="s">
        <v>350</v>
      </c>
      <c r="C8" s="47">
        <v>3.91</v>
      </c>
      <c r="E8" s="32"/>
    </row>
    <row r="9" spans="1:9" x14ac:dyDescent="0.15">
      <c r="B9" s="4" t="s">
        <v>346</v>
      </c>
      <c r="C9" s="48">
        <v>9065251704</v>
      </c>
    </row>
    <row r="10" spans="1:9" x14ac:dyDescent="0.15">
      <c r="B10" s="4" t="s">
        <v>352</v>
      </c>
      <c r="C10" s="33">
        <f>Thesis!C8*Common_Shares/1000000</f>
        <v>35445.134162640003</v>
      </c>
      <c r="D10" s="1" t="s">
        <v>527</v>
      </c>
      <c r="E10" s="303">
        <f>Scenarios!F34</f>
        <v>0.24192072114076554</v>
      </c>
    </row>
    <row r="11" spans="1:9" x14ac:dyDescent="0.15">
      <c r="D11" s="5"/>
      <c r="E11" s="5"/>
    </row>
    <row r="12" spans="1:9" ht="24.5" customHeight="1" x14ac:dyDescent="0.15">
      <c r="B12" s="460" t="s">
        <v>355</v>
      </c>
      <c r="C12" s="460"/>
      <c r="D12" s="460"/>
      <c r="E12" s="460"/>
      <c r="F12" s="460"/>
    </row>
    <row r="14" spans="1:9" x14ac:dyDescent="0.15">
      <c r="B14" s="42" t="str">
        <f>Scenarios!B39&amp;" Valuation Conclusion"</f>
        <v>1-stage DCF Valuation Conclusion</v>
      </c>
      <c r="C14" s="43"/>
    </row>
    <row r="15" spans="1:9" x14ac:dyDescent="0.15">
      <c r="B15" s="1" t="s">
        <v>319</v>
      </c>
      <c r="C15" s="417" t="s">
        <v>545</v>
      </c>
      <c r="D15" s="4" t="s">
        <v>353</v>
      </c>
      <c r="E15" s="253" t="str">
        <f>IF(E17=C7,C7,E17&amp;"/"&amp;C7)</f>
        <v>CNY/HKD</v>
      </c>
    </row>
    <row r="16" spans="1:9" x14ac:dyDescent="0.15">
      <c r="B16" s="1" t="s">
        <v>320</v>
      </c>
      <c r="C16" s="417" t="s">
        <v>545</v>
      </c>
      <c r="D16" s="4" t="s">
        <v>354</v>
      </c>
      <c r="E16" s="416">
        <v>1.1315830089569092</v>
      </c>
    </row>
    <row r="17" spans="1:6" x14ac:dyDescent="0.15">
      <c r="B17" s="1" t="s">
        <v>531</v>
      </c>
      <c r="C17" s="456">
        <v>0</v>
      </c>
      <c r="D17" s="4" t="s">
        <v>274</v>
      </c>
      <c r="E17" s="224" t="s">
        <v>557</v>
      </c>
    </row>
    <row r="18" spans="1:6" x14ac:dyDescent="0.15">
      <c r="B18" s="1" t="str">
        <f>"Expected Equity Value ("&amp;C7&amp;") :"</f>
        <v>Expected Equity Value (HKD) :</v>
      </c>
      <c r="C18" s="252">
        <f>C125</f>
        <v>6.5745549564240156</v>
      </c>
      <c r="D18" s="2" t="s">
        <v>347</v>
      </c>
      <c r="E18" s="418">
        <v>6</v>
      </c>
    </row>
    <row r="19" spans="1:6" x14ac:dyDescent="0.15">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x14ac:dyDescent="0.15">
      <c r="D20" s="5"/>
      <c r="E20" s="5"/>
    </row>
    <row r="21" spans="1:6" x14ac:dyDescent="0.15">
      <c r="B21" s="42" t="s">
        <v>404</v>
      </c>
      <c r="C21" s="254" t="str">
        <f>C138&amp;" ("&amp;Market_currency&amp;")"</f>
        <v xml:space="preserve"> (HKD)</v>
      </c>
      <c r="D21" s="31" t="s">
        <v>316</v>
      </c>
      <c r="E21" s="442">
        <v>3</v>
      </c>
    </row>
    <row r="22" spans="1:6" x14ac:dyDescent="0.15">
      <c r="B22" s="1" t="s">
        <v>312</v>
      </c>
      <c r="C22" s="255">
        <f>E140</f>
        <v>3.4722069389485957</v>
      </c>
      <c r="D22" s="38" t="s">
        <v>406</v>
      </c>
      <c r="E22" s="79">
        <v>0.29465259038036606</v>
      </c>
    </row>
    <row r="23" spans="1:6" x14ac:dyDescent="0.15">
      <c r="B23" s="1" t="s">
        <v>313</v>
      </c>
      <c r="C23" s="256">
        <f>E141</f>
        <v>4.3063250245862799</v>
      </c>
      <c r="D23" s="38" t="s">
        <v>407</v>
      </c>
      <c r="E23" s="443">
        <v>0.20075184365903009</v>
      </c>
    </row>
    <row r="24" spans="1:6" x14ac:dyDescent="0.15">
      <c r="B24" s="1" t="s">
        <v>315</v>
      </c>
      <c r="C24" s="256">
        <f>E144</f>
        <v>5.2957480303158606</v>
      </c>
      <c r="D24" s="38" t="s">
        <v>408</v>
      </c>
      <c r="E24" s="443">
        <v>0.1174</v>
      </c>
    </row>
    <row r="25" spans="1:6" x14ac:dyDescent="0.15">
      <c r="B25" s="1" t="s">
        <v>314</v>
      </c>
      <c r="C25" s="256">
        <f>E145</f>
        <v>5.9610249602603496</v>
      </c>
      <c r="D25" s="38" t="s">
        <v>409</v>
      </c>
      <c r="E25" s="444">
        <v>7.2499999999999995E-2</v>
      </c>
    </row>
    <row r="26" spans="1:6" x14ac:dyDescent="0.15">
      <c r="D26" s="5"/>
      <c r="E26" s="5"/>
    </row>
    <row r="27" spans="1:6" ht="16" x14ac:dyDescent="0.25">
      <c r="A27" s="200" t="s">
        <v>280</v>
      </c>
      <c r="B27" s="34"/>
      <c r="C27" s="34"/>
      <c r="D27" s="34"/>
      <c r="E27" s="34"/>
      <c r="F27" s="34"/>
    </row>
    <row r="29" spans="1:6" x14ac:dyDescent="0.15">
      <c r="B29" s="460" t="s">
        <v>356</v>
      </c>
      <c r="C29" s="460"/>
      <c r="D29" s="460"/>
      <c r="E29" s="460"/>
      <c r="F29" s="460"/>
    </row>
    <row r="30" spans="1:6" ht="24.5" customHeight="1" x14ac:dyDescent="0.15">
      <c r="B30" s="462" t="s">
        <v>266</v>
      </c>
      <c r="C30" s="462"/>
      <c r="D30" s="462"/>
      <c r="E30" s="462"/>
      <c r="F30" s="462"/>
    </row>
    <row r="32" spans="1:6" x14ac:dyDescent="0.15">
      <c r="B32" s="192" t="s">
        <v>195</v>
      </c>
      <c r="C32" s="105">
        <f>scaling_factor</f>
        <v>1000</v>
      </c>
    </row>
    <row r="33" spans="2:6" ht="24.5" customHeight="1" x14ac:dyDescent="0.15">
      <c r="B33" s="461" t="s">
        <v>196</v>
      </c>
      <c r="C33" s="461"/>
      <c r="D33" s="461"/>
      <c r="E33" s="461"/>
      <c r="F33" s="461"/>
    </row>
    <row r="34" spans="2:6" x14ac:dyDescent="0.15">
      <c r="B34" s="44" t="s">
        <v>197</v>
      </c>
      <c r="C34" s="285">
        <f>Normalized_FCF!C8</f>
        <v>4902319</v>
      </c>
      <c r="D34" s="1" t="str">
        <f>Reporting_currency</f>
        <v>CNY</v>
      </c>
    </row>
    <row r="35" spans="2:6" x14ac:dyDescent="0.15">
      <c r="B35" s="44"/>
      <c r="C35" s="73"/>
    </row>
    <row r="36" spans="2:6" ht="24.5" customHeight="1" x14ac:dyDescent="0.15">
      <c r="B36" s="461" t="s">
        <v>198</v>
      </c>
      <c r="C36" s="461"/>
      <c r="D36" s="461"/>
      <c r="E36" s="461"/>
      <c r="F36" s="461"/>
    </row>
    <row r="37" spans="2:6" x14ac:dyDescent="0.15">
      <c r="B37" s="44" t="s">
        <v>199</v>
      </c>
      <c r="C37" s="285">
        <f>Normalized_FCF!C15</f>
        <v>0</v>
      </c>
      <c r="D37" s="1" t="str">
        <f>Reporting_currency</f>
        <v>CNY</v>
      </c>
    </row>
    <row r="38" spans="2:6" x14ac:dyDescent="0.15">
      <c r="B38" s="49" t="s">
        <v>200</v>
      </c>
      <c r="C38" s="285">
        <f>Normalized_FCF!C16</f>
        <v>0</v>
      </c>
      <c r="D38" s="1" t="str">
        <f>Reporting_currency</f>
        <v>CNY</v>
      </c>
    </row>
    <row r="40" spans="2:6" x14ac:dyDescent="0.15">
      <c r="B40" s="461" t="s">
        <v>201</v>
      </c>
      <c r="C40" s="461"/>
      <c r="D40" s="461"/>
      <c r="E40" s="461"/>
      <c r="F40" s="461"/>
    </row>
    <row r="41" spans="2:6" x14ac:dyDescent="0.15">
      <c r="B41" s="44" t="s">
        <v>202</v>
      </c>
      <c r="C41" s="285">
        <f>Normalized_FCF!C9</f>
        <v>-12182</v>
      </c>
      <c r="D41" s="1" t="str">
        <f>Reporting_currency</f>
        <v>CNY</v>
      </c>
    </row>
    <row r="43" spans="2:6" x14ac:dyDescent="0.15">
      <c r="B43" s="461" t="s">
        <v>205</v>
      </c>
      <c r="C43" s="461"/>
      <c r="D43" s="461"/>
      <c r="E43" s="461"/>
      <c r="F43" s="461"/>
    </row>
    <row r="44" spans="2:6" x14ac:dyDescent="0.15">
      <c r="B44" s="44" t="s">
        <v>267</v>
      </c>
      <c r="C44" s="286">
        <f>Normalized_FCF!C46</f>
        <v>18038.208862027197</v>
      </c>
      <c r="D44" s="1" t="str">
        <f>Reporting_currency</f>
        <v>CNY</v>
      </c>
      <c r="E44" s="244"/>
      <c r="F44" s="244"/>
    </row>
    <row r="45" spans="2:6" x14ac:dyDescent="0.15">
      <c r="B45" s="44" t="s">
        <v>268</v>
      </c>
      <c r="C45" s="286">
        <f>Normalized_FCF!C45</f>
        <v>-44646</v>
      </c>
      <c r="D45" s="1" t="str">
        <f>Reporting_currency</f>
        <v>CNY</v>
      </c>
      <c r="E45" s="244"/>
      <c r="F45" s="244"/>
    </row>
    <row r="46" spans="2:6" x14ac:dyDescent="0.15">
      <c r="B46" s="44" t="s">
        <v>203</v>
      </c>
      <c r="C46" s="285">
        <f>Normalized_FCF!C10</f>
        <v>-26607.791137972803</v>
      </c>
      <c r="D46" s="1" t="str">
        <f>Reporting_currency</f>
        <v>CNY</v>
      </c>
    </row>
    <row r="48" spans="2:6" x14ac:dyDescent="0.15">
      <c r="B48" s="1" t="s">
        <v>211</v>
      </c>
    </row>
    <row r="49" spans="2:6" x14ac:dyDescent="0.15">
      <c r="B49" s="44" t="s">
        <v>223</v>
      </c>
      <c r="C49" s="285">
        <f>Normalized_FCF!C13</f>
        <v>-83995</v>
      </c>
      <c r="D49" s="1" t="str">
        <f>Reporting_currency</f>
        <v>CNY</v>
      </c>
    </row>
    <row r="51" spans="2:6" x14ac:dyDescent="0.15">
      <c r="B51" s="461" t="s">
        <v>206</v>
      </c>
      <c r="C51" s="461"/>
      <c r="D51" s="461"/>
      <c r="E51" s="461"/>
      <c r="F51" s="461"/>
    </row>
    <row r="52" spans="2:6" x14ac:dyDescent="0.15">
      <c r="B52" s="44" t="s">
        <v>204</v>
      </c>
      <c r="C52" s="285">
        <f>Normalized_FCF!C12</f>
        <v>-1215882.3022155068</v>
      </c>
      <c r="D52" s="1" t="str">
        <f>Reporting_currency</f>
        <v>CNY</v>
      </c>
    </row>
    <row r="54" spans="2:6" x14ac:dyDescent="0.15">
      <c r="B54" s="461" t="s">
        <v>265</v>
      </c>
      <c r="C54" s="464"/>
      <c r="D54" s="464"/>
      <c r="E54" s="464"/>
      <c r="F54" s="464"/>
    </row>
    <row r="55" spans="2:6" x14ac:dyDescent="0.15">
      <c r="B55" s="44" t="s">
        <v>207</v>
      </c>
      <c r="C55" s="285">
        <f>Normalized_FCF!C17</f>
        <v>0</v>
      </c>
      <c r="D55" s="1" t="str">
        <f>Reporting_currency</f>
        <v>CNY</v>
      </c>
    </row>
    <row r="57" spans="2:6" ht="24.5" customHeight="1" x14ac:dyDescent="0.15">
      <c r="B57" s="460" t="s">
        <v>270</v>
      </c>
      <c r="C57" s="460"/>
      <c r="D57" s="460"/>
      <c r="E57" s="460"/>
      <c r="F57" s="460"/>
    </row>
    <row r="58" spans="2:6" ht="24.5" customHeight="1" x14ac:dyDescent="0.15">
      <c r="B58" s="460" t="s">
        <v>282</v>
      </c>
      <c r="C58" s="460"/>
      <c r="D58" s="460"/>
      <c r="E58" s="460"/>
      <c r="F58" s="460"/>
    </row>
    <row r="60" spans="2:6" x14ac:dyDescent="0.15">
      <c r="B60" s="44" t="s">
        <v>227</v>
      </c>
      <c r="C60" s="285">
        <f>Normalized_FCF!G19</f>
        <v>2918873.2657263465</v>
      </c>
      <c r="D60" s="1" t="str">
        <f>Reporting_currency</f>
        <v>CNY</v>
      </c>
    </row>
    <row r="61" spans="2:6" x14ac:dyDescent="0.15">
      <c r="B61" s="44" t="s">
        <v>213</v>
      </c>
      <c r="C61" s="285">
        <f>Normalized_FCF!C19</f>
        <v>3563651.9066465204</v>
      </c>
      <c r="D61" s="1" t="str">
        <f>Reporting_currency</f>
        <v>CNY</v>
      </c>
    </row>
    <row r="62" spans="2:6" x14ac:dyDescent="0.15">
      <c r="B62" s="204" t="s">
        <v>302</v>
      </c>
      <c r="C62" s="89">
        <f>Normalized_FCF!C124</f>
        <v>0.11376929563574673</v>
      </c>
      <c r="F62" s="257"/>
    </row>
    <row r="63" spans="2:6" x14ac:dyDescent="0.15">
      <c r="B63" s="204" t="s">
        <v>332</v>
      </c>
      <c r="C63" s="89">
        <f>Normalized_FCF!C92</f>
        <v>6.1841432225063935E-2</v>
      </c>
      <c r="E63" s="44" t="s">
        <v>322</v>
      </c>
      <c r="F63" s="258">
        <f>Normalized_FCF!C90</f>
        <v>0.61509314586505237</v>
      </c>
    </row>
    <row r="65" spans="1:6" x14ac:dyDescent="0.15">
      <c r="B65" s="192" t="s">
        <v>325</v>
      </c>
      <c r="C65" s="264" t="s">
        <v>327</v>
      </c>
      <c r="D65" s="264" t="s">
        <v>328</v>
      </c>
    </row>
    <row r="66" spans="1:6" x14ac:dyDescent="0.15">
      <c r="B66" s="44" t="s">
        <v>326</v>
      </c>
      <c r="C66" s="89">
        <f>Normalized_FCF!E119</f>
        <v>0.17911384235321903</v>
      </c>
      <c r="D66" s="89">
        <f>Normalized_FCF!G119</f>
        <v>0.18040079738883699</v>
      </c>
    </row>
    <row r="67" spans="1:6" x14ac:dyDescent="0.15">
      <c r="B67" s="229" t="str">
        <f>Normalized_FCF!B116</f>
        <v>Pre-tax Profit/Sales</v>
      </c>
      <c r="C67" s="263">
        <f>Normalized_FCF!E116</f>
        <v>0.23440332981639808</v>
      </c>
      <c r="D67" s="263">
        <f>Normalized_FCF!G116</f>
        <v>0.23608754663464901</v>
      </c>
    </row>
    <row r="68" spans="1:6" x14ac:dyDescent="0.15">
      <c r="B68" s="229" t="str">
        <f>Normalized_FCF!B117</f>
        <v>Sales/Total Assets</v>
      </c>
      <c r="C68" s="265">
        <f>Normalized_FCF!E117</f>
        <v>0.61200300518899786</v>
      </c>
      <c r="D68" s="265">
        <f>Normalized_FCF!G117</f>
        <v>0.61200300518899786</v>
      </c>
    </row>
    <row r="69" spans="1:6" x14ac:dyDescent="0.15">
      <c r="B69" s="229" t="str">
        <f>Normalized_FCF!B118</f>
        <v>Total Assets/Equity</v>
      </c>
      <c r="C69" s="265">
        <f>Normalized_FCF!E118</f>
        <v>1.2485669045200241</v>
      </c>
      <c r="D69" s="265">
        <f>Normalized_FCF!G118</f>
        <v>1.2485669045200241</v>
      </c>
    </row>
    <row r="71" spans="1:6" ht="16" x14ac:dyDescent="0.25">
      <c r="A71" s="200" t="s">
        <v>477</v>
      </c>
      <c r="B71" s="34"/>
      <c r="C71" s="34"/>
      <c r="D71" s="34"/>
      <c r="E71" s="34"/>
      <c r="F71" s="34"/>
    </row>
    <row r="72" spans="1:6" x14ac:dyDescent="0.15">
      <c r="A72" s="191"/>
    </row>
    <row r="73" spans="1:6" x14ac:dyDescent="0.15">
      <c r="A73" s="191"/>
      <c r="B73" s="460" t="s">
        <v>478</v>
      </c>
      <c r="C73" s="460"/>
      <c r="D73" s="460"/>
      <c r="E73" s="460"/>
      <c r="F73" s="460"/>
    </row>
    <row r="74" spans="1:6" x14ac:dyDescent="0.15">
      <c r="A74" s="191"/>
      <c r="B74" s="1" t="s">
        <v>465</v>
      </c>
    </row>
    <row r="75" spans="1:6" x14ac:dyDescent="0.15">
      <c r="A75" s="191"/>
    </row>
    <row r="76" spans="1:6" x14ac:dyDescent="0.15">
      <c r="A76" s="191"/>
      <c r="B76" s="192" t="s">
        <v>195</v>
      </c>
    </row>
    <row r="77" spans="1:6" x14ac:dyDescent="0.15">
      <c r="A77" s="191"/>
      <c r="B77" s="460" t="s">
        <v>271</v>
      </c>
      <c r="C77" s="460"/>
      <c r="D77" s="460"/>
      <c r="E77" s="460"/>
      <c r="F77" s="460"/>
    </row>
    <row r="78" spans="1:6" x14ac:dyDescent="0.15">
      <c r="A78" s="191"/>
      <c r="B78" s="1" t="s">
        <v>215</v>
      </c>
      <c r="C78" s="285">
        <f>DCF!F4</f>
        <v>-845013</v>
      </c>
      <c r="D78" s="1" t="str">
        <f>Reporting_currency</f>
        <v>CNY</v>
      </c>
    </row>
    <row r="79" spans="1:6" x14ac:dyDescent="0.15">
      <c r="A79" s="191"/>
      <c r="B79" s="44" t="s">
        <v>234</v>
      </c>
      <c r="C79" s="201">
        <f>C78*scaling_factor*Exchange_Rate/Common_Shares</f>
        <v>-0.10547995625160467</v>
      </c>
      <c r="D79" s="1" t="str">
        <f>Market_currency</f>
        <v>HKD</v>
      </c>
    </row>
    <row r="80" spans="1:6" x14ac:dyDescent="0.15">
      <c r="A80" s="191"/>
      <c r="B80" s="229" t="s">
        <v>309</v>
      </c>
      <c r="C80" s="337">
        <f>IF(BS!G31/BS!G27&gt;300%,"nm",BS!G31/BS!G27)</f>
        <v>3.1120102042901991E-2</v>
      </c>
    </row>
    <row r="81" spans="1:6" x14ac:dyDescent="0.15">
      <c r="A81" s="191"/>
      <c r="B81" s="229" t="s">
        <v>311</v>
      </c>
      <c r="C81" s="338">
        <f>IF(BS!C50&gt;30,"nm",BS!C50)</f>
        <v>0.1723700558857961</v>
      </c>
    </row>
    <row r="82" spans="1:6" x14ac:dyDescent="0.15">
      <c r="A82" s="191"/>
    </row>
    <row r="83" spans="1:6" x14ac:dyDescent="0.15">
      <c r="A83" s="191"/>
      <c r="B83" s="1" t="s">
        <v>466</v>
      </c>
    </row>
    <row r="84" spans="1:6" x14ac:dyDescent="0.15">
      <c r="A84" s="191"/>
      <c r="B84" s="1" t="s">
        <v>224</v>
      </c>
      <c r="C84" s="285">
        <f>DCF!F5</f>
        <v>14601476.8563288</v>
      </c>
      <c r="D84" s="1" t="str">
        <f>Reporting_currency</f>
        <v>CNY</v>
      </c>
    </row>
    <row r="85" spans="1:6" x14ac:dyDescent="0.15">
      <c r="A85" s="191"/>
      <c r="B85" s="229" t="s">
        <v>222</v>
      </c>
      <c r="C85" s="291">
        <f>BS!C66</f>
        <v>17607845</v>
      </c>
      <c r="D85" s="339" t="str">
        <f>Reporting_currency</f>
        <v>CNY</v>
      </c>
    </row>
    <row r="86" spans="1:6" x14ac:dyDescent="0.15">
      <c r="A86" s="191"/>
      <c r="B86" s="44" t="s">
        <v>235</v>
      </c>
      <c r="C86" s="201">
        <f>C84*scaling_factor*Exchange_Rate/Common_Shares</f>
        <v>1.8226502314335755</v>
      </c>
      <c r="D86" s="1" t="str">
        <f>Market_currency</f>
        <v>HKD</v>
      </c>
    </row>
    <row r="87" spans="1:6" x14ac:dyDescent="0.15">
      <c r="A87" s="191"/>
    </row>
    <row r="88" spans="1:6" x14ac:dyDescent="0.15">
      <c r="A88" s="191"/>
      <c r="B88" s="1" t="s">
        <v>216</v>
      </c>
    </row>
    <row r="89" spans="1:6" x14ac:dyDescent="0.15">
      <c r="A89" s="191"/>
      <c r="B89" s="1" t="s">
        <v>217</v>
      </c>
      <c r="C89" s="285">
        <f>DCF!F6</f>
        <v>4283</v>
      </c>
      <c r="D89" s="1" t="str">
        <f>Reporting_currency</f>
        <v>CNY</v>
      </c>
    </row>
    <row r="90" spans="1:6" x14ac:dyDescent="0.15">
      <c r="A90" s="191"/>
      <c r="B90" s="44" t="s">
        <v>236</v>
      </c>
      <c r="C90" s="201">
        <f>C89*scaling_factor*Exchange_Rate/Common_Shares</f>
        <v>5.3463160049090704E-4</v>
      </c>
      <c r="D90" s="1" t="str">
        <f>Market_currency</f>
        <v>HKD</v>
      </c>
    </row>
    <row r="91" spans="1:6" x14ac:dyDescent="0.15">
      <c r="A91" s="191"/>
    </row>
    <row r="92" spans="1:6" x14ac:dyDescent="0.15">
      <c r="A92" s="191"/>
      <c r="B92" s="44" t="s">
        <v>469</v>
      </c>
      <c r="C92" s="216">
        <f>DCF!F8</f>
        <v>1.7177049067824617</v>
      </c>
      <c r="D92" s="44" t="str">
        <f>Market_currency</f>
        <v>HKD</v>
      </c>
    </row>
    <row r="94" spans="1:6" ht="16" x14ac:dyDescent="0.25">
      <c r="A94" s="200" t="s">
        <v>470</v>
      </c>
      <c r="B94" s="34"/>
      <c r="C94" s="34"/>
      <c r="D94" s="34"/>
      <c r="E94" s="34"/>
      <c r="F94" s="34"/>
    </row>
    <row r="95" spans="1:6" x14ac:dyDescent="0.15">
      <c r="A95" s="191"/>
    </row>
    <row r="96" spans="1:6" ht="11.75" customHeight="1" x14ac:dyDescent="0.15">
      <c r="B96" s="460" t="s">
        <v>485</v>
      </c>
      <c r="C96" s="460"/>
      <c r="D96" s="460"/>
      <c r="E96" s="460"/>
      <c r="F96" s="460"/>
    </row>
    <row r="97" spans="2:6" x14ac:dyDescent="0.15">
      <c r="B97" s="462" t="s">
        <v>484</v>
      </c>
      <c r="C97" s="462"/>
      <c r="D97" s="462"/>
      <c r="E97" s="462"/>
      <c r="F97" s="462"/>
    </row>
    <row r="98" spans="2:6" x14ac:dyDescent="0.15">
      <c r="B98" s="462" t="s">
        <v>483</v>
      </c>
      <c r="C98" s="462"/>
      <c r="D98" s="462"/>
      <c r="E98" s="462"/>
      <c r="F98" s="462"/>
    </row>
    <row r="100" spans="2:6" x14ac:dyDescent="0.15">
      <c r="B100" s="192" t="s">
        <v>195</v>
      </c>
    </row>
    <row r="101" spans="2:6" x14ac:dyDescent="0.15">
      <c r="B101" s="49" t="s">
        <v>467</v>
      </c>
      <c r="C101" s="211">
        <f>E25+C103</f>
        <v>7.2499999999999995E-2</v>
      </c>
    </row>
    <row r="102" spans="2:6" x14ac:dyDescent="0.15">
      <c r="B102" s="229" t="s">
        <v>318</v>
      </c>
      <c r="C102" s="263">
        <f>E25</f>
        <v>7.2499999999999995E-2</v>
      </c>
    </row>
    <row r="103" spans="2:6" x14ac:dyDescent="0.15">
      <c r="B103" s="229" t="s">
        <v>317</v>
      </c>
      <c r="C103" s="263">
        <f>IF(C15="Y",1%,0)+IF(C16="Y",1%,0)</f>
        <v>0</v>
      </c>
    </row>
    <row r="104" spans="2:6" x14ac:dyDescent="0.15">
      <c r="B104" s="44" t="s">
        <v>214</v>
      </c>
      <c r="C104" s="211">
        <f>Terminal_Growth</f>
        <v>0</v>
      </c>
    </row>
    <row r="106" spans="2:6" x14ac:dyDescent="0.15">
      <c r="B106" s="250" t="s">
        <v>281</v>
      </c>
      <c r="C106" s="116"/>
    </row>
    <row r="107" spans="2:6" x14ac:dyDescent="0.15">
      <c r="B107" s="460" t="s">
        <v>283</v>
      </c>
      <c r="C107" s="460"/>
      <c r="D107" s="460"/>
      <c r="E107" s="460"/>
      <c r="F107" s="460"/>
    </row>
    <row r="108" spans="2:6" x14ac:dyDescent="0.15">
      <c r="B108" s="460" t="s">
        <v>284</v>
      </c>
      <c r="C108" s="460"/>
      <c r="D108" s="460"/>
      <c r="E108" s="460"/>
      <c r="F108" s="460"/>
    </row>
    <row r="110" spans="2:6" x14ac:dyDescent="0.15">
      <c r="B110" s="192" t="s">
        <v>487</v>
      </c>
    </row>
    <row r="111" spans="2:6" x14ac:dyDescent="0.15">
      <c r="B111" s="49" t="s">
        <v>468</v>
      </c>
      <c r="C111" s="216">
        <f>BS!D47</f>
        <v>1.2858702050147901</v>
      </c>
      <c r="D111" s="1" t="str">
        <f>Market_currency</f>
        <v>HKD</v>
      </c>
    </row>
    <row r="112" spans="2:6" x14ac:dyDescent="0.15">
      <c r="B112" s="44" t="s">
        <v>323</v>
      </c>
      <c r="C112" s="216">
        <f>DCF!C11</f>
        <v>7.8534007127930785</v>
      </c>
      <c r="D112" s="1" t="str">
        <f>Market_currency</f>
        <v>HKD</v>
      </c>
    </row>
    <row r="114" spans="2:6" ht="24.5" customHeight="1" x14ac:dyDescent="0.15">
      <c r="B114" s="460" t="s">
        <v>491</v>
      </c>
      <c r="C114" s="460"/>
      <c r="D114" s="460"/>
      <c r="E114" s="460"/>
      <c r="F114" s="460"/>
    </row>
    <row r="116" spans="2:6" x14ac:dyDescent="0.15">
      <c r="B116" s="192" t="s">
        <v>488</v>
      </c>
    </row>
    <row r="117" spans="2:6" ht="14" x14ac:dyDescent="0.2">
      <c r="B117" s="342" t="s">
        <v>101</v>
      </c>
      <c r="C117" s="342" t="s">
        <v>110</v>
      </c>
      <c r="D117" s="342" t="s">
        <v>219</v>
      </c>
      <c r="E117" s="342" t="s">
        <v>124</v>
      </c>
      <c r="F117" s="342" t="s">
        <v>544</v>
      </c>
    </row>
    <row r="118" spans="2:6" x14ac:dyDescent="0.15">
      <c r="B118" s="205" t="str">
        <f>DCF!B90&amp;" ("&amp;DCF!D90&amp;"yrs)"</f>
        <v>Snowball Scenario (3yrs)</v>
      </c>
      <c r="C118" s="206">
        <f>DCF!C90</f>
        <v>0.05</v>
      </c>
      <c r="D118" s="207" t="str">
        <f>ROUND(DCF!E90,2)&amp;" "&amp;Market_currency</f>
        <v>8.75 HKD</v>
      </c>
      <c r="E118" s="208">
        <f>DCF!F90</f>
        <v>0.05</v>
      </c>
      <c r="F118" s="208">
        <f>RATE(Holding_Period,Scenarios!C$58,-DCF!E90,C$18)</f>
        <v>-6.0627442636053443E-2</v>
      </c>
    </row>
    <row r="119" spans="2:6" x14ac:dyDescent="0.15">
      <c r="B119" s="205" t="str">
        <f>DCF!B91&amp;" ("&amp;DCF!D91&amp;"yrs)"</f>
        <v>Optimistic (3yrs)</v>
      </c>
      <c r="C119" s="198">
        <f>DCF!C91</f>
        <v>0.02</v>
      </c>
      <c r="D119" s="207" t="str">
        <f>ROUND(DCF!E91,2)&amp;" "&amp;Market_currency</f>
        <v>8.2 HKD</v>
      </c>
      <c r="E119" s="199">
        <f>DCF!F91</f>
        <v>0.15999999999999995</v>
      </c>
      <c r="F119" s="208">
        <f>RATE(Holding_Period,Scenarios!C$58,-DCF!E91,C$18)</f>
        <v>-3.9403593947856259E-2</v>
      </c>
    </row>
    <row r="120" spans="2:6" x14ac:dyDescent="0.15">
      <c r="B120" s="205" t="str">
        <f>DCF!B92&amp;" ("&amp;DCF!D92&amp;"yrs)"</f>
        <v>Base (3yrs)</v>
      </c>
      <c r="C120" s="198">
        <f>DCF!C92</f>
        <v>-0.05</v>
      </c>
      <c r="D120" s="207" t="str">
        <f>ROUND(DCF!E92,2)&amp;" "&amp;Market_currency</f>
        <v>7.03 HKD</v>
      </c>
      <c r="E120" s="199">
        <f>DCF!F92</f>
        <v>0.44</v>
      </c>
      <c r="F120" s="208">
        <f>RATE(Holding_Period,Scenarios!C$58,-DCF!E92,C$18)</f>
        <v>1.2873122664571418E-2</v>
      </c>
    </row>
    <row r="121" spans="2:6" x14ac:dyDescent="0.15">
      <c r="B121" s="205" t="str">
        <f>DCF!B93&amp;" ("&amp;DCF!D93&amp;"yrs)"</f>
        <v>Pessimistic (3yrs)</v>
      </c>
      <c r="C121" s="198">
        <f>DCF!C93</f>
        <v>-0.15</v>
      </c>
      <c r="D121" s="207" t="str">
        <f>ROUND(DCF!E93,2)&amp;" "&amp;Market_currency</f>
        <v>5.63 HKD</v>
      </c>
      <c r="E121" s="199">
        <f>DCF!F93</f>
        <v>0.19999999999999998</v>
      </c>
      <c r="F121" s="208">
        <f>RATE(Holding_Period,Scenarios!C$58,-DCF!E93,C$18)</f>
        <v>9.4234160988823243E-2</v>
      </c>
    </row>
    <row r="122" spans="2:6" x14ac:dyDescent="0.15">
      <c r="B122" s="205" t="str">
        <f>DCF!B94&amp;" ("&amp;DCF!D94&amp;"yrs)"</f>
        <v>Devil's advocate (3yrs)</v>
      </c>
      <c r="C122" s="198">
        <f>DCF!C94</f>
        <v>-0.3</v>
      </c>
      <c r="D122" s="207" t="str">
        <f>ROUND(DCF!E94,2)&amp;" "&amp;Market_currency</f>
        <v>4.03 HKD</v>
      </c>
      <c r="E122" s="199">
        <f>DCF!F94</f>
        <v>0.15</v>
      </c>
      <c r="F122" s="208">
        <f>RATE(Holding_Period,Scenarios!C$58,-DCF!E94,C$18)</f>
        <v>0.22917156713979706</v>
      </c>
    </row>
    <row r="124" spans="2:6" x14ac:dyDescent="0.15">
      <c r="B124" s="461" t="s">
        <v>357</v>
      </c>
      <c r="C124" s="461"/>
      <c r="D124" s="461"/>
      <c r="E124" s="461"/>
      <c r="F124" s="461"/>
    </row>
    <row r="125" spans="2:6" x14ac:dyDescent="0.15">
      <c r="B125" s="193" t="s">
        <v>218</v>
      </c>
      <c r="C125" s="197">
        <f>Scenarios!C36</f>
        <v>6.5745549564240156</v>
      </c>
      <c r="D125" s="194" t="str">
        <f>Market_currency</f>
        <v>HKD</v>
      </c>
    </row>
    <row r="127" spans="2:6" ht="24.5" customHeight="1" x14ac:dyDescent="0.15">
      <c r="B127" s="465" t="s">
        <v>358</v>
      </c>
      <c r="C127" s="465"/>
      <c r="D127" s="465"/>
      <c r="E127" s="465"/>
      <c r="F127" s="465"/>
    </row>
    <row r="129" spans="1:6" ht="16" x14ac:dyDescent="0.25">
      <c r="A129" s="200" t="s">
        <v>474</v>
      </c>
      <c r="B129" s="34"/>
      <c r="C129" s="34"/>
      <c r="D129" s="34"/>
      <c r="E129" s="34"/>
      <c r="F129" s="34"/>
    </row>
    <row r="131" spans="1:6" x14ac:dyDescent="0.15">
      <c r="B131" s="463" t="s">
        <v>285</v>
      </c>
      <c r="C131" s="463"/>
      <c r="D131" s="463"/>
      <c r="E131" s="463"/>
      <c r="F131" s="463"/>
    </row>
    <row r="132" spans="1:6" x14ac:dyDescent="0.15">
      <c r="B132" s="460" t="s">
        <v>359</v>
      </c>
      <c r="C132" s="460"/>
      <c r="D132" s="460"/>
      <c r="E132" s="460"/>
      <c r="F132" s="460"/>
    </row>
    <row r="134" spans="1:6" x14ac:dyDescent="0.15">
      <c r="B134" s="192" t="s">
        <v>195</v>
      </c>
    </row>
    <row r="135" spans="1:6" x14ac:dyDescent="0.15">
      <c r="B135" s="1" t="s">
        <v>221</v>
      </c>
      <c r="C135" s="202">
        <f>E21</f>
        <v>3</v>
      </c>
    </row>
    <row r="136" spans="1:6" x14ac:dyDescent="0.15">
      <c r="B136" s="194" t="s">
        <v>220</v>
      </c>
      <c r="C136" s="195">
        <f>Scenarios!C58</f>
        <v>0.24179999999999999</v>
      </c>
      <c r="D136" s="194" t="str">
        <f>Market_currency</f>
        <v>HKD</v>
      </c>
    </row>
    <row r="138" spans="1:6" x14ac:dyDescent="0.15">
      <c r="B138" s="192" t="s">
        <v>494</v>
      </c>
      <c r="C138" s="214"/>
      <c r="D138" s="215"/>
    </row>
    <row r="139" spans="1:6" ht="14" x14ac:dyDescent="0.2">
      <c r="B139" s="340" t="s">
        <v>462</v>
      </c>
      <c r="C139" s="340" t="str">
        <f>"PV("&amp;Holding_Period&amp;" yrs of Dividends)"</f>
        <v>PV(3 yrs of Dividends)</v>
      </c>
      <c r="D139" s="340" t="s">
        <v>471</v>
      </c>
      <c r="E139" s="341" t="str">
        <f>"Buy below ("&amp;Market_currency&amp;")"</f>
        <v>Buy below (HKD)</v>
      </c>
      <c r="F139" s="341" t="s">
        <v>472</v>
      </c>
    </row>
    <row r="140" spans="1:6" x14ac:dyDescent="0.15">
      <c r="B140" s="336" t="s">
        <v>312</v>
      </c>
      <c r="C140" s="333">
        <f>Scenarios!C62</f>
        <v>0.44245811110342687</v>
      </c>
      <c r="D140" s="333">
        <f>Scenarios!D62</f>
        <v>3.029748827845169</v>
      </c>
      <c r="E140" s="334">
        <f>Scenarios!E62</f>
        <v>3.4722069389485957</v>
      </c>
      <c r="F140" s="335">
        <f>E22</f>
        <v>0.29465259038036606</v>
      </c>
    </row>
    <row r="141" spans="1:6" x14ac:dyDescent="0.15">
      <c r="B141" s="336" t="s">
        <v>313</v>
      </c>
      <c r="C141" s="333">
        <f>Scenarios!C63</f>
        <v>0.50874815444966315</v>
      </c>
      <c r="D141" s="333">
        <f>Scenarios!D63</f>
        <v>3.7975768701366168</v>
      </c>
      <c r="E141" s="334">
        <f>Scenarios!E63</f>
        <v>4.3063250245862799</v>
      </c>
      <c r="F141" s="335">
        <f>Scenarios!F63</f>
        <v>0.20075184365903009</v>
      </c>
    </row>
    <row r="142" spans="1:6" x14ac:dyDescent="0.15">
      <c r="B142" s="194"/>
      <c r="C142" s="194"/>
      <c r="D142" s="194"/>
      <c r="E142" s="194"/>
      <c r="F142" s="194"/>
    </row>
    <row r="143" spans="1:6" ht="14" x14ac:dyDescent="0.2">
      <c r="B143" s="340" t="s">
        <v>463</v>
      </c>
      <c r="C143" s="340" t="str">
        <f>"PV("&amp;Holding_Period&amp;" yrs of Dividends)"</f>
        <v>PV(3 yrs of Dividends)</v>
      </c>
      <c r="D143" s="340" t="s">
        <v>471</v>
      </c>
      <c r="E143" s="341" t="str">
        <f>"Sell above ("&amp;Market_currency&amp;")"</f>
        <v>Sell above (HKD)</v>
      </c>
      <c r="F143" s="341" t="s">
        <v>472</v>
      </c>
    </row>
    <row r="144" spans="1:6" x14ac:dyDescent="0.15">
      <c r="B144" s="336" t="s">
        <v>315</v>
      </c>
      <c r="C144" s="333">
        <f>Scenarios!C66</f>
        <v>0.58336743585196538</v>
      </c>
      <c r="D144" s="333">
        <f>Scenarios!D66</f>
        <v>4.7123805944638955</v>
      </c>
      <c r="E144" s="334">
        <f>Scenarios!E66</f>
        <v>5.2957480303158606</v>
      </c>
      <c r="F144" s="335">
        <f>E24</f>
        <v>0.1174</v>
      </c>
    </row>
    <row r="145" spans="1:6" x14ac:dyDescent="0.15">
      <c r="B145" s="336" t="s">
        <v>314</v>
      </c>
      <c r="C145" s="333">
        <f>Scenarios!C67</f>
        <v>0.63167232993043521</v>
      </c>
      <c r="D145" s="333">
        <f>Scenarios!D67</f>
        <v>5.3293526303299146</v>
      </c>
      <c r="E145" s="334">
        <f>Scenarios!E67</f>
        <v>5.9610249602603496</v>
      </c>
      <c r="F145" s="335">
        <f>Scenarios!F67</f>
        <v>7.2499999999999995E-2</v>
      </c>
    </row>
    <row r="147" spans="1:6" ht="16" x14ac:dyDescent="0.25">
      <c r="A147" s="200" t="s">
        <v>475</v>
      </c>
      <c r="B147" s="34"/>
      <c r="C147" s="34"/>
      <c r="D147" s="34"/>
      <c r="E147" s="34"/>
      <c r="F147" s="34"/>
    </row>
    <row r="149" spans="1:6" x14ac:dyDescent="0.15">
      <c r="B149" s="467" t="s">
        <v>360</v>
      </c>
      <c r="C149" s="460"/>
      <c r="D149" s="460"/>
      <c r="E149" s="460"/>
      <c r="F149" s="460"/>
    </row>
    <row r="151" spans="1:6" x14ac:dyDescent="0.15">
      <c r="B151" s="192" t="s">
        <v>289</v>
      </c>
    </row>
    <row r="152" spans="1:6" x14ac:dyDescent="0.15">
      <c r="B152" s="464" t="s">
        <v>293</v>
      </c>
      <c r="C152" s="464"/>
      <c r="D152" s="464"/>
      <c r="E152" s="464"/>
      <c r="F152" s="464"/>
    </row>
    <row r="153" spans="1:6" x14ac:dyDescent="0.15">
      <c r="B153" s="196" t="s">
        <v>290</v>
      </c>
    </row>
    <row r="154" spans="1:6" x14ac:dyDescent="0.15">
      <c r="B154" s="196" t="s">
        <v>291</v>
      </c>
    </row>
    <row r="155" spans="1:6" x14ac:dyDescent="0.15">
      <c r="B155" s="196" t="s">
        <v>292</v>
      </c>
    </row>
    <row r="157" spans="1:6" x14ac:dyDescent="0.15">
      <c r="B157" s="1" t="s">
        <v>296</v>
      </c>
    </row>
    <row r="158" spans="1:6" ht="34.25" customHeight="1" x14ac:dyDescent="0.15">
      <c r="B158" s="461" t="s">
        <v>438</v>
      </c>
      <c r="C158" s="461"/>
      <c r="D158" s="461"/>
      <c r="E158" s="461"/>
      <c r="F158" s="461"/>
    </row>
    <row r="160" spans="1:6" x14ac:dyDescent="0.15">
      <c r="B160" s="1" t="s">
        <v>297</v>
      </c>
    </row>
    <row r="161" spans="2:6" ht="24.5" customHeight="1" x14ac:dyDescent="0.15">
      <c r="B161" s="466" t="s">
        <v>294</v>
      </c>
      <c r="C161" s="466"/>
      <c r="D161" s="466"/>
      <c r="E161" s="466"/>
      <c r="F161" s="466"/>
    </row>
    <row r="162" spans="2:6" ht="24.5" customHeight="1" x14ac:dyDescent="0.15">
      <c r="B162" s="466" t="s">
        <v>295</v>
      </c>
      <c r="C162" s="466"/>
      <c r="D162" s="466"/>
      <c r="E162" s="466"/>
      <c r="F162" s="466"/>
    </row>
    <row r="164" spans="2:6" x14ac:dyDescent="0.15">
      <c r="B164" s="1" t="s">
        <v>301</v>
      </c>
    </row>
    <row r="165" spans="2:6" x14ac:dyDescent="0.15">
      <c r="B165" s="196" t="s">
        <v>298</v>
      </c>
    </row>
    <row r="166" spans="2:6" x14ac:dyDescent="0.15">
      <c r="B166" s="196" t="s">
        <v>299</v>
      </c>
    </row>
    <row r="167" spans="2:6" x14ac:dyDescent="0.15">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6" x14ac:dyDescent="0.25">
      <c r="B2" s="34" t="s">
        <v>93</v>
      </c>
      <c r="C2" s="35"/>
      <c r="D2" s="35"/>
      <c r="E2" s="35"/>
      <c r="F2" s="35"/>
      <c r="G2" s="35"/>
      <c r="H2" s="35"/>
      <c r="I2" s="35"/>
      <c r="J2" s="35"/>
      <c r="K2" s="35"/>
      <c r="L2" s="35"/>
      <c r="M2" s="35"/>
    </row>
    <row r="3" spans="2:13" x14ac:dyDescent="0.15">
      <c r="B3" s="16" t="s">
        <v>25</v>
      </c>
      <c r="C3" s="103">
        <v>1000</v>
      </c>
    </row>
    <row r="4" spans="2:13" x14ac:dyDescent="0.15">
      <c r="B4" s="31" t="s">
        <v>0</v>
      </c>
      <c r="C4" s="287">
        <v>20748550</v>
      </c>
      <c r="D4" s="287">
        <v>19532203</v>
      </c>
      <c r="E4" s="287">
        <v>21310933</v>
      </c>
      <c r="F4" s="287">
        <v>22776265</v>
      </c>
      <c r="G4" s="287">
        <v>18592465</v>
      </c>
      <c r="H4" s="287">
        <v>13721509</v>
      </c>
      <c r="I4" s="287">
        <v>10391917</v>
      </c>
      <c r="J4" s="287">
        <v>5887260</v>
      </c>
      <c r="K4" s="287">
        <v>3724381</v>
      </c>
      <c r="L4" s="287"/>
      <c r="M4" s="287"/>
    </row>
    <row r="5" spans="2:13" x14ac:dyDescent="0.15">
      <c r="B5" s="38" t="s">
        <v>40</v>
      </c>
      <c r="C5" s="287">
        <v>6983747</v>
      </c>
      <c r="D5" s="287">
        <v>6868850</v>
      </c>
      <c r="E5" s="287">
        <v>7360333</v>
      </c>
      <c r="F5" s="287">
        <v>6768676</v>
      </c>
      <c r="G5" s="287">
        <v>5112187</v>
      </c>
      <c r="H5" s="287">
        <v>4111918</v>
      </c>
      <c r="I5" s="287">
        <v>3372827</v>
      </c>
      <c r="J5" s="287">
        <v>2096800</v>
      </c>
      <c r="K5" s="287">
        <v>1690421</v>
      </c>
      <c r="L5" s="287"/>
      <c r="M5" s="287"/>
    </row>
    <row r="6" spans="2:13" x14ac:dyDescent="0.15">
      <c r="B6" s="38" t="s">
        <v>51</v>
      </c>
      <c r="C6" s="287">
        <v>8862484</v>
      </c>
      <c r="D6" s="287">
        <v>8471116</v>
      </c>
      <c r="E6" s="287">
        <v>8080385</v>
      </c>
      <c r="F6" s="287">
        <v>7937287</v>
      </c>
      <c r="G6" s="287">
        <v>6424644</v>
      </c>
      <c r="H6" s="287">
        <v>4761211</v>
      </c>
      <c r="I6" s="287">
        <v>4241603</v>
      </c>
      <c r="J6" s="287">
        <v>2499647</v>
      </c>
      <c r="K6" s="287">
        <v>1600378</v>
      </c>
      <c r="L6" s="287"/>
      <c r="M6" s="287"/>
    </row>
    <row r="7" spans="2:13" x14ac:dyDescent="0.15">
      <c r="B7" s="66" t="s">
        <v>58</v>
      </c>
      <c r="C7" s="288">
        <v>7181223</v>
      </c>
      <c r="D7" s="288">
        <v>6709067</v>
      </c>
      <c r="E7" s="288">
        <v>6545373</v>
      </c>
      <c r="F7" s="288">
        <v>6729305</v>
      </c>
      <c r="G7" s="288">
        <v>5263430</v>
      </c>
      <c r="H7" s="288">
        <v>3847985</v>
      </c>
      <c r="I7" s="288">
        <v>3661314</v>
      </c>
      <c r="J7" s="288">
        <v>2139107</v>
      </c>
      <c r="K7" s="288">
        <v>1369520</v>
      </c>
      <c r="L7" s="288"/>
      <c r="M7" s="288"/>
    </row>
    <row r="8" spans="2:13" x14ac:dyDescent="0.15">
      <c r="B8" s="38" t="s">
        <v>46</v>
      </c>
      <c r="C8" s="287"/>
      <c r="D8" s="287"/>
      <c r="E8" s="287"/>
      <c r="F8" s="287"/>
      <c r="G8" s="287"/>
      <c r="H8" s="287"/>
      <c r="I8" s="287"/>
      <c r="J8" s="287"/>
      <c r="K8" s="287"/>
      <c r="L8" s="287"/>
      <c r="M8" s="287"/>
    </row>
    <row r="9" spans="2:13" x14ac:dyDescent="0.15">
      <c r="B9" s="38" t="s">
        <v>134</v>
      </c>
      <c r="C9" s="287">
        <v>-12182</v>
      </c>
      <c r="D9" s="287">
        <v>-7408</v>
      </c>
      <c r="E9" s="287">
        <v>-17253</v>
      </c>
      <c r="F9" s="287">
        <v>-15586</v>
      </c>
      <c r="G9" s="287">
        <v>-5571</v>
      </c>
      <c r="H9" s="287"/>
      <c r="I9" s="287"/>
      <c r="J9" s="287"/>
      <c r="K9" s="287"/>
      <c r="L9" s="287"/>
      <c r="M9" s="287"/>
    </row>
    <row r="10" spans="2:13" x14ac:dyDescent="0.15">
      <c r="B10" s="38" t="s">
        <v>138</v>
      </c>
      <c r="C10" s="287"/>
      <c r="D10" s="287"/>
      <c r="E10" s="287"/>
      <c r="F10" s="287"/>
      <c r="G10" s="287"/>
      <c r="H10" s="287"/>
      <c r="I10" s="287"/>
      <c r="J10" s="287"/>
      <c r="K10" s="287"/>
      <c r="L10" s="287"/>
      <c r="M10" s="287"/>
    </row>
    <row r="11" spans="2:13" x14ac:dyDescent="0.15">
      <c r="B11" s="38" t="s">
        <v>133</v>
      </c>
      <c r="C11" s="287"/>
      <c r="D11" s="287"/>
      <c r="E11" s="287"/>
      <c r="F11" s="287"/>
      <c r="G11" s="287"/>
      <c r="H11" s="287"/>
      <c r="I11" s="287"/>
      <c r="J11" s="287"/>
      <c r="K11" s="287"/>
      <c r="L11" s="287"/>
      <c r="M11" s="287"/>
    </row>
    <row r="12" spans="2:13" x14ac:dyDescent="0.15">
      <c r="B12" s="38" t="s">
        <v>37</v>
      </c>
      <c r="C12" s="287">
        <v>44646</v>
      </c>
      <c r="D12" s="287">
        <v>53132</v>
      </c>
      <c r="E12" s="287">
        <v>33640</v>
      </c>
      <c r="F12" s="287">
        <v>29152</v>
      </c>
      <c r="G12" s="287">
        <v>50160</v>
      </c>
      <c r="H12" s="287">
        <v>72693</v>
      </c>
      <c r="I12" s="287">
        <v>58675</v>
      </c>
      <c r="J12" s="287">
        <v>21409</v>
      </c>
      <c r="K12" s="287">
        <v>26773</v>
      </c>
      <c r="L12" s="287"/>
      <c r="M12" s="287"/>
    </row>
    <row r="13" spans="2:13" x14ac:dyDescent="0.15">
      <c r="B13" s="38" t="s">
        <v>64</v>
      </c>
      <c r="C13" s="287">
        <f>218979+91336</f>
        <v>310315</v>
      </c>
      <c r="D13" s="287">
        <f>198911+99510</f>
        <v>298421</v>
      </c>
      <c r="E13" s="287"/>
      <c r="F13" s="287"/>
      <c r="G13" s="287"/>
      <c r="H13" s="287"/>
      <c r="I13" s="287"/>
      <c r="J13" s="287"/>
      <c r="K13" s="287"/>
      <c r="L13" s="287"/>
      <c r="M13" s="287"/>
    </row>
    <row r="14" spans="2:13" x14ac:dyDescent="0.15">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x14ac:dyDescent="0.15">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x14ac:dyDescent="0.15">
      <c r="B16" s="27" t="s">
        <v>41</v>
      </c>
      <c r="C16" s="287">
        <v>83995</v>
      </c>
      <c r="D16" s="287">
        <v>-99657</v>
      </c>
      <c r="E16" s="287">
        <v>6058</v>
      </c>
      <c r="F16" s="287">
        <v>43852</v>
      </c>
      <c r="G16" s="287">
        <v>-241</v>
      </c>
      <c r="H16" s="287">
        <v>0</v>
      </c>
      <c r="I16" s="287">
        <v>0</v>
      </c>
      <c r="J16" s="287">
        <v>0</v>
      </c>
      <c r="K16" s="287">
        <v>-10836</v>
      </c>
      <c r="L16" s="287"/>
      <c r="M16" s="287"/>
    </row>
    <row r="18" spans="2:13" x14ac:dyDescent="0.15">
      <c r="B18" s="16" t="s">
        <v>48</v>
      </c>
      <c r="C18" s="9"/>
    </row>
    <row r="19" spans="2:13" ht="13" x14ac:dyDescent="0.15">
      <c r="B19" s="26" t="s">
        <v>44</v>
      </c>
      <c r="C19" s="287"/>
      <c r="D19" s="287"/>
      <c r="E19" s="287"/>
      <c r="F19" s="287"/>
      <c r="G19" s="287"/>
      <c r="H19" s="287"/>
      <c r="I19" s="287"/>
      <c r="J19" s="287"/>
      <c r="K19" s="287"/>
      <c r="L19" s="287"/>
      <c r="M19" s="287"/>
    </row>
    <row r="20" spans="2:13" ht="13" x14ac:dyDescent="0.15">
      <c r="B20" s="26" t="s">
        <v>50</v>
      </c>
      <c r="C20" s="287"/>
      <c r="D20" s="287"/>
      <c r="E20" s="287"/>
      <c r="F20" s="287"/>
      <c r="G20" s="287"/>
      <c r="H20" s="287"/>
      <c r="I20" s="287"/>
      <c r="J20" s="287"/>
      <c r="K20" s="287"/>
      <c r="L20" s="287"/>
      <c r="M20" s="287"/>
    </row>
    <row r="21" spans="2:13" ht="13" x14ac:dyDescent="0.15">
      <c r="B21" s="26" t="s">
        <v>49</v>
      </c>
      <c r="C21" s="287"/>
      <c r="D21" s="287"/>
      <c r="E21" s="287"/>
      <c r="F21" s="287"/>
      <c r="G21" s="287"/>
      <c r="H21" s="287"/>
      <c r="I21" s="287"/>
      <c r="J21" s="287"/>
      <c r="K21" s="287"/>
      <c r="L21" s="287"/>
      <c r="M21" s="287"/>
    </row>
    <row r="22" spans="2:13" ht="13" x14ac:dyDescent="0.15">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ht="13" x14ac:dyDescent="0.15">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ht="13" x14ac:dyDescent="0.15">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x14ac:dyDescent="0.15">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x14ac:dyDescent="0.15">
      <c r="B27" s="16" t="s">
        <v>26</v>
      </c>
      <c r="C27" s="94" t="s">
        <v>546</v>
      </c>
    </row>
    <row r="28" spans="2:13" ht="13" x14ac:dyDescent="0.15">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ht="13" x14ac:dyDescent="0.15">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ht="13" x14ac:dyDescent="0.15">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ht="13" x14ac:dyDescent="0.15">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ht="13" x14ac:dyDescent="0.15">
      <c r="B32" s="25" t="s">
        <v>143</v>
      </c>
      <c r="C32" s="270">
        <f>BS!G28</f>
        <v>1542743</v>
      </c>
      <c r="D32" s="287">
        <v>1389487</v>
      </c>
      <c r="E32" s="287">
        <v>1488944</v>
      </c>
      <c r="F32" s="287">
        <v>1482070</v>
      </c>
      <c r="G32" s="287">
        <v>1438416</v>
      </c>
      <c r="H32" s="287"/>
      <c r="I32" s="287"/>
      <c r="J32" s="287"/>
      <c r="K32" s="287"/>
      <c r="L32" s="287"/>
      <c r="M32" s="287"/>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x14ac:dyDescent="0.15">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ht="13" x14ac:dyDescent="0.15">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x14ac:dyDescent="0.15">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x14ac:dyDescent="0.15">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x14ac:dyDescent="0.15">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x14ac:dyDescent="0.15">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x14ac:dyDescent="0.15">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x14ac:dyDescent="0.15">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x14ac:dyDescent="0.15">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x14ac:dyDescent="0.15">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x14ac:dyDescent="0.15">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x14ac:dyDescent="0.15">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x14ac:dyDescent="0.15">
      <c r="B50" s="16" t="s">
        <v>65</v>
      </c>
    </row>
    <row r="51" spans="2:13" x14ac:dyDescent="0.15">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x14ac:dyDescent="0.15">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x14ac:dyDescent="0.15">
      <c r="B54" s="156" t="s">
        <v>139</v>
      </c>
    </row>
    <row r="55" spans="2:13" x14ac:dyDescent="0.15">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x14ac:dyDescent="0.15">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x14ac:dyDescent="0.15">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x14ac:dyDescent="0.15">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x14ac:dyDescent="0.15">
      <c r="B60" s="16" t="s">
        <v>48</v>
      </c>
      <c r="C60" s="9"/>
    </row>
    <row r="61" spans="2:13" ht="13" x14ac:dyDescent="0.15">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ht="13" x14ac:dyDescent="0.15">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ht="13" x14ac:dyDescent="0.15">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ht="13" x14ac:dyDescent="0.15">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x14ac:dyDescent="0.15">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x14ac:dyDescent="0.15">
      <c r="B67" s="88" t="s">
        <v>81</v>
      </c>
    </row>
    <row r="68" spans="2:13" x14ac:dyDescent="0.15">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ht="13" x14ac:dyDescent="0.15">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x14ac:dyDescent="0.15">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x14ac:dyDescent="0.15">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x14ac:dyDescent="0.15">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ht="13" x14ac:dyDescent="0.15">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ht="13" x14ac:dyDescent="0.15">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ht="13" x14ac:dyDescent="0.15">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ht="13" x14ac:dyDescent="0.15">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45838</v>
      </c>
      <c r="F1" s="83" t="str">
        <f>IF(MONTH(C1)=MONTH(Normalized_FCF!G1),"FY","Quarter")&amp;" Report"</f>
        <v>Quarter Report</v>
      </c>
      <c r="H1" s="104">
        <f>scaling_factor</f>
        <v>1000</v>
      </c>
    </row>
    <row r="2" spans="2:8" ht="15" customHeight="1" x14ac:dyDescent="0.15">
      <c r="B2" s="76" t="s">
        <v>131</v>
      </c>
      <c r="C2" s="35"/>
      <c r="D2" s="35"/>
      <c r="E2" s="35"/>
      <c r="F2" s="35"/>
      <c r="G2" s="35"/>
      <c r="H2" s="35"/>
    </row>
    <row r="3" spans="2:8" ht="15" customHeight="1" x14ac:dyDescent="0.15">
      <c r="B3" s="16" t="s">
        <v>154</v>
      </c>
      <c r="C3" s="164" t="s">
        <v>113</v>
      </c>
      <c r="D3" s="165" t="s">
        <v>33</v>
      </c>
      <c r="F3" s="16" t="s">
        <v>155</v>
      </c>
      <c r="G3" s="164" t="s">
        <v>113</v>
      </c>
      <c r="H3" s="165" t="s">
        <v>33</v>
      </c>
    </row>
    <row r="4" spans="2:8" ht="15" customHeight="1" x14ac:dyDescent="0.15">
      <c r="B4" s="4" t="s">
        <v>22</v>
      </c>
      <c r="C4" s="18">
        <v>334915</v>
      </c>
      <c r="D4" s="231">
        <v>0.6</v>
      </c>
      <c r="E4" s="24"/>
      <c r="F4" s="4" t="s">
        <v>74</v>
      </c>
      <c r="G4" s="18">
        <f>6476567+10386931</f>
        <v>16863498</v>
      </c>
      <c r="H4" s="231">
        <v>0.9</v>
      </c>
    </row>
    <row r="5" spans="2:8" ht="15" customHeight="1" x14ac:dyDescent="0.15">
      <c r="B5" s="1" t="s">
        <v>31</v>
      </c>
      <c r="C5" s="18">
        <v>0</v>
      </c>
      <c r="D5" s="231">
        <v>0.6</v>
      </c>
      <c r="E5" s="24"/>
      <c r="F5" s="1" t="s">
        <v>27</v>
      </c>
      <c r="G5" s="18">
        <v>34347</v>
      </c>
      <c r="H5" s="231">
        <v>0.7</v>
      </c>
    </row>
    <row r="6" spans="2:8" ht="15" customHeight="1" x14ac:dyDescent="0.15">
      <c r="B6" s="4" t="s">
        <v>8</v>
      </c>
      <c r="C6" s="18">
        <v>2050919</v>
      </c>
      <c r="D6" s="231">
        <v>0.5</v>
      </c>
      <c r="E6" s="24"/>
      <c r="F6" s="4" t="s">
        <v>147</v>
      </c>
      <c r="G6" s="18">
        <v>0</v>
      </c>
      <c r="H6" s="231">
        <v>0.6</v>
      </c>
    </row>
    <row r="7" spans="2:8" ht="15" customHeight="1" x14ac:dyDescent="0.15">
      <c r="B7" s="1" t="s">
        <v>66</v>
      </c>
      <c r="C7" s="18">
        <v>0</v>
      </c>
      <c r="D7" s="231">
        <v>0.6</v>
      </c>
      <c r="E7" s="24"/>
      <c r="F7" s="4" t="s">
        <v>148</v>
      </c>
      <c r="G7" s="18">
        <v>0</v>
      </c>
      <c r="H7" s="231">
        <v>0.6</v>
      </c>
    </row>
    <row r="8" spans="2:8" ht="15" customHeight="1" x14ac:dyDescent="0.15">
      <c r="B8" s="1" t="s">
        <v>144</v>
      </c>
      <c r="C8" s="18">
        <v>0</v>
      </c>
      <c r="D8" s="231">
        <v>0.6</v>
      </c>
      <c r="E8" s="24"/>
      <c r="F8" s="1" t="s">
        <v>149</v>
      </c>
      <c r="G8" s="18">
        <v>0</v>
      </c>
      <c r="H8" s="231">
        <v>0.6</v>
      </c>
    </row>
    <row r="9" spans="2:8" ht="15" customHeight="1" x14ac:dyDescent="0.15">
      <c r="B9" s="4" t="s">
        <v>23</v>
      </c>
      <c r="C9" s="18">
        <v>1147862</v>
      </c>
      <c r="D9" s="231">
        <v>0.1</v>
      </c>
      <c r="E9" s="24"/>
      <c r="F9" s="4" t="s">
        <v>150</v>
      </c>
      <c r="G9" s="18">
        <v>0</v>
      </c>
      <c r="H9" s="231">
        <v>0.6</v>
      </c>
    </row>
    <row r="10" spans="2:8" ht="15" customHeight="1" x14ac:dyDescent="0.15">
      <c r="B10" s="4" t="s">
        <v>9</v>
      </c>
      <c r="C10" s="18">
        <v>0</v>
      </c>
      <c r="D10" s="231">
        <v>0.9</v>
      </c>
      <c r="F10" s="1" t="s">
        <v>402</v>
      </c>
      <c r="G10" s="18">
        <v>0</v>
      </c>
      <c r="H10" s="231">
        <v>0.6</v>
      </c>
    </row>
    <row r="11" spans="2:8" ht="15" customHeight="1" x14ac:dyDescent="0.15">
      <c r="B11" s="4" t="s">
        <v>10</v>
      </c>
      <c r="C11" s="18">
        <v>0</v>
      </c>
      <c r="D11" s="231">
        <v>0.05</v>
      </c>
      <c r="H11" s="232"/>
    </row>
    <row r="12" spans="2:8" ht="15" customHeight="1" x14ac:dyDescent="0.15">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x14ac:dyDescent="0.15">
      <c r="F13" s="77"/>
      <c r="G13" s="78"/>
      <c r="H13" s="19"/>
    </row>
    <row r="14" spans="2:8" ht="15" customHeight="1" x14ac:dyDescent="0.15">
      <c r="B14" s="16" t="s">
        <v>153</v>
      </c>
      <c r="C14" s="164" t="s">
        <v>113</v>
      </c>
      <c r="D14" s="165" t="s">
        <v>33</v>
      </c>
      <c r="F14" s="16" t="s">
        <v>156</v>
      </c>
      <c r="G14" s="164" t="s">
        <v>113</v>
      </c>
      <c r="H14" s="165" t="s">
        <v>33</v>
      </c>
    </row>
    <row r="15" spans="2:8" ht="15" customHeight="1" x14ac:dyDescent="0.15">
      <c r="B15" s="4" t="s">
        <v>329</v>
      </c>
      <c r="C15" s="18">
        <v>80107</v>
      </c>
      <c r="D15" s="231">
        <v>0.4</v>
      </c>
      <c r="F15" s="4" t="s">
        <v>75</v>
      </c>
      <c r="G15" s="18">
        <v>710000</v>
      </c>
      <c r="H15" s="231">
        <v>0.8</v>
      </c>
    </row>
    <row r="16" spans="2:8" ht="15" customHeight="1" x14ac:dyDescent="0.15">
      <c r="B16" s="1" t="s">
        <v>32</v>
      </c>
      <c r="C16" s="18">
        <v>0</v>
      </c>
      <c r="D16" s="231">
        <v>0.5</v>
      </c>
      <c r="F16" s="4" t="s">
        <v>147</v>
      </c>
      <c r="G16" s="18">
        <v>0</v>
      </c>
      <c r="H16" s="231">
        <v>0.6</v>
      </c>
    </row>
    <row r="17" spans="2:8" ht="15" customHeight="1" x14ac:dyDescent="0.15">
      <c r="B17" s="1" t="s">
        <v>66</v>
      </c>
      <c r="C17" s="18">
        <v>0</v>
      </c>
      <c r="D17" s="231">
        <v>0.6</v>
      </c>
      <c r="F17" s="4" t="s">
        <v>148</v>
      </c>
      <c r="G17" s="18">
        <v>1800</v>
      </c>
      <c r="H17" s="231">
        <v>0.6</v>
      </c>
    </row>
    <row r="18" spans="2:8" ht="15" customHeight="1" x14ac:dyDescent="0.15">
      <c r="B18" s="4" t="s">
        <v>144</v>
      </c>
      <c r="C18" s="18">
        <v>0</v>
      </c>
      <c r="D18" s="231">
        <v>0.6</v>
      </c>
      <c r="F18" s="4" t="s">
        <v>151</v>
      </c>
      <c r="G18" s="18">
        <v>112883</v>
      </c>
      <c r="H18" s="231">
        <v>0.1</v>
      </c>
    </row>
    <row r="19" spans="2:8" ht="15" customHeight="1" x14ac:dyDescent="0.15">
      <c r="B19" s="4" t="s">
        <v>24</v>
      </c>
      <c r="C19" s="18">
        <f>9430196+359674</f>
        <v>9789870</v>
      </c>
      <c r="D19" s="231">
        <v>0.1</v>
      </c>
      <c r="F19" s="4" t="s">
        <v>152</v>
      </c>
      <c r="G19" s="18">
        <v>0</v>
      </c>
      <c r="H19" s="231">
        <v>0.1</v>
      </c>
    </row>
    <row r="20" spans="2:8" ht="15" customHeight="1" x14ac:dyDescent="0.15">
      <c r="B20" s="4" t="s">
        <v>16</v>
      </c>
      <c r="C20" s="18">
        <v>2236840</v>
      </c>
      <c r="D20" s="231">
        <v>0.05</v>
      </c>
      <c r="F20" s="4" t="s">
        <v>149</v>
      </c>
      <c r="G20" s="18">
        <v>0</v>
      </c>
      <c r="H20" s="231">
        <v>0.2</v>
      </c>
    </row>
    <row r="21" spans="2:8" ht="15" customHeight="1" x14ac:dyDescent="0.15">
      <c r="B21" s="4" t="s">
        <v>17</v>
      </c>
      <c r="C21" s="18">
        <v>13071</v>
      </c>
      <c r="D21" s="231">
        <v>0.05</v>
      </c>
      <c r="F21" s="1" t="s">
        <v>150</v>
      </c>
      <c r="G21" s="18">
        <v>32030</v>
      </c>
      <c r="H21" s="231">
        <v>0.1</v>
      </c>
    </row>
    <row r="22" spans="2:8" ht="15" customHeight="1" x14ac:dyDescent="0.15">
      <c r="B22" s="4" t="s">
        <v>18</v>
      </c>
      <c r="C22" s="18">
        <v>382149</v>
      </c>
      <c r="D22" s="231">
        <v>0.9</v>
      </c>
      <c r="H22" s="232"/>
    </row>
    <row r="23" spans="2:8" ht="15" customHeight="1" x14ac:dyDescent="0.15">
      <c r="B23" s="4" t="s">
        <v>19</v>
      </c>
      <c r="C23" s="18">
        <f>112402</f>
        <v>112402</v>
      </c>
      <c r="D23" s="231">
        <v>0</v>
      </c>
      <c r="H23" s="232"/>
    </row>
    <row r="24" spans="2:8" ht="15" customHeight="1" x14ac:dyDescent="0.15">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x14ac:dyDescent="0.15">
      <c r="B26" s="16" t="s">
        <v>169</v>
      </c>
      <c r="C26" s="164" t="s">
        <v>113</v>
      </c>
      <c r="F26" s="166" t="s">
        <v>165</v>
      </c>
      <c r="G26" s="167" t="s">
        <v>113</v>
      </c>
      <c r="H26" s="168" t="s">
        <v>33</v>
      </c>
    </row>
    <row r="27" spans="2:8" ht="15" customHeight="1" x14ac:dyDescent="0.15">
      <c r="B27" s="4" t="s">
        <v>3</v>
      </c>
      <c r="C27" s="18">
        <v>316384</v>
      </c>
      <c r="F27" s="169" t="s">
        <v>28</v>
      </c>
      <c r="G27" s="82">
        <f>G32-G30</f>
        <v>27153285</v>
      </c>
      <c r="H27" s="170">
        <f>H32-G30</f>
        <v>11844008.550000004</v>
      </c>
    </row>
    <row r="28" spans="2:8" ht="15" customHeight="1" x14ac:dyDescent="0.15">
      <c r="B28" s="4" t="s">
        <v>4</v>
      </c>
      <c r="C28" s="18">
        <v>25471</v>
      </c>
      <c r="F28" s="171" t="s">
        <v>209</v>
      </c>
      <c r="G28" s="287">
        <v>1542743</v>
      </c>
      <c r="H28" s="170"/>
    </row>
    <row r="29" spans="2:8" ht="15" customHeight="1" x14ac:dyDescent="0.15">
      <c r="B29" s="4" t="s">
        <v>5</v>
      </c>
      <c r="C29" s="18">
        <v>0</v>
      </c>
      <c r="F29" s="172" t="s">
        <v>72</v>
      </c>
      <c r="G29" s="14">
        <f>G27-G28</f>
        <v>25610542</v>
      </c>
      <c r="H29" s="170">
        <f>H27-G28</f>
        <v>10301265.550000004</v>
      </c>
    </row>
    <row r="30" spans="2:8" ht="15" customHeight="1" x14ac:dyDescent="0.15">
      <c r="B30" s="2" t="s">
        <v>6</v>
      </c>
      <c r="C30" s="18">
        <v>0</v>
      </c>
      <c r="F30" s="169" t="s">
        <v>21</v>
      </c>
      <c r="G30" s="82">
        <f>C33+C42</f>
        <v>6749408</v>
      </c>
      <c r="H30" s="170"/>
    </row>
    <row r="31" spans="2:8" ht="15" customHeight="1" x14ac:dyDescent="0.15">
      <c r="B31" s="77" t="s">
        <v>172</v>
      </c>
      <c r="C31" s="78">
        <f>SUM(C27:C30)</f>
        <v>341855</v>
      </c>
      <c r="F31" s="172" t="s">
        <v>73</v>
      </c>
      <c r="G31" s="173">
        <f>C31+C40</f>
        <v>845013</v>
      </c>
      <c r="H31" s="170"/>
    </row>
    <row r="32" spans="2:8" ht="15" customHeight="1" x14ac:dyDescent="0.15">
      <c r="B32" s="4" t="s">
        <v>7</v>
      </c>
      <c r="C32" s="20">
        <f>C33-C31</f>
        <v>4969894</v>
      </c>
      <c r="F32" s="174" t="s">
        <v>71</v>
      </c>
      <c r="G32" s="175">
        <f>G35+G40</f>
        <v>33902693</v>
      </c>
      <c r="H32" s="170">
        <f>H35+H40</f>
        <v>18593416.550000004</v>
      </c>
    </row>
    <row r="33" spans="2:8" ht="15" customHeight="1" x14ac:dyDescent="0.15">
      <c r="B33" s="80" t="s">
        <v>2</v>
      </c>
      <c r="C33" s="81">
        <v>5311749</v>
      </c>
      <c r="F33" s="176"/>
      <c r="G33" s="2"/>
      <c r="H33" s="177"/>
    </row>
    <row r="34" spans="2:8" ht="15" customHeight="1" x14ac:dyDescent="0.15">
      <c r="B34" s="80"/>
      <c r="C34" s="81"/>
      <c r="F34" s="178" t="s">
        <v>171</v>
      </c>
      <c r="G34" s="179" t="s">
        <v>113</v>
      </c>
      <c r="H34" s="180" t="s">
        <v>33</v>
      </c>
    </row>
    <row r="35" spans="2:8" ht="15" customHeight="1" x14ac:dyDescent="0.15">
      <c r="B35" s="16" t="s">
        <v>170</v>
      </c>
      <c r="C35" s="164" t="s">
        <v>113</v>
      </c>
      <c r="F35" s="181" t="s">
        <v>29</v>
      </c>
      <c r="G35" s="175">
        <f>C12+C24</f>
        <v>16148135</v>
      </c>
      <c r="H35" s="182">
        <f>D12+D24</f>
        <v>2808654.1500000004</v>
      </c>
    </row>
    <row r="36" spans="2:8" ht="15" customHeight="1" x14ac:dyDescent="0.15">
      <c r="B36" s="4" t="s">
        <v>11</v>
      </c>
      <c r="C36" s="18">
        <v>465695</v>
      </c>
      <c r="F36" s="172" t="s">
        <v>166</v>
      </c>
      <c r="G36" s="173">
        <f>C4+C15</f>
        <v>415022</v>
      </c>
      <c r="H36" s="177"/>
    </row>
    <row r="37" spans="2:8" ht="15" customHeight="1" x14ac:dyDescent="0.15">
      <c r="B37" s="4" t="s">
        <v>12</v>
      </c>
      <c r="C37" s="18">
        <v>37463</v>
      </c>
      <c r="F37" s="172" t="s">
        <v>167</v>
      </c>
      <c r="G37" s="173">
        <f>C6</f>
        <v>2050919</v>
      </c>
      <c r="H37" s="177"/>
    </row>
    <row r="38" spans="2:8" ht="15" customHeight="1" x14ac:dyDescent="0.15">
      <c r="B38" s="4" t="s">
        <v>13</v>
      </c>
      <c r="C38" s="18">
        <v>0</v>
      </c>
      <c r="F38" s="172" t="s">
        <v>168</v>
      </c>
      <c r="G38" s="173">
        <f>C7+C17</f>
        <v>0</v>
      </c>
      <c r="H38" s="177"/>
    </row>
    <row r="39" spans="2:8" ht="15" customHeight="1" x14ac:dyDescent="0.15">
      <c r="B39" s="2" t="s">
        <v>14</v>
      </c>
      <c r="C39" s="18">
        <v>0</v>
      </c>
      <c r="F39" s="172" t="s">
        <v>76</v>
      </c>
      <c r="G39" s="173">
        <f>C7+C17+C19+C20</f>
        <v>12026710</v>
      </c>
      <c r="H39" s="170">
        <f>C7*D7+C17*D17+C19*D19+C20*D20</f>
        <v>1090829</v>
      </c>
    </row>
    <row r="40" spans="2:8" ht="15" customHeight="1" x14ac:dyDescent="0.15">
      <c r="B40" s="77" t="s">
        <v>173</v>
      </c>
      <c r="C40" s="78">
        <f>SUM(C36:C39)</f>
        <v>503158</v>
      </c>
      <c r="F40" s="181" t="s">
        <v>115</v>
      </c>
      <c r="G40" s="175">
        <f>G12+G24</f>
        <v>17754558</v>
      </c>
      <c r="H40" s="182">
        <f>H12+H24</f>
        <v>15784762.400000002</v>
      </c>
    </row>
    <row r="41" spans="2:8" ht="15" customHeight="1" x14ac:dyDescent="0.15">
      <c r="B41" s="4" t="s">
        <v>15</v>
      </c>
      <c r="C41" s="20">
        <f>C42-C40</f>
        <v>934501</v>
      </c>
      <c r="F41" s="172" t="s">
        <v>160</v>
      </c>
      <c r="G41" s="173">
        <f>C70</f>
        <v>17720728</v>
      </c>
      <c r="H41" s="182">
        <f>H40-H42</f>
        <v>15780479.400000002</v>
      </c>
    </row>
    <row r="42" spans="2:8" ht="15" customHeight="1" x14ac:dyDescent="0.15">
      <c r="B42" s="80" t="s">
        <v>20</v>
      </c>
      <c r="C42" s="81">
        <v>1437659</v>
      </c>
      <c r="F42" s="183" t="s">
        <v>161</v>
      </c>
      <c r="G42" s="184">
        <f>C82</f>
        <v>33830</v>
      </c>
      <c r="H42" s="185">
        <f>D82</f>
        <v>4283</v>
      </c>
    </row>
    <row r="44" spans="2:8" ht="15" customHeight="1" x14ac:dyDescent="0.15">
      <c r="B44" s="76" t="s">
        <v>92</v>
      </c>
      <c r="C44" s="35"/>
      <c r="D44" s="35"/>
      <c r="E44" s="35"/>
      <c r="F44" s="35"/>
      <c r="G44" s="35"/>
      <c r="H44" s="35"/>
    </row>
    <row r="45" spans="2:8" ht="15" customHeight="1" x14ac:dyDescent="0.15">
      <c r="B45" s="16" t="s">
        <v>228</v>
      </c>
      <c r="C45" s="209" t="s">
        <v>113</v>
      </c>
      <c r="D45" s="164" t="s">
        <v>310</v>
      </c>
      <c r="F45" s="226" t="s">
        <v>56</v>
      </c>
    </row>
    <row r="46" spans="2:8" ht="15" customHeight="1" x14ac:dyDescent="0.15">
      <c r="B46" s="1" t="s">
        <v>230</v>
      </c>
      <c r="C46" s="73">
        <f>G29</f>
        <v>25610542</v>
      </c>
      <c r="D46" s="73">
        <f>H29</f>
        <v>10301265.550000004</v>
      </c>
      <c r="F46" s="223"/>
    </row>
    <row r="47" spans="2:8" ht="15" customHeight="1" x14ac:dyDescent="0.15">
      <c r="B47" s="1" t="str">
        <f>"Equity per share ("&amp;Market_currency&amp;")"</f>
        <v>Equity per share (HKD)</v>
      </c>
      <c r="C47" s="134">
        <f>C46*H1/Common_Shares*Exchange_Rate</f>
        <v>3.1968725330141479</v>
      </c>
      <c r="D47" s="134">
        <f>D46*H1/Common_Shares*Exchange_Rate</f>
        <v>1.2858702050147901</v>
      </c>
      <c r="F47" s="223"/>
    </row>
    <row r="48" spans="2:8" ht="15" customHeight="1" x14ac:dyDescent="0.15">
      <c r="F48" s="223"/>
    </row>
    <row r="49" spans="2:8" ht="15" customHeight="1" x14ac:dyDescent="0.15">
      <c r="B49" s="143" t="s">
        <v>120</v>
      </c>
      <c r="C49" s="210" t="s">
        <v>54</v>
      </c>
      <c r="D49" s="179" t="s">
        <v>91</v>
      </c>
      <c r="E49" s="2"/>
      <c r="F49" s="223"/>
    </row>
    <row r="50" spans="2:8" ht="15" customHeight="1" x14ac:dyDescent="0.15">
      <c r="B50" s="8" t="s">
        <v>90</v>
      </c>
      <c r="C50" s="92">
        <f>G31/Normalized_FCF!C8</f>
        <v>0.1723700558857961</v>
      </c>
      <c r="D50" s="92">
        <f>G31/Normalized_FCF!G8</f>
        <v>0.1723700558857961</v>
      </c>
      <c r="F50" s="223"/>
    </row>
    <row r="51" spans="2:8" ht="15" customHeight="1" x14ac:dyDescent="0.15">
      <c r="B51" s="1" t="s">
        <v>146</v>
      </c>
      <c r="C51" s="163"/>
      <c r="D51" s="89">
        <f>G29/G32</f>
        <v>0.7554132056707118</v>
      </c>
      <c r="F51" s="223"/>
    </row>
    <row r="52" spans="2:8" ht="15" customHeight="1" x14ac:dyDescent="0.15">
      <c r="F52" s="223"/>
    </row>
    <row r="53" spans="2:8" ht="15" customHeight="1" x14ac:dyDescent="0.15">
      <c r="B53" s="143" t="s">
        <v>119</v>
      </c>
      <c r="C53" s="210" t="s">
        <v>54</v>
      </c>
      <c r="D53" s="179" t="s">
        <v>91</v>
      </c>
      <c r="F53" s="223"/>
    </row>
    <row r="54" spans="2:8" ht="15" customHeight="1" x14ac:dyDescent="0.15">
      <c r="B54" s="1" t="s">
        <v>116</v>
      </c>
      <c r="C54" s="89">
        <f>Normalized_FCF!C8/G35</f>
        <v>0.30358422195504309</v>
      </c>
      <c r="D54" s="89">
        <f>Normalized_FCF!G8/G35</f>
        <v>0.30358422195504309</v>
      </c>
      <c r="F54" s="223"/>
    </row>
    <row r="55" spans="2:8" ht="15" customHeight="1" x14ac:dyDescent="0.15">
      <c r="B55" s="1" t="s">
        <v>118</v>
      </c>
      <c r="C55" s="89">
        <f>Normalized_FCF!C9/G40</f>
        <v>-6.8613366776013236E-4</v>
      </c>
      <c r="D55" s="89">
        <f>Normalized_FCF!G9/G40</f>
        <v>-6.8613366776013236E-4</v>
      </c>
      <c r="F55" s="223"/>
    </row>
    <row r="56" spans="2:8" ht="15" customHeight="1" x14ac:dyDescent="0.15">
      <c r="F56" s="223"/>
    </row>
    <row r="57" spans="2:8" ht="15" customHeight="1" x14ac:dyDescent="0.15">
      <c r="B57" s="143" t="s">
        <v>145</v>
      </c>
      <c r="C57" s="210" t="s">
        <v>54</v>
      </c>
      <c r="D57" s="179" t="s">
        <v>91</v>
      </c>
      <c r="F57" s="223"/>
    </row>
    <row r="58" spans="2:8" ht="15" customHeight="1" x14ac:dyDescent="0.15">
      <c r="B58" s="2" t="s">
        <v>86</v>
      </c>
      <c r="C58" s="95"/>
      <c r="D58" s="22">
        <f>Normalized_FCF!G15/BS!$G$39</f>
        <v>0</v>
      </c>
      <c r="F58" s="5"/>
    </row>
    <row r="59" spans="2:8" ht="15" customHeight="1" x14ac:dyDescent="0.15">
      <c r="B59" s="1" t="s">
        <v>89</v>
      </c>
      <c r="C59" s="95"/>
      <c r="D59" s="89">
        <f>G39/G32</f>
        <v>0.35474202595056387</v>
      </c>
      <c r="F59" s="223"/>
    </row>
    <row r="60" spans="2:8" ht="15" customHeight="1" x14ac:dyDescent="0.15">
      <c r="F60" s="223"/>
    </row>
    <row r="61" spans="2:8" ht="15" customHeight="1" x14ac:dyDescent="0.15">
      <c r="B61" s="143" t="s">
        <v>231</v>
      </c>
      <c r="C61" s="210" t="s">
        <v>114</v>
      </c>
      <c r="D61" s="179" t="s">
        <v>91</v>
      </c>
      <c r="F61" s="223"/>
    </row>
    <row r="62" spans="2:8" ht="15" customHeight="1" x14ac:dyDescent="0.15">
      <c r="B62" s="1" t="s">
        <v>210</v>
      </c>
      <c r="C62" s="89">
        <f>IF(G28&lt;=0,0,G28/G29)</f>
        <v>6.023859237340623E-2</v>
      </c>
      <c r="D62" s="89">
        <f>G28/G29</f>
        <v>6.023859237340623E-2</v>
      </c>
      <c r="F62" s="223" t="s">
        <v>229</v>
      </c>
    </row>
    <row r="64" spans="2:8" ht="15" customHeight="1" x14ac:dyDescent="0.15">
      <c r="B64" s="76" t="s">
        <v>162</v>
      </c>
      <c r="C64" s="35"/>
      <c r="D64" s="35"/>
      <c r="E64" s="35"/>
      <c r="F64" s="35"/>
      <c r="G64" s="35"/>
      <c r="H64" s="35"/>
    </row>
    <row r="65" spans="2:6" ht="15" customHeight="1" x14ac:dyDescent="0.15">
      <c r="B65" s="16" t="s">
        <v>158</v>
      </c>
      <c r="C65" s="209" t="s">
        <v>113</v>
      </c>
      <c r="D65" s="165" t="s">
        <v>238</v>
      </c>
      <c r="F65" s="226" t="s">
        <v>56</v>
      </c>
    </row>
    <row r="66" spans="2:6" ht="15" customHeight="1" x14ac:dyDescent="0.15">
      <c r="B66" s="102" t="s">
        <v>157</v>
      </c>
      <c r="C66" s="19">
        <f>G4+G5+G15</f>
        <v>17607845</v>
      </c>
      <c r="D66" s="73">
        <f>C66-D75</f>
        <v>14601476.8563288</v>
      </c>
      <c r="F66" s="5" t="s">
        <v>193</v>
      </c>
    </row>
    <row r="67" spans="2:6" ht="15" customHeight="1" x14ac:dyDescent="0.15">
      <c r="B67" s="102" t="s">
        <v>147</v>
      </c>
      <c r="C67" s="19">
        <f>G6+G16</f>
        <v>0</v>
      </c>
      <c r="F67" s="223"/>
    </row>
    <row r="68" spans="2:6" ht="15" customHeight="1" x14ac:dyDescent="0.15">
      <c r="B68" s="102" t="s">
        <v>151</v>
      </c>
      <c r="C68" s="19">
        <f>G18</f>
        <v>112883</v>
      </c>
      <c r="F68" s="223"/>
    </row>
    <row r="69" spans="2:6" ht="15" customHeight="1" x14ac:dyDescent="0.15">
      <c r="B69" s="102" t="s">
        <v>149</v>
      </c>
      <c r="C69" s="19">
        <f>G8+G20</f>
        <v>0</v>
      </c>
      <c r="F69" s="223"/>
    </row>
    <row r="70" spans="2:6" ht="15" customHeight="1" x14ac:dyDescent="0.15">
      <c r="B70" s="77" t="s">
        <v>158</v>
      </c>
      <c r="C70" s="78">
        <f>SUM(C66:C69)</f>
        <v>17720728</v>
      </c>
      <c r="F70" s="223"/>
    </row>
    <row r="71" spans="2:6" ht="15" customHeight="1" x14ac:dyDescent="0.15">
      <c r="F71" s="223"/>
    </row>
    <row r="72" spans="2:6" ht="15" customHeight="1" x14ac:dyDescent="0.15">
      <c r="B72" s="225" t="s">
        <v>256</v>
      </c>
      <c r="C72" s="209" t="s">
        <v>91</v>
      </c>
      <c r="D72" s="164" t="s">
        <v>54</v>
      </c>
      <c r="F72" s="223"/>
    </row>
    <row r="73" spans="2:6" ht="15" customHeight="1" x14ac:dyDescent="0.15">
      <c r="B73" s="102" t="s">
        <v>255</v>
      </c>
      <c r="C73" s="285">
        <f>(Normalized_FCF!G26+Normalized_FCF!G35-Normalized_FCF!G89)/12</f>
        <v>-1567094.0963488</v>
      </c>
      <c r="D73" s="285">
        <f>(Normalized_FCF!C26+Normalized_FCF!C35-Normalized_FCF!C89)/12</f>
        <v>-1503184.0718355998</v>
      </c>
      <c r="F73" s="1" t="s">
        <v>278</v>
      </c>
    </row>
    <row r="74" spans="2:6" ht="15" customHeight="1" x14ac:dyDescent="0.15">
      <c r="B74" s="227" t="s">
        <v>259</v>
      </c>
      <c r="C74" s="228">
        <f>-$C$66/C73</f>
        <v>11.235984514921489</v>
      </c>
      <c r="D74" s="228">
        <f>-$C$66/D73</f>
        <v>11.713698495020864</v>
      </c>
      <c r="F74" s="223" t="s">
        <v>257</v>
      </c>
    </row>
    <row r="75" spans="2:6" ht="15" customHeight="1" x14ac:dyDescent="0.15">
      <c r="B75" s="77" t="s">
        <v>258</v>
      </c>
      <c r="C75" s="261"/>
      <c r="D75" s="262">
        <f>MAX(-D73*D76,G5)</f>
        <v>3006368.1436711997</v>
      </c>
      <c r="F75" s="223" t="s">
        <v>279</v>
      </c>
    </row>
    <row r="76" spans="2:6" ht="15" customHeight="1" x14ac:dyDescent="0.15">
      <c r="B76" s="229" t="s">
        <v>260</v>
      </c>
      <c r="C76" s="230"/>
      <c r="D76" s="248">
        <f>IF(D74&lt;=3,1,IF(D74&gt;18,6,2))</f>
        <v>2</v>
      </c>
      <c r="F76" s="223" t="s">
        <v>261</v>
      </c>
    </row>
    <row r="77" spans="2:6" ht="15" customHeight="1" x14ac:dyDescent="0.15">
      <c r="F77" s="223"/>
    </row>
    <row r="78" spans="2:6" ht="15" customHeight="1" x14ac:dyDescent="0.15">
      <c r="B78" s="16" t="s">
        <v>159</v>
      </c>
      <c r="C78" s="209" t="s">
        <v>113</v>
      </c>
      <c r="D78" s="165" t="s">
        <v>33</v>
      </c>
      <c r="F78" s="223"/>
    </row>
    <row r="79" spans="2:6" ht="15" customHeight="1" x14ac:dyDescent="0.15">
      <c r="B79" s="102" t="s">
        <v>148</v>
      </c>
      <c r="C79" s="19">
        <f>G7+G17</f>
        <v>1800</v>
      </c>
      <c r="D79" s="73">
        <f>G7*H7+G17*H17</f>
        <v>1080</v>
      </c>
      <c r="F79" s="223"/>
    </row>
    <row r="80" spans="2:6" ht="15" customHeight="1" x14ac:dyDescent="0.15">
      <c r="B80" s="102" t="s">
        <v>152</v>
      </c>
      <c r="C80" s="19">
        <f>G19</f>
        <v>0</v>
      </c>
      <c r="D80" s="73">
        <f>G19*H19</f>
        <v>0</v>
      </c>
      <c r="F80" s="223"/>
    </row>
    <row r="81" spans="2:8" ht="15" customHeight="1" x14ac:dyDescent="0.15">
      <c r="B81" s="102" t="s">
        <v>150</v>
      </c>
      <c r="C81" s="19">
        <f>G9+G21</f>
        <v>32030</v>
      </c>
      <c r="D81" s="73">
        <f>G9*H9+G21*H21</f>
        <v>3203</v>
      </c>
      <c r="F81" s="223"/>
    </row>
    <row r="82" spans="2:8" ht="15" customHeight="1" x14ac:dyDescent="0.15">
      <c r="B82" s="77" t="s">
        <v>159</v>
      </c>
      <c r="C82" s="78">
        <f>SUM(C79:C81)</f>
        <v>33830</v>
      </c>
      <c r="D82" s="78">
        <f>SUM(D79:D81)</f>
        <v>4283</v>
      </c>
      <c r="F82" s="223"/>
    </row>
    <row r="84" spans="2:8" ht="15" customHeight="1" x14ac:dyDescent="0.15">
      <c r="B84" s="76" t="s">
        <v>241</v>
      </c>
      <c r="C84" s="35"/>
      <c r="D84" s="35"/>
      <c r="E84" s="35"/>
      <c r="F84" s="35"/>
      <c r="G84" s="35"/>
      <c r="H84" s="35"/>
    </row>
    <row r="85" spans="2:8" ht="15" customHeight="1" x14ac:dyDescent="0.15">
      <c r="B85" s="16" t="s">
        <v>242</v>
      </c>
      <c r="D85" s="215" t="s">
        <v>243</v>
      </c>
    </row>
    <row r="86" spans="2:8" ht="15" customHeight="1" x14ac:dyDescent="0.15">
      <c r="B86" s="212" t="s">
        <v>239</v>
      </c>
      <c r="C86" s="73">
        <f>DCF!F4*Exchange_Rate</f>
        <v>-956202.35314770474</v>
      </c>
      <c r="D86" s="201">
        <f>C86*scaling_factor/Common_Shares</f>
        <v>-0.10547995625160467</v>
      </c>
      <c r="E86" s="214" t="str">
        <f>Market_currency</f>
        <v>HKD</v>
      </c>
    </row>
    <row r="87" spans="2:8" ht="15" customHeight="1" x14ac:dyDescent="0.15">
      <c r="B87" s="212" t="s">
        <v>240</v>
      </c>
      <c r="C87" s="73">
        <f>DCF!F5*Exchange_Rate</f>
        <v>16522783.116299216</v>
      </c>
      <c r="D87" s="201">
        <f>C87*scaling_factor/Common_Shares</f>
        <v>1.8226502314335755</v>
      </c>
      <c r="E87" s="214" t="str">
        <f>Market_currency</f>
        <v>HKD</v>
      </c>
    </row>
    <row r="88" spans="2:8" ht="15" customHeight="1" x14ac:dyDescent="0.15">
      <c r="B88" s="213" t="s">
        <v>159</v>
      </c>
      <c r="C88" s="73">
        <f>DCF!F6*Exchange_Rate</f>
        <v>4846.5700273624425</v>
      </c>
      <c r="D88" s="201">
        <f>C88*scaling_factor/Common_Shares</f>
        <v>5.3463160049090704E-4</v>
      </c>
      <c r="E88" s="214" t="str">
        <f>Market_currency</f>
        <v>HKD</v>
      </c>
    </row>
    <row r="89" spans="2:8" ht="15" customHeight="1" x14ac:dyDescent="0.15">
      <c r="B89" s="77" t="s">
        <v>244</v>
      </c>
      <c r="C89" s="162">
        <f>SUM(C86:C88)</f>
        <v>15571427.333178874</v>
      </c>
      <c r="D89" s="216">
        <f>SUM(D86:D88)</f>
        <v>1.7177049067824617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393</v>
      </c>
      <c r="C3" s="104">
        <f>scaling_factor</f>
        <v>1000</v>
      </c>
      <c r="D3" s="9"/>
      <c r="E3" s="237"/>
      <c r="F3" s="9"/>
      <c r="G3" s="16" t="s">
        <v>410</v>
      </c>
      <c r="H3" s="104">
        <f>scaling_factor</f>
        <v>1000</v>
      </c>
    </row>
    <row r="4" spans="1:17" ht="15.75" customHeight="1" x14ac:dyDescent="0.15">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x14ac:dyDescent="0.15">
      <c r="A5" s="10"/>
      <c r="B5" s="2" t="s">
        <v>43</v>
      </c>
      <c r="C5" s="266">
        <f>C26</f>
        <v>-14164970</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x14ac:dyDescent="0.15">
      <c r="A6" s="10"/>
      <c r="B6" s="30" t="s">
        <v>45</v>
      </c>
      <c r="C6" s="267">
        <f>C4+C5</f>
        <v>6583580</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x14ac:dyDescent="0.15">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x14ac:dyDescent="0.15">
      <c r="A8" s="10"/>
      <c r="B8" s="28" t="s">
        <v>127</v>
      </c>
      <c r="C8" s="268">
        <f>C6+C7</f>
        <v>4902319</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x14ac:dyDescent="0.15">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x14ac:dyDescent="0.15">
      <c r="A10" s="10"/>
      <c r="B10" s="2" t="s">
        <v>65</v>
      </c>
      <c r="C10" s="266">
        <f>C48</f>
        <v>-26607.791137972803</v>
      </c>
      <c r="E10" s="237"/>
      <c r="G10" s="266">
        <f>G48</f>
        <v>8337.2657263468718</v>
      </c>
      <c r="H10" s="266">
        <f t="shared" ref="H10:Q10" si="6">H48</f>
        <v>-2179.5190006214325</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x14ac:dyDescent="0.15">
      <c r="A11" s="10"/>
      <c r="B11" s="67" t="s">
        <v>137</v>
      </c>
      <c r="C11" s="267">
        <f>SUM(C8:C10)</f>
        <v>4863529.2088620272</v>
      </c>
      <c r="E11" s="237"/>
      <c r="G11" s="267">
        <f t="shared" ref="G11:Q11" si="7">IF(G$4="","",SUM(G8:G10))</f>
        <v>4898474.2657263465</v>
      </c>
      <c r="H11" s="267">
        <f t="shared" si="7"/>
        <v>4182649.4809993785</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x14ac:dyDescent="0.15">
      <c r="A12" s="10"/>
      <c r="B12" s="2" t="s">
        <v>60</v>
      </c>
      <c r="C12" s="266">
        <f>-C11*C41</f>
        <v>-1215882.3022155068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x14ac:dyDescent="0.15">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x14ac:dyDescent="0.15">
      <c r="A14" s="10"/>
      <c r="B14" s="39" t="s">
        <v>129</v>
      </c>
      <c r="C14" s="269">
        <f>SUM(C11:C13)</f>
        <v>3563651.9066465204</v>
      </c>
      <c r="D14" s="58"/>
      <c r="E14" s="243"/>
      <c r="F14" s="58"/>
      <c r="G14" s="267">
        <f t="shared" ref="G14:Q14" si="8">IF(G$4="","",SUM(G11:G13))</f>
        <v>2918873.2657263465</v>
      </c>
      <c r="H14" s="267">
        <f t="shared" si="8"/>
        <v>2622709.4809993785</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x14ac:dyDescent="0.15">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x14ac:dyDescent="0.15">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x14ac:dyDescent="0.15">
      <c r="A17" s="10"/>
      <c r="B17" s="26" t="s">
        <v>49</v>
      </c>
      <c r="C17" s="266">
        <f>-C4*C83</f>
        <v>0</v>
      </c>
      <c r="D17" s="55"/>
      <c r="E17" s="236" t="s">
        <v>262</v>
      </c>
      <c r="F17" s="55"/>
      <c r="G17" s="272"/>
      <c r="H17" s="272"/>
      <c r="I17" s="272"/>
      <c r="J17" s="272"/>
      <c r="K17" s="272"/>
      <c r="L17" s="272"/>
      <c r="M17" s="272"/>
      <c r="N17" s="272"/>
      <c r="O17" s="272"/>
      <c r="P17" s="272"/>
      <c r="Q17" s="272"/>
    </row>
    <row r="18" spans="1:17" ht="15.75" customHeight="1" x14ac:dyDescent="0.15">
      <c r="A18" s="10"/>
      <c r="B18" s="26" t="s">
        <v>94</v>
      </c>
      <c r="C18" s="266">
        <v>0</v>
      </c>
      <c r="D18" s="55"/>
      <c r="E18" s="236" t="s">
        <v>263</v>
      </c>
      <c r="F18" s="55"/>
      <c r="G18" s="273"/>
      <c r="H18" s="273"/>
      <c r="I18" s="273"/>
      <c r="J18" s="273"/>
      <c r="K18" s="273"/>
      <c r="L18" s="273"/>
      <c r="M18" s="273"/>
      <c r="N18" s="273"/>
      <c r="O18" s="273"/>
      <c r="P18" s="273"/>
      <c r="Q18" s="273"/>
    </row>
    <row r="19" spans="1:17" ht="15.75" customHeight="1" x14ac:dyDescent="0.15">
      <c r="A19" s="10"/>
      <c r="B19" s="30" t="s">
        <v>63</v>
      </c>
      <c r="C19" s="267">
        <f>C14+C17</f>
        <v>3563651.9066465204</v>
      </c>
      <c r="D19" s="26"/>
      <c r="E19" s="234"/>
      <c r="F19" s="26"/>
      <c r="G19" s="271">
        <f t="shared" ref="G19:Q19" si="9">IF(G$4="","",G14+G17)</f>
        <v>2918873.2657263465</v>
      </c>
      <c r="H19" s="271">
        <f t="shared" si="9"/>
        <v>2622709.4809993785</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4"/>
      <c r="F22" s="26"/>
      <c r="G22" s="12"/>
      <c r="H22" s="12"/>
      <c r="I22" s="12"/>
      <c r="J22" s="12"/>
      <c r="K22" s="12"/>
      <c r="L22" s="12"/>
      <c r="M22" s="12"/>
      <c r="N22" s="12"/>
      <c r="O22" s="12"/>
      <c r="P22" s="12"/>
      <c r="Q22" s="12"/>
    </row>
    <row r="23" spans="1:17" ht="15.75" customHeight="1" x14ac:dyDescent="0.15">
      <c r="A23" s="10"/>
      <c r="B23" s="26" t="s">
        <v>40</v>
      </c>
      <c r="C23" s="274">
        <f>-C4*C29</f>
        <v>-6983747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x14ac:dyDescent="0.2">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x14ac:dyDescent="0.15">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x14ac:dyDescent="0.15">
      <c r="A26" s="10"/>
      <c r="B26" s="67" t="s">
        <v>43</v>
      </c>
      <c r="C26" s="267">
        <f>SUM(C23:C25)</f>
        <v>-14164970</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x14ac:dyDescent="0.15">
      <c r="A27" s="10"/>
      <c r="E27" s="237"/>
    </row>
    <row r="28" spans="1:17" ht="15.75" customHeight="1" x14ac:dyDescent="0.15">
      <c r="A28" s="10"/>
      <c r="B28" s="61" t="s">
        <v>175</v>
      </c>
      <c r="E28" s="237"/>
    </row>
    <row r="29" spans="1:17" ht="15.75" customHeight="1" x14ac:dyDescent="0.15">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x14ac:dyDescent="0.2">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x14ac:dyDescent="0.15">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x14ac:dyDescent="0.15">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x14ac:dyDescent="0.15">
      <c r="A33" s="10"/>
      <c r="E33" s="237"/>
    </row>
    <row r="34" spans="1:17" ht="15.75" customHeight="1" x14ac:dyDescent="0.15">
      <c r="A34" s="10"/>
      <c r="B34" s="61" t="s">
        <v>42</v>
      </c>
      <c r="E34" s="237"/>
    </row>
    <row r="35" spans="1:17" ht="15.75" customHeight="1" x14ac:dyDescent="0.15">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x14ac:dyDescent="0.15">
      <c r="A36" s="10"/>
      <c r="E36" s="237"/>
    </row>
    <row r="37" spans="1:17" ht="15.75" customHeight="1" x14ac:dyDescent="0.15">
      <c r="A37" s="10"/>
      <c r="B37" s="61" t="s">
        <v>176</v>
      </c>
      <c r="E37" s="237"/>
    </row>
    <row r="38" spans="1:17" ht="15.75" customHeight="1" x14ac:dyDescent="0.15">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x14ac:dyDescent="0.15">
      <c r="A39" s="10"/>
      <c r="E39" s="237"/>
    </row>
    <row r="40" spans="1:17" ht="15.75" customHeight="1" x14ac:dyDescent="0.15">
      <c r="A40" s="10"/>
      <c r="B40" s="61" t="s">
        <v>177</v>
      </c>
      <c r="E40" s="237"/>
    </row>
    <row r="41" spans="1:17" ht="15.75" customHeight="1" x14ac:dyDescent="0.15">
      <c r="A41" s="10"/>
      <c r="B41" s="26" t="s">
        <v>142</v>
      </c>
      <c r="C41" s="457">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37"/>
    </row>
    <row r="45" spans="1:17" ht="15.75" customHeight="1" x14ac:dyDescent="0.15">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x14ac:dyDescent="0.15">
      <c r="A46" s="10"/>
      <c r="B46" s="2" t="s">
        <v>272</v>
      </c>
      <c r="C46" s="266">
        <f>BS!D75*C51</f>
        <v>18038.208862027197</v>
      </c>
      <c r="E46" s="237"/>
      <c r="G46" s="274">
        <f t="shared" ref="G46:Q46" si="17">IFERROR(IF(G$4="","",($C$46/$C$47)*G47),0)</f>
        <v>52983.265726346872</v>
      </c>
      <c r="H46" s="274">
        <f t="shared" si="17"/>
        <v>50952.480999378568</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x14ac:dyDescent="0.15">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x14ac:dyDescent="0.15">
      <c r="A48" s="10"/>
      <c r="B48" s="67" t="s">
        <v>65</v>
      </c>
      <c r="C48" s="267">
        <f>C45+C46</f>
        <v>-26607.791137972803</v>
      </c>
      <c r="E48" s="237"/>
      <c r="G48" s="267">
        <f>IF(G$4="","",(G45+G46))</f>
        <v>8337.2657263468718</v>
      </c>
      <c r="H48" s="267">
        <f t="shared" ref="H48:Q48" si="18">IF(H$4="","",(H45+H46))</f>
        <v>-2179.5190006214325</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x14ac:dyDescent="0.15">
      <c r="A49" s="10"/>
      <c r="E49" s="237"/>
    </row>
    <row r="50" spans="1:17" ht="15.75" customHeight="1" x14ac:dyDescent="0.15">
      <c r="A50" s="10"/>
      <c r="B50" s="69" t="s">
        <v>130</v>
      </c>
      <c r="E50" s="237"/>
      <c r="G50" s="94" t="s">
        <v>188</v>
      </c>
    </row>
    <row r="51" spans="1:17" ht="15.75" customHeight="1" x14ac:dyDescent="0.15">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x14ac:dyDescent="0.15">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x14ac:dyDescent="0.15">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x14ac:dyDescent="0.15">
      <c r="A54" s="10"/>
      <c r="E54" s="237"/>
    </row>
    <row r="55" spans="1:17" ht="15.75" customHeight="1" x14ac:dyDescent="0.15">
      <c r="A55" s="10"/>
      <c r="B55" s="61" t="s">
        <v>139</v>
      </c>
      <c r="E55" s="237"/>
      <c r="G55" s="94" t="s">
        <v>188</v>
      </c>
    </row>
    <row r="56" spans="1:17" ht="15.75" customHeight="1" x14ac:dyDescent="0.15">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x14ac:dyDescent="0.15">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x14ac:dyDescent="0.15">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x14ac:dyDescent="0.15">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x14ac:dyDescent="0.15">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x14ac:dyDescent="0.15">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x14ac:dyDescent="0.15">
      <c r="A62" s="10"/>
      <c r="E62" s="237"/>
    </row>
    <row r="63" spans="1:17" ht="15.75" customHeight="1" x14ac:dyDescent="0.15">
      <c r="A63" s="10"/>
      <c r="B63" s="93" t="s">
        <v>140</v>
      </c>
      <c r="E63" s="237"/>
      <c r="G63" s="94" t="s">
        <v>188</v>
      </c>
    </row>
    <row r="64" spans="1:17" ht="15.75" customHeight="1" x14ac:dyDescent="0.15">
      <c r="A64" s="10"/>
      <c r="B64" s="38" t="s">
        <v>138</v>
      </c>
      <c r="C64" s="158">
        <f>G64</f>
        <v>0</v>
      </c>
      <c r="E64" s="237"/>
      <c r="G64" s="22">
        <f>IFERROR(G56/BS!$C$67,0)</f>
        <v>0</v>
      </c>
      <c r="H64" s="157"/>
      <c r="I64" s="157"/>
      <c r="J64" s="157"/>
      <c r="K64" s="157"/>
      <c r="L64" s="157"/>
      <c r="M64" s="157"/>
      <c r="N64" s="157"/>
      <c r="O64" s="157"/>
      <c r="P64" s="157"/>
      <c r="Q64" s="157"/>
    </row>
    <row r="65" spans="1:17" ht="15.75" customHeight="1" x14ac:dyDescent="0.15">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x14ac:dyDescent="0.15">
      <c r="A66" s="10"/>
      <c r="B66" s="102" t="s">
        <v>133</v>
      </c>
      <c r="C66" s="158">
        <f>G66</f>
        <v>0</v>
      </c>
      <c r="E66" s="237"/>
      <c r="G66" s="22">
        <f>IFERROR(G58/BS!$C$69,0)</f>
        <v>0</v>
      </c>
      <c r="H66" s="157"/>
      <c r="I66" s="157"/>
      <c r="J66" s="157"/>
      <c r="K66" s="157"/>
      <c r="L66" s="157"/>
      <c r="M66" s="157"/>
      <c r="N66" s="157"/>
      <c r="O66" s="157"/>
      <c r="P66" s="157"/>
      <c r="Q66" s="157"/>
    </row>
    <row r="67" spans="1:17" ht="15.75" customHeight="1" x14ac:dyDescent="0.15">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4"/>
      <c r="F70" s="26"/>
      <c r="G70" s="94"/>
      <c r="H70" s="12"/>
      <c r="I70" s="12"/>
      <c r="J70" s="12"/>
      <c r="K70" s="12"/>
      <c r="L70" s="12"/>
      <c r="M70" s="12"/>
      <c r="N70" s="12"/>
      <c r="O70" s="12"/>
      <c r="P70" s="12"/>
      <c r="Q70" s="12"/>
    </row>
    <row r="71" spans="1:17" ht="15.75" customHeight="1" x14ac:dyDescent="0.15">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x14ac:dyDescent="0.15">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x14ac:dyDescent="0.15">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x14ac:dyDescent="0.15">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x14ac:dyDescent="0.15">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x14ac:dyDescent="0.15">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x14ac:dyDescent="0.15">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x14ac:dyDescent="0.15">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x14ac:dyDescent="0.15">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x14ac:dyDescent="0.15">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x14ac:dyDescent="0.15">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x14ac:dyDescent="0.15">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x14ac:dyDescent="0.15">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x14ac:dyDescent="0.15">
      <c r="A84" s="10"/>
      <c r="B84" s="8" t="s">
        <v>94</v>
      </c>
      <c r="C84" s="74">
        <v>0</v>
      </c>
      <c r="E84" s="236" t="str">
        <f>E18</f>
        <v>Net borrowing is excluded</v>
      </c>
      <c r="G84" s="151"/>
      <c r="H84" s="151"/>
      <c r="I84" s="151"/>
      <c r="J84" s="151"/>
      <c r="K84" s="151"/>
      <c r="L84" s="151"/>
      <c r="M84" s="151"/>
      <c r="N84" s="151"/>
      <c r="O84" s="151"/>
      <c r="P84" s="151"/>
      <c r="Q84" s="151"/>
    </row>
    <row r="85" spans="1:17" ht="15.75" customHeight="1" x14ac:dyDescent="0.15">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x14ac:dyDescent="0.15">
      <c r="A86" s="10"/>
      <c r="E86" s="237"/>
    </row>
    <row r="87" spans="1:17" ht="15.75" customHeight="1" x14ac:dyDescent="0.15">
      <c r="A87" s="10"/>
      <c r="B87" s="61" t="s">
        <v>183</v>
      </c>
      <c r="E87" s="237"/>
    </row>
    <row r="88" spans="1:17" ht="15.75" customHeight="1" x14ac:dyDescent="0.15">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x14ac:dyDescent="0.15">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x14ac:dyDescent="0.15">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x14ac:dyDescent="0.15">
      <c r="A91" s="10"/>
      <c r="B91" s="2" t="s">
        <v>331</v>
      </c>
      <c r="C91" s="292">
        <v>0</v>
      </c>
      <c r="E91" s="237"/>
      <c r="G91" s="293"/>
      <c r="H91" s="293"/>
      <c r="I91" s="293"/>
      <c r="J91" s="293"/>
      <c r="K91" s="293"/>
      <c r="L91" s="293"/>
      <c r="M91" s="293"/>
      <c r="N91" s="293"/>
      <c r="O91" s="293"/>
      <c r="P91" s="293"/>
      <c r="Q91" s="293"/>
    </row>
    <row r="92" spans="1:17" ht="15.75" customHeight="1" x14ac:dyDescent="0.15">
      <c r="A92" s="10"/>
      <c r="B92" s="2" t="s">
        <v>330</v>
      </c>
      <c r="C92" s="22">
        <f>(C88*(1-dividend_tax_rate))/Market_Price</f>
        <v>6.1841432225063935E-2</v>
      </c>
      <c r="E92" s="237"/>
      <c r="G92" s="22">
        <f t="shared" ref="G92:Q92" si="38">IF(G$4="","",(G88*(1-dividend_tax_rate))/Market_Price)</f>
        <v>8.3478260869565224E-2</v>
      </c>
      <c r="H92" s="22">
        <f t="shared" si="38"/>
        <v>7.2455242966751918E-2</v>
      </c>
      <c r="I92" s="22">
        <f t="shared" si="38"/>
        <v>7.2941176470588232E-2</v>
      </c>
      <c r="J92" s="22">
        <f t="shared" si="38"/>
        <v>0.12035805626598466</v>
      </c>
      <c r="K92" s="22">
        <f t="shared" si="38"/>
        <v>7.5728900255754475E-2</v>
      </c>
      <c r="L92" s="22">
        <f t="shared" si="38"/>
        <v>0</v>
      </c>
      <c r="M92" s="22">
        <f t="shared" si="38"/>
        <v>0</v>
      </c>
      <c r="N92" s="22">
        <f t="shared" si="38"/>
        <v>0</v>
      </c>
      <c r="O92" s="22">
        <f t="shared" si="38"/>
        <v>0</v>
      </c>
      <c r="P92" s="22" t="str">
        <f t="shared" si="38"/>
        <v/>
      </c>
      <c r="Q92" s="22" t="str">
        <f t="shared" si="38"/>
        <v/>
      </c>
    </row>
    <row r="93" spans="1:17" ht="15.75" customHeight="1" x14ac:dyDescent="0.15">
      <c r="A93" s="10"/>
      <c r="E93" s="237"/>
    </row>
    <row r="94" spans="1:17" ht="15.75" customHeight="1" x14ac:dyDescent="0.15">
      <c r="A94" s="10"/>
      <c r="B94" s="143" t="s">
        <v>81</v>
      </c>
      <c r="C94" s="59"/>
      <c r="D94" s="26"/>
      <c r="E94" s="234"/>
      <c r="F94" s="26"/>
      <c r="G94" s="12"/>
      <c r="H94" s="12"/>
      <c r="I94" s="12"/>
      <c r="J94" s="12"/>
      <c r="K94" s="12"/>
      <c r="L94" s="12"/>
      <c r="M94" s="12"/>
      <c r="N94" s="12"/>
      <c r="O94" s="12"/>
      <c r="P94" s="12"/>
      <c r="Q94" s="12"/>
    </row>
    <row r="95" spans="1:17" ht="15.75" customHeight="1" x14ac:dyDescent="0.15">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x14ac:dyDescent="0.15">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37"/>
      <c r="G99" s="94" t="s">
        <v>188</v>
      </c>
    </row>
    <row r="100" spans="1:17" ht="15.75" customHeight="1" x14ac:dyDescent="0.15">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x14ac:dyDescent="0.15">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x14ac:dyDescent="0.15">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x14ac:dyDescent="0.15">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x14ac:dyDescent="0.15">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x14ac:dyDescent="0.15">
      <c r="A105" s="10"/>
      <c r="E105" s="237"/>
    </row>
    <row r="106" spans="1:17" ht="15.75" customHeight="1" x14ac:dyDescent="0.15">
      <c r="A106" s="10"/>
      <c r="B106" s="88" t="s">
        <v>189</v>
      </c>
      <c r="C106" s="25"/>
      <c r="D106" s="25"/>
      <c r="E106" s="238"/>
      <c r="F106" s="25"/>
      <c r="G106" s="94" t="s">
        <v>188</v>
      </c>
      <c r="H106" s="12"/>
      <c r="I106" s="12"/>
      <c r="J106" s="12"/>
      <c r="K106" s="12"/>
      <c r="L106" s="12"/>
      <c r="M106" s="12"/>
      <c r="N106" s="12"/>
      <c r="O106" s="12"/>
      <c r="P106" s="12"/>
      <c r="Q106" s="12"/>
    </row>
    <row r="107" spans="1:17" ht="15.75" customHeight="1" x14ac:dyDescent="0.15">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x14ac:dyDescent="0.15">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x14ac:dyDescent="0.15">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x14ac:dyDescent="0.15">
      <c r="A110" s="10"/>
      <c r="E110" s="237"/>
    </row>
    <row r="111" spans="1:17" ht="15.75" customHeight="1" x14ac:dyDescent="0.15">
      <c r="A111" s="10"/>
      <c r="B111" s="61" t="s">
        <v>48</v>
      </c>
      <c r="E111" s="237"/>
    </row>
    <row r="112" spans="1:17" ht="15.75" customHeight="1" x14ac:dyDescent="0.15">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x14ac:dyDescent="0.15">
      <c r="A113" s="10"/>
      <c r="B113" s="2" t="s">
        <v>304</v>
      </c>
      <c r="C113" s="151"/>
      <c r="E113" s="459">
        <f>(Normalized_FCF!E117/Normalized_FCF!C117)^(1/DCF!C15)-1</f>
        <v>0</v>
      </c>
      <c r="G113" s="251">
        <f>IF(G$4="","",Data!C$22/G19)</f>
        <v>1.4318240702924112</v>
      </c>
      <c r="H113" s="251">
        <f>IF(H$4="","",Data!D$22/H19)</f>
        <v>1.5805585902790971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x14ac:dyDescent="0.15">
      <c r="A114" s="10"/>
      <c r="E114" s="237"/>
    </row>
    <row r="115" spans="1:17" ht="15.75" customHeight="1" x14ac:dyDescent="0.15">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0.23440332981639811</v>
      </c>
      <c r="E116" s="22">
        <f>E119/E117/E118</f>
        <v>0.23440332981639808</v>
      </c>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x14ac:dyDescent="0.15">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x14ac:dyDescent="0.15">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x14ac:dyDescent="0.15">
      <c r="A119" s="10"/>
      <c r="B119" s="67" t="s">
        <v>191</v>
      </c>
      <c r="C119" s="62">
        <f>C11/C104</f>
        <v>0.17911384235321903</v>
      </c>
      <c r="D119" s="100"/>
      <c r="E119" s="453">
        <f>C11/C104</f>
        <v>0.17911384235321903</v>
      </c>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0" t="s">
        <v>141</v>
      </c>
      <c r="C122" s="161"/>
      <c r="D122" s="26"/>
      <c r="E122" s="234"/>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(HKD)</v>
      </c>
      <c r="C123" s="159">
        <f>C14*$C$3/Common_Shares*Exchange_Rate</f>
        <v>0.4448379459357697</v>
      </c>
      <c r="D123" s="26"/>
      <c r="E123" s="234"/>
      <c r="F123" s="26"/>
      <c r="G123" s="159">
        <f t="shared" ref="G123:Q123" si="48">IF(G$4="","",G14*$C$3/Common_Shares*Exchange_Rate)</f>
        <v>0.36435252992888101</v>
      </c>
      <c r="H123" s="159">
        <f t="shared" si="48"/>
        <v>0.32738346193074336</v>
      </c>
      <c r="I123" s="159">
        <f t="shared" si="48"/>
        <v>0.51157129060459139</v>
      </c>
      <c r="J123" s="159">
        <f t="shared" si="48"/>
        <v>0.6521280978708931</v>
      </c>
      <c r="K123" s="159">
        <f t="shared" si="48"/>
        <v>0.56621842934400579</v>
      </c>
      <c r="L123" s="159">
        <f t="shared" si="48"/>
        <v>0.37792300211698909</v>
      </c>
      <c r="M123" s="159">
        <f t="shared" si="48"/>
        <v>0.22125422337430078</v>
      </c>
      <c r="N123" s="159">
        <f t="shared" si="48"/>
        <v>9.7185988924259864E-2</v>
      </c>
      <c r="O123" s="159">
        <f t="shared" si="48"/>
        <v>2.7213909350787907E-2</v>
      </c>
      <c r="P123" s="159" t="str">
        <f t="shared" si="48"/>
        <v/>
      </c>
      <c r="Q123" s="159" t="str">
        <f t="shared" si="48"/>
        <v/>
      </c>
    </row>
    <row r="124" spans="1:17" ht="15.75" customHeight="1" x14ac:dyDescent="0.15">
      <c r="A124" s="10"/>
      <c r="B124" s="26" t="s">
        <v>226</v>
      </c>
      <c r="C124" s="74">
        <f>C19*Exchange_Rate*$C$3/(Market_Price*Common_Shares)</f>
        <v>0.11376929563574673</v>
      </c>
      <c r="D124" s="26"/>
      <c r="E124" s="234"/>
      <c r="F124" s="26"/>
      <c r="G124" s="74">
        <f t="shared" ref="G124" si="49">IF(G$4="","",G123/Market_Price)</f>
        <v>9.3184790263140915E-2</v>
      </c>
      <c r="H124" s="74">
        <f t="shared" ref="H124" si="50">IF(H$4="","",H123/Market_Price)</f>
        <v>8.3729785660036665E-2</v>
      </c>
      <c r="I124" s="74">
        <f t="shared" ref="I124" si="51">IF(I$4="","",I123/Market_Price)</f>
        <v>0.13083664721345048</v>
      </c>
      <c r="J124" s="74">
        <f t="shared" ref="J124" si="52">IF(J$4="","",J123/Market_Price)</f>
        <v>0.16678467976237674</v>
      </c>
      <c r="K124" s="74">
        <f t="shared" ref="K124" si="53">IF(K$4="","",K123/Market_Price)</f>
        <v>0.14481289753043625</v>
      </c>
      <c r="L124" s="74">
        <f t="shared" ref="L124" si="54">IF(L$4="","",L123/Market_Price)</f>
        <v>9.6655499262657055E-2</v>
      </c>
      <c r="M124" s="74">
        <f t="shared" ref="M124" si="55">IF(M$4="","",M123/Market_Price)</f>
        <v>5.6586757896240611E-2</v>
      </c>
      <c r="N124" s="74">
        <f t="shared" ref="N124" si="56">IF(N$4="","",N123/Market_Price)</f>
        <v>2.4855751643033212E-2</v>
      </c>
      <c r="O124" s="74">
        <f t="shared" ref="O124" si="57">IF(O$4="","",O123/Market_Price)</f>
        <v>6.9600791178485695E-3</v>
      </c>
      <c r="P124" s="74" t="str">
        <f t="shared" ref="P124" si="58">IF(P$4="","",P123/Market_Price)</f>
        <v/>
      </c>
      <c r="Q124" s="74" t="str">
        <f t="shared" ref="Q124" si="59">IF(Q$4="","",Q123/Market_Price)</f>
        <v/>
      </c>
    </row>
    <row r="125" spans="1:17" ht="15.75" customHeight="1" x14ac:dyDescent="0.15">
      <c r="B125" s="2" t="s">
        <v>306</v>
      </c>
      <c r="C125" s="151"/>
      <c r="G125" s="22">
        <f>IF(G$4="","",(Data!C47*$C$3)/(Market_Price*Common_Shares))</f>
        <v>0.10309228858418394</v>
      </c>
      <c r="H125" s="22">
        <f>IF(H$4="","",(Data!D47*$C$3)/(Market_Price*Common_Shares))</f>
        <v>9.2829441268361956E-2</v>
      </c>
      <c r="I125" s="22">
        <f>IF(I$4="","",(Data!E47*$C$3)/(Market_Price*Common_Shares))</f>
        <v>0.13959902020106951</v>
      </c>
      <c r="J125" s="22">
        <f>IF(J$4="","",(Data!F47*$C$3)/(Market_Price*Common_Shares))</f>
        <v>0.19508731348768493</v>
      </c>
      <c r="K125" s="22">
        <f>IF(K$4="","",(Data!G47*$C$3)/(Market_Price*Common_Shares))</f>
        <v>0.20980685150963216</v>
      </c>
      <c r="L125" s="22">
        <f>IF(L$4="","",(Data!H47*$C$3)/(Market_Price*Common_Shares))</f>
        <v>0.1110047145525305</v>
      </c>
      <c r="M125" s="22">
        <f>IF(M$4="","",(Data!I47*$C$3)/(Market_Price*Common_Shares))</f>
        <v>6.325985365752651E-2</v>
      </c>
      <c r="N125" s="22">
        <f>IF(N$4="","",(Data!J47*$C$3)/(Market_Price*Common_Shares))</f>
        <v>3.2733011946754188E-2</v>
      </c>
      <c r="O125" s="22">
        <f>IF(O$4="","",(Data!K47*$C$3)/(Market_Price*Common_Shares))</f>
        <v>1.1458610881154281E-2</v>
      </c>
      <c r="P125" s="22" t="str">
        <f>IF(P$4="","",(Data!L47*$C$3)/(Market_Price*Common_Shares))</f>
        <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1000</v>
      </c>
      <c r="E3" s="106" t="s">
        <v>424</v>
      </c>
      <c r="H3" s="106" t="s">
        <v>414</v>
      </c>
    </row>
    <row r="4" spans="2:15" x14ac:dyDescent="0.15">
      <c r="B4" s="97" t="s">
        <v>393</v>
      </c>
      <c r="C4" s="275">
        <f>Normalized_FCF!C19</f>
        <v>3563651.9066465204</v>
      </c>
      <c r="D4" t="str">
        <f>Reporting_currency</f>
        <v>CNY</v>
      </c>
      <c r="E4" s="135" t="s">
        <v>431</v>
      </c>
      <c r="F4" s="275">
        <f>-BS!G31</f>
        <v>-845013</v>
      </c>
      <c r="G4" t="str">
        <f>Reporting_currency</f>
        <v>CNY</v>
      </c>
      <c r="H4" s="308" t="s">
        <v>394</v>
      </c>
      <c r="I4" s="305">
        <f>Normalized_FCF!C4</f>
        <v>20748550</v>
      </c>
      <c r="J4" s="305"/>
    </row>
    <row r="5" spans="2:15" x14ac:dyDescent="0.15">
      <c r="B5" s="187" t="s">
        <v>105</v>
      </c>
      <c r="C5" s="188">
        <f>Equity_Cost</f>
        <v>7.2499999999999995E-2</v>
      </c>
      <c r="E5" s="135" t="s">
        <v>432</v>
      </c>
      <c r="F5" s="275">
        <f>BS!D66</f>
        <v>14601476.8563288</v>
      </c>
      <c r="G5" t="str">
        <f>Reporting_currency</f>
        <v>CNY</v>
      </c>
      <c r="H5" s="308" t="s">
        <v>395</v>
      </c>
      <c r="I5" s="305">
        <f>Normalized_FCF!C7</f>
        <v>-1681261</v>
      </c>
      <c r="J5" s="305"/>
    </row>
    <row r="6" spans="2:15" ht="13.25" customHeight="1" x14ac:dyDescent="0.15">
      <c r="B6" s="136" t="s">
        <v>194</v>
      </c>
      <c r="C6" s="283">
        <f>(C4*(1+Terminal_Growth))/(Equity_Cost-Terminal_Growth)</f>
        <v>49153819.402020976</v>
      </c>
      <c r="D6" t="str">
        <f>Reporting_currency</f>
        <v>CNY</v>
      </c>
      <c r="E6" s="187" t="s">
        <v>433</v>
      </c>
      <c r="F6" s="284">
        <f>BS!H42</f>
        <v>4283</v>
      </c>
      <c r="G6" t="str">
        <f>Reporting_currency</f>
        <v>CNY</v>
      </c>
      <c r="H6" s="308" t="s">
        <v>416</v>
      </c>
      <c r="I6" s="305">
        <f>I7+I8</f>
        <v>-38789.791137972803</v>
      </c>
      <c r="J6" s="305"/>
      <c r="N6" s="135"/>
    </row>
    <row r="7" spans="2:15" ht="12.75" customHeight="1" x14ac:dyDescent="0.15">
      <c r="B7" s="318" t="s">
        <v>430</v>
      </c>
      <c r="C7" s="275">
        <f>F7</f>
        <v>13760746.8563288</v>
      </c>
      <c r="E7" s="140" t="s">
        <v>424</v>
      </c>
      <c r="F7" s="283">
        <f>SUM(F4:F6)</f>
        <v>13760746.8563288</v>
      </c>
      <c r="G7" t="str">
        <f>Reporting_currency</f>
        <v>CNY</v>
      </c>
      <c r="H7" s="312" t="s">
        <v>417</v>
      </c>
      <c r="I7" s="313">
        <f>Normalized_FCF!C9</f>
        <v>-12182</v>
      </c>
      <c r="J7" s="313"/>
      <c r="N7" s="304"/>
      <c r="O7" s="304"/>
    </row>
    <row r="8" spans="2:15" ht="14" x14ac:dyDescent="0.15">
      <c r="B8" s="136" t="s">
        <v>426</v>
      </c>
      <c r="C8" s="283">
        <f>C6+C7</f>
        <v>62914566.258349776</v>
      </c>
      <c r="D8" t="str">
        <f>Reporting_currency</f>
        <v>CNY</v>
      </c>
      <c r="E8" s="140" t="s">
        <v>464</v>
      </c>
      <c r="F8" s="108">
        <f>FV_adjustments*scaling_factor/Common_Shares*Exchange_Rate</f>
        <v>1.7177049067824617</v>
      </c>
      <c r="G8" s="294" t="str">
        <f>Market_currency</f>
        <v>HKD</v>
      </c>
      <c r="H8" s="314" t="str">
        <f>Normalized_FCF!B10</f>
        <v>Net Interest Income</v>
      </c>
      <c r="I8" s="313">
        <f>Normalized_FCF!C10</f>
        <v>-26607.791137972803</v>
      </c>
      <c r="J8" s="313"/>
      <c r="N8" s="304"/>
      <c r="O8" s="304"/>
    </row>
    <row r="9" spans="2:15" ht="14" thickBot="1" x14ac:dyDescent="0.2">
      <c r="B9" s="189" t="str">
        <f>"*"&amp;Thesis!E15</f>
        <v>*CNY/HKD</v>
      </c>
      <c r="C9" s="190">
        <f>Exchange_Rate</f>
        <v>1.1315830089569092</v>
      </c>
      <c r="D9" t="str">
        <f>Thesis!E15</f>
        <v>CNY/HKD</v>
      </c>
      <c r="F9" s="322"/>
      <c r="H9" s="308" t="str">
        <f>Normalized_FCF!B79</f>
        <v>NCI’s Share of Profits</v>
      </c>
      <c r="I9" s="144">
        <f>Normalized_FCF!C79</f>
        <v>4.0482346959185098E-3</v>
      </c>
      <c r="J9" s="306"/>
      <c r="N9" s="304"/>
      <c r="O9" s="304"/>
    </row>
    <row r="10" spans="2:15" ht="14" thickTop="1" x14ac:dyDescent="0.15">
      <c r="B10" s="107" t="s">
        <v>427</v>
      </c>
      <c r="C10" s="283">
        <f>C8*Exchange_Rate</f>
        <v>71193054.193842277</v>
      </c>
      <c r="D10" t="str">
        <f>Market_currency</f>
        <v>HKD</v>
      </c>
      <c r="H10" s="308" t="s">
        <v>397</v>
      </c>
      <c r="I10" s="306">
        <f>Normalized_FCF!C41</f>
        <v>0.25</v>
      </c>
      <c r="N10" s="304"/>
      <c r="O10" s="304"/>
    </row>
    <row r="11" spans="2:15" x14ac:dyDescent="0.15">
      <c r="B11" s="136" t="s">
        <v>425</v>
      </c>
      <c r="C11" s="108">
        <f>(C10*scaling_factor)/Common_Shares</f>
        <v>7.8534007127930785</v>
      </c>
      <c r="D11" t="str">
        <f>Market_currency</f>
        <v>HKD</v>
      </c>
      <c r="E11" s="307"/>
      <c r="I11" s="307"/>
      <c r="J11" s="307"/>
    </row>
    <row r="13" spans="2:15" ht="16" x14ac:dyDescent="0.25">
      <c r="B13" s="34" t="s">
        <v>428</v>
      </c>
      <c r="C13" s="35"/>
      <c r="D13" s="35"/>
      <c r="E13" s="35"/>
      <c r="F13" s="35"/>
      <c r="G13" s="35"/>
      <c r="H13" s="35"/>
      <c r="I13" s="35"/>
      <c r="J13" s="35"/>
      <c r="K13" s="35"/>
      <c r="L13" s="35"/>
    </row>
    <row r="14" spans="2:15" x14ac:dyDescent="0.15">
      <c r="B14" s="106" t="s">
        <v>399</v>
      </c>
      <c r="C14" s="309" t="s">
        <v>405</v>
      </c>
      <c r="E14" s="106" t="s">
        <v>399</v>
      </c>
      <c r="F14" s="309" t="str">
        <f>IF(ROUND(F17,4)=ROUND(C17,4),"I","II")</f>
        <v>I</v>
      </c>
      <c r="H14" s="106" t="s">
        <v>413</v>
      </c>
    </row>
    <row r="15" spans="2:15" x14ac:dyDescent="0.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x14ac:dyDescent="0.15">
      <c r="B16" s="114" t="s">
        <v>422</v>
      </c>
      <c r="C16" s="147">
        <f>Scenarios!C46</f>
        <v>1.8613012126595999E-2</v>
      </c>
      <c r="E16" s="308" t="s">
        <v>400</v>
      </c>
      <c r="F16" s="311">
        <f>Scenarios!C41</f>
        <v>1.8613012126595999E-2</v>
      </c>
    </row>
    <row r="17" spans="1:21" ht="13.25" customHeight="1" x14ac:dyDescent="0.15">
      <c r="B17" s="308" t="s">
        <v>549</v>
      </c>
      <c r="C17" s="306">
        <f>Normalized_FCF!C77</f>
        <v>0.23440332981639811</v>
      </c>
      <c r="E17" s="308" t="s">
        <v>550</v>
      </c>
      <c r="F17" s="311">
        <f>Scenarios!C40</f>
        <v>0.23440332981639808</v>
      </c>
      <c r="H17" s="106" t="s">
        <v>412</v>
      </c>
    </row>
    <row r="18" spans="1:21" ht="13.25" customHeight="1" x14ac:dyDescent="0.15">
      <c r="B18" s="308" t="s">
        <v>423</v>
      </c>
      <c r="C18" s="306">
        <f>Normalized_FCF!C81-Normalized_FCF!C82</f>
        <v>0</v>
      </c>
      <c r="E18" s="308" t="s">
        <v>423</v>
      </c>
      <c r="F18" s="144">
        <f>IF(F14="II",C18/2,C18)</f>
        <v>0</v>
      </c>
      <c r="H18" s="140" t="s">
        <v>97</v>
      </c>
      <c r="I18" s="129">
        <f>(L52+FV_adjustments)*Exchange_Rate/Common_Shares*scaling_factor</f>
        <v>8.179086100740518</v>
      </c>
      <c r="J18" t="str">
        <f>Market_currency</f>
        <v>HKD</v>
      </c>
    </row>
    <row r="19" spans="1:21" x14ac:dyDescent="0.15">
      <c r="L19" s="275"/>
    </row>
    <row r="20" spans="1:21" ht="14" x14ac:dyDescent="0.2">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x14ac:dyDescent="0.15">
      <c r="A21" s="302" t="str">
        <f t="shared" ref="A21:A50" si="0">IF($C$15&lt;B21,"",IF(B21&gt;=$F$15,"II","I"))</f>
        <v>I</v>
      </c>
      <c r="B21" s="117">
        <v>1</v>
      </c>
      <c r="C21" s="277">
        <f>I4*(1+D21)</f>
        <v>21134743.012759283</v>
      </c>
      <c r="D21" s="299">
        <f t="shared" ref="D21:D50" si="1">IF(A21="",0,IF(A21="I",$C$16,$F$16))</f>
        <v>1.8613012126595999E-2</v>
      </c>
      <c r="E21" s="299">
        <f>$C$17</f>
        <v>0.23440332981639811</v>
      </c>
      <c r="F21" s="277">
        <f>C21*E21</f>
        <v>4954054.1370046297</v>
      </c>
      <c r="G21" s="299">
        <f t="shared" ref="G21:G50" si="2">IF(A21="",0%,IF(A21="I",$C$18,$F$18))</f>
        <v>0</v>
      </c>
      <c r="H21" s="277">
        <f>(F21*(1-$I$10)+C21*(G21-$I$9))</f>
        <v>3629982.202799899</v>
      </c>
      <c r="I21" s="299">
        <f>H21/C4-1</f>
        <v>1.861301212659594E-2</v>
      </c>
      <c r="J21" s="299">
        <f>H21/C21</f>
        <v>0.17175426266638008</v>
      </c>
      <c r="K21" s="119">
        <f t="shared" ref="K21:K50" si="3">IF($C$15&lt;B21,0,1/(1+Equity_Cost)^B21)</f>
        <v>0.93240093240093236</v>
      </c>
      <c r="L21" s="277">
        <f t="shared" ref="L21:L51" si="4">H21*K21</f>
        <v>3384598.7904894161</v>
      </c>
    </row>
    <row r="22" spans="1:21" x14ac:dyDescent="0.15">
      <c r="A22" s="302" t="str">
        <f t="shared" si="0"/>
        <v>I</v>
      </c>
      <c r="B22" s="117">
        <v>2</v>
      </c>
      <c r="C22" s="277">
        <f t="shared" ref="C22:C50" si="5">IF(A22="",0,C21*(1+D22))</f>
        <v>21528124.24074826</v>
      </c>
      <c r="D22" s="299">
        <f t="shared" si="1"/>
        <v>1.8613012126595999E-2</v>
      </c>
      <c r="E22" s="299">
        <f t="shared" ref="E22:E50" si="6">IF($C$15&lt;B22,0,IF(B22&gt;=$F$15,$F$17,$C$17))</f>
        <v>0.23440332981639811</v>
      </c>
      <c r="F22" s="277">
        <f t="shared" ref="F22:F50" si="7">IF(A22="", 0,C22*E22)</f>
        <v>5046264.0067325095</v>
      </c>
      <c r="G22" s="299">
        <f t="shared" si="2"/>
        <v>0</v>
      </c>
      <c r="H22" s="277">
        <f t="shared" ref="H22:H50" si="8">IF(A22="", 0,F22*(1-$I$10)+C22*(G22-$I$9))</f>
        <v>3697547.1055599409</v>
      </c>
      <c r="I22" s="299">
        <f t="shared" ref="I22:I50" si="9">IF(A22="", 0,H22/H21-1)</f>
        <v>1.861301212659594E-2</v>
      </c>
      <c r="J22" s="299">
        <f>IF(A22="", 0,H22/C22)</f>
        <v>0.17175426266638008</v>
      </c>
      <c r="K22" s="119">
        <f t="shared" si="3"/>
        <v>0.86937149874212816</v>
      </c>
      <c r="L22" s="277">
        <f t="shared" si="4"/>
        <v>3214542.0688302638</v>
      </c>
    </row>
    <row r="23" spans="1:21" x14ac:dyDescent="0.15">
      <c r="A23" s="302" t="str">
        <f t="shared" si="0"/>
        <v>I</v>
      </c>
      <c r="B23" s="117">
        <v>3</v>
      </c>
      <c r="C23" s="277">
        <f t="shared" si="5"/>
        <v>21928827.47830417</v>
      </c>
      <c r="D23" s="299">
        <f t="shared" si="1"/>
        <v>1.8613012126595999E-2</v>
      </c>
      <c r="E23" s="299">
        <f t="shared" si="6"/>
        <v>0.23440332981639811</v>
      </c>
      <c r="F23" s="277">
        <f t="shared" si="7"/>
        <v>5140190.1798838256</v>
      </c>
      <c r="G23" s="299">
        <f t="shared" si="2"/>
        <v>0</v>
      </c>
      <c r="H23" s="277">
        <f t="shared" si="8"/>
        <v>3766369.594674387</v>
      </c>
      <c r="I23" s="299">
        <f t="shared" si="9"/>
        <v>1.8613012126595718E-2</v>
      </c>
      <c r="J23" s="299">
        <f t="shared" ref="J23:J50" si="10">IF(A23="", 0,H23/C23)</f>
        <v>0.17175426266638005</v>
      </c>
      <c r="K23" s="119">
        <f t="shared" si="3"/>
        <v>0.81060279602995633</v>
      </c>
      <c r="L23" s="277">
        <f t="shared" si="4"/>
        <v>3053029.7243252713</v>
      </c>
      <c r="N23" s="275"/>
      <c r="O23" s="275"/>
      <c r="P23" s="275"/>
      <c r="Q23" s="275"/>
      <c r="R23" s="275"/>
      <c r="S23" s="275"/>
      <c r="T23" s="275"/>
      <c r="U23" s="275"/>
    </row>
    <row r="24" spans="1:21" x14ac:dyDescent="0.15">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x14ac:dyDescent="0.15">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x14ac:dyDescent="0.15">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x14ac:dyDescent="0.15">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x14ac:dyDescent="0.15">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x14ac:dyDescent="0.15">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x14ac:dyDescent="0.15">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x14ac:dyDescent="0.15">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x14ac:dyDescent="0.15">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x14ac:dyDescent="0.15">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x14ac:dyDescent="0.15">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x14ac:dyDescent="0.15">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x14ac:dyDescent="0.15">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x14ac:dyDescent="0.15">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x14ac:dyDescent="0.15">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x14ac:dyDescent="0.15">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x14ac:dyDescent="0.15">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x14ac:dyDescent="0.15">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x14ac:dyDescent="0.15">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x14ac:dyDescent="0.15">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x14ac:dyDescent="0.15">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x14ac:dyDescent="0.15">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x14ac:dyDescent="0.15">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x14ac:dyDescent="0.15">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x14ac:dyDescent="0.15">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x14ac:dyDescent="0.15">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x14ac:dyDescent="0.15">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x14ac:dyDescent="0.15">
      <c r="A51" s="315" t="s">
        <v>418</v>
      </c>
      <c r="B51" s="316">
        <f>C15+1</f>
        <v>4</v>
      </c>
      <c r="C51" s="277">
        <f>VLOOKUP(C15,B21:C50,2,FALSE)*(1+Terminal_Growth)</f>
        <v>21928827.47830417</v>
      </c>
      <c r="D51" s="301">
        <f>Terminal_Growth</f>
        <v>0</v>
      </c>
      <c r="E51" s="301">
        <f>F17</f>
        <v>0.23440332981639808</v>
      </c>
      <c r="F51" s="277">
        <f>C51*E51</f>
        <v>5140190.1798838256</v>
      </c>
      <c r="G51" s="299">
        <f>F18</f>
        <v>0</v>
      </c>
      <c r="H51" s="277">
        <f>(F51*(1-$I$10)+C51*(G51-$I$9))/Equity_Cost</f>
        <v>51949925.443784654</v>
      </c>
      <c r="I51" s="415">
        <f>(F51*(1-$I$10)+C51*(G51-$I$9))/VLOOKUP(C15,B21:H50,COLUMN(H20)-1,FALSE)-1</f>
        <v>0</v>
      </c>
      <c r="J51" s="454"/>
      <c r="K51" s="119">
        <f>1/(1+Equity_Cost)^C15</f>
        <v>0.81060279602995633</v>
      </c>
      <c r="L51" s="277">
        <f t="shared" si="4"/>
        <v>42110754.818279609</v>
      </c>
    </row>
    <row r="52" spans="1:21" x14ac:dyDescent="0.15">
      <c r="G52" s="111"/>
      <c r="H52" s="111"/>
      <c r="I52" s="111"/>
      <c r="J52" s="468" t="s">
        <v>420</v>
      </c>
      <c r="K52" s="468"/>
      <c r="L52" s="317">
        <f>SUM(L21:L51)</f>
        <v>51762925.401924558</v>
      </c>
    </row>
    <row r="53" spans="1:21" x14ac:dyDescent="0.15">
      <c r="C53" s="111"/>
    </row>
    <row r="54" spans="1:21" x14ac:dyDescent="0.15">
      <c r="B54" s="115" t="s">
        <v>108</v>
      </c>
      <c r="C54" s="128"/>
      <c r="D54" s="128"/>
      <c r="E54" s="113"/>
      <c r="F54" s="113"/>
      <c r="G54" s="113"/>
      <c r="H54" s="113"/>
      <c r="I54" s="113"/>
      <c r="J54" s="113"/>
      <c r="K54" s="113"/>
      <c r="L54" s="113"/>
    </row>
    <row r="55" spans="1:21" x14ac:dyDescent="0.15">
      <c r="A55" s="125">
        <f>L52</f>
        <v>51762925.401924558</v>
      </c>
      <c r="B55" s="123">
        <f>C94</f>
        <v>-0.3</v>
      </c>
      <c r="C55" s="123">
        <f>C93</f>
        <v>-0.15</v>
      </c>
      <c r="D55" s="123">
        <f>C92</f>
        <v>-0.05</v>
      </c>
      <c r="E55" s="123">
        <f>C91</f>
        <v>0.02</v>
      </c>
      <c r="F55" s="123">
        <f>C90</f>
        <v>0.05</v>
      </c>
      <c r="G55" s="123"/>
      <c r="H55" s="123"/>
      <c r="I55" s="123"/>
      <c r="J55" s="123"/>
      <c r="K55" s="123"/>
      <c r="L55" s="123"/>
    </row>
    <row r="56" spans="1:21" x14ac:dyDescent="0.15">
      <c r="A56" s="131">
        <v>1</v>
      </c>
      <c r="B56" s="118">
        <f t="dataTable" ref="B56:F69" dt2D="1" dtr="1" r1="C16" r2="C15"/>
        <v>34407673.581414677</v>
      </c>
      <c r="C56" s="118">
        <v>41780746.491717815</v>
      </c>
      <c r="D56" s="118">
        <v>46696128.431919917</v>
      </c>
      <c r="E56" s="118">
        <v>50136895.790061392</v>
      </c>
      <c r="F56" s="118">
        <v>51611510.37212202</v>
      </c>
      <c r="G56" s="295"/>
      <c r="H56" s="295"/>
      <c r="I56" s="295"/>
      <c r="J56" s="295"/>
      <c r="K56" s="295"/>
      <c r="L56" s="295"/>
    </row>
    <row r="57" spans="1:21" x14ac:dyDescent="0.15">
      <c r="A57" s="131">
        <v>2</v>
      </c>
      <c r="B57" s="118">
        <v>24783149.502697285</v>
      </c>
      <c r="C57" s="118">
        <v>35937285.44392512</v>
      </c>
      <c r="D57" s="118">
        <v>44519152.747448124</v>
      </c>
      <c r="E57" s="118">
        <v>51071849.557708226</v>
      </c>
      <c r="F57" s="118">
        <v>54017641.391801372</v>
      </c>
      <c r="G57" s="295"/>
      <c r="H57" s="295"/>
      <c r="I57" s="295"/>
      <c r="J57" s="295"/>
      <c r="K57" s="295"/>
      <c r="L57" s="295"/>
    </row>
    <row r="58" spans="1:21" x14ac:dyDescent="0.15">
      <c r="A58" s="131">
        <v>3</v>
      </c>
      <c r="B58" s="118">
        <v>18501408.845259361</v>
      </c>
      <c r="C58" s="118">
        <v>31306104.193926238</v>
      </c>
      <c r="D58" s="118">
        <v>42590829.297333255</v>
      </c>
      <c r="E58" s="118">
        <v>51961036.357708015</v>
      </c>
      <c r="F58" s="118">
        <v>56373294.138340592</v>
      </c>
      <c r="G58" s="295"/>
      <c r="H58" s="295"/>
      <c r="I58" s="295"/>
      <c r="J58" s="295"/>
      <c r="K58" s="295"/>
      <c r="L58" s="295"/>
    </row>
    <row r="59" spans="1:21" x14ac:dyDescent="0.15">
      <c r="A59" s="131">
        <v>4</v>
      </c>
      <c r="B59" s="118">
        <v>14401438.252992181</v>
      </c>
      <c r="C59" s="118">
        <v>27635704.135652069</v>
      </c>
      <c r="D59" s="118">
        <v>40882757.243618451</v>
      </c>
      <c r="E59" s="118">
        <v>52806696.531134382</v>
      </c>
      <c r="F59" s="118">
        <v>58679527.596490875</v>
      </c>
      <c r="G59" s="295"/>
      <c r="H59" s="295"/>
      <c r="I59" s="295"/>
      <c r="J59" s="295"/>
      <c r="K59" s="295"/>
      <c r="L59" s="295"/>
    </row>
    <row r="60" spans="1:21" x14ac:dyDescent="0.15">
      <c r="A60" s="131">
        <v>5</v>
      </c>
      <c r="B60" s="118">
        <v>11725466.770859757</v>
      </c>
      <c r="C60" s="118">
        <v>24726762.364525687</v>
      </c>
      <c r="D60" s="118">
        <v>39369779.666901365</v>
      </c>
      <c r="E60" s="118">
        <v>53610960.752015404</v>
      </c>
      <c r="F60" s="118">
        <v>60937378.534540109</v>
      </c>
      <c r="G60" s="295"/>
      <c r="H60" s="295"/>
      <c r="I60" s="295"/>
      <c r="J60" s="295"/>
      <c r="K60" s="295"/>
      <c r="L60" s="295"/>
    </row>
    <row r="61" spans="1:21" x14ac:dyDescent="0.15">
      <c r="A61" s="131">
        <v>6</v>
      </c>
      <c r="B61" s="118">
        <v>9978911.957346756</v>
      </c>
      <c r="C61" s="118">
        <v>22421307.347782172</v>
      </c>
      <c r="D61" s="118">
        <v>38029613.048830301</v>
      </c>
      <c r="E61" s="118">
        <v>54375855.395650506</v>
      </c>
      <c r="F61" s="118">
        <v>63147861.970392503</v>
      </c>
      <c r="G61" s="295"/>
      <c r="H61" s="295"/>
      <c r="I61" s="295"/>
      <c r="J61" s="295"/>
      <c r="K61" s="295"/>
      <c r="L61" s="295"/>
    </row>
    <row r="62" spans="1:21" x14ac:dyDescent="0.15">
      <c r="A62" s="131">
        <v>7</v>
      </c>
      <c r="B62" s="118">
        <v>8838969.4217205532</v>
      </c>
      <c r="C62" s="118">
        <v>20594140.201645117</v>
      </c>
      <c r="D62" s="118">
        <v>36842519.074781328</v>
      </c>
      <c r="E62" s="118">
        <v>55103307.644142628</v>
      </c>
      <c r="F62" s="118">
        <v>65311971.627870381</v>
      </c>
      <c r="G62" s="295"/>
      <c r="H62" s="295"/>
      <c r="I62" s="295"/>
      <c r="J62" s="295"/>
      <c r="K62" s="295"/>
      <c r="L62" s="295"/>
    </row>
    <row r="63" spans="1:21" x14ac:dyDescent="0.15">
      <c r="A63" s="131">
        <v>8</v>
      </c>
      <c r="B63" s="118">
        <v>8094950.9835496042</v>
      </c>
      <c r="C63" s="118">
        <v>19146035.703541156</v>
      </c>
      <c r="D63" s="118">
        <v>35791013.922943078</v>
      </c>
      <c r="E63" s="118">
        <v>55795150.342009261</v>
      </c>
      <c r="F63" s="118">
        <v>67430680.383443132</v>
      </c>
      <c r="G63" s="295"/>
      <c r="H63" s="295"/>
      <c r="I63" s="295"/>
      <c r="J63" s="295"/>
      <c r="K63" s="295"/>
      <c r="L63" s="295"/>
    </row>
    <row r="64" spans="1:21" x14ac:dyDescent="0.15">
      <c r="A64" s="131">
        <v>9</v>
      </c>
      <c r="B64" s="118">
        <v>7609344.5437177503</v>
      </c>
      <c r="C64" s="118">
        <v>17998353.816931956</v>
      </c>
      <c r="D64" s="118">
        <v>34859610.758144632</v>
      </c>
      <c r="E64" s="118">
        <v>56453126.614106208</v>
      </c>
      <c r="F64" s="118">
        <v>69504940.703584254</v>
      </c>
      <c r="G64" s="295"/>
      <c r="H64" s="295"/>
      <c r="I64" s="295"/>
      <c r="J64" s="295"/>
      <c r="K64" s="295"/>
      <c r="L64" s="295"/>
    </row>
    <row r="65" spans="1:21" x14ac:dyDescent="0.15">
      <c r="A65" s="131">
        <v>10</v>
      </c>
      <c r="B65" s="118">
        <v>7292398.6156223677</v>
      </c>
      <c r="C65" s="118">
        <v>17088769.104933992</v>
      </c>
      <c r="D65" s="118">
        <v>34034591.637810342</v>
      </c>
      <c r="E65" s="118">
        <v>57078894.257499091</v>
      </c>
      <c r="F65" s="118">
        <v>71535685.072953224</v>
      </c>
      <c r="G65" s="295"/>
      <c r="H65" s="295"/>
      <c r="I65" s="295"/>
      <c r="J65" s="295"/>
      <c r="K65" s="295"/>
      <c r="L65" s="295"/>
    </row>
    <row r="66" spans="1:21" x14ac:dyDescent="0.15">
      <c r="A66" s="131">
        <v>15</v>
      </c>
      <c r="B66" s="118">
        <v>6767339.6192342024</v>
      </c>
      <c r="C66" s="277">
        <v>14700477.263472347</v>
      </c>
      <c r="D66" s="118">
        <v>31125340.236920752</v>
      </c>
      <c r="E66" s="118">
        <v>59777162.464423105</v>
      </c>
      <c r="F66" s="118">
        <v>81067957.981245309</v>
      </c>
      <c r="G66" s="295"/>
      <c r="H66" s="295"/>
      <c r="I66" s="295"/>
      <c r="J66" s="295"/>
      <c r="K66" s="295"/>
      <c r="L66" s="295"/>
      <c r="M66" s="275"/>
      <c r="N66" s="275"/>
      <c r="O66" s="275"/>
      <c r="P66" s="275"/>
      <c r="Q66" s="275"/>
      <c r="R66" s="275"/>
      <c r="S66" s="275"/>
      <c r="T66" s="275"/>
      <c r="U66" s="275"/>
    </row>
    <row r="67" spans="1:21" x14ac:dyDescent="0.15">
      <c r="A67" s="132">
        <v>20</v>
      </c>
      <c r="B67" s="118">
        <v>6705150.8731932826</v>
      </c>
      <c r="C67" s="277">
        <v>13953692.378210854</v>
      </c>
      <c r="D67" s="118">
        <v>29538939.969970819</v>
      </c>
      <c r="E67" s="118">
        <v>61876583.143909708</v>
      </c>
      <c r="F67" s="118">
        <v>89641424.55053407</v>
      </c>
      <c r="G67" s="295"/>
      <c r="H67" s="295"/>
      <c r="I67" s="295"/>
      <c r="J67" s="295"/>
      <c r="K67" s="295"/>
      <c r="L67" s="295"/>
      <c r="M67" s="275"/>
      <c r="N67" s="275"/>
      <c r="O67" s="275"/>
      <c r="P67" s="275"/>
      <c r="Q67" s="275"/>
      <c r="R67" s="275"/>
      <c r="S67" s="275"/>
      <c r="T67" s="275"/>
      <c r="U67" s="275"/>
    </row>
    <row r="68" spans="1:21" x14ac:dyDescent="0.15">
      <c r="A68" s="132">
        <v>25</v>
      </c>
      <c r="B68" s="118">
        <v>6697785.1482733293</v>
      </c>
      <c r="C68" s="277">
        <v>13720183.367639635</v>
      </c>
      <c r="D68" s="118">
        <v>28673883.823152684</v>
      </c>
      <c r="E68" s="118">
        <v>63510063.158292934</v>
      </c>
      <c r="F68" s="118">
        <v>97352526.584842265</v>
      </c>
      <c r="G68" s="295"/>
      <c r="H68" s="295"/>
      <c r="I68" s="295"/>
      <c r="J68" s="295"/>
      <c r="K68" s="295"/>
      <c r="L68" s="295"/>
      <c r="M68" s="275"/>
      <c r="N68" s="275"/>
      <c r="O68" s="275"/>
      <c r="P68" s="275"/>
      <c r="Q68" s="275"/>
      <c r="R68" s="275"/>
      <c r="S68" s="275"/>
      <c r="T68" s="275"/>
      <c r="U68" s="275"/>
    </row>
    <row r="69" spans="1:21" x14ac:dyDescent="0.15">
      <c r="A69" s="132">
        <v>30</v>
      </c>
      <c r="B69" s="118">
        <v>6696912.7411731649</v>
      </c>
      <c r="C69" s="277">
        <v>13647168.421710651</v>
      </c>
      <c r="D69" s="118">
        <v>28202173.024347425</v>
      </c>
      <c r="E69" s="118">
        <v>64781012.322250813</v>
      </c>
      <c r="F69" s="118">
        <v>104288005.26233649</v>
      </c>
      <c r="G69" s="295"/>
      <c r="H69" s="295"/>
      <c r="I69" s="295"/>
      <c r="J69" s="295"/>
      <c r="K69" s="295"/>
      <c r="L69" s="295"/>
      <c r="M69" s="275"/>
      <c r="N69" s="275"/>
      <c r="O69" s="275"/>
      <c r="P69" s="275"/>
      <c r="Q69" s="275"/>
      <c r="R69" s="275"/>
      <c r="S69" s="275"/>
      <c r="T69" s="275"/>
      <c r="U69" s="275"/>
    </row>
    <row r="70" spans="1:21" x14ac:dyDescent="0.15">
      <c r="C70" s="275"/>
      <c r="D70" s="111"/>
      <c r="E70" s="111"/>
      <c r="F70" s="111"/>
      <c r="G70" s="111"/>
      <c r="H70" s="111"/>
      <c r="I70" s="111"/>
      <c r="J70" s="111"/>
      <c r="K70" s="111"/>
      <c r="L70" s="111"/>
      <c r="M70" s="275"/>
      <c r="N70" s="275"/>
      <c r="O70" s="275"/>
      <c r="P70" s="275"/>
      <c r="Q70" s="275"/>
      <c r="R70" s="275"/>
      <c r="S70" s="275"/>
      <c r="T70" s="275"/>
      <c r="U70" s="275"/>
    </row>
    <row r="71" spans="1:21" x14ac:dyDescent="0.15">
      <c r="B71" s="115" t="s">
        <v>109</v>
      </c>
      <c r="C71" s="275"/>
      <c r="D71" s="111"/>
      <c r="E71" s="111"/>
      <c r="F71" s="111"/>
      <c r="G71" s="111"/>
      <c r="H71" s="111"/>
      <c r="I71" s="111"/>
      <c r="J71" s="111"/>
      <c r="K71" s="111"/>
      <c r="L71" s="111"/>
      <c r="M71" s="275"/>
      <c r="N71" s="275"/>
      <c r="O71" s="275"/>
      <c r="P71" s="275"/>
      <c r="Q71" s="275"/>
      <c r="R71" s="275"/>
      <c r="S71" s="275"/>
      <c r="T71" s="275"/>
      <c r="U71" s="275"/>
    </row>
    <row r="72" spans="1:21" x14ac:dyDescent="0.15">
      <c r="B72" s="124">
        <f>B55</f>
        <v>-0.3</v>
      </c>
      <c r="C72" s="124">
        <f>C55</f>
        <v>-0.15</v>
      </c>
      <c r="D72" s="124">
        <f>D55</f>
        <v>-0.05</v>
      </c>
      <c r="E72" s="124">
        <f>E55</f>
        <v>0.02</v>
      </c>
      <c r="F72" s="124">
        <f>F55</f>
        <v>0.05</v>
      </c>
      <c r="G72" s="124"/>
      <c r="H72" s="124"/>
      <c r="I72" s="124"/>
      <c r="J72" s="124"/>
      <c r="K72" s="124"/>
      <c r="L72" s="124"/>
    </row>
    <row r="73" spans="1:21" x14ac:dyDescent="0.15">
      <c r="A73" s="131">
        <v>0</v>
      </c>
      <c r="B73" s="119">
        <f>C11</f>
        <v>7.8534007127930785</v>
      </c>
      <c r="C73" s="119">
        <f>C11</f>
        <v>7.8534007127930785</v>
      </c>
      <c r="D73" s="119">
        <f>C11</f>
        <v>7.8534007127930785</v>
      </c>
      <c r="E73" s="119">
        <f>C11</f>
        <v>7.8534007127930785</v>
      </c>
      <c r="F73" s="119">
        <f>C11</f>
        <v>7.8534007127930785</v>
      </c>
      <c r="G73" s="296"/>
      <c r="H73" s="296"/>
      <c r="I73" s="296"/>
      <c r="J73" s="296"/>
      <c r="K73" s="296"/>
      <c r="L73" s="296"/>
    </row>
    <row r="74" spans="1:21" x14ac:dyDescent="0.15">
      <c r="A74" s="131">
        <v>1</v>
      </c>
      <c r="B74" s="119">
        <f t="shared" ref="B74:F87" si="11">(B56+FV_adjustments)/Common_Shares*scaling_factor*Exchange_Rate</f>
        <v>6.0126919709898932</v>
      </c>
      <c r="C74" s="119">
        <f t="shared" si="11"/>
        <v>6.9330463418914841</v>
      </c>
      <c r="D74" s="119">
        <f t="shared" si="11"/>
        <v>7.5466159224925473</v>
      </c>
      <c r="E74" s="119">
        <f t="shared" si="11"/>
        <v>7.9761146289132911</v>
      </c>
      <c r="F74" s="119">
        <f t="shared" si="11"/>
        <v>8.1601855030936097</v>
      </c>
      <c r="G74" s="296"/>
      <c r="H74" s="296"/>
      <c r="I74" s="296"/>
      <c r="J74" s="296"/>
      <c r="K74" s="296"/>
      <c r="L74" s="296"/>
    </row>
    <row r="75" spans="1:21" x14ac:dyDescent="0.15">
      <c r="A75" s="131">
        <v>2</v>
      </c>
      <c r="B75" s="119">
        <f t="shared" si="11"/>
        <v>4.8112969879948082</v>
      </c>
      <c r="C75" s="119">
        <f t="shared" si="11"/>
        <v>6.2036279593587551</v>
      </c>
      <c r="D75" s="119">
        <f t="shared" si="11"/>
        <v>7.2748718191960391</v>
      </c>
      <c r="E75" s="119">
        <f t="shared" si="11"/>
        <v>8.0928215701185273</v>
      </c>
      <c r="F75" s="119">
        <f t="shared" si="11"/>
        <v>8.4605342488423805</v>
      </c>
      <c r="G75" s="296"/>
      <c r="H75" s="296"/>
      <c r="I75" s="296"/>
      <c r="J75" s="296"/>
      <c r="K75" s="296"/>
      <c r="L75" s="296"/>
    </row>
    <row r="76" spans="1:21" x14ac:dyDescent="0.15">
      <c r="A76" s="131">
        <v>3</v>
      </c>
      <c r="B76" s="119">
        <f t="shared" si="11"/>
        <v>4.0271697263663127</v>
      </c>
      <c r="C76" s="119">
        <f t="shared" si="11"/>
        <v>5.6255341363724405</v>
      </c>
      <c r="D76" s="119">
        <f t="shared" si="11"/>
        <v>7.0341660866723261</v>
      </c>
      <c r="E76" s="119">
        <f t="shared" si="11"/>
        <v>8.2038155841319007</v>
      </c>
      <c r="F76" s="119">
        <f t="shared" si="11"/>
        <v>8.7545819719530655</v>
      </c>
      <c r="G76" s="296"/>
      <c r="H76" s="296"/>
      <c r="I76" s="296"/>
      <c r="J76" s="296"/>
      <c r="K76" s="296"/>
      <c r="L76" s="296"/>
    </row>
    <row r="77" spans="1:21" x14ac:dyDescent="0.15">
      <c r="A77" s="131">
        <v>4</v>
      </c>
      <c r="B77" s="119">
        <f t="shared" si="11"/>
        <v>3.5153850334619348</v>
      </c>
      <c r="C77" s="119">
        <f t="shared" si="11"/>
        <v>5.1673711997399314</v>
      </c>
      <c r="D77" s="119">
        <f t="shared" si="11"/>
        <v>6.8209535497049352</v>
      </c>
      <c r="E77" s="119">
        <f t="shared" si="11"/>
        <v>8.30937632473203</v>
      </c>
      <c r="F77" s="119">
        <f t="shared" si="11"/>
        <v>9.0424608617117777</v>
      </c>
      <c r="G77" s="296"/>
      <c r="H77" s="296"/>
      <c r="I77" s="296"/>
      <c r="J77" s="296"/>
      <c r="K77" s="296"/>
      <c r="L77" s="296"/>
    </row>
    <row r="78" spans="1:21" x14ac:dyDescent="0.15">
      <c r="A78" s="131">
        <v>5</v>
      </c>
      <c r="B78" s="119">
        <f t="shared" si="11"/>
        <v>3.181353066065137</v>
      </c>
      <c r="C78" s="119">
        <f t="shared" si="11"/>
        <v>4.8042583828283867</v>
      </c>
      <c r="D78" s="119">
        <f t="shared" si="11"/>
        <v>6.6320939598503692</v>
      </c>
      <c r="E78" s="119">
        <f t="shared" si="11"/>
        <v>8.409769756351734</v>
      </c>
      <c r="F78" s="119">
        <f t="shared" si="11"/>
        <v>9.3243003342028246</v>
      </c>
      <c r="G78" s="296"/>
      <c r="H78" s="296"/>
      <c r="I78" s="296"/>
      <c r="J78" s="296"/>
      <c r="K78" s="296"/>
      <c r="L78" s="296"/>
    </row>
    <row r="79" spans="1:21" x14ac:dyDescent="0.15">
      <c r="A79" s="131">
        <v>6</v>
      </c>
      <c r="B79" s="119">
        <f t="shared" si="11"/>
        <v>2.9633368635683941</v>
      </c>
      <c r="C79" s="119">
        <f t="shared" si="11"/>
        <v>4.5164766631315896</v>
      </c>
      <c r="D79" s="119">
        <f t="shared" si="11"/>
        <v>6.4648057450607777</v>
      </c>
      <c r="E79" s="119">
        <f t="shared" si="11"/>
        <v>8.505248824185859</v>
      </c>
      <c r="F79" s="119">
        <f t="shared" si="11"/>
        <v>9.6002270904877687</v>
      </c>
      <c r="G79" s="296"/>
      <c r="H79" s="296"/>
      <c r="I79" s="296"/>
      <c r="J79" s="296"/>
      <c r="K79" s="296"/>
      <c r="L79" s="296"/>
    </row>
    <row r="80" spans="1:21" x14ac:dyDescent="0.15">
      <c r="A80" s="131">
        <f t="shared" ref="A80" si="12">A62</f>
        <v>7</v>
      </c>
      <c r="B80" s="119">
        <f t="shared" si="11"/>
        <v>2.8210419062278618</v>
      </c>
      <c r="C80" s="119">
        <f t="shared" si="11"/>
        <v>4.2883979109243393</v>
      </c>
      <c r="D80" s="119">
        <f t="shared" si="11"/>
        <v>6.3166250419837491</v>
      </c>
      <c r="E80" s="119">
        <f t="shared" si="11"/>
        <v>8.5960540914966348</v>
      </c>
      <c r="F80" s="119">
        <f t="shared" si="11"/>
        <v>9.8703651735639362</v>
      </c>
      <c r="G80" s="296"/>
      <c r="H80" s="296"/>
      <c r="I80" s="296"/>
      <c r="J80" s="296"/>
      <c r="K80" s="296"/>
      <c r="L80" s="296"/>
    </row>
    <row r="81" spans="1:12" x14ac:dyDescent="0.15">
      <c r="A81" s="131">
        <v>8</v>
      </c>
      <c r="B81" s="119">
        <f t="shared" si="11"/>
        <v>2.7281687405976767</v>
      </c>
      <c r="C81" s="119">
        <f t="shared" si="11"/>
        <v>4.107636195888289</v>
      </c>
      <c r="D81" s="119">
        <f t="shared" si="11"/>
        <v>6.1853694075565446</v>
      </c>
      <c r="E81" s="119">
        <f t="shared" si="11"/>
        <v>8.6824143457222682</v>
      </c>
      <c r="F81" s="119">
        <f t="shared" si="11"/>
        <v>10.134836024128017</v>
      </c>
      <c r="G81" s="296"/>
      <c r="H81" s="296"/>
      <c r="I81" s="296"/>
      <c r="J81" s="296"/>
      <c r="K81" s="296"/>
      <c r="L81" s="296"/>
    </row>
    <row r="82" spans="1:12" x14ac:dyDescent="0.15">
      <c r="A82" s="131">
        <f t="shared" ref="A82" si="13">A64</f>
        <v>9</v>
      </c>
      <c r="B82" s="119">
        <f t="shared" si="11"/>
        <v>2.6675522222376502</v>
      </c>
      <c r="C82" s="119">
        <f t="shared" si="11"/>
        <v>3.9643751629925847</v>
      </c>
      <c r="D82" s="119">
        <f t="shared" si="11"/>
        <v>6.069105675429884</v>
      </c>
      <c r="E82" s="119">
        <f t="shared" si="11"/>
        <v>8.7645471749158794</v>
      </c>
      <c r="F82" s="119">
        <f t="shared" si="11"/>
        <v>10.39375853516977</v>
      </c>
      <c r="G82" s="296"/>
      <c r="H82" s="296"/>
      <c r="I82" s="296"/>
      <c r="J82" s="296"/>
      <c r="K82" s="296"/>
      <c r="L82" s="296"/>
    </row>
    <row r="83" spans="1:12" x14ac:dyDescent="0.15">
      <c r="A83" s="131">
        <f t="shared" ref="A83:A87" si="14">A65</f>
        <v>10</v>
      </c>
      <c r="B83" s="119">
        <f t="shared" si="11"/>
        <v>2.6279889934711993</v>
      </c>
      <c r="C83" s="119">
        <f t="shared" si="11"/>
        <v>3.8508349504412118</v>
      </c>
      <c r="D83" s="119">
        <f t="shared" si="11"/>
        <v>5.9661214838025378</v>
      </c>
      <c r="E83" s="119">
        <f t="shared" si="11"/>
        <v>8.8426595159671404</v>
      </c>
      <c r="F83" s="119">
        <f t="shared" si="11"/>
        <v>10.647249105420444</v>
      </c>
      <c r="G83" s="296"/>
      <c r="H83" s="296"/>
      <c r="I83" s="296"/>
      <c r="J83" s="296"/>
      <c r="K83" s="296"/>
      <c r="L83" s="296"/>
    </row>
    <row r="84" spans="1:12" x14ac:dyDescent="0.15">
      <c r="A84" s="131">
        <f t="shared" si="14"/>
        <v>15</v>
      </c>
      <c r="B84" s="119">
        <f t="shared" si="11"/>
        <v>2.5624477533144971</v>
      </c>
      <c r="C84" s="119">
        <f t="shared" si="11"/>
        <v>3.5527130056268259</v>
      </c>
      <c r="D84" s="119">
        <f t="shared" si="11"/>
        <v>5.6029700169129706</v>
      </c>
      <c r="E84" s="119">
        <f t="shared" si="11"/>
        <v>9.1794747039245337</v>
      </c>
      <c r="F84" s="119">
        <f t="shared" si="11"/>
        <v>11.837128704130764</v>
      </c>
      <c r="G84" s="296"/>
      <c r="H84" s="296"/>
      <c r="I84" s="296"/>
      <c r="J84" s="296"/>
      <c r="K84" s="296"/>
      <c r="L84" s="296"/>
    </row>
    <row r="85" spans="1:12" x14ac:dyDescent="0.15">
      <c r="A85" s="132">
        <f t="shared" si="14"/>
        <v>20</v>
      </c>
      <c r="B85" s="119">
        <f t="shared" si="11"/>
        <v>2.5546849541484038</v>
      </c>
      <c r="C85" s="119">
        <f t="shared" si="11"/>
        <v>3.4594945142820275</v>
      </c>
      <c r="D85" s="119">
        <f t="shared" si="11"/>
        <v>5.404945334741913</v>
      </c>
      <c r="E85" s="119">
        <f t="shared" si="11"/>
        <v>9.4415378928056057</v>
      </c>
      <c r="F85" s="119">
        <f t="shared" si="11"/>
        <v>12.907323930302638</v>
      </c>
      <c r="G85" s="296"/>
      <c r="H85" s="296"/>
      <c r="I85" s="296"/>
      <c r="J85" s="296"/>
      <c r="K85" s="296"/>
      <c r="L85" s="296"/>
    </row>
    <row r="86" spans="1:12" x14ac:dyDescent="0.15">
      <c r="A86" s="132">
        <f t="shared" si="14"/>
        <v>25</v>
      </c>
      <c r="B86" s="119">
        <f t="shared" si="11"/>
        <v>2.5537655170009064</v>
      </c>
      <c r="C86" s="119">
        <f t="shared" si="11"/>
        <v>3.4303464180759242</v>
      </c>
      <c r="D86" s="119">
        <f t="shared" si="11"/>
        <v>5.2969634640232854</v>
      </c>
      <c r="E86" s="119">
        <f t="shared" si="11"/>
        <v>9.645439371782869</v>
      </c>
      <c r="F86" s="119">
        <f t="shared" si="11"/>
        <v>13.869873270053018</v>
      </c>
      <c r="G86" s="296"/>
      <c r="H86" s="296"/>
      <c r="I86" s="296"/>
      <c r="J86" s="296"/>
      <c r="K86" s="296"/>
      <c r="L86" s="296"/>
    </row>
    <row r="87" spans="1:12" x14ac:dyDescent="0.15">
      <c r="A87" s="132">
        <f t="shared" si="14"/>
        <v>30</v>
      </c>
      <c r="B87" s="119">
        <f t="shared" si="11"/>
        <v>2.5536566175369222</v>
      </c>
      <c r="C87" s="119">
        <f t="shared" si="11"/>
        <v>3.4212322230253127</v>
      </c>
      <c r="D87" s="119">
        <f t="shared" si="11"/>
        <v>5.2380814889277678</v>
      </c>
      <c r="E87" s="119">
        <f t="shared" si="11"/>
        <v>9.8040874188688782</v>
      </c>
      <c r="F87" s="119">
        <f t="shared" si="11"/>
        <v>14.735604315002657</v>
      </c>
      <c r="G87" s="296"/>
      <c r="H87" s="296"/>
      <c r="I87" s="296"/>
      <c r="J87" s="296"/>
      <c r="K87" s="296"/>
      <c r="L87" s="296"/>
    </row>
    <row r="89" spans="1:12" ht="14" x14ac:dyDescent="0.2">
      <c r="B89" s="153" t="s">
        <v>101</v>
      </c>
      <c r="C89" s="153" t="s">
        <v>110</v>
      </c>
      <c r="D89" s="153" t="s">
        <v>99</v>
      </c>
      <c r="E89" s="154" t="s">
        <v>100</v>
      </c>
      <c r="F89" s="154" t="s">
        <v>457</v>
      </c>
      <c r="G89" s="323"/>
      <c r="H89" s="323"/>
      <c r="I89" s="323"/>
      <c r="J89" s="323"/>
      <c r="K89" s="323"/>
      <c r="L89" s="323"/>
    </row>
    <row r="90" spans="1:12" x14ac:dyDescent="0.15">
      <c r="B90" s="120" t="str">
        <f>Scenarios!B29</f>
        <v>Snowball Scenario</v>
      </c>
      <c r="C90" s="130">
        <f>Scenarios!C29</f>
        <v>0.05</v>
      </c>
      <c r="D90" s="133">
        <f>Scenarios!D29</f>
        <v>3</v>
      </c>
      <c r="E90" s="127">
        <f>INDEX(B$73:F$87, MATCH(D90, A$73:A$87, 0), MATCH(C90, B$72:F$72, 0))</f>
        <v>8.7545819719530655</v>
      </c>
      <c r="F90" s="130">
        <f>Scenarios!F29</f>
        <v>0.05</v>
      </c>
      <c r="G90" s="297"/>
      <c r="H90" s="297"/>
      <c r="I90" s="297"/>
      <c r="J90" s="297"/>
      <c r="K90" s="297"/>
      <c r="L90" s="297"/>
    </row>
    <row r="91" spans="1:12" x14ac:dyDescent="0.15">
      <c r="B91" s="120" t="str">
        <f>Scenarios!B22</f>
        <v>Optimistic</v>
      </c>
      <c r="C91" s="130">
        <f>Scenarios!C22</f>
        <v>0.02</v>
      </c>
      <c r="D91" s="133">
        <f>Scenarios!D22</f>
        <v>3</v>
      </c>
      <c r="E91" s="127">
        <f>INDEX(B$73:F$87, MATCH(D91, A$73:A$87, 0), MATCH(C91, B$72:F$72, 0))</f>
        <v>8.2038155841319007</v>
      </c>
      <c r="F91" s="130">
        <f>Scenarios!F22*(1-F$90-F$94)</f>
        <v>0.15999999999999995</v>
      </c>
      <c r="G91" s="297"/>
      <c r="H91" s="297"/>
      <c r="I91" s="297"/>
      <c r="J91" s="297"/>
      <c r="K91" s="297"/>
      <c r="L91" s="297"/>
    </row>
    <row r="92" spans="1:12" x14ac:dyDescent="0.15">
      <c r="B92" s="120" t="str">
        <f>Scenarios!B23</f>
        <v>Base</v>
      </c>
      <c r="C92" s="130">
        <f>Scenarios!C23</f>
        <v>-0.05</v>
      </c>
      <c r="D92" s="133">
        <f>Scenarios!D23</f>
        <v>3</v>
      </c>
      <c r="E92" s="127">
        <f>INDEX(B$73:F$87, MATCH(D92, A$73:A$87, 0), MATCH(C92, B$72:F$72, 0))</f>
        <v>7.0341660866723261</v>
      </c>
      <c r="F92" s="130">
        <f>Scenarios!F23*(1-F$90-F$94)</f>
        <v>0.44</v>
      </c>
      <c r="G92" s="297"/>
      <c r="H92" s="297"/>
      <c r="I92" s="297"/>
      <c r="J92" s="297"/>
      <c r="K92" s="297"/>
      <c r="L92" s="297"/>
    </row>
    <row r="93" spans="1:12" x14ac:dyDescent="0.15">
      <c r="B93" s="120" t="str">
        <f>Scenarios!B24</f>
        <v>Pessimistic</v>
      </c>
      <c r="C93" s="130">
        <f>Scenarios!C24</f>
        <v>-0.15</v>
      </c>
      <c r="D93" s="133">
        <f>Scenarios!D24</f>
        <v>3</v>
      </c>
      <c r="E93" s="127">
        <f>INDEX(B$73:F$87, MATCH(D93, A$73:A$87, 0), MATCH(C93, B$72:F$72, 0))</f>
        <v>5.6255341363724405</v>
      </c>
      <c r="F93" s="130">
        <f>Scenarios!F24*(1-F$90-F$94)</f>
        <v>0.19999999999999998</v>
      </c>
      <c r="G93" s="297"/>
      <c r="H93" s="297"/>
      <c r="I93" s="297"/>
      <c r="J93" s="297"/>
      <c r="K93" s="297"/>
      <c r="L93" s="297"/>
    </row>
    <row r="94" spans="1:12" x14ac:dyDescent="0.15">
      <c r="B94" s="120" t="str">
        <f>Scenarios!B30</f>
        <v>Devil's advocate</v>
      </c>
      <c r="C94" s="130">
        <f>Scenarios!C30</f>
        <v>-0.3</v>
      </c>
      <c r="D94" s="133">
        <f>Scenarios!D30</f>
        <v>3</v>
      </c>
      <c r="E94" s="127">
        <f>INDEX(B$73:F$87, MATCH(D94, A$73:A$87, 0), MATCH(C94, B$72:F$72, 0))</f>
        <v>4.0271697263663127</v>
      </c>
      <c r="F94" s="130">
        <f>Scenarios!F30</f>
        <v>0.15</v>
      </c>
      <c r="G94" s="297"/>
      <c r="H94" s="297"/>
      <c r="I94" s="297"/>
      <c r="J94" s="297"/>
      <c r="K94" s="297"/>
      <c r="L94" s="297"/>
    </row>
    <row r="95" spans="1:12" x14ac:dyDescent="0.15">
      <c r="B95" s="141"/>
      <c r="C95" s="141"/>
      <c r="D95" s="141"/>
      <c r="E95" s="141"/>
      <c r="F95" s="142"/>
      <c r="G95" s="142"/>
      <c r="H95" s="142"/>
      <c r="I95" s="142"/>
      <c r="J95" s="142"/>
      <c r="K95" s="142"/>
      <c r="L95" s="142"/>
    </row>
    <row r="105" spans="3:3" x14ac:dyDescent="0.15">
      <c r="C105" s="112"/>
    </row>
    <row r="106" spans="3:3" x14ac:dyDescent="0.15">
      <c r="C106" s="112"/>
    </row>
    <row r="107" spans="3:3" x14ac:dyDescent="0.15">
      <c r="C107" s="112"/>
    </row>
    <row r="114" spans="3:21" x14ac:dyDescent="0.15">
      <c r="C114" s="275"/>
      <c r="M114" s="275"/>
      <c r="N114" s="275"/>
      <c r="O114" s="275"/>
      <c r="P114" s="275"/>
      <c r="Q114" s="275"/>
      <c r="R114" s="275"/>
      <c r="S114" s="275"/>
      <c r="T114" s="275"/>
      <c r="U114" s="275"/>
    </row>
    <row r="115" spans="3:21" x14ac:dyDescent="0.15">
      <c r="C115" s="275"/>
      <c r="M115" s="275"/>
      <c r="N115" s="275"/>
      <c r="O115" s="275"/>
      <c r="P115" s="275"/>
      <c r="Q115" s="275"/>
      <c r="R115" s="275"/>
      <c r="S115" s="275"/>
      <c r="T115" s="275"/>
      <c r="U115" s="275"/>
    </row>
    <row r="116" spans="3:21" x14ac:dyDescent="0.15">
      <c r="C116" s="275"/>
      <c r="M116" s="275"/>
      <c r="N116" s="275"/>
      <c r="O116" s="275"/>
      <c r="P116" s="275"/>
      <c r="Q116" s="275"/>
      <c r="R116" s="275"/>
      <c r="S116" s="275"/>
      <c r="T116" s="275"/>
      <c r="U116" s="275"/>
    </row>
    <row r="117" spans="3:21" x14ac:dyDescent="0.15">
      <c r="C117" s="275"/>
      <c r="M117" s="275"/>
      <c r="N117" s="275"/>
      <c r="O117" s="275"/>
      <c r="P117" s="275"/>
      <c r="Q117" s="275"/>
      <c r="R117" s="275"/>
      <c r="S117" s="275"/>
      <c r="T117" s="275"/>
      <c r="U117" s="275"/>
    </row>
    <row r="118" spans="3:21" x14ac:dyDescent="0.15">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5" t="s">
        <v>125</v>
      </c>
      <c r="D3" s="97" t="s">
        <v>542</v>
      </c>
      <c r="E3" s="97"/>
    </row>
    <row r="4" spans="2:7" ht="12.75" customHeight="1" x14ac:dyDescent="0.15">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x14ac:dyDescent="0.15">
      <c r="C5" s="445"/>
      <c r="D5" s="469"/>
      <c r="E5" s="469"/>
      <c r="F5" s="469"/>
      <c r="G5" s="469"/>
    </row>
    <row r="6" spans="2:7" x14ac:dyDescent="0.15">
      <c r="B6" s="145" t="s">
        <v>91</v>
      </c>
      <c r="C6" s="446" t="str">
        <f>DCF!C3&amp;" "&amp;Reporting_currency</f>
        <v>1000 CNY</v>
      </c>
      <c r="D6" s="469"/>
      <c r="E6" s="469"/>
      <c r="F6" s="469"/>
      <c r="G6" s="469"/>
    </row>
    <row r="7" spans="2:7" ht="12.75" customHeight="1" x14ac:dyDescent="0.15">
      <c r="B7" s="97" t="s">
        <v>232</v>
      </c>
      <c r="C7" s="447">
        <f>Normalized_FCF!G8</f>
        <v>4902319</v>
      </c>
      <c r="D7" s="469"/>
      <c r="E7" s="469"/>
      <c r="F7" s="469"/>
      <c r="G7" s="469"/>
    </row>
    <row r="8" spans="2:7" x14ac:dyDescent="0.15">
      <c r="B8" s="97" t="s">
        <v>63</v>
      </c>
      <c r="C8" s="447">
        <f>Normalized_FCF!G19</f>
        <v>2918873.2657263465</v>
      </c>
      <c r="D8" s="469"/>
      <c r="E8" s="469"/>
      <c r="F8" s="469"/>
      <c r="G8" s="469"/>
    </row>
    <row r="9" spans="2:7" x14ac:dyDescent="0.15">
      <c r="B9" s="97" t="s">
        <v>54</v>
      </c>
      <c r="C9" s="447">
        <f>Normalized_FCF!C19</f>
        <v>3563651.9066465204</v>
      </c>
      <c r="D9" s="469"/>
      <c r="E9" s="469"/>
      <c r="F9" s="469"/>
      <c r="G9" s="469"/>
    </row>
    <row r="10" spans="2:7" x14ac:dyDescent="0.15">
      <c r="C10" s="448"/>
      <c r="D10" s="469"/>
      <c r="E10" s="469"/>
      <c r="F10" s="469"/>
      <c r="G10" s="469"/>
    </row>
    <row r="11" spans="2:7" x14ac:dyDescent="0.15">
      <c r="B11" s="145" t="s">
        <v>321</v>
      </c>
      <c r="C11" s="448"/>
      <c r="D11" s="469"/>
      <c r="E11" s="469"/>
      <c r="F11" s="469"/>
      <c r="G11" s="469"/>
    </row>
    <row r="12" spans="2:7" ht="14" x14ac:dyDescent="0.15">
      <c r="B12" s="114" t="s">
        <v>121</v>
      </c>
      <c r="C12" s="249">
        <f ca="1">(Normalized_FCF!G4/OFFSET(Normalized_FCF!G4, 0, $C$4))^(1/$C$4) - 1</f>
        <v>-1.328292424848343E-2</v>
      </c>
      <c r="D12" s="469"/>
      <c r="E12" s="469"/>
      <c r="F12" s="469"/>
      <c r="G12" s="469"/>
    </row>
    <row r="13" spans="2:7" x14ac:dyDescent="0.15">
      <c r="B13" s="135" t="s">
        <v>127</v>
      </c>
      <c r="C13" s="249">
        <f ca="1">(Normalized_FCF!G8/OFFSET(Normalized_FCF!G8, 0, $C$4))^(1/$C$4) - 1</f>
        <v>-8.6152390653333799E-2</v>
      </c>
      <c r="D13" s="469"/>
      <c r="E13" s="469"/>
      <c r="F13" s="469"/>
      <c r="G13" s="469"/>
    </row>
    <row r="14" spans="2:7" x14ac:dyDescent="0.15">
      <c r="B14" s="97" t="s">
        <v>63</v>
      </c>
      <c r="C14" s="249">
        <f ca="1">(Normalized_FCF!G19/OFFSET(Normalized_FCF!G19, 0, $C$4))^(1/$C$4) - 1</f>
        <v>-0.15606730408344105</v>
      </c>
      <c r="D14" s="469"/>
      <c r="E14" s="469"/>
      <c r="F14" s="469"/>
      <c r="G14" s="469"/>
    </row>
    <row r="16" spans="2:7" ht="16" x14ac:dyDescent="0.25">
      <c r="B16" s="34" t="s">
        <v>453</v>
      </c>
      <c r="C16" s="35"/>
      <c r="D16" s="35"/>
      <c r="E16" s="35"/>
      <c r="F16" s="35"/>
      <c r="G16" s="35"/>
    </row>
    <row r="17" spans="2:7" x14ac:dyDescent="0.15">
      <c r="B17" s="106" t="s">
        <v>126</v>
      </c>
      <c r="E17" s="222" t="s">
        <v>251</v>
      </c>
    </row>
    <row r="18" spans="2:7" ht="12.75" customHeight="1" x14ac:dyDescent="0.15">
      <c r="B18" s="139" t="s">
        <v>111</v>
      </c>
      <c r="C18" s="137">
        <v>3</v>
      </c>
      <c r="E18" s="450" t="s">
        <v>543</v>
      </c>
      <c r="F18" s="319"/>
    </row>
    <row r="19" spans="2:7" x14ac:dyDescent="0.15">
      <c r="E19" s="319"/>
      <c r="F19" s="319"/>
    </row>
    <row r="20" spans="2:7" x14ac:dyDescent="0.15">
      <c r="B20" s="106" t="s">
        <v>450</v>
      </c>
      <c r="E20" s="319"/>
      <c r="F20" s="319"/>
    </row>
    <row r="21" spans="2:7" ht="14" x14ac:dyDescent="0.2">
      <c r="B21" s="153" t="s">
        <v>436</v>
      </c>
      <c r="C21" s="153" t="s">
        <v>379</v>
      </c>
      <c r="D21" s="153" t="s">
        <v>448</v>
      </c>
      <c r="E21" s="154" t="str">
        <f>"Value per share ("&amp;Market_currency&amp;")"</f>
        <v>Value per share (HKD)</v>
      </c>
      <c r="F21" s="154" t="s">
        <v>449</v>
      </c>
      <c r="G21" s="154" t="s">
        <v>457</v>
      </c>
    </row>
    <row r="22" spans="2:7" x14ac:dyDescent="0.15">
      <c r="B22" s="302" t="s">
        <v>445</v>
      </c>
      <c r="C22" s="324">
        <v>0.02</v>
      </c>
      <c r="D22" s="325">
        <f>C18</f>
        <v>3</v>
      </c>
      <c r="E22" s="326">
        <f>DCF!E91</f>
        <v>8.2038155841319007</v>
      </c>
      <c r="F22" s="328">
        <f>1-F23-F24</f>
        <v>0.19999999999999996</v>
      </c>
      <c r="G22" s="328">
        <f>F22*(1-F$29-F$30)</f>
        <v>0.15999999999999995</v>
      </c>
    </row>
    <row r="23" spans="2:7" x14ac:dyDescent="0.15">
      <c r="B23" s="302" t="s">
        <v>437</v>
      </c>
      <c r="C23" s="324">
        <v>-0.05</v>
      </c>
      <c r="D23" s="325">
        <f>C18</f>
        <v>3</v>
      </c>
      <c r="E23" s="326">
        <f>DCF!E92</f>
        <v>7.0341660866723261</v>
      </c>
      <c r="F23" s="327">
        <v>0.55000000000000004</v>
      </c>
      <c r="G23" s="328">
        <f t="shared" ref="G23:G24" si="0">F23*(1-F$29-F$30)</f>
        <v>0.44</v>
      </c>
    </row>
    <row r="24" spans="2:7" x14ac:dyDescent="0.15">
      <c r="B24" s="302" t="s">
        <v>446</v>
      </c>
      <c r="C24" s="324">
        <v>-0.15</v>
      </c>
      <c r="D24" s="325">
        <f>C18</f>
        <v>3</v>
      </c>
      <c r="E24" s="326">
        <f>DCF!E93</f>
        <v>5.6255341363724405</v>
      </c>
      <c r="F24" s="327">
        <v>0.25</v>
      </c>
      <c r="G24" s="328">
        <f t="shared" si="0"/>
        <v>0.19999999999999998</v>
      </c>
    </row>
    <row r="25" spans="2:7" x14ac:dyDescent="0.15">
      <c r="B25" s="141" t="s">
        <v>451</v>
      </c>
      <c r="C25" s="441">
        <f>E23*F23+E24*F24+E22*F22</f>
        <v>6.9159379985892695</v>
      </c>
      <c r="D25" s="141" t="str">
        <f>Market_currency</f>
        <v>HKD</v>
      </c>
      <c r="G25" s="149"/>
    </row>
    <row r="27" spans="2:7" x14ac:dyDescent="0.15">
      <c r="B27" s="106" t="s">
        <v>452</v>
      </c>
    </row>
    <row r="28" spans="2:7" ht="14" x14ac:dyDescent="0.2">
      <c r="B28" s="153" t="s">
        <v>436</v>
      </c>
      <c r="C28" s="153" t="s">
        <v>379</v>
      </c>
      <c r="D28" s="153" t="s">
        <v>448</v>
      </c>
      <c r="E28" s="154" t="str">
        <f>"Value per share ("&amp;Market_currency&amp;")"</f>
        <v>Value per share (HKD)</v>
      </c>
      <c r="F28" s="154" t="s">
        <v>449</v>
      </c>
      <c r="G28" s="154" t="s">
        <v>457</v>
      </c>
    </row>
    <row r="29" spans="2:7" x14ac:dyDescent="0.15">
      <c r="B29" s="302" t="s">
        <v>444</v>
      </c>
      <c r="C29" s="324">
        <v>0.05</v>
      </c>
      <c r="D29" s="325">
        <f>C18</f>
        <v>3</v>
      </c>
      <c r="E29" s="326">
        <f>DCF!E90</f>
        <v>8.7545819719530655</v>
      </c>
      <c r="F29" s="327">
        <v>0.05</v>
      </c>
      <c r="G29" s="328">
        <f>F29</f>
        <v>0.05</v>
      </c>
    </row>
    <row r="30" spans="2:7" x14ac:dyDescent="0.15">
      <c r="B30" s="315" t="s">
        <v>447</v>
      </c>
      <c r="C30" s="324">
        <v>-0.3</v>
      </c>
      <c r="D30" s="325">
        <f>C18</f>
        <v>3</v>
      </c>
      <c r="E30" s="326">
        <f>DCF!E94</f>
        <v>4.0271697263663127</v>
      </c>
      <c r="F30" s="327">
        <v>0.15</v>
      </c>
      <c r="G30" s="328">
        <f>F30</f>
        <v>0.15</v>
      </c>
    </row>
    <row r="31" spans="2:7" x14ac:dyDescent="0.15">
      <c r="E31" s="329"/>
      <c r="F31" s="329"/>
    </row>
    <row r="32" spans="2:7" x14ac:dyDescent="0.15">
      <c r="B32" s="145" t="s">
        <v>456</v>
      </c>
    </row>
    <row r="33" spans="2:7" x14ac:dyDescent="0.15">
      <c r="B33" s="97" t="s">
        <v>458</v>
      </c>
      <c r="C33" s="155">
        <f>Normalized_FCF!C88*(1-dividend_tax_rate)</f>
        <v>0.24179999999999999</v>
      </c>
      <c r="D33" t="str">
        <f>Market_currency</f>
        <v>HKD</v>
      </c>
      <c r="E33" s="97" t="s">
        <v>455</v>
      </c>
      <c r="F33" s="219">
        <f>Holding_Period</f>
        <v>3</v>
      </c>
    </row>
    <row r="34" spans="2:7" x14ac:dyDescent="0.15">
      <c r="B34" s="97" t="s">
        <v>233</v>
      </c>
      <c r="C34" s="146">
        <f>Market_Price</f>
        <v>3.91</v>
      </c>
      <c r="D34" t="str">
        <f>Market_currency</f>
        <v>HKD</v>
      </c>
      <c r="E34" s="97" t="s">
        <v>454</v>
      </c>
      <c r="F34" s="330">
        <f>RATE(Holding_Period,$C$33,-C34,$C$36)</f>
        <v>0.24192072114076554</v>
      </c>
    </row>
    <row r="35" spans="2:7" x14ac:dyDescent="0.15">
      <c r="B35" s="97" t="s">
        <v>434</v>
      </c>
      <c r="C35" s="320">
        <f>DCF!C11</f>
        <v>7.8534007127930785</v>
      </c>
      <c r="D35" s="97" t="str">
        <f>Market_currency</f>
        <v>HKD</v>
      </c>
      <c r="E35" s="97" t="s">
        <v>454</v>
      </c>
      <c r="F35" s="330">
        <f>RATE(Holding_Period,$C$33,-C35,$C$36)</f>
        <v>-2.4862911278505543E-2</v>
      </c>
    </row>
    <row r="36" spans="2:7" x14ac:dyDescent="0.15">
      <c r="B36" s="97" t="s">
        <v>435</v>
      </c>
      <c r="C36" s="321">
        <f>E22*G22+E23*G23+E24*G24+E30*G30+E29*G29</f>
        <v>6.5745549564240156</v>
      </c>
      <c r="D36" t="str">
        <f>Market_currency</f>
        <v>HKD</v>
      </c>
      <c r="E36" s="97" t="s">
        <v>460</v>
      </c>
      <c r="F36" s="331" t="s">
        <v>459</v>
      </c>
    </row>
    <row r="38" spans="2:7" ht="16" x14ac:dyDescent="0.25">
      <c r="B38" s="34" t="s">
        <v>411</v>
      </c>
      <c r="C38" s="35"/>
      <c r="D38" s="35"/>
      <c r="E38" s="35"/>
      <c r="F38" s="35"/>
      <c r="G38" s="35"/>
    </row>
    <row r="39" spans="2:7" x14ac:dyDescent="0.15">
      <c r="B39" s="414" t="str">
        <f>IF(DCF!F14="II","2","1")&amp;"-stage DCF"</f>
        <v>1-stage DCF</v>
      </c>
      <c r="E39" s="222" t="s">
        <v>251</v>
      </c>
    </row>
    <row r="40" spans="2:7" x14ac:dyDescent="0.15">
      <c r="B40" t="s">
        <v>550</v>
      </c>
      <c r="C40" s="126">
        <f>Normalized_FCF!E116</f>
        <v>0.23440332981639808</v>
      </c>
      <c r="E40" s="97" t="s">
        <v>401</v>
      </c>
    </row>
    <row r="41" spans="2:7" x14ac:dyDescent="0.15">
      <c r="B41" s="97" t="s">
        <v>400</v>
      </c>
      <c r="C41" s="455">
        <f>DCF!C16</f>
        <v>1.8613012126595999E-2</v>
      </c>
      <c r="E41" s="97"/>
    </row>
    <row r="43" spans="2:7" ht="16" x14ac:dyDescent="0.25">
      <c r="B43" s="34" t="s">
        <v>276</v>
      </c>
      <c r="C43" s="35"/>
      <c r="D43" s="35"/>
      <c r="E43" s="35"/>
      <c r="F43" s="35"/>
      <c r="G43" s="35"/>
    </row>
    <row r="44" spans="2:7" x14ac:dyDescent="0.15">
      <c r="B44" s="106" t="s">
        <v>249</v>
      </c>
      <c r="E44" s="222" t="s">
        <v>251</v>
      </c>
    </row>
    <row r="45" spans="2:7" x14ac:dyDescent="0.15">
      <c r="B45" s="139" t="s">
        <v>111</v>
      </c>
      <c r="C45" s="150">
        <f>C18</f>
        <v>3</v>
      </c>
      <c r="D45" s="137"/>
      <c r="E45" s="221" t="s">
        <v>307</v>
      </c>
    </row>
    <row r="46" spans="2:7" ht="14" x14ac:dyDescent="0.15">
      <c r="B46" s="114" t="s">
        <v>112</v>
      </c>
      <c r="C46" s="138">
        <v>1.8613012126595999E-2</v>
      </c>
      <c r="D46" s="138"/>
      <c r="E46" s="221" t="s">
        <v>252</v>
      </c>
    </row>
    <row r="47" spans="2:7" x14ac:dyDescent="0.15">
      <c r="B47" s="97" t="s">
        <v>96</v>
      </c>
      <c r="C47" s="146">
        <f>DCF!I18</f>
        <v>8.179086100740518</v>
      </c>
      <c r="D47" s="146" t="str">
        <f>Market_currency</f>
        <v>HKD</v>
      </c>
      <c r="E47" s="221" t="s">
        <v>253</v>
      </c>
    </row>
    <row r="49" spans="2:7" x14ac:dyDescent="0.15">
      <c r="B49" s="106" t="s">
        <v>277</v>
      </c>
      <c r="C49" s="218" t="str">
        <f>IF(Scenarios!C50="Y",Scenarios!B50,"")&amp;IF(Scenarios!C51="Y",Scenarios!B51,"")&amp;IF(Scenarios!C52="Y",Scenarios!B52,"")&amp;" "&amp;IF(Scenarios!C53="Y",Scenarios!B53,"")</f>
        <v xml:space="preserve">Negative Growth </v>
      </c>
      <c r="E49" s="222" t="s">
        <v>254</v>
      </c>
    </row>
    <row r="50" spans="2:7" x14ac:dyDescent="0.15">
      <c r="B50" s="97" t="s">
        <v>250</v>
      </c>
      <c r="C50" s="218" t="str">
        <f>IF(C36&lt;C35,"Y","N")</f>
        <v>Y</v>
      </c>
      <c r="E50" s="126"/>
    </row>
    <row r="51" spans="2:7" x14ac:dyDescent="0.15">
      <c r="B51" s="97" t="s">
        <v>246</v>
      </c>
      <c r="C51" s="218" t="str">
        <f>IF(C50="Y","N",IF(C46&gt;8%,"N","Y"))</f>
        <v>N</v>
      </c>
      <c r="E51" s="221" t="s">
        <v>247</v>
      </c>
    </row>
    <row r="52" spans="2:7" x14ac:dyDescent="0.15">
      <c r="B52" s="97" t="s">
        <v>245</v>
      </c>
      <c r="C52" s="218" t="str">
        <f>IF(C46&gt;8%,"Y","N")</f>
        <v>N</v>
      </c>
      <c r="E52" s="221"/>
    </row>
    <row r="53" spans="2:7" x14ac:dyDescent="0.15">
      <c r="B53" s="97" t="s">
        <v>237</v>
      </c>
      <c r="C53" s="217" t="str">
        <f>IF(F53&gt;50%,"Y","N")</f>
        <v>N</v>
      </c>
      <c r="E53" s="126" t="s">
        <v>273</v>
      </c>
      <c r="F53" s="249">
        <f>BS!D89/C36</f>
        <v>0.26126557891254487</v>
      </c>
    </row>
    <row r="55" spans="2:7" ht="16" x14ac:dyDescent="0.25">
      <c r="B55" s="34" t="s">
        <v>107</v>
      </c>
      <c r="C55" s="35"/>
      <c r="D55" s="35"/>
      <c r="E55" s="35"/>
      <c r="F55" s="35"/>
      <c r="G55" s="35"/>
    </row>
    <row r="56" spans="2:7" x14ac:dyDescent="0.15">
      <c r="B56" s="106" t="s">
        <v>106</v>
      </c>
    </row>
    <row r="57" spans="2:7" x14ac:dyDescent="0.15">
      <c r="B57" s="220" t="s">
        <v>248</v>
      </c>
      <c r="C57" s="219">
        <f>Holding_Period</f>
        <v>3</v>
      </c>
      <c r="D57" s="126"/>
    </row>
    <row r="58" spans="2:7" x14ac:dyDescent="0.15">
      <c r="B58" s="97" t="s">
        <v>333</v>
      </c>
      <c r="C58" s="155">
        <f>C33</f>
        <v>0.24179999999999999</v>
      </c>
      <c r="D58" t="str">
        <f>Market_currency</f>
        <v>HKD</v>
      </c>
    </row>
    <row r="60" spans="2:7" x14ac:dyDescent="0.15">
      <c r="B60" s="106" t="s">
        <v>473</v>
      </c>
      <c r="E60" s="413"/>
    </row>
    <row r="61" spans="2:7" ht="14" x14ac:dyDescent="0.2">
      <c r="B61" s="153" t="s">
        <v>462</v>
      </c>
      <c r="C61" s="153" t="s">
        <v>103</v>
      </c>
      <c r="D61" s="153" t="s">
        <v>104</v>
      </c>
      <c r="E61" s="154" t="str">
        <f>"Buy below ("&amp;Market_currency&amp;")"</f>
        <v>Buy below (HKD)</v>
      </c>
      <c r="F61" s="154" t="s">
        <v>454</v>
      </c>
      <c r="G61" s="154" t="s">
        <v>461</v>
      </c>
    </row>
    <row r="62" spans="2:7" x14ac:dyDescent="0.15">
      <c r="B62" s="302" t="s">
        <v>312</v>
      </c>
      <c r="C62" s="119">
        <f>PV(F62, Holding_Period, -C58, 0)</f>
        <v>0.44245811110342687</v>
      </c>
      <c r="D62" s="119">
        <f>C36/(1+F62)^Holding_Period</f>
        <v>3.029748827845169</v>
      </c>
      <c r="E62" s="332">
        <f>C62+D62</f>
        <v>3.4722069389485957</v>
      </c>
      <c r="F62" s="301">
        <f>Thesis!E22</f>
        <v>0.29465259038036606</v>
      </c>
      <c r="G62" s="440">
        <f>(1-E62/C36)</f>
        <v>0.47187194236533181</v>
      </c>
    </row>
    <row r="63" spans="2:7" x14ac:dyDescent="0.15">
      <c r="B63" s="302" t="s">
        <v>313</v>
      </c>
      <c r="C63" s="119">
        <f>PV(F63, Holding_Period, -C58, 0)</f>
        <v>0.50874815444966315</v>
      </c>
      <c r="D63" s="119">
        <f>C36/(1+F63)^Holding_Period</f>
        <v>3.7975768701366168</v>
      </c>
      <c r="E63" s="332">
        <f>C63+D63</f>
        <v>4.3063250245862799</v>
      </c>
      <c r="F63" s="301">
        <f>Thesis!E23</f>
        <v>0.20075184365903009</v>
      </c>
      <c r="G63" s="440">
        <f>(1-E63/C36)</f>
        <v>0.34500128858477974</v>
      </c>
    </row>
    <row r="65" spans="2:7" ht="14" x14ac:dyDescent="0.2">
      <c r="B65" s="153" t="s">
        <v>463</v>
      </c>
      <c r="C65" s="153" t="s">
        <v>103</v>
      </c>
      <c r="D65" s="153" t="s">
        <v>104</v>
      </c>
      <c r="E65" s="154" t="str">
        <f>"Sell above ("&amp;Market_currency&amp;")"</f>
        <v>Sell above (HKD)</v>
      </c>
      <c r="F65" s="154" t="s">
        <v>454</v>
      </c>
      <c r="G65" s="154" t="s">
        <v>461</v>
      </c>
    </row>
    <row r="66" spans="2:7" x14ac:dyDescent="0.15">
      <c r="B66" s="302" t="s">
        <v>315</v>
      </c>
      <c r="C66" s="119">
        <f>PV(F66, Holding_Period, -C58, 0)</f>
        <v>0.58336743585196538</v>
      </c>
      <c r="D66" s="119">
        <f>C36/(1+F66)^Holding_Period</f>
        <v>4.7123805944638955</v>
      </c>
      <c r="E66" s="332">
        <f>C66+D66</f>
        <v>5.2957480303158606</v>
      </c>
      <c r="F66" s="301">
        <f>Thesis!E24</f>
        <v>0.1174</v>
      </c>
      <c r="G66" s="440">
        <f>(1-E66/C36)</f>
        <v>0.19450851572221317</v>
      </c>
    </row>
    <row r="67" spans="2:7" x14ac:dyDescent="0.15">
      <c r="B67" s="302" t="s">
        <v>314</v>
      </c>
      <c r="C67" s="119">
        <f>PV(F67, Holding_Period, -C58, 0)</f>
        <v>0.63167232993043521</v>
      </c>
      <c r="D67" s="119">
        <f>C36/(1+F67)^Holding_Period</f>
        <v>5.3293526303299146</v>
      </c>
      <c r="E67" s="332">
        <f>C67+D67</f>
        <v>5.9610249602603496</v>
      </c>
      <c r="F67" s="301">
        <f>Thesis!E25</f>
        <v>7.2499999999999995E-2</v>
      </c>
      <c r="G67" s="440">
        <f>(1-E67/C36)</f>
        <v>9.331886344096707E-2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baseColWidth="10" defaultColWidth="9" defaultRowHeight="14" x14ac:dyDescent="0.2"/>
  <cols>
    <col min="1" max="1" width="2.6640625" style="343" customWidth="1"/>
    <col min="2" max="2" width="32.6640625" style="343" customWidth="1"/>
    <col min="3" max="4" width="25.6640625" style="343" customWidth="1"/>
    <col min="5" max="6" width="15.6640625" style="343" customWidth="1"/>
    <col min="7" max="16384" width="9" style="343"/>
  </cols>
  <sheetData>
    <row r="2" spans="1:10" ht="16" x14ac:dyDescent="0.25">
      <c r="A2" s="345" t="s">
        <v>334</v>
      </c>
      <c r="B2" s="345"/>
      <c r="C2" s="345"/>
      <c r="D2" s="345"/>
      <c r="E2" s="345"/>
      <c r="F2" s="345"/>
      <c r="G2" s="346"/>
      <c r="H2" s="346"/>
      <c r="I2" s="346"/>
      <c r="J2" s="346"/>
    </row>
    <row r="3" spans="1:10" x14ac:dyDescent="0.2">
      <c r="E3" s="435" t="s">
        <v>541</v>
      </c>
      <c r="F3" s="436">
        <f>Thesis!F3</f>
        <v>45930</v>
      </c>
    </row>
    <row r="4" spans="1:10" x14ac:dyDescent="0.2">
      <c r="B4" s="422" t="s">
        <v>533</v>
      </c>
      <c r="C4" s="423" t="str">
        <f>Thesis!C4</f>
        <v>中国飞鹤</v>
      </c>
      <c r="D4" s="349"/>
      <c r="E4" s="434" t="s">
        <v>539</v>
      </c>
      <c r="F4" s="437" t="str">
        <f>Thesis!F4</f>
        <v>INT</v>
      </c>
    </row>
    <row r="5" spans="1:10" x14ac:dyDescent="0.2">
      <c r="B5" s="343" t="s">
        <v>364</v>
      </c>
      <c r="C5" s="355" t="str">
        <f>Thesis!C5</f>
        <v>6186.HK</v>
      </c>
      <c r="E5" s="438" t="s">
        <v>540</v>
      </c>
      <c r="F5" s="439" t="str">
        <f>Thesis!F5</f>
        <v>N</v>
      </c>
    </row>
    <row r="6" spans="1:10" x14ac:dyDescent="0.2">
      <c r="B6" s="350" t="s">
        <v>336</v>
      </c>
      <c r="C6" s="352" t="str">
        <f>Thesis!C6</f>
        <v>CNS_01</v>
      </c>
      <c r="E6" s="354"/>
    </row>
    <row r="7" spans="1:10" x14ac:dyDescent="0.2">
      <c r="B7" s="343" t="s">
        <v>366</v>
      </c>
      <c r="C7" s="352" t="str">
        <f>Market_currency</f>
        <v>HKD</v>
      </c>
      <c r="D7" s="354"/>
      <c r="E7" s="354"/>
    </row>
    <row r="8" spans="1:10" x14ac:dyDescent="0.2">
      <c r="B8" s="351" t="s">
        <v>365</v>
      </c>
      <c r="C8" s="356">
        <f>Market_Price</f>
        <v>3.91</v>
      </c>
    </row>
    <row r="9" spans="1:10" x14ac:dyDescent="0.2">
      <c r="B9" s="351" t="s">
        <v>361</v>
      </c>
      <c r="C9" s="353">
        <f>Common_Shares</f>
        <v>9065251704</v>
      </c>
    </row>
    <row r="10" spans="1:10" x14ac:dyDescent="0.2">
      <c r="B10" s="351" t="s">
        <v>367</v>
      </c>
      <c r="C10" s="357">
        <f>投资主题!C8*Common_Shares/1000000</f>
        <v>35445.134162640003</v>
      </c>
      <c r="D10" s="343" t="s">
        <v>528</v>
      </c>
      <c r="E10" s="360">
        <f>Scenarios!F34</f>
        <v>0.24192072114076554</v>
      </c>
    </row>
    <row r="11" spans="1:10" x14ac:dyDescent="0.2">
      <c r="D11" s="349"/>
      <c r="E11" s="349"/>
    </row>
    <row r="12" spans="1:10" ht="24.5" customHeight="1" x14ac:dyDescent="0.2">
      <c r="B12" s="471" t="s">
        <v>497</v>
      </c>
      <c r="C12" s="471"/>
      <c r="D12" s="471"/>
      <c r="E12" s="471"/>
      <c r="F12" s="471"/>
    </row>
    <row r="14" spans="1:10" x14ac:dyDescent="0.2">
      <c r="B14" s="347" t="s">
        <v>370</v>
      </c>
      <c r="C14" s="348"/>
      <c r="D14" s="349"/>
    </row>
    <row r="15" spans="1:10" x14ac:dyDescent="0.2">
      <c r="B15" s="343" t="s">
        <v>337</v>
      </c>
      <c r="C15" s="358" t="str">
        <f>Thesis!C15</f>
        <v>N</v>
      </c>
      <c r="D15" s="351" t="s">
        <v>368</v>
      </c>
      <c r="E15" s="344" t="str">
        <f>IF(E17=C7,C7,E17&amp;"/"&amp;C7)</f>
        <v>CNY/HKD</v>
      </c>
    </row>
    <row r="16" spans="1:10" x14ac:dyDescent="0.2">
      <c r="B16" s="343" t="s">
        <v>338</v>
      </c>
      <c r="C16" s="358" t="str">
        <f>Thesis!C16</f>
        <v>N</v>
      </c>
      <c r="D16" s="351" t="s">
        <v>369</v>
      </c>
      <c r="E16" s="425">
        <f>Exchange_Rate</f>
        <v>1.1315830089569092</v>
      </c>
    </row>
    <row r="17" spans="1:6" x14ac:dyDescent="0.2">
      <c r="B17" s="343" t="s">
        <v>534</v>
      </c>
      <c r="C17" s="424">
        <f>Terminal_Growth</f>
        <v>0</v>
      </c>
      <c r="D17" s="351" t="s">
        <v>339</v>
      </c>
      <c r="E17" s="344" t="str">
        <f>Reporting_currency</f>
        <v>CNY</v>
      </c>
    </row>
    <row r="18" spans="1:6" x14ac:dyDescent="0.2">
      <c r="B18" s="343" t="str">
        <f>"预期股权价值 ("&amp;C7&amp;") :"</f>
        <v>预期股权价值 (HKD) :</v>
      </c>
      <c r="C18" s="359">
        <f>C125</f>
        <v>6.5745549564240156</v>
      </c>
      <c r="D18" s="350" t="s">
        <v>362</v>
      </c>
      <c r="E18" s="426">
        <f>Thesis!E18</f>
        <v>6</v>
      </c>
    </row>
    <row r="19" spans="1:6" x14ac:dyDescent="0.2">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x14ac:dyDescent="0.2">
      <c r="D20" s="349"/>
      <c r="E20" s="349"/>
    </row>
    <row r="21" spans="1:6" x14ac:dyDescent="0.2">
      <c r="B21" s="347" t="s">
        <v>493</v>
      </c>
      <c r="C21" s="361" t="str">
        <f>C138&amp;" ("&amp;Market_currency&amp;")"</f>
        <v xml:space="preserve"> (HKD)</v>
      </c>
      <c r="D21" s="362" t="s">
        <v>344</v>
      </c>
      <c r="E21" s="363">
        <f>Holding_Period</f>
        <v>3</v>
      </c>
    </row>
    <row r="22" spans="1:6" x14ac:dyDescent="0.2">
      <c r="B22" s="343" t="s">
        <v>340</v>
      </c>
      <c r="C22" s="364">
        <f>E140</f>
        <v>3.4722069389485957</v>
      </c>
      <c r="D22" s="365" t="s">
        <v>440</v>
      </c>
      <c r="E22" s="366">
        <f>Thesis!E22</f>
        <v>0.29465259038036606</v>
      </c>
    </row>
    <row r="23" spans="1:6" x14ac:dyDescent="0.2">
      <c r="B23" s="343" t="s">
        <v>341</v>
      </c>
      <c r="C23" s="367">
        <f>E141</f>
        <v>4.3063250245862799</v>
      </c>
      <c r="D23" s="365" t="s">
        <v>441</v>
      </c>
      <c r="E23" s="368">
        <f>Thesis!E23</f>
        <v>0.20075184365903009</v>
      </c>
    </row>
    <row r="24" spans="1:6" x14ac:dyDescent="0.2">
      <c r="B24" s="343" t="s">
        <v>343</v>
      </c>
      <c r="C24" s="367">
        <f>E144</f>
        <v>5.2957480303158606</v>
      </c>
      <c r="D24" s="365" t="s">
        <v>443</v>
      </c>
      <c r="E24" s="368">
        <f>Thesis!E24</f>
        <v>0.1174</v>
      </c>
    </row>
    <row r="25" spans="1:6" x14ac:dyDescent="0.2">
      <c r="B25" s="343" t="s">
        <v>342</v>
      </c>
      <c r="C25" s="367">
        <f>E145</f>
        <v>5.9610249602603496</v>
      </c>
      <c r="D25" s="365" t="s">
        <v>442</v>
      </c>
      <c r="E25" s="368">
        <f>Thesis!E25</f>
        <v>7.2499999999999995E-2</v>
      </c>
    </row>
    <row r="27" spans="1:6" ht="16" x14ac:dyDescent="0.25">
      <c r="A27" s="345" t="s">
        <v>345</v>
      </c>
      <c r="B27" s="345"/>
      <c r="C27" s="345"/>
      <c r="D27" s="345"/>
      <c r="E27" s="345"/>
      <c r="F27" s="345"/>
    </row>
    <row r="29" spans="1:6" x14ac:dyDescent="0.2">
      <c r="B29" s="471" t="s">
        <v>498</v>
      </c>
      <c r="C29" s="471"/>
      <c r="D29" s="471"/>
      <c r="E29" s="471"/>
      <c r="F29" s="471"/>
    </row>
    <row r="30" spans="1:6" ht="24.5" customHeight="1" x14ac:dyDescent="0.2">
      <c r="B30" s="472" t="s">
        <v>499</v>
      </c>
      <c r="C30" s="472"/>
      <c r="D30" s="472"/>
      <c r="E30" s="472"/>
      <c r="F30" s="472"/>
    </row>
    <row r="32" spans="1:6" x14ac:dyDescent="0.2">
      <c r="B32" s="369" t="s">
        <v>371</v>
      </c>
      <c r="C32" s="370">
        <f>scaling_factor</f>
        <v>1000</v>
      </c>
    </row>
    <row r="33" spans="2:6" x14ac:dyDescent="0.2">
      <c r="B33" s="470" t="s">
        <v>500</v>
      </c>
      <c r="C33" s="470"/>
      <c r="D33" s="470"/>
      <c r="E33" s="470"/>
      <c r="F33" s="470"/>
    </row>
    <row r="34" spans="2:6" x14ac:dyDescent="0.2">
      <c r="B34" s="372" t="s">
        <v>197</v>
      </c>
      <c r="C34" s="373">
        <f>Normalized_FCF!C8</f>
        <v>4902319</v>
      </c>
      <c r="D34" s="343" t="str">
        <f>Reporting_currency</f>
        <v>CNY</v>
      </c>
    </row>
    <row r="35" spans="2:6" x14ac:dyDescent="0.2">
      <c r="B35" s="372"/>
      <c r="C35" s="374"/>
    </row>
    <row r="36" spans="2:6" ht="24.5" customHeight="1" x14ac:dyDescent="0.2">
      <c r="B36" s="470" t="s">
        <v>501</v>
      </c>
      <c r="C36" s="470"/>
      <c r="D36" s="470"/>
      <c r="E36" s="470"/>
      <c r="F36" s="470"/>
    </row>
    <row r="37" spans="2:6" x14ac:dyDescent="0.2">
      <c r="B37" s="372" t="s">
        <v>199</v>
      </c>
      <c r="C37" s="373">
        <f>Normalized_FCF!C15</f>
        <v>0</v>
      </c>
      <c r="D37" s="343" t="str">
        <f>Reporting_currency</f>
        <v>CNY</v>
      </c>
    </row>
    <row r="38" spans="2:6" x14ac:dyDescent="0.2">
      <c r="B38" s="375" t="s">
        <v>200</v>
      </c>
      <c r="C38" s="373">
        <f>Normalized_FCF!C16</f>
        <v>0</v>
      </c>
      <c r="D38" s="343" t="str">
        <f>Reporting_currency</f>
        <v>CNY</v>
      </c>
    </row>
    <row r="40" spans="2:6" x14ac:dyDescent="0.2">
      <c r="B40" s="470" t="s">
        <v>502</v>
      </c>
      <c r="C40" s="470"/>
      <c r="D40" s="470"/>
      <c r="E40" s="470"/>
      <c r="F40" s="470"/>
    </row>
    <row r="41" spans="2:6" x14ac:dyDescent="0.2">
      <c r="B41" s="372" t="s">
        <v>202</v>
      </c>
      <c r="C41" s="373">
        <f>Normalized_FCF!C9</f>
        <v>-12182</v>
      </c>
      <c r="D41" s="343" t="str">
        <f>Reporting_currency</f>
        <v>CNY</v>
      </c>
    </row>
    <row r="43" spans="2:6" x14ac:dyDescent="0.2">
      <c r="B43" s="470" t="s">
        <v>503</v>
      </c>
      <c r="C43" s="470"/>
      <c r="D43" s="470"/>
      <c r="E43" s="470"/>
      <c r="F43" s="470"/>
    </row>
    <row r="44" spans="2:6" x14ac:dyDescent="0.2">
      <c r="B44" s="372" t="s">
        <v>267</v>
      </c>
      <c r="C44" s="376">
        <f>Normalized_FCF!C46</f>
        <v>18038.208862027197</v>
      </c>
      <c r="D44" s="343" t="str">
        <f>Reporting_currency</f>
        <v>CNY</v>
      </c>
      <c r="E44" s="371"/>
      <c r="F44" s="371"/>
    </row>
    <row r="45" spans="2:6" x14ac:dyDescent="0.2">
      <c r="B45" s="372" t="s">
        <v>268</v>
      </c>
      <c r="C45" s="376">
        <f>Normalized_FCF!C45</f>
        <v>-44646</v>
      </c>
      <c r="D45" s="343" t="str">
        <f>Reporting_currency</f>
        <v>CNY</v>
      </c>
      <c r="E45" s="371"/>
      <c r="F45" s="371"/>
    </row>
    <row r="46" spans="2:6" x14ac:dyDescent="0.2">
      <c r="B46" s="372" t="s">
        <v>203</v>
      </c>
      <c r="C46" s="373">
        <f>Normalized_FCF!C10</f>
        <v>-26607.791137972803</v>
      </c>
      <c r="D46" s="343" t="str">
        <f>Reporting_currency</f>
        <v>CNY</v>
      </c>
    </row>
    <row r="48" spans="2:6" x14ac:dyDescent="0.2">
      <c r="B48" s="343" t="s">
        <v>504</v>
      </c>
    </row>
    <row r="49" spans="2:6" x14ac:dyDescent="0.2">
      <c r="B49" s="372" t="s">
        <v>223</v>
      </c>
      <c r="C49" s="373">
        <f>Normalized_FCF!C13</f>
        <v>-83995</v>
      </c>
      <c r="D49" s="343" t="str">
        <f>Reporting_currency</f>
        <v>CNY</v>
      </c>
    </row>
    <row r="51" spans="2:6" x14ac:dyDescent="0.2">
      <c r="B51" s="470" t="s">
        <v>505</v>
      </c>
      <c r="C51" s="470"/>
      <c r="D51" s="470"/>
      <c r="E51" s="470"/>
      <c r="F51" s="470"/>
    </row>
    <row r="52" spans="2:6" x14ac:dyDescent="0.2">
      <c r="B52" s="372" t="s">
        <v>496</v>
      </c>
      <c r="C52" s="373">
        <f>Normalized_FCF!C12</f>
        <v>-1215882.3022155068</v>
      </c>
      <c r="D52" s="343" t="str">
        <f>Reporting_currency</f>
        <v>CNY</v>
      </c>
    </row>
    <row r="54" spans="2:6" x14ac:dyDescent="0.2">
      <c r="B54" s="470" t="s">
        <v>506</v>
      </c>
      <c r="C54" s="473"/>
      <c r="D54" s="473"/>
      <c r="E54" s="473"/>
      <c r="F54" s="473"/>
    </row>
    <row r="55" spans="2:6" x14ac:dyDescent="0.2">
      <c r="B55" s="372" t="s">
        <v>207</v>
      </c>
      <c r="C55" s="373">
        <f>Normalized_FCF!C17</f>
        <v>0</v>
      </c>
      <c r="D55" s="343" t="str">
        <f>Reporting_currency</f>
        <v>CNY</v>
      </c>
    </row>
    <row r="57" spans="2:6" x14ac:dyDescent="0.2">
      <c r="B57" s="471" t="s">
        <v>507</v>
      </c>
      <c r="C57" s="471"/>
      <c r="D57" s="471"/>
      <c r="E57" s="471"/>
      <c r="F57" s="471"/>
    </row>
    <row r="58" spans="2:6" x14ac:dyDescent="0.2">
      <c r="B58" s="471" t="s">
        <v>508</v>
      </c>
      <c r="C58" s="471"/>
      <c r="D58" s="471"/>
      <c r="E58" s="471"/>
      <c r="F58" s="471"/>
    </row>
    <row r="60" spans="2:6" x14ac:dyDescent="0.2">
      <c r="B60" s="372" t="s">
        <v>372</v>
      </c>
      <c r="C60" s="373">
        <f>Normalized_FCF!G19</f>
        <v>2918873.2657263465</v>
      </c>
      <c r="D60" s="343" t="str">
        <f>Reporting_currency</f>
        <v>CNY</v>
      </c>
    </row>
    <row r="61" spans="2:6" x14ac:dyDescent="0.2">
      <c r="B61" s="372" t="s">
        <v>213</v>
      </c>
      <c r="C61" s="373">
        <f>Normalized_FCF!C19</f>
        <v>3563651.9066465204</v>
      </c>
      <c r="D61" s="343" t="str">
        <f>Reporting_currency</f>
        <v>CNY</v>
      </c>
    </row>
    <row r="62" spans="2:6" x14ac:dyDescent="0.2">
      <c r="B62" s="377" t="s">
        <v>302</v>
      </c>
      <c r="C62" s="378">
        <f>Normalized_FCF!C124</f>
        <v>0.11376929563574673</v>
      </c>
      <c r="F62" s="379"/>
    </row>
    <row r="63" spans="2:6" x14ac:dyDescent="0.2">
      <c r="B63" s="377" t="s">
        <v>332</v>
      </c>
      <c r="C63" s="378">
        <f>Normalized_FCF!C92</f>
        <v>6.1841432225063935E-2</v>
      </c>
      <c r="E63" s="372" t="s">
        <v>373</v>
      </c>
      <c r="F63" s="380">
        <f>Normalized_FCF!C90</f>
        <v>0.61509314586505237</v>
      </c>
    </row>
    <row r="65" spans="1:6" x14ac:dyDescent="0.2">
      <c r="B65" s="369" t="s">
        <v>376</v>
      </c>
      <c r="C65" s="381" t="s">
        <v>327</v>
      </c>
      <c r="D65" s="381" t="s">
        <v>374</v>
      </c>
    </row>
    <row r="66" spans="1:6" x14ac:dyDescent="0.2">
      <c r="B66" s="372" t="s">
        <v>326</v>
      </c>
      <c r="C66" s="378">
        <f>Normalized_FCF!E119</f>
        <v>0.17911384235321903</v>
      </c>
      <c r="D66" s="378">
        <f>Normalized_FCF!G119</f>
        <v>0.18040079738883699</v>
      </c>
    </row>
    <row r="67" spans="1:6" x14ac:dyDescent="0.2">
      <c r="B67" s="382" t="str">
        <f>Normalized_FCF!B116</f>
        <v>Pre-tax Profit/Sales</v>
      </c>
      <c r="C67" s="383">
        <f>Normalized_FCF!E116</f>
        <v>0.23440332981639808</v>
      </c>
      <c r="D67" s="383">
        <f>Normalized_FCF!G116</f>
        <v>0.23608754663464901</v>
      </c>
    </row>
    <row r="68" spans="1:6" x14ac:dyDescent="0.2">
      <c r="B68" s="382" t="str">
        <f>Normalized_FCF!B117</f>
        <v>Sales/Total Assets</v>
      </c>
      <c r="C68" s="384">
        <f>Normalized_FCF!E117</f>
        <v>0.61200300518899786</v>
      </c>
      <c r="D68" s="384">
        <f>Normalized_FCF!G117</f>
        <v>0.61200300518899786</v>
      </c>
    </row>
    <row r="69" spans="1:6" x14ac:dyDescent="0.2">
      <c r="B69" s="382" t="str">
        <f>Normalized_FCF!B118</f>
        <v>Total Assets/Equity</v>
      </c>
      <c r="C69" s="384">
        <f>Normalized_FCF!E118</f>
        <v>1.2485669045200241</v>
      </c>
      <c r="D69" s="384">
        <f>Normalized_FCF!G118</f>
        <v>1.2485669045200241</v>
      </c>
    </row>
    <row r="71" spans="1:6" ht="16" x14ac:dyDescent="0.25">
      <c r="A71" s="345" t="s">
        <v>476</v>
      </c>
      <c r="B71" s="345"/>
      <c r="C71" s="345"/>
      <c r="D71" s="345"/>
      <c r="E71" s="345"/>
      <c r="F71" s="345"/>
    </row>
    <row r="72" spans="1:6" x14ac:dyDescent="0.2">
      <c r="A72" s="385"/>
    </row>
    <row r="73" spans="1:6" x14ac:dyDescent="0.2">
      <c r="A73" s="386"/>
      <c r="B73" s="471" t="s">
        <v>509</v>
      </c>
      <c r="C73" s="471"/>
      <c r="D73" s="471"/>
      <c r="E73" s="471"/>
      <c r="F73" s="471"/>
    </row>
    <row r="74" spans="1:6" x14ac:dyDescent="0.2">
      <c r="B74" s="472" t="s">
        <v>479</v>
      </c>
      <c r="C74" s="472"/>
      <c r="D74" s="472"/>
      <c r="E74" s="472"/>
      <c r="F74" s="472"/>
    </row>
    <row r="76" spans="1:6" x14ac:dyDescent="0.2">
      <c r="B76" s="369" t="s">
        <v>371</v>
      </c>
    </row>
    <row r="77" spans="1:6" x14ac:dyDescent="0.2">
      <c r="B77" s="471" t="s">
        <v>510</v>
      </c>
      <c r="C77" s="471"/>
      <c r="D77" s="471"/>
      <c r="E77" s="471"/>
      <c r="F77" s="471"/>
    </row>
    <row r="78" spans="1:6" x14ac:dyDescent="0.2">
      <c r="B78" s="343" t="s">
        <v>215</v>
      </c>
      <c r="C78" s="373">
        <f>DCF!F4</f>
        <v>-845013</v>
      </c>
      <c r="D78" s="343" t="str">
        <f>Reporting_currency</f>
        <v>CNY</v>
      </c>
    </row>
    <row r="79" spans="1:6" x14ac:dyDescent="0.2">
      <c r="B79" s="372" t="s">
        <v>234</v>
      </c>
      <c r="C79" s="387">
        <f>C78*scaling_factor*Exchange_Rate/Common_Shares</f>
        <v>-0.10547995625160467</v>
      </c>
      <c r="D79" s="343" t="str">
        <f>Market_currency</f>
        <v>HKD</v>
      </c>
    </row>
    <row r="80" spans="1:6" x14ac:dyDescent="0.2">
      <c r="B80" s="382" t="s">
        <v>309</v>
      </c>
      <c r="C80" s="388">
        <f>IF(BS!G31/BS!G27&gt;300%,"nm",BS!G31/BS!G27)</f>
        <v>3.1120102042901991E-2</v>
      </c>
    </row>
    <row r="81" spans="1:6" x14ac:dyDescent="0.2">
      <c r="B81" s="382" t="s">
        <v>311</v>
      </c>
      <c r="C81" s="389">
        <f>IF(BS!C50&gt;30,"nm",BS!C50)</f>
        <v>0.1723700558857961</v>
      </c>
    </row>
    <row r="83" spans="1:6" x14ac:dyDescent="0.2">
      <c r="B83" s="343" t="s">
        <v>511</v>
      </c>
    </row>
    <row r="84" spans="1:6" x14ac:dyDescent="0.2">
      <c r="B84" s="343" t="s">
        <v>224</v>
      </c>
      <c r="C84" s="373">
        <f>DCF!F5</f>
        <v>14601476.8563288</v>
      </c>
      <c r="D84" s="343" t="str">
        <f>Reporting_currency</f>
        <v>CNY</v>
      </c>
    </row>
    <row r="85" spans="1:6" x14ac:dyDescent="0.2">
      <c r="B85" s="382" t="s">
        <v>481</v>
      </c>
      <c r="C85" s="390">
        <f>BS!C66</f>
        <v>17607845</v>
      </c>
      <c r="D85" s="391" t="str">
        <f>Reporting_currency</f>
        <v>CNY</v>
      </c>
    </row>
    <row r="86" spans="1:6" x14ac:dyDescent="0.2">
      <c r="B86" s="372" t="s">
        <v>235</v>
      </c>
      <c r="C86" s="387">
        <f>C84*scaling_factor*Exchange_Rate/Common_Shares</f>
        <v>1.8226502314335755</v>
      </c>
      <c r="D86" s="343" t="str">
        <f>Market_currency</f>
        <v>HKD</v>
      </c>
    </row>
    <row r="88" spans="1:6" x14ac:dyDescent="0.2">
      <c r="B88" s="343" t="s">
        <v>512</v>
      </c>
    </row>
    <row r="89" spans="1:6" x14ac:dyDescent="0.2">
      <c r="B89" s="343" t="s">
        <v>217</v>
      </c>
      <c r="C89" s="373">
        <f>DCF!F6</f>
        <v>4283</v>
      </c>
      <c r="D89" s="343" t="str">
        <f>Reporting_currency</f>
        <v>CNY</v>
      </c>
    </row>
    <row r="90" spans="1:6" x14ac:dyDescent="0.2">
      <c r="B90" s="372" t="s">
        <v>236</v>
      </c>
      <c r="C90" s="387">
        <f>C89*scaling_factor*Exchange_Rate/Common_Shares</f>
        <v>5.3463160049090704E-4</v>
      </c>
      <c r="D90" s="343" t="str">
        <f>Market_currency</f>
        <v>HKD</v>
      </c>
    </row>
    <row r="92" spans="1:6" x14ac:dyDescent="0.2">
      <c r="B92" s="372" t="s">
        <v>480</v>
      </c>
      <c r="C92" s="387">
        <f>DCF!F8</f>
        <v>1.7177049067824617</v>
      </c>
      <c r="D92" s="343" t="str">
        <f>Market_currency</f>
        <v>HKD</v>
      </c>
    </row>
    <row r="94" spans="1:6" ht="16" x14ac:dyDescent="0.25">
      <c r="A94" s="345" t="s">
        <v>482</v>
      </c>
      <c r="B94" s="345"/>
      <c r="C94" s="345"/>
      <c r="D94" s="345"/>
      <c r="E94" s="345"/>
      <c r="F94" s="345"/>
    </row>
    <row r="95" spans="1:6" x14ac:dyDescent="0.2">
      <c r="A95" s="385"/>
    </row>
    <row r="96" spans="1:6" x14ac:dyDescent="0.2">
      <c r="A96" s="385"/>
      <c r="B96" s="471" t="s">
        <v>513</v>
      </c>
      <c r="C96" s="471"/>
      <c r="D96" s="471"/>
      <c r="E96" s="471"/>
      <c r="F96" s="471"/>
    </row>
    <row r="97" spans="1:6" x14ac:dyDescent="0.2">
      <c r="A97" s="385"/>
      <c r="B97" s="472" t="s">
        <v>514</v>
      </c>
      <c r="C97" s="472"/>
      <c r="D97" s="472"/>
      <c r="E97" s="472"/>
      <c r="F97" s="472"/>
    </row>
    <row r="98" spans="1:6" x14ac:dyDescent="0.2">
      <c r="A98" s="385"/>
      <c r="B98" s="472" t="s">
        <v>515</v>
      </c>
      <c r="C98" s="472"/>
      <c r="D98" s="472"/>
      <c r="E98" s="472"/>
      <c r="F98" s="472"/>
    </row>
    <row r="99" spans="1:6" x14ac:dyDescent="0.2">
      <c r="A99" s="385"/>
    </row>
    <row r="100" spans="1:6" x14ac:dyDescent="0.2">
      <c r="A100" s="385"/>
      <c r="B100" s="369" t="s">
        <v>371</v>
      </c>
    </row>
    <row r="101" spans="1:6" x14ac:dyDescent="0.2">
      <c r="A101" s="385"/>
      <c r="B101" s="372" t="s">
        <v>212</v>
      </c>
      <c r="C101" s="368">
        <f>E25+C103</f>
        <v>7.2499999999999995E-2</v>
      </c>
    </row>
    <row r="102" spans="1:6" x14ac:dyDescent="0.2">
      <c r="A102" s="385"/>
      <c r="B102" s="382" t="s">
        <v>318</v>
      </c>
      <c r="C102" s="383">
        <f>E25</f>
        <v>7.2499999999999995E-2</v>
      </c>
    </row>
    <row r="103" spans="1:6" x14ac:dyDescent="0.2">
      <c r="A103" s="385"/>
      <c r="B103" s="382" t="s">
        <v>317</v>
      </c>
      <c r="C103" s="383">
        <f>IF(C15="Y",1%,0)+IF(C16="Y",1%,0)</f>
        <v>0</v>
      </c>
    </row>
    <row r="104" spans="1:6" x14ac:dyDescent="0.2">
      <c r="A104" s="385"/>
      <c r="B104" s="372" t="s">
        <v>534</v>
      </c>
      <c r="C104" s="368">
        <v>0</v>
      </c>
    </row>
    <row r="105" spans="1:6" x14ac:dyDescent="0.2">
      <c r="A105" s="385"/>
      <c r="C105" s="392"/>
    </row>
    <row r="106" spans="1:6" x14ac:dyDescent="0.2">
      <c r="A106" s="385"/>
      <c r="B106" s="393" t="s">
        <v>375</v>
      </c>
      <c r="C106" s="392"/>
    </row>
    <row r="107" spans="1:6" x14ac:dyDescent="0.2">
      <c r="A107" s="385"/>
      <c r="B107" s="471" t="s">
        <v>516</v>
      </c>
      <c r="C107" s="471"/>
      <c r="D107" s="471"/>
      <c r="E107" s="471"/>
      <c r="F107" s="471"/>
    </row>
    <row r="108" spans="1:6" x14ac:dyDescent="0.2">
      <c r="A108" s="385"/>
      <c r="B108" s="471" t="s">
        <v>535</v>
      </c>
      <c r="C108" s="471"/>
      <c r="D108" s="471"/>
      <c r="E108" s="471"/>
      <c r="F108" s="471"/>
    </row>
    <row r="109" spans="1:6" x14ac:dyDescent="0.2">
      <c r="A109" s="385"/>
    </row>
    <row r="110" spans="1:6" x14ac:dyDescent="0.2">
      <c r="A110" s="385"/>
      <c r="B110" s="369" t="s">
        <v>489</v>
      </c>
    </row>
    <row r="111" spans="1:6" x14ac:dyDescent="0.2">
      <c r="A111" s="385"/>
      <c r="B111" s="375" t="s">
        <v>486</v>
      </c>
      <c r="C111" s="394">
        <f>BS!D47</f>
        <v>1.2858702050147901</v>
      </c>
      <c r="D111" s="343" t="str">
        <f>Market_currency</f>
        <v>HKD</v>
      </c>
    </row>
    <row r="112" spans="1:6" x14ac:dyDescent="0.2">
      <c r="A112" s="385"/>
      <c r="B112" s="372" t="s">
        <v>377</v>
      </c>
      <c r="C112" s="394">
        <f>DCF!C11</f>
        <v>7.8534007127930785</v>
      </c>
      <c r="D112" s="343" t="str">
        <f>Market_currency</f>
        <v>HKD</v>
      </c>
    </row>
    <row r="113" spans="1:6" x14ac:dyDescent="0.2">
      <c r="A113" s="385"/>
    </row>
    <row r="114" spans="1:6" x14ac:dyDescent="0.2">
      <c r="A114" s="385"/>
      <c r="B114" s="471" t="s">
        <v>517</v>
      </c>
      <c r="C114" s="471"/>
      <c r="D114" s="471"/>
      <c r="E114" s="471"/>
      <c r="F114" s="471"/>
    </row>
    <row r="115" spans="1:6" x14ac:dyDescent="0.2">
      <c r="A115" s="385"/>
    </row>
    <row r="116" spans="1:6" x14ac:dyDescent="0.2">
      <c r="A116" s="385"/>
      <c r="B116" s="369" t="s">
        <v>490</v>
      </c>
    </row>
    <row r="117" spans="1:6" x14ac:dyDescent="0.2">
      <c r="A117" s="385"/>
      <c r="B117" s="342" t="s">
        <v>378</v>
      </c>
      <c r="C117" s="342" t="s">
        <v>379</v>
      </c>
      <c r="D117" s="342" t="s">
        <v>99</v>
      </c>
      <c r="E117" s="342" t="s">
        <v>380</v>
      </c>
      <c r="F117" s="342" t="s">
        <v>381</v>
      </c>
    </row>
    <row r="118" spans="1:6" x14ac:dyDescent="0.2">
      <c r="A118" s="385"/>
      <c r="B118" s="395" t="str">
        <f>DCF!B90</f>
        <v>Snowball Scenario</v>
      </c>
      <c r="C118" s="396">
        <f>DCF!C90</f>
        <v>0.05</v>
      </c>
      <c r="D118" s="397">
        <f>DCF!D90</f>
        <v>3</v>
      </c>
      <c r="E118" s="398" t="str">
        <f>ROUND(DCF!E90,2)&amp;" "&amp;Market_currency</f>
        <v>8.75 HKD</v>
      </c>
      <c r="F118" s="399">
        <f>DCF!F90</f>
        <v>0.05</v>
      </c>
    </row>
    <row r="119" spans="1:6" x14ac:dyDescent="0.2">
      <c r="A119" s="385"/>
      <c r="B119" s="400" t="str">
        <f>DCF!B91</f>
        <v>Optimistic</v>
      </c>
      <c r="C119" s="401">
        <f>DCF!C91</f>
        <v>0.02</v>
      </c>
      <c r="D119" s="402">
        <f>DCF!D91</f>
        <v>3</v>
      </c>
      <c r="E119" s="398" t="str">
        <f>ROUND(DCF!E91,2)&amp;" "&amp;Market_currency</f>
        <v>8.2 HKD</v>
      </c>
      <c r="F119" s="403">
        <f>DCF!F91</f>
        <v>0.15999999999999995</v>
      </c>
    </row>
    <row r="120" spans="1:6" x14ac:dyDescent="0.2">
      <c r="B120" s="400" t="str">
        <f>DCF!B92</f>
        <v>Base</v>
      </c>
      <c r="C120" s="401">
        <f>DCF!C92</f>
        <v>-0.05</v>
      </c>
      <c r="D120" s="402">
        <f>DCF!D92</f>
        <v>3</v>
      </c>
      <c r="E120" s="398" t="str">
        <f>ROUND(DCF!E92,2)&amp;" "&amp;Market_currency</f>
        <v>7.03 HKD</v>
      </c>
      <c r="F120" s="403">
        <f>DCF!F92</f>
        <v>0.44</v>
      </c>
    </row>
    <row r="121" spans="1:6" x14ac:dyDescent="0.2">
      <c r="B121" s="400" t="str">
        <f>DCF!B93</f>
        <v>Pessimistic</v>
      </c>
      <c r="C121" s="401">
        <f>DCF!C93</f>
        <v>-0.15</v>
      </c>
      <c r="D121" s="402">
        <f>DCF!D93</f>
        <v>3</v>
      </c>
      <c r="E121" s="398" t="str">
        <f>ROUND(DCF!E93,2)&amp;" "&amp;Market_currency</f>
        <v>5.63 HKD</v>
      </c>
      <c r="F121" s="403">
        <f>DCF!F93</f>
        <v>0.19999999999999998</v>
      </c>
    </row>
    <row r="122" spans="1:6" x14ac:dyDescent="0.2">
      <c r="B122" s="400" t="str">
        <f>DCF!B94</f>
        <v>Devil's advocate</v>
      </c>
      <c r="C122" s="401">
        <f>DCF!C94</f>
        <v>-0.3</v>
      </c>
      <c r="D122" s="402">
        <f>DCF!D94</f>
        <v>3</v>
      </c>
      <c r="E122" s="398" t="str">
        <f>ROUND(DCF!E94,2)&amp;" "&amp;Market_currency</f>
        <v>4.03 HKD</v>
      </c>
      <c r="F122" s="403">
        <f>DCF!F94</f>
        <v>0.15</v>
      </c>
    </row>
    <row r="124" spans="1:6" x14ac:dyDescent="0.2">
      <c r="B124" s="470" t="s">
        <v>518</v>
      </c>
      <c r="C124" s="470"/>
      <c r="D124" s="470"/>
      <c r="E124" s="470"/>
      <c r="F124" s="470"/>
    </row>
    <row r="125" spans="1:6" x14ac:dyDescent="0.2">
      <c r="B125" s="372" t="s">
        <v>218</v>
      </c>
      <c r="C125" s="404">
        <f>Scenarios!C36</f>
        <v>6.5745549564240156</v>
      </c>
      <c r="D125" s="343" t="str">
        <f>Market_currency</f>
        <v>HKD</v>
      </c>
    </row>
    <row r="127" spans="1:6" x14ac:dyDescent="0.2">
      <c r="B127" s="475" t="s">
        <v>519</v>
      </c>
      <c r="C127" s="475"/>
      <c r="D127" s="475"/>
      <c r="E127" s="475"/>
      <c r="F127" s="475"/>
    </row>
    <row r="129" spans="1:6" ht="16" x14ac:dyDescent="0.25">
      <c r="A129" s="345" t="s">
        <v>492</v>
      </c>
      <c r="B129" s="345"/>
      <c r="C129" s="345"/>
      <c r="D129" s="345"/>
      <c r="E129" s="345"/>
      <c r="F129" s="345"/>
    </row>
    <row r="131" spans="1:6" x14ac:dyDescent="0.2">
      <c r="B131" s="476" t="s">
        <v>520</v>
      </c>
      <c r="C131" s="476"/>
      <c r="D131" s="476"/>
      <c r="E131" s="476"/>
      <c r="F131" s="476"/>
    </row>
    <row r="132" spans="1:6" ht="24.5" customHeight="1" x14ac:dyDescent="0.2">
      <c r="B132" s="471" t="s">
        <v>521</v>
      </c>
      <c r="C132" s="471"/>
      <c r="D132" s="471"/>
      <c r="E132" s="471"/>
      <c r="F132" s="471"/>
    </row>
    <row r="134" spans="1:6" x14ac:dyDescent="0.2">
      <c r="B134" s="369" t="s">
        <v>371</v>
      </c>
    </row>
    <row r="135" spans="1:6" x14ac:dyDescent="0.2">
      <c r="B135" s="343" t="s">
        <v>382</v>
      </c>
      <c r="C135" s="405">
        <f>E21</f>
        <v>3</v>
      </c>
    </row>
    <row r="136" spans="1:6" x14ac:dyDescent="0.2">
      <c r="B136" s="343" t="s">
        <v>383</v>
      </c>
      <c r="C136" s="406">
        <f>Scenarios!C58</f>
        <v>0.24179999999999999</v>
      </c>
      <c r="D136" s="343" t="str">
        <f>Market_currency</f>
        <v>HKD</v>
      </c>
    </row>
    <row r="138" spans="1:6" x14ac:dyDescent="0.2">
      <c r="B138" s="369" t="s">
        <v>493</v>
      </c>
      <c r="C138" s="407"/>
      <c r="D138" s="407"/>
    </row>
    <row r="139" spans="1:6" x14ac:dyDescent="0.2">
      <c r="B139" s="340" t="s">
        <v>462</v>
      </c>
      <c r="C139" s="340" t="str">
        <f>"PV("&amp;Holding_Period&amp;" yrs of Dividends)"</f>
        <v>PV(3 yrs of Dividends)</v>
      </c>
      <c r="D139" s="340" t="s">
        <v>471</v>
      </c>
      <c r="E139" s="341" t="str">
        <f>"Buy below ("&amp;Market_currency&amp;")"</f>
        <v>Buy below (HKD)</v>
      </c>
      <c r="F139" s="341" t="s">
        <v>495</v>
      </c>
    </row>
    <row r="140" spans="1:6" x14ac:dyDescent="0.2">
      <c r="B140" s="408" t="s">
        <v>312</v>
      </c>
      <c r="C140" s="409">
        <f>Scenarios!C62</f>
        <v>0.44245811110342687</v>
      </c>
      <c r="D140" s="409">
        <f>Scenarios!D62</f>
        <v>3.029748827845169</v>
      </c>
      <c r="E140" s="410">
        <f>Scenarios!E62</f>
        <v>3.4722069389485957</v>
      </c>
      <c r="F140" s="411">
        <f>E22</f>
        <v>0.29465259038036606</v>
      </c>
    </row>
    <row r="141" spans="1:6" x14ac:dyDescent="0.2">
      <c r="B141" s="408" t="s">
        <v>313</v>
      </c>
      <c r="C141" s="409">
        <f>Scenarios!C63</f>
        <v>0.50874815444966315</v>
      </c>
      <c r="D141" s="409">
        <f>Scenarios!D63</f>
        <v>3.7975768701366168</v>
      </c>
      <c r="E141" s="410">
        <f>Scenarios!E63</f>
        <v>4.3063250245862799</v>
      </c>
      <c r="F141" s="411">
        <f>Scenarios!F63</f>
        <v>0.20075184365903009</v>
      </c>
    </row>
    <row r="143" spans="1:6" x14ac:dyDescent="0.2">
      <c r="B143" s="340" t="s">
        <v>463</v>
      </c>
      <c r="C143" s="340" t="str">
        <f>"PV("&amp;Holding_Period&amp;" yrs of Dividends)"</f>
        <v>PV(3 yrs of Dividends)</v>
      </c>
      <c r="D143" s="340" t="s">
        <v>471</v>
      </c>
      <c r="E143" s="341" t="str">
        <f>"Sell above ("&amp;Market_currency&amp;")"</f>
        <v>Sell above (HKD)</v>
      </c>
      <c r="F143" s="341" t="s">
        <v>495</v>
      </c>
    </row>
    <row r="144" spans="1:6" x14ac:dyDescent="0.2">
      <c r="B144" s="408" t="s">
        <v>315</v>
      </c>
      <c r="C144" s="409">
        <f>Scenarios!C66</f>
        <v>0.58336743585196538</v>
      </c>
      <c r="D144" s="409">
        <f>Scenarios!D66</f>
        <v>4.7123805944638955</v>
      </c>
      <c r="E144" s="410">
        <f>Scenarios!E66</f>
        <v>5.2957480303158606</v>
      </c>
      <c r="F144" s="411">
        <f>E24</f>
        <v>0.1174</v>
      </c>
    </row>
    <row r="145" spans="1:6" x14ac:dyDescent="0.2">
      <c r="B145" s="408" t="s">
        <v>314</v>
      </c>
      <c r="C145" s="409">
        <f>Scenarios!C67</f>
        <v>0.63167232993043521</v>
      </c>
      <c r="D145" s="409">
        <f>Scenarios!D67</f>
        <v>5.3293526303299146</v>
      </c>
      <c r="E145" s="410">
        <f>Scenarios!E67</f>
        <v>5.9610249602603496</v>
      </c>
      <c r="F145" s="411">
        <f>Scenarios!F67</f>
        <v>7.2499999999999995E-2</v>
      </c>
    </row>
    <row r="147" spans="1:6" ht="16" x14ac:dyDescent="0.25">
      <c r="A147" s="345" t="s">
        <v>475</v>
      </c>
      <c r="B147" s="345"/>
      <c r="C147" s="345"/>
      <c r="D147" s="345"/>
      <c r="E147" s="345"/>
      <c r="F147" s="345"/>
    </row>
    <row r="149" spans="1:6" x14ac:dyDescent="0.2">
      <c r="B149" s="477" t="s">
        <v>522</v>
      </c>
      <c r="C149" s="471"/>
      <c r="D149" s="471"/>
      <c r="E149" s="471"/>
      <c r="F149" s="471"/>
    </row>
    <row r="151" spans="1:6" x14ac:dyDescent="0.2">
      <c r="B151" s="369" t="s">
        <v>384</v>
      </c>
    </row>
    <row r="152" spans="1:6" x14ac:dyDescent="0.2">
      <c r="B152" s="473" t="s">
        <v>523</v>
      </c>
      <c r="C152" s="473"/>
      <c r="D152" s="473"/>
      <c r="E152" s="473"/>
      <c r="F152" s="473"/>
    </row>
    <row r="153" spans="1:6" x14ac:dyDescent="0.2">
      <c r="B153" s="412" t="s">
        <v>385</v>
      </c>
    </row>
    <row r="154" spans="1:6" x14ac:dyDescent="0.2">
      <c r="B154" s="412" t="s">
        <v>386</v>
      </c>
    </row>
    <row r="155" spans="1:6" x14ac:dyDescent="0.2">
      <c r="B155" s="412" t="s">
        <v>387</v>
      </c>
    </row>
    <row r="157" spans="1:6" x14ac:dyDescent="0.2">
      <c r="B157" s="343" t="s">
        <v>524</v>
      </c>
    </row>
    <row r="158" spans="1:6" ht="24.5" customHeight="1" x14ac:dyDescent="0.2">
      <c r="B158" s="470" t="s">
        <v>439</v>
      </c>
      <c r="C158" s="470"/>
      <c r="D158" s="470"/>
      <c r="E158" s="470"/>
      <c r="F158" s="470"/>
    </row>
    <row r="160" spans="1:6" x14ac:dyDescent="0.2">
      <c r="B160" s="343" t="s">
        <v>525</v>
      </c>
    </row>
    <row r="161" spans="2:6" x14ac:dyDescent="0.2">
      <c r="B161" s="474" t="s">
        <v>388</v>
      </c>
      <c r="C161" s="474"/>
      <c r="D161" s="474"/>
      <c r="E161" s="474"/>
      <c r="F161" s="474"/>
    </row>
    <row r="162" spans="2:6" x14ac:dyDescent="0.2">
      <c r="B162" s="474" t="s">
        <v>389</v>
      </c>
      <c r="C162" s="474"/>
      <c r="D162" s="474"/>
      <c r="E162" s="474"/>
      <c r="F162" s="474"/>
    </row>
    <row r="164" spans="2:6" x14ac:dyDescent="0.2">
      <c r="B164" s="343" t="s">
        <v>526</v>
      </c>
    </row>
    <row r="165" spans="2:6" x14ac:dyDescent="0.2">
      <c r="B165" s="412" t="s">
        <v>390</v>
      </c>
    </row>
    <row r="166" spans="2:6" x14ac:dyDescent="0.2">
      <c r="B166" s="412" t="s">
        <v>391</v>
      </c>
    </row>
    <row r="167" spans="2:6" x14ac:dyDescent="0.2">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2025-09-30T13:21:48Z</cp:lastPrinted>
  <dcterms:created xsi:type="dcterms:W3CDTF">2022-08-10T03:52:42Z</dcterms:created>
  <dcterms:modified xsi:type="dcterms:W3CDTF">2026-02-21T10:11:59Z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