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20B7B9-6B53-4B03-81F8-33D34539420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I4" i="8"/>
  <c r="C17" i="2"/>
  <c r="C23" i="2"/>
  <c r="C107" i="2"/>
  <c r="C24" i="2"/>
  <c r="C109" i="2"/>
  <c r="C108" i="2"/>
  <c r="C95" i="2"/>
  <c r="C81" i="2"/>
  <c r="C82" i="2" s="1"/>
  <c r="C38" i="2"/>
  <c r="C73" i="2"/>
  <c r="C75" i="2"/>
  <c r="D55" i="3"/>
  <c r="G29" i="3"/>
  <c r="D62" i="3" s="1"/>
  <c r="C55" i="12" l="1"/>
  <c r="C55" i="6"/>
  <c r="C26" i="2"/>
  <c r="C16" i="2"/>
  <c r="D51" i="3"/>
  <c r="C46" i="3"/>
  <c r="C47" i="3" s="1"/>
  <c r="C62" i="3"/>
  <c r="C38" i="12" l="1"/>
  <c r="C38" i="6"/>
  <c r="C18" i="8"/>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<sst xmlns="http://schemas.openxmlformats.org/spreadsheetml/2006/main" count="768" uniqueCount="558">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</sst>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3.97</v>
      </c>
      <c r="E8" s="32"/>
    </row>
    <row r="9" spans="1:9">
      <c r="B9" s="4" t="s">
        <v>346</v>
      </c>
      <c r="C9" s="48">
        <v>9065251704</v>
      </c>
    </row>
    <row r="10" spans="1:9">
      <c r="B10" s="4" t="s">
        <v>352</v>
      </c>
      <c r="C10" s="33">
        <f>Thesis!C8*Common_Shares/1000000</f>
        <v>35989.049264880006</v>
      </c>
      <c r="D10" s="1" t="s">
        <v>527</v>
      </c>
      <c r="E10" s="303">
        <f>Scenarios!F34</f>
        <v>0.23118209888184363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v>
      </c>
      <c r="D17" s="4" t="s">
        <v>274</v>
      </c>
      <c r="E17" s="224" t="s">
        <v>557</v>
      </c>
    </row>
    <row r="18" spans="1:6">
      <c r="B18" s="1" t="str">
        <f>"Expected Equity Value ("&amp;C7&amp;") :"</f>
        <v>Expected Equity Value (HKD) :</v>
      </c>
      <c r="C18" s="252">
        <f>C125</f>
        <v>6.5029397450003543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3.439204537370872</v>
      </c>
      <c r="D22" s="38" t="s">
        <v>406</v>
      </c>
      <c r="E22" s="79">
        <v>0.29465259038036606</v>
      </c>
    </row>
    <row r="23" spans="1:6">
      <c r="B23" s="1" t="s">
        <v>313</v>
      </c>
      <c r="C23" s="256">
        <f>E141</f>
        <v>4.2649588374823608</v>
      </c>
      <c r="D23" s="38" t="s">
        <v>407</v>
      </c>
      <c r="E23" s="443">
        <v>0.20075184365903009</v>
      </c>
    </row>
    <row r="24" spans="1:6">
      <c r="B24" s="1" t="s">
        <v>315</v>
      </c>
      <c r="C24" s="256">
        <f>E144</f>
        <v>5.2444170832299992</v>
      </c>
      <c r="D24" s="38" t="s">
        <v>408</v>
      </c>
      <c r="E24" s="443">
        <v>0.1174</v>
      </c>
    </row>
    <row r="25" spans="1:6">
      <c r="B25" s="1" t="s">
        <v>314</v>
      </c>
      <c r="C25" s="256">
        <f>E145</f>
        <v>5.9029734696420535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0.11082932543547783</v>
      </c>
      <c r="F62" s="257"/>
    </row>
    <row r="63" spans="2:6">
      <c r="B63" s="204" t="s">
        <v>332</v>
      </c>
      <c r="C63" s="89">
        <f>Normalized_FCF!C92</f>
        <v>6.0906801007556667E-2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-0.10433098580143965</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1.802796494938764</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5.2880797359042525E-4</v>
      </c>
      <c r="D90" s="1" t="str">
        <f>Market_currency</f>
        <v>HKD</v>
      </c>
    </row>
    <row r="91" spans="1:6">
      <c r="A91" s="191"/>
    </row>
    <row r="92" spans="1:6">
      <c r="A92" s="191"/>
      <c r="B92" s="44" t="s">
        <v>469</v>
      </c>
      <c r="C92" s="216">
        <f>DCF!F8</f>
        <v>1.6989943171109148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1.2718634977614662</v>
      </c>
      <c r="D111" s="1" t="str">
        <f>Market_currency</f>
        <v>HKD</v>
      </c>
    </row>
    <row r="112" spans="2:6">
      <c r="B112" s="44" t="s">
        <v>323</v>
      </c>
      <c r="C112" s="216">
        <f>DCF!C11</f>
        <v>7.7678553099225978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-6.0293186871907878E-2</v>
      </c>
    </row>
    <row r="119" spans="2:6">
      <c r="B119" s="205" t="str">
        <f>DCF!B91&amp;" ("&amp;DCF!D91&amp;"yrs)"</f>
        <v>Optimistic (3yrs)</v>
      </c>
      <c r="C119" s="198">
        <f>DCF!C91</f>
        <v>0.02</v>
      </c>
      <c r="D119" s="207" t="str">
        <f>ROUND(DCF!E91,2)&amp;" "&amp;Market_currency</f>
        <v>8.11 HKD</v>
      </c>
      <c r="E119" s="199">
        <f>DCF!F91</f>
        <v>0.15999999999999995</v>
      </c>
      <c r="F119" s="208">
        <f>RATE(Holding_Period,Scenarios!C$58,-DCF!E91,C$18)</f>
        <v>-3.9054659751638486E-2</v>
      </c>
    </row>
    <row r="120" spans="2:6">
      <c r="B120" s="205" t="str">
        <f>DCF!B92&amp;" ("&amp;DCF!D92&amp;"yrs)"</f>
        <v>Base (3yrs)</v>
      </c>
      <c r="C120" s="198">
        <f>DCF!C92</f>
        <v>-0.05</v>
      </c>
      <c r="D120" s="207" t="str">
        <f>ROUND(DCF!E92,2)&amp;" "&amp;Market_currency</f>
        <v>6.96 HKD</v>
      </c>
      <c r="E120" s="199">
        <f>DCF!F92</f>
        <v>0.44</v>
      </c>
      <c r="F120" s="208">
        <f>RATE(Holding_Period,Scenarios!C$58,-DCF!E92,C$18)</f>
        <v>1.3259966670972205E-2</v>
      </c>
    </row>
    <row r="121" spans="2:6">
      <c r="B121" s="205" t="str">
        <f>DCF!B93&amp;" ("&amp;DCF!D93&amp;"yrs)"</f>
        <v>Pessimistic (3yrs)</v>
      </c>
      <c r="C121" s="198">
        <f>DCF!C93</f>
        <v>-0.15</v>
      </c>
      <c r="D121" s="207" t="str">
        <f>ROUND(DCF!E93,2)&amp;" "&amp;Market_currency</f>
        <v>5.56 HKD</v>
      </c>
      <c r="E121" s="199">
        <f>DCF!F93</f>
        <v>0.19999999999999998</v>
      </c>
      <c r="F121" s="208">
        <f>RATE(Holding_Period,Scenarios!C$58,-DCF!E93,C$18)</f>
        <v>9.4685134753208333E-2</v>
      </c>
    </row>
    <row r="122" spans="2:6">
      <c r="B122" s="205" t="str">
        <f>DCF!B94&amp;" ("&amp;DCF!D94&amp;"yrs)"</f>
        <v>Devil's advocate (3yrs)</v>
      </c>
      <c r="C122" s="198">
        <f>DCF!C94</f>
        <v>-0.3</v>
      </c>
      <c r="D122" s="207" t="str">
        <f>ROUND(DCF!E94,2)&amp;" "&amp;Market_currency</f>
        <v>3.98 HKD</v>
      </c>
      <c r="E122" s="199">
        <f>DCF!F94</f>
        <v>0.15</v>
      </c>
      <c r="F122" s="208">
        <f>RATE(Holding_Period,Scenarios!C$58,-DCF!E94,C$18)</f>
        <v>0.22974339928937021</v>
      </c>
    </row>
    <row r="124" spans="2:6">
      <c r="B124" s="463" t="s">
        <v>357</v>
      </c>
      <c r="C124" s="463"/>
      <c r="D124" s="463"/>
      <c r="E124" s="463"/>
      <c r="F124" s="463"/>
    </row>
    <row r="125" spans="2:6">
      <c r="B125" s="193" t="s">
        <v>218</v>
      </c>
      <c r="C125" s="197">
        <f>Scenarios!C36</f>
        <v>6.5029397450003543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2.9967464262674453</v>
      </c>
      <c r="E140" s="334">
        <f>Scenarios!E62</f>
        <v>3.439204537370872</v>
      </c>
      <c r="F140" s="335">
        <f>E22</f>
        <v>0.29465259038036606</v>
      </c>
    </row>
    <row r="141" spans="1:6">
      <c r="B141" s="336" t="s">
        <v>313</v>
      </c>
      <c r="C141" s="333">
        <f>Scenarios!C63</f>
        <v>0.50874815444966315</v>
      </c>
      <c r="D141" s="333">
        <f>Scenarios!D63</f>
        <v>3.7562106830326973</v>
      </c>
      <c r="E141" s="334">
        <f>Scenarios!E63</f>
        <v>4.2649588374823608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4.6610496473780341</v>
      </c>
      <c r="E144" s="334">
        <f>Scenarios!E66</f>
        <v>5.2444170832299992</v>
      </c>
      <c r="F144" s="335">
        <f>E24</f>
        <v>0.1174</v>
      </c>
    </row>
    <row r="145" spans="1:6">
      <c r="B145" s="336" t="s">
        <v>314</v>
      </c>
      <c r="C145" s="333">
        <f>Scenarios!C67</f>
        <v>0.63167232993043521</v>
      </c>
      <c r="D145" s="333">
        <f>Scenarios!D67</f>
        <v>5.2713011397116185</v>
      </c>
      <c r="E145" s="334">
        <f>Scenarios!E67</f>
        <v>5.9029734696420535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3.1620496889032168</v>
      </c>
      <c r="D47" s="134">
        <f>D46*H1/Common_Shares*Exchange_Rate</f>
        <v>1.2718634977614662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-945786.6468165007</v>
      </c>
      <c r="D86" s="201">
        <f>C86*scaling_factor/Common_Shares</f>
        <v>-0.10433098580143965</v>
      </c>
      <c r="E86" s="214" t="str">
        <f>Market_currency</f>
        <v>HKD</v>
      </c>
    </row>
    <row r="87" spans="2:8" ht="15" customHeight="1">
      <c r="B87" s="212" t="s">
        <v>240</v>
      </c>
      <c r="C87" s="73">
        <f>DCF!F5*Exchange_Rate</f>
        <v>16342803.997708857</v>
      </c>
      <c r="D87" s="201">
        <f>C87*scaling_factor/Common_Shares</f>
        <v>1.8027964949387638</v>
      </c>
      <c r="E87" s="214" t="str">
        <f>Market_currency</f>
        <v>HKD</v>
      </c>
    </row>
    <row r="88" spans="2:8" ht="15" customHeight="1">
      <c r="B88" s="213" t="s">
        <v>159</v>
      </c>
      <c r="C88" s="73">
        <f>DCF!F6*Exchange_Rate</f>
        <v>4793.7773836793895</v>
      </c>
      <c r="D88" s="201">
        <f>C88*scaling_factor/Common_Shares</f>
        <v>5.2880797359042525E-4</v>
      </c>
      <c r="E88" s="214" t="str">
        <f>Market_currency</f>
        <v>HKD</v>
      </c>
    </row>
    <row r="89" spans="2:8" ht="15" customHeight="1">
      <c r="B89" s="77" t="s">
        <v>244</v>
      </c>
      <c r="C89" s="162">
        <f>SUM(C86:C88)</f>
        <v>15401811.128276035</v>
      </c>
      <c r="D89" s="216">
        <f>SUM(D86:D88)</f>
        <v>1.6989943171109145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6.0906801007556667E-2</v>
      </c>
      <c r="E92" s="237"/>
      <c r="G92" s="22">
        <f t="shared" ref="G92:Q92" si="38">IF(G$4="","",(G88*(1-dividend_tax_rate))/Market_Price)</f>
        <v>8.2216624685138545E-2</v>
      </c>
      <c r="H92" s="22">
        <f t="shared" si="38"/>
        <v>7.1360201511335014E-2</v>
      </c>
      <c r="I92" s="22">
        <f t="shared" si="38"/>
        <v>7.1838790931989929E-2</v>
      </c>
      <c r="J92" s="22">
        <f t="shared" si="38"/>
        <v>0.11853904282115869</v>
      </c>
      <c r="K92" s="22">
        <f t="shared" si="38"/>
        <v>7.4584382871536528E-2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237"/>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8">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0.43999242197884703</v>
      </c>
      <c r="D123" s="26"/>
      <c r="E123" s="234"/>
      <c r="F123" s="26"/>
      <c r="G123" s="159">
        <f t="shared" ref="G123:Q123" si="48">IF(G$4="","",G14*$C$3/Common_Shares*Exchange_Rate)</f>
        <v>0.36038371627737947</v>
      </c>
      <c r="H123" s="159">
        <f t="shared" si="48"/>
        <v>0.32381734437629639</v>
      </c>
      <c r="I123" s="159">
        <f t="shared" si="48"/>
        <v>0.50599885469406258</v>
      </c>
      <c r="J123" s="159">
        <f t="shared" si="48"/>
        <v>0.64502460692528907</v>
      </c>
      <c r="K123" s="159">
        <f t="shared" si="48"/>
        <v>0.56005073391850435</v>
      </c>
      <c r="L123" s="159">
        <f t="shared" si="48"/>
        <v>0.37380636823410895</v>
      </c>
      <c r="M123" s="159">
        <f t="shared" si="48"/>
        <v>0.2188441487623537</v>
      </c>
      <c r="N123" s="159">
        <f t="shared" si="48"/>
        <v>9.6127362874229239E-2</v>
      </c>
      <c r="O123" s="159">
        <f t="shared" si="48"/>
        <v>2.6917474096274336E-2</v>
      </c>
      <c r="P123" s="159" t="str">
        <f t="shared" si="48"/>
        <v/>
      </c>
      <c r="Q123" s="159" t="str">
        <f t="shared" si="48"/>
        <v/>
      </c>
    </row>
    <row r="124" spans="1:17" ht="15.75" customHeight="1">
      <c r="A124" s="10"/>
      <c r="B124" s="26" t="s">
        <v>226</v>
      </c>
      <c r="C124" s="74">
        <f>C19*Exchange_Rate*$C$3/(Market_Price*Common_Shares)</f>
        <v>0.11082932543547783</v>
      </c>
      <c r="D124" s="26"/>
      <c r="E124" s="234"/>
      <c r="F124" s="26"/>
      <c r="G124" s="74">
        <f t="shared" ref="G124" si="49">IF(G$4="","",G123/Market_Price)</f>
        <v>9.0776754729818498E-2</v>
      </c>
      <c r="H124" s="74">
        <f t="shared" ref="H124" si="50">IF(H$4="","",H123/Market_Price)</f>
        <v>8.1566081706875668E-2</v>
      </c>
      <c r="I124" s="74">
        <f t="shared" ref="I124" si="51">IF(I$4="","",I123/Market_Price)</f>
        <v>0.12745563090530543</v>
      </c>
      <c r="J124" s="74">
        <f t="shared" ref="J124" si="52">IF(J$4="","",J123/Market_Price)</f>
        <v>0.1624747120718612</v>
      </c>
      <c r="K124" s="74">
        <f t="shared" ref="K124" si="53">IF(K$4="","",K123/Market_Price)</f>
        <v>0.14107071383337641</v>
      </c>
      <c r="L124" s="74">
        <f t="shared" ref="L124" si="54">IF(L$4="","",L123/Market_Price)</f>
        <v>9.4157775373830965E-2</v>
      </c>
      <c r="M124" s="74">
        <f t="shared" ref="M124" si="55">IF(M$4="","",M123/Market_Price)</f>
        <v>5.512447072099589E-2</v>
      </c>
      <c r="N124" s="74">
        <f t="shared" ref="N124" si="56">IF(N$4="","",N123/Market_Price)</f>
        <v>2.4213441530032551E-2</v>
      </c>
      <c r="O124" s="74">
        <f t="shared" ref="O124" si="57">IF(O$4="","",O123/Market_Price)</f>
        <v>6.7802201753839634E-3</v>
      </c>
      <c r="P124" s="74" t="str">
        <f t="shared" ref="P124" si="58">IF(P$4="","",P123/Market_Price)</f>
        <v/>
      </c>
      <c r="Q124" s="74" t="str">
        <f t="shared" ref="Q124" si="59">IF(Q$4="","",Q123/Market_Price)</f>
        <v/>
      </c>
    </row>
    <row r="125" spans="1:17" ht="15.75" customHeight="1">
      <c r="B125" s="2" t="s">
        <v>306</v>
      </c>
      <c r="C125" s="151"/>
      <c r="G125" s="22">
        <f>IF(G$4="","",(Data!C47*$C$3)/(Market_Price*Common_Shares))</f>
        <v>0.10153421873152624</v>
      </c>
      <c r="H125" s="22">
        <f>IF(H$4="","",(Data!D47*$C$3)/(Market_Price*Common_Shares))</f>
        <v>9.1426477420477381E-2</v>
      </c>
      <c r="I125" s="22">
        <f>IF(I$4="","",(Data!E47*$C$3)/(Market_Price*Common_Shares))</f>
        <v>0.13748921133153191</v>
      </c>
      <c r="J125" s="22">
        <f>IF(J$4="","",(Data!F47*$C$3)/(Market_Price*Common_Shares))</f>
        <v>0.19213889061381559</v>
      </c>
      <c r="K125" s="22">
        <f>IF(K$4="","",(Data!G47*$C$3)/(Market_Price*Common_Shares))</f>
        <v>0.20663596710394497</v>
      </c>
      <c r="L125" s="22">
        <f>IF(L$4="","",(Data!H47*$C$3)/(Market_Price*Common_Shares))</f>
        <v>0.10932706143586754</v>
      </c>
      <c r="M125" s="22">
        <f>IF(M$4="","",(Data!I47*$C$3)/(Market_Price*Common_Shares))</f>
        <v>6.2303785340284294E-2</v>
      </c>
      <c r="N125" s="22">
        <f>IF(N$4="","",(Data!J47*$C$3)/(Market_Price*Common_Shares))</f>
        <v>3.223830647652616E-2</v>
      </c>
      <c r="O125" s="22">
        <f>IF(O$4="","",(Data!K47*$C$3)/(Market_Price*Common_Shares))</f>
        <v>1.1285432882950435E-2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1.6989943171109148</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70417563.584701285</v>
      </c>
      <c r="D10" t="str">
        <f>Market_currency</f>
        <v>HKD</v>
      </c>
      <c r="H10" s="308" t="s">
        <v>397</v>
      </c>
      <c r="I10" s="306">
        <f>Normalized_FCF!C41</f>
        <v>0.25</v>
      </c>
      <c r="N10" s="304"/>
      <c r="O10" s="304"/>
    </row>
    <row r="11" spans="2:15" ht="13.15">
      <c r="B11" s="136" t="s">
        <v>425</v>
      </c>
      <c r="C11" s="108">
        <f>(C10*scaling_factor)/Common_Shares</f>
        <v>7.7678553099225978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8.0899930770698383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7.7678553099225978</v>
      </c>
      <c r="C73" s="119">
        <f>C11</f>
        <v>7.7678553099225978</v>
      </c>
      <c r="D73" s="119">
        <f>C11</f>
        <v>7.7678553099225978</v>
      </c>
      <c r="E73" s="119">
        <f>C11</f>
        <v>7.7678553099225978</v>
      </c>
      <c r="F73" s="119">
        <f>C11</f>
        <v>7.7678553099225978</v>
      </c>
      <c r="G73" s="296"/>
      <c r="H73" s="296"/>
      <c r="I73" s="296"/>
      <c r="J73" s="296"/>
      <c r="K73" s="296"/>
      <c r="L73" s="296"/>
    </row>
    <row r="74" spans="1:21" ht="13.15">
      <c r="A74" s="131">
        <v>1</v>
      </c>
      <c r="B74" s="119">
        <f t="shared" ref="B74:F87" si="11">(B56+FV_adjustments)/Common_Shares*scaling_factor*Exchange_Rate</f>
        <v>5.9471970120790933</v>
      </c>
      <c r="C74" s="119">
        <f t="shared" si="11"/>
        <v>6.8575261610008438</v>
      </c>
      <c r="D74" s="119">
        <f t="shared" si="11"/>
        <v>7.464412260282014</v>
      </c>
      <c r="E74" s="119">
        <f t="shared" si="11"/>
        <v>7.889232529778833</v>
      </c>
      <c r="F74" s="119">
        <f t="shared" si="11"/>
        <v>8.0712983595631815</v>
      </c>
      <c r="G74" s="296"/>
      <c r="H74" s="296"/>
      <c r="I74" s="296"/>
      <c r="J74" s="296"/>
      <c r="K74" s="296"/>
      <c r="L74" s="296"/>
    </row>
    <row r="75" spans="1:21" ht="13.15">
      <c r="A75" s="131">
        <v>2</v>
      </c>
      <c r="B75" s="119">
        <f t="shared" si="11"/>
        <v>4.7588885659341482</v>
      </c>
      <c r="C75" s="119">
        <f t="shared" si="11"/>
        <v>6.1360531758414147</v>
      </c>
      <c r="D75" s="119">
        <f t="shared" si="11"/>
        <v>7.1956282069873225</v>
      </c>
      <c r="E75" s="119">
        <f t="shared" si="11"/>
        <v>8.0046682074043414</v>
      </c>
      <c r="F75" s="119">
        <f t="shared" si="11"/>
        <v>8.3683754710994194</v>
      </c>
      <c r="G75" s="296"/>
      <c r="H75" s="296"/>
      <c r="I75" s="296"/>
      <c r="J75" s="296"/>
      <c r="K75" s="296"/>
      <c r="L75" s="296"/>
    </row>
    <row r="76" spans="1:21" ht="13.15">
      <c r="A76" s="131">
        <v>3</v>
      </c>
      <c r="B76" s="119">
        <f t="shared" si="11"/>
        <v>3.9833026337183326</v>
      </c>
      <c r="C76" s="119">
        <f t="shared" si="11"/>
        <v>5.5642564043863869</v>
      </c>
      <c r="D76" s="119">
        <f t="shared" si="11"/>
        <v>6.957544430176176</v>
      </c>
      <c r="E76" s="119">
        <f t="shared" si="11"/>
        <v>8.114453187523706</v>
      </c>
      <c r="F76" s="119">
        <f t="shared" si="11"/>
        <v>8.6592201956803496</v>
      </c>
      <c r="G76" s="296"/>
      <c r="H76" s="296"/>
      <c r="I76" s="296"/>
      <c r="J76" s="296"/>
      <c r="K76" s="296"/>
      <c r="L76" s="296"/>
    </row>
    <row r="77" spans="1:21" ht="13.15">
      <c r="A77" s="131">
        <v>4</v>
      </c>
      <c r="B77" s="119">
        <f t="shared" si="11"/>
        <v>3.4770927012697825</v>
      </c>
      <c r="C77" s="119">
        <f t="shared" si="11"/>
        <v>5.1110841379651539</v>
      </c>
      <c r="D77" s="119">
        <f t="shared" si="11"/>
        <v>6.7466543714623395</v>
      </c>
      <c r="E77" s="119">
        <f t="shared" si="11"/>
        <v>8.218864077707158</v>
      </c>
      <c r="F77" s="119">
        <f t="shared" si="11"/>
        <v>8.9439632826826578</v>
      </c>
      <c r="G77" s="296"/>
      <c r="H77" s="296"/>
      <c r="I77" s="296"/>
      <c r="J77" s="296"/>
      <c r="K77" s="296"/>
      <c r="L77" s="296"/>
    </row>
    <row r="78" spans="1:21" ht="13.15">
      <c r="A78" s="131">
        <v>5</v>
      </c>
      <c r="B78" s="119">
        <f t="shared" si="11"/>
        <v>3.1466992721658329</v>
      </c>
      <c r="C78" s="119">
        <f t="shared" si="11"/>
        <v>4.7519266307781631</v>
      </c>
      <c r="D78" s="119">
        <f t="shared" si="11"/>
        <v>6.5598519884524142</v>
      </c>
      <c r="E78" s="119">
        <f t="shared" si="11"/>
        <v>8.3181639452942182</v>
      </c>
      <c r="F78" s="119">
        <f t="shared" si="11"/>
        <v>9.222732738489114</v>
      </c>
      <c r="G78" s="296"/>
      <c r="H78" s="296"/>
      <c r="I78" s="296"/>
      <c r="J78" s="296"/>
      <c r="K78" s="296"/>
      <c r="L78" s="296"/>
    </row>
    <row r="79" spans="1:21" ht="13.15">
      <c r="A79" s="131">
        <v>6</v>
      </c>
      <c r="B79" s="119">
        <f t="shared" si="11"/>
        <v>2.9310578732168695</v>
      </c>
      <c r="C79" s="119">
        <f t="shared" si="11"/>
        <v>4.4672796553852088</v>
      </c>
      <c r="D79" s="119">
        <f t="shared" si="11"/>
        <v>6.3943860081639023</v>
      </c>
      <c r="E79" s="119">
        <f t="shared" si="11"/>
        <v>8.4126029802021911</v>
      </c>
      <c r="F79" s="119">
        <f t="shared" si="11"/>
        <v>9.4956538840338993</v>
      </c>
      <c r="G79" s="296"/>
      <c r="H79" s="296"/>
      <c r="I79" s="296"/>
      <c r="J79" s="296"/>
      <c r="K79" s="296"/>
      <c r="L79" s="296"/>
    </row>
    <row r="80" spans="1:21" ht="13.15">
      <c r="A80" s="131">
        <f t="shared" ref="A80" si="12">A62</f>
        <v>7</v>
      </c>
      <c r="B80" s="119">
        <f t="shared" si="11"/>
        <v>2.7903129042058903</v>
      </c>
      <c r="C80" s="119">
        <f t="shared" si="11"/>
        <v>4.2416853159129388</v>
      </c>
      <c r="D80" s="119">
        <f t="shared" si="11"/>
        <v>6.2478194055773413</v>
      </c>
      <c r="E80" s="119">
        <f t="shared" si="11"/>
        <v>8.5024191252894941</v>
      </c>
      <c r="F80" s="119">
        <f t="shared" si="11"/>
        <v>9.7628494111406798</v>
      </c>
      <c r="G80" s="296"/>
      <c r="H80" s="296"/>
      <c r="I80" s="296"/>
      <c r="J80" s="296"/>
      <c r="K80" s="296"/>
      <c r="L80" s="296"/>
    </row>
    <row r="81" spans="1:12" ht="13.15">
      <c r="A81" s="131">
        <v>8</v>
      </c>
      <c r="B81" s="119">
        <f t="shared" si="11"/>
        <v>2.6984513859702854</v>
      </c>
      <c r="C81" s="119">
        <f t="shared" si="11"/>
        <v>4.0628925993148677</v>
      </c>
      <c r="D81" s="119">
        <f t="shared" si="11"/>
        <v>6.1179935105123224</v>
      </c>
      <c r="E81" s="119">
        <f t="shared" si="11"/>
        <v>8.5878386758620326</v>
      </c>
      <c r="F81" s="119">
        <f t="shared" si="11"/>
        <v>10.024439437678788</v>
      </c>
      <c r="G81" s="296"/>
      <c r="H81" s="296"/>
      <c r="I81" s="296"/>
      <c r="J81" s="296"/>
      <c r="K81" s="296"/>
      <c r="L81" s="296"/>
    </row>
    <row r="82" spans="1:12" ht="13.15">
      <c r="A82" s="131">
        <f t="shared" ref="A82" si="13">A64</f>
        <v>9</v>
      </c>
      <c r="B82" s="119">
        <f t="shared" si="11"/>
        <v>2.6384951502920364</v>
      </c>
      <c r="C82" s="119">
        <f t="shared" si="11"/>
        <v>3.9211920780017118</v>
      </c>
      <c r="D82" s="119">
        <f t="shared" si="11"/>
        <v>6.0029962141843338</v>
      </c>
      <c r="E82" s="119">
        <f t="shared" si="11"/>
        <v>8.6690768498331217</v>
      </c>
      <c r="F82" s="119">
        <f t="shared" si="11"/>
        <v>10.280541561562249</v>
      </c>
      <c r="G82" s="296"/>
      <c r="H82" s="296"/>
      <c r="I82" s="296"/>
      <c r="J82" s="296"/>
      <c r="K82" s="296"/>
      <c r="L82" s="296"/>
    </row>
    <row r="83" spans="1:12" ht="13.15">
      <c r="A83" s="131">
        <f t="shared" ref="A83:A87" si="14">A65</f>
        <v>10</v>
      </c>
      <c r="B83" s="119">
        <f t="shared" si="11"/>
        <v>2.599362875257281</v>
      </c>
      <c r="C83" s="119">
        <f t="shared" si="11"/>
        <v>3.8088886345367401</v>
      </c>
      <c r="D83" s="119">
        <f t="shared" si="11"/>
        <v>5.9011338071805204</v>
      </c>
      <c r="E83" s="119">
        <f t="shared" si="11"/>
        <v>8.7463383299734527</v>
      </c>
      <c r="F83" s="119">
        <f t="shared" si="11"/>
        <v>10.531270913615989</v>
      </c>
      <c r="G83" s="296"/>
      <c r="H83" s="296"/>
      <c r="I83" s="296"/>
      <c r="J83" s="296"/>
      <c r="K83" s="296"/>
      <c r="L83" s="296"/>
    </row>
    <row r="84" spans="1:12" ht="13.15">
      <c r="A84" s="131">
        <f t="shared" si="14"/>
        <v>15</v>
      </c>
      <c r="B84" s="119">
        <f t="shared" si="11"/>
        <v>2.5345355617164342</v>
      </c>
      <c r="C84" s="119">
        <f t="shared" si="11"/>
        <v>3.5140140678718144</v>
      </c>
      <c r="D84" s="119">
        <f t="shared" si="11"/>
        <v>5.5419380710213959</v>
      </c>
      <c r="E84" s="119">
        <f t="shared" si="11"/>
        <v>9.0794846626157497</v>
      </c>
      <c r="F84" s="119">
        <f t="shared" si="11"/>
        <v>11.708189410077544</v>
      </c>
      <c r="G84" s="296"/>
      <c r="H84" s="296"/>
      <c r="I84" s="296"/>
      <c r="J84" s="296"/>
      <c r="K84" s="296"/>
      <c r="L84" s="296"/>
    </row>
    <row r="85" spans="1:12" ht="13.15">
      <c r="A85" s="132">
        <f t="shared" si="14"/>
        <v>20</v>
      </c>
      <c r="B85" s="119">
        <f t="shared" si="11"/>
        <v>2.5268573210500724</v>
      </c>
      <c r="C85" s="119">
        <f t="shared" si="11"/>
        <v>3.4218109854802456</v>
      </c>
      <c r="D85" s="119">
        <f t="shared" si="11"/>
        <v>5.3460704290720376</v>
      </c>
      <c r="E85" s="119">
        <f t="shared" si="11"/>
        <v>9.3386932536111154</v>
      </c>
      <c r="F85" s="119">
        <f t="shared" si="11"/>
        <v>12.766727230098756</v>
      </c>
      <c r="G85" s="296"/>
      <c r="H85" s="296"/>
      <c r="I85" s="296"/>
      <c r="J85" s="296"/>
      <c r="K85" s="296"/>
      <c r="L85" s="296"/>
    </row>
    <row r="86" spans="1:12" ht="13.15">
      <c r="A86" s="132">
        <f t="shared" si="14"/>
        <v>25</v>
      </c>
      <c r="B86" s="119">
        <f t="shared" si="11"/>
        <v>2.5259478991334379</v>
      </c>
      <c r="C86" s="119">
        <f t="shared" si="11"/>
        <v>3.392980393209577</v>
      </c>
      <c r="D86" s="119">
        <f t="shared" si="11"/>
        <v>5.2392647816191209</v>
      </c>
      <c r="E86" s="119">
        <f t="shared" si="11"/>
        <v>9.5403736776845349</v>
      </c>
      <c r="F86" s="119">
        <f t="shared" si="11"/>
        <v>13.718791727159582</v>
      </c>
      <c r="G86" s="296"/>
      <c r="H86" s="296"/>
      <c r="I86" s="296"/>
      <c r="J86" s="296"/>
      <c r="K86" s="296"/>
      <c r="L86" s="296"/>
    </row>
    <row r="87" spans="1:12" ht="13.15">
      <c r="A87" s="132">
        <f t="shared" si="14"/>
        <v>30</v>
      </c>
      <c r="B87" s="119">
        <f t="shared" si="11"/>
        <v>2.5258401858878656</v>
      </c>
      <c r="C87" s="119">
        <f t="shared" si="11"/>
        <v>3.3839654771230676</v>
      </c>
      <c r="D87" s="119">
        <f t="shared" si="11"/>
        <v>5.1810241951991038</v>
      </c>
      <c r="E87" s="119">
        <f t="shared" si="11"/>
        <v>9.6972936057557497</v>
      </c>
      <c r="F87" s="119">
        <f t="shared" si="11"/>
        <v>14.575092550256787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8.6592201956803496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8.114453187523706</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6.957544430176176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5.5642564043863869</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3.9833026337183326</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8.114453187523706</v>
      </c>
      <c r="F22" s="328">
        <f>1-F23-F24</f>
        <v>0.19999999999999996</v>
      </c>
      <c r="G22" s="328">
        <f>F22*(1-F$29-F$30)</f>
        <v>0.15999999999999995</v>
      </c>
    </row>
    <row r="23" spans="2:7">
      <c r="B23" s="302" t="s">
        <v>437</v>
      </c>
      <c r="C23" s="324">
        <v>-0.05</v>
      </c>
      <c r="D23" s="325">
        <f>C18</f>
        <v>3</v>
      </c>
      <c r="E23" s="326">
        <f>DCF!E92</f>
        <v>6.957544430176176</v>
      </c>
      <c r="F23" s="327">
        <v>0.55000000000000004</v>
      </c>
      <c r="G23" s="328">
        <f t="shared" ref="G23:G24" si="0">F23*(1-F$29-F$30)</f>
        <v>0.44</v>
      </c>
    </row>
    <row r="24" spans="2:7">
      <c r="B24" s="302" t="s">
        <v>446</v>
      </c>
      <c r="C24" s="324">
        <v>-0.15</v>
      </c>
      <c r="D24" s="325">
        <f>C18</f>
        <v>3</v>
      </c>
      <c r="E24" s="326">
        <f>DCF!E93</f>
        <v>5.5642564043863869</v>
      </c>
      <c r="F24" s="327">
        <v>0.25</v>
      </c>
      <c r="G24" s="328">
        <f t="shared" si="0"/>
        <v>0.19999999999999998</v>
      </c>
    </row>
    <row r="25" spans="2:7">
      <c r="B25" s="141" t="s">
        <v>451</v>
      </c>
      <c r="C25" s="441">
        <f>E23*F23+E24*F24+E22*F22</f>
        <v>6.8406041751982354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8.6592201956803496</v>
      </c>
      <c r="F29" s="327">
        <v>0.05</v>
      </c>
      <c r="G29" s="328">
        <f>F29</f>
        <v>0.05</v>
      </c>
    </row>
    <row r="30" spans="2:7">
      <c r="B30" s="315" t="s">
        <v>447</v>
      </c>
      <c r="C30" s="324">
        <v>-0.3</v>
      </c>
      <c r="D30" s="325">
        <f>C18</f>
        <v>3</v>
      </c>
      <c r="E30" s="326">
        <f>DCF!E94</f>
        <v>3.9833026337183326</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3.97</v>
      </c>
      <c r="D34" t="str">
        <f>Market_currency</f>
        <v>HKD</v>
      </c>
      <c r="E34" s="97" t="s">
        <v>454</v>
      </c>
      <c r="F34" s="330">
        <f>RATE(Holding_Period,$C$33,-C34,$C$36)</f>
        <v>0.23118209888184363</v>
      </c>
    </row>
    <row r="35" spans="2:7">
      <c r="B35" s="97" t="s">
        <v>434</v>
      </c>
      <c r="C35" s="320">
        <f>DCF!C11</f>
        <v>7.7678553099225978</v>
      </c>
      <c r="D35" s="97" t="str">
        <f>Market_currency</f>
        <v>HKD</v>
      </c>
      <c r="E35" s="97" t="s">
        <v>454</v>
      </c>
      <c r="F35" s="330">
        <f>RATE(Holding_Period,$C$33,-C35,$C$36)</f>
        <v>-2.4503685090143012E-2</v>
      </c>
    </row>
    <row r="36" spans="2:7">
      <c r="B36" s="97" t="s">
        <v>435</v>
      </c>
      <c r="C36" s="321">
        <f>E22*G22+E23*G23+E24*G24+E30*G30+E29*G29</f>
        <v>6.5029397450003543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8.0899930770698383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2.9967464262674453</v>
      </c>
      <c r="E62" s="332">
        <f>C62+D62</f>
        <v>3.439204537370872</v>
      </c>
      <c r="F62" s="301">
        <f>Thesis!E22</f>
        <v>0.29465259038036606</v>
      </c>
      <c r="G62" s="440">
        <f>(1-E62/C36)</f>
        <v>0.47113080049449474</v>
      </c>
    </row>
    <row r="63" spans="2:7" ht="13.15">
      <c r="B63" s="302" t="s">
        <v>313</v>
      </c>
      <c r="C63" s="119">
        <f>PV(F63, Holding_Period, -C58, 0)</f>
        <v>0.50874815444966315</v>
      </c>
      <c r="D63" s="119">
        <f>C36/(1+F63)^Holding_Period</f>
        <v>3.7562106830326973</v>
      </c>
      <c r="E63" s="332">
        <f>C63+D63</f>
        <v>4.2649588374823608</v>
      </c>
      <c r="F63" s="301">
        <f>Thesis!E23</f>
        <v>0.20075184365903009</v>
      </c>
      <c r="G63" s="440">
        <f>(1-E63/C36)</f>
        <v>0.3441491072154893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4.6610496473780341</v>
      </c>
      <c r="E66" s="332">
        <f>C66+D66</f>
        <v>5.2444170832299992</v>
      </c>
      <c r="F66" s="301">
        <f>Thesis!E24</f>
        <v>0.1174</v>
      </c>
      <c r="G66" s="440">
        <f>(1-E66/C36)</f>
        <v>0.1935313429188612</v>
      </c>
    </row>
    <row r="67" spans="2:7" ht="13.15">
      <c r="B67" s="302" t="s">
        <v>314</v>
      </c>
      <c r="C67" s="119">
        <f>PV(F67, Holding_Period, -C58, 0)</f>
        <v>0.63167232993043521</v>
      </c>
      <c r="D67" s="119">
        <f>C36/(1+F67)^Holding_Period</f>
        <v>5.2713011397116185</v>
      </c>
      <c r="E67" s="332">
        <f>C67+D67</f>
        <v>5.9029734696420535</v>
      </c>
      <c r="F67" s="301">
        <f>Thesis!E25</f>
        <v>7.2499999999999995E-2</v>
      </c>
      <c r="G67" s="440">
        <f>(1-E67/C36)</f>
        <v>9.2260777261479632E-2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3.97</v>
      </c>
    </row>
    <row r="9" spans="1:10">
      <c r="B9" s="351" t="s">
        <v>361</v>
      </c>
      <c r="C9" s="353">
        <f>Common_Shares</f>
        <v>9065251704</v>
      </c>
    </row>
    <row r="10" spans="1:10">
      <c r="B10" s="351" t="s">
        <v>367</v>
      </c>
      <c r="C10" s="357">
        <f>投资主题!C8*Common_Shares/1000000</f>
        <v>35989.049264880006</v>
      </c>
      <c r="D10" s="343" t="s">
        <v>528</v>
      </c>
      <c r="E10" s="360">
        <f>Scenarios!F34</f>
        <v>0.23118209888184363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v>
      </c>
      <c r="D17" s="351" t="s">
        <v>339</v>
      </c>
      <c r="E17" s="344" t="str">
        <f>Reporting_currency</f>
        <v>CNY</v>
      </c>
    </row>
    <row r="18" spans="1:6">
      <c r="B18" s="343" t="str">
        <f>"预期股权价值 ("&amp;C7&amp;") :"</f>
        <v>预期股权价值 (HKD) :</v>
      </c>
      <c r="C18" s="359">
        <f>C125</f>
        <v>6.5029397450003543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3.439204537370872</v>
      </c>
      <c r="D22" s="365" t="s">
        <v>440</v>
      </c>
      <c r="E22" s="366">
        <f>Thesis!E22</f>
        <v>0.29465259038036606</v>
      </c>
    </row>
    <row r="23" spans="1:6">
      <c r="B23" s="343" t="s">
        <v>341</v>
      </c>
      <c r="C23" s="367">
        <f>E141</f>
        <v>4.2649588374823608</v>
      </c>
      <c r="D23" s="365" t="s">
        <v>441</v>
      </c>
      <c r="E23" s="368">
        <f>Thesis!E23</f>
        <v>0.20075184365903009</v>
      </c>
    </row>
    <row r="24" spans="1:6">
      <c r="B24" s="343" t="s">
        <v>343</v>
      </c>
      <c r="C24" s="367">
        <f>E144</f>
        <v>5.2444170832299992</v>
      </c>
      <c r="D24" s="365" t="s">
        <v>443</v>
      </c>
      <c r="E24" s="368">
        <f>Thesis!E24</f>
        <v>0.1174</v>
      </c>
    </row>
    <row r="25" spans="1:6">
      <c r="B25" s="343" t="s">
        <v>342</v>
      </c>
      <c r="C25" s="367">
        <f>E145</f>
        <v>5.9029734696420535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0.11082932543547783</v>
      </c>
      <c r="F62" s="379"/>
    </row>
    <row r="63" spans="2:6">
      <c r="B63" s="377" t="s">
        <v>332</v>
      </c>
      <c r="C63" s="378">
        <f>Normalized_FCF!C92</f>
        <v>6.0906801007556667E-2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-0.10433098580143965</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1.802796494938764</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5.2880797359042525E-4</v>
      </c>
      <c r="D90" s="343" t="str">
        <f>Market_currency</f>
        <v>HKD</v>
      </c>
    </row>
    <row r="92" spans="1:6">
      <c r="B92" s="372" t="s">
        <v>480</v>
      </c>
      <c r="C92" s="387">
        <f>DCF!F8</f>
        <v>1.6989943171109148</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1.2718634977614662</v>
      </c>
      <c r="D111" s="343" t="str">
        <f>Market_currency</f>
        <v>HKD</v>
      </c>
    </row>
    <row r="112" spans="1:6">
      <c r="A112" s="385"/>
      <c r="B112" s="372" t="s">
        <v>377</v>
      </c>
      <c r="C112" s="394">
        <f>DCF!C11</f>
        <v>7.7678553099225978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8.66 HKD</v>
      </c>
      <c r="F118" s="399">
        <f>DCF!F90</f>
        <v>0.05</v>
      </c>
    </row>
    <row r="119" spans="1:6">
      <c r="A119" s="385"/>
      <c r="B119" s="400" t="str">
        <f>DCF!B91</f>
        <v>Optimistic</v>
      </c>
      <c r="C119" s="401">
        <f>DCF!C91</f>
        <v>0.02</v>
      </c>
      <c r="D119" s="402">
        <f>DCF!D91</f>
        <v>3</v>
      </c>
      <c r="E119" s="398" t="str">
        <f>ROUND(DCF!E91,2)&amp;" "&amp;Market_currency</f>
        <v>8.11 HKD</v>
      </c>
      <c r="F119" s="403">
        <f>DCF!F91</f>
        <v>0.15999999999999995</v>
      </c>
    </row>
    <row r="120" spans="1:6">
      <c r="B120" s="400" t="str">
        <f>DCF!B92</f>
        <v>Base</v>
      </c>
      <c r="C120" s="401">
        <f>DCF!C92</f>
        <v>-0.05</v>
      </c>
      <c r="D120" s="402">
        <f>DCF!D92</f>
        <v>3</v>
      </c>
      <c r="E120" s="398" t="str">
        <f>ROUND(DCF!E92,2)&amp;" "&amp;Market_currency</f>
        <v>6.96 HKD</v>
      </c>
      <c r="F120" s="403">
        <f>DCF!F92</f>
        <v>0.44</v>
      </c>
    </row>
    <row r="121" spans="1:6">
      <c r="B121" s="400" t="str">
        <f>DCF!B93</f>
        <v>Pessimistic</v>
      </c>
      <c r="C121" s="401">
        <f>DCF!C93</f>
        <v>-0.15</v>
      </c>
      <c r="D121" s="402">
        <f>DCF!D93</f>
        <v>3</v>
      </c>
      <c r="E121" s="398" t="str">
        <f>ROUND(DCF!E93,2)&amp;" "&amp;Market_currency</f>
        <v>5.56 HKD</v>
      </c>
      <c r="F121" s="403">
        <f>DCF!F93</f>
        <v>0.19999999999999998</v>
      </c>
    </row>
    <row r="122" spans="1:6">
      <c r="B122" s="400" t="str">
        <f>DCF!B94</f>
        <v>Devil's advocate</v>
      </c>
      <c r="C122" s="401">
        <f>DCF!C94</f>
        <v>-0.3</v>
      </c>
      <c r="D122" s="402">
        <f>DCF!D94</f>
        <v>3</v>
      </c>
      <c r="E122" s="398" t="str">
        <f>ROUND(DCF!E94,2)&amp;" "&amp;Market_currency</f>
        <v>3.98 HKD</v>
      </c>
      <c r="F122" s="403">
        <f>DCF!F94</f>
        <v>0.15</v>
      </c>
    </row>
    <row r="124" spans="1:6">
      <c r="B124" s="470" t="s">
        <v>518</v>
      </c>
      <c r="C124" s="470"/>
      <c r="D124" s="470"/>
      <c r="E124" s="470"/>
      <c r="F124" s="470"/>
    </row>
    <row r="125" spans="1:6">
      <c r="B125" s="372" t="s">
        <v>218</v>
      </c>
      <c r="C125" s="404">
        <f>Scenarios!C36</f>
        <v>6.5029397450003543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2.9967464262674453</v>
      </c>
      <c r="E140" s="410">
        <f>Scenarios!E62</f>
        <v>3.439204537370872</v>
      </c>
      <c r="F140" s="411">
        <f>E22</f>
        <v>0.29465259038036606</v>
      </c>
    </row>
    <row r="141" spans="1:6">
      <c r="B141" s="408" t="s">
        <v>313</v>
      </c>
      <c r="C141" s="409">
        <f>Scenarios!C63</f>
        <v>0.50874815444966315</v>
      </c>
      <c r="D141" s="409">
        <f>Scenarios!D63</f>
        <v>3.7562106830326973</v>
      </c>
      <c r="E141" s="410">
        <f>Scenarios!E63</f>
        <v>4.2649588374823608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4.6610496473780341</v>
      </c>
      <c r="E144" s="410">
        <f>Scenarios!E66</f>
        <v>5.2444170832299992</v>
      </c>
      <c r="F144" s="411">
        <f>E24</f>
        <v>0.1174</v>
      </c>
    </row>
    <row r="145" spans="1:6">
      <c r="B145" s="408" t="s">
        <v>314</v>
      </c>
      <c r="C145" s="409">
        <f>Scenarios!C67</f>
        <v>0.63167232993043521</v>
      </c>
      <c r="D145" s="409">
        <f>Scenarios!D67</f>
        <v>5.2713011397116185</v>
      </c>
      <c r="E145" s="410">
        <f>Scenarios!E67</f>
        <v>5.9029734696420535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