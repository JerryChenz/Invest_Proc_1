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820599-CC2B-4B55-BDF2-F3062F4A1A3B}"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2" i="8"/>
  <c r="D71" i="8"/>
  <c r="B73" i="8"/>
  <c r="E74" i="8"/>
  <c r="D73" i="8"/>
  <c r="E71" i="8"/>
  <c r="C73" i="8"/>
  <c r="F74" i="8"/>
  <c r="F71" i="8"/>
  <c r="B72" i="8"/>
  <c r="E73" i="8"/>
  <c r="F73" i="8"/>
  <c r="B74" i="8"/>
  <c r="C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<sst xmlns="http://schemas.openxmlformats.org/spreadsheetml/2006/main" count="766" uniqueCount="555">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</sst>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551</v>
      </c>
      <c r="E4" s="438" t="s">
        <v>540</v>
      </c>
      <c r="F4" s="439" t="s">
        <v>324</v>
      </c>
    </row>
    <row r="5" spans="1:9">
      <c r="B5" s="1" t="s">
        <v>349</v>
      </c>
      <c r="C5" s="46" t="s">
        <v>552</v>
      </c>
      <c r="E5" s="441" t="s">
        <v>542</v>
      </c>
      <c r="F5" s="440" t="s">
        <v>550</v>
      </c>
    </row>
    <row r="6" spans="1:9">
      <c r="B6" s="2" t="s">
        <v>53</v>
      </c>
      <c r="C6" s="45" t="s">
        <v>404</v>
      </c>
      <c r="D6" s="45"/>
      <c r="E6" s="45"/>
    </row>
    <row r="7" spans="1:9">
      <c r="B7" s="1" t="s">
        <v>351</v>
      </c>
      <c r="C7" s="45" t="s">
        <v>308</v>
      </c>
      <c r="D7" s="45"/>
      <c r="E7" s="45"/>
    </row>
    <row r="8" spans="1:9">
      <c r="B8" s="4" t="s">
        <v>350</v>
      </c>
      <c r="C8" s="47">
        <v>4.01</v>
      </c>
      <c r="E8" s="32"/>
    </row>
    <row r="9" spans="1:9">
      <c r="B9" s="4" t="s">
        <v>346</v>
      </c>
      <c r="C9" s="48">
        <v>9065251704</v>
      </c>
    </row>
    <row r="10" spans="1:9">
      <c r="B10" s="4" t="s">
        <v>352</v>
      </c>
      <c r="C10" s="33">
        <f>Thesis!C8*Common_Shares/1000000</f>
        <v>36351.659333039999</v>
      </c>
      <c r="D10" s="1" t="s">
        <v>531</v>
      </c>
      <c r="E10" s="310">
        <f>Scenarios!F34</f>
        <v>0.31685611828363341</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550</v>
      </c>
      <c r="D15" s="4" t="s">
        <v>353</v>
      </c>
      <c r="E15" s="259" t="str">
        <f>IF(E17=C7,C7,E17&amp;"/"&amp;C7)</f>
        <v>CNY/HKD</v>
      </c>
    </row>
    <row r="16" spans="1:9">
      <c r="B16" s="1" t="s">
        <v>320</v>
      </c>
      <c r="C16" s="425" t="s">
        <v>550</v>
      </c>
      <c r="D16" s="4" t="s">
        <v>354</v>
      </c>
      <c r="E16" s="424">
        <v>1.0934131499999999</v>
      </c>
    </row>
    <row r="17" spans="1:6">
      <c r="B17" s="1" t="s">
        <v>535</v>
      </c>
      <c r="C17" s="423">
        <v>0</v>
      </c>
      <c r="D17" s="4" t="s">
        <v>274</v>
      </c>
      <c r="E17" s="227" t="s">
        <v>546</v>
      </c>
    </row>
    <row r="18" spans="1:6">
      <c r="B18" s="1" t="str">
        <f>"Expected Equity Value ("&amp;C7&amp;") :"</f>
        <v>Expected Equity Value (HKD) :</v>
      </c>
      <c r="C18" s="258">
        <f>C125</f>
        <v>6.3935654360067202</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3.8199151912245375</v>
      </c>
      <c r="D22" s="38" t="s">
        <v>409</v>
      </c>
      <c r="E22" s="79">
        <v>0.35</v>
      </c>
    </row>
    <row r="23" spans="1:6">
      <c r="B23" s="1" t="s">
        <v>313</v>
      </c>
      <c r="C23" s="262">
        <f>E141</f>
        <v>4.4400738790443013</v>
      </c>
      <c r="D23" s="38" t="s">
        <v>410</v>
      </c>
      <c r="E23" s="451">
        <v>0.25</v>
      </c>
    </row>
    <row r="24" spans="1:6">
      <c r="B24" s="1" t="s">
        <v>315</v>
      </c>
      <c r="C24" s="262">
        <f>E144</f>
        <v>5.5307128828262222</v>
      </c>
      <c r="D24" s="38" t="s">
        <v>411</v>
      </c>
      <c r="E24" s="451">
        <v>0.1174</v>
      </c>
    </row>
    <row r="25" spans="1:6">
      <c r="B25" s="1" t="s">
        <v>314</v>
      </c>
      <c r="C25" s="262">
        <f>E145</f>
        <v>5.9940521392574224</v>
      </c>
      <c r="D25" s="38" t="s">
        <v>412</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3585603</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-12182</v>
      </c>
      <c r="D41" s="1" t="str">
        <f>Reporting_currency</f>
        <v>CNY</v>
      </c>
    </row>
    <row r="43" spans="2:6">
      <c r="B43" s="460" t="s">
        <v>205</v>
      </c>
      <c r="C43" s="460"/>
      <c r="D43" s="460"/>
      <c r="E43" s="460"/>
      <c r="F43" s="460"/>
    </row>
    <row r="44" spans="2:6">
      <c r="B44" s="44" t="s">
        <v>267</v>
      </c>
      <c r="C44" s="293">
        <f>Normalized_FCF!C46</f>
        <v>15205.2148620272</v>
      </c>
      <c r="D44" s="1" t="str">
        <f>Reporting_currency</f>
        <v>CNY</v>
      </c>
      <c r="E44" s="250"/>
      <c r="F44" s="250"/>
    </row>
    <row r="45" spans="2:6">
      <c r="B45" s="44" t="s">
        <v>268</v>
      </c>
      <c r="C45" s="293">
        <f>Normalized_FCF!C45</f>
        <v>-44646</v>
      </c>
      <c r="D45" s="1" t="str">
        <f>Reporting_currency</f>
        <v>CNY</v>
      </c>
      <c r="E45" s="250"/>
      <c r="F45" s="250"/>
    </row>
    <row r="46" spans="2:6">
      <c r="B46" s="44" t="s">
        <v>203</v>
      </c>
      <c r="C46" s="292">
        <f>Normalized_FCF!C10</f>
        <v>-29440.785137972802</v>
      </c>
      <c r="D46" s="1" t="str">
        <f>Reporting_currency</f>
        <v>CNY</v>
      </c>
    </row>
    <row r="48" spans="2:6">
      <c r="B48" s="1" t="s">
        <v>211</v>
      </c>
    </row>
    <row r="49" spans="2:6">
      <c r="B49" s="44" t="s">
        <v>223</v>
      </c>
      <c r="C49" s="292">
        <f>Normalized_FCF!C13</f>
        <v>-67196</v>
      </c>
      <c r="D49" s="1" t="str">
        <f>Reporting_currency</f>
        <v>CNY</v>
      </c>
    </row>
    <row r="51" spans="2:6">
      <c r="B51" s="460" t="s">
        <v>206</v>
      </c>
      <c r="C51" s="460"/>
      <c r="D51" s="460"/>
      <c r="E51" s="460"/>
      <c r="F51" s="460"/>
    </row>
    <row r="52" spans="2:6">
      <c r="B52" s="44" t="s">
        <v>204</v>
      </c>
      <c r="C52" s="292">
        <f>Normalized_FCF!C12</f>
        <v>-885995.0537155068</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2910551.9698010553</v>
      </c>
      <c r="D60" s="1" t="str">
        <f>Reporting_currency</f>
        <v>CNY</v>
      </c>
    </row>
    <row r="61" spans="2:6">
      <c r="B61" s="44" t="s">
        <v>213</v>
      </c>
      <c r="C61" s="292">
        <f>Normalized_FCF!C19</f>
        <v>2590789.1611465206</v>
      </c>
      <c r="D61" s="1" t="str">
        <f>Reporting_currency</f>
        <v>CNY</v>
      </c>
    </row>
    <row r="62" spans="2:6">
      <c r="B62" s="206" t="s">
        <v>302</v>
      </c>
      <c r="C62" s="89">
        <f>Normalized_FCF!C124</f>
        <v>7.7927747719079815E-2</v>
      </c>
      <c r="F62" s="263"/>
    </row>
    <row r="63" spans="2:6">
      <c r="B63" s="206" t="s">
        <v>332</v>
      </c>
      <c r="C63" s="89">
        <f>Normalized_FCF!C92</f>
        <v>6.0299251870324193E-2</v>
      </c>
      <c r="E63" s="44" t="s">
        <v>322</v>
      </c>
      <c r="F63" s="264">
        <f>Normalized_FCF!C90</f>
        <v>0.84606570650356128</v>
      </c>
    </row>
    <row r="65" spans="1:6">
      <c r="B65" s="192" t="s">
        <v>325</v>
      </c>
      <c r="C65" s="270" t="s">
        <v>327</v>
      </c>
      <c r="D65" s="270" t="s">
        <v>328</v>
      </c>
    </row>
    <row r="66" spans="1:6">
      <c r="B66" s="44" t="s">
        <v>326</v>
      </c>
      <c r="C66" s="89">
        <f>Normalized_FCF!C119</f>
        <v>0.13051754934484086</v>
      </c>
      <c r="D66" s="89">
        <f>Normalized_FCF!G119</f>
        <v>0.18009434106411271</v>
      </c>
    </row>
    <row r="67" spans="1:6">
      <c r="B67" s="232" t="str">
        <f>Normalized_FCF!B116</f>
        <v>Pre-tax Profit/Sales</v>
      </c>
      <c r="C67" s="269">
        <f>Normalized_FCF!C116</f>
        <v>0.21350770384328224</v>
      </c>
      <c r="D67" s="269">
        <f>Normalized_FCF!G116</f>
        <v>0.23568649229951275</v>
      </c>
    </row>
    <row r="68" spans="1:6">
      <c r="B68" s="232" t="str">
        <f>Normalized_FCF!B117</f>
        <v>Sales/Total Assets</v>
      </c>
      <c r="C68" s="271">
        <f>Normalized_FCF!C117</f>
        <v>0.48960240415119827</v>
      </c>
      <c r="D68" s="271">
        <f>Normalized_FCF!G117</f>
        <v>0.61200300518899786</v>
      </c>
    </row>
    <row r="69" spans="1:6">
      <c r="B69" s="232" t="str">
        <f>Normalized_FCF!B118</f>
        <v>Total Assets/Equity</v>
      </c>
      <c r="C69" s="271">
        <f>Normalized_FCF!C118</f>
        <v>1.2485669045200241</v>
      </c>
      <c r="D69" s="271">
        <f>Normalized_FCF!G118</f>
        <v>1.2485669045200241</v>
      </c>
    </row>
    <row r="71" spans="1:6" ht="13.9">
      <c r="A71" s="202" t="s">
        <v>481</v>
      </c>
      <c r="B71" s="34"/>
      <c r="C71" s="34"/>
      <c r="D71" s="34"/>
      <c r="E71" s="34"/>
      <c r="F71" s="34"/>
    </row>
    <row r="72" spans="1:6">
      <c r="A72" s="191"/>
    </row>
    <row r="73" spans="1:6">
      <c r="A73" s="191"/>
      <c r="B73" s="459" t="s">
        <v>482</v>
      </c>
      <c r="C73" s="459"/>
      <c r="D73" s="459"/>
      <c r="E73" s="459"/>
      <c r="F73" s="459"/>
    </row>
    <row r="74" spans="1:6">
      <c r="A74" s="191"/>
      <c r="B74" s="1" t="s">
        <v>469</v>
      </c>
    </row>
    <row r="75" spans="1:6">
      <c r="A75" s="191"/>
    </row>
    <row r="76" spans="1:6">
      <c r="A76" s="191"/>
      <c r="B76" s="192" t="s">
        <v>195</v>
      </c>
    </row>
    <row r="77" spans="1:6">
      <c r="A77" s="191"/>
      <c r="B77" s="459" t="s">
        <v>271</v>
      </c>
      <c r="C77" s="459"/>
      <c r="D77" s="459"/>
      <c r="E77" s="459"/>
      <c r="F77" s="459"/>
    </row>
    <row r="78" spans="1:6">
      <c r="A78" s="191"/>
      <c r="B78" s="1" t="s">
        <v>215</v>
      </c>
      <c r="C78" s="292">
        <f>DCF!F4</f>
        <v>-845013</v>
      </c>
      <c r="D78" s="1" t="str">
        <f>Reporting_currency</f>
        <v>CNY</v>
      </c>
    </row>
    <row r="79" spans="1:6">
      <c r="A79" s="191"/>
      <c r="B79" s="44" t="s">
        <v>234</v>
      </c>
      <c r="C79" s="203">
        <f>C78*scaling_factor*Exchange_Rate/Common_Shares</f>
        <v>-0.10192197153370404</v>
      </c>
      <c r="D79" s="1" t="str">
        <f>Market_currency</f>
        <v>HKD</v>
      </c>
    </row>
    <row r="80" spans="1:6">
      <c r="A80" s="191"/>
      <c r="B80" s="232" t="s">
        <v>309</v>
      </c>
      <c r="C80" s="344">
        <f>IF(BS!G31/BS!G27&gt;300%,"nm",BS!G31/BS!G27)</f>
        <v>3.1120102042901991E-2</v>
      </c>
    </row>
    <row r="81" spans="1:6">
      <c r="A81" s="191"/>
      <c r="B81" s="232" t="s">
        <v>311</v>
      </c>
      <c r="C81" s="345">
        <f>IF(BS!C50&gt;30,"nm",BS!C50)</f>
        <v>0.2356683101838101</v>
      </c>
    </row>
    <row r="82" spans="1:6">
      <c r="A82" s="191"/>
    </row>
    <row r="83" spans="1:6">
      <c r="A83" s="191"/>
      <c r="B83" s="1" t="s">
        <v>470</v>
      </c>
    </row>
    <row r="84" spans="1:6">
      <c r="A84" s="191"/>
      <c r="B84" s="1" t="s">
        <v>224</v>
      </c>
      <c r="C84" s="292">
        <f>DCF!F5</f>
        <v>15073642.522995466</v>
      </c>
      <c r="D84" s="1" t="str">
        <f>Reporting_currency</f>
        <v>CNY</v>
      </c>
    </row>
    <row r="85" spans="1:6">
      <c r="A85" s="191"/>
      <c r="B85" s="232" t="s">
        <v>222</v>
      </c>
      <c r="C85" s="298">
        <f>BS!C66</f>
        <v>17607845</v>
      </c>
      <c r="D85" s="346" t="str">
        <f>Reporting_currency</f>
        <v>CNY</v>
      </c>
    </row>
    <row r="86" spans="1:6">
      <c r="A86" s="191"/>
      <c r="B86" s="44" t="s">
        <v>235</v>
      </c>
      <c r="C86" s="203">
        <f>C84*scaling_factor*Exchange_Rate/Common_Shares</f>
        <v>1.8181203888436919</v>
      </c>
      <c r="D86" s="1" t="str">
        <f>Market_currency</f>
        <v>HKD</v>
      </c>
    </row>
    <row r="87" spans="1:6">
      <c r="A87" s="191"/>
    </row>
    <row r="88" spans="1:6">
      <c r="A88" s="191"/>
      <c r="B88" s="1" t="s">
        <v>216</v>
      </c>
    </row>
    <row r="89" spans="1:6">
      <c r="A89" s="191"/>
      <c r="B89" s="1" t="s">
        <v>217</v>
      </c>
      <c r="C89" s="292">
        <f>DCF!F6</f>
        <v>4283</v>
      </c>
      <c r="D89" s="1" t="str">
        <f>Reporting_currency</f>
        <v>CNY</v>
      </c>
    </row>
    <row r="90" spans="1:6">
      <c r="A90" s="191"/>
      <c r="B90" s="44" t="s">
        <v>236</v>
      </c>
      <c r="C90" s="203">
        <f>C89*scaling_factor*Exchange_Rate/Common_Shares</f>
        <v>5.1659773764291717E-4</v>
      </c>
      <c r="D90" s="1" t="str">
        <f>Market_currency</f>
        <v>HKD</v>
      </c>
    </row>
    <row r="91" spans="1:6">
      <c r="A91" s="191"/>
    </row>
    <row r="92" spans="1:6">
      <c r="A92" s="191"/>
      <c r="B92" s="44" t="s">
        <v>473</v>
      </c>
      <c r="C92" s="219">
        <f>DCF!F8</f>
        <v>1.7167150150476305</v>
      </c>
      <c r="D92" s="44" t="str">
        <f>Market_currency</f>
        <v>HKD</v>
      </c>
    </row>
    <row r="94" spans="1:6" ht="13.9">
      <c r="A94" s="202" t="s">
        <v>474</v>
      </c>
      <c r="B94" s="34"/>
      <c r="C94" s="34"/>
      <c r="D94" s="34"/>
      <c r="E94" s="34"/>
      <c r="F94" s="34"/>
    </row>
    <row r="95" spans="1:6">
      <c r="A95" s="191"/>
    </row>
    <row r="96" spans="1:6" ht="11.75" customHeight="1">
      <c r="B96" s="459" t="s">
        <v>489</v>
      </c>
      <c r="C96" s="459"/>
      <c r="D96" s="459"/>
      <c r="E96" s="459"/>
      <c r="F96" s="459"/>
    </row>
    <row r="97" spans="2:6">
      <c r="B97" s="461" t="s">
        <v>488</v>
      </c>
      <c r="C97" s="461"/>
      <c r="D97" s="461"/>
      <c r="E97" s="461"/>
      <c r="F97" s="461"/>
    </row>
    <row r="98" spans="2:6">
      <c r="B98" s="461" t="s">
        <v>487</v>
      </c>
      <c r="C98" s="461"/>
      <c r="D98" s="461"/>
      <c r="E98" s="461"/>
      <c r="F98" s="461"/>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491</v>
      </c>
    </row>
    <row r="111" spans="2:6">
      <c r="B111" s="49" t="s">
        <v>472</v>
      </c>
      <c r="C111" s="219">
        <f>BS!D47</f>
        <v>1.2424960256803461</v>
      </c>
      <c r="D111" s="1" t="str">
        <f>Market_currency</f>
        <v>HKD</v>
      </c>
    </row>
    <row r="112" spans="2:6">
      <c r="B112" s="44" t="s">
        <v>323</v>
      </c>
      <c r="C112" s="219">
        <f>DCF!C11</f>
        <v>6.0269256130270792</v>
      </c>
      <c r="D112" s="1" t="str">
        <f>Market_currency</f>
        <v>HKD</v>
      </c>
    </row>
    <row r="114" spans="2:6" ht="24.5" customHeight="1">
      <c r="B114" s="459" t="s">
        <v>495</v>
      </c>
      <c r="C114" s="459"/>
      <c r="D114" s="459"/>
      <c r="E114" s="459"/>
      <c r="F114" s="45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7.8 HKD</v>
      </c>
      <c r="F118" s="211">
        <f>DCF!F82</f>
        <v>0.05</v>
      </c>
    </row>
    <row r="119" spans="2:6">
      <c r="B119" s="198" t="str">
        <f>DCF!B83</f>
        <v>Optimistic</v>
      </c>
      <c r="C119" s="199">
        <f>DCF!C83</f>
        <v>0.03</v>
      </c>
      <c r="D119" s="200">
        <f>DCF!D83</f>
        <v>5</v>
      </c>
      <c r="E119" s="210" t="str">
        <f>ROUND(DCF!E83,2)&amp;" "&amp;Market_currency</f>
        <v>6.63 HKD</v>
      </c>
      <c r="F119" s="201">
        <f>DCF!F83</f>
        <v>0.18</v>
      </c>
    </row>
    <row r="120" spans="2:6">
      <c r="B120" s="198" t="str">
        <f>DCF!B84</f>
        <v>Base</v>
      </c>
      <c r="C120" s="199">
        <f>DCF!C84</f>
        <v>0.02</v>
      </c>
      <c r="D120" s="200">
        <f>DCF!D84</f>
        <v>5</v>
      </c>
      <c r="E120" s="210" t="str">
        <f>ROUND(DCF!E84,2)&amp;" "&amp;Market_currency</f>
        <v>6.42 HKD</v>
      </c>
      <c r="F120" s="201">
        <f>DCF!F84</f>
        <v>0.53999999999999992</v>
      </c>
    </row>
    <row r="121" spans="2:6">
      <c r="B121" s="198" t="str">
        <f>DCF!B85</f>
        <v>Pessimistic</v>
      </c>
      <c r="C121" s="199">
        <f>DCF!C85</f>
        <v>0.01</v>
      </c>
      <c r="D121" s="200">
        <f>DCF!D85</f>
        <v>5</v>
      </c>
      <c r="E121" s="210" t="str">
        <f>ROUND(DCF!E85,2)&amp;" "&amp;Market_currency</f>
        <v>6.22 HKD</v>
      </c>
      <c r="F121" s="201">
        <f>DCF!F85</f>
        <v>0.18</v>
      </c>
    </row>
    <row r="122" spans="2:6">
      <c r="B122" s="198" t="str">
        <f>DCF!B86</f>
        <v>Devil's advocate</v>
      </c>
      <c r="C122" s="199">
        <f>DCF!C86</f>
        <v>-0.1</v>
      </c>
      <c r="D122" s="200">
        <f>DCF!D86</f>
        <v>5</v>
      </c>
      <c r="E122" s="210" t="str">
        <f>ROUND(DCF!E86,2)&amp;" "&amp;Market_currency</f>
        <v>4.44 HKD</v>
      </c>
      <c r="F122" s="201">
        <f>DCF!F86</f>
        <v>0.05</v>
      </c>
    </row>
    <row r="124" spans="2:6">
      <c r="B124" s="460" t="s">
        <v>357</v>
      </c>
      <c r="C124" s="460"/>
      <c r="D124" s="460"/>
      <c r="E124" s="460"/>
      <c r="F124" s="460"/>
    </row>
    <row r="125" spans="2:6">
      <c r="B125" s="193" t="s">
        <v>218</v>
      </c>
      <c r="C125" s="197">
        <f>Scenarios!C36</f>
        <v>6.3935654360067202</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2</v>
      </c>
    </row>
    <row r="136" spans="1:6">
      <c r="B136" s="194" t="s">
        <v>220</v>
      </c>
      <c r="C136" s="195">
        <f>Scenarios!C58</f>
        <v>0.24179999999999999</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0.31178600823045277</v>
      </c>
      <c r="D140" s="340">
        <f>Scenarios!D62</f>
        <v>3.5081291829940846</v>
      </c>
      <c r="E140" s="341">
        <f>Scenarios!E62</f>
        <v>3.8199151912245375</v>
      </c>
      <c r="F140" s="342">
        <f>E22</f>
        <v>0.35</v>
      </c>
    </row>
    <row r="141" spans="1:6">
      <c r="B141" s="343" t="s">
        <v>313</v>
      </c>
      <c r="C141" s="340">
        <f>Scenarios!C63</f>
        <v>0.34819199999999995</v>
      </c>
      <c r="D141" s="340">
        <f>Scenarios!D63</f>
        <v>4.0918818790443012</v>
      </c>
      <c r="E141" s="341">
        <f>Scenarios!E63</f>
        <v>4.4400738790443013</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0.41005477282098601</v>
      </c>
      <c r="D144" s="340">
        <f>Scenarios!D66</f>
        <v>5.1206581100052357</v>
      </c>
      <c r="E144" s="341">
        <f>Scenarios!E66</f>
        <v>5.5307128828262222</v>
      </c>
      <c r="F144" s="342">
        <f>E24</f>
        <v>0.1174</v>
      </c>
    </row>
    <row r="145" spans="1:6">
      <c r="B145" s="343" t="s">
        <v>314</v>
      </c>
      <c r="C145" s="340">
        <f>Scenarios!C67</f>
        <v>0.43566857385039198</v>
      </c>
      <c r="D145" s="340">
        <f>Scenarios!D67</f>
        <v>5.5583835654070306</v>
      </c>
      <c r="E145" s="341">
        <f>Scenarios!E67</f>
        <v>5.9940521392574224</v>
      </c>
      <c r="F145" s="342">
        <f>Scenarios!F67</f>
        <v>7.2499999999999995E-2</v>
      </c>
    </row>
    <row r="147" spans="1:6" ht="13.9">
      <c r="A147" s="202" t="s">
        <v>479</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442</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20748550</v>
      </c>
      <c r="D4" s="294">
        <v>19532203</v>
      </c>
      <c r="E4" s="294">
        <v>21310933</v>
      </c>
      <c r="F4" s="294">
        <v>22776265</v>
      </c>
      <c r="G4" s="294">
        <v>18592465</v>
      </c>
      <c r="H4" s="294">
        <v>13721509</v>
      </c>
      <c r="I4" s="294">
        <v>10391917</v>
      </c>
      <c r="J4" s="294">
        <v>5887260</v>
      </c>
      <c r="K4" s="294">
        <v>3724381</v>
      </c>
      <c r="L4" s="294"/>
      <c r="M4" s="294"/>
    </row>
    <row r="5" spans="2:13">
      <c r="B5" s="38" t="s">
        <v>40</v>
      </c>
      <c r="C5" s="294">
        <v>6983747</v>
      </c>
      <c r="D5" s="294">
        <v>6868850</v>
      </c>
      <c r="E5" s="294">
        <v>7360333</v>
      </c>
      <c r="F5" s="294">
        <v>6768676</v>
      </c>
      <c r="G5" s="294">
        <v>5112187</v>
      </c>
      <c r="H5" s="294">
        <v>4111918</v>
      </c>
      <c r="I5" s="294">
        <v>3372827</v>
      </c>
      <c r="J5" s="294">
        <v>2096800</v>
      </c>
      <c r="K5" s="294">
        <v>1690421</v>
      </c>
      <c r="L5" s="294"/>
      <c r="M5" s="294"/>
    </row>
    <row r="6" spans="2:13">
      <c r="B6" s="38" t="s">
        <v>51</v>
      </c>
      <c r="C6" s="294">
        <v>8862484</v>
      </c>
      <c r="D6" s="294">
        <v>8471116</v>
      </c>
      <c r="E6" s="294">
        <v>8080385</v>
      </c>
      <c r="F6" s="294">
        <v>7937287</v>
      </c>
      <c r="G6" s="294">
        <v>6424644</v>
      </c>
      <c r="H6" s="294">
        <v>4761211</v>
      </c>
      <c r="I6" s="294">
        <v>4241603</v>
      </c>
      <c r="J6" s="294">
        <v>2499647</v>
      </c>
      <c r="K6" s="294">
        <v>1600378</v>
      </c>
      <c r="L6" s="294"/>
      <c r="M6" s="294"/>
    </row>
    <row r="7" spans="2:13">
      <c r="B7" s="66" t="s">
        <v>58</v>
      </c>
      <c r="C7" s="295">
        <v>7181223</v>
      </c>
      <c r="D7" s="295">
        <v>6709067</v>
      </c>
      <c r="E7" s="295">
        <v>6545373</v>
      </c>
      <c r="F7" s="295">
        <v>6729305</v>
      </c>
      <c r="G7" s="295">
        <v>5263430</v>
      </c>
      <c r="H7" s="295">
        <v>3847985</v>
      </c>
      <c r="I7" s="295">
        <v>3661314</v>
      </c>
      <c r="J7" s="295">
        <v>2139107</v>
      </c>
      <c r="K7" s="295">
        <v>1369520</v>
      </c>
      <c r="L7" s="295"/>
      <c r="M7" s="295"/>
    </row>
    <row r="8" spans="2:13">
      <c r="B8" s="38" t="s">
        <v>46</v>
      </c>
      <c r="C8" s="294"/>
      <c r="D8" s="294"/>
      <c r="E8" s="294"/>
      <c r="F8" s="294"/>
      <c r="G8" s="294"/>
      <c r="H8" s="294"/>
      <c r="I8" s="294"/>
      <c r="J8" s="294"/>
      <c r="K8" s="294"/>
      <c r="L8" s="294"/>
      <c r="M8" s="294"/>
    </row>
    <row r="9" spans="2:13">
      <c r="B9" s="38" t="s">
        <v>134</v>
      </c>
      <c r="C9" s="294">
        <v>-12182</v>
      </c>
      <c r="D9" s="294">
        <v>-7408</v>
      </c>
      <c r="E9" s="294">
        <v>-17253</v>
      </c>
      <c r="F9" s="294">
        <v>-15586</v>
      </c>
      <c r="G9" s="294">
        <v>-5571</v>
      </c>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44646</v>
      </c>
      <c r="D12" s="294">
        <v>53132</v>
      </c>
      <c r="E12" s="294">
        <v>33640</v>
      </c>
      <c r="F12" s="294">
        <v>29152</v>
      </c>
      <c r="G12" s="294">
        <v>50160</v>
      </c>
      <c r="H12" s="294">
        <v>72693</v>
      </c>
      <c r="I12" s="294">
        <v>58675</v>
      </c>
      <c r="J12" s="294">
        <v>21409</v>
      </c>
      <c r="K12" s="294">
        <v>26773</v>
      </c>
      <c r="L12" s="294"/>
      <c r="M12" s="294"/>
    </row>
    <row r="13" spans="2:13">
      <c r="B13" s="38" t="s">
        <v>64</v>
      </c>
      <c r="C13" s="294">
        <f>218979+91336</f>
        <v>310315</v>
      </c>
      <c r="D13" s="294">
        <f>198911+99510</f>
        <v>298421</v>
      </c>
      <c r="E13" s="294"/>
      <c r="F13" s="294"/>
      <c r="G13" s="294"/>
      <c r="H13" s="294"/>
      <c r="I13" s="294"/>
      <c r="J13" s="294"/>
      <c r="K13" s="294"/>
      <c r="L13" s="294"/>
      <c r="M13" s="294"/>
    </row>
    <row r="14" spans="2:13">
      <c r="B14" s="38" t="s">
        <v>47</v>
      </c>
      <c r="C14" s="294">
        <v>1895606</v>
      </c>
      <c r="D14" s="294">
        <v>1559940</v>
      </c>
      <c r="E14" s="294">
        <v>1715003</v>
      </c>
      <c r="F14" s="294">
        <v>2757433</v>
      </c>
      <c r="G14" s="294">
        <v>2463857</v>
      </c>
      <c r="H14" s="294">
        <v>1748099</v>
      </c>
      <c r="I14" s="294">
        <v>946317</v>
      </c>
      <c r="J14" s="294">
        <v>490835</v>
      </c>
      <c r="K14" s="294">
        <v>188795</v>
      </c>
      <c r="L14" s="294"/>
      <c r="M14" s="294"/>
    </row>
    <row r="15" spans="2:13">
      <c r="B15" s="41" t="s">
        <v>39</v>
      </c>
      <c r="C15" s="296">
        <v>3654120</v>
      </c>
      <c r="D15" s="296">
        <v>3290352</v>
      </c>
      <c r="E15" s="296">
        <v>4948106</v>
      </c>
      <c r="F15" s="296">
        <v>6914896</v>
      </c>
      <c r="G15" s="296">
        <v>7436632</v>
      </c>
      <c r="H15" s="296">
        <v>3934577</v>
      </c>
      <c r="I15" s="296">
        <v>2242254</v>
      </c>
      <c r="J15" s="296">
        <v>1160226</v>
      </c>
      <c r="K15" s="296">
        <v>406152</v>
      </c>
      <c r="L15" s="296"/>
      <c r="M15" s="296"/>
    </row>
    <row r="16" spans="2:13">
      <c r="B16" s="27" t="s">
        <v>41</v>
      </c>
      <c r="C16" s="294">
        <v>83995</v>
      </c>
      <c r="D16" s="294">
        <v>-99657</v>
      </c>
      <c r="E16" s="294">
        <v>6058</v>
      </c>
      <c r="F16" s="294">
        <v>43852</v>
      </c>
      <c r="G16" s="294">
        <v>-241</v>
      </c>
      <c r="H16" s="294">
        <v>0</v>
      </c>
      <c r="I16" s="294">
        <v>0</v>
      </c>
      <c r="J16" s="294">
        <v>0</v>
      </c>
      <c r="K16" s="294">
        <v>-10836</v>
      </c>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4179313</v>
      </c>
      <c r="D22" s="294">
        <v>4145346</v>
      </c>
      <c r="E22" s="294">
        <v>6279079</v>
      </c>
      <c r="F22" s="294">
        <v>6814937</v>
      </c>
      <c r="G22" s="294">
        <v>7747973</v>
      </c>
      <c r="H22" s="294">
        <v>5180535</v>
      </c>
      <c r="I22" s="294">
        <v>3121196</v>
      </c>
      <c r="J22" s="294">
        <v>2205574</v>
      </c>
      <c r="K22" s="294">
        <v>129094</v>
      </c>
      <c r="L22" s="294"/>
      <c r="M22" s="294"/>
    </row>
    <row r="23" spans="2:13">
      <c r="B23" s="26" t="s">
        <v>288</v>
      </c>
      <c r="C23" s="294">
        <v>-1316832</v>
      </c>
      <c r="D23" s="294">
        <v>386697</v>
      </c>
      <c r="E23" s="294">
        <v>-4803708</v>
      </c>
      <c r="F23" s="294">
        <v>-2444226</v>
      </c>
      <c r="G23" s="294">
        <v>-3786486</v>
      </c>
      <c r="H23" s="294">
        <v>-5514896</v>
      </c>
      <c r="I23" s="294">
        <v>-3272449</v>
      </c>
      <c r="J23" s="294">
        <v>-1680076</v>
      </c>
      <c r="K23" s="294">
        <v>947343</v>
      </c>
      <c r="L23" s="294"/>
      <c r="M23" s="294"/>
    </row>
    <row r="24" spans="2:13">
      <c r="B24" s="26" t="s">
        <v>287</v>
      </c>
      <c r="C24" s="294">
        <v>-3031620</v>
      </c>
      <c r="D24" s="294">
        <v>-2705301</v>
      </c>
      <c r="E24" s="294">
        <v>-1975285</v>
      </c>
      <c r="F24" s="294">
        <v>-4245443</v>
      </c>
      <c r="G24" s="294">
        <v>-2542842</v>
      </c>
      <c r="H24" s="294">
        <v>4123021</v>
      </c>
      <c r="I24" s="294">
        <v>-509032</v>
      </c>
      <c r="J24" s="294">
        <v>222174</v>
      </c>
      <c r="K24" s="294">
        <v>-395455</v>
      </c>
      <c r="L24" s="294"/>
      <c r="M24" s="294"/>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7">
        <f>BS!C4</f>
        <v>334915</v>
      </c>
      <c r="D28" s="294">
        <v>431184</v>
      </c>
      <c r="E28" s="294">
        <v>430651</v>
      </c>
      <c r="F28" s="294">
        <v>477328</v>
      </c>
      <c r="G28" s="294">
        <v>288808</v>
      </c>
      <c r="H28" s="294">
        <v>314353</v>
      </c>
      <c r="I28" s="294">
        <v>512837</v>
      </c>
      <c r="J28" s="294">
        <v>174705</v>
      </c>
      <c r="K28" s="294">
        <v>93183</v>
      </c>
      <c r="L28" s="294"/>
      <c r="M28" s="294"/>
    </row>
    <row r="29" spans="2:13">
      <c r="B29" s="25" t="s">
        <v>30</v>
      </c>
      <c r="C29" s="277">
        <f>BS!C6</f>
        <v>2050919</v>
      </c>
      <c r="D29" s="294">
        <v>2258059</v>
      </c>
      <c r="E29" s="294">
        <v>1994166</v>
      </c>
      <c r="F29" s="294">
        <v>1721807</v>
      </c>
      <c r="G29" s="294">
        <v>1284472</v>
      </c>
      <c r="H29" s="294">
        <v>686094</v>
      </c>
      <c r="I29" s="294">
        <v>660066</v>
      </c>
      <c r="J29" s="294">
        <v>394658</v>
      </c>
      <c r="K29" s="294">
        <v>293631</v>
      </c>
      <c r="L29" s="294"/>
      <c r="M29" s="294"/>
    </row>
    <row r="30" spans="2:13">
      <c r="B30" s="28" t="s">
        <v>38</v>
      </c>
      <c r="C30" s="278">
        <f>BS!C33+BS!C42</f>
        <v>6749408</v>
      </c>
      <c r="D30" s="296">
        <v>9860332</v>
      </c>
      <c r="E30" s="296">
        <v>10040830</v>
      </c>
      <c r="F30" s="296">
        <v>9078054</v>
      </c>
      <c r="G30" s="296">
        <v>9137313</v>
      </c>
      <c r="H30" s="296">
        <v>9974171</v>
      </c>
      <c r="I30" s="296">
        <v>6069951</v>
      </c>
      <c r="J30" s="296">
        <v>3428545</v>
      </c>
      <c r="K30" s="296">
        <v>2318007</v>
      </c>
      <c r="L30" s="296"/>
      <c r="M30" s="296"/>
    </row>
    <row r="31" spans="2:13">
      <c r="B31" s="28" t="s">
        <v>28</v>
      </c>
      <c r="C31" s="278">
        <f>BS!G27</f>
        <v>27153285</v>
      </c>
      <c r="D31" s="296">
        <v>26334346</v>
      </c>
      <c r="E31" s="296">
        <v>25474943</v>
      </c>
      <c r="F31" s="296">
        <v>22403370</v>
      </c>
      <c r="G31" s="296">
        <v>19185525</v>
      </c>
      <c r="H31" s="296">
        <v>13029578</v>
      </c>
      <c r="I31" s="296">
        <v>5787484</v>
      </c>
      <c r="J31" s="296">
        <v>3585013</v>
      </c>
      <c r="K31" s="296">
        <v>2376940</v>
      </c>
      <c r="L31" s="296"/>
      <c r="M31" s="296"/>
    </row>
    <row r="32" spans="2:13">
      <c r="B32" s="25" t="s">
        <v>143</v>
      </c>
      <c r="C32" s="277">
        <f>BS!G28</f>
        <v>1542743</v>
      </c>
      <c r="D32" s="294">
        <v>1389487</v>
      </c>
      <c r="E32" s="294">
        <v>1488944</v>
      </c>
      <c r="F32" s="294">
        <v>1482070</v>
      </c>
      <c r="G32" s="294">
        <v>1438416</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20748550</v>
      </c>
      <c r="D36" s="277">
        <f t="shared" si="1"/>
        <v>19532203</v>
      </c>
      <c r="E36" s="277">
        <f t="shared" si="1"/>
        <v>21310933</v>
      </c>
      <c r="F36" s="277">
        <f t="shared" si="1"/>
        <v>22776265</v>
      </c>
      <c r="G36" s="277">
        <f t="shared" si="1"/>
        <v>18592465</v>
      </c>
      <c r="H36" s="277">
        <f t="shared" si="1"/>
        <v>13721509</v>
      </c>
      <c r="I36" s="277">
        <f t="shared" si="1"/>
        <v>10391917</v>
      </c>
      <c r="J36" s="277">
        <f t="shared" si="1"/>
        <v>5887260</v>
      </c>
      <c r="K36" s="277">
        <f t="shared" si="1"/>
        <v>3724381</v>
      </c>
      <c r="L36" s="277" t="str">
        <f t="shared" si="1"/>
        <v/>
      </c>
      <c r="M36" s="277" t="str">
        <f t="shared" si="1"/>
        <v/>
      </c>
    </row>
    <row r="37" spans="2:13">
      <c r="B37" s="38" t="s">
        <v>40</v>
      </c>
      <c r="C37" s="277">
        <f t="shared" ref="C37:M37" si="2">IF(C$4="","",-C5)</f>
        <v>-6983747</v>
      </c>
      <c r="D37" s="277">
        <f t="shared" si="2"/>
        <v>-6868850</v>
      </c>
      <c r="E37" s="277">
        <f t="shared" si="2"/>
        <v>-7360333</v>
      </c>
      <c r="F37" s="277">
        <f t="shared" si="2"/>
        <v>-6768676</v>
      </c>
      <c r="G37" s="277">
        <f t="shared" si="2"/>
        <v>-5112187</v>
      </c>
      <c r="H37" s="277">
        <f t="shared" si="2"/>
        <v>-4111918</v>
      </c>
      <c r="I37" s="277">
        <f t="shared" si="2"/>
        <v>-3372827</v>
      </c>
      <c r="J37" s="277">
        <f t="shared" si="2"/>
        <v>-2096800</v>
      </c>
      <c r="K37" s="277">
        <f t="shared" si="2"/>
        <v>-1690421</v>
      </c>
      <c r="L37" s="277" t="str">
        <f t="shared" si="2"/>
        <v/>
      </c>
      <c r="M37" s="277" t="str">
        <f t="shared" si="2"/>
        <v/>
      </c>
    </row>
    <row r="38" spans="2:13">
      <c r="B38" s="30" t="s">
        <v>55</v>
      </c>
      <c r="C38" s="274">
        <f>IF(C36="","",C36+C37)</f>
        <v>13764803</v>
      </c>
      <c r="D38" s="274">
        <f t="shared" ref="D38" si="3">IF(D36="","",D36+D37)</f>
        <v>12663353</v>
      </c>
      <c r="E38" s="274">
        <f t="shared" ref="E38" si="4">IF(E36="","",E36+E37)</f>
        <v>13950600</v>
      </c>
      <c r="F38" s="274">
        <f t="shared" ref="F38" si="5">IF(F36="","",F36+F37)</f>
        <v>16007589</v>
      </c>
      <c r="G38" s="274">
        <f t="shared" ref="G38" si="6">IF(G36="","",G36+G37)</f>
        <v>13480278</v>
      </c>
      <c r="H38" s="274">
        <f t="shared" ref="H38" si="7">IF(H36="","",H36+H37)</f>
        <v>9609591</v>
      </c>
      <c r="I38" s="274">
        <f t="shared" ref="I38" si="8">IF(I36="","",I36+I37)</f>
        <v>7019090</v>
      </c>
      <c r="J38" s="274">
        <f t="shared" ref="J38" si="9">IF(J36="","",J36+J37)</f>
        <v>3790460</v>
      </c>
      <c r="K38" s="274">
        <f t="shared" ref="K38" si="10">IF(K36="","",K36+K37)</f>
        <v>2033960</v>
      </c>
      <c r="L38" s="274" t="str">
        <f t="shared" ref="L38" si="11">IF(L36="","",L36+L37)</f>
        <v/>
      </c>
      <c r="M38" s="274" t="str">
        <f t="shared" ref="M38" si="12">IF(M36="","",M36+M37)</f>
        <v/>
      </c>
    </row>
    <row r="39" spans="2:13">
      <c r="B39" s="38" t="s">
        <v>51</v>
      </c>
      <c r="C39" s="277">
        <f t="shared" ref="C39:M39" si="13">IF(C$4="","",-C6)</f>
        <v>-8862484</v>
      </c>
      <c r="D39" s="277">
        <f t="shared" si="13"/>
        <v>-8471116</v>
      </c>
      <c r="E39" s="277">
        <f t="shared" si="13"/>
        <v>-8080385</v>
      </c>
      <c r="F39" s="277">
        <f t="shared" si="13"/>
        <v>-7937287</v>
      </c>
      <c r="G39" s="277">
        <f t="shared" si="13"/>
        <v>-6424644</v>
      </c>
      <c r="H39" s="277">
        <f t="shared" si="13"/>
        <v>-4761211</v>
      </c>
      <c r="I39" s="277">
        <f t="shared" si="13"/>
        <v>-4241603</v>
      </c>
      <c r="J39" s="277">
        <f t="shared" si="13"/>
        <v>-2499647</v>
      </c>
      <c r="K39" s="277">
        <f t="shared" si="13"/>
        <v>-1600378</v>
      </c>
      <c r="L39" s="277" t="str">
        <f t="shared" si="13"/>
        <v/>
      </c>
      <c r="M39" s="277" t="str">
        <f t="shared" si="13"/>
        <v/>
      </c>
    </row>
    <row r="40" spans="2:13">
      <c r="B40" s="66" t="s">
        <v>58</v>
      </c>
      <c r="C40" s="289">
        <f t="shared" ref="C40:M40" si="14">IF(C$4="","",-C7)</f>
        <v>-7181223</v>
      </c>
      <c r="D40" s="289">
        <f t="shared" si="14"/>
        <v>-6709067</v>
      </c>
      <c r="E40" s="289">
        <f t="shared" si="14"/>
        <v>-6545373</v>
      </c>
      <c r="F40" s="289">
        <f t="shared" si="14"/>
        <v>-6729305</v>
      </c>
      <c r="G40" s="289">
        <f t="shared" si="14"/>
        <v>-5263430</v>
      </c>
      <c r="H40" s="289">
        <f t="shared" si="14"/>
        <v>-3847985</v>
      </c>
      <c r="I40" s="289">
        <f t="shared" si="14"/>
        <v>-3661314</v>
      </c>
      <c r="J40" s="289">
        <f t="shared" si="14"/>
        <v>-2139107</v>
      </c>
      <c r="K40" s="289">
        <f t="shared" si="14"/>
        <v>-1369520</v>
      </c>
      <c r="L40" s="289" t="str">
        <f t="shared" si="14"/>
        <v/>
      </c>
      <c r="M40" s="289" t="str">
        <f t="shared" si="14"/>
        <v/>
      </c>
    </row>
    <row r="41" spans="2:13">
      <c r="B41" s="66" t="s">
        <v>61</v>
      </c>
      <c r="C41" s="289">
        <f>IF(C$4="","",C39-C40)</f>
        <v>-1681261</v>
      </c>
      <c r="D41" s="289">
        <f t="shared" ref="D41:M41" si="15">IF(D$4="","",D39-D40)</f>
        <v>-1762049</v>
      </c>
      <c r="E41" s="289">
        <f t="shared" si="15"/>
        <v>-1535012</v>
      </c>
      <c r="F41" s="289">
        <f t="shared" si="15"/>
        <v>-1207982</v>
      </c>
      <c r="G41" s="289">
        <f t="shared" si="15"/>
        <v>-1161214</v>
      </c>
      <c r="H41" s="289">
        <f t="shared" si="15"/>
        <v>-913226</v>
      </c>
      <c r="I41" s="289">
        <f t="shared" si="15"/>
        <v>-580289</v>
      </c>
      <c r="J41" s="289">
        <f t="shared" si="15"/>
        <v>-360540</v>
      </c>
      <c r="K41" s="289">
        <f t="shared" si="15"/>
        <v>-230858</v>
      </c>
      <c r="L41" s="289" t="str">
        <f t="shared" si="15"/>
        <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t="str">
        <f t="shared" si="16"/>
        <v/>
      </c>
      <c r="M42" s="277" t="str">
        <f t="shared" si="16"/>
        <v/>
      </c>
    </row>
    <row r="43" spans="2:13">
      <c r="B43" s="41" t="s">
        <v>127</v>
      </c>
      <c r="C43" s="278">
        <f>IF(C$4="","",C38+C39+C42)</f>
        <v>4902319</v>
      </c>
      <c r="D43" s="278">
        <f t="shared" ref="D43:M43" si="17">IF(D$4="","",D38+D39+D42)</f>
        <v>4192237</v>
      </c>
      <c r="E43" s="278">
        <f t="shared" si="17"/>
        <v>5870215</v>
      </c>
      <c r="F43" s="278">
        <f t="shared" si="17"/>
        <v>8070302</v>
      </c>
      <c r="G43" s="278">
        <f t="shared" si="17"/>
        <v>7055634</v>
      </c>
      <c r="H43" s="278">
        <f t="shared" si="17"/>
        <v>4848380</v>
      </c>
      <c r="I43" s="278">
        <f t="shared" si="17"/>
        <v>2777487</v>
      </c>
      <c r="J43" s="278">
        <f t="shared" si="17"/>
        <v>1290813</v>
      </c>
      <c r="K43" s="278">
        <f t="shared" si="17"/>
        <v>433582</v>
      </c>
      <c r="L43" s="278" t="str">
        <f t="shared" si="17"/>
        <v/>
      </c>
      <c r="M43" s="278" t="str">
        <f t="shared" si="17"/>
        <v/>
      </c>
    </row>
    <row r="44" spans="2:13">
      <c r="B44" s="41" t="s">
        <v>139</v>
      </c>
      <c r="C44" s="297">
        <f t="shared" ref="C44:M44" si="18">IF(C$4="","",C47-C46-C45-C43)</f>
        <v>381738</v>
      </c>
      <c r="D44" s="297">
        <f t="shared" si="18"/>
        <v>412766</v>
      </c>
      <c r="E44" s="297">
        <f t="shared" si="18"/>
        <v>826534</v>
      </c>
      <c r="F44" s="297">
        <f t="shared" si="18"/>
        <v>1631179</v>
      </c>
      <c r="G44" s="297">
        <f t="shared" si="18"/>
        <v>2895015</v>
      </c>
      <c r="H44" s="297">
        <f t="shared" si="18"/>
        <v>906989</v>
      </c>
      <c r="I44" s="297">
        <f t="shared" si="18"/>
        <v>469759</v>
      </c>
      <c r="J44" s="297">
        <f t="shared" si="18"/>
        <v>381657</v>
      </c>
      <c r="K44" s="297">
        <f t="shared" si="18"/>
        <v>188138</v>
      </c>
      <c r="L44" s="297" t="str">
        <f t="shared" si="18"/>
        <v/>
      </c>
      <c r="M44" s="297" t="str">
        <f t="shared" si="18"/>
        <v/>
      </c>
    </row>
    <row r="45" spans="2:13">
      <c r="B45" s="38" t="s">
        <v>65</v>
      </c>
      <c r="C45" s="292">
        <f t="shared" ref="C45:M45" si="19">IF(C$4="","",C51+C52)</f>
        <v>265669</v>
      </c>
      <c r="D45" s="292">
        <f t="shared" si="19"/>
        <v>245289</v>
      </c>
      <c r="E45" s="292">
        <f t="shared" si="19"/>
        <v>-33640</v>
      </c>
      <c r="F45" s="292">
        <f t="shared" si="19"/>
        <v>-29152</v>
      </c>
      <c r="G45" s="292">
        <f t="shared" si="19"/>
        <v>-50160</v>
      </c>
      <c r="H45" s="292">
        <f t="shared" si="19"/>
        <v>-72693</v>
      </c>
      <c r="I45" s="292">
        <f t="shared" si="19"/>
        <v>-58675</v>
      </c>
      <c r="J45" s="292">
        <f t="shared" si="19"/>
        <v>-21409</v>
      </c>
      <c r="K45" s="292">
        <f t="shared" si="19"/>
        <v>-26773</v>
      </c>
      <c r="L45" s="292" t="str">
        <f t="shared" si="19"/>
        <v/>
      </c>
      <c r="M45" s="292" t="str">
        <f t="shared" si="19"/>
        <v/>
      </c>
    </row>
    <row r="46" spans="2:13">
      <c r="B46" s="38" t="s">
        <v>47</v>
      </c>
      <c r="C46" s="277">
        <f>IF(C$4="","",-C14)</f>
        <v>-1895606</v>
      </c>
      <c r="D46" s="277">
        <f t="shared" ref="D46:M46" si="20">IF(D$4="","",-D14)</f>
        <v>-1559940</v>
      </c>
      <c r="E46" s="277">
        <f t="shared" si="20"/>
        <v>-1715003</v>
      </c>
      <c r="F46" s="277">
        <f t="shared" si="20"/>
        <v>-2757433</v>
      </c>
      <c r="G46" s="277">
        <f t="shared" si="20"/>
        <v>-2463857</v>
      </c>
      <c r="H46" s="277">
        <f t="shared" si="20"/>
        <v>-1748099</v>
      </c>
      <c r="I46" s="277">
        <f t="shared" si="20"/>
        <v>-946317</v>
      </c>
      <c r="J46" s="277">
        <f t="shared" si="20"/>
        <v>-490835</v>
      </c>
      <c r="K46" s="277">
        <f t="shared" si="20"/>
        <v>-188795</v>
      </c>
      <c r="L46" s="277" t="str">
        <f t="shared" si="20"/>
        <v/>
      </c>
      <c r="M46" s="277" t="str">
        <f t="shared" si="20"/>
        <v/>
      </c>
    </row>
    <row r="47" spans="2:13">
      <c r="B47" s="41" t="s">
        <v>39</v>
      </c>
      <c r="C47" s="278">
        <f t="shared" ref="C47:M47" si="21">IF(C$4="","",C15)</f>
        <v>3654120</v>
      </c>
      <c r="D47" s="278">
        <f t="shared" si="21"/>
        <v>3290352</v>
      </c>
      <c r="E47" s="278">
        <f t="shared" si="21"/>
        <v>4948106</v>
      </c>
      <c r="F47" s="278">
        <f t="shared" si="21"/>
        <v>6914896</v>
      </c>
      <c r="G47" s="278">
        <f t="shared" si="21"/>
        <v>7436632</v>
      </c>
      <c r="H47" s="278">
        <f t="shared" si="21"/>
        <v>3934577</v>
      </c>
      <c r="I47" s="278">
        <f t="shared" si="21"/>
        <v>2242254</v>
      </c>
      <c r="J47" s="278">
        <f t="shared" si="21"/>
        <v>1160226</v>
      </c>
      <c r="K47" s="278">
        <f t="shared" si="21"/>
        <v>406152</v>
      </c>
      <c r="L47" s="278" t="str">
        <f t="shared" si="21"/>
        <v/>
      </c>
      <c r="M47" s="278" t="str">
        <f t="shared" si="21"/>
        <v/>
      </c>
    </row>
    <row r="48" spans="2:13">
      <c r="B48" s="27" t="s">
        <v>41</v>
      </c>
      <c r="C48" s="277">
        <f t="shared" ref="C48:M48" si="22">IF(C$4="","",MIN(-C16,0))</f>
        <v>-83995</v>
      </c>
      <c r="D48" s="277">
        <f t="shared" si="22"/>
        <v>0</v>
      </c>
      <c r="E48" s="277">
        <f t="shared" si="22"/>
        <v>-6058</v>
      </c>
      <c r="F48" s="277">
        <f t="shared" si="22"/>
        <v>-43852</v>
      </c>
      <c r="G48" s="277">
        <f t="shared" si="22"/>
        <v>0</v>
      </c>
      <c r="H48" s="277">
        <f t="shared" si="22"/>
        <v>0</v>
      </c>
      <c r="I48" s="277">
        <f t="shared" si="22"/>
        <v>0</v>
      </c>
      <c r="J48" s="277">
        <f t="shared" si="22"/>
        <v>0</v>
      </c>
      <c r="K48" s="277">
        <f t="shared" si="22"/>
        <v>0</v>
      </c>
      <c r="L48" s="277" t="str">
        <f t="shared" si="22"/>
        <v/>
      </c>
      <c r="M48" s="277" t="str">
        <f t="shared" si="22"/>
        <v/>
      </c>
    </row>
    <row r="50" spans="2:13">
      <c r="B50" s="16" t="s">
        <v>65</v>
      </c>
    </row>
    <row r="51" spans="2:13">
      <c r="B51" s="38" t="s">
        <v>37</v>
      </c>
      <c r="C51" s="277">
        <f t="shared" ref="C51:M51" si="23">IF(C$4="","",-C12)</f>
        <v>-44646</v>
      </c>
      <c r="D51" s="277">
        <f t="shared" si="23"/>
        <v>-53132</v>
      </c>
      <c r="E51" s="277">
        <f t="shared" si="23"/>
        <v>-33640</v>
      </c>
      <c r="F51" s="277">
        <f t="shared" si="23"/>
        <v>-29152</v>
      </c>
      <c r="G51" s="277">
        <f t="shared" si="23"/>
        <v>-50160</v>
      </c>
      <c r="H51" s="277">
        <f t="shared" si="23"/>
        <v>-72693</v>
      </c>
      <c r="I51" s="277">
        <f t="shared" si="23"/>
        <v>-58675</v>
      </c>
      <c r="J51" s="277">
        <f t="shared" si="23"/>
        <v>-21409</v>
      </c>
      <c r="K51" s="277">
        <f t="shared" si="23"/>
        <v>-26773</v>
      </c>
      <c r="L51" s="277" t="str">
        <f t="shared" si="23"/>
        <v/>
      </c>
      <c r="M51" s="277" t="str">
        <f t="shared" si="23"/>
        <v/>
      </c>
    </row>
    <row r="52" spans="2:13">
      <c r="B52" s="38" t="s">
        <v>64</v>
      </c>
      <c r="C52" s="277">
        <f>IF(C$4="","",C13)</f>
        <v>310315</v>
      </c>
      <c r="D52" s="277">
        <f t="shared" ref="D52:M52" si="24">IF(D$4="","",D13)</f>
        <v>298421</v>
      </c>
      <c r="E52" s="277">
        <f t="shared" si="24"/>
        <v>0</v>
      </c>
      <c r="F52" s="277">
        <f t="shared" si="24"/>
        <v>0</v>
      </c>
      <c r="G52" s="277">
        <f t="shared" si="24"/>
        <v>0</v>
      </c>
      <c r="H52" s="277">
        <f t="shared" si="24"/>
        <v>0</v>
      </c>
      <c r="I52" s="277">
        <f t="shared" si="24"/>
        <v>0</v>
      </c>
      <c r="J52" s="277">
        <f t="shared" si="24"/>
        <v>0</v>
      </c>
      <c r="K52" s="277">
        <f t="shared" si="24"/>
        <v>0</v>
      </c>
      <c r="L52" s="277" t="str">
        <f t="shared" si="24"/>
        <v/>
      </c>
      <c r="M52" s="277" t="str">
        <f t="shared" si="24"/>
        <v/>
      </c>
    </row>
    <row r="54" spans="2:13">
      <c r="B54" s="156" t="s">
        <v>139</v>
      </c>
    </row>
    <row r="55" spans="2:13">
      <c r="B55" s="38" t="s">
        <v>134</v>
      </c>
      <c r="C55" s="292">
        <f t="shared" ref="C55:M55" si="25">IF(C$4="","",C9)</f>
        <v>-12182</v>
      </c>
      <c r="D55" s="292">
        <f t="shared" si="25"/>
        <v>-7408</v>
      </c>
      <c r="E55" s="292">
        <f t="shared" si="25"/>
        <v>-17253</v>
      </c>
      <c r="F55" s="292">
        <f t="shared" si="25"/>
        <v>-15586</v>
      </c>
      <c r="G55" s="292">
        <f t="shared" si="25"/>
        <v>-5571</v>
      </c>
      <c r="H55" s="292">
        <f t="shared" si="25"/>
        <v>0</v>
      </c>
      <c r="I55" s="292">
        <f t="shared" si="25"/>
        <v>0</v>
      </c>
      <c r="J55" s="292">
        <f t="shared" si="25"/>
        <v>0</v>
      </c>
      <c r="K55" s="292">
        <f t="shared" si="25"/>
        <v>0</v>
      </c>
      <c r="L55" s="292" t="str">
        <f t="shared" si="25"/>
        <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t="str">
        <f t="shared" si="26"/>
        <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t="str">
        <f t="shared" si="27"/>
        <v/>
      </c>
      <c r="M57" s="292" t="str">
        <f t="shared" si="27"/>
        <v/>
      </c>
    </row>
    <row r="58" spans="2:13">
      <c r="B58" s="38" t="s">
        <v>135</v>
      </c>
      <c r="C58" s="292">
        <f>IF(C$4="","",C44-C55-C56-C57)</f>
        <v>393920</v>
      </c>
      <c r="D58" s="292">
        <f t="shared" ref="D58:M58" si="28">IF(D$4="","",D44-D55-D56-D57)</f>
        <v>420174</v>
      </c>
      <c r="E58" s="292">
        <f t="shared" si="28"/>
        <v>843787</v>
      </c>
      <c r="F58" s="292">
        <f t="shared" si="28"/>
        <v>1646765</v>
      </c>
      <c r="G58" s="292">
        <f t="shared" si="28"/>
        <v>2900586</v>
      </c>
      <c r="H58" s="292">
        <f t="shared" si="28"/>
        <v>906989</v>
      </c>
      <c r="I58" s="292">
        <f t="shared" si="28"/>
        <v>469759</v>
      </c>
      <c r="J58" s="292">
        <f t="shared" si="28"/>
        <v>381657</v>
      </c>
      <c r="K58" s="292">
        <f t="shared" si="28"/>
        <v>188138</v>
      </c>
      <c r="L58" s="292" t="str">
        <f t="shared" si="28"/>
        <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t="str">
        <f t="shared" si="29"/>
        <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t="str">
        <f t="shared" si="30"/>
        <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t="str">
        <f t="shared" si="31"/>
        <v/>
      </c>
      <c r="M63" s="277" t="str">
        <f t="shared" si="31"/>
        <v/>
      </c>
    </row>
    <row r="64" spans="2:13">
      <c r="B64" s="26" t="s">
        <v>305</v>
      </c>
      <c r="C64" s="277">
        <f>IF(C$4="","",C22+C23+C24)</f>
        <v>-169139</v>
      </c>
      <c r="D64" s="277">
        <f t="shared" ref="D64:M64" si="32">IF(D$4="","",D22+D23+D24)</f>
        <v>1826742</v>
      </c>
      <c r="E64" s="277">
        <f t="shared" si="32"/>
        <v>-499914</v>
      </c>
      <c r="F64" s="277">
        <f t="shared" si="32"/>
        <v>125268</v>
      </c>
      <c r="G64" s="277">
        <f t="shared" si="32"/>
        <v>1418645</v>
      </c>
      <c r="H64" s="277">
        <f t="shared" si="32"/>
        <v>3788660</v>
      </c>
      <c r="I64" s="277">
        <f t="shared" si="32"/>
        <v>-660285</v>
      </c>
      <c r="J64" s="277">
        <f t="shared" si="32"/>
        <v>747672</v>
      </c>
      <c r="K64" s="277">
        <f t="shared" si="32"/>
        <v>680982</v>
      </c>
      <c r="L64" s="277" t="str">
        <f t="shared" si="32"/>
        <v/>
      </c>
      <c r="M64" s="277"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2">
        <f t="shared" ref="D76:M76" si="39">IF(D$4="","",D79+D80)</f>
        <v>36194678</v>
      </c>
      <c r="E76" s="292">
        <f t="shared" si="39"/>
        <v>35515773</v>
      </c>
      <c r="F76" s="292">
        <f t="shared" si="39"/>
        <v>31481424</v>
      </c>
      <c r="G76" s="292">
        <f t="shared" si="39"/>
        <v>28322838</v>
      </c>
      <c r="H76" s="292">
        <f t="shared" si="39"/>
        <v>23003749</v>
      </c>
      <c r="I76" s="292">
        <f t="shared" si="39"/>
        <v>11857435</v>
      </c>
      <c r="J76" s="292">
        <f t="shared" si="39"/>
        <v>7013558</v>
      </c>
      <c r="K76" s="292">
        <f t="shared" si="39"/>
        <v>4694947</v>
      </c>
      <c r="L76" s="292" t="str">
        <f t="shared" si="39"/>
        <v/>
      </c>
      <c r="M76" s="292" t="str">
        <f t="shared" si="39"/>
        <v/>
      </c>
    </row>
    <row r="77" spans="2:13">
      <c r="B77" s="90" t="s">
        <v>82</v>
      </c>
      <c r="C77" s="266">
        <f t="shared" ref="C77:H78" si="40">IF(C$4="","",C28)</f>
        <v>334915</v>
      </c>
      <c r="D77" s="289">
        <f t="shared" si="40"/>
        <v>431184</v>
      </c>
      <c r="E77" s="289">
        <f t="shared" si="40"/>
        <v>430651</v>
      </c>
      <c r="F77" s="289">
        <f t="shared" si="40"/>
        <v>477328</v>
      </c>
      <c r="G77" s="289">
        <f t="shared" si="40"/>
        <v>288808</v>
      </c>
      <c r="H77" s="289">
        <f t="shared" si="40"/>
        <v>314353</v>
      </c>
      <c r="I77" s="298"/>
      <c r="J77" s="298"/>
      <c r="K77" s="298"/>
      <c r="L77" s="298"/>
      <c r="M77" s="298"/>
    </row>
    <row r="78" spans="2:13">
      <c r="B78" s="90" t="s">
        <v>83</v>
      </c>
      <c r="C78" s="266">
        <f t="shared" si="40"/>
        <v>2050919</v>
      </c>
      <c r="D78" s="289">
        <f t="shared" si="40"/>
        <v>2258059</v>
      </c>
      <c r="E78" s="289">
        <f t="shared" si="40"/>
        <v>1994166</v>
      </c>
      <c r="F78" s="289">
        <f t="shared" si="40"/>
        <v>1721807</v>
      </c>
      <c r="G78" s="289">
        <f t="shared" si="40"/>
        <v>1284472</v>
      </c>
      <c r="H78" s="289">
        <f t="shared" si="40"/>
        <v>686094</v>
      </c>
      <c r="I78" s="298"/>
      <c r="J78" s="298"/>
      <c r="K78" s="298"/>
      <c r="L78" s="298"/>
      <c r="M78" s="298"/>
    </row>
    <row r="79" spans="2:13">
      <c r="B79" s="25" t="s">
        <v>38</v>
      </c>
      <c r="C79" s="265">
        <f t="shared" ref="C79:M79" si="41">IF(C$4="","",C30)</f>
        <v>6749408</v>
      </c>
      <c r="D79" s="277">
        <f t="shared" si="41"/>
        <v>9860332</v>
      </c>
      <c r="E79" s="277">
        <f t="shared" si="41"/>
        <v>10040830</v>
      </c>
      <c r="F79" s="277">
        <f t="shared" si="41"/>
        <v>9078054</v>
      </c>
      <c r="G79" s="277">
        <f t="shared" si="41"/>
        <v>9137313</v>
      </c>
      <c r="H79" s="277">
        <f t="shared" si="41"/>
        <v>9974171</v>
      </c>
      <c r="I79" s="277">
        <f t="shared" si="41"/>
        <v>6069951</v>
      </c>
      <c r="J79" s="277">
        <f t="shared" si="41"/>
        <v>3428545</v>
      </c>
      <c r="K79" s="277">
        <f t="shared" si="41"/>
        <v>2318007</v>
      </c>
      <c r="L79" s="277" t="str">
        <f t="shared" si="41"/>
        <v/>
      </c>
      <c r="M79" s="277" t="str">
        <f t="shared" si="41"/>
        <v/>
      </c>
    </row>
    <row r="80" spans="2:13">
      <c r="B80" s="25" t="s">
        <v>28</v>
      </c>
      <c r="C80" s="265">
        <f t="shared" ref="C80:M80" si="42">IF(C$4="","",C31)</f>
        <v>27153285</v>
      </c>
      <c r="D80" s="277">
        <f t="shared" si="42"/>
        <v>26334346</v>
      </c>
      <c r="E80" s="277">
        <f t="shared" si="42"/>
        <v>25474943</v>
      </c>
      <c r="F80" s="277">
        <f t="shared" si="42"/>
        <v>22403370</v>
      </c>
      <c r="G80" s="277">
        <f t="shared" si="42"/>
        <v>19185525</v>
      </c>
      <c r="H80" s="277">
        <f t="shared" si="42"/>
        <v>13029578</v>
      </c>
      <c r="I80" s="277">
        <f t="shared" si="42"/>
        <v>5787484</v>
      </c>
      <c r="J80" s="277">
        <f t="shared" si="42"/>
        <v>3585013</v>
      </c>
      <c r="K80" s="277">
        <f t="shared" si="42"/>
        <v>2376940</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4">
        <v>0.6</v>
      </c>
      <c r="E4" s="24"/>
      <c r="F4" s="4" t="s">
        <v>74</v>
      </c>
      <c r="G4" s="18">
        <f>6476567+10386931</f>
        <v>16863498</v>
      </c>
      <c r="H4" s="234">
        <v>0.9</v>
      </c>
    </row>
    <row r="5" spans="2:8" ht="15" customHeight="1">
      <c r="B5" s="1" t="s">
        <v>31</v>
      </c>
      <c r="C5" s="18">
        <v>0</v>
      </c>
      <c r="D5" s="234">
        <v>0.6</v>
      </c>
      <c r="E5" s="24"/>
      <c r="F5" s="1" t="s">
        <v>27</v>
      </c>
      <c r="G5" s="18">
        <v>34347</v>
      </c>
      <c r="H5" s="234">
        <v>0.7</v>
      </c>
    </row>
    <row r="6" spans="2:8" ht="15" customHeight="1">
      <c r="B6" s="4" t="s">
        <v>8</v>
      </c>
      <c r="C6" s="18">
        <v>2050919</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1147862</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4">
        <v>0.4</v>
      </c>
      <c r="F15" s="4" t="s">
        <v>75</v>
      </c>
      <c r="G15" s="18">
        <v>710000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1800</v>
      </c>
      <c r="H17" s="234">
        <v>0.6</v>
      </c>
    </row>
    <row r="18" spans="2:8" ht="15" customHeight="1">
      <c r="B18" s="4" t="s">
        <v>144</v>
      </c>
      <c r="C18" s="18">
        <v>0</v>
      </c>
      <c r="D18" s="234">
        <v>0.6</v>
      </c>
      <c r="F18" s="4" t="s">
        <v>151</v>
      </c>
      <c r="G18" s="18">
        <v>112883</v>
      </c>
      <c r="H18" s="234">
        <v>0.1</v>
      </c>
    </row>
    <row r="19" spans="2:8" ht="15" customHeight="1">
      <c r="B19" s="4" t="s">
        <v>24</v>
      </c>
      <c r="C19" s="18">
        <f>9430196+359674</f>
        <v>9789870</v>
      </c>
      <c r="D19" s="234">
        <v>0.1</v>
      </c>
      <c r="F19" s="4" t="s">
        <v>152</v>
      </c>
      <c r="G19" s="18">
        <v>0</v>
      </c>
      <c r="H19" s="234">
        <v>0.1</v>
      </c>
    </row>
    <row r="20" spans="2:8" ht="15" customHeight="1">
      <c r="B20" s="4" t="s">
        <v>16</v>
      </c>
      <c r="C20" s="18">
        <v>2236840</v>
      </c>
      <c r="D20" s="234">
        <v>0.05</v>
      </c>
      <c r="F20" s="4" t="s">
        <v>149</v>
      </c>
      <c r="G20" s="18">
        <v>0</v>
      </c>
      <c r="H20" s="234">
        <v>0.2</v>
      </c>
    </row>
    <row r="21" spans="2:8" ht="15" customHeight="1">
      <c r="B21" s="4" t="s">
        <v>17</v>
      </c>
      <c r="C21" s="18">
        <v>13071</v>
      </c>
      <c r="D21" s="234">
        <v>0.05</v>
      </c>
      <c r="F21" s="1" t="s">
        <v>150</v>
      </c>
      <c r="G21" s="18">
        <v>32030</v>
      </c>
      <c r="H21" s="234">
        <v>0.1</v>
      </c>
    </row>
    <row r="22" spans="2:8" ht="15" customHeight="1">
      <c r="B22" s="4" t="s">
        <v>18</v>
      </c>
      <c r="C22" s="18">
        <v>382149</v>
      </c>
      <c r="D22" s="234">
        <v>0.9</v>
      </c>
      <c r="H22" s="235"/>
    </row>
    <row r="23" spans="2:8" ht="15" customHeight="1">
      <c r="B23" s="4" t="s">
        <v>19</v>
      </c>
      <c r="C23" s="18">
        <f>112402</f>
        <v>112402</v>
      </c>
      <c r="D23" s="234">
        <v>0</v>
      </c>
      <c r="H23" s="235"/>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4">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25610542</v>
      </c>
      <c r="D46" s="73">
        <f>H29</f>
        <v>10301265.550000004</v>
      </c>
      <c r="F46" s="226"/>
    </row>
    <row r="47" spans="2:8" ht="15" customHeight="1">
      <c r="B47" s="1" t="str">
        <f>"Equity per share ("&amp;Market_currency&amp;")"</f>
        <v>Equity per share (HKD)</v>
      </c>
      <c r="C47" s="134">
        <f>C46*H1/Common_Shares*Exchange_Rate</f>
        <v>3.089037603784476</v>
      </c>
      <c r="D47" s="134">
        <f>D46*H1/Common_Shares*Exchange_Rate</f>
        <v>1.2424960256803461</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0.2356683101838101</v>
      </c>
      <c r="D50" s="92">
        <f>G31/Normalized_FCF!G8</f>
        <v>0.1723700558857961</v>
      </c>
      <c r="F50" s="226"/>
    </row>
    <row r="51" spans="2:8" ht="15" customHeight="1">
      <c r="B51" s="1" t="s">
        <v>146</v>
      </c>
      <c r="C51" s="163"/>
      <c r="D51" s="89">
        <f>G29/G32</f>
        <v>0.7554132056707118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0.222044403270099</v>
      </c>
      <c r="D54" s="89">
        <f>Normalized_FCF!G8/G35</f>
        <v>0.30358422195504309</v>
      </c>
      <c r="F54" s="226"/>
    </row>
    <row r="55" spans="2:8" ht="15" customHeight="1">
      <c r="B55" s="1" t="s">
        <v>118</v>
      </c>
      <c r="C55" s="89">
        <f>Normalized_FCF!C9/G40</f>
        <v>-6.8613366776013236E-4</v>
      </c>
      <c r="D55" s="89">
        <f>Normalized_FCF!G9/G40</f>
        <v>-6.8613366776013236E-4</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0.35474202595056387</v>
      </c>
      <c r="F59" s="226"/>
    </row>
    <row r="60" spans="2:8" ht="15" customHeight="1">
      <c r="F60" s="226"/>
    </row>
    <row r="61" spans="2:8" ht="15" customHeight="1">
      <c r="B61" s="143" t="s">
        <v>231</v>
      </c>
      <c r="C61" s="213" t="s">
        <v>114</v>
      </c>
      <c r="D61" s="179" t="s">
        <v>91</v>
      </c>
      <c r="F61" s="226"/>
    </row>
    <row r="62" spans="2:8" ht="15" customHeight="1">
      <c r="B62" s="1" t="s">
        <v>210</v>
      </c>
      <c r="C62" s="89">
        <f>IF(G28&lt;=0,0,G28/G29)</f>
        <v>6.023859237340623E-2</v>
      </c>
      <c r="D62" s="89">
        <f>G28/G29</f>
        <v>6.023859237340623E-2</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17607845</v>
      </c>
      <c r="D66" s="73">
        <f>C66-D75</f>
        <v>15073642.522995466</v>
      </c>
      <c r="F66" s="5" t="s">
        <v>193</v>
      </c>
    </row>
    <row r="67" spans="2:6" ht="15" customHeight="1">
      <c r="B67" s="102" t="s">
        <v>147</v>
      </c>
      <c r="C67" s="19">
        <f>G6+G16</f>
        <v>0</v>
      </c>
      <c r="F67" s="226"/>
    </row>
    <row r="68" spans="2:6" ht="15" customHeight="1">
      <c r="B68" s="102" t="s">
        <v>151</v>
      </c>
      <c r="C68" s="19">
        <f>G18</f>
        <v>112883</v>
      </c>
      <c r="F68" s="226"/>
    </row>
    <row r="69" spans="2:6" ht="15" customHeight="1">
      <c r="B69" s="102" t="s">
        <v>149</v>
      </c>
      <c r="C69" s="19">
        <f>G8+G20</f>
        <v>0</v>
      </c>
      <c r="F69" s="226"/>
    </row>
    <row r="70" spans="2:6" ht="15" customHeight="1">
      <c r="B70" s="77" t="s">
        <v>158</v>
      </c>
      <c r="C70" s="78">
        <f>SUM(C66:C69)</f>
        <v>17720728</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-1567094.0963488</v>
      </c>
      <c r="D73" s="292">
        <f>(Normalized_FCF!C26+Normalized_FCF!C35-Normalized_FCF!C89)/12</f>
        <v>-1267101.2385022666</v>
      </c>
      <c r="F73" s="1" t="s">
        <v>278</v>
      </c>
    </row>
    <row r="74" spans="2:6" ht="15" customHeight="1">
      <c r="B74" s="230" t="s">
        <v>259</v>
      </c>
      <c r="C74" s="231">
        <f>-$C$66/C73</f>
        <v>11.235984514921489</v>
      </c>
      <c r="D74" s="231">
        <f>-$C$66/D73</f>
        <v>13.896162725570964</v>
      </c>
      <c r="F74" s="226" t="s">
        <v>257</v>
      </c>
    </row>
    <row r="75" spans="2:6" ht="15" customHeight="1">
      <c r="B75" s="77" t="s">
        <v>258</v>
      </c>
      <c r="C75" s="267"/>
      <c r="D75" s="268">
        <f>MAX(-D73*D76,G5)</f>
        <v>2534202.4770045332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1800</v>
      </c>
      <c r="D79" s="73">
        <f>G7*H7+G17*H17</f>
        <v>1080</v>
      </c>
      <c r="F79" s="226"/>
    </row>
    <row r="80" spans="2:6" ht="15" customHeight="1">
      <c r="B80" s="102" t="s">
        <v>152</v>
      </c>
      <c r="C80" s="19">
        <f>G19</f>
        <v>0</v>
      </c>
      <c r="D80" s="73">
        <f>G19*H19</f>
        <v>0</v>
      </c>
      <c r="F80" s="226"/>
    </row>
    <row r="81" spans="2:8" ht="15" customHeight="1">
      <c r="B81" s="102" t="s">
        <v>150</v>
      </c>
      <c r="C81" s="19">
        <f>G9+G21</f>
        <v>32030</v>
      </c>
      <c r="D81" s="73">
        <f>G9*H9+G21*H21</f>
        <v>3203</v>
      </c>
      <c r="F81" s="226"/>
    </row>
    <row r="82" spans="2:8" ht="15" customHeight="1">
      <c r="B82" s="77" t="s">
        <v>159</v>
      </c>
      <c r="C82" s="78">
        <f>SUM(C79:C81)</f>
        <v>33830</v>
      </c>
      <c r="D82" s="78">
        <f>SUM(D79:D81)</f>
        <v>4283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923948.32612094993</v>
      </c>
      <c r="D86" s="203">
        <f>C86*scaling_factor/Common_Shares</f>
        <v>0.10192197153370404</v>
      </c>
      <c r="E86" s="217" t="str">
        <f>Market_currency</f>
        <v>HKD</v>
      </c>
    </row>
    <row r="87" spans="2:8" ht="15" customHeight="1">
      <c r="B87" s="215" t="s">
        <v>240</v>
      </c>
      <c r="C87" s="73">
        <f>DCF!F5*Exchange_Rate</f>
        <v>16481718.95304242</v>
      </c>
      <c r="D87" s="203">
        <f>C87*scaling_factor/Common_Shares</f>
        <v>1.8181203888436919</v>
      </c>
      <c r="E87" s="217" t="str">
        <f>Market_currency</f>
        <v>HKD</v>
      </c>
    </row>
    <row r="88" spans="2:8" ht="15" customHeight="1">
      <c r="B88" s="216" t="s">
        <v>159</v>
      </c>
      <c r="C88" s="73">
        <f>DCF!F6*Exchange_Rate</f>
        <v>4683.0885214499995</v>
      </c>
      <c r="D88" s="203">
        <f>C88*scaling_factor/Common_Shares</f>
        <v>5.1659773764291717E-4</v>
      </c>
      <c r="E88" s="217" t="str">
        <f>Market_currency</f>
        <v>HKD</v>
      </c>
    </row>
    <row r="89" spans="2:8" ht="15" customHeight="1">
      <c r="B89" s="77" t="s">
        <v>244</v>
      </c>
      <c r="C89" s="162">
        <f>SUM(C86:C88)</f>
        <v>17410350.367684819</v>
      </c>
      <c r="D89" s="219">
        <f>SUM(D86:D88)</f>
        <v>1.9205589581150389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G4*0.8</f>
        <v>16598840</v>
      </c>
      <c r="D4" s="54"/>
      <c r="E4" s="239"/>
      <c r="F4" s="54"/>
      <c r="G4" s="277">
        <f>Data!C36</f>
        <v>20748550</v>
      </c>
      <c r="H4" s="277">
        <f>Data!D36</f>
        <v>19532203</v>
      </c>
      <c r="I4" s="277">
        <f>Data!E36</f>
        <v>21310933</v>
      </c>
      <c r="J4" s="277">
        <f>Data!F36</f>
        <v>22776265</v>
      </c>
      <c r="K4" s="277">
        <f>Data!G36</f>
        <v>18592465</v>
      </c>
      <c r="L4" s="277">
        <f>Data!H36</f>
        <v>13721509</v>
      </c>
      <c r="M4" s="277">
        <f>Data!I36</f>
        <v>10391917</v>
      </c>
      <c r="N4" s="277">
        <f>Data!J36</f>
        <v>5887260</v>
      </c>
      <c r="O4" s="277">
        <f>Data!K36</f>
        <v>3724381</v>
      </c>
      <c r="P4" s="277" t="str">
        <f>Data!L36</f>
        <v/>
      </c>
      <c r="Q4" s="277" t="str">
        <f>Data!M36</f>
        <v/>
      </c>
    </row>
    <row r="5" spans="1:17" ht="15.75" customHeight="1">
      <c r="A5" s="10"/>
      <c r="B5" s="2" t="s">
        <v>43</v>
      </c>
      <c r="C5" s="273">
        <f>C26</f>
        <v>-11331976</v>
      </c>
      <c r="E5" s="241"/>
      <c r="G5" s="277">
        <f t="shared" ref="G5:Q5" si="1">G26</f>
        <v>-14164970</v>
      </c>
      <c r="H5" s="277">
        <f t="shared" si="1"/>
        <v>-13577917</v>
      </c>
      <c r="I5" s="277">
        <f t="shared" si="1"/>
        <v>-13905706</v>
      </c>
      <c r="J5" s="277">
        <f t="shared" si="1"/>
        <v>-13497981</v>
      </c>
      <c r="K5" s="277">
        <f t="shared" si="1"/>
        <v>-10375617</v>
      </c>
      <c r="L5" s="277">
        <f t="shared" si="1"/>
        <v>-7959903</v>
      </c>
      <c r="M5" s="277">
        <f t="shared" si="1"/>
        <v>-7034141</v>
      </c>
      <c r="N5" s="277">
        <f t="shared" si="1"/>
        <v>-4235907</v>
      </c>
      <c r="O5" s="277">
        <f t="shared" si="1"/>
        <v>-3059941</v>
      </c>
      <c r="P5" s="277" t="str">
        <f t="shared" si="1"/>
        <v/>
      </c>
      <c r="Q5" s="277" t="str">
        <f t="shared" si="1"/>
        <v/>
      </c>
    </row>
    <row r="6" spans="1:17" ht="15.75" customHeight="1">
      <c r="A6" s="10"/>
      <c r="B6" s="30" t="s">
        <v>45</v>
      </c>
      <c r="C6" s="274">
        <f>C4+C5</f>
        <v>5266864</v>
      </c>
      <c r="E6" s="241"/>
      <c r="G6" s="274">
        <f>IF(G4="","",G4+G5)</f>
        <v>6583580</v>
      </c>
      <c r="H6" s="274">
        <f t="shared" ref="H6:Q6" si="2">IF(H4="","",H4+H5)</f>
        <v>5954286</v>
      </c>
      <c r="I6" s="274">
        <f t="shared" si="2"/>
        <v>7405227</v>
      </c>
      <c r="J6" s="274">
        <f t="shared" si="2"/>
        <v>9278284</v>
      </c>
      <c r="K6" s="274">
        <f t="shared" si="2"/>
        <v>8216848</v>
      </c>
      <c r="L6" s="274">
        <f t="shared" si="2"/>
        <v>5761606</v>
      </c>
      <c r="M6" s="274">
        <f t="shared" si="2"/>
        <v>3357776</v>
      </c>
      <c r="N6" s="274">
        <f t="shared" si="2"/>
        <v>1651353</v>
      </c>
      <c r="O6" s="274">
        <f t="shared" si="2"/>
        <v>664440</v>
      </c>
      <c r="P6" s="274" t="str">
        <f t="shared" si="2"/>
        <v/>
      </c>
      <c r="Q6" s="274" t="str">
        <f t="shared" si="2"/>
        <v/>
      </c>
    </row>
    <row r="7" spans="1:17" ht="15.75" customHeight="1">
      <c r="A7" s="10"/>
      <c r="B7" s="8" t="s">
        <v>42</v>
      </c>
      <c r="C7" s="273">
        <f>C35</f>
        <v>-1681261</v>
      </c>
      <c r="E7" s="241"/>
      <c r="G7" s="273">
        <f t="shared" ref="G7:Q7" si="3">G35</f>
        <v>-1681261</v>
      </c>
      <c r="H7" s="273">
        <f t="shared" si="3"/>
        <v>-1762049</v>
      </c>
      <c r="I7" s="273">
        <f t="shared" si="3"/>
        <v>-1535012</v>
      </c>
      <c r="J7" s="273">
        <f t="shared" si="3"/>
        <v>-1207982</v>
      </c>
      <c r="K7" s="273">
        <f t="shared" si="3"/>
        <v>-1161214</v>
      </c>
      <c r="L7" s="273">
        <f t="shared" si="3"/>
        <v>-913226</v>
      </c>
      <c r="M7" s="273">
        <f t="shared" si="3"/>
        <v>-580289</v>
      </c>
      <c r="N7" s="273">
        <f t="shared" si="3"/>
        <v>-360540</v>
      </c>
      <c r="O7" s="273">
        <f t="shared" si="3"/>
        <v>-230858</v>
      </c>
      <c r="P7" s="273" t="str">
        <f t="shared" si="3"/>
        <v/>
      </c>
      <c r="Q7" s="273" t="str">
        <f t="shared" si="3"/>
        <v/>
      </c>
    </row>
    <row r="8" spans="1:17" ht="15.75" customHeight="1">
      <c r="A8" s="10"/>
      <c r="B8" s="28" t="s">
        <v>127</v>
      </c>
      <c r="C8" s="275">
        <f>C6+C7</f>
        <v>3585603</v>
      </c>
      <c r="D8" s="56"/>
      <c r="E8" s="247"/>
      <c r="F8" s="56"/>
      <c r="G8" s="274">
        <f>IF(G$4="","",G6+G7)</f>
        <v>4902319</v>
      </c>
      <c r="H8" s="274">
        <f t="shared" ref="H8:Q8" si="4">IF(H$4="","",H6+H7)</f>
        <v>4192237</v>
      </c>
      <c r="I8" s="274">
        <f t="shared" si="4"/>
        <v>5870215</v>
      </c>
      <c r="J8" s="274">
        <f t="shared" si="4"/>
        <v>8070302</v>
      </c>
      <c r="K8" s="274">
        <f t="shared" si="4"/>
        <v>7055634</v>
      </c>
      <c r="L8" s="274">
        <f t="shared" si="4"/>
        <v>4848380</v>
      </c>
      <c r="M8" s="274">
        <f t="shared" si="4"/>
        <v>2777487</v>
      </c>
      <c r="N8" s="274">
        <f t="shared" si="4"/>
        <v>1290813</v>
      </c>
      <c r="O8" s="274">
        <f t="shared" si="4"/>
        <v>433582</v>
      </c>
      <c r="P8" s="274" t="str">
        <f t="shared" si="4"/>
        <v/>
      </c>
      <c r="Q8" s="274" t="str">
        <f t="shared" si="4"/>
        <v/>
      </c>
    </row>
    <row r="9" spans="1:17" ht="15.75" customHeight="1">
      <c r="A9" s="10"/>
      <c r="B9" s="26" t="s">
        <v>418</v>
      </c>
      <c r="C9" s="307">
        <f>C61</f>
        <v>-12182</v>
      </c>
      <c r="D9" s="55"/>
      <c r="E9" s="240"/>
      <c r="F9" s="55"/>
      <c r="G9" s="277">
        <f>G59</f>
        <v>-12182</v>
      </c>
      <c r="H9" s="277">
        <f t="shared" ref="H9:Q9" si="5">H59</f>
        <v>-7408</v>
      </c>
      <c r="I9" s="277">
        <f t="shared" si="5"/>
        <v>-17253</v>
      </c>
      <c r="J9" s="277">
        <f t="shared" si="5"/>
        <v>-15586</v>
      </c>
      <c r="K9" s="277">
        <f t="shared" si="5"/>
        <v>-5571</v>
      </c>
      <c r="L9" s="277">
        <f t="shared" si="5"/>
        <v>0</v>
      </c>
      <c r="M9" s="277">
        <f t="shared" si="5"/>
        <v>0</v>
      </c>
      <c r="N9" s="277">
        <f t="shared" si="5"/>
        <v>0</v>
      </c>
      <c r="O9" s="277">
        <f t="shared" si="5"/>
        <v>0</v>
      </c>
      <c r="P9" s="277" t="str">
        <f t="shared" si="5"/>
        <v/>
      </c>
      <c r="Q9" s="277" t="str">
        <f t="shared" si="5"/>
        <v/>
      </c>
    </row>
    <row r="10" spans="1:17" ht="15.75" customHeight="1">
      <c r="A10" s="10"/>
      <c r="B10" s="2" t="s">
        <v>65</v>
      </c>
      <c r="C10" s="273">
        <f>C48</f>
        <v>-29440.785137972802</v>
      </c>
      <c r="E10" s="241"/>
      <c r="G10" s="273">
        <f>G48</f>
        <v>15.969801055245625</v>
      </c>
      <c r="H10" s="273">
        <f t="shared" ref="H10:Q10" si="6">H48</f>
        <v>-10181.869680805925</v>
      </c>
      <c r="I10" s="273">
        <f t="shared" si="6"/>
        <v>-33640</v>
      </c>
      <c r="J10" s="273">
        <f t="shared" si="6"/>
        <v>-29152</v>
      </c>
      <c r="K10" s="273">
        <f t="shared" si="6"/>
        <v>-50160</v>
      </c>
      <c r="L10" s="273">
        <f t="shared" si="6"/>
        <v>-72693</v>
      </c>
      <c r="M10" s="273">
        <f t="shared" si="6"/>
        <v>-58675</v>
      </c>
      <c r="N10" s="273">
        <f t="shared" si="6"/>
        <v>-21409</v>
      </c>
      <c r="O10" s="273">
        <f t="shared" si="6"/>
        <v>-26773</v>
      </c>
      <c r="P10" s="273" t="str">
        <f t="shared" si="6"/>
        <v/>
      </c>
      <c r="Q10" s="273" t="str">
        <f t="shared" si="6"/>
        <v/>
      </c>
    </row>
    <row r="11" spans="1:17" ht="15.75" customHeight="1">
      <c r="A11" s="10"/>
      <c r="B11" s="67" t="s">
        <v>137</v>
      </c>
      <c r="C11" s="274">
        <f>SUM(C8:C10)</f>
        <v>3543980.2148620272</v>
      </c>
      <c r="E11" s="241"/>
      <c r="G11" s="274">
        <f t="shared" ref="G11:Q11" si="7">IF(G$4="","",SUM(G8:G10))</f>
        <v>4890152.9698010553</v>
      </c>
      <c r="H11" s="274">
        <f t="shared" si="7"/>
        <v>4174647.1303191939</v>
      </c>
      <c r="I11" s="274">
        <f t="shared" si="7"/>
        <v>5819322</v>
      </c>
      <c r="J11" s="274">
        <f t="shared" si="7"/>
        <v>8025564</v>
      </c>
      <c r="K11" s="274">
        <f t="shared" si="7"/>
        <v>6999903</v>
      </c>
      <c r="L11" s="274">
        <f t="shared" si="7"/>
        <v>4775687</v>
      </c>
      <c r="M11" s="274">
        <f t="shared" si="7"/>
        <v>2718812</v>
      </c>
      <c r="N11" s="274">
        <f t="shared" si="7"/>
        <v>1269404</v>
      </c>
      <c r="O11" s="274">
        <f t="shared" si="7"/>
        <v>406809</v>
      </c>
      <c r="P11" s="274" t="str">
        <f t="shared" si="7"/>
        <v/>
      </c>
      <c r="Q11" s="274" t="str">
        <f t="shared" si="7"/>
        <v/>
      </c>
    </row>
    <row r="12" spans="1:17" ht="15.75" customHeight="1">
      <c r="A12" s="10"/>
      <c r="B12" s="2" t="s">
        <v>60</v>
      </c>
      <c r="C12" s="273">
        <f>-C11*C41</f>
        <v>-885995.0537155068</v>
      </c>
      <c r="E12" s="241"/>
      <c r="G12" s="273">
        <f>Data!C46</f>
        <v>-1895606</v>
      </c>
      <c r="H12" s="273">
        <f>Data!D46</f>
        <v>-1559940</v>
      </c>
      <c r="I12" s="273">
        <f>Data!E46</f>
        <v>-1715003</v>
      </c>
      <c r="J12" s="273">
        <f>Data!F46</f>
        <v>-2757433</v>
      </c>
      <c r="K12" s="273">
        <f>Data!G46</f>
        <v>-2463857</v>
      </c>
      <c r="L12" s="273">
        <f>Data!H46</f>
        <v>-1748099</v>
      </c>
      <c r="M12" s="273">
        <f>Data!I46</f>
        <v>-946317</v>
      </c>
      <c r="N12" s="273">
        <f>Data!J46</f>
        <v>-490835</v>
      </c>
      <c r="O12" s="273">
        <f>Data!K46</f>
        <v>-188795</v>
      </c>
      <c r="P12" s="273" t="str">
        <f>Data!L46</f>
        <v/>
      </c>
      <c r="Q12" s="273" t="str">
        <f>Data!M46</f>
        <v/>
      </c>
    </row>
    <row r="13" spans="1:17" ht="15.75" customHeight="1">
      <c r="A13" s="10"/>
      <c r="B13" s="38" t="s">
        <v>208</v>
      </c>
      <c r="C13" s="273">
        <f>-C4*C79</f>
        <v>-67196</v>
      </c>
      <c r="D13" s="57"/>
      <c r="E13" s="248"/>
      <c r="F13" s="57"/>
      <c r="G13" s="277">
        <f>Data!C48</f>
        <v>-83995</v>
      </c>
      <c r="H13" s="277">
        <f>Data!D48</f>
        <v>0</v>
      </c>
      <c r="I13" s="277">
        <f>Data!E48</f>
        <v>-6058</v>
      </c>
      <c r="J13" s="277">
        <f>Data!F48</f>
        <v>-43852</v>
      </c>
      <c r="K13" s="277">
        <f>Data!G48</f>
        <v>0</v>
      </c>
      <c r="L13" s="277">
        <f>Data!H48</f>
        <v>0</v>
      </c>
      <c r="M13" s="277">
        <f>Data!I48</f>
        <v>0</v>
      </c>
      <c r="N13" s="277">
        <f>Data!J48</f>
        <v>0</v>
      </c>
      <c r="O13" s="277">
        <f>Data!K48</f>
        <v>0</v>
      </c>
      <c r="P13" s="277" t="str">
        <f>Data!L48</f>
        <v/>
      </c>
      <c r="Q13" s="277" t="str">
        <f>Data!M48</f>
        <v/>
      </c>
    </row>
    <row r="14" spans="1:17" ht="15.75" customHeight="1">
      <c r="A14" s="10"/>
      <c r="B14" s="39" t="s">
        <v>129</v>
      </c>
      <c r="C14" s="276">
        <f>SUM(C11:C13)</f>
        <v>2590789.1611465206</v>
      </c>
      <c r="D14" s="58"/>
      <c r="E14" s="249"/>
      <c r="F14" s="58"/>
      <c r="G14" s="274">
        <f t="shared" ref="G14:Q14" si="8">IF(G$4="","",SUM(G11:G13))</f>
        <v>2910551.9698010553</v>
      </c>
      <c r="H14" s="274">
        <f t="shared" si="8"/>
        <v>2614707.1303191939</v>
      </c>
      <c r="I14" s="274">
        <f t="shared" si="8"/>
        <v>4098261</v>
      </c>
      <c r="J14" s="274">
        <f t="shared" si="8"/>
        <v>5224279</v>
      </c>
      <c r="K14" s="274">
        <f t="shared" si="8"/>
        <v>4536046</v>
      </c>
      <c r="L14" s="274">
        <f t="shared" si="8"/>
        <v>3027588</v>
      </c>
      <c r="M14" s="274">
        <f t="shared" si="8"/>
        <v>1772495</v>
      </c>
      <c r="N14" s="274">
        <f t="shared" si="8"/>
        <v>778569</v>
      </c>
      <c r="O14" s="274">
        <f t="shared" si="8"/>
        <v>218014</v>
      </c>
      <c r="P14" s="274" t="str">
        <f t="shared" si="8"/>
        <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t="str">
        <f>IF(Data!L61="","",-Data!L61)</f>
        <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t="str">
        <f>Data!L62</f>
        <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2590789.1611465206</v>
      </c>
      <c r="D19" s="26"/>
      <c r="E19" s="238"/>
      <c r="F19" s="26"/>
      <c r="G19" s="278">
        <f t="shared" ref="G19:Q19" si="9">IF(G$4="","",G14+G17)</f>
        <v>2910551.9698010553</v>
      </c>
      <c r="H19" s="278">
        <f t="shared" si="9"/>
        <v>2614707.1303191939</v>
      </c>
      <c r="I19" s="278">
        <f t="shared" si="9"/>
        <v>4098261</v>
      </c>
      <c r="J19" s="278">
        <f t="shared" si="9"/>
        <v>5224279</v>
      </c>
      <c r="K19" s="278">
        <f t="shared" si="9"/>
        <v>4536046</v>
      </c>
      <c r="L19" s="278">
        <f t="shared" si="9"/>
        <v>3027588</v>
      </c>
      <c r="M19" s="278">
        <f t="shared" si="9"/>
        <v>1772495</v>
      </c>
      <c r="N19" s="278">
        <f t="shared" si="9"/>
        <v>778569</v>
      </c>
      <c r="O19" s="278">
        <f t="shared" si="9"/>
        <v>218014</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-5586997.5999999996</v>
      </c>
      <c r="D23" s="55"/>
      <c r="E23" s="240"/>
      <c r="F23" s="55"/>
      <c r="G23" s="277">
        <f>Data!C37</f>
        <v>-6983747</v>
      </c>
      <c r="H23" s="277">
        <f>Data!D37</f>
        <v>-6868850</v>
      </c>
      <c r="I23" s="277">
        <f>Data!E37</f>
        <v>-7360333</v>
      </c>
      <c r="J23" s="277">
        <f>Data!F37</f>
        <v>-6768676</v>
      </c>
      <c r="K23" s="277">
        <f>Data!G37</f>
        <v>-5112187</v>
      </c>
      <c r="L23" s="277">
        <f>Data!H37</f>
        <v>-4111918</v>
      </c>
      <c r="M23" s="277">
        <f>Data!I37</f>
        <v>-3372827</v>
      </c>
      <c r="N23" s="277">
        <f>Data!J37</f>
        <v>-2096800</v>
      </c>
      <c r="O23" s="277">
        <f>Data!K37</f>
        <v>-1690421</v>
      </c>
      <c r="P23" s="277" t="str">
        <f>Data!L37</f>
        <v/>
      </c>
      <c r="Q23" s="277" t="str">
        <f>Data!M37</f>
        <v/>
      </c>
    </row>
    <row r="24" spans="1:17" ht="15.75" customHeight="1">
      <c r="A24" s="10"/>
      <c r="B24" s="65" t="s">
        <v>59</v>
      </c>
      <c r="C24" s="273">
        <f>-C4*C30</f>
        <v>-5744978.4000000004</v>
      </c>
      <c r="D24" s="26"/>
      <c r="E24" s="238"/>
      <c r="F24" s="26"/>
      <c r="G24" s="277">
        <f>Data!C40</f>
        <v>-7181223</v>
      </c>
      <c r="H24" s="277">
        <f>Data!D40</f>
        <v>-6709067</v>
      </c>
      <c r="I24" s="277">
        <f>Data!E40</f>
        <v>-6545373</v>
      </c>
      <c r="J24" s="277">
        <f>Data!F40</f>
        <v>-6729305</v>
      </c>
      <c r="K24" s="277">
        <f>Data!G40</f>
        <v>-5263430</v>
      </c>
      <c r="L24" s="277">
        <f>Data!H40</f>
        <v>-3847985</v>
      </c>
      <c r="M24" s="277">
        <f>Data!I40</f>
        <v>-3661314</v>
      </c>
      <c r="N24" s="277">
        <f>Data!J40</f>
        <v>-2139107</v>
      </c>
      <c r="O24" s="277">
        <f>Data!K40</f>
        <v>-1369520</v>
      </c>
      <c r="P24" s="277" t="str">
        <f>Data!L40</f>
        <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t="str">
        <f>Data!L42</f>
        <v/>
      </c>
      <c r="Q25" s="277" t="str">
        <f>Data!M42</f>
        <v/>
      </c>
    </row>
    <row r="26" spans="1:17" ht="15.75" customHeight="1">
      <c r="A26" s="10"/>
      <c r="B26" s="67" t="s">
        <v>43</v>
      </c>
      <c r="C26" s="274">
        <f>SUM(C23:C25)</f>
        <v>-11331976</v>
      </c>
      <c r="D26" s="9"/>
      <c r="E26" s="246"/>
      <c r="F26" s="9"/>
      <c r="G26" s="274">
        <f>IF(G$4="","",SUM(G23:G25))</f>
        <v>-14164970</v>
      </c>
      <c r="H26" s="274">
        <f t="shared" ref="H26:Q26" si="10">IF(H$4="","",SUM(H23:H25))</f>
        <v>-13577917</v>
      </c>
      <c r="I26" s="274">
        <f t="shared" si="10"/>
        <v>-13905706</v>
      </c>
      <c r="J26" s="274">
        <f t="shared" si="10"/>
        <v>-13497981</v>
      </c>
      <c r="K26" s="274">
        <f t="shared" si="10"/>
        <v>-10375617</v>
      </c>
      <c r="L26" s="274">
        <f t="shared" si="10"/>
        <v>-7959903</v>
      </c>
      <c r="M26" s="274">
        <f t="shared" si="10"/>
        <v>-7034141</v>
      </c>
      <c r="N26" s="274">
        <f t="shared" si="10"/>
        <v>-4235907</v>
      </c>
      <c r="O26" s="274">
        <f t="shared" si="10"/>
        <v>-3059941</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0.33658964120384316</v>
      </c>
      <c r="D29" s="25"/>
      <c r="E29" s="239"/>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9"/>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1"/>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-1681261</v>
      </c>
      <c r="D35" s="55"/>
      <c r="E35" s="240"/>
      <c r="F35" s="55"/>
      <c r="G35" s="274">
        <f>IF(G4="","",Data!C41)</f>
        <v>-1681261</v>
      </c>
      <c r="H35" s="274">
        <f>IF(H4="","",Data!D41)</f>
        <v>-1762049</v>
      </c>
      <c r="I35" s="274">
        <f>IF(I4="","",Data!E41)</f>
        <v>-1535012</v>
      </c>
      <c r="J35" s="274">
        <f>IF(J4="","",Data!F41)</f>
        <v>-1207982</v>
      </c>
      <c r="K35" s="274">
        <f>IF(K4="","",Data!G41)</f>
        <v>-1161214</v>
      </c>
      <c r="L35" s="274">
        <f>IF(L4="","",Data!H41)</f>
        <v>-913226</v>
      </c>
      <c r="M35" s="274">
        <f>IF(M4="","",Data!I41)</f>
        <v>-580289</v>
      </c>
      <c r="N35" s="274">
        <f>IF(N4="","",Data!J41)</f>
        <v>-360540</v>
      </c>
      <c r="O35" s="274">
        <f>IF(O4="","",Data!K41)</f>
        <v>-230858</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0.10128786107944893</v>
      </c>
      <c r="E38" s="241"/>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-44646</v>
      </c>
      <c r="E45" s="241"/>
      <c r="G45" s="273">
        <f>Data!C51</f>
        <v>-44646</v>
      </c>
      <c r="H45" s="273">
        <f>Data!D51</f>
        <v>-53132</v>
      </c>
      <c r="I45" s="273">
        <f>Data!E51</f>
        <v>-33640</v>
      </c>
      <c r="J45" s="273">
        <f>Data!F51</f>
        <v>-29152</v>
      </c>
      <c r="K45" s="273">
        <f>Data!G51</f>
        <v>-50160</v>
      </c>
      <c r="L45" s="273">
        <f>Data!H51</f>
        <v>-72693</v>
      </c>
      <c r="M45" s="273">
        <f>Data!I51</f>
        <v>-58675</v>
      </c>
      <c r="N45" s="273">
        <f>Data!J51</f>
        <v>-21409</v>
      </c>
      <c r="O45" s="273">
        <f>Data!K51</f>
        <v>-26773</v>
      </c>
      <c r="P45" s="273" t="str">
        <f>Data!L51</f>
        <v/>
      </c>
      <c r="Q45" s="273" t="str">
        <f>Data!M51</f>
        <v/>
      </c>
    </row>
    <row r="46" spans="1:17" ht="15.75" customHeight="1">
      <c r="A46" s="10"/>
      <c r="B46" s="2" t="s">
        <v>272</v>
      </c>
      <c r="C46" s="273">
        <f>BS!D75*C51</f>
        <v>15205.2148620272</v>
      </c>
      <c r="E46" s="241"/>
      <c r="G46" s="281">
        <f t="shared" ref="G46:Q46" si="17">IFERROR(IF(G$4="","",($C$46/$C$47)*G47),0)</f>
        <v>44661.969801055246</v>
      </c>
      <c r="H46" s="281">
        <f t="shared" si="17"/>
        <v>42950.130319194075</v>
      </c>
      <c r="I46" s="281">
        <f t="shared" si="17"/>
        <v>0</v>
      </c>
      <c r="J46" s="281">
        <f t="shared" si="17"/>
        <v>0</v>
      </c>
      <c r="K46" s="281">
        <f t="shared" si="17"/>
        <v>0</v>
      </c>
      <c r="L46" s="281">
        <f t="shared" si="17"/>
        <v>0</v>
      </c>
      <c r="M46" s="281">
        <f t="shared" si="17"/>
        <v>0</v>
      </c>
      <c r="N46" s="281">
        <f t="shared" si="17"/>
        <v>0</v>
      </c>
      <c r="O46" s="281">
        <f t="shared" si="17"/>
        <v>0</v>
      </c>
      <c r="P46" s="281" t="str">
        <f t="shared" si="17"/>
        <v/>
      </c>
      <c r="Q46" s="281" t="str">
        <f t="shared" si="17"/>
        <v/>
      </c>
    </row>
    <row r="47" spans="1:17" ht="15.75" customHeight="1">
      <c r="A47" s="10"/>
      <c r="B47" s="251" t="s">
        <v>269</v>
      </c>
      <c r="C47" s="285">
        <f>BS!$C$66*C51</f>
        <v>105647.07</v>
      </c>
      <c r="D47" s="252"/>
      <c r="E47" s="253"/>
      <c r="F47" s="252"/>
      <c r="G47" s="285">
        <f>Data!C52</f>
        <v>310315</v>
      </c>
      <c r="H47" s="285">
        <f>Data!D52</f>
        <v>298421</v>
      </c>
      <c r="I47" s="285">
        <f>Data!E52</f>
        <v>0</v>
      </c>
      <c r="J47" s="285">
        <f>Data!F52</f>
        <v>0</v>
      </c>
      <c r="K47" s="285">
        <f>Data!G52</f>
        <v>0</v>
      </c>
      <c r="L47" s="285">
        <f>Data!H52</f>
        <v>0</v>
      </c>
      <c r="M47" s="285">
        <f>Data!I52</f>
        <v>0</v>
      </c>
      <c r="N47" s="285">
        <f>Data!J52</f>
        <v>0</v>
      </c>
      <c r="O47" s="285">
        <f>Data!K52</f>
        <v>0</v>
      </c>
      <c r="P47" s="285" t="str">
        <f>Data!L52</f>
        <v/>
      </c>
      <c r="Q47" s="285" t="str">
        <f>Data!M52</f>
        <v/>
      </c>
    </row>
    <row r="48" spans="1:17" ht="15.75" customHeight="1">
      <c r="A48" s="10"/>
      <c r="B48" s="67" t="s">
        <v>65</v>
      </c>
      <c r="C48" s="274">
        <f>C45+C46</f>
        <v>-29440.785137972802</v>
      </c>
      <c r="E48" s="241"/>
      <c r="G48" s="274">
        <f>IF(G$4="","",(G45+G46))</f>
        <v>15.969801055245625</v>
      </c>
      <c r="H48" s="274">
        <f t="shared" ref="H48:Q48" si="18">IF(H$4="","",(H45+H46))</f>
        <v>-10181.869680805925</v>
      </c>
      <c r="I48" s="274">
        <f t="shared" si="18"/>
        <v>-33640</v>
      </c>
      <c r="J48" s="274">
        <f t="shared" si="18"/>
        <v>-29152</v>
      </c>
      <c r="K48" s="274">
        <f t="shared" si="18"/>
        <v>-50160</v>
      </c>
      <c r="L48" s="274">
        <f t="shared" si="18"/>
        <v>-72693</v>
      </c>
      <c r="M48" s="274">
        <f t="shared" si="18"/>
        <v>-58675</v>
      </c>
      <c r="N48" s="274">
        <f t="shared" si="18"/>
        <v>-21409</v>
      </c>
      <c r="O48" s="274">
        <f t="shared" si="18"/>
        <v>-26773</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8"/>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80.311853245531509</v>
      </c>
      <c r="E53" s="241"/>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t="str">
        <f>Data!L56</f>
        <v/>
      </c>
      <c r="Q56" s="273" t="str">
        <f>Data!M56</f>
        <v/>
      </c>
    </row>
    <row r="57" spans="1:17" ht="15.75" customHeight="1">
      <c r="A57" s="10"/>
      <c r="B57" s="38" t="s">
        <v>134</v>
      </c>
      <c r="C57" s="273">
        <f>BS!$C68*C65</f>
        <v>-12182</v>
      </c>
      <c r="E57" s="241"/>
      <c r="G57" s="273">
        <f>Data!C55</f>
        <v>-12182</v>
      </c>
      <c r="H57" s="273">
        <f>Data!D55</f>
        <v>-7408</v>
      </c>
      <c r="I57" s="273">
        <f>Data!E55</f>
        <v>-17253</v>
      </c>
      <c r="J57" s="273">
        <f>Data!F55</f>
        <v>-15586</v>
      </c>
      <c r="K57" s="273">
        <f>Data!G55</f>
        <v>-5571</v>
      </c>
      <c r="L57" s="273">
        <f>Data!H55</f>
        <v>0</v>
      </c>
      <c r="M57" s="273">
        <f>Data!I55</f>
        <v>0</v>
      </c>
      <c r="N57" s="273">
        <f>Data!J55</f>
        <v>0</v>
      </c>
      <c r="O57" s="273">
        <f>Data!K55</f>
        <v>0</v>
      </c>
      <c r="P57" s="273" t="str">
        <f>Data!L55</f>
        <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t="str">
        <f>Data!L57</f>
        <v/>
      </c>
      <c r="Q58" s="273" t="str">
        <f>Data!M57</f>
        <v/>
      </c>
    </row>
    <row r="59" spans="1:17" ht="15.75" customHeight="1">
      <c r="A59" s="10"/>
      <c r="B59" s="30" t="s">
        <v>163</v>
      </c>
      <c r="C59" s="274">
        <f>SUM(C56:C58)</f>
        <v>-12182</v>
      </c>
      <c r="E59" s="241"/>
      <c r="G59" s="274">
        <f t="shared" ref="G59:Q59" si="20">IF(G4="","",SUM(G56:G58))</f>
        <v>-12182</v>
      </c>
      <c r="H59" s="274">
        <f t="shared" si="20"/>
        <v>-7408</v>
      </c>
      <c r="I59" s="274">
        <f t="shared" si="20"/>
        <v>-17253</v>
      </c>
      <c r="J59" s="274">
        <f t="shared" si="20"/>
        <v>-15586</v>
      </c>
      <c r="K59" s="274">
        <f t="shared" si="20"/>
        <v>-5571</v>
      </c>
      <c r="L59" s="274">
        <f t="shared" si="20"/>
        <v>0</v>
      </c>
      <c r="M59" s="274">
        <f t="shared" si="20"/>
        <v>0</v>
      </c>
      <c r="N59" s="274">
        <f t="shared" si="20"/>
        <v>0</v>
      </c>
      <c r="O59" s="274">
        <f t="shared" si="20"/>
        <v>0</v>
      </c>
      <c r="P59" s="274" t="str">
        <f t="shared" si="20"/>
        <v/>
      </c>
      <c r="Q59" s="274" t="str">
        <f t="shared" si="20"/>
        <v/>
      </c>
    </row>
    <row r="60" spans="1:17" ht="15.75" customHeight="1">
      <c r="A60" s="10"/>
      <c r="B60" s="38" t="s">
        <v>135</v>
      </c>
      <c r="C60" s="286">
        <v>0</v>
      </c>
      <c r="E60" s="239" t="s">
        <v>264</v>
      </c>
      <c r="G60" s="273">
        <f>Data!C58</f>
        <v>393920</v>
      </c>
      <c r="H60" s="273">
        <f>Data!D58</f>
        <v>420174</v>
      </c>
      <c r="I60" s="273">
        <f>Data!E58</f>
        <v>843787</v>
      </c>
      <c r="J60" s="273">
        <f>Data!F58</f>
        <v>1646765</v>
      </c>
      <c r="K60" s="273">
        <f>Data!G58</f>
        <v>2900586</v>
      </c>
      <c r="L60" s="273">
        <f>Data!H58</f>
        <v>906989</v>
      </c>
      <c r="M60" s="273">
        <f>Data!I58</f>
        <v>469759</v>
      </c>
      <c r="N60" s="273">
        <f>Data!J58</f>
        <v>381657</v>
      </c>
      <c r="O60" s="273">
        <f>Data!K58</f>
        <v>188138</v>
      </c>
      <c r="P60" s="273" t="str">
        <f>Data!L58</f>
        <v/>
      </c>
      <c r="Q60" s="273" t="str">
        <f>Data!M58</f>
        <v/>
      </c>
    </row>
    <row r="61" spans="1:17" ht="15.75" customHeight="1">
      <c r="A61" s="10"/>
      <c r="B61" s="30" t="s">
        <v>164</v>
      </c>
      <c r="C61" s="274">
        <f>C59+C60</f>
        <v>-12182</v>
      </c>
      <c r="E61" s="241"/>
      <c r="G61" s="274">
        <f t="shared" ref="G61:Q61" si="21">IF(G4="","",G59+G60)</f>
        <v>381738</v>
      </c>
      <c r="H61" s="274">
        <f t="shared" si="21"/>
        <v>412766</v>
      </c>
      <c r="I61" s="274">
        <f t="shared" si="21"/>
        <v>826534</v>
      </c>
      <c r="J61" s="274">
        <f t="shared" si="21"/>
        <v>1631179</v>
      </c>
      <c r="K61" s="274">
        <f t="shared" si="21"/>
        <v>2895015</v>
      </c>
      <c r="L61" s="274">
        <f t="shared" si="21"/>
        <v>906989</v>
      </c>
      <c r="M61" s="274">
        <f t="shared" si="21"/>
        <v>469759</v>
      </c>
      <c r="N61" s="274">
        <f t="shared" si="21"/>
        <v>381657</v>
      </c>
      <c r="O61" s="274">
        <f t="shared" si="21"/>
        <v>188138</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41"/>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6"/>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8"/>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8"/>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8"/>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8"/>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8"/>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8"/>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8"/>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8"/>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7">
        <f>MIN(BS!C62,MAX(G79:K79))</f>
        <v>4.0482346959185098E-3</v>
      </c>
      <c r="D79" s="26"/>
      <c r="E79" s="238"/>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8"/>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0.15608254318654319</v>
      </c>
      <c r="D85" s="72"/>
      <c r="E85" s="238"/>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0.1209*2</f>
        <v>0.24179999999999999</v>
      </c>
      <c r="E88" s="241"/>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1"/>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1"/>
      <c r="G90" s="152">
        <f t="shared" ref="G90:Q90" si="37">IF(G$4="","",G88/(G19*scaling_factor/Common_Shares))</f>
        <v>1.0166106590386186</v>
      </c>
      <c r="H90" s="152">
        <f t="shared" si="37"/>
        <v>0.98220782662939587</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6.0299251870324193E-2</v>
      </c>
      <c r="E92" s="241"/>
      <c r="G92" s="22">
        <f t="shared" ref="G92:Q92" si="38">IF(G$4="","",(G88*(1-dividend_tax_rate))/Market_Price)</f>
        <v>8.1396508728179565E-2</v>
      </c>
      <c r="H92" s="22">
        <f t="shared" si="38"/>
        <v>7.0648379052369079E-2</v>
      </c>
      <c r="I92" s="22">
        <f t="shared" si="38"/>
        <v>7.1122194513715722E-2</v>
      </c>
      <c r="J92" s="22">
        <f t="shared" si="38"/>
        <v>0.117356608478803</v>
      </c>
      <c r="K92" s="22">
        <f t="shared" si="38"/>
        <v>7.384039900249377E-2</v>
      </c>
      <c r="L92" s="22">
        <f t="shared" si="38"/>
        <v>0</v>
      </c>
      <c r="M92" s="22">
        <f t="shared" si="38"/>
        <v>0</v>
      </c>
      <c r="N92" s="22">
        <f t="shared" si="38"/>
        <v>0</v>
      </c>
      <c r="O92" s="22">
        <f t="shared" si="38"/>
        <v>0</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-0.19999999999999996</v>
      </c>
      <c r="D95" s="26"/>
      <c r="E95" s="238"/>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8"/>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33902693</v>
      </c>
      <c r="D100" s="25"/>
      <c r="E100" s="242"/>
      <c r="F100" s="25"/>
      <c r="G100" s="277">
        <f t="shared" ref="G100:Q100" si="41">IF(G$4="","",G104+G103)</f>
        <v>33902693</v>
      </c>
      <c r="H100" s="277">
        <f t="shared" si="41"/>
        <v>36194678</v>
      </c>
      <c r="I100" s="277">
        <f t="shared" si="41"/>
        <v>35515773</v>
      </c>
      <c r="J100" s="277">
        <f t="shared" si="41"/>
        <v>31481424</v>
      </c>
      <c r="K100" s="277">
        <f t="shared" si="41"/>
        <v>28322838</v>
      </c>
      <c r="L100" s="277">
        <f t="shared" si="41"/>
        <v>23003749</v>
      </c>
      <c r="M100" s="277">
        <f t="shared" si="41"/>
        <v>11857435</v>
      </c>
      <c r="N100" s="277">
        <f t="shared" si="41"/>
        <v>7013558</v>
      </c>
      <c r="O100" s="277">
        <f t="shared" si="41"/>
        <v>4694947</v>
      </c>
      <c r="P100" s="277" t="str">
        <f t="shared" si="41"/>
        <v/>
      </c>
      <c r="Q100" s="277" t="str">
        <f t="shared" si="41"/>
        <v/>
      </c>
    </row>
    <row r="101" spans="1:17" ht="15.75" customHeight="1">
      <c r="A101" s="10"/>
      <c r="B101" s="90" t="s">
        <v>179</v>
      </c>
      <c r="C101" s="288">
        <f>BS!C4</f>
        <v>334915</v>
      </c>
      <c r="D101" s="86"/>
      <c r="E101" s="243"/>
      <c r="F101" s="86"/>
      <c r="G101" s="289">
        <f>IF(G$4="","",Data!D77)</f>
        <v>431184</v>
      </c>
      <c r="H101" s="289">
        <f>IF(H$4="","",Data!E77)</f>
        <v>430651</v>
      </c>
      <c r="I101" s="289">
        <f>IF(I$4="","",Data!F77)</f>
        <v>477328</v>
      </c>
      <c r="J101" s="289">
        <f>IF(J$4="","",Data!G77)</f>
        <v>288808</v>
      </c>
      <c r="K101" s="289">
        <f>IF(K$4="","",Data!H77)</f>
        <v>314353</v>
      </c>
      <c r="L101" s="289">
        <f>IF(L$4="","",Data!I77)</f>
        <v>0</v>
      </c>
      <c r="M101" s="289">
        <f>IF(M$4="","",Data!J77)</f>
        <v>0</v>
      </c>
      <c r="N101" s="289">
        <f>IF(N$4="","",Data!K77)</f>
        <v>0</v>
      </c>
      <c r="O101" s="289">
        <f>IF(O$4="","",Data!L77)</f>
        <v>0</v>
      </c>
      <c r="P101" s="289" t="str">
        <f>IF(P$4="","",Data!M77)</f>
        <v/>
      </c>
      <c r="Q101" s="289" t="str">
        <f>IF(Q$4="","",Data!N77)</f>
        <v/>
      </c>
    </row>
    <row r="102" spans="1:17" ht="15.75" customHeight="1">
      <c r="A102" s="10"/>
      <c r="B102" s="90" t="s">
        <v>180</v>
      </c>
      <c r="C102" s="288">
        <f>BS!C6+BS!C7</f>
        <v>2050919</v>
      </c>
      <c r="D102" s="86"/>
      <c r="E102" s="243"/>
      <c r="F102" s="86"/>
      <c r="G102" s="289">
        <f>IF(G$4="","",Data!D78)</f>
        <v>2258059</v>
      </c>
      <c r="H102" s="289">
        <f>IF(H$4="","",Data!E78)</f>
        <v>1994166</v>
      </c>
      <c r="I102" s="289">
        <f>IF(I$4="","",Data!F78)</f>
        <v>1721807</v>
      </c>
      <c r="J102" s="289">
        <f>IF(J$4="","",Data!G78)</f>
        <v>1284472</v>
      </c>
      <c r="K102" s="289">
        <f>IF(K$4="","",Data!H78)</f>
        <v>686094</v>
      </c>
      <c r="L102" s="289">
        <f>IF(L$4="","",Data!I78)</f>
        <v>0</v>
      </c>
      <c r="M102" s="289">
        <f>IF(M$4="","",Data!J78)</f>
        <v>0</v>
      </c>
      <c r="N102" s="289">
        <f>IF(N$4="","",Data!K78)</f>
        <v>0</v>
      </c>
      <c r="O102" s="289">
        <f>IF(O$4="","",Data!L78)</f>
        <v>0</v>
      </c>
      <c r="P102" s="289" t="str">
        <f>IF(P$4="","",Data!M78)</f>
        <v/>
      </c>
      <c r="Q102" s="289" t="str">
        <f>IF(Q$4="","",Data!N78)</f>
        <v/>
      </c>
    </row>
    <row r="103" spans="1:17" ht="15.75" customHeight="1">
      <c r="A103" s="10"/>
      <c r="B103" s="25" t="s">
        <v>38</v>
      </c>
      <c r="C103" s="287">
        <f>BS!G30</f>
        <v>6749408</v>
      </c>
      <c r="D103" s="25"/>
      <c r="E103" s="242"/>
      <c r="F103" s="25"/>
      <c r="G103" s="277">
        <f>Data!C79</f>
        <v>6749408</v>
      </c>
      <c r="H103" s="277">
        <f>Data!D79</f>
        <v>9860332</v>
      </c>
      <c r="I103" s="277">
        <f>Data!E79</f>
        <v>10040830</v>
      </c>
      <c r="J103" s="277">
        <f>Data!F79</f>
        <v>9078054</v>
      </c>
      <c r="K103" s="277">
        <f>Data!G79</f>
        <v>9137313</v>
      </c>
      <c r="L103" s="277">
        <f>Data!H79</f>
        <v>9974171</v>
      </c>
      <c r="M103" s="277">
        <f>Data!I79</f>
        <v>6069951</v>
      </c>
      <c r="N103" s="277">
        <f>Data!J79</f>
        <v>3428545</v>
      </c>
      <c r="O103" s="277">
        <f>Data!K79</f>
        <v>2318007</v>
      </c>
      <c r="P103" s="277" t="str">
        <f>Data!L79</f>
        <v/>
      </c>
      <c r="Q103" s="277" t="str">
        <f>Data!M79</f>
        <v/>
      </c>
    </row>
    <row r="104" spans="1:17" ht="15.75" customHeight="1">
      <c r="A104" s="10"/>
      <c r="B104" s="25" t="s">
        <v>28</v>
      </c>
      <c r="C104" s="287">
        <f>BS!G27</f>
        <v>27153285</v>
      </c>
      <c r="D104" s="25"/>
      <c r="E104" s="242"/>
      <c r="F104" s="25"/>
      <c r="G104" s="277">
        <f>Data!C80</f>
        <v>27153285</v>
      </c>
      <c r="H104" s="277">
        <f>Data!D80</f>
        <v>26334346</v>
      </c>
      <c r="I104" s="277">
        <f>Data!E80</f>
        <v>25474943</v>
      </c>
      <c r="J104" s="277">
        <f>Data!F80</f>
        <v>22403370</v>
      </c>
      <c r="K104" s="277">
        <f>Data!G80</f>
        <v>19185525</v>
      </c>
      <c r="L104" s="277">
        <f>Data!H80</f>
        <v>13029578</v>
      </c>
      <c r="M104" s="277">
        <f>Data!I80</f>
        <v>5787484</v>
      </c>
      <c r="N104" s="277">
        <f>Data!J80</f>
        <v>3585013</v>
      </c>
      <c r="O104" s="277">
        <f>Data!K80</f>
        <v>2376940</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2"/>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2"/>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1.1437262596740119</v>
      </c>
      <c r="H112" s="257">
        <f>IF(H$4="","",Data!D$22/Data!D15)</f>
        <v>1.2598487942931333</v>
      </c>
      <c r="I112" s="257">
        <f>IF(I$4="","",Data!E$22/Data!E15)</f>
        <v>1.2689863555873702</v>
      </c>
      <c r="J112" s="257">
        <f>IF(J$4="","",Data!F$22/Data!F15)</f>
        <v>0.9855443957508544</v>
      </c>
      <c r="K112" s="257">
        <f>IF(K$4="","",Data!G$22/Data!G15)</f>
        <v>1.0418658607821389</v>
      </c>
      <c r="L112" s="257">
        <f>IF(L$4="","",Data!H$22/Data!H15)</f>
        <v>1.3166688566521891</v>
      </c>
      <c r="M112" s="257">
        <f>IF(M$4="","",Data!I$22/Data!I15)</f>
        <v>1.391990381107582</v>
      </c>
      <c r="N112" s="257">
        <f>IF(N$4="","",Data!J$22/Data!J15)</f>
        <v>1.9009865319342956</v>
      </c>
      <c r="O112" s="257">
        <f>IF(O$4="","",Data!K$22/Data!K15)</f>
        <v>0.3178465205144872</v>
      </c>
      <c r="P112" s="257" t="str">
        <f>IF(P$4="","",Data!L$22/Data!L15)</f>
        <v/>
      </c>
      <c r="Q112" s="257" t="str">
        <f>IF(Q$4="","",Data!M$22/Data!M15)</f>
        <v/>
      </c>
    </row>
    <row r="113" spans="1:17" ht="15.75" customHeight="1">
      <c r="A113" s="10"/>
      <c r="B113" s="2" t="s">
        <v>304</v>
      </c>
      <c r="C113" s="151"/>
      <c r="E113" s="241"/>
      <c r="G113" s="257">
        <f>IF(G$4="","",Data!C$22/G19)</f>
        <v>1.4359176690068407</v>
      </c>
      <c r="H113" s="257">
        <f>IF(H$4="","",Data!D$22/H19)</f>
        <v>1.5853959137266556</v>
      </c>
      <c r="I113" s="257">
        <f>IF(I$4="","",Data!E$22/I19)</f>
        <v>1.5321325313346319</v>
      </c>
      <c r="J113" s="257">
        <f>IF(J$4="","",Data!F$22/J19)</f>
        <v>1.3044741676315526</v>
      </c>
      <c r="K113" s="257">
        <f>IF(K$4="","",Data!G$22/K19)</f>
        <v>1.7080896005022876</v>
      </c>
      <c r="L113" s="257">
        <f>IF(L$4="","",Data!H$22/L19)</f>
        <v>1.7111096357892817</v>
      </c>
      <c r="M113" s="257">
        <f>IF(M$4="","",Data!I$22/M19)</f>
        <v>1.7609053904242324</v>
      </c>
      <c r="N113" s="257">
        <f>IF(N$4="","",Data!J$22/N19)</f>
        <v>2.8328561758816497</v>
      </c>
      <c r="O113" s="257">
        <f>IF(O$4="","",Data!K$22/O19)</f>
        <v>0.5921362848257451</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1"/>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1"/>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5"/>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4"/>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0.31249026835351013</v>
      </c>
      <c r="D123" s="26"/>
      <c r="E123" s="238"/>
      <c r="F123" s="26"/>
      <c r="G123" s="159">
        <f t="shared" ref="G123:Q123" si="48">IF(G$4="","",G14*$C$3/Common_Shares*Exchange_Rate)</f>
        <v>0.35105873520694875</v>
      </c>
      <c r="H123" s="159">
        <f t="shared" si="48"/>
        <v>0.3153751548264534</v>
      </c>
      <c r="I123" s="159">
        <f t="shared" si="48"/>
        <v>0.49431528388283896</v>
      </c>
      <c r="J123" s="159">
        <f t="shared" si="48"/>
        <v>0.63013091576357727</v>
      </c>
      <c r="K123" s="159">
        <f t="shared" si="48"/>
        <v>0.54711909909974399</v>
      </c>
      <c r="L123" s="159">
        <f t="shared" si="48"/>
        <v>0.36517513689349623</v>
      </c>
      <c r="M123" s="159">
        <f t="shared" si="48"/>
        <v>0.21379101260410516</v>
      </c>
      <c r="N123" s="159">
        <f t="shared" si="48"/>
        <v>9.3907771188164471E-2</v>
      </c>
      <c r="O123" s="159">
        <f t="shared" si="48"/>
        <v>2.6295946573542596E-2</v>
      </c>
      <c r="P123" s="159" t="str">
        <f t="shared" si="48"/>
        <v/>
      </c>
      <c r="Q123" s="159" t="str">
        <f t="shared" si="48"/>
        <v/>
      </c>
    </row>
    <row r="124" spans="1:17" ht="15.75" customHeight="1">
      <c r="A124" s="10"/>
      <c r="B124" s="26" t="s">
        <v>226</v>
      </c>
      <c r="C124" s="74">
        <f>C19*Exchange_Rate*$C$3/(Market_Price*Common_Shares)</f>
        <v>7.7927747719079815E-2</v>
      </c>
      <c r="D124" s="26"/>
      <c r="E124" s="238"/>
      <c r="F124" s="26"/>
      <c r="G124" s="74">
        <f t="shared" ref="G124" si="49">IF(G$4="","",G123/Market_Price)</f>
        <v>8.7545819253603177E-2</v>
      </c>
      <c r="H124" s="74">
        <f t="shared" ref="H124" si="50">IF(H$4="","",H123/Market_Price)</f>
        <v>7.8647170779664197E-2</v>
      </c>
      <c r="I124" s="74">
        <f t="shared" ref="I124" si="51">IF(I$4="","",I123/Market_Price)</f>
        <v>0.12327064435981022</v>
      </c>
      <c r="J124" s="74">
        <f t="shared" ref="J124" si="52">IF(J$4="","",J123/Market_Price)</f>
        <v>0.15713987924278736</v>
      </c>
      <c r="K124" s="74">
        <f t="shared" ref="K124" si="53">IF(K$4="","",K123/Market_Price)</f>
        <v>0.13643867807973667</v>
      </c>
      <c r="L124" s="74">
        <f t="shared" ref="L124" si="54">IF(L$4="","",L123/Market_Price)</f>
        <v>9.1066118926058912E-2</v>
      </c>
      <c r="M124" s="74">
        <f t="shared" ref="M124" si="55">IF(M$4="","",M123/Market_Price)</f>
        <v>5.3314466983567371E-2</v>
      </c>
      <c r="N124" s="74">
        <f t="shared" ref="N124" si="56">IF(N$4="","",N123/Market_Price)</f>
        <v>2.3418396805028548E-2</v>
      </c>
      <c r="O124" s="74">
        <f t="shared" ref="O124" si="57">IF(O$4="","",O123/Market_Price)</f>
        <v>6.5575926617313209E-3</v>
      </c>
      <c r="P124" s="74" t="str">
        <f t="shared" ref="P124" si="58">IF(P$4="","",P123/Market_Price)</f>
        <v/>
      </c>
      <c r="Q124" s="74" t="str">
        <f t="shared" ref="Q124" si="59">IF(Q$4="","",Q123/Market_Price)</f>
        <v/>
      </c>
    </row>
    <row r="125" spans="1:17" ht="15.75" customHeight="1">
      <c r="B125" s="2" t="s">
        <v>306</v>
      </c>
      <c r="C125" s="151"/>
      <c r="G125" s="22">
        <f>IF(G$4="","",(Data!C47*$C$3)/(Market_Price*Common_Shares))</f>
        <v>0.10052140856961576</v>
      </c>
      <c r="H125" s="22">
        <f>IF(H$4="","",(Data!D47*$C$3)/(Market_Price*Common_Shares))</f>
        <v>9.0514492608303063E-2</v>
      </c>
      <c r="I125" s="22">
        <f>IF(I$4="","",(Data!E47*$C$3)/(Market_Price*Common_Shares))</f>
        <v>0.1361177478768533</v>
      </c>
      <c r="J125" s="22">
        <f>IF(J$4="","",(Data!F47*$C$3)/(Market_Price*Common_Shares))</f>
        <v>0.19022229320120898</v>
      </c>
      <c r="K125" s="22">
        <f>IF(K$4="","",(Data!G47*$C$3)/(Market_Price*Common_Shares))</f>
        <v>0.20457476044954157</v>
      </c>
      <c r="L125" s="22">
        <f>IF(L$4="","",(Data!H47*$C$3)/(Market_Price*Common_Shares))</f>
        <v>0.10823651718214319</v>
      </c>
      <c r="M125" s="22">
        <f>IF(M$4="","",(Data!I47*$C$3)/(Market_Price*Common_Shares))</f>
        <v>6.1682301197239067E-2</v>
      </c>
      <c r="N125" s="22">
        <f>IF(N$4="","",(Data!J47*$C$3)/(Market_Price*Common_Shares))</f>
        <v>3.191672735955333E-2</v>
      </c>
      <c r="O125" s="22">
        <f>IF(O$4="","",(Data!K47*$C$3)/(Market_Price*Common_Shares))</f>
        <v>1.1172859986362402E-2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2590789.1611465206</v>
      </c>
      <c r="D4" t="str">
        <f>Reporting_currency</f>
        <v>CNY</v>
      </c>
      <c r="E4" s="135" t="s">
        <v>435</v>
      </c>
      <c r="F4" s="282">
        <f>-BS!G31</f>
        <v>-845013</v>
      </c>
      <c r="G4" t="str">
        <f>Reporting_currency</f>
        <v>CNY</v>
      </c>
      <c r="H4" s="315" t="s">
        <v>394</v>
      </c>
      <c r="I4" s="312">
        <f>Normalized_FCF!C4</f>
        <v>16598840</v>
      </c>
      <c r="J4" s="312"/>
    </row>
    <row r="5" spans="2:15">
      <c r="B5" s="187" t="s">
        <v>105</v>
      </c>
      <c r="C5" s="188">
        <f>Equity_Cost</f>
        <v>7.2499999999999995E-2</v>
      </c>
      <c r="E5" s="135" t="s">
        <v>436</v>
      </c>
      <c r="F5" s="282">
        <f>BS!D66</f>
        <v>15073642.522995466</v>
      </c>
      <c r="G5" t="str">
        <f>Reporting_currency</f>
        <v>CNY</v>
      </c>
      <c r="H5" s="315" t="s">
        <v>396</v>
      </c>
      <c r="I5" s="312">
        <f>Normalized_FCF!C7</f>
        <v>-1681261</v>
      </c>
      <c r="J5" s="312"/>
    </row>
    <row r="6" spans="2:15" ht="13.25" customHeight="1">
      <c r="B6" s="136" t="s">
        <v>194</v>
      </c>
      <c r="C6" s="290">
        <f>(C4*(1+Terminal_Growth))/(Equity_Cost-Terminal_Growth)</f>
        <v>35735022.912365802</v>
      </c>
      <c r="D6" t="str">
        <f>Reporting_currency</f>
        <v>CNY</v>
      </c>
      <c r="E6" s="187" t="s">
        <v>437</v>
      </c>
      <c r="F6" s="291">
        <f>BS!H42</f>
        <v>4283</v>
      </c>
      <c r="G6" t="str">
        <f>Reporting_currency</f>
        <v>CNY</v>
      </c>
      <c r="H6" s="315" t="s">
        <v>419</v>
      </c>
      <c r="I6" s="312">
        <f>I7+I8</f>
        <v>-41622.785137972802</v>
      </c>
      <c r="J6" s="312"/>
      <c r="N6" s="135"/>
    </row>
    <row r="7" spans="2:15" ht="12.75" customHeight="1">
      <c r="B7" s="325" t="s">
        <v>434</v>
      </c>
      <c r="C7" s="282">
        <f>F7</f>
        <v>14232912.522995466</v>
      </c>
      <c r="E7" s="140" t="s">
        <v>428</v>
      </c>
      <c r="F7" s="290">
        <f>SUM(F4:F6)</f>
        <v>14232912.522995466</v>
      </c>
      <c r="G7" t="str">
        <f>Reporting_currency</f>
        <v>CNY</v>
      </c>
      <c r="H7" s="319" t="s">
        <v>420</v>
      </c>
      <c r="I7" s="320">
        <f>Normalized_FCF!C9</f>
        <v>-12182</v>
      </c>
      <c r="J7" s="320"/>
      <c r="N7" s="311"/>
      <c r="O7" s="311"/>
    </row>
    <row r="8" spans="2:15" ht="13.15">
      <c r="B8" s="136" t="s">
        <v>430</v>
      </c>
      <c r="C8" s="290">
        <f>C6+C7</f>
        <v>49967935.435361266</v>
      </c>
      <c r="D8" t="str">
        <f>Reporting_currency</f>
        <v>CNY</v>
      </c>
      <c r="E8" s="140" t="s">
        <v>468</v>
      </c>
      <c r="F8" s="108">
        <f>FV_adjustments*scaling_factor/Common_Shares*Exchange_Rate</f>
        <v>1.7167150150476305</v>
      </c>
      <c r="G8" s="301" t="str">
        <f>Market_currency</f>
        <v>HKD</v>
      </c>
      <c r="H8" s="321" t="str">
        <f>Normalized_FCF!B10</f>
        <v>Net Interest Income</v>
      </c>
      <c r="I8" s="320">
        <f>Normalized_FCF!C10</f>
        <v>-29440.785137972802</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4.0482346959185098E-3</v>
      </c>
      <c r="J9" s="313"/>
      <c r="N9" s="311"/>
      <c r="O9" s="311"/>
    </row>
    <row r="10" spans="2:15" ht="13.5" thickTop="1">
      <c r="B10" s="107" t="s">
        <v>431</v>
      </c>
      <c r="C10" s="290">
        <f>C8*Exchange_Rate</f>
        <v>54635597.683374979</v>
      </c>
      <c r="D10" t="str">
        <f>Market_currency</f>
        <v>HKD</v>
      </c>
      <c r="H10" s="315" t="s">
        <v>398</v>
      </c>
      <c r="I10" s="313">
        <f>Normalized_FCF!C41</f>
        <v>0.25</v>
      </c>
      <c r="N10" s="311"/>
      <c r="O10" s="311"/>
    </row>
    <row r="11" spans="2:15" ht="13.15">
      <c r="B11" s="136" t="s">
        <v>429</v>
      </c>
      <c r="C11" s="108">
        <f>(C10*scaling_factor)/Common_Shares</f>
        <v>6.0269256130270792</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1.8613012126595999E-2</v>
      </c>
      <c r="E16" s="315" t="s">
        <v>401</v>
      </c>
      <c r="F16" s="318">
        <f>Scenarios!C41</f>
        <v>1.8613012126595999E-2</v>
      </c>
    </row>
    <row r="17" spans="1:21" ht="13.25" customHeight="1">
      <c r="B17" s="315" t="s">
        <v>395</v>
      </c>
      <c r="C17" s="313">
        <f>Normalized_FCF!C32</f>
        <v>0.68269686315429268</v>
      </c>
      <c r="E17" s="315" t="s">
        <v>402</v>
      </c>
      <c r="F17" s="318">
        <f>Scenarios!C40</f>
        <v>0.68269686315429268</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6.3940929976315228</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16907794.410207424</v>
      </c>
      <c r="D21" s="306">
        <f t="shared" ref="D21:D50" si="1">IF(A21="",0,IF(A21="I",$C$16,$F$16))</f>
        <v>1.8613012126595999E-2</v>
      </c>
      <c r="E21" s="306">
        <f>$C$17</f>
        <v>0.68269686315429268</v>
      </c>
      <c r="F21" s="284">
        <f>I5*(1+D21)</f>
        <v>-1712554.3313809729</v>
      </c>
      <c r="G21" s="284">
        <f>C21*(1-E21)+F21+$I$6</f>
        <v>3610719.086982186</v>
      </c>
      <c r="H21" s="306">
        <f t="shared" ref="H21:H50" si="2">IF(A21="",0%,IF(A21="I",$C$18,$F$18))</f>
        <v>0</v>
      </c>
      <c r="I21" s="284">
        <f>(G21*(1-$I$10)+C21*(H21-$I$9))</f>
        <v>2639592.5952737806</v>
      </c>
      <c r="J21" s="306">
        <f>I21/C4-1</f>
        <v>1.8837285124993608E-2</v>
      </c>
      <c r="K21" s="119">
        <f t="shared" ref="K21:K50" si="3">IF($C$15&lt;B21,0,1/(1+Equity_Cost)^B21)</f>
        <v>0.93240093240093236</v>
      </c>
      <c r="L21" s="284">
        <f t="shared" ref="L21:L50" si="4">I21*K21</f>
        <v>2461158.5969918701</v>
      </c>
    </row>
    <row r="22" spans="1:21">
      <c r="A22" s="309" t="str">
        <f t="shared" si="0"/>
        <v>I</v>
      </c>
      <c r="B22" s="117">
        <v>2</v>
      </c>
      <c r="C22" s="284">
        <f t="shared" ref="C22:C50" si="5">IF(A22="",0,C21*(1+D22))</f>
        <v>17222499.392598607</v>
      </c>
      <c r="D22" s="306">
        <f t="shared" si="1"/>
        <v>1.8613012126595999E-2</v>
      </c>
      <c r="E22" s="306">
        <f t="shared" ref="E22:E50" si="6">IF($C$15&lt;B22,0,IF(B22&gt;=$F$15,$F$17,$C$17))</f>
        <v>0.68269686315429268</v>
      </c>
      <c r="F22" s="284">
        <f t="shared" ref="F22:F50" si="7">IF(A22="",0,F21*(1+D22))</f>
        <v>-1744430.1259184214</v>
      </c>
      <c r="G22" s="284">
        <f t="shared" ref="G22:G50" si="8">IF(A22="", 0,C22*(1-E22)+F22+$I$6)</f>
        <v>3678700.1705384324</v>
      </c>
      <c r="H22" s="306">
        <f t="shared" si="2"/>
        <v>0</v>
      </c>
      <c r="I22" s="284">
        <f>IF(A22="", 0,G22*(1-$I$10)+C22*(H22-$I$9))</f>
        <v>2689304.4083122709</v>
      </c>
      <c r="J22" s="306">
        <f>IF(A22="", 0,I22/I21-1)</f>
        <v>1.883313854096258E-2</v>
      </c>
      <c r="K22" s="119">
        <f t="shared" si="3"/>
        <v>0.86937149874212816</v>
      </c>
      <c r="L22" s="284">
        <f t="shared" si="4"/>
        <v>2338004.604028251</v>
      </c>
    </row>
    <row r="23" spans="1:21">
      <c r="A23" s="309" t="str">
        <f t="shared" si="0"/>
        <v>I</v>
      </c>
      <c r="B23" s="117">
        <v>3</v>
      </c>
      <c r="C23" s="284">
        <f t="shared" si="5"/>
        <v>17543061.982643336</v>
      </c>
      <c r="D23" s="306">
        <f t="shared" si="1"/>
        <v>1.8613012126595999E-2</v>
      </c>
      <c r="E23" s="306">
        <f t="shared" si="6"/>
        <v>0.68269686315429268</v>
      </c>
      <c r="F23" s="284">
        <f t="shared" si="7"/>
        <v>-1776899.2250061403</v>
      </c>
      <c r="G23" s="284">
        <f t="shared" si="8"/>
        <v>3747946.5868272907</v>
      </c>
      <c r="H23" s="306">
        <f t="shared" si="2"/>
        <v>0</v>
      </c>
      <c r="I23" s="284">
        <f t="shared" ref="I23:I50" si="9">IF(A23="", 0,G23*(1-$I$10)+C23*(H23-$I$9))</f>
        <v>2739941.5079296823</v>
      </c>
      <c r="J23" s="306">
        <f t="shared" ref="J23:J50" si="10">IF(A23="", 0,I23/I22-1)</f>
        <v>1.8829069502470208E-2</v>
      </c>
      <c r="K23" s="119">
        <f t="shared" si="3"/>
        <v>0.81060279602995633</v>
      </c>
      <c r="L23" s="284">
        <f t="shared" si="4"/>
        <v>2221004.2472863351</v>
      </c>
      <c r="N23" s="282"/>
      <c r="O23" s="282"/>
      <c r="P23" s="282"/>
      <c r="Q23" s="282"/>
      <c r="R23" s="282"/>
      <c r="S23" s="282"/>
      <c r="T23" s="282"/>
      <c r="U23" s="282"/>
    </row>
    <row r="24" spans="1:21">
      <c r="A24" s="309" t="str">
        <f t="shared" si="0"/>
        <v>I</v>
      </c>
      <c r="B24" s="117">
        <v>4</v>
      </c>
      <c r="C24" s="284">
        <f t="shared" si="5"/>
        <v>17869591.2080639</v>
      </c>
      <c r="D24" s="306">
        <f t="shared" si="1"/>
        <v>1.8613012126595999E-2</v>
      </c>
      <c r="E24" s="306">
        <f t="shared" si="6"/>
        <v>0.68269686315429268</v>
      </c>
      <c r="F24" s="284">
        <f t="shared" si="7"/>
        <v>-1809972.6718289186</v>
      </c>
      <c r="G24" s="284">
        <f t="shared" si="8"/>
        <v>3818481.8875022572</v>
      </c>
      <c r="H24" s="306">
        <f t="shared" si="2"/>
        <v>0</v>
      </c>
      <c r="I24" s="284">
        <f t="shared" si="9"/>
        <v>2791521.1164963283</v>
      </c>
      <c r="J24" s="306">
        <f t="shared" si="10"/>
        <v>1.8825076527133611E-2</v>
      </c>
      <c r="K24" s="119">
        <f t="shared" si="3"/>
        <v>0.75580680282513402</v>
      </c>
      <c r="L24" s="284">
        <f t="shared" si="4"/>
        <v>2109850.6500779386</v>
      </c>
      <c r="N24" s="282"/>
      <c r="O24" s="282"/>
      <c r="P24" s="282"/>
      <c r="Q24" s="282"/>
      <c r="R24" s="282"/>
      <c r="S24" s="282"/>
      <c r="T24" s="282"/>
      <c r="U24" s="282"/>
    </row>
    <row r="25" spans="1:21">
      <c r="A25" s="309" t="str">
        <f t="shared" si="0"/>
        <v>I</v>
      </c>
      <c r="B25" s="117">
        <v>5</v>
      </c>
      <c r="C25" s="284">
        <f t="shared" si="5"/>
        <v>18202198.125916906</v>
      </c>
      <c r="D25" s="306">
        <f t="shared" si="1"/>
        <v>1.8613012126595999E-2</v>
      </c>
      <c r="E25" s="306">
        <f t="shared" si="6"/>
        <v>0.68269686315429268</v>
      </c>
      <c r="F25" s="284">
        <f t="shared" si="7"/>
        <v>-1843661.7151184776</v>
      </c>
      <c r="G25" s="284">
        <f t="shared" si="8"/>
        <v>3890330.0625840393</v>
      </c>
      <c r="H25" s="306">
        <f t="shared" si="2"/>
        <v>0</v>
      </c>
      <c r="I25" s="284">
        <f t="shared" si="9"/>
        <v>2844060.7769427099</v>
      </c>
      <c r="J25" s="306">
        <f t="shared" si="10"/>
        <v>1.8821158162086515E-2</v>
      </c>
      <c r="K25" s="119">
        <f t="shared" si="3"/>
        <v>0.70471496766912267</v>
      </c>
      <c r="L25" s="284">
        <f t="shared" si="4"/>
        <v>2004252.1984722018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18202198.125916906</v>
      </c>
      <c r="D51" s="308">
        <f>Terminal_Growth</f>
        <v>0</v>
      </c>
      <c r="E51" s="308">
        <f>F17</f>
        <v>0.68269686315429268</v>
      </c>
      <c r="F51" s="284">
        <f>VLOOKUP(C15,B21:F50,5,FALSE)*(1+Terminal_Growth)</f>
        <v>-1843661.7151184776</v>
      </c>
      <c r="G51" s="284">
        <f>C51*(1-E51)+F51+$I$6</f>
        <v>3890330.0625840393</v>
      </c>
      <c r="H51" s="306">
        <f>F18</f>
        <v>0</v>
      </c>
      <c r="I51" s="284">
        <f>(G51*(1-$I$10)+C51*(H51-$I$9))/Equity_Cost</f>
        <v>39228424.509554625</v>
      </c>
      <c r="J51" s="422">
        <f>(G51*(1-$I$10)+C51*(H51-$I$9))/VLOOKUP(C15,B21:I50,8,FALSE)-1</f>
        <v>0</v>
      </c>
      <c r="K51" s="119">
        <f>1/(1+Equity_Cost)^C15</f>
        <v>0.70471496766912267</v>
      </c>
      <c r="L51" s="284">
        <f>I51*K51</f>
        <v>27644857.909961406</v>
      </c>
    </row>
    <row r="52" spans="1:21" ht="13.15">
      <c r="G52" s="111"/>
      <c r="H52" s="111"/>
      <c r="I52" s="111"/>
      <c r="J52" s="467" t="s">
        <v>424</v>
      </c>
      <c r="K52" s="467"/>
      <c r="L52" s="324">
        <f>SUM(L21:L51)</f>
        <v>38779128.206817999</v>
      </c>
    </row>
    <row r="53" spans="1:21">
      <c r="C53" s="111"/>
    </row>
    <row r="54" spans="1:21" ht="13.15">
      <c r="B54" s="115" t="s">
        <v>108</v>
      </c>
      <c r="C54" s="128"/>
      <c r="D54" s="128"/>
      <c r="E54" s="113"/>
      <c r="F54" s="113"/>
      <c r="G54" s="113"/>
      <c r="H54" s="113"/>
      <c r="I54" s="113"/>
      <c r="J54" s="113"/>
      <c r="K54" s="113"/>
      <c r="L54" s="113"/>
    </row>
    <row r="55" spans="1:21" ht="13.15">
      <c r="A55" s="125">
        <f>L52</f>
        <v>38779128.206817999</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22606308.385835495</v>
      </c>
      <c r="C56" s="118">
        <v>37344475.905552879</v>
      </c>
      <c r="D56" s="118">
        <v>39014426.395916536</v>
      </c>
      <c r="E56" s="118">
        <v>40746625.074973531</v>
      </c>
      <c r="F56" s="118">
        <v>50405009.160435244</v>
      </c>
      <c r="G56" s="302"/>
      <c r="H56" s="302"/>
      <c r="I56" s="302"/>
      <c r="J56" s="302"/>
      <c r="K56" s="302"/>
      <c r="L56" s="302"/>
    </row>
    <row r="57" spans="1:21" ht="13.15">
      <c r="A57" s="131">
        <v>6</v>
      </c>
      <c r="B57" s="118">
        <v>21101359.468351945</v>
      </c>
      <c r="C57" s="118">
        <v>37612340.973066673</v>
      </c>
      <c r="D57" s="118">
        <v>39577208.224428527</v>
      </c>
      <c r="E57" s="118">
        <v>41632998.220929191</v>
      </c>
      <c r="F57" s="118">
        <v>53400844.752717383</v>
      </c>
      <c r="G57" s="302"/>
      <c r="H57" s="302"/>
      <c r="I57" s="302"/>
      <c r="J57" s="302"/>
      <c r="K57" s="302"/>
      <c r="L57" s="302"/>
    </row>
    <row r="58" spans="1:21" ht="13.15">
      <c r="A58" s="131">
        <v>7</v>
      </c>
      <c r="B58" s="118">
        <v>19838465.27186225</v>
      </c>
      <c r="C58" s="118">
        <v>37864596.188161291</v>
      </c>
      <c r="D58" s="118">
        <v>40112441.292104259</v>
      </c>
      <c r="E58" s="118">
        <v>42484247.023105726</v>
      </c>
      <c r="F58" s="118">
        <v>56417630.244246259</v>
      </c>
      <c r="G58" s="302"/>
      <c r="H58" s="302"/>
      <c r="I58" s="302"/>
      <c r="J58" s="302"/>
      <c r="K58" s="302"/>
      <c r="L58" s="302"/>
    </row>
    <row r="59" spans="1:21" ht="13.15">
      <c r="A59" s="131">
        <v>8</v>
      </c>
      <c r="B59" s="118">
        <v>18778693.918164603</v>
      </c>
      <c r="C59" s="118">
        <v>38102151.215896055</v>
      </c>
      <c r="D59" s="118">
        <v>40621474.139683984</v>
      </c>
      <c r="E59" s="118">
        <v>43301763.355265945</v>
      </c>
      <c r="F59" s="118">
        <v>59455512.137813792</v>
      </c>
      <c r="G59" s="302"/>
      <c r="H59" s="302"/>
      <c r="I59" s="302"/>
      <c r="J59" s="302"/>
      <c r="K59" s="302"/>
      <c r="L59" s="302"/>
    </row>
    <row r="60" spans="1:21" ht="13.15">
      <c r="A60" s="131">
        <v>9</v>
      </c>
      <c r="B60" s="118">
        <v>17889375.299677074</v>
      </c>
      <c r="C60" s="118">
        <v>38325862.710546039</v>
      </c>
      <c r="D60" s="118">
        <v>41105589.295424134</v>
      </c>
      <c r="E60" s="118">
        <v>44086883.935335889</v>
      </c>
      <c r="F60" s="118">
        <v>62514637.960706964</v>
      </c>
      <c r="G60" s="302"/>
      <c r="H60" s="302"/>
      <c r="I60" s="302"/>
      <c r="J60" s="302"/>
      <c r="K60" s="302"/>
      <c r="L60" s="302"/>
    </row>
    <row r="61" spans="1:21" ht="13.15">
      <c r="A61" s="131">
        <v>10</v>
      </c>
      <c r="B61" s="118">
        <v>17143093.941505715</v>
      </c>
      <c r="C61" s="118">
        <v>38536537.404808506</v>
      </c>
      <c r="D61" s="118">
        <v>41566006.506477706</v>
      </c>
      <c r="E61" s="118">
        <v>44840892.511067405</v>
      </c>
      <c r="F61" s="118">
        <v>65595156.271872133</v>
      </c>
      <c r="G61" s="302"/>
      <c r="H61" s="302"/>
      <c r="I61" s="302"/>
      <c r="J61" s="302"/>
      <c r="K61" s="302"/>
      <c r="L61" s="302"/>
    </row>
    <row r="62" spans="1:21" ht="13.15">
      <c r="A62" s="131">
        <v>15</v>
      </c>
      <c r="B62" s="118">
        <v>14869702.132702215</v>
      </c>
      <c r="C62" s="284">
        <v>39419452.671065323</v>
      </c>
      <c r="D62" s="118">
        <v>43551294.713088393</v>
      </c>
      <c r="E62" s="118">
        <v>48185736.19465626</v>
      </c>
      <c r="F62" s="118">
        <v>81323907.844318882</v>
      </c>
      <c r="G62" s="302"/>
      <c r="H62" s="302"/>
      <c r="I62" s="302"/>
      <c r="J62" s="302"/>
      <c r="K62" s="302"/>
      <c r="L62" s="302"/>
      <c r="M62" s="282"/>
      <c r="N62" s="282"/>
      <c r="O62" s="282"/>
      <c r="P62" s="282"/>
      <c r="Q62" s="282"/>
      <c r="R62" s="282"/>
      <c r="S62" s="282"/>
      <c r="T62" s="282"/>
      <c r="U62" s="282"/>
    </row>
    <row r="63" spans="1:21" ht="13.15">
      <c r="A63" s="132">
        <v>20</v>
      </c>
      <c r="B63" s="118">
        <v>13923682.09834332</v>
      </c>
      <c r="C63" s="284">
        <v>40073394.911357567</v>
      </c>
      <c r="D63" s="118">
        <v>45095972.556826845</v>
      </c>
      <c r="E63" s="118">
        <v>50918332.304283679</v>
      </c>
      <c r="F63" s="118">
        <v>97610361.439062446</v>
      </c>
      <c r="G63" s="302"/>
      <c r="H63" s="302"/>
      <c r="I63" s="302"/>
      <c r="J63" s="302"/>
      <c r="K63" s="302"/>
      <c r="L63" s="302"/>
      <c r="M63" s="282"/>
      <c r="N63" s="282"/>
      <c r="O63" s="282"/>
      <c r="P63" s="282"/>
      <c r="Q63" s="282"/>
      <c r="R63" s="282"/>
      <c r="S63" s="282"/>
      <c r="T63" s="282"/>
      <c r="U63" s="282"/>
    </row>
    <row r="64" spans="1:21" ht="13.15">
      <c r="A64" s="132">
        <v>25</v>
      </c>
      <c r="B64" s="118">
        <v>13530017.485871872</v>
      </c>
      <c r="C64" s="284">
        <v>40557745.41472064</v>
      </c>
      <c r="D64" s="118">
        <v>46297828.102531157</v>
      </c>
      <c r="E64" s="118">
        <v>53150747.987858765</v>
      </c>
      <c r="F64" s="118">
        <v>114474291.76894274</v>
      </c>
      <c r="G64" s="302"/>
      <c r="H64" s="302"/>
      <c r="I64" s="302"/>
      <c r="J64" s="302"/>
      <c r="K64" s="302"/>
      <c r="L64" s="302"/>
      <c r="M64" s="282"/>
      <c r="N64" s="282"/>
      <c r="O64" s="282"/>
      <c r="P64" s="282"/>
      <c r="Q64" s="282"/>
      <c r="R64" s="282"/>
      <c r="S64" s="282"/>
      <c r="T64" s="282"/>
      <c r="U64" s="282"/>
    </row>
    <row r="65" spans="1:21" ht="13.15">
      <c r="A65" s="132">
        <v>30</v>
      </c>
      <c r="B65" s="118">
        <v>13366202.956069319</v>
      </c>
      <c r="C65" s="284">
        <v>40916485.675944962</v>
      </c>
      <c r="D65" s="118">
        <v>47232946.553666785</v>
      </c>
      <c r="E65" s="118">
        <v>54974537.375069574</v>
      </c>
      <c r="F65" s="118">
        <v>131936174.70844549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6.0269256130270792</v>
      </c>
      <c r="C69" s="119">
        <f>C11</f>
        <v>6.0269256130270792</v>
      </c>
      <c r="D69" s="119">
        <f>C11</f>
        <v>6.0269256130270792</v>
      </c>
      <c r="E69" s="119">
        <f>C11</f>
        <v>6.0269256130270792</v>
      </c>
      <c r="F69" s="119">
        <f>C11</f>
        <v>6.0269256130270792</v>
      </c>
      <c r="G69" s="303"/>
      <c r="H69" s="303"/>
      <c r="I69" s="303"/>
      <c r="J69" s="303"/>
      <c r="K69" s="303"/>
      <c r="L69" s="303"/>
    </row>
    <row r="70" spans="1:21" ht="13.15">
      <c r="A70" s="131">
        <f>A56</f>
        <v>5</v>
      </c>
      <c r="B70" s="119">
        <f t="shared" ref="B70:F74" si="11">(B56+FV_adjustments)/Common_Shares*scaling_factor*Exchange_Rate</f>
        <v>4.4433943913214398</v>
      </c>
      <c r="C70" s="119">
        <f t="shared" si="11"/>
        <v>6.2210511734107046</v>
      </c>
      <c r="D70" s="119">
        <f t="shared" si="11"/>
        <v>6.4224736915749698</v>
      </c>
      <c r="E70" s="119">
        <f t="shared" si="11"/>
        <v>6.6314043286865489</v>
      </c>
      <c r="F70" s="119">
        <f t="shared" si="11"/>
        <v>7.7963586522531783</v>
      </c>
      <c r="G70" s="303"/>
      <c r="H70" s="303"/>
      <c r="I70" s="303"/>
      <c r="J70" s="303"/>
      <c r="K70" s="303"/>
      <c r="L70" s="303"/>
    </row>
    <row r="71" spans="1:21" ht="13.15">
      <c r="A71" s="131">
        <v>6</v>
      </c>
      <c r="B71" s="119">
        <f t="shared" si="11"/>
        <v>4.2618736801283132</v>
      </c>
      <c r="C71" s="119">
        <f t="shared" si="11"/>
        <v>6.2533599494721557</v>
      </c>
      <c r="D71" s="119">
        <f t="shared" si="11"/>
        <v>6.4903541070304529</v>
      </c>
      <c r="E71" s="119">
        <f t="shared" si="11"/>
        <v>6.7383149898838699</v>
      </c>
      <c r="F71" s="119">
        <f t="shared" si="11"/>
        <v>8.1577039451140436</v>
      </c>
      <c r="G71" s="303"/>
      <c r="H71" s="303"/>
      <c r="I71" s="303"/>
      <c r="J71" s="303"/>
      <c r="K71" s="303"/>
      <c r="L71" s="303"/>
    </row>
    <row r="72" spans="1:21" ht="13.15">
      <c r="A72" s="131">
        <f t="shared" ref="A72" si="12">A58</f>
        <v>7</v>
      </c>
      <c r="B72" s="119">
        <f t="shared" si="11"/>
        <v>4.1095486077984171</v>
      </c>
      <c r="C72" s="119">
        <f t="shared" si="11"/>
        <v>6.2837859297258349</v>
      </c>
      <c r="D72" s="119">
        <f t="shared" si="11"/>
        <v>6.554911704946158</v>
      </c>
      <c r="E72" s="119">
        <f t="shared" si="11"/>
        <v>6.840989098073373</v>
      </c>
      <c r="F72" s="119">
        <f t="shared" si="11"/>
        <v>8.5215761281347753</v>
      </c>
      <c r="G72" s="303"/>
      <c r="H72" s="303"/>
      <c r="I72" s="303"/>
      <c r="J72" s="303"/>
      <c r="K72" s="303"/>
      <c r="L72" s="303"/>
    </row>
    <row r="73" spans="1:21" ht="13.15">
      <c r="A73" s="131">
        <v>8</v>
      </c>
      <c r="B73" s="119">
        <f t="shared" si="11"/>
        <v>3.9817233722768255</v>
      </c>
      <c r="C73" s="119">
        <f t="shared" si="11"/>
        <v>6.3124388342071516</v>
      </c>
      <c r="D73" s="119">
        <f t="shared" si="11"/>
        <v>6.6163091407261287</v>
      </c>
      <c r="E73" s="119">
        <f t="shared" si="11"/>
        <v>6.9395945353089799</v>
      </c>
      <c r="F73" s="119">
        <f t="shared" si="11"/>
        <v>8.8879928718759285</v>
      </c>
      <c r="G73" s="303"/>
      <c r="H73" s="303"/>
      <c r="I73" s="303"/>
      <c r="J73" s="303"/>
      <c r="K73" s="303"/>
      <c r="L73" s="303"/>
    </row>
    <row r="74" spans="1:21" ht="13.15">
      <c r="A74" s="131">
        <f t="shared" ref="A74" si="13">A60</f>
        <v>9</v>
      </c>
      <c r="B74" s="119">
        <f t="shared" si="11"/>
        <v>3.8744574403705951</v>
      </c>
      <c r="C74" s="119">
        <f t="shared" si="11"/>
        <v>6.3394219890100691</v>
      </c>
      <c r="D74" s="119">
        <f t="shared" si="11"/>
        <v>6.6747011076217664</v>
      </c>
      <c r="E74" s="119">
        <f t="shared" si="11"/>
        <v>7.0342925309758089</v>
      </c>
      <c r="F74" s="119">
        <f t="shared" si="11"/>
        <v>9.2569719704684221</v>
      </c>
      <c r="G74" s="303"/>
      <c r="H74" s="303"/>
      <c r="I74" s="303"/>
      <c r="J74" s="303"/>
      <c r="K74" s="303"/>
      <c r="L74" s="303"/>
    </row>
    <row r="75" spans="1:21" ht="13.15">
      <c r="A75" s="131">
        <f t="shared" ref="A75:A79" si="14">A61</f>
        <v>10</v>
      </c>
      <c r="B75" s="119">
        <f t="shared" ref="B75:F79" si="15">(B61+FV_adjustments)/Common_Shares*scaling_factor*Exchange_Rate</f>
        <v>3.7844440709387932</v>
      </c>
      <c r="C75" s="119">
        <f t="shared" si="15"/>
        <v>6.3648326988944035</v>
      </c>
      <c r="D75" s="119">
        <f t="shared" si="15"/>
        <v>6.7302347264875451</v>
      </c>
      <c r="E75" s="119">
        <f t="shared" si="15"/>
        <v>7.1252379254157487</v>
      </c>
      <c r="F75" s="119">
        <f t="shared" si="15"/>
        <v>9.6285313424776469</v>
      </c>
      <c r="G75" s="303"/>
      <c r="H75" s="303"/>
      <c r="I75" s="303"/>
      <c r="J75" s="303"/>
      <c r="K75" s="303"/>
      <c r="L75" s="303"/>
    </row>
    <row r="76" spans="1:21" ht="13.15">
      <c r="A76" s="131">
        <f t="shared" si="14"/>
        <v>15</v>
      </c>
      <c r="B76" s="119">
        <f t="shared" si="15"/>
        <v>3.5102369578863004</v>
      </c>
      <c r="C76" s="119">
        <f t="shared" si="15"/>
        <v>6.4713262849505941</v>
      </c>
      <c r="D76" s="119">
        <f t="shared" si="15"/>
        <v>6.9696919751693684</v>
      </c>
      <c r="E76" s="119">
        <f t="shared" si="15"/>
        <v>7.5286791301113363</v>
      </c>
      <c r="F76" s="119">
        <f t="shared" si="15"/>
        <v>11.525668274131503</v>
      </c>
      <c r="G76" s="303"/>
      <c r="H76" s="303"/>
      <c r="I76" s="303"/>
      <c r="J76" s="303"/>
      <c r="K76" s="303"/>
      <c r="L76" s="303"/>
    </row>
    <row r="77" spans="1:21" ht="13.15">
      <c r="A77" s="132">
        <f t="shared" si="14"/>
        <v>20</v>
      </c>
      <c r="B77" s="119">
        <f t="shared" si="15"/>
        <v>3.3961319358188993</v>
      </c>
      <c r="C77" s="119">
        <f t="shared" si="15"/>
        <v>6.5502020920680621</v>
      </c>
      <c r="D77" s="119">
        <f t="shared" si="15"/>
        <v>7.1560046250555294</v>
      </c>
      <c r="E77" s="119">
        <f t="shared" si="15"/>
        <v>7.8582735658165346</v>
      </c>
      <c r="F77" s="119">
        <f t="shared" si="15"/>
        <v>13.490072916034579</v>
      </c>
      <c r="G77" s="303"/>
      <c r="H77" s="303"/>
      <c r="I77" s="303"/>
      <c r="J77" s="303"/>
      <c r="K77" s="303"/>
      <c r="L77" s="303"/>
    </row>
    <row r="78" spans="1:21" ht="13.15">
      <c r="A78" s="132">
        <f t="shared" si="14"/>
        <v>25</v>
      </c>
      <c r="B78" s="119">
        <f t="shared" si="15"/>
        <v>3.3486497391827035</v>
      </c>
      <c r="C78" s="119">
        <f t="shared" si="15"/>
        <v>6.6086224456201448</v>
      </c>
      <c r="D78" s="119">
        <f t="shared" si="15"/>
        <v>7.3009674678956973</v>
      </c>
      <c r="E78" s="119">
        <f t="shared" si="15"/>
        <v>8.1275383081965131</v>
      </c>
      <c r="F78" s="119">
        <f t="shared" si="15"/>
        <v>15.524130412225084</v>
      </c>
      <c r="G78" s="303"/>
      <c r="H78" s="303"/>
      <c r="I78" s="303"/>
      <c r="J78" s="303"/>
      <c r="K78" s="303"/>
      <c r="L78" s="303"/>
    </row>
    <row r="79" spans="1:21" ht="13.15">
      <c r="A79" s="132">
        <f t="shared" si="14"/>
        <v>30</v>
      </c>
      <c r="B79" s="119">
        <f t="shared" si="15"/>
        <v>3.3288911084357893</v>
      </c>
      <c r="C79" s="119">
        <f t="shared" si="15"/>
        <v>6.6518922115201944</v>
      </c>
      <c r="D79" s="119">
        <f t="shared" si="15"/>
        <v>7.4137575861036851</v>
      </c>
      <c r="E79" s="119">
        <f t="shared" si="15"/>
        <v>8.3475162375381604</v>
      </c>
      <c r="F79" s="119">
        <f t="shared" si="15"/>
        <v>17.63031047795765</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7.7963586522531783</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6.6314043286865489</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6.4224736915749698</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6.2210511734107046</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4.4433943913214398</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4902319</v>
      </c>
      <c r="D7" s="468"/>
      <c r="E7" s="468"/>
      <c r="F7" s="468"/>
      <c r="G7" s="468"/>
    </row>
    <row r="8" spans="2:7">
      <c r="B8" s="97" t="s">
        <v>63</v>
      </c>
      <c r="C8" s="455">
        <f>Normalized_FCF!G19</f>
        <v>2910551.9698010553</v>
      </c>
      <c r="D8" s="468"/>
      <c r="E8" s="468"/>
      <c r="F8" s="468"/>
      <c r="G8" s="468"/>
    </row>
    <row r="9" spans="2:7">
      <c r="B9" s="97" t="s">
        <v>54</v>
      </c>
      <c r="C9" s="455">
        <f>Normalized_FCF!C19</f>
        <v>2590789.1611465206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-1.328292424848343E-2</v>
      </c>
      <c r="D12" s="468"/>
      <c r="E12" s="468"/>
      <c r="F12" s="468"/>
      <c r="G12" s="468"/>
    </row>
    <row r="13" spans="2:7">
      <c r="B13" s="135" t="s">
        <v>127</v>
      </c>
      <c r="C13" s="255">
        <f ca="1">(Normalized_FCF!G8/OFFSET(Normalized_FCF!G8, 0, $C$4))^(1/$C$4) - 1</f>
        <v>-8.6152390653333799E-2</v>
      </c>
      <c r="D13" s="468"/>
      <c r="E13" s="468"/>
      <c r="F13" s="468"/>
      <c r="G13" s="468"/>
    </row>
    <row r="14" spans="2:7">
      <c r="B14" s="97" t="s">
        <v>63</v>
      </c>
      <c r="C14" s="255">
        <f ca="1">(Normalized_FCF!G19/OFFSET(Normalized_FCF!G19, 0, $C$4))^(1/$C$4) - 1</f>
        <v>-0.15727112921242259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0.03</v>
      </c>
      <c r="D22" s="332">
        <f>C18</f>
        <v>5</v>
      </c>
      <c r="E22" s="333">
        <f>DCF!E83</f>
        <v>6.6314043286865489</v>
      </c>
      <c r="F22" s="335">
        <f>1-F23-F24</f>
        <v>0.2</v>
      </c>
      <c r="G22" s="335">
        <f>F22*(1-F$29-F$30)</f>
        <v>0.18</v>
      </c>
    </row>
    <row r="23" spans="2:7">
      <c r="B23" s="309" t="s">
        <v>441</v>
      </c>
      <c r="C23" s="331">
        <v>0.02</v>
      </c>
      <c r="D23" s="332">
        <f>C18</f>
        <v>5</v>
      </c>
      <c r="E23" s="333">
        <f>DCF!E84</f>
        <v>6.4224736915749698</v>
      </c>
      <c r="F23" s="334">
        <v>0.6</v>
      </c>
      <c r="G23" s="335">
        <f t="shared" ref="G23:G24" si="0">F23*(1-F$29-F$30)</f>
        <v>0.53999999999999992</v>
      </c>
    </row>
    <row r="24" spans="2:7">
      <c r="B24" s="309" t="s">
        <v>450</v>
      </c>
      <c r="C24" s="331">
        <v>0.01</v>
      </c>
      <c r="D24" s="332">
        <f>C18</f>
        <v>5</v>
      </c>
      <c r="E24" s="333">
        <f>DCF!E85</f>
        <v>6.2210511734107046</v>
      </c>
      <c r="F24" s="334">
        <v>0.2</v>
      </c>
      <c r="G24" s="335">
        <f t="shared" si="0"/>
        <v>0.18</v>
      </c>
    </row>
    <row r="25" spans="2:7">
      <c r="B25" s="141" t="s">
        <v>455</v>
      </c>
      <c r="C25" s="449">
        <f>E23*F23+E24*F24+E22*F22</f>
        <v>6.4239753153644328</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0.08</v>
      </c>
      <c r="D29" s="332">
        <f>C18</f>
        <v>5</v>
      </c>
      <c r="E29" s="333">
        <f>DCF!E82</f>
        <v>7.7963586522531783</v>
      </c>
      <c r="F29" s="334">
        <v>0.05</v>
      </c>
      <c r="G29" s="335">
        <f>F29</f>
        <v>0.05</v>
      </c>
    </row>
    <row r="30" spans="2:7">
      <c r="B30" s="322" t="s">
        <v>451</v>
      </c>
      <c r="C30" s="331">
        <v>-0.1</v>
      </c>
      <c r="D30" s="332">
        <f>C18</f>
        <v>5</v>
      </c>
      <c r="E30" s="333">
        <f>DCF!E86</f>
        <v>4.4433943913214398</v>
      </c>
      <c r="F30" s="334">
        <v>0.05</v>
      </c>
      <c r="G30" s="335">
        <f>F30</f>
        <v>0.05</v>
      </c>
    </row>
    <row r="31" spans="2:7">
      <c r="E31" s="336"/>
      <c r="F31" s="336"/>
    </row>
    <row r="32" spans="2:7" ht="13.15">
      <c r="B32" s="145" t="s">
        <v>460</v>
      </c>
    </row>
    <row r="33" spans="2:7">
      <c r="B33" s="97" t="s">
        <v>462</v>
      </c>
      <c r="C33" s="155">
        <f>Normalized_FCF!C88*(1-dividend_tax_rate)</f>
        <v>0.24179999999999999</v>
      </c>
      <c r="D33" t="str">
        <f>Market_currency</f>
        <v>HKD</v>
      </c>
      <c r="E33" s="97" t="s">
        <v>459</v>
      </c>
      <c r="F33" s="222">
        <f>Holding_Period</f>
        <v>2</v>
      </c>
    </row>
    <row r="34" spans="2:7">
      <c r="B34" s="97" t="s">
        <v>233</v>
      </c>
      <c r="C34" s="146">
        <f>Market_Price</f>
        <v>4.01</v>
      </c>
      <c r="D34" t="str">
        <f>Market_currency</f>
        <v>HKD</v>
      </c>
      <c r="E34" s="97" t="s">
        <v>458</v>
      </c>
      <c r="F34" s="337">
        <f>RATE(Holding_Period,$C$33,-C34,$C$36)</f>
        <v>0.31685611828363341</v>
      </c>
    </row>
    <row r="35" spans="2:7">
      <c r="B35" s="97" t="s">
        <v>438</v>
      </c>
      <c r="C35" s="327">
        <f>DCF!C11</f>
        <v>6.0269256130270792</v>
      </c>
      <c r="D35" s="97" t="str">
        <f>Market_currency</f>
        <v>HKD</v>
      </c>
      <c r="E35" s="97" t="s">
        <v>458</v>
      </c>
      <c r="F35" s="337">
        <f>RATE(Holding_Period,$C$33,-C35,$C$36)</f>
        <v>6.9515075657243935E-2</v>
      </c>
    </row>
    <row r="36" spans="2:7">
      <c r="B36" s="97" t="s">
        <v>439</v>
      </c>
      <c r="C36" s="328">
        <f>E22*G22+E23*G23+E24*G24+E30*G30+E29*G29</f>
        <v>6.3935654360067202</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6.3940929976315228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0.30038934884423074</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0.24179999999999999</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0.31178600823045277</v>
      </c>
      <c r="D62" s="119">
        <f>C36/(1+F62)^Holding_Period</f>
        <v>3.5081291829940846</v>
      </c>
      <c r="E62" s="339">
        <f>C62+D62</f>
        <v>3.8199151912245375</v>
      </c>
      <c r="F62" s="308">
        <f>Thesis!E22</f>
        <v>0.35</v>
      </c>
      <c r="G62" s="448">
        <f>(1-E62/C36)</f>
        <v>0.40253756226347903</v>
      </c>
    </row>
    <row r="63" spans="2:7" ht="13.15">
      <c r="B63" s="309" t="s">
        <v>313</v>
      </c>
      <c r="C63" s="119">
        <f>PV(F63, Holding_Period, -C58, 0)</f>
        <v>0.34819199999999995</v>
      </c>
      <c r="D63" s="119">
        <f>C36/(1+F63)^Holding_Period</f>
        <v>4.0918818790443012</v>
      </c>
      <c r="E63" s="339">
        <f>C63+D63</f>
        <v>4.4400738790443013</v>
      </c>
      <c r="F63" s="308">
        <f>Thesis!E23</f>
        <v>0.25</v>
      </c>
      <c r="G63" s="448">
        <f>(1-E63/C36)</f>
        <v>0.30554024612947839</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0.41005477282098601</v>
      </c>
      <c r="D66" s="119">
        <f>C36/(1+F66)^Holding_Period</f>
        <v>5.1206581100052357</v>
      </c>
      <c r="E66" s="339">
        <f>C66+D66</f>
        <v>5.5307128828262222</v>
      </c>
      <c r="F66" s="308">
        <f>Thesis!E24</f>
        <v>0.1174</v>
      </c>
      <c r="G66" s="448">
        <f>(1-E66/C47)</f>
        <v>0.13502776939983685</v>
      </c>
    </row>
    <row r="67" spans="2:7" ht="13.15">
      <c r="B67" s="309" t="s">
        <v>314</v>
      </c>
      <c r="C67" s="119">
        <f>PV(F67, Holding_Period, -C58, 0)</f>
        <v>0.43566857385039198</v>
      </c>
      <c r="D67" s="119">
        <f>C36/(1+F67)^Holding_Period</f>
        <v>5.5583835654070306</v>
      </c>
      <c r="E67" s="339">
        <f>C67+D67</f>
        <v>5.9940521392574224</v>
      </c>
      <c r="F67" s="308">
        <f>Thesis!E25</f>
        <v>7.2499999999999995E-2</v>
      </c>
      <c r="G67" s="448">
        <f>(1-E67/C36)</f>
        <v>6.248677686152293E-2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中国飞鹤</v>
      </c>
      <c r="D4" s="356"/>
      <c r="E4" s="442" t="s">
        <v>543</v>
      </c>
      <c r="F4" s="445" t="str">
        <f>Thesis!F4</f>
        <v>INT</v>
      </c>
    </row>
    <row r="5" spans="1:10">
      <c r="B5" s="350" t="s">
        <v>364</v>
      </c>
      <c r="C5" s="362" t="str">
        <f>Thesis!C5</f>
        <v>6186.HK</v>
      </c>
      <c r="E5" s="446" t="s">
        <v>544</v>
      </c>
      <c r="F5" s="447" t="str">
        <f>Thesis!F5</f>
        <v>N</v>
      </c>
    </row>
    <row r="6" spans="1:10">
      <c r="B6" s="357" t="s">
        <v>336</v>
      </c>
      <c r="C6" s="359" t="str">
        <f>Thesis!C6</f>
        <v>CNS_01</v>
      </c>
      <c r="E6" s="361"/>
    </row>
    <row r="7" spans="1:10">
      <c r="B7" s="350" t="s">
        <v>366</v>
      </c>
      <c r="C7" s="359" t="str">
        <f>Market_currency</f>
        <v>HKD</v>
      </c>
      <c r="D7" s="361"/>
      <c r="E7" s="361"/>
    </row>
    <row r="8" spans="1:10">
      <c r="B8" s="358" t="s">
        <v>365</v>
      </c>
      <c r="C8" s="363">
        <f>Market_Price</f>
        <v>4.01</v>
      </c>
    </row>
    <row r="9" spans="1:10">
      <c r="B9" s="358" t="s">
        <v>361</v>
      </c>
      <c r="C9" s="360">
        <f>Common_Shares</f>
        <v>9065251704</v>
      </c>
    </row>
    <row r="10" spans="1:10">
      <c r="B10" s="358" t="s">
        <v>367</v>
      </c>
      <c r="C10" s="364">
        <f>投资主题!C8*Common_Shares/1000000</f>
        <v>36351.659333039999</v>
      </c>
      <c r="D10" s="350" t="s">
        <v>532</v>
      </c>
      <c r="E10" s="367">
        <f>Scenarios!F34</f>
        <v>0.31685611828363341</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1.0934131499999999</v>
      </c>
    </row>
    <row r="17" spans="1:6">
      <c r="B17" s="350" t="s">
        <v>538</v>
      </c>
      <c r="C17" s="432">
        <f>Terminal_Growth</f>
        <v>0</v>
      </c>
      <c r="D17" s="358" t="s">
        <v>339</v>
      </c>
      <c r="E17" s="351" t="str">
        <f>Reporting_currency</f>
        <v>CNY</v>
      </c>
    </row>
    <row r="18" spans="1:6">
      <c r="B18" s="350" t="str">
        <f>"预期股权价值 ("&amp;C7&amp;") :"</f>
        <v>预期股权价值 (HKD) :</v>
      </c>
      <c r="C18" s="366">
        <f>C125</f>
        <v>6.3935654360067202</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497</v>
      </c>
      <c r="C21" s="368" t="str">
        <f>C138&amp;" ("&amp;Market_currency&amp;")"</f>
        <v xml:space="preserve"> (HKD)</v>
      </c>
      <c r="D21" s="369" t="s">
        <v>344</v>
      </c>
      <c r="E21" s="370">
        <f>Holding_Period</f>
        <v>2</v>
      </c>
    </row>
    <row r="22" spans="1:6">
      <c r="B22" s="350" t="s">
        <v>340</v>
      </c>
      <c r="C22" s="371">
        <f>E140</f>
        <v>3.8199151912245375</v>
      </c>
      <c r="D22" s="372" t="s">
        <v>444</v>
      </c>
      <c r="E22" s="373">
        <f>Thesis!E22</f>
        <v>0.35</v>
      </c>
    </row>
    <row r="23" spans="1:6">
      <c r="B23" s="350" t="s">
        <v>341</v>
      </c>
      <c r="C23" s="374">
        <f>E141</f>
        <v>4.4400738790443013</v>
      </c>
      <c r="D23" s="372" t="s">
        <v>445</v>
      </c>
      <c r="E23" s="375">
        <f>Thesis!E23</f>
        <v>0.25</v>
      </c>
    </row>
    <row r="24" spans="1:6">
      <c r="B24" s="350" t="s">
        <v>343</v>
      </c>
      <c r="C24" s="374">
        <f>E144</f>
        <v>5.5307128828262222</v>
      </c>
      <c r="D24" s="372" t="s">
        <v>447</v>
      </c>
      <c r="E24" s="375">
        <f>Thesis!E24</f>
        <v>0.1174</v>
      </c>
    </row>
    <row r="25" spans="1:6">
      <c r="B25" s="350" t="s">
        <v>342</v>
      </c>
      <c r="C25" s="374">
        <f>E145</f>
        <v>5.9940521392574224</v>
      </c>
      <c r="D25" s="372" t="s">
        <v>446</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3585603</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-12182</v>
      </c>
      <c r="D41" s="350" t="str">
        <f>Reporting_currency</f>
        <v>CNY</v>
      </c>
    </row>
    <row r="43" spans="2:6">
      <c r="B43" s="469" t="s">
        <v>507</v>
      </c>
      <c r="C43" s="469"/>
      <c r="D43" s="469"/>
      <c r="E43" s="469"/>
      <c r="F43" s="469"/>
    </row>
    <row r="44" spans="2:6">
      <c r="B44" s="379" t="s">
        <v>267</v>
      </c>
      <c r="C44" s="383">
        <f>Normalized_FCF!C46</f>
        <v>15205.2148620272</v>
      </c>
      <c r="D44" s="350" t="str">
        <f>Reporting_currency</f>
        <v>CNY</v>
      </c>
      <c r="E44" s="378"/>
      <c r="F44" s="378"/>
    </row>
    <row r="45" spans="2:6">
      <c r="B45" s="379" t="s">
        <v>268</v>
      </c>
      <c r="C45" s="383">
        <f>Normalized_FCF!C45</f>
        <v>-44646</v>
      </c>
      <c r="D45" s="350" t="str">
        <f>Reporting_currency</f>
        <v>CNY</v>
      </c>
      <c r="E45" s="378"/>
      <c r="F45" s="378"/>
    </row>
    <row r="46" spans="2:6">
      <c r="B46" s="379" t="s">
        <v>203</v>
      </c>
      <c r="C46" s="380">
        <f>Normalized_FCF!C10</f>
        <v>-29440.785137972802</v>
      </c>
      <c r="D46" s="350" t="str">
        <f>Reporting_currency</f>
        <v>CNY</v>
      </c>
    </row>
    <row r="48" spans="2:6">
      <c r="B48" s="350" t="s">
        <v>508</v>
      </c>
    </row>
    <row r="49" spans="2:6">
      <c r="B49" s="379" t="s">
        <v>223</v>
      </c>
      <c r="C49" s="380">
        <f>Normalized_FCF!C13</f>
        <v>-67196</v>
      </c>
      <c r="D49" s="350" t="str">
        <f>Reporting_currency</f>
        <v>CNY</v>
      </c>
    </row>
    <row r="51" spans="2:6">
      <c r="B51" s="469" t="s">
        <v>509</v>
      </c>
      <c r="C51" s="469"/>
      <c r="D51" s="469"/>
      <c r="E51" s="469"/>
      <c r="F51" s="469"/>
    </row>
    <row r="52" spans="2:6">
      <c r="B52" s="379" t="s">
        <v>500</v>
      </c>
      <c r="C52" s="380">
        <f>Normalized_FCF!C12</f>
        <v>-885995.0537155068</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2910551.9698010553</v>
      </c>
      <c r="D60" s="350" t="str">
        <f>Reporting_currency</f>
        <v>CNY</v>
      </c>
    </row>
    <row r="61" spans="2:6">
      <c r="B61" s="379" t="s">
        <v>213</v>
      </c>
      <c r="C61" s="380">
        <f>Normalized_FCF!C19</f>
        <v>2590789.1611465206</v>
      </c>
      <c r="D61" s="350" t="str">
        <f>Reporting_currency</f>
        <v>CNY</v>
      </c>
    </row>
    <row r="62" spans="2:6">
      <c r="B62" s="384" t="s">
        <v>302</v>
      </c>
      <c r="C62" s="385">
        <f>Normalized_FCF!C124</f>
        <v>7.7927747719079815E-2</v>
      </c>
      <c r="F62" s="386"/>
    </row>
    <row r="63" spans="2:6">
      <c r="B63" s="384" t="s">
        <v>332</v>
      </c>
      <c r="C63" s="385">
        <f>Normalized_FCF!C92</f>
        <v>6.0299251870324193E-2</v>
      </c>
      <c r="E63" s="379" t="s">
        <v>373</v>
      </c>
      <c r="F63" s="387">
        <f>Normalized_FCF!C90</f>
        <v>0.84606570650356128</v>
      </c>
    </row>
    <row r="65" spans="1:6">
      <c r="B65" s="376" t="s">
        <v>376</v>
      </c>
      <c r="C65" s="388" t="s">
        <v>327</v>
      </c>
      <c r="D65" s="388" t="s">
        <v>374</v>
      </c>
    </row>
    <row r="66" spans="1:6">
      <c r="B66" s="379" t="s">
        <v>326</v>
      </c>
      <c r="C66" s="385">
        <f>Normalized_FCF!C119</f>
        <v>0.13051754934484086</v>
      </c>
      <c r="D66" s="385">
        <f>Normalized_FCF!G119</f>
        <v>0.18009434106411271</v>
      </c>
    </row>
    <row r="67" spans="1:6">
      <c r="B67" s="389" t="str">
        <f>Normalized_FCF!B116</f>
        <v>Pre-tax Profit/Sales</v>
      </c>
      <c r="C67" s="390">
        <f>Normalized_FCF!C116</f>
        <v>0.21350770384328224</v>
      </c>
      <c r="D67" s="390">
        <f>Normalized_FCF!G116</f>
        <v>0.23568649229951275</v>
      </c>
    </row>
    <row r="68" spans="1:6">
      <c r="B68" s="389" t="str">
        <f>Normalized_FCF!B117</f>
        <v>Sales/Total Assets</v>
      </c>
      <c r="C68" s="391">
        <f>Normalized_FCF!C117</f>
        <v>0.48960240415119827</v>
      </c>
      <c r="D68" s="391">
        <f>Normalized_FCF!G117</f>
        <v>0.61200300518899786</v>
      </c>
    </row>
    <row r="69" spans="1:6">
      <c r="B69" s="389" t="str">
        <f>Normalized_FCF!B118</f>
        <v>Total Assets/Equity</v>
      </c>
      <c r="C69" s="391">
        <f>Normalized_FCF!C118</f>
        <v>1.2485669045200241</v>
      </c>
      <c r="D69" s="391">
        <f>Normalized_FCF!G118</f>
        <v>1.2485669045200241</v>
      </c>
    </row>
    <row r="71" spans="1:6" ht="13.9">
      <c r="A71" s="352" t="s">
        <v>480</v>
      </c>
      <c r="B71" s="352"/>
      <c r="C71" s="352"/>
      <c r="D71" s="352"/>
      <c r="E71" s="352"/>
      <c r="F71" s="352"/>
    </row>
    <row r="72" spans="1:6">
      <c r="A72" s="392"/>
    </row>
    <row r="73" spans="1:6">
      <c r="A73" s="393"/>
      <c r="B73" s="470" t="s">
        <v>513</v>
      </c>
      <c r="C73" s="470"/>
      <c r="D73" s="470"/>
      <c r="E73" s="470"/>
      <c r="F73" s="470"/>
    </row>
    <row r="74" spans="1:6">
      <c r="B74" s="471" t="s">
        <v>483</v>
      </c>
      <c r="C74" s="471"/>
      <c r="D74" s="471"/>
      <c r="E74" s="471"/>
      <c r="F74" s="471"/>
    </row>
    <row r="76" spans="1:6">
      <c r="B76" s="376" t="s">
        <v>371</v>
      </c>
    </row>
    <row r="77" spans="1:6">
      <c r="B77" s="470" t="s">
        <v>514</v>
      </c>
      <c r="C77" s="470"/>
      <c r="D77" s="470"/>
      <c r="E77" s="470"/>
      <c r="F77" s="470"/>
    </row>
    <row r="78" spans="1:6">
      <c r="B78" s="350" t="s">
        <v>215</v>
      </c>
      <c r="C78" s="380">
        <f>DCF!F4</f>
        <v>-845013</v>
      </c>
      <c r="D78" s="350" t="str">
        <f>Reporting_currency</f>
        <v>CNY</v>
      </c>
    </row>
    <row r="79" spans="1:6">
      <c r="B79" s="379" t="s">
        <v>234</v>
      </c>
      <c r="C79" s="394">
        <f>C78*scaling_factor*Exchange_Rate/Common_Shares</f>
        <v>-0.10192197153370404</v>
      </c>
      <c r="D79" s="350" t="str">
        <f>Market_currency</f>
        <v>HKD</v>
      </c>
    </row>
    <row r="80" spans="1:6">
      <c r="B80" s="389" t="s">
        <v>309</v>
      </c>
      <c r="C80" s="395">
        <f>IF(BS!G31/BS!G27&gt;300%,"nm",BS!G31/BS!G27)</f>
        <v>3.1120102042901991E-2</v>
      </c>
    </row>
    <row r="81" spans="1:6">
      <c r="B81" s="389" t="s">
        <v>311</v>
      </c>
      <c r="C81" s="396">
        <f>IF(BS!C50&gt;30,"nm",BS!C50)</f>
        <v>0.2356683101838101</v>
      </c>
    </row>
    <row r="83" spans="1:6">
      <c r="B83" s="350" t="s">
        <v>515</v>
      </c>
    </row>
    <row r="84" spans="1:6">
      <c r="B84" s="350" t="s">
        <v>224</v>
      </c>
      <c r="C84" s="380">
        <f>DCF!F5</f>
        <v>15073642.522995466</v>
      </c>
      <c r="D84" s="350" t="str">
        <f>Reporting_currency</f>
        <v>CNY</v>
      </c>
    </row>
    <row r="85" spans="1:6">
      <c r="B85" s="389" t="s">
        <v>485</v>
      </c>
      <c r="C85" s="397">
        <f>BS!C66</f>
        <v>17607845</v>
      </c>
      <c r="D85" s="398" t="str">
        <f>Reporting_currency</f>
        <v>CNY</v>
      </c>
    </row>
    <row r="86" spans="1:6">
      <c r="B86" s="379" t="s">
        <v>235</v>
      </c>
      <c r="C86" s="394">
        <f>C84*scaling_factor*Exchange_Rate/Common_Shares</f>
        <v>1.8181203888436919</v>
      </c>
      <c r="D86" s="350" t="str">
        <f>Market_currency</f>
        <v>HKD</v>
      </c>
    </row>
    <row r="88" spans="1:6">
      <c r="B88" s="350" t="s">
        <v>516</v>
      </c>
    </row>
    <row r="89" spans="1:6">
      <c r="B89" s="350" t="s">
        <v>217</v>
      </c>
      <c r="C89" s="380">
        <f>DCF!F6</f>
        <v>4283</v>
      </c>
      <c r="D89" s="350" t="str">
        <f>Reporting_currency</f>
        <v>CNY</v>
      </c>
    </row>
    <row r="90" spans="1:6">
      <c r="B90" s="379" t="s">
        <v>236</v>
      </c>
      <c r="C90" s="394">
        <f>C89*scaling_factor*Exchange_Rate/Common_Shares</f>
        <v>5.1659773764291717E-4</v>
      </c>
      <c r="D90" s="350" t="str">
        <f>Market_currency</f>
        <v>HKD</v>
      </c>
    </row>
    <row r="92" spans="1:6">
      <c r="B92" s="379" t="s">
        <v>484</v>
      </c>
      <c r="C92" s="394">
        <f>DCF!F8</f>
        <v>1.7167150150476305</v>
      </c>
      <c r="D92" s="350" t="str">
        <f>Market_currency</f>
        <v>HKD</v>
      </c>
    </row>
    <row r="94" spans="1:6" ht="13.9">
      <c r="A94" s="352" t="s">
        <v>486</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493</v>
      </c>
    </row>
    <row r="111" spans="1:6">
      <c r="A111" s="392"/>
      <c r="B111" s="382" t="s">
        <v>490</v>
      </c>
      <c r="C111" s="401">
        <f>BS!D47</f>
        <v>1.2424960256803461</v>
      </c>
      <c r="D111" s="350" t="str">
        <f>Market_currency</f>
        <v>HKD</v>
      </c>
    </row>
    <row r="112" spans="1:6">
      <c r="A112" s="392"/>
      <c r="B112" s="379" t="s">
        <v>377</v>
      </c>
      <c r="C112" s="401">
        <f>DCF!C11</f>
        <v>6.0269256130270792</v>
      </c>
      <c r="D112" s="350" t="str">
        <f>Market_currency</f>
        <v>HKD</v>
      </c>
    </row>
    <row r="113" spans="1:6">
      <c r="A113" s="392"/>
    </row>
    <row r="114" spans="1:6">
      <c r="A114" s="392"/>
      <c r="B114" s="470" t="s">
        <v>521</v>
      </c>
      <c r="C114" s="470"/>
      <c r="D114" s="470"/>
      <c r="E114" s="470"/>
      <c r="F114" s="470"/>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0.08</v>
      </c>
      <c r="D118" s="404">
        <f>DCF!D82</f>
        <v>5</v>
      </c>
      <c r="E118" s="405" t="str">
        <f>ROUND(DCF!E82,2)&amp;" "&amp;Market_currency</f>
        <v>7.8 HKD</v>
      </c>
      <c r="F118" s="406">
        <f>DCF!F82</f>
        <v>0.05</v>
      </c>
    </row>
    <row r="119" spans="1:6">
      <c r="A119" s="392"/>
      <c r="B119" s="407" t="str">
        <f>DCF!B83</f>
        <v>Optimistic</v>
      </c>
      <c r="C119" s="408">
        <f>DCF!C83</f>
        <v>0.03</v>
      </c>
      <c r="D119" s="409">
        <f>DCF!D83</f>
        <v>5</v>
      </c>
      <c r="E119" s="405" t="str">
        <f>ROUND(DCF!E83,2)&amp;" "&amp;Market_currency</f>
        <v>6.63 HKD</v>
      </c>
      <c r="F119" s="410">
        <f>DCF!F83</f>
        <v>0.18</v>
      </c>
    </row>
    <row r="120" spans="1:6">
      <c r="B120" s="407" t="str">
        <f>DCF!B84</f>
        <v>Base</v>
      </c>
      <c r="C120" s="408">
        <f>DCF!C84</f>
        <v>0.02</v>
      </c>
      <c r="D120" s="409">
        <f>DCF!D84</f>
        <v>5</v>
      </c>
      <c r="E120" s="405" t="str">
        <f>ROUND(DCF!E84,2)&amp;" "&amp;Market_currency</f>
        <v>6.42 HKD</v>
      </c>
      <c r="F120" s="410">
        <f>DCF!F84</f>
        <v>0.53999999999999992</v>
      </c>
    </row>
    <row r="121" spans="1:6">
      <c r="B121" s="407" t="str">
        <f>DCF!B85</f>
        <v>Pessimistic</v>
      </c>
      <c r="C121" s="408">
        <f>DCF!C85</f>
        <v>0.01</v>
      </c>
      <c r="D121" s="409">
        <f>DCF!D85</f>
        <v>5</v>
      </c>
      <c r="E121" s="405" t="str">
        <f>ROUND(DCF!E85,2)&amp;" "&amp;Market_currency</f>
        <v>6.22 HKD</v>
      </c>
      <c r="F121" s="410">
        <f>DCF!F85</f>
        <v>0.18</v>
      </c>
    </row>
    <row r="122" spans="1:6">
      <c r="B122" s="407" t="str">
        <f>DCF!B86</f>
        <v>Devil's advocate</v>
      </c>
      <c r="C122" s="408">
        <f>DCF!C86</f>
        <v>-0.1</v>
      </c>
      <c r="D122" s="409">
        <f>DCF!D86</f>
        <v>5</v>
      </c>
      <c r="E122" s="405" t="str">
        <f>ROUND(DCF!E86,2)&amp;" "&amp;Market_currency</f>
        <v>4.44 HKD</v>
      </c>
      <c r="F122" s="410">
        <f>DCF!F86</f>
        <v>0.05</v>
      </c>
    </row>
    <row r="124" spans="1:6">
      <c r="B124" s="469" t="s">
        <v>522</v>
      </c>
      <c r="C124" s="469"/>
      <c r="D124" s="469"/>
      <c r="E124" s="469"/>
      <c r="F124" s="469"/>
    </row>
    <row r="125" spans="1:6">
      <c r="B125" s="379" t="s">
        <v>218</v>
      </c>
      <c r="C125" s="411">
        <f>Scenarios!C36</f>
        <v>6.3935654360067202</v>
      </c>
      <c r="D125" s="350" t="str">
        <f>Market_currency</f>
        <v>HKD</v>
      </c>
    </row>
    <row r="127" spans="1:6">
      <c r="B127" s="474" t="s">
        <v>523</v>
      </c>
      <c r="C127" s="474"/>
      <c r="D127" s="474"/>
      <c r="E127" s="474"/>
      <c r="F127" s="474"/>
    </row>
    <row r="129" spans="1:6" ht="13.9">
      <c r="A129" s="352" t="s">
        <v>496</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2</v>
      </c>
    </row>
    <row r="136" spans="1:6">
      <c r="B136" s="350" t="s">
        <v>383</v>
      </c>
      <c r="C136" s="413">
        <f>Scenarios!C58</f>
        <v>0.24179999999999999</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0.31178600823045277</v>
      </c>
      <c r="D140" s="416">
        <f>Scenarios!D62</f>
        <v>3.5081291829940846</v>
      </c>
      <c r="E140" s="417">
        <f>Scenarios!E62</f>
        <v>3.8199151912245375</v>
      </c>
      <c r="F140" s="418">
        <f>E22</f>
        <v>0.35</v>
      </c>
    </row>
    <row r="141" spans="1:6">
      <c r="B141" s="415" t="s">
        <v>313</v>
      </c>
      <c r="C141" s="416">
        <f>Scenarios!C63</f>
        <v>0.34819199999999995</v>
      </c>
      <c r="D141" s="416">
        <f>Scenarios!D63</f>
        <v>4.0918818790443012</v>
      </c>
      <c r="E141" s="417">
        <f>Scenarios!E63</f>
        <v>4.4400738790443013</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0.41005477282098601</v>
      </c>
      <c r="D144" s="416">
        <f>Scenarios!D66</f>
        <v>5.1206581100052357</v>
      </c>
      <c r="E144" s="417">
        <f>Scenarios!E66</f>
        <v>5.5307128828262222</v>
      </c>
      <c r="F144" s="418">
        <f>E24</f>
        <v>0.1174</v>
      </c>
    </row>
    <row r="145" spans="1:6">
      <c r="B145" s="415" t="s">
        <v>314</v>
      </c>
      <c r="C145" s="416">
        <f>Scenarios!C67</f>
        <v>0.43566857385039198</v>
      </c>
      <c r="D145" s="416">
        <f>Scenarios!D67</f>
        <v>5.5583835654070306</v>
      </c>
      <c r="E145" s="417">
        <f>Scenarios!E67</f>
        <v>5.9940521392574224</v>
      </c>
      <c r="F145" s="418">
        <f>Scenarios!F67</f>
        <v>7.2499999999999995E-2</v>
      </c>
    </row>
    <row r="147" spans="1:6" ht="13.9">
      <c r="A147" s="352" t="s">
        <v>479</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443</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