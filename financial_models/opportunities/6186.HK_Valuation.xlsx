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DE398E1-A122-4DC4-9AC3-9A512253E39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<sst xmlns="http://schemas.openxmlformats.org/spreadsheetml/2006/main" count="766" uniqueCount="555">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</sst>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9" sqref="C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349</v>
      </c>
      <c r="C5" s="46" t="s">
        <v>552</v>
      </c>
      <c r="E5" s="441" t="s">
        <v>542</v>
      </c>
      <c r="F5" s="440" t="s">
        <v>550</v>
      </c>
    </row>
    <row r="6" spans="1:9">
      <c r="B6" s="2" t="s">
        <v>53</v>
      </c>
      <c r="C6" s="45" t="s">
        <v>404</v>
      </c>
      <c r="D6" s="45"/>
      <c r="E6" s="45"/>
    </row>
    <row r="7" spans="1:9">
      <c r="B7" s="1" t="s">
        <v>351</v>
      </c>
      <c r="C7" s="45" t="s">
        <v>308</v>
      </c>
      <c r="D7" s="45"/>
      <c r="E7" s="45"/>
    </row>
    <row r="8" spans="1:9">
      <c r="B8" s="4" t="s">
        <v>350</v>
      </c>
      <c r="C8" s="47">
        <v>3.95</v>
      </c>
      <c r="E8" s="32"/>
    </row>
    <row r="9" spans="1:9">
      <c r="B9" s="4" t="s">
        <v>346</v>
      </c>
      <c r="C9" s="48">
        <v>9065251704</v>
      </c>
    </row>
    <row r="10" spans="1:9">
      <c r="B10" s="4" t="s">
        <v>352</v>
      </c>
      <c r="C10" s="33">
        <f>Thesis!C8*Common_Shares/1000000</f>
        <v>35807.744230800003</v>
      </c>
      <c r="D10" s="1" t="s">
        <v>531</v>
      </c>
      <c r="E10" s="310">
        <f>Scenarios!F34</f>
        <v>0.22659565455699582</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550</v>
      </c>
      <c r="D15" s="4" t="s">
        <v>353</v>
      </c>
      <c r="E15" s="259" t="str">
        <f>IF(E17=C7,C7,E17&amp;"/"&amp;C7)</f>
        <v>CNY/HKD</v>
      </c>
    </row>
    <row r="16" spans="1:9">
      <c r="B16" s="1" t="s">
        <v>320</v>
      </c>
      <c r="C16" s="425" t="s">
        <v>550</v>
      </c>
      <c r="D16" s="4" t="s">
        <v>354</v>
      </c>
      <c r="E16" s="424">
        <v>1.09235412</v>
      </c>
    </row>
    <row r="17" spans="1:6">
      <c r="B17" s="1" t="s">
        <v>535</v>
      </c>
      <c r="C17" s="423">
        <v>0</v>
      </c>
      <c r="D17" s="4" t="s">
        <v>274</v>
      </c>
      <c r="E17" s="227" t="s">
        <v>546</v>
      </c>
    </row>
    <row r="18" spans="1:6">
      <c r="B18" s="1" t="str">
        <f>"Expected Equity Value ("&amp;C7&amp;") :"</f>
        <v>Expected Equity Value (HKD) :</v>
      </c>
      <c r="C18" s="258">
        <f>C125</f>
        <v>6.3873729207587608</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(HKD)</v>
      </c>
      <c r="D21" s="31" t="s">
        <v>316</v>
      </c>
      <c r="E21" s="450">
        <v>3</v>
      </c>
    </row>
    <row r="22" spans="1:6">
      <c r="B22" s="1" t="s">
        <v>312</v>
      </c>
      <c r="C22" s="261">
        <f>E140</f>
        <v>3.3859479363378795</v>
      </c>
      <c r="D22" s="38" t="s">
        <v>409</v>
      </c>
      <c r="E22" s="79">
        <v>0.29465259038036606</v>
      </c>
    </row>
    <row r="23" spans="1:6">
      <c r="B23" s="1" t="s">
        <v>313</v>
      </c>
      <c r="C23" s="262">
        <f>E141</f>
        <v>4.1982054371984079</v>
      </c>
      <c r="D23" s="38" t="s">
        <v>410</v>
      </c>
      <c r="E23" s="451">
        <v>0.20075184365903009</v>
      </c>
    </row>
    <row r="24" spans="1:6">
      <c r="B24" s="1" t="s">
        <v>315</v>
      </c>
      <c r="C24" s="262">
        <f>E144</f>
        <v>5.1615833608671222</v>
      </c>
      <c r="D24" s="38" t="s">
        <v>411</v>
      </c>
      <c r="E24" s="451">
        <v>0.1174</v>
      </c>
    </row>
    <row r="25" spans="1:6">
      <c r="B25" s="1" t="s">
        <v>314</v>
      </c>
      <c r="C25" s="262">
        <f>E145</f>
        <v>5.8092946787835151</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3585603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-12182</v>
      </c>
      <c r="D41" s="1" t="str">
        <f>Reporting_currency</f>
        <v>CNY</v>
      </c>
    </row>
    <row r="43" spans="2:6">
      <c r="B43" s="460" t="s">
        <v>205</v>
      </c>
      <c r="C43" s="460"/>
      <c r="D43" s="460"/>
      <c r="E43" s="460"/>
      <c r="F43" s="460"/>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0" t="s">
        <v>206</v>
      </c>
      <c r="C51" s="460"/>
      <c r="D51" s="460"/>
      <c r="E51" s="460"/>
      <c r="F51" s="460"/>
    </row>
    <row r="52" spans="2:6">
      <c r="B52" s="44" t="s">
        <v>204</v>
      </c>
      <c r="C52" s="292">
        <f>Normalized_FCF!C12</f>
        <v>-885995.0537155068</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7.903483659815333E-2</v>
      </c>
      <c r="F62" s="263"/>
    </row>
    <row r="63" spans="2:6">
      <c r="B63" s="206" t="s">
        <v>332</v>
      </c>
      <c r="C63" s="89">
        <f>Normalized_FCF!C92</f>
        <v>6.1215189873417716E-2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-845013</v>
      </c>
      <c r="D78" s="1" t="str">
        <f>Reporting_currency</f>
        <v>CNY</v>
      </c>
    </row>
    <row r="79" spans="1:6">
      <c r="A79" s="191"/>
      <c r="B79" s="44" t="s">
        <v>234</v>
      </c>
      <c r="C79" s="203">
        <f>C78*scaling_factor*Exchange_Rate/Common_Shares</f>
        <v>-0.10182325457066646</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470</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1.8163594405366434</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5.160973846865841E-4</v>
      </c>
      <c r="D90" s="1" t="str">
        <f>Market_currency</f>
        <v>HKD</v>
      </c>
    </row>
    <row r="91" spans="1:6">
      <c r="A91" s="191"/>
    </row>
    <row r="92" spans="1:6">
      <c r="A92" s="191"/>
      <c r="B92" s="44" t="s">
        <v>473</v>
      </c>
      <c r="C92" s="219">
        <f>DCF!F8</f>
        <v>1.7150522833506632</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1.2412926008211553</v>
      </c>
      <c r="D111" s="1" t="str">
        <f>Market_currency</f>
        <v>HKD</v>
      </c>
    </row>
    <row r="112" spans="2:6">
      <c r="B112" s="44" t="s">
        <v>323</v>
      </c>
      <c r="C112" s="219">
        <f>DCF!C11</f>
        <v>6.0210882083535004</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7.79 HKD</v>
      </c>
      <c r="F118" s="211">
        <f>DCF!F82</f>
        <v>0.05</v>
      </c>
    </row>
    <row r="119" spans="2:6">
      <c r="B119" s="198" t="str">
        <f>DCF!B83</f>
        <v>Optimistic</v>
      </c>
      <c r="C119" s="199">
        <f>DCF!C83</f>
        <v>0.03</v>
      </c>
      <c r="D119" s="200">
        <f>DCF!D83</f>
        <v>5</v>
      </c>
      <c r="E119" s="210" t="str">
        <f>ROUND(DCF!E83,2)&amp;" "&amp;Market_currency</f>
        <v>6.62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0" t="s">
        <v>357</v>
      </c>
      <c r="C124" s="460"/>
      <c r="D124" s="460"/>
      <c r="E124" s="460"/>
      <c r="F124" s="460"/>
    </row>
    <row r="125" spans="2:6">
      <c r="B125" s="193" t="s">
        <v>218</v>
      </c>
      <c r="C125" s="197">
        <f>Scenarios!C36</f>
        <v>6.3873729207587608</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0.24179999999999999</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0.44245811110342687</v>
      </c>
      <c r="D140" s="340">
        <f>Scenarios!D62</f>
        <v>2.9434898252344528</v>
      </c>
      <c r="E140" s="341">
        <f>Scenarios!E62</f>
        <v>3.3859479363378795</v>
      </c>
      <c r="F140" s="342">
        <f>E22</f>
        <v>0.29465259038036606</v>
      </c>
    </row>
    <row r="141" spans="1:6">
      <c r="B141" s="343" t="s">
        <v>313</v>
      </c>
      <c r="C141" s="340">
        <f>Scenarios!C63</f>
        <v>0.50874815444966315</v>
      </c>
      <c r="D141" s="340">
        <f>Scenarios!D63</f>
        <v>3.6894572827487444</v>
      </c>
      <c r="E141" s="341">
        <f>Scenarios!E63</f>
        <v>4.1982054371984079</v>
      </c>
      <c r="F141" s="342">
        <f>Scenarios!F63</f>
        <v>0.20075184365903009</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0.58336743585196538</v>
      </c>
      <c r="D144" s="340">
        <f>Scenarios!D66</f>
        <v>4.5782159250151571</v>
      </c>
      <c r="E144" s="341">
        <f>Scenarios!E66</f>
        <v>5.1615833608671222</v>
      </c>
      <c r="F144" s="342">
        <f>E24</f>
        <v>0.1174</v>
      </c>
    </row>
    <row r="145" spans="1:6">
      <c r="B145" s="343" t="s">
        <v>314</v>
      </c>
      <c r="C145" s="340">
        <f>Scenarios!C67</f>
        <v>0.63167232993043521</v>
      </c>
      <c r="D145" s="340">
        <f>Scenarios!D67</f>
        <v>5.1776223488530801</v>
      </c>
      <c r="E145" s="341">
        <f>Scenarios!E67</f>
        <v>5.8092946787835151</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3.0860457031533781</v>
      </c>
      <c r="D47" s="134">
        <f>D46*H1/Common_Shares*Exchange_Rate</f>
        <v>1.2412926008211553</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923053.43200356001</v>
      </c>
      <c r="D86" s="203">
        <f>C86*scaling_factor/Common_Shares</f>
        <v>0.10182325457066647</v>
      </c>
      <c r="E86" s="217" t="str">
        <f>Market_currency</f>
        <v>HKD</v>
      </c>
    </row>
    <row r="87" spans="2:8" ht="15" customHeight="1">
      <c r="B87" s="215" t="s">
        <v>240</v>
      </c>
      <c r="C87" s="73">
        <f>DCF!F5*Exchange_Rate</f>
        <v>16465755.513401292</v>
      </c>
      <c r="D87" s="203">
        <f>C87*scaling_factor/Common_Shares</f>
        <v>1.8163594405366434</v>
      </c>
      <c r="E87" s="217" t="str">
        <f>Market_currency</f>
        <v>HKD</v>
      </c>
    </row>
    <row r="88" spans="2:8" ht="15" customHeight="1">
      <c r="B88" s="216" t="s">
        <v>159</v>
      </c>
      <c r="C88" s="73">
        <f>DCF!F6*Exchange_Rate</f>
        <v>4678.5526959600002</v>
      </c>
      <c r="D88" s="203">
        <f>C88*scaling_factor/Common_Shares</f>
        <v>5.160973846865841E-4</v>
      </c>
      <c r="E88" s="217" t="str">
        <f>Market_currency</f>
        <v>HKD</v>
      </c>
    </row>
    <row r="89" spans="2:8" ht="15" customHeight="1">
      <c r="B89" s="77" t="s">
        <v>244</v>
      </c>
      <c r="C89" s="162">
        <f>SUM(C86:C88)</f>
        <v>17393487.498100813</v>
      </c>
      <c r="D89" s="219">
        <f>SUM(D86:D88)</f>
        <v>1.9186987924919965</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418</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6.1215189873417716E-2</v>
      </c>
      <c r="E92" s="241"/>
      <c r="G92" s="22">
        <f t="shared" ref="G92:Q92" si="38">IF(G$4="","",(G88*(1-dividend_tax_rate))/Market_Price)</f>
        <v>8.263291139240507E-2</v>
      </c>
      <c r="H92" s="22">
        <f t="shared" si="38"/>
        <v>7.1721518987341762E-2</v>
      </c>
      <c r="I92" s="22">
        <f t="shared" si="38"/>
        <v>7.2202531645569626E-2</v>
      </c>
      <c r="J92" s="22">
        <f t="shared" si="38"/>
        <v>0.11913924050632911</v>
      </c>
      <c r="K92" s="22">
        <f t="shared" si="38"/>
        <v>7.4962025316455697E-2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0.31218760456270567</v>
      </c>
      <c r="D123" s="26"/>
      <c r="E123" s="238"/>
      <c r="F123" s="26"/>
      <c r="G123" s="159">
        <f t="shared" ref="G123:Q123" si="48">IF(G$4="","",G14*$C$3/Common_Shares*Exchange_Rate)</f>
        <v>0.35071871576201502</v>
      </c>
      <c r="H123" s="159">
        <f t="shared" si="48"/>
        <v>0.31506969686647196</v>
      </c>
      <c r="I123" s="159">
        <f t="shared" si="48"/>
        <v>0.49383651269274453</v>
      </c>
      <c r="J123" s="159">
        <f t="shared" si="48"/>
        <v>0.62952059976022479</v>
      </c>
      <c r="K123" s="159">
        <f t="shared" si="48"/>
        <v>0.5465891845477564</v>
      </c>
      <c r="L123" s="159">
        <f t="shared" si="48"/>
        <v>0.36482144494711322</v>
      </c>
      <c r="M123" s="159">
        <f t="shared" si="48"/>
        <v>0.21358394440113165</v>
      </c>
      <c r="N123" s="159">
        <f t="shared" si="48"/>
        <v>9.3816816413273205E-2</v>
      </c>
      <c r="O123" s="159">
        <f t="shared" si="48"/>
        <v>2.6270477521611241E-2</v>
      </c>
      <c r="P123" s="159" t="str">
        <f t="shared" si="48"/>
        <v/>
      </c>
      <c r="Q123" s="159" t="str">
        <f t="shared" si="48"/>
        <v/>
      </c>
    </row>
    <row r="124" spans="1:17" ht="15.75" customHeight="1">
      <c r="A124" s="10"/>
      <c r="B124" s="26" t="s">
        <v>226</v>
      </c>
      <c r="C124" s="74">
        <f>C19*Exchange_Rate*$C$3/(Market_Price*Common_Shares)</f>
        <v>7.903483659815333E-2</v>
      </c>
      <c r="D124" s="26"/>
      <c r="E124" s="238"/>
      <c r="F124" s="26"/>
      <c r="G124" s="74">
        <f t="shared" ref="G124" si="49">IF(G$4="","",G123/Market_Price)</f>
        <v>8.8789548294181009E-2</v>
      </c>
      <c r="H124" s="74">
        <f t="shared" ref="H124" si="50">IF(H$4="","",H123/Market_Price)</f>
        <v>7.9764480219359987E-2</v>
      </c>
      <c r="I124" s="74">
        <f t="shared" ref="I124" si="51">IF(I$4="","",I123/Market_Price)</f>
        <v>0.12502190194753027</v>
      </c>
      <c r="J124" s="74">
        <f t="shared" ref="J124" si="52">IF(J$4="","",J123/Market_Price)</f>
        <v>0.15937230373676575</v>
      </c>
      <c r="K124" s="74">
        <f t="shared" ref="K124" si="53">IF(K$4="","",K123/Market_Price)</f>
        <v>0.13837700874626743</v>
      </c>
      <c r="L124" s="74">
        <f t="shared" ref="L124" si="54">IF(L$4="","",L123/Market_Price)</f>
        <v>9.2359859480281817E-2</v>
      </c>
      <c r="M124" s="74">
        <f t="shared" ref="M124" si="55">IF(M$4="","",M123/Market_Price)</f>
        <v>5.4071884658514341E-2</v>
      </c>
      <c r="N124" s="74">
        <f t="shared" ref="N124" si="56">IF(N$4="","",N123/Market_Price)</f>
        <v>2.3751092762853976E-2</v>
      </c>
      <c r="O124" s="74">
        <f t="shared" ref="O124" si="57">IF(O$4="","",O123/Market_Price)</f>
        <v>6.650753802939554E-3</v>
      </c>
      <c r="P124" s="74" t="str">
        <f t="shared" ref="P124" si="58">IF(P$4="","",P123/Market_Price)</f>
        <v/>
      </c>
      <c r="Q124" s="74" t="str">
        <f t="shared" ref="Q124" si="59">IF(Q$4="","",Q123/Market_Price)</f>
        <v/>
      </c>
    </row>
    <row r="125" spans="1:17" ht="15.75" customHeight="1">
      <c r="B125" s="2" t="s">
        <v>306</v>
      </c>
      <c r="C125" s="151"/>
      <c r="G125" s="22">
        <f>IF(G$4="","",(Data!C47*$C$3)/(Market_Price*Common_Shares))</f>
        <v>0.10204831604155928</v>
      </c>
      <c r="H125" s="22">
        <f>IF(H$4="","",(Data!D47*$C$3)/(Market_Price*Common_Shares))</f>
        <v>9.1889396293492465E-2</v>
      </c>
      <c r="I125" s="22">
        <f>IF(I$4="","",(Data!E47*$C$3)/(Market_Price*Common_Shares))</f>
        <v>0.13818535923700803</v>
      </c>
      <c r="J125" s="22">
        <f>IF(J$4="","",(Data!F47*$C$3)/(Market_Price*Common_Shares))</f>
        <v>0.19311174575616405</v>
      </c>
      <c r="K125" s="22">
        <f>IF(K$4="","",(Data!G47*$C$3)/(Market_Price*Common_Shares))</f>
        <v>0.2076822251652308</v>
      </c>
      <c r="L125" s="22">
        <f>IF(L$4="","",(Data!H47*$C$3)/(Market_Price*Common_Shares))</f>
        <v>0.10988061617731498</v>
      </c>
      <c r="M125" s="22">
        <f>IF(M$4="","",(Data!I47*$C$3)/(Market_Price*Common_Shares))</f>
        <v>6.2619247544538903E-2</v>
      </c>
      <c r="N125" s="22">
        <f>IF(N$4="","",(Data!J47*$C$3)/(Market_Price*Common_Shares))</f>
        <v>3.2401538408052877E-2</v>
      </c>
      <c r="O125" s="22">
        <f>IF(O$4="","",(Data!K47*$C$3)/(Market_Price*Common_Shares))</f>
        <v>1.1342574315269173E-2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2590789.1611465206</v>
      </c>
      <c r="D4" t="str">
        <f>Reporting_currency</f>
        <v>CNY</v>
      </c>
      <c r="E4" s="135" t="s">
        <v>435</v>
      </c>
      <c r="F4" s="282">
        <f>-BS!G31</f>
        <v>-845013</v>
      </c>
      <c r="G4" t="str">
        <f>Reporting_currency</f>
        <v>CNY</v>
      </c>
      <c r="H4" s="315" t="s">
        <v>394</v>
      </c>
      <c r="I4" s="312">
        <f>Normalized_FCF!C4</f>
        <v>16598840</v>
      </c>
      <c r="J4" s="312"/>
    </row>
    <row r="5" spans="2:15">
      <c r="B5" s="187" t="s">
        <v>105</v>
      </c>
      <c r="C5" s="188">
        <f>Equity_Cost</f>
        <v>7.2499999999999995E-2</v>
      </c>
      <c r="E5" s="135" t="s">
        <v>436</v>
      </c>
      <c r="F5" s="282">
        <f>BS!D66</f>
        <v>15073642.522995466</v>
      </c>
      <c r="G5" t="str">
        <f>Reporting_currency</f>
        <v>CNY</v>
      </c>
      <c r="H5" s="315" t="s">
        <v>396</v>
      </c>
      <c r="I5" s="312">
        <f>Normalized_FCF!C7</f>
        <v>-1681261</v>
      </c>
      <c r="J5" s="312"/>
    </row>
    <row r="6" spans="2:15" ht="13.25" customHeight="1">
      <c r="B6" s="136" t="s">
        <v>194</v>
      </c>
      <c r="C6" s="290">
        <f>(C4*(1+Terminal_Growth))/(Equity_Cost-Terminal_Growth)</f>
        <v>35735022.912365802</v>
      </c>
      <c r="D6" t="str">
        <f>Reporting_currency</f>
        <v>CNY</v>
      </c>
      <c r="E6" s="187" t="s">
        <v>437</v>
      </c>
      <c r="F6" s="291">
        <f>BS!H42</f>
        <v>4283</v>
      </c>
      <c r="G6" t="str">
        <f>Reporting_currency</f>
        <v>CNY</v>
      </c>
      <c r="H6" s="315" t="s">
        <v>419</v>
      </c>
      <c r="I6" s="312">
        <f>I7+I8</f>
        <v>-41622.785137972802</v>
      </c>
      <c r="J6" s="312"/>
      <c r="N6" s="135"/>
    </row>
    <row r="7" spans="2:15" ht="12.75" customHeight="1">
      <c r="B7" s="325" t="s">
        <v>434</v>
      </c>
      <c r="C7" s="282">
        <f>F7</f>
        <v>14232912.522995466</v>
      </c>
      <c r="E7" s="140" t="s">
        <v>428</v>
      </c>
      <c r="F7" s="290">
        <f>SUM(F4:F6)</f>
        <v>14232912.522995466</v>
      </c>
      <c r="G7" t="str">
        <f>Reporting_currency</f>
        <v>CNY</v>
      </c>
      <c r="H7" s="319" t="s">
        <v>420</v>
      </c>
      <c r="I7" s="320">
        <f>Normalized_FCF!C9</f>
        <v>-12182</v>
      </c>
      <c r="J7" s="320"/>
      <c r="N7" s="311"/>
      <c r="O7" s="311"/>
    </row>
    <row r="8" spans="2:15" ht="13.15">
      <c r="B8" s="136" t="s">
        <v>430</v>
      </c>
      <c r="C8" s="290">
        <f>C6+C7</f>
        <v>49967935.435361266</v>
      </c>
      <c r="D8" t="str">
        <f>Reporting_currency</f>
        <v>CNY</v>
      </c>
      <c r="E8" s="140" t="s">
        <v>468</v>
      </c>
      <c r="F8" s="108">
        <f>FV_adjustments*scaling_factor/Common_Shares*Exchange_Rate</f>
        <v>1.7150522833506632</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1.09235412</v>
      </c>
      <c r="D9" t="str">
        <f>Thesis!E15</f>
        <v>CNY/HKD</v>
      </c>
      <c r="F9" s="329"/>
      <c r="H9" s="315" t="str">
        <f>Normalized_FCF!B79</f>
        <v>NCI’s Share of Profits</v>
      </c>
      <c r="I9" s="144">
        <f>Normalized_FCF!C79</f>
        <v>4.0482346959185098E-3</v>
      </c>
      <c r="J9" s="313"/>
      <c r="N9" s="311"/>
      <c r="O9" s="311"/>
    </row>
    <row r="10" spans="2:15" ht="13.5" thickTop="1">
      <c r="B10" s="107" t="s">
        <v>431</v>
      </c>
      <c r="C10" s="290">
        <f>C8*Exchange_Rate</f>
        <v>54582680.140710875</v>
      </c>
      <c r="D10" t="str">
        <f>Market_currency</f>
        <v>HKD</v>
      </c>
      <c r="H10" s="315" t="s">
        <v>398</v>
      </c>
      <c r="I10" s="313">
        <f>Normalized_FCF!C41</f>
        <v>0.25</v>
      </c>
      <c r="N10" s="311"/>
      <c r="O10" s="311"/>
    </row>
    <row r="11" spans="2:15" ht="13.15">
      <c r="B11" s="136" t="s">
        <v>429</v>
      </c>
      <c r="C11" s="108">
        <f>(C10*scaling_factor)/Common_Shares</f>
        <v>6.0210882083535004</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1.8613012126595999E-2</v>
      </c>
      <c r="E16" s="315" t="s">
        <v>401</v>
      </c>
      <c r="F16" s="318">
        <f>Scenarios!C41</f>
        <v>1.8613012126595999E-2</v>
      </c>
    </row>
    <row r="17" spans="1:21" ht="13.25" customHeight="1">
      <c r="B17" s="315" t="s">
        <v>395</v>
      </c>
      <c r="C17" s="313">
        <f>Normalized_FCF!C32</f>
        <v>0.68269686315429268</v>
      </c>
      <c r="E17" s="315" t="s">
        <v>402</v>
      </c>
      <c r="F17" s="318">
        <f>Scenarios!C40</f>
        <v>0.68269686315429268</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6.3878999714114881</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424</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6.0210882083535004</v>
      </c>
      <c r="C69" s="119">
        <f>C11</f>
        <v>6.0210882083535004</v>
      </c>
      <c r="D69" s="119">
        <f>C11</f>
        <v>6.0210882083535004</v>
      </c>
      <c r="E69" s="119">
        <f>C11</f>
        <v>6.0210882083535004</v>
      </c>
      <c r="F69" s="119">
        <f>C11</f>
        <v>6.0210882083535004</v>
      </c>
      <c r="G69" s="303"/>
      <c r="H69" s="303"/>
      <c r="I69" s="303"/>
      <c r="J69" s="303"/>
      <c r="K69" s="303"/>
      <c r="L69" s="303"/>
    </row>
    <row r="70" spans="1:21" ht="13.15">
      <c r="A70" s="131">
        <f>A56</f>
        <v>5</v>
      </c>
      <c r="B70" s="119">
        <f t="shared" ref="B70:F74" si="11">(B56+FV_adjustments)/Common_Shares*scaling_factor*Exchange_Rate</f>
        <v>4.4390907226100831</v>
      </c>
      <c r="C70" s="119">
        <f t="shared" si="11"/>
        <v>6.215025747592315</v>
      </c>
      <c r="D70" s="119">
        <f t="shared" si="11"/>
        <v>6.4162531771119884</v>
      </c>
      <c r="E70" s="119">
        <f t="shared" si="11"/>
        <v>6.6249814535581413</v>
      </c>
      <c r="F70" s="119">
        <f t="shared" si="11"/>
        <v>7.788807455614017</v>
      </c>
      <c r="G70" s="303"/>
      <c r="H70" s="303"/>
      <c r="I70" s="303"/>
      <c r="J70" s="303"/>
      <c r="K70" s="303"/>
      <c r="L70" s="303"/>
    </row>
    <row r="71" spans="1:21" ht="13.15">
      <c r="A71" s="131">
        <v>6</v>
      </c>
      <c r="B71" s="119">
        <f t="shared" si="11"/>
        <v>4.2577458240809758</v>
      </c>
      <c r="C71" s="119">
        <f t="shared" si="11"/>
        <v>6.2473032308500231</v>
      </c>
      <c r="D71" s="119">
        <f t="shared" si="11"/>
        <v>6.484067846699701</v>
      </c>
      <c r="E71" s="119">
        <f t="shared" si="11"/>
        <v>6.7317885659756369</v>
      </c>
      <c r="F71" s="119">
        <f t="shared" si="11"/>
        <v>8.1498027659403753</v>
      </c>
      <c r="G71" s="303"/>
      <c r="H71" s="303"/>
      <c r="I71" s="303"/>
      <c r="J71" s="303"/>
      <c r="K71" s="303"/>
      <c r="L71" s="303"/>
    </row>
    <row r="72" spans="1:21" ht="13.15">
      <c r="A72" s="131">
        <f t="shared" ref="A72" si="12">A58</f>
        <v>7</v>
      </c>
      <c r="B72" s="119">
        <f t="shared" si="11"/>
        <v>4.1055682868537522</v>
      </c>
      <c r="C72" s="119">
        <f t="shared" si="11"/>
        <v>6.2776997418899221</v>
      </c>
      <c r="D72" s="119">
        <f t="shared" si="11"/>
        <v>6.5485629170768256</v>
      </c>
      <c r="E72" s="119">
        <f t="shared" si="11"/>
        <v>6.8343632287169163</v>
      </c>
      <c r="F72" s="119">
        <f t="shared" si="11"/>
        <v>8.5133225189962918</v>
      </c>
      <c r="G72" s="303"/>
      <c r="H72" s="303"/>
      <c r="I72" s="303"/>
      <c r="J72" s="303"/>
      <c r="K72" s="303"/>
      <c r="L72" s="303"/>
    </row>
    <row r="73" spans="1:21" ht="13.15">
      <c r="A73" s="131">
        <v>8</v>
      </c>
      <c r="B73" s="119">
        <f t="shared" si="11"/>
        <v>3.9778668570127258</v>
      </c>
      <c r="C73" s="119">
        <f t="shared" si="11"/>
        <v>6.3063248944776085</v>
      </c>
      <c r="D73" s="119">
        <f t="shared" si="11"/>
        <v>6.6099008861068178</v>
      </c>
      <c r="E73" s="119">
        <f t="shared" si="11"/>
        <v>6.9328731612330152</v>
      </c>
      <c r="F73" s="119">
        <f t="shared" si="11"/>
        <v>8.8793843682274201</v>
      </c>
      <c r="G73" s="303"/>
      <c r="H73" s="303"/>
      <c r="I73" s="303"/>
      <c r="J73" s="303"/>
      <c r="K73" s="303"/>
      <c r="L73" s="303"/>
    </row>
    <row r="74" spans="1:21" ht="13.15">
      <c r="A74" s="131">
        <f t="shared" ref="A74" si="13">A60</f>
        <v>9</v>
      </c>
      <c r="B74" s="119">
        <f t="shared" si="11"/>
        <v>3.8707048179852914</v>
      </c>
      <c r="C74" s="119">
        <f t="shared" si="11"/>
        <v>6.3332819146301143</v>
      </c>
      <c r="D74" s="119">
        <f t="shared" si="11"/>
        <v>6.6682362972122657</v>
      </c>
      <c r="E74" s="119">
        <f t="shared" si="11"/>
        <v>7.0274794367496431</v>
      </c>
      <c r="F74" s="119">
        <f t="shared" si="11"/>
        <v>9.2480060905300974</v>
      </c>
      <c r="G74" s="303"/>
      <c r="H74" s="303"/>
      <c r="I74" s="303"/>
      <c r="J74" s="303"/>
      <c r="K74" s="303"/>
      <c r="L74" s="303"/>
    </row>
    <row r="75" spans="1:21" ht="13.15">
      <c r="A75" s="131">
        <f t="shared" ref="A75:A79" si="14">A61</f>
        <v>10</v>
      </c>
      <c r="B75" s="119">
        <f t="shared" ref="B75:F79" si="15">(B61+FV_adjustments)/Common_Shares*scaling_factor*Exchange_Rate</f>
        <v>3.7807786313888427</v>
      </c>
      <c r="C75" s="119">
        <f t="shared" si="15"/>
        <v>6.3586680128623119</v>
      </c>
      <c r="D75" s="119">
        <f t="shared" si="15"/>
        <v>6.72371612875311</v>
      </c>
      <c r="E75" s="119">
        <f t="shared" si="15"/>
        <v>7.1183367456374071</v>
      </c>
      <c r="F75" s="119">
        <f t="shared" si="15"/>
        <v>9.619205587114612</v>
      </c>
      <c r="G75" s="303"/>
      <c r="H75" s="303"/>
      <c r="I75" s="303"/>
      <c r="J75" s="303"/>
      <c r="K75" s="303"/>
      <c r="L75" s="303"/>
    </row>
    <row r="76" spans="1:21" ht="13.15">
      <c r="A76" s="131">
        <f t="shared" si="14"/>
        <v>15</v>
      </c>
      <c r="B76" s="119">
        <f t="shared" si="15"/>
        <v>3.5068371028127538</v>
      </c>
      <c r="C76" s="119">
        <f t="shared" si="15"/>
        <v>6.4650584540985951</v>
      </c>
      <c r="D76" s="119">
        <f t="shared" si="15"/>
        <v>6.9629414500888318</v>
      </c>
      <c r="E76" s="119">
        <f t="shared" si="15"/>
        <v>7.5213871956223821</v>
      </c>
      <c r="F76" s="119">
        <f t="shared" si="15"/>
        <v>11.514505038649697</v>
      </c>
      <c r="G76" s="303"/>
      <c r="H76" s="303"/>
      <c r="I76" s="303"/>
      <c r="J76" s="303"/>
      <c r="K76" s="303"/>
      <c r="L76" s="303"/>
    </row>
    <row r="77" spans="1:21" ht="13.15">
      <c r="A77" s="132">
        <f t="shared" si="14"/>
        <v>20</v>
      </c>
      <c r="B77" s="119">
        <f t="shared" si="15"/>
        <v>3.3928425976542811</v>
      </c>
      <c r="C77" s="119">
        <f t="shared" si="15"/>
        <v>6.5438578657144983</v>
      </c>
      <c r="D77" s="119">
        <f t="shared" si="15"/>
        <v>7.1490736460581825</v>
      </c>
      <c r="E77" s="119">
        <f t="shared" si="15"/>
        <v>7.850662401222066</v>
      </c>
      <c r="F77" s="119">
        <f t="shared" si="15"/>
        <v>13.477007048004488</v>
      </c>
      <c r="G77" s="303"/>
      <c r="H77" s="303"/>
      <c r="I77" s="303"/>
      <c r="J77" s="303"/>
      <c r="K77" s="303"/>
      <c r="L77" s="303"/>
    </row>
    <row r="78" spans="1:21" ht="13.15">
      <c r="A78" s="132">
        <f t="shared" si="14"/>
        <v>25</v>
      </c>
      <c r="B78" s="119">
        <f t="shared" si="15"/>
        <v>3.345406390103459</v>
      </c>
      <c r="C78" s="119">
        <f t="shared" si="15"/>
        <v>6.6022216359823744</v>
      </c>
      <c r="D78" s="119">
        <f t="shared" si="15"/>
        <v>7.2938960845146523</v>
      </c>
      <c r="E78" s="119">
        <f t="shared" si="15"/>
        <v>8.1196663460799723</v>
      </c>
      <c r="F78" s="119">
        <f t="shared" si="15"/>
        <v>15.509094449075695</v>
      </c>
      <c r="G78" s="303"/>
      <c r="H78" s="303"/>
      <c r="I78" s="303"/>
      <c r="J78" s="303"/>
      <c r="K78" s="303"/>
      <c r="L78" s="303"/>
    </row>
    <row r="79" spans="1:21" ht="13.15">
      <c r="A79" s="132">
        <f t="shared" si="14"/>
        <v>30</v>
      </c>
      <c r="B79" s="119">
        <f t="shared" si="15"/>
        <v>3.3256668966631699</v>
      </c>
      <c r="C79" s="119">
        <f t="shared" si="15"/>
        <v>6.6454494927649224</v>
      </c>
      <c r="D79" s="119">
        <f t="shared" si="15"/>
        <v>7.4065769593694899</v>
      </c>
      <c r="E79" s="119">
        <f t="shared" si="15"/>
        <v>8.3394312148538816</v>
      </c>
      <c r="F79" s="119">
        <f t="shared" si="15"/>
        <v>17.613234565064641</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7.788807455614017</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6.6249814535581413</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6.4162531771119884</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6.215025747592315</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4.4390907226100831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0.03</v>
      </c>
      <c r="D22" s="332">
        <f>C18</f>
        <v>5</v>
      </c>
      <c r="E22" s="333">
        <f>DCF!E83</f>
        <v>6.6249814535581413</v>
      </c>
      <c r="F22" s="335">
        <f>1-F23-F24</f>
        <v>0.2</v>
      </c>
      <c r="G22" s="335">
        <f>F22*(1-F$29-F$30)</f>
        <v>0.18</v>
      </c>
    </row>
    <row r="23" spans="2:7">
      <c r="B23" s="309" t="s">
        <v>441</v>
      </c>
      <c r="C23" s="331">
        <v>0.02</v>
      </c>
      <c r="D23" s="332">
        <f>C18</f>
        <v>5</v>
      </c>
      <c r="E23" s="333">
        <f>DCF!E84</f>
        <v>6.4162531771119884</v>
      </c>
      <c r="F23" s="334">
        <v>0.6</v>
      </c>
      <c r="G23" s="335">
        <f t="shared" ref="G23:G24" si="0">F23*(1-F$29-F$30)</f>
        <v>0.53999999999999992</v>
      </c>
    </row>
    <row r="24" spans="2:7">
      <c r="B24" s="309" t="s">
        <v>450</v>
      </c>
      <c r="C24" s="331">
        <v>0.01</v>
      </c>
      <c r="D24" s="332">
        <f>C18</f>
        <v>5</v>
      </c>
      <c r="E24" s="333">
        <f>DCF!E85</f>
        <v>6.215025747592315</v>
      </c>
      <c r="F24" s="334">
        <v>0.2</v>
      </c>
      <c r="G24" s="335">
        <f t="shared" si="0"/>
        <v>0.18</v>
      </c>
    </row>
    <row r="25" spans="2:7">
      <c r="B25" s="141" t="s">
        <v>455</v>
      </c>
      <c r="C25" s="449">
        <f>E23*F23+E24*F24+E22*F22</f>
        <v>6.4177533464972845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0.08</v>
      </c>
      <c r="D29" s="332">
        <f>C18</f>
        <v>5</v>
      </c>
      <c r="E29" s="333">
        <f>DCF!E82</f>
        <v>7.788807455614017</v>
      </c>
      <c r="F29" s="334">
        <v>0.05</v>
      </c>
      <c r="G29" s="335">
        <f>F29</f>
        <v>0.05</v>
      </c>
    </row>
    <row r="30" spans="2:7">
      <c r="B30" s="322" t="s">
        <v>451</v>
      </c>
      <c r="C30" s="331">
        <v>-0.1</v>
      </c>
      <c r="D30" s="332">
        <f>C18</f>
        <v>5</v>
      </c>
      <c r="E30" s="333">
        <f>DCF!E86</f>
        <v>4.4390907226100831</v>
      </c>
      <c r="F30" s="334">
        <v>0.05</v>
      </c>
      <c r="G30" s="335">
        <f>F30</f>
        <v>0.05</v>
      </c>
    </row>
    <row r="31" spans="2:7">
      <c r="E31" s="336"/>
      <c r="F31" s="336"/>
    </row>
    <row r="32" spans="2:7" ht="13.15">
      <c r="B32" s="145" t="s">
        <v>460</v>
      </c>
    </row>
    <row r="33" spans="2:7">
      <c r="B33" s="97" t="s">
        <v>462</v>
      </c>
      <c r="C33" s="155">
        <f>Normalized_FCF!C88*(1-dividend_tax_rate)</f>
        <v>0.24179999999999999</v>
      </c>
      <c r="D33" t="str">
        <f>Market_currency</f>
        <v>HKD</v>
      </c>
      <c r="E33" s="97" t="s">
        <v>459</v>
      </c>
      <c r="F33" s="222">
        <f>Holding_Period</f>
        <v>3</v>
      </c>
    </row>
    <row r="34" spans="2:7">
      <c r="B34" s="97" t="s">
        <v>233</v>
      </c>
      <c r="C34" s="146">
        <f>Market_Price</f>
        <v>3.95</v>
      </c>
      <c r="D34" t="str">
        <f>Market_currency</f>
        <v>HKD</v>
      </c>
      <c r="E34" s="97" t="s">
        <v>458</v>
      </c>
      <c r="F34" s="337">
        <f>RATE(Holding_Period,$C$33,-C34,$C$36)</f>
        <v>0.22659565455699582</v>
      </c>
    </row>
    <row r="35" spans="2:7">
      <c r="B35" s="97" t="s">
        <v>438</v>
      </c>
      <c r="C35" s="327">
        <f>DCF!C11</f>
        <v>6.0210882083535004</v>
      </c>
      <c r="D35" s="97" t="str">
        <f>Market_currency</f>
        <v>HKD</v>
      </c>
      <c r="E35" s="97" t="s">
        <v>458</v>
      </c>
      <c r="F35" s="337">
        <f>RATE(Holding_Period,$C$33,-C35,$C$36)</f>
        <v>5.9280772056685284E-2</v>
      </c>
    </row>
    <row r="36" spans="2:7">
      <c r="B36" s="97" t="s">
        <v>439</v>
      </c>
      <c r="C36" s="328">
        <f>E22*G22+E23*G23+E24*G24+E30*G30+E29*G29</f>
        <v>6.3873729207587608</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6.3878999714114881</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0.30038934884423074</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0.24179999999999999</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0.44245811110342687</v>
      </c>
      <c r="D62" s="119">
        <f>C36/(1+F62)^Holding_Period</f>
        <v>2.9434898252344528</v>
      </c>
      <c r="E62" s="339">
        <f>C62+D62</f>
        <v>3.3859479363378795</v>
      </c>
      <c r="F62" s="308">
        <f>Thesis!E22</f>
        <v>0.29465259038036606</v>
      </c>
      <c r="G62" s="448">
        <f>(1-E62/C36)</f>
        <v>0.46989975717032972</v>
      </c>
    </row>
    <row r="63" spans="2:7" ht="13.15">
      <c r="B63" s="309" t="s">
        <v>313</v>
      </c>
      <c r="C63" s="119">
        <f>PV(F63, Holding_Period, -C58, 0)</f>
        <v>0.50874815444966315</v>
      </c>
      <c r="D63" s="119">
        <f>C36/(1+F63)^Holding_Period</f>
        <v>3.6894572827487444</v>
      </c>
      <c r="E63" s="339">
        <f>C63+D63</f>
        <v>4.1982054371984079</v>
      </c>
      <c r="F63" s="308">
        <f>Thesis!E23</f>
        <v>0.20075184365903009</v>
      </c>
      <c r="G63" s="448">
        <f>(1-E63/C36)</f>
        <v>0.34273362628407489</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0.58336743585196538</v>
      </c>
      <c r="D66" s="119">
        <f>C36/(1+F66)^Holding_Period</f>
        <v>4.5782159250151571</v>
      </c>
      <c r="E66" s="339">
        <f>C66+D66</f>
        <v>5.1615833608671222</v>
      </c>
      <c r="F66" s="308">
        <f>Thesis!E24</f>
        <v>0.1174</v>
      </c>
      <c r="G66" s="448">
        <f>(1-E66/C47)</f>
        <v>0.19197492384549586</v>
      </c>
    </row>
    <row r="67" spans="2:7" ht="13.15">
      <c r="B67" s="309" t="s">
        <v>314</v>
      </c>
      <c r="C67" s="119">
        <f>PV(F67, Holding_Period, -C58, 0)</f>
        <v>0.63167232993043521</v>
      </c>
      <c r="D67" s="119">
        <f>C36/(1+F67)^Holding_Period</f>
        <v>5.1776223488530801</v>
      </c>
      <c r="E67" s="339">
        <f>C67+D67</f>
        <v>5.8092946787835151</v>
      </c>
      <c r="F67" s="308">
        <f>Thesis!E25</f>
        <v>7.2499999999999995E-2</v>
      </c>
      <c r="G67" s="448">
        <f>(1-E67/C36)</f>
        <v>9.0503286585398746E-2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中国飞鹤</v>
      </c>
      <c r="D4" s="356"/>
      <c r="E4" s="442" t="s">
        <v>543</v>
      </c>
      <c r="F4" s="445" t="str">
        <f>Thesis!F4</f>
        <v>INT</v>
      </c>
    </row>
    <row r="5" spans="1:10">
      <c r="B5" s="350" t="s">
        <v>364</v>
      </c>
      <c r="C5" s="362" t="str">
        <f>Thesis!C5</f>
        <v>6186.HK</v>
      </c>
      <c r="E5" s="446" t="s">
        <v>544</v>
      </c>
      <c r="F5" s="447" t="str">
        <f>Thesis!F5</f>
        <v>N</v>
      </c>
    </row>
    <row r="6" spans="1:10">
      <c r="B6" s="357" t="s">
        <v>336</v>
      </c>
      <c r="C6" s="359" t="str">
        <f>Thesis!C6</f>
        <v>CNS_01</v>
      </c>
      <c r="E6" s="361"/>
    </row>
    <row r="7" spans="1:10">
      <c r="B7" s="350" t="s">
        <v>366</v>
      </c>
      <c r="C7" s="359" t="str">
        <f>Market_currency</f>
        <v>HKD</v>
      </c>
      <c r="D7" s="361"/>
      <c r="E7" s="361"/>
    </row>
    <row r="8" spans="1:10">
      <c r="B8" s="358" t="s">
        <v>365</v>
      </c>
      <c r="C8" s="363">
        <f>Market_Price</f>
        <v>3.95</v>
      </c>
    </row>
    <row r="9" spans="1:10">
      <c r="B9" s="358" t="s">
        <v>361</v>
      </c>
      <c r="C9" s="360">
        <f>Common_Shares</f>
        <v>9065251704</v>
      </c>
    </row>
    <row r="10" spans="1:10">
      <c r="B10" s="358" t="s">
        <v>367</v>
      </c>
      <c r="C10" s="364">
        <f>投资主题!C8*Common_Shares/1000000</f>
        <v>35807.744230800003</v>
      </c>
      <c r="D10" s="350" t="s">
        <v>532</v>
      </c>
      <c r="E10" s="367">
        <f>Scenarios!F34</f>
        <v>0.22659565455699582</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1.09235412</v>
      </c>
    </row>
    <row r="17" spans="1:6">
      <c r="B17" s="350" t="s">
        <v>538</v>
      </c>
      <c r="C17" s="432">
        <f>Terminal_Growth</f>
        <v>0</v>
      </c>
      <c r="D17" s="358" t="s">
        <v>339</v>
      </c>
      <c r="E17" s="351" t="str">
        <f>Reporting_currency</f>
        <v>CNY</v>
      </c>
    </row>
    <row r="18" spans="1:6">
      <c r="B18" s="350" t="str">
        <f>"预期股权价值 ("&amp;C7&amp;") :"</f>
        <v>预期股权价值 (HKD) :</v>
      </c>
      <c r="C18" s="366">
        <f>C125</f>
        <v>6.3873729207587608</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3.3859479363378795</v>
      </c>
      <c r="D22" s="372" t="s">
        <v>444</v>
      </c>
      <c r="E22" s="373">
        <f>Thesis!E22</f>
        <v>0.29465259038036606</v>
      </c>
    </row>
    <row r="23" spans="1:6">
      <c r="B23" s="350" t="s">
        <v>341</v>
      </c>
      <c r="C23" s="374">
        <f>E141</f>
        <v>4.1982054371984079</v>
      </c>
      <c r="D23" s="372" t="s">
        <v>445</v>
      </c>
      <c r="E23" s="375">
        <f>Thesis!E23</f>
        <v>0.20075184365903009</v>
      </c>
    </row>
    <row r="24" spans="1:6">
      <c r="B24" s="350" t="s">
        <v>343</v>
      </c>
      <c r="C24" s="374">
        <f>E144</f>
        <v>5.1615833608671222</v>
      </c>
      <c r="D24" s="372" t="s">
        <v>447</v>
      </c>
      <c r="E24" s="375">
        <f>Thesis!E24</f>
        <v>0.1174</v>
      </c>
    </row>
    <row r="25" spans="1:6">
      <c r="B25" s="350" t="s">
        <v>342</v>
      </c>
      <c r="C25" s="374">
        <f>E145</f>
        <v>5.8092946787835151</v>
      </c>
      <c r="D25" s="372" t="s">
        <v>446</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-12182</v>
      </c>
      <c r="D41" s="350" t="str">
        <f>Reporting_currency</f>
        <v>CNY</v>
      </c>
    </row>
    <row r="43" spans="2:6">
      <c r="B43" s="469" t="s">
        <v>507</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508</v>
      </c>
    </row>
    <row r="49" spans="2:6">
      <c r="B49" s="379" t="s">
        <v>223</v>
      </c>
      <c r="C49" s="380">
        <f>Normalized_FCF!C13</f>
        <v>-67196</v>
      </c>
      <c r="D49" s="350" t="str">
        <f>Reporting_currency</f>
        <v>CNY</v>
      </c>
    </row>
    <row r="51" spans="2:6">
      <c r="B51" s="469" t="s">
        <v>509</v>
      </c>
      <c r="C51" s="469"/>
      <c r="D51" s="469"/>
      <c r="E51" s="469"/>
      <c r="F51" s="469"/>
    </row>
    <row r="52" spans="2:6">
      <c r="B52" s="379" t="s">
        <v>500</v>
      </c>
      <c r="C52" s="380">
        <f>Normalized_FCF!C12</f>
        <v>-885995.0537155068</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7.903483659815333E-2</v>
      </c>
      <c r="F62" s="386"/>
    </row>
    <row r="63" spans="2:6">
      <c r="B63" s="384" t="s">
        <v>332</v>
      </c>
      <c r="C63" s="385">
        <f>Normalized_FCF!C92</f>
        <v>6.1215189873417716E-2</v>
      </c>
      <c r="E63" s="379" t="s">
        <v>373</v>
      </c>
      <c r="F63" s="387">
        <f>Normalized_FCF!C90</f>
        <v>0.84606570650356128</v>
      </c>
    </row>
    <row r="65" spans="1:6">
      <c r="B65" s="376" t="s">
        <v>376</v>
      </c>
      <c r="C65" s="388" t="s">
        <v>327</v>
      </c>
      <c r="D65" s="388" t="s">
        <v>374</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480</v>
      </c>
      <c r="B71" s="352"/>
      <c r="C71" s="352"/>
      <c r="D71" s="352"/>
      <c r="E71" s="352"/>
      <c r="F71" s="352"/>
    </row>
    <row r="72" spans="1:6">
      <c r="A72" s="392"/>
    </row>
    <row r="73" spans="1:6">
      <c r="A73" s="393"/>
      <c r="B73" s="470" t="s">
        <v>513</v>
      </c>
      <c r="C73" s="470"/>
      <c r="D73" s="470"/>
      <c r="E73" s="470"/>
      <c r="F73" s="470"/>
    </row>
    <row r="74" spans="1:6">
      <c r="B74" s="471" t="s">
        <v>483</v>
      </c>
      <c r="C74" s="471"/>
      <c r="D74" s="471"/>
      <c r="E74" s="471"/>
      <c r="F74" s="471"/>
    </row>
    <row r="76" spans="1:6">
      <c r="B76" s="376" t="s">
        <v>371</v>
      </c>
    </row>
    <row r="77" spans="1:6">
      <c r="B77" s="470" t="s">
        <v>514</v>
      </c>
      <c r="C77" s="470"/>
      <c r="D77" s="470"/>
      <c r="E77" s="470"/>
      <c r="F77" s="470"/>
    </row>
    <row r="78" spans="1:6">
      <c r="B78" s="350" t="s">
        <v>215</v>
      </c>
      <c r="C78" s="380">
        <f>DCF!F4</f>
        <v>-845013</v>
      </c>
      <c r="D78" s="350" t="str">
        <f>Reporting_currency</f>
        <v>CNY</v>
      </c>
    </row>
    <row r="79" spans="1:6">
      <c r="B79" s="379" t="s">
        <v>234</v>
      </c>
      <c r="C79" s="394">
        <f>C78*scaling_factor*Exchange_Rate/Common_Shares</f>
        <v>-0.10182325457066646</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515</v>
      </c>
    </row>
    <row r="84" spans="1:6">
      <c r="B84" s="350" t="s">
        <v>224</v>
      </c>
      <c r="C84" s="380">
        <f>DCF!F5</f>
        <v>15073642.522995466</v>
      </c>
      <c r="D84" s="350" t="str">
        <f>Reporting_currency</f>
        <v>CNY</v>
      </c>
    </row>
    <row r="85" spans="1:6">
      <c r="B85" s="389" t="s">
        <v>485</v>
      </c>
      <c r="C85" s="397">
        <f>BS!C66</f>
        <v>17607845</v>
      </c>
      <c r="D85" s="398" t="str">
        <f>Reporting_currency</f>
        <v>CNY</v>
      </c>
    </row>
    <row r="86" spans="1:6">
      <c r="B86" s="379" t="s">
        <v>235</v>
      </c>
      <c r="C86" s="394">
        <f>C84*scaling_factor*Exchange_Rate/Common_Shares</f>
        <v>1.8163594405366434</v>
      </c>
      <c r="D86" s="350" t="str">
        <f>Market_currency</f>
        <v>HKD</v>
      </c>
    </row>
    <row r="88" spans="1:6">
      <c r="B88" s="350" t="s">
        <v>516</v>
      </c>
    </row>
    <row r="89" spans="1:6">
      <c r="B89" s="350" t="s">
        <v>217</v>
      </c>
      <c r="C89" s="380">
        <f>DCF!F6</f>
        <v>4283</v>
      </c>
      <c r="D89" s="350" t="str">
        <f>Reporting_currency</f>
        <v>CNY</v>
      </c>
    </row>
    <row r="90" spans="1:6">
      <c r="B90" s="379" t="s">
        <v>236</v>
      </c>
      <c r="C90" s="394">
        <f>C89*scaling_factor*Exchange_Rate/Common_Shares</f>
        <v>5.160973846865841E-4</v>
      </c>
      <c r="D90" s="350" t="str">
        <f>Market_currency</f>
        <v>HKD</v>
      </c>
    </row>
    <row r="92" spans="1:6">
      <c r="B92" s="379" t="s">
        <v>484</v>
      </c>
      <c r="C92" s="394">
        <f>DCF!F8</f>
        <v>1.7150522833506632</v>
      </c>
      <c r="D92" s="350" t="str">
        <f>Market_currency</f>
        <v>HKD</v>
      </c>
    </row>
    <row r="94" spans="1:6" ht="13.9">
      <c r="A94" s="352" t="s">
        <v>486</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493</v>
      </c>
    </row>
    <row r="111" spans="1:6">
      <c r="A111" s="392"/>
      <c r="B111" s="382" t="s">
        <v>490</v>
      </c>
      <c r="C111" s="401">
        <f>BS!D47</f>
        <v>1.2412926008211553</v>
      </c>
      <c r="D111" s="350" t="str">
        <f>Market_currency</f>
        <v>HKD</v>
      </c>
    </row>
    <row r="112" spans="1:6">
      <c r="A112" s="392"/>
      <c r="B112" s="379" t="s">
        <v>377</v>
      </c>
      <c r="C112" s="401">
        <f>DCF!C11</f>
        <v>6.0210882083535004</v>
      </c>
      <c r="D112" s="350" t="str">
        <f>Market_currency</f>
        <v>HKD</v>
      </c>
    </row>
    <row r="113" spans="1:6">
      <c r="A113" s="392"/>
    </row>
    <row r="114" spans="1:6">
      <c r="A114" s="392"/>
      <c r="B114" s="470" t="s">
        <v>521</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0.08</v>
      </c>
      <c r="D118" s="404">
        <f>DCF!D82</f>
        <v>5</v>
      </c>
      <c r="E118" s="405" t="str">
        <f>ROUND(DCF!E82,2)&amp;" "&amp;Market_currency</f>
        <v>7.79 HKD</v>
      </c>
      <c r="F118" s="406">
        <f>DCF!F82</f>
        <v>0.05</v>
      </c>
    </row>
    <row r="119" spans="1:6">
      <c r="A119" s="392"/>
      <c r="B119" s="407" t="str">
        <f>DCF!B83</f>
        <v>Optimistic</v>
      </c>
      <c r="C119" s="408">
        <f>DCF!C83</f>
        <v>0.03</v>
      </c>
      <c r="D119" s="409">
        <f>DCF!D83</f>
        <v>5</v>
      </c>
      <c r="E119" s="405" t="str">
        <f>ROUND(DCF!E83,2)&amp;" "&amp;Market_currency</f>
        <v>6.62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522</v>
      </c>
      <c r="C124" s="469"/>
      <c r="D124" s="469"/>
      <c r="E124" s="469"/>
      <c r="F124" s="469"/>
    </row>
    <row r="125" spans="1:6">
      <c r="B125" s="379" t="s">
        <v>218</v>
      </c>
      <c r="C125" s="411">
        <f>Scenarios!C36</f>
        <v>6.3873729207587608</v>
      </c>
      <c r="D125" s="350" t="str">
        <f>Market_currency</f>
        <v>HKD</v>
      </c>
    </row>
    <row r="127" spans="1:6">
      <c r="B127" s="474" t="s">
        <v>523</v>
      </c>
      <c r="C127" s="474"/>
      <c r="D127" s="474"/>
      <c r="E127" s="474"/>
      <c r="F127" s="474"/>
    </row>
    <row r="129" spans="1:6" ht="13.9">
      <c r="A129" s="352" t="s">
        <v>496</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0.24179999999999999</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0.44245811110342687</v>
      </c>
      <c r="D140" s="416">
        <f>Scenarios!D62</f>
        <v>2.9434898252344528</v>
      </c>
      <c r="E140" s="417">
        <f>Scenarios!E62</f>
        <v>3.3859479363378795</v>
      </c>
      <c r="F140" s="418">
        <f>E22</f>
        <v>0.29465259038036606</v>
      </c>
    </row>
    <row r="141" spans="1:6">
      <c r="B141" s="415" t="s">
        <v>313</v>
      </c>
      <c r="C141" s="416">
        <f>Scenarios!C63</f>
        <v>0.50874815444966315</v>
      </c>
      <c r="D141" s="416">
        <f>Scenarios!D63</f>
        <v>3.6894572827487444</v>
      </c>
      <c r="E141" s="417">
        <f>Scenarios!E63</f>
        <v>4.1982054371984079</v>
      </c>
      <c r="F141" s="418">
        <f>Scenarios!F63</f>
        <v>0.20075184365903009</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0.58336743585196538</v>
      </c>
      <c r="D144" s="416">
        <f>Scenarios!D66</f>
        <v>4.5782159250151571</v>
      </c>
      <c r="E144" s="417">
        <f>Scenarios!E66</f>
        <v>5.1615833608671222</v>
      </c>
      <c r="F144" s="418">
        <f>E24</f>
        <v>0.1174</v>
      </c>
    </row>
    <row r="145" spans="1:6">
      <c r="B145" s="415" t="s">
        <v>314</v>
      </c>
      <c r="C145" s="416">
        <f>Scenarios!C67</f>
        <v>0.63167232993043521</v>
      </c>
      <c r="D145" s="416">
        <f>Scenarios!D67</f>
        <v>5.1776223488530801</v>
      </c>
      <c r="E145" s="417">
        <f>Scenarios!E67</f>
        <v>5.8092946787835151</v>
      </c>
      <c r="F145" s="418">
        <f>Scenarios!F67</f>
        <v>7.2499999999999995E-2</v>
      </c>
    </row>
    <row r="147" spans="1:6" ht="13.9">
      <c r="A147" s="352" t="s">
        <v>479</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2025-10-10T03:00:52Z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