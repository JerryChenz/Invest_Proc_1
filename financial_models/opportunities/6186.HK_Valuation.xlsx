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19CB48-CDAC-44F4-AF80-4525B097D47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<sst xmlns="http://schemas.openxmlformats.org/spreadsheetml/2006/main" count="765" uniqueCount="555">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</sst>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A805E029-490D-4B27-AEA7-98EF5A7E3D42}"/>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3.96</v>
          </cell>
        </row>
        <row r="9">
          <cell r="C9">
            <v>9065251704</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551</v>
      </c>
      <c r="E4" s="440" t="s">
        <v>542</v>
      </c>
      <c r="F4" s="441" t="s">
        <v>325</v>
      </c>
    </row>
    <row r="5" spans="1:9">
      <c r="B5" s="1" t="s">
        <v>351</v>
      </c>
      <c r="C5" s="46" t="s">
        <v>552</v>
      </c>
      <c r="E5" s="443" t="s">
        <v>544</v>
      </c>
      <c r="F5" s="442" t="s">
        <v>550</v>
      </c>
    </row>
    <row r="6" spans="1:9">
      <c r="B6" s="2" t="s">
        <v>53</v>
      </c>
      <c r="C6" s="45" t="s">
        <v>406</v>
      </c>
      <c r="D6" s="45"/>
      <c r="E6" s="45"/>
    </row>
    <row r="7" spans="1:9">
      <c r="B7" s="1" t="s">
        <v>353</v>
      </c>
      <c r="C7" s="45" t="s">
        <v>309</v>
      </c>
      <c r="D7" s="45"/>
      <c r="E7" s="45"/>
    </row>
    <row r="8" spans="1:9">
      <c r="B8" s="4" t="s">
        <v>352</v>
      </c>
      <c r="C8" s="47">
        <v>3.98</v>
      </c>
      <c r="E8" s="32"/>
    </row>
    <row r="9" spans="1:9">
      <c r="B9" s="4" t="s">
        <v>348</v>
      </c>
      <c r="C9" s="48">
        <v>9065251704</v>
      </c>
    </row>
    <row r="10" spans="1:9">
      <c r="B10" s="4" t="s">
        <v>354</v>
      </c>
      <c r="C10" s="33">
        <f>Thesis!C8*Common_Shares/1000000</f>
        <v>36079.701781919997</v>
      </c>
      <c r="D10" s="1" t="s">
        <v>533</v>
      </c>
      <c r="E10" s="311">
        <f>Scenarios!F34</f>
        <v>0.32175851586770188</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550</v>
      </c>
      <c r="D15" s="4" t="s">
        <v>355</v>
      </c>
      <c r="E15" s="260" t="str">
        <f>IF(E17=C7,C7,E17&amp;"/"&amp;C7)</f>
        <v>CNY/HKD</v>
      </c>
    </row>
    <row r="16" spans="1:9">
      <c r="B16" s="1" t="s">
        <v>321</v>
      </c>
      <c r="C16" s="427" t="s">
        <v>550</v>
      </c>
      <c r="D16" s="4" t="s">
        <v>356</v>
      </c>
      <c r="E16" s="426">
        <v>1.0931181000000001</v>
      </c>
    </row>
    <row r="17" spans="1:6">
      <c r="B17" s="1" t="s">
        <v>537</v>
      </c>
      <c r="C17" s="425">
        <v>0</v>
      </c>
      <c r="D17" s="4" t="s">
        <v>275</v>
      </c>
      <c r="E17" s="228" t="s">
        <v>548</v>
      </c>
    </row>
    <row r="18" spans="1:6">
      <c r="B18" s="1" t="str">
        <f>"Expected Equity Value ("&amp;C7&amp;") :"</f>
        <v>Expected Equity Value (HKD) :</v>
      </c>
      <c r="C18" s="259">
        <f>C125</f>
        <v>6.3918401764541954</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3.8189685467512731</v>
      </c>
      <c r="D22" s="38" t="s">
        <v>411</v>
      </c>
      <c r="E22" s="79">
        <v>0.35</v>
      </c>
    </row>
    <row r="23" spans="1:6">
      <c r="B23" s="1" t="s">
        <v>314</v>
      </c>
      <c r="C23" s="263">
        <f>E141</f>
        <v>4.4389697129306853</v>
      </c>
      <c r="D23" s="38" t="s">
        <v>412</v>
      </c>
      <c r="E23" s="453">
        <v>0.25</v>
      </c>
    </row>
    <row r="24" spans="1:6">
      <c r="B24" s="1" t="s">
        <v>316</v>
      </c>
      <c r="C24" s="263">
        <f>E144</f>
        <v>5.5293311085395693</v>
      </c>
      <c r="D24" s="38" t="s">
        <v>413</v>
      </c>
      <c r="E24" s="453">
        <v>0.1174</v>
      </c>
    </row>
    <row r="25" spans="1:6">
      <c r="B25" s="1" t="s">
        <v>315</v>
      </c>
      <c r="C25" s="263">
        <f>E145</f>
        <v>5.9925522477745243</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3585603</v>
      </c>
      <c r="D34" s="1" t="str">
        <f>Reporting_currency</f>
        <v>CNY</v>
      </c>
    </row>
    <row r="35" spans="2:6">
      <c r="B35" s="44"/>
      <c r="C35" s="73"/>
    </row>
    <row r="36" spans="2:6" ht="24.5" customHeight="1">
      <c r="B36" s="459" t="s">
        <v>198</v>
      </c>
      <c r="C36" s="459"/>
      <c r="D36" s="459"/>
      <c r="E36" s="459"/>
      <c r="F36" s="459"/>
    </row>
    <row r="37" spans="2:6">
      <c r="B37" s="44" t="s">
        <v>199</v>
      </c>
      <c r="C37" s="293">
        <f>Normalized_FCF!C15</f>
        <v>0</v>
      </c>
      <c r="D37" s="1" t="str">
        <f>Reporting_currency</f>
        <v>CNY</v>
      </c>
    </row>
    <row r="38" spans="2:6">
      <c r="B38" s="49" t="s">
        <v>200</v>
      </c>
      <c r="C38" s="293">
        <f>Normalized_FCF!C16</f>
        <v>0</v>
      </c>
      <c r="D38" s="1" t="str">
        <f>Reporting_currency</f>
        <v>CNY</v>
      </c>
    </row>
    <row r="40" spans="2:6">
      <c r="B40" s="459" t="s">
        <v>201</v>
      </c>
      <c r="C40" s="459"/>
      <c r="D40" s="459"/>
      <c r="E40" s="459"/>
      <c r="F40" s="459"/>
    </row>
    <row r="41" spans="2:6">
      <c r="B41" s="44" t="s">
        <v>202</v>
      </c>
      <c r="C41" s="293">
        <f>Normalized_FCF!C9</f>
        <v>-12182</v>
      </c>
      <c r="D41" s="1" t="str">
        <f>Reporting_currency</f>
        <v>CNY</v>
      </c>
    </row>
    <row r="43" spans="2:6">
      <c r="B43" s="459" t="s">
        <v>205</v>
      </c>
      <c r="C43" s="459"/>
      <c r="D43" s="459"/>
      <c r="E43" s="459"/>
      <c r="F43" s="459"/>
    </row>
    <row r="44" spans="2:6">
      <c r="B44" s="44" t="s">
        <v>268</v>
      </c>
      <c r="C44" s="294">
        <f>Normalized_FCF!C46</f>
        <v>15205.2148620272</v>
      </c>
      <c r="D44" s="1" t="str">
        <f>Reporting_currency</f>
        <v>CNY</v>
      </c>
      <c r="E44" s="251"/>
      <c r="F44" s="251"/>
    </row>
    <row r="45" spans="2:6">
      <c r="B45" s="44" t="s">
        <v>269</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59" t="s">
        <v>206</v>
      </c>
      <c r="C51" s="459"/>
      <c r="D51" s="459"/>
      <c r="E51" s="459"/>
      <c r="F51" s="459"/>
    </row>
    <row r="52" spans="2:6">
      <c r="B52" s="44" t="s">
        <v>204</v>
      </c>
      <c r="C52" s="293">
        <f>Normalized_FCF!C12</f>
        <v>-885995.0537155068</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303</v>
      </c>
      <c r="C62" s="89">
        <f>Normalized_FCF!C124</f>
        <v>7.8493956032426218E-2</v>
      </c>
      <c r="F62" s="264"/>
    </row>
    <row r="63" spans="2:6">
      <c r="B63" s="207" t="s">
        <v>333</v>
      </c>
      <c r="C63" s="89">
        <f>Normalized_FCF!C92</f>
        <v>6.0753768844221102E-2</v>
      </c>
      <c r="E63" s="44" t="s">
        <v>323</v>
      </c>
      <c r="F63" s="265">
        <f>Normalized_FCF!C90</f>
        <v>0.84606570650356128</v>
      </c>
    </row>
    <row r="65" spans="1:6">
      <c r="B65" s="193" t="s">
        <v>326</v>
      </c>
      <c r="C65" s="271" t="s">
        <v>328</v>
      </c>
      <c r="D65" s="271" t="s">
        <v>329</v>
      </c>
    </row>
    <row r="66" spans="1:6">
      <c r="B66" s="44" t="s">
        <v>327</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-845013</v>
      </c>
      <c r="D78" s="1" t="str">
        <f>Reporting_currency</f>
        <v>CNY</v>
      </c>
    </row>
    <row r="79" spans="1:6">
      <c r="A79" s="192"/>
      <c r="B79" s="44" t="s">
        <v>235</v>
      </c>
      <c r="C79" s="204">
        <f>C78*scaling_factor*Exchange_Rate/Common_Shares</f>
        <v>-0.10189446859238584</v>
      </c>
      <c r="D79" s="1" t="str">
        <f>Market_currency</f>
        <v>HKD</v>
      </c>
    </row>
    <row r="80" spans="1:6">
      <c r="A80" s="192"/>
      <c r="B80" s="233" t="s">
        <v>310</v>
      </c>
      <c r="C80" s="346">
        <f>IF(BS!G31/BS!G27&gt;300%,"nm",BS!G31/BS!G27)</f>
        <v>3.1120102042901991E-2</v>
      </c>
    </row>
    <row r="81" spans="1:6">
      <c r="A81" s="192"/>
      <c r="B81" s="233" t="s">
        <v>312</v>
      </c>
      <c r="C81" s="347">
        <f>IF(BS!C50&gt;30,"nm",BS!C50)</f>
        <v>0.2356683101838101</v>
      </c>
    </row>
    <row r="82" spans="1:6">
      <c r="A82" s="192"/>
    </row>
    <row r="83" spans="1:6">
      <c r="A83" s="192"/>
      <c r="B83" s="1" t="s">
        <v>472</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1.8176297815917777</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5.1645833730509284E-4</v>
      </c>
      <c r="D90" s="1" t="str">
        <f>Market_currency</f>
        <v>HKD</v>
      </c>
    </row>
    <row r="91" spans="1:6">
      <c r="A91" s="192"/>
    </row>
    <row r="92" spans="1:6">
      <c r="A92" s="192"/>
      <c r="B92" s="44" t="s">
        <v>475</v>
      </c>
      <c r="C92" s="220">
        <f>DCF!F8</f>
        <v>1.7162517713366969</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1.2421607466941946</v>
      </c>
      <c r="D111" s="1" t="str">
        <f>Market_currency</f>
        <v>HKD</v>
      </c>
    </row>
    <row r="112" spans="2:6">
      <c r="B112" s="44" t="s">
        <v>324</v>
      </c>
      <c r="C112" s="220">
        <f>DCF!C11</f>
        <v>6.0252992887029917</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7.79 HKD</v>
      </c>
      <c r="F118" s="212">
        <f>DCF!F74</f>
        <v>0.05</v>
      </c>
    </row>
    <row r="119" spans="2:6">
      <c r="B119" s="199" t="str">
        <f>DCF!B75</f>
        <v>Optimistic</v>
      </c>
      <c r="C119" s="200">
        <f>DCF!C75</f>
        <v>0.03</v>
      </c>
      <c r="D119" s="201">
        <f>DCF!D75</f>
        <v>5</v>
      </c>
      <c r="E119" s="211" t="str">
        <f>ROUND(DCF!E75,2)&amp;" "&amp;Market_currency</f>
        <v>6.63 HKD</v>
      </c>
      <c r="F119" s="202">
        <f>DCF!F75</f>
        <v>0.18</v>
      </c>
    </row>
    <row r="120" spans="2:6">
      <c r="B120" s="199" t="str">
        <f>DCF!B76</f>
        <v>Base</v>
      </c>
      <c r="C120" s="200">
        <f>DCF!C76</f>
        <v>0.02</v>
      </c>
      <c r="D120" s="201">
        <f>DCF!D76</f>
        <v>5</v>
      </c>
      <c r="E120" s="211" t="str">
        <f>ROUND(DCF!E76,2)&amp;" "&amp;Market_currency</f>
        <v>6.42 HKD</v>
      </c>
      <c r="F120" s="202">
        <f>DCF!F76</f>
        <v>0.53999999999999992</v>
      </c>
    </row>
    <row r="121" spans="2:6">
      <c r="B121" s="199" t="str">
        <f>DCF!B77</f>
        <v>Pessimistic</v>
      </c>
      <c r="C121" s="200">
        <f>DCF!C77</f>
        <v>0.01</v>
      </c>
      <c r="D121" s="201">
        <f>DCF!D77</f>
        <v>5</v>
      </c>
      <c r="E121" s="211" t="str">
        <f>ROUND(DCF!E77,2)&amp;" "&amp;Market_currency</f>
        <v>6.22 HKD</v>
      </c>
      <c r="F121" s="202">
        <f>DCF!F77</f>
        <v>0.18</v>
      </c>
    </row>
    <row r="122" spans="2:6">
      <c r="B122" s="199" t="str">
        <f>DCF!B78</f>
        <v>Devil's advocate</v>
      </c>
      <c r="C122" s="200">
        <f>DCF!C78</f>
        <v>-0.1</v>
      </c>
      <c r="D122" s="201">
        <f>DCF!D78</f>
        <v>5</v>
      </c>
      <c r="E122" s="211" t="str">
        <f>ROUND(DCF!E78,2)&amp;" "&amp;Market_currency</f>
        <v>4.44 HKD</v>
      </c>
      <c r="F122" s="202">
        <f>DCF!F78</f>
        <v>0.05</v>
      </c>
    </row>
    <row r="124" spans="2:6">
      <c r="B124" s="459" t="s">
        <v>359</v>
      </c>
      <c r="C124" s="459"/>
      <c r="D124" s="459"/>
      <c r="E124" s="459"/>
      <c r="F124" s="459"/>
    </row>
    <row r="125" spans="2:6">
      <c r="B125" s="194" t="s">
        <v>218</v>
      </c>
      <c r="C125" s="198">
        <f>Scenarios!C36</f>
        <v>6.3918401764541954</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0.31178600823045277</v>
      </c>
      <c r="D140" s="342">
        <f>Scenarios!D62</f>
        <v>3.5071825385208202</v>
      </c>
      <c r="E140" s="343">
        <f>Scenarios!E62</f>
        <v>3.8189685467512731</v>
      </c>
      <c r="F140" s="344">
        <f>E22</f>
        <v>0.35</v>
      </c>
    </row>
    <row r="141" spans="1:6">
      <c r="B141" s="345" t="s">
        <v>314</v>
      </c>
      <c r="C141" s="342">
        <f>Scenarios!C63</f>
        <v>0.34819199999999995</v>
      </c>
      <c r="D141" s="342">
        <f>Scenarios!D63</f>
        <v>4.0907777129306853</v>
      </c>
      <c r="E141" s="343">
        <f>Scenarios!E63</f>
        <v>4.4389697129306853</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0.41005477282098601</v>
      </c>
      <c r="D144" s="342">
        <f>Scenarios!D66</f>
        <v>5.1192763357185838</v>
      </c>
      <c r="E144" s="343">
        <f>Scenarios!E66</f>
        <v>5.5293311085395693</v>
      </c>
      <c r="F144" s="344">
        <f>E24</f>
        <v>0.1174</v>
      </c>
    </row>
    <row r="145" spans="1:6">
      <c r="B145" s="345" t="s">
        <v>315</v>
      </c>
      <c r="C145" s="342">
        <f>Scenarios!C67</f>
        <v>0.43566857385039198</v>
      </c>
      <c r="D145" s="342">
        <f>Scenarios!D67</f>
        <v>5.5568836739241325</v>
      </c>
      <c r="E145" s="343">
        <f>Scenarios!E67</f>
        <v>5.9925522477745243</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289</v>
      </c>
      <c r="C23" s="295">
        <v>-1316832</v>
      </c>
      <c r="D23" s="295">
        <v>386697</v>
      </c>
      <c r="E23" s="295">
        <v>-4803708</v>
      </c>
      <c r="F23" s="295">
        <v>-2444226</v>
      </c>
      <c r="G23" s="295">
        <v>-3786486</v>
      </c>
      <c r="H23" s="295">
        <v>-5514896</v>
      </c>
      <c r="I23" s="295">
        <v>-3272449</v>
      </c>
      <c r="J23" s="295">
        <v>-1680076</v>
      </c>
      <c r="K23" s="295">
        <v>947343</v>
      </c>
      <c r="L23" s="295"/>
      <c r="M23" s="295"/>
    </row>
    <row r="24" spans="2:13">
      <c r="B24" s="26" t="s">
        <v>288</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306</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407</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3.0882040482844384</v>
      </c>
      <c r="D47" s="135">
        <f>D46*H1/Common_Shares*Exchange_Rate</f>
        <v>1.2421607466941946</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279</v>
      </c>
    </row>
    <row r="74" spans="2:6" ht="15" customHeight="1">
      <c r="B74" s="231" t="s">
        <v>260</v>
      </c>
      <c r="C74" s="232">
        <f>-$C$66/C73</f>
        <v>11.235984514921489</v>
      </c>
      <c r="D74" s="232">
        <f>-$C$66/D73</f>
        <v>13.896162725570964</v>
      </c>
      <c r="F74" s="227" t="s">
        <v>258</v>
      </c>
    </row>
    <row r="75" spans="2:6" ht="15" customHeight="1">
      <c r="B75" s="77" t="s">
        <v>259</v>
      </c>
      <c r="C75" s="268"/>
      <c r="D75" s="269">
        <f>MAX(-D73*D76,G5)</f>
        <v>2534202.4770045332</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923699.00503530004</v>
      </c>
      <c r="D86" s="204">
        <f>C86*scaling_factor/Common_Shares</f>
        <v>0.10189446859238582</v>
      </c>
      <c r="E86" s="218" t="str">
        <f>Market_currency</f>
        <v>HKD</v>
      </c>
    </row>
    <row r="87" spans="2:8" ht="15" customHeight="1">
      <c r="B87" s="216" t="s">
        <v>241</v>
      </c>
      <c r="C87" s="73">
        <f>DCF!F5*Exchange_Rate</f>
        <v>16477271.474816011</v>
      </c>
      <c r="D87" s="204">
        <f>C87*scaling_factor/Common_Shares</f>
        <v>1.8176297815917777</v>
      </c>
      <c r="E87" s="218" t="str">
        <f>Market_currency</f>
        <v>HKD</v>
      </c>
    </row>
    <row r="88" spans="2:8" ht="15" customHeight="1">
      <c r="B88" s="217" t="s">
        <v>159</v>
      </c>
      <c r="C88" s="73">
        <f>DCF!F6*Exchange_Rate</f>
        <v>4681.8248223000001</v>
      </c>
      <c r="D88" s="204">
        <f>C88*scaling_factor/Common_Shares</f>
        <v>5.1645833730509284E-4</v>
      </c>
      <c r="E88" s="218" t="str">
        <f>Market_currency</f>
        <v>HKD</v>
      </c>
    </row>
    <row r="89" spans="2:8" ht="15" customHeight="1">
      <c r="B89" s="77" t="s">
        <v>245</v>
      </c>
      <c r="C89" s="163">
        <f>SUM(C86:C88)</f>
        <v>17405652.304673612</v>
      </c>
      <c r="D89" s="220">
        <f>SUM(D86:D88)</f>
        <v>1.9200407085214688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420</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273</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270</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265</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6.0753768844221102E-2</v>
      </c>
      <c r="E92" s="242"/>
      <c r="G92" s="22">
        <f t="shared" ref="G92:Q92" si="38">IF(G$4="","",(G88*(1-dividend_tax_rate))/Market_Price)</f>
        <v>8.2010050251256295E-2</v>
      </c>
      <c r="H92" s="22">
        <f t="shared" si="38"/>
        <v>7.1180904522613067E-2</v>
      </c>
      <c r="I92" s="22">
        <f t="shared" si="38"/>
        <v>7.165829145728643E-2</v>
      </c>
      <c r="J92" s="22">
        <f t="shared" si="38"/>
        <v>0.11824120603015076</v>
      </c>
      <c r="K92" s="22">
        <f t="shared" si="38"/>
        <v>7.4396984924623127E-2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305</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0.31240594500905638</v>
      </c>
      <c r="D123" s="26"/>
      <c r="E123" s="239"/>
      <c r="F123" s="26"/>
      <c r="G123" s="160">
        <f t="shared" ref="G123:Q123" si="48">IF(G$4="","",G14*$C$3/Common_Shares*Exchange_Rate)</f>
        <v>0.3509640044276246</v>
      </c>
      <c r="H123" s="160">
        <f t="shared" si="48"/>
        <v>0.3152900530152748</v>
      </c>
      <c r="I123" s="160">
        <f t="shared" si="48"/>
        <v>0.4941818963115357</v>
      </c>
      <c r="J123" s="160">
        <f t="shared" si="48"/>
        <v>0.62996087928039068</v>
      </c>
      <c r="K123" s="160">
        <f t="shared" si="48"/>
        <v>0.54697146278295994</v>
      </c>
      <c r="L123" s="160">
        <f t="shared" si="48"/>
        <v>0.36507659690050237</v>
      </c>
      <c r="M123" s="160">
        <f t="shared" si="48"/>
        <v>0.21373332257333427</v>
      </c>
      <c r="N123" s="160">
        <f t="shared" si="48"/>
        <v>9.3882430823555671E-2</v>
      </c>
      <c r="O123" s="160">
        <f t="shared" si="48"/>
        <v>2.6288850793656907E-2</v>
      </c>
      <c r="P123" s="160" t="str">
        <f t="shared" si="48"/>
        <v/>
      </c>
      <c r="Q123" s="160" t="str">
        <f t="shared" si="48"/>
        <v/>
      </c>
    </row>
    <row r="124" spans="1:17" ht="15.75" customHeight="1">
      <c r="A124" s="10"/>
      <c r="B124" s="26" t="s">
        <v>226</v>
      </c>
      <c r="C124" s="74">
        <f>C19*Exchange_Rate*$C$3/(Market_Price*Common_Shares)</f>
        <v>7.8493956032426218E-2</v>
      </c>
      <c r="D124" s="26"/>
      <c r="E124" s="239"/>
      <c r="F124" s="26"/>
      <c r="G124" s="74">
        <f t="shared" ref="G124" si="49">IF(G$4="","",G123/Market_Price)</f>
        <v>8.8181910660207183E-2</v>
      </c>
      <c r="H124" s="74">
        <f t="shared" ref="H124" si="50">IF(H$4="","",H123/Market_Price)</f>
        <v>7.9218606285244922E-2</v>
      </c>
      <c r="I124" s="74">
        <f t="shared" ref="I124" si="51">IF(I$4="","",I123/Market_Price)</f>
        <v>0.12416630560591349</v>
      </c>
      <c r="J124" s="74">
        <f t="shared" ref="J124" si="52">IF(J$4="","",J123/Market_Price)</f>
        <v>0.15828162795989717</v>
      </c>
      <c r="K124" s="74">
        <f t="shared" ref="K124" si="53">IF(K$4="","",K123/Market_Price)</f>
        <v>0.13743001577461306</v>
      </c>
      <c r="L124" s="74">
        <f t="shared" ref="L124" si="54">IF(L$4="","",L123/Market_Price)</f>
        <v>9.1727788165955365E-2</v>
      </c>
      <c r="M124" s="74">
        <f t="shared" ref="M124" si="55">IF(M$4="","",M123/Market_Price)</f>
        <v>5.3701839842546298E-2</v>
      </c>
      <c r="N124" s="74">
        <f t="shared" ref="N124" si="56">IF(N$4="","",N123/Market_Price)</f>
        <v>2.3588550458179817E-2</v>
      </c>
      <c r="O124" s="74">
        <f t="shared" ref="O124" si="57">IF(O$4="","",O123/Market_Price)</f>
        <v>6.6052388928786194E-3</v>
      </c>
      <c r="P124" s="74" t="str">
        <f t="shared" ref="P124" si="58">IF(P$4="","",P123/Market_Price)</f>
        <v/>
      </c>
      <c r="Q124" s="74" t="str">
        <f t="shared" ref="Q124" si="59">IF(Q$4="","",Q123/Market_Price)</f>
        <v/>
      </c>
    </row>
    <row r="125" spans="1:17" ht="15.75" customHeight="1">
      <c r="B125" s="2" t="s">
        <v>307</v>
      </c>
      <c r="C125" s="152"/>
      <c r="G125" s="22">
        <f>IF(G$4="","",(Data!C47*$C$3)/(Market_Price*Common_Shares))</f>
        <v>0.10127910762918574</v>
      </c>
      <c r="H125" s="22">
        <f>IF(H$4="","",(Data!D47*$C$3)/(Market_Price*Common_Shares))</f>
        <v>9.1196762653089264E-2</v>
      </c>
      <c r="I125" s="22">
        <f>IF(I$4="","",(Data!E47*$C$3)/(Market_Price*Common_Shares))</f>
        <v>0.13714376105180445</v>
      </c>
      <c r="J125" s="22">
        <f>IF(J$4="","",(Data!F47*$C$3)/(Market_Price*Common_Shares))</f>
        <v>0.19165612958212264</v>
      </c>
      <c r="K125" s="22">
        <f>IF(K$4="","",(Data!G47*$C$3)/(Market_Price*Common_Shares))</f>
        <v>0.20611678125695018</v>
      </c>
      <c r="L125" s="22">
        <f>IF(L$4="","",(Data!H47*$C$3)/(Market_Price*Common_Shares))</f>
        <v>0.10905237032673222</v>
      </c>
      <c r="M125" s="22">
        <f>IF(M$4="","",(Data!I47*$C$3)/(Market_Price*Common_Shares))</f>
        <v>6.2147243166062481E-2</v>
      </c>
      <c r="N125" s="22">
        <f>IF(N$4="","",(Data!J47*$C$3)/(Market_Price*Common_Shares))</f>
        <v>3.2157305706484639E-2</v>
      </c>
      <c r="O125" s="22">
        <f>IF(O$4="","",(Data!K47*$C$3)/(Market_Price*Common_Shares))</f>
        <v>1.1257077523948049E-2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2590789.1611465206</v>
      </c>
      <c r="D4" t="str">
        <f>Reporting_currency</f>
        <v>CNY</v>
      </c>
      <c r="E4" s="136" t="s">
        <v>437</v>
      </c>
      <c r="F4" s="283">
        <f>-BS!G31</f>
        <v>-845013</v>
      </c>
      <c r="G4" t="str">
        <f>Reporting_currency</f>
        <v>CNY</v>
      </c>
      <c r="H4" s="316" t="s">
        <v>396</v>
      </c>
      <c r="I4" s="313">
        <f>Normalized_FCF!C4</f>
        <v>16598840</v>
      </c>
      <c r="J4" s="313"/>
    </row>
    <row r="5" spans="2:15">
      <c r="B5" s="188" t="s">
        <v>105</v>
      </c>
      <c r="C5" s="189">
        <f>Equity_Cost</f>
        <v>7.2499999999999995E-2</v>
      </c>
      <c r="E5" s="136" t="s">
        <v>438</v>
      </c>
      <c r="F5" s="283">
        <f>BS!D66</f>
        <v>15073642.522995466</v>
      </c>
      <c r="G5" t="str">
        <f>Reporting_currency</f>
        <v>CNY</v>
      </c>
      <c r="H5" s="316" t="s">
        <v>398</v>
      </c>
      <c r="I5" s="313">
        <f>Normalized_FCF!C7</f>
        <v>-1681261</v>
      </c>
      <c r="J5" s="313"/>
    </row>
    <row r="6" spans="2:15" ht="13.25" customHeight="1">
      <c r="B6" s="137" t="s">
        <v>194</v>
      </c>
      <c r="C6" s="291">
        <f>(C4*(1+Terminal_Growth))/(Equity_Cost-Terminal_Growth)</f>
        <v>35735022.912365802</v>
      </c>
      <c r="D6" t="str">
        <f>Reporting_currency</f>
        <v>CNY</v>
      </c>
      <c r="E6" s="188" t="s">
        <v>439</v>
      </c>
      <c r="F6" s="292">
        <f>BS!H42</f>
        <v>4283</v>
      </c>
      <c r="G6" t="str">
        <f>Reporting_currency</f>
        <v>CNY</v>
      </c>
      <c r="H6" s="316" t="s">
        <v>421</v>
      </c>
      <c r="I6" s="313">
        <f>I7+I8</f>
        <v>-41622.785137972802</v>
      </c>
      <c r="J6" s="313"/>
      <c r="N6" s="136"/>
    </row>
    <row r="7" spans="2:15" ht="12.75" customHeight="1">
      <c r="B7" s="326" t="s">
        <v>436</v>
      </c>
      <c r="C7" s="283">
        <f>F7</f>
        <v>14232912.522995466</v>
      </c>
      <c r="E7" s="141" t="s">
        <v>430</v>
      </c>
      <c r="F7" s="291">
        <f>SUM(F4:F6)</f>
        <v>14232912.522995466</v>
      </c>
      <c r="G7" t="str">
        <f>Reporting_currency</f>
        <v>CNY</v>
      </c>
      <c r="H7" s="320" t="s">
        <v>422</v>
      </c>
      <c r="I7" s="321">
        <f>Normalized_FCF!C9</f>
        <v>-12182</v>
      </c>
      <c r="J7" s="321"/>
      <c r="N7" s="312"/>
      <c r="O7" s="312"/>
    </row>
    <row r="8" spans="2:15" ht="13.15">
      <c r="B8" s="137" t="s">
        <v>432</v>
      </c>
      <c r="C8" s="291">
        <f>C6+C7</f>
        <v>49967935.435361266</v>
      </c>
      <c r="D8" t="str">
        <f>Reporting_currency</f>
        <v>CNY</v>
      </c>
      <c r="E8" s="141" t="s">
        <v>470</v>
      </c>
      <c r="F8" s="108">
        <f>FV_adjustments*scaling_factor/Common_Shares*Exchange_Rate</f>
        <v>1.7162517713366969</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4.0482346959185098E-3</v>
      </c>
      <c r="J9" s="314"/>
      <c r="N9" s="312"/>
      <c r="O9" s="312"/>
    </row>
    <row r="10" spans="2:15" ht="13.5" thickTop="1">
      <c r="B10" s="107" t="s">
        <v>433</v>
      </c>
      <c r="C10" s="291">
        <f>C8*Exchange_Rate</f>
        <v>54620854.644024782</v>
      </c>
      <c r="D10" t="str">
        <f>Market_currency</f>
        <v>HKD</v>
      </c>
      <c r="H10" s="316" t="s">
        <v>400</v>
      </c>
      <c r="I10" s="314">
        <f>Normalized_FCF!C41</f>
        <v>0.25</v>
      </c>
      <c r="N10" s="312"/>
      <c r="O10" s="312"/>
    </row>
    <row r="11" spans="2:15" ht="13.15">
      <c r="B11" s="137" t="s">
        <v>431</v>
      </c>
      <c r="C11" s="108">
        <f>(C10*scaling_factor)/Common_Shares</f>
        <v>6.0252992887029917</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0.68269686315429268</v>
      </c>
      <c r="E17" s="316" t="s">
        <v>404</v>
      </c>
      <c r="F17" s="319">
        <f>Scenarios!C40</f>
        <v>0.68269686315429268</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6.3923675957201311</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535</v>
      </c>
      <c r="K20" s="122" t="s">
        <v>536</v>
      </c>
      <c r="L20" s="123" t="s">
        <v>425</v>
      </c>
    </row>
    <row r="21" spans="1:21">
      <c r="A21" s="310" t="str">
        <f t="shared" ref="A21:A50" si="0">IF($C$15&lt;B21,"",IF(B21&gt;=$F$15,"II","I"))</f>
        <v>I</v>
      </c>
      <c r="B21" s="118">
        <v>1</v>
      </c>
      <c r="C21" s="285">
        <f>I4*(1+D21)</f>
        <v>16907794.410207424</v>
      </c>
      <c r="D21" s="307">
        <f t="shared" ref="D21:D50" si="1">IF(A21="",0,IF(A21="I",$C$16,$F$16))</f>
        <v>1.8613012126595999E-2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1.8613012126595999E-2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1.8613012126595999E-2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1.8613012126595999E-2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1.8613012126595999E-2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(G51*(1-$I$10)+C51*(H51-$I$9))/Equity_Cost</f>
        <v>39228424.509554625</v>
      </c>
      <c r="J51" s="424">
        <f>(G51*(1-$I$10)+C51*(H51-$I$9))/VLOOKUP(C15,B21:I50,8,FALSE)-1</f>
        <v>0</v>
      </c>
      <c r="K51" s="120">
        <f>1/(1+Equity_Cost)^C15</f>
        <v>0.70471496766912267</v>
      </c>
      <c r="L51" s="285">
        <f>I51*K51</f>
        <v>27644857.909961406</v>
      </c>
    </row>
    <row r="52" spans="1:21" ht="13.15">
      <c r="G52" s="111"/>
      <c r="H52" s="111"/>
      <c r="I52" s="111"/>
      <c r="J52" s="466" t="s">
        <v>426</v>
      </c>
      <c r="K52" s="466"/>
      <c r="L52" s="325">
        <f>SUM(L21:L51)</f>
        <v>38779128.206817999</v>
      </c>
    </row>
    <row r="53" spans="1:21">
      <c r="C53" s="111"/>
    </row>
    <row r="54" spans="1:21" ht="13.15">
      <c r="B54" s="115" t="s">
        <v>108</v>
      </c>
      <c r="C54" s="129"/>
      <c r="D54" s="129"/>
      <c r="E54" s="113"/>
      <c r="F54" s="113"/>
      <c r="G54" s="113"/>
      <c r="H54" s="113"/>
      <c r="I54" s="113"/>
      <c r="J54" s="113"/>
      <c r="K54" s="113"/>
      <c r="L54" s="113"/>
    </row>
    <row r="55" spans="1:21" ht="13.15">
      <c r="A55" s="126">
        <f>L52</f>
        <v>38779128.206817999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22606308.385835495</v>
      </c>
      <c r="C56" s="119">
        <v>37344475.905552879</v>
      </c>
      <c r="D56" s="119">
        <v>39014426.395916536</v>
      </c>
      <c r="E56" s="119">
        <v>40746625.074973531</v>
      </c>
      <c r="F56" s="119">
        <v>50405009.160435244</v>
      </c>
      <c r="G56" s="303"/>
      <c r="H56" s="303"/>
      <c r="I56" s="303"/>
      <c r="J56" s="303"/>
      <c r="K56" s="303"/>
      <c r="L56" s="303"/>
    </row>
    <row r="57" spans="1:21" ht="13.15">
      <c r="A57" s="132">
        <v>10</v>
      </c>
      <c r="B57" s="119">
        <v>17143093.941505715</v>
      </c>
      <c r="C57" s="119">
        <v>38536537.404808506</v>
      </c>
      <c r="D57" s="119">
        <v>41566006.506477706</v>
      </c>
      <c r="E57" s="119">
        <v>44840892.511067405</v>
      </c>
      <c r="F57" s="119">
        <v>65595156.271872133</v>
      </c>
      <c r="G57" s="303"/>
      <c r="H57" s="303"/>
      <c r="I57" s="303"/>
      <c r="J57" s="303"/>
      <c r="K57" s="303"/>
      <c r="L57" s="303"/>
    </row>
    <row r="58" spans="1:21" ht="13.15">
      <c r="A58" s="132">
        <v>15</v>
      </c>
      <c r="B58" s="119">
        <v>14869702.132702215</v>
      </c>
      <c r="C58" s="285">
        <v>39419452.671065323</v>
      </c>
      <c r="D58" s="119">
        <v>43551294.713088393</v>
      </c>
      <c r="E58" s="119">
        <v>48185736.19465626</v>
      </c>
      <c r="F58" s="119">
        <v>81323907.844318882</v>
      </c>
      <c r="G58" s="303"/>
      <c r="H58" s="303"/>
      <c r="I58" s="303"/>
      <c r="J58" s="303"/>
      <c r="K58" s="303"/>
      <c r="L58" s="303"/>
      <c r="M58" s="283"/>
      <c r="N58" s="283"/>
      <c r="O58" s="283"/>
      <c r="P58" s="283"/>
      <c r="Q58" s="283"/>
      <c r="R58" s="283"/>
      <c r="S58" s="283"/>
      <c r="T58" s="283"/>
      <c r="U58" s="283"/>
    </row>
    <row r="59" spans="1:21" ht="13.15">
      <c r="A59" s="133">
        <v>20</v>
      </c>
      <c r="B59" s="119">
        <v>13923682.09834332</v>
      </c>
      <c r="C59" s="285">
        <v>40073394.911357567</v>
      </c>
      <c r="D59" s="119">
        <v>45095972.556826845</v>
      </c>
      <c r="E59" s="119">
        <v>50918332.304283679</v>
      </c>
      <c r="F59" s="119">
        <v>97610361.439062446</v>
      </c>
      <c r="G59" s="303"/>
      <c r="H59" s="303"/>
      <c r="I59" s="303"/>
      <c r="J59" s="303"/>
      <c r="K59" s="303"/>
      <c r="L59" s="303"/>
      <c r="M59" s="283"/>
      <c r="N59" s="283"/>
      <c r="O59" s="283"/>
      <c r="P59" s="283"/>
      <c r="Q59" s="283"/>
      <c r="R59" s="283"/>
      <c r="S59" s="283"/>
      <c r="T59" s="283"/>
      <c r="U59" s="283"/>
    </row>
    <row r="60" spans="1:21" ht="13.15">
      <c r="A60" s="133">
        <v>25</v>
      </c>
      <c r="B60" s="119">
        <v>13530017.485871872</v>
      </c>
      <c r="C60" s="285">
        <v>40557745.41472064</v>
      </c>
      <c r="D60" s="119">
        <v>46297828.102531157</v>
      </c>
      <c r="E60" s="119">
        <v>53150747.987858765</v>
      </c>
      <c r="F60" s="119">
        <v>114474291.76894274</v>
      </c>
      <c r="G60" s="303"/>
      <c r="H60" s="303"/>
      <c r="I60" s="303"/>
      <c r="J60" s="303"/>
      <c r="K60" s="303"/>
      <c r="L60" s="303"/>
      <c r="M60" s="283"/>
      <c r="N60" s="283"/>
      <c r="O60" s="283"/>
      <c r="P60" s="283"/>
      <c r="Q60" s="283"/>
      <c r="R60" s="283"/>
      <c r="S60" s="283"/>
      <c r="T60" s="283"/>
      <c r="U60" s="283"/>
    </row>
    <row r="61" spans="1:21" ht="13.15">
      <c r="A61" s="133">
        <v>30</v>
      </c>
      <c r="B61" s="119">
        <v>13366202.956069319</v>
      </c>
      <c r="C61" s="285">
        <v>40916485.675944962</v>
      </c>
      <c r="D61" s="119">
        <v>47232946.553666785</v>
      </c>
      <c r="E61" s="119">
        <v>54974537.375069574</v>
      </c>
      <c r="F61" s="119">
        <v>131936174.70844549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6.0252992887029917</v>
      </c>
      <c r="C65" s="120">
        <f>C11</f>
        <v>6.0252992887029917</v>
      </c>
      <c r="D65" s="120">
        <f>C11</f>
        <v>6.0252992887029917</v>
      </c>
      <c r="E65" s="120">
        <f>C11</f>
        <v>6.0252992887029917</v>
      </c>
      <c r="F65" s="120">
        <f>C11</f>
        <v>6.0252992887029917</v>
      </c>
      <c r="G65" s="304"/>
      <c r="H65" s="304"/>
      <c r="I65" s="304"/>
      <c r="J65" s="304"/>
      <c r="K65" s="304"/>
      <c r="L65" s="304"/>
    </row>
    <row r="66" spans="1:12" ht="13.15">
      <c r="A66" s="132">
        <f t="shared" ref="A66:A71" si="11">A56</f>
        <v>5</v>
      </c>
      <c r="B66" s="120">
        <f t="shared" ref="B66:F71" si="12">(B56+FV_adjustments)/Common_Shares*scaling_factor*Exchange_Rate</f>
        <v>4.4421953719798868</v>
      </c>
      <c r="C66" s="120">
        <f t="shared" si="12"/>
        <v>6.219372465642544</v>
      </c>
      <c r="D66" s="120">
        <f t="shared" si="12"/>
        <v>6.4207406313289876</v>
      </c>
      <c r="E66" s="120">
        <f t="shared" si="12"/>
        <v>6.6296148899486136</v>
      </c>
      <c r="F66" s="120">
        <f t="shared" si="12"/>
        <v>7.7942548586227964</v>
      </c>
      <c r="G66" s="304"/>
      <c r="H66" s="304"/>
      <c r="I66" s="304"/>
      <c r="J66" s="304"/>
      <c r="K66" s="304"/>
      <c r="L66" s="304"/>
    </row>
    <row r="67" spans="1:12" ht="13.15">
      <c r="A67" s="132">
        <f t="shared" si="11"/>
        <v>10</v>
      </c>
      <c r="B67" s="120">
        <f t="shared" si="12"/>
        <v>3.7834228647980681</v>
      </c>
      <c r="C67" s="120">
        <f t="shared" si="12"/>
        <v>6.3631151926728915</v>
      </c>
      <c r="D67" s="120">
        <f t="shared" si="12"/>
        <v>6.7284186190481492</v>
      </c>
      <c r="E67" s="120">
        <f t="shared" si="12"/>
        <v>7.123315229086467</v>
      </c>
      <c r="F67" s="120">
        <f t="shared" si="12"/>
        <v>9.6259331496787066</v>
      </c>
      <c r="G67" s="304"/>
      <c r="H67" s="304"/>
      <c r="I67" s="304"/>
      <c r="J67" s="304"/>
      <c r="K67" s="304"/>
      <c r="L67" s="304"/>
    </row>
    <row r="68" spans="1:12" ht="13.15">
      <c r="A68" s="132">
        <f t="shared" si="11"/>
        <v>15</v>
      </c>
      <c r="B68" s="120">
        <f t="shared" si="12"/>
        <v>3.5092897446445139</v>
      </c>
      <c r="C68" s="120">
        <f t="shared" si="12"/>
        <v>6.4695800421691043</v>
      </c>
      <c r="D68" s="120">
        <f t="shared" si="12"/>
        <v>6.9678112518423507</v>
      </c>
      <c r="E68" s="120">
        <f t="shared" si="12"/>
        <v>7.5266475679544902</v>
      </c>
      <c r="F68" s="120">
        <f t="shared" si="12"/>
        <v>11.522558152011349</v>
      </c>
      <c r="G68" s="304"/>
      <c r="H68" s="304"/>
      <c r="I68" s="304"/>
      <c r="J68" s="304"/>
      <c r="K68" s="304"/>
      <c r="L68" s="304"/>
    </row>
    <row r="69" spans="1:12" ht="13.15">
      <c r="A69" s="133">
        <f t="shared" si="11"/>
        <v>20</v>
      </c>
      <c r="B69" s="120">
        <f t="shared" si="12"/>
        <v>3.395215513030621</v>
      </c>
      <c r="C69" s="120">
        <f t="shared" si="12"/>
        <v>6.5484345651938298</v>
      </c>
      <c r="D69" s="120">
        <f t="shared" si="12"/>
        <v>7.1540736265444709</v>
      </c>
      <c r="E69" s="120">
        <f t="shared" si="12"/>
        <v>7.8561530648735989</v>
      </c>
      <c r="F69" s="120">
        <f t="shared" si="12"/>
        <v>13.48643271286538</v>
      </c>
      <c r="G69" s="304"/>
      <c r="H69" s="304"/>
      <c r="I69" s="304"/>
      <c r="J69" s="304"/>
      <c r="K69" s="304"/>
      <c r="L69" s="304"/>
    </row>
    <row r="70" spans="1:12" ht="13.15">
      <c r="A70" s="133">
        <f t="shared" si="11"/>
        <v>25</v>
      </c>
      <c r="B70" s="120">
        <f t="shared" si="12"/>
        <v>3.3477461291378221</v>
      </c>
      <c r="C70" s="120">
        <f t="shared" si="12"/>
        <v>6.6068391544162859</v>
      </c>
      <c r="D70" s="120">
        <f t="shared" si="12"/>
        <v>7.298997352160943</v>
      </c>
      <c r="E70" s="120">
        <f t="shared" si="12"/>
        <v>8.1253451480192904</v>
      </c>
      <c r="F70" s="120">
        <f t="shared" si="12"/>
        <v>15.519941332664331</v>
      </c>
      <c r="G70" s="304"/>
      <c r="H70" s="304"/>
      <c r="I70" s="304"/>
      <c r="J70" s="304"/>
      <c r="K70" s="304"/>
      <c r="L70" s="304"/>
    </row>
    <row r="71" spans="1:12" ht="13.15">
      <c r="A71" s="133">
        <f t="shared" si="11"/>
        <v>30</v>
      </c>
      <c r="B71" s="120">
        <f t="shared" si="12"/>
        <v>3.3279928301211892</v>
      </c>
      <c r="C71" s="120">
        <f t="shared" si="12"/>
        <v>6.6500972442683297</v>
      </c>
      <c r="D71" s="120">
        <f t="shared" si="12"/>
        <v>7.4117570347331636</v>
      </c>
      <c r="E71" s="120">
        <f t="shared" si="12"/>
        <v>8.3452637178333404</v>
      </c>
      <c r="F71" s="120">
        <f t="shared" si="12"/>
        <v>17.625553060227197</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7.7942548586227964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6.6296148899486136</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6.4207406313289876</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6.219372465642544</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4.4421953719798868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4902319</v>
      </c>
      <c r="D7" t="str">
        <f>Reporting_currency</f>
        <v>CNY</v>
      </c>
      <c r="E7" s="467"/>
      <c r="F7" s="467"/>
      <c r="G7" s="467"/>
    </row>
    <row r="8" spans="2:7">
      <c r="B8" s="97" t="s">
        <v>63</v>
      </c>
      <c r="C8" s="283">
        <f>Normalized_FCF!G19</f>
        <v>2910551.9698010553</v>
      </c>
      <c r="D8" t="str">
        <f>Reporting_currency</f>
        <v>CNY</v>
      </c>
      <c r="E8" s="467"/>
      <c r="F8" s="467"/>
      <c r="G8" s="467"/>
    </row>
    <row r="9" spans="2:7">
      <c r="B9" s="97" t="s">
        <v>54</v>
      </c>
      <c r="C9" s="283">
        <f>Normalized_FCF!C19</f>
        <v>2590789.1611465206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-1.328292424848343E-2</v>
      </c>
      <c r="D12" s="145"/>
      <c r="E12" s="467"/>
      <c r="F12" s="467"/>
      <c r="G12" s="467"/>
    </row>
    <row r="13" spans="2:7">
      <c r="B13" s="136" t="s">
        <v>127</v>
      </c>
      <c r="C13" s="145">
        <f ca="1">(Normalized_FCF!G8/OFFSET(Normalized_FCF!G8, 0, $C$4))^(1/$C$4) - 1</f>
        <v>-8.6152390653333799E-2</v>
      </c>
      <c r="E13" s="467"/>
      <c r="F13" s="467"/>
      <c r="G13" s="467"/>
    </row>
    <row r="14" spans="2:7">
      <c r="B14" s="97" t="s">
        <v>63</v>
      </c>
      <c r="C14" s="145">
        <f ca="1">(Normalized_FCF!G19/OFFSET(Normalized_FCF!G19, 0, $C$4))^(1/$C$4) - 1</f>
        <v>-0.15727112921242259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6.6296148899486136</v>
      </c>
      <c r="F22" s="337">
        <f>1-F23-F24</f>
        <v>0.2</v>
      </c>
      <c r="G22" s="337">
        <f>F22*(1-F$29-F$30)</f>
        <v>0.18</v>
      </c>
    </row>
    <row r="23" spans="2:7">
      <c r="B23" s="310" t="s">
        <v>443</v>
      </c>
      <c r="C23" s="333">
        <v>0.02</v>
      </c>
      <c r="D23" s="334">
        <f>C18</f>
        <v>5</v>
      </c>
      <c r="E23" s="335">
        <f>DCF!E76</f>
        <v>6.4207406313289876</v>
      </c>
      <c r="F23" s="336">
        <v>0.6</v>
      </c>
      <c r="G23" s="337">
        <f t="shared" ref="G23:G24" si="0">F23*(1-F$29-F$30)</f>
        <v>0.53999999999999992</v>
      </c>
    </row>
    <row r="24" spans="2:7">
      <c r="B24" s="310" t="s">
        <v>452</v>
      </c>
      <c r="C24" s="333">
        <v>0.01</v>
      </c>
      <c r="D24" s="334">
        <f>C18</f>
        <v>5</v>
      </c>
      <c r="E24" s="335">
        <f>DCF!E77</f>
        <v>6.219372465642544</v>
      </c>
      <c r="F24" s="336">
        <v>0.2</v>
      </c>
      <c r="G24" s="337">
        <f t="shared" si="0"/>
        <v>0.18</v>
      </c>
    </row>
    <row r="25" spans="2:7">
      <c r="B25" s="142" t="s">
        <v>457</v>
      </c>
      <c r="C25" s="451">
        <f>E23*F23+E24*F24+E22*F22</f>
        <v>6.4222418499156237</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7.7942548586227964</v>
      </c>
      <c r="F29" s="336">
        <v>0.05</v>
      </c>
      <c r="G29" s="337">
        <f>F29</f>
        <v>0.05</v>
      </c>
    </row>
    <row r="30" spans="2:7">
      <c r="B30" s="323" t="s">
        <v>453</v>
      </c>
      <c r="C30" s="333">
        <v>-0.1</v>
      </c>
      <c r="D30" s="334">
        <f>C18</f>
        <v>5</v>
      </c>
      <c r="E30" s="335">
        <f>DCF!E78</f>
        <v>4.4421953719798868</v>
      </c>
      <c r="F30" s="336">
        <v>0.05</v>
      </c>
      <c r="G30" s="337">
        <f>F30</f>
        <v>0.05</v>
      </c>
    </row>
    <row r="31" spans="2:7">
      <c r="E31" s="338"/>
      <c r="F31" s="338"/>
    </row>
    <row r="32" spans="2:7" ht="13.15">
      <c r="B32" s="146" t="s">
        <v>462</v>
      </c>
    </row>
    <row r="33" spans="2:7">
      <c r="B33" s="97" t="s">
        <v>464</v>
      </c>
      <c r="C33" s="156">
        <f>Normalized_FCF!C88*(1-dividend_tax_rate)</f>
        <v>0.24179999999999999</v>
      </c>
      <c r="D33" t="str">
        <f>Market_currency</f>
        <v>HKD</v>
      </c>
      <c r="E33" s="97" t="s">
        <v>461</v>
      </c>
      <c r="F33" s="223">
        <f>Holding_Period</f>
        <v>2</v>
      </c>
    </row>
    <row r="34" spans="2:7">
      <c r="B34" s="97" t="s">
        <v>233</v>
      </c>
      <c r="C34" s="147">
        <f>Market_Price</f>
        <v>3.98</v>
      </c>
      <c r="D34" t="str">
        <f>Market_currency</f>
        <v>HKD</v>
      </c>
      <c r="E34" s="97" t="s">
        <v>460</v>
      </c>
      <c r="F34" s="339">
        <f>RATE(Holding_Period,$C$33,-C34,$C$36)</f>
        <v>0.32175851586770188</v>
      </c>
    </row>
    <row r="35" spans="2:7">
      <c r="B35" s="97" t="s">
        <v>440</v>
      </c>
      <c r="C35" s="329">
        <f>DCF!C11</f>
        <v>6.0252992887029917</v>
      </c>
      <c r="D35" s="97" t="str">
        <f>Market_currency</f>
        <v>HKD</v>
      </c>
      <c r="E35" s="97" t="s">
        <v>460</v>
      </c>
      <c r="F35" s="339">
        <f>RATE(Holding_Period,$C$33,-C35,$C$36)</f>
        <v>6.952575301434466E-2</v>
      </c>
    </row>
    <row r="36" spans="2:7">
      <c r="B36" s="97" t="s">
        <v>441</v>
      </c>
      <c r="C36" s="330">
        <f>E22*G22+E23*G23+E24*G24+E30*G30+E29*G29</f>
        <v>6.3918401764541954</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0.68269686315429268</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6.3923675957201311</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0.30038934884423074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0.24179999999999999</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0.31178600823045277</v>
      </c>
      <c r="D62" s="120">
        <f>C36/(1+F62)^Holding_Period</f>
        <v>3.5071825385208202</v>
      </c>
      <c r="E62" s="341">
        <f>C62+D62</f>
        <v>3.8189685467512731</v>
      </c>
      <c r="F62" s="309">
        <f>Thesis!E22</f>
        <v>0.35</v>
      </c>
      <c r="G62" s="450">
        <f>(1-E62/C36)</f>
        <v>0.40252439965265141</v>
      </c>
    </row>
    <row r="63" spans="2:7" ht="13.15">
      <c r="B63" s="310" t="s">
        <v>314</v>
      </c>
      <c r="C63" s="120">
        <f>PV(F63, Holding_Period, -C58, 0)</f>
        <v>0.34819199999999995</v>
      </c>
      <c r="D63" s="120">
        <f>C36/(1+F63)^Holding_Period</f>
        <v>4.0907777129306853</v>
      </c>
      <c r="E63" s="341">
        <f>C63+D63</f>
        <v>4.4389697129306853</v>
      </c>
      <c r="F63" s="309">
        <f>Thesis!E23</f>
        <v>0.25</v>
      </c>
      <c r="G63" s="450">
        <f>(1-E63/C36)</f>
        <v>0.30552554657379494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0.41005477282098601</v>
      </c>
      <c r="D66" s="120">
        <f>C36/(1+F66)^Holding_Period</f>
        <v>5.1192763357185838</v>
      </c>
      <c r="E66" s="341">
        <f>C66+D66</f>
        <v>5.5293311085395693</v>
      </c>
      <c r="F66" s="309">
        <f>Thesis!E24</f>
        <v>0.1174</v>
      </c>
      <c r="G66" s="450">
        <f>(1-E66/C47)</f>
        <v>0.135010459623503</v>
      </c>
    </row>
    <row r="67" spans="2:7" ht="13.15">
      <c r="B67" s="310" t="s">
        <v>315</v>
      </c>
      <c r="C67" s="120">
        <f>PV(F67, Holding_Period, -C58, 0)</f>
        <v>0.43566857385039198</v>
      </c>
      <c r="D67" s="120">
        <f>C36/(1+F67)^Holding_Period</f>
        <v>5.5568836739241325</v>
      </c>
      <c r="E67" s="341">
        <f>C67+D67</f>
        <v>5.9925522477745243</v>
      </c>
      <c r="F67" s="309">
        <f>Thesis!E25</f>
        <v>7.2499999999999995E-2</v>
      </c>
      <c r="G67" s="450">
        <f>(1-E67/C36)</f>
        <v>6.2468384323897785E-2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中国飞鹤</v>
      </c>
      <c r="D4" s="358"/>
      <c r="E4" s="444" t="s">
        <v>545</v>
      </c>
      <c r="F4" s="447" t="str">
        <f>Thesis!F4</f>
        <v>INT</v>
      </c>
    </row>
    <row r="5" spans="1:10">
      <c r="B5" s="352" t="s">
        <v>366</v>
      </c>
      <c r="C5" s="364" t="str">
        <f>Thesis!C5</f>
        <v>6186.HK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3.98</v>
      </c>
      <c r="D8" s="352" t="s">
        <v>534</v>
      </c>
      <c r="E8" s="369">
        <f>Scenarios!F34</f>
        <v>0.32175851586770188</v>
      </c>
    </row>
    <row r="9" spans="1:10">
      <c r="B9" s="360" t="s">
        <v>363</v>
      </c>
      <c r="C9" s="362">
        <f>Common_Shares</f>
        <v>9065251704</v>
      </c>
    </row>
    <row r="10" spans="1:10">
      <c r="B10" s="360" t="s">
        <v>369</v>
      </c>
      <c r="C10" s="366">
        <f>投资主题!C8*Common_Shares/1000000</f>
        <v>36079.701781919997</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540</v>
      </c>
      <c r="C17" s="434">
        <f>Terminal_Growth</f>
        <v>0</v>
      </c>
      <c r="D17" s="360" t="s">
        <v>341</v>
      </c>
      <c r="E17" s="353" t="str">
        <f>Reporting_currency</f>
        <v>CNY</v>
      </c>
    </row>
    <row r="18" spans="1:6">
      <c r="B18" s="352" t="str">
        <f>"预期股权价值 ("&amp;C7&amp;") :"</f>
        <v>预期股权价值 (HKD) :</v>
      </c>
      <c r="C18" s="368">
        <f>C125</f>
        <v>6.3918401764541954</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3.8189685467512731</v>
      </c>
      <c r="D22" s="374" t="s">
        <v>446</v>
      </c>
      <c r="E22" s="375">
        <f>Thesis!E22</f>
        <v>0.35</v>
      </c>
    </row>
    <row r="23" spans="1:6">
      <c r="B23" s="352" t="s">
        <v>343</v>
      </c>
      <c r="C23" s="376">
        <f>E141</f>
        <v>4.4389697129306853</v>
      </c>
      <c r="D23" s="374" t="s">
        <v>447</v>
      </c>
      <c r="E23" s="377">
        <f>Thesis!E23</f>
        <v>0.25</v>
      </c>
    </row>
    <row r="24" spans="1:6">
      <c r="B24" s="352" t="s">
        <v>345</v>
      </c>
      <c r="C24" s="376">
        <f>E144</f>
        <v>5.5293311085395693</v>
      </c>
      <c r="D24" s="374" t="s">
        <v>449</v>
      </c>
      <c r="E24" s="377">
        <f>Thesis!E24</f>
        <v>0.1174</v>
      </c>
    </row>
    <row r="25" spans="1:6">
      <c r="B25" s="352" t="s">
        <v>344</v>
      </c>
      <c r="C25" s="376">
        <f>E145</f>
        <v>5.9925522477745243</v>
      </c>
      <c r="D25" s="374" t="s">
        <v>448</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3585603</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-12182</v>
      </c>
      <c r="D41" s="352" t="str">
        <f>Reporting_currency</f>
        <v>CNY</v>
      </c>
    </row>
    <row r="43" spans="2:6">
      <c r="B43" s="468" t="s">
        <v>509</v>
      </c>
      <c r="C43" s="468"/>
      <c r="D43" s="468"/>
      <c r="E43" s="468"/>
      <c r="F43" s="468"/>
    </row>
    <row r="44" spans="2:6">
      <c r="B44" s="381" t="s">
        <v>268</v>
      </c>
      <c r="C44" s="385">
        <f>Normalized_FCF!C46</f>
        <v>15205.2148620272</v>
      </c>
      <c r="D44" s="352" t="str">
        <f>Reporting_currency</f>
        <v>CNY</v>
      </c>
      <c r="E44" s="380"/>
      <c r="F44" s="380"/>
    </row>
    <row r="45" spans="2:6">
      <c r="B45" s="381" t="s">
        <v>269</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510</v>
      </c>
    </row>
    <row r="49" spans="2:6">
      <c r="B49" s="381" t="s">
        <v>223</v>
      </c>
      <c r="C49" s="382">
        <f>Normalized_FCF!C13</f>
        <v>-67196</v>
      </c>
      <c r="D49" s="352" t="str">
        <f>Reporting_currency</f>
        <v>CNY</v>
      </c>
    </row>
    <row r="51" spans="2:6">
      <c r="B51" s="468" t="s">
        <v>511</v>
      </c>
      <c r="C51" s="468"/>
      <c r="D51" s="468"/>
      <c r="E51" s="468"/>
      <c r="F51" s="468"/>
    </row>
    <row r="52" spans="2:6">
      <c r="B52" s="381" t="s">
        <v>502</v>
      </c>
      <c r="C52" s="382">
        <f>Normalized_FCF!C12</f>
        <v>-885995.0537155068</v>
      </c>
      <c r="D52" s="352" t="str">
        <f>Reporting_currency</f>
        <v>CNY</v>
      </c>
    </row>
    <row r="54" spans="2:6">
      <c r="B54" s="468" t="s">
        <v>512</v>
      </c>
      <c r="C54" s="471"/>
      <c r="D54" s="471"/>
      <c r="E54" s="471"/>
      <c r="F54" s="471"/>
    </row>
    <row r="55" spans="2:6">
      <c r="B55" s="381" t="s">
        <v>207</v>
      </c>
      <c r="C55" s="382">
        <f>Normalized_FCF!C17</f>
        <v>0</v>
      </c>
      <c r="D55" s="352" t="str">
        <f>Reporting_currency</f>
        <v>CNY</v>
      </c>
    </row>
    <row r="57" spans="2:6">
      <c r="B57" s="469" t="s">
        <v>513</v>
      </c>
      <c r="C57" s="469"/>
      <c r="D57" s="469"/>
      <c r="E57" s="469"/>
      <c r="F57" s="469"/>
    </row>
    <row r="58" spans="2:6">
      <c r="B58" s="469" t="s">
        <v>514</v>
      </c>
      <c r="C58" s="469"/>
      <c r="D58" s="469"/>
      <c r="E58" s="469"/>
      <c r="F58" s="469"/>
    </row>
    <row r="60" spans="2:6">
      <c r="B60" s="381" t="s">
        <v>374</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303</v>
      </c>
      <c r="C62" s="387">
        <f>Normalized_FCF!C124</f>
        <v>7.8493956032426218E-2</v>
      </c>
      <c r="F62" s="388"/>
    </row>
    <row r="63" spans="2:6">
      <c r="B63" s="386" t="s">
        <v>333</v>
      </c>
      <c r="C63" s="387">
        <f>Normalized_FCF!C92</f>
        <v>6.0753768844221102E-2</v>
      </c>
      <c r="E63" s="381" t="s">
        <v>375</v>
      </c>
      <c r="F63" s="389">
        <f>Normalized_FCF!C90</f>
        <v>0.84606570650356128</v>
      </c>
    </row>
    <row r="65" spans="1:6">
      <c r="B65" s="378" t="s">
        <v>378</v>
      </c>
      <c r="C65" s="390" t="s">
        <v>328</v>
      </c>
      <c r="D65" s="390" t="s">
        <v>376</v>
      </c>
    </row>
    <row r="66" spans="1:6">
      <c r="B66" s="381" t="s">
        <v>327</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482</v>
      </c>
      <c r="B71" s="354"/>
      <c r="C71" s="354"/>
      <c r="D71" s="354"/>
      <c r="E71" s="354"/>
      <c r="F71" s="354"/>
    </row>
    <row r="72" spans="1:6">
      <c r="A72" s="394"/>
    </row>
    <row r="73" spans="1:6">
      <c r="A73" s="395"/>
      <c r="B73" s="469" t="s">
        <v>515</v>
      </c>
      <c r="C73" s="469"/>
      <c r="D73" s="469"/>
      <c r="E73" s="469"/>
      <c r="F73" s="469"/>
    </row>
    <row r="74" spans="1:6">
      <c r="B74" s="470" t="s">
        <v>485</v>
      </c>
      <c r="C74" s="470"/>
      <c r="D74" s="470"/>
      <c r="E74" s="470"/>
      <c r="F74" s="470"/>
    </row>
    <row r="76" spans="1:6">
      <c r="B76" s="378" t="s">
        <v>373</v>
      </c>
    </row>
    <row r="77" spans="1:6">
      <c r="B77" s="469" t="s">
        <v>516</v>
      </c>
      <c r="C77" s="469"/>
      <c r="D77" s="469"/>
      <c r="E77" s="469"/>
      <c r="F77" s="469"/>
    </row>
    <row r="78" spans="1:6">
      <c r="B78" s="352" t="s">
        <v>215</v>
      </c>
      <c r="C78" s="382">
        <f>DCF!F4</f>
        <v>-845013</v>
      </c>
      <c r="D78" s="352" t="str">
        <f>Reporting_currency</f>
        <v>CNY</v>
      </c>
    </row>
    <row r="79" spans="1:6">
      <c r="B79" s="381" t="s">
        <v>235</v>
      </c>
      <c r="C79" s="396">
        <f>C78*scaling_factor*Exchange_Rate/Common_Shares</f>
        <v>-0.10189446859238584</v>
      </c>
      <c r="D79" s="352" t="str">
        <f>Market_currency</f>
        <v>HKD</v>
      </c>
    </row>
    <row r="80" spans="1:6">
      <c r="B80" s="391" t="s">
        <v>310</v>
      </c>
      <c r="C80" s="397">
        <f>IF(BS!G31/BS!G27&gt;300%,"nm",BS!G31/BS!G27)</f>
        <v>3.1120102042901991E-2</v>
      </c>
    </row>
    <row r="81" spans="1:6">
      <c r="B81" s="391" t="s">
        <v>312</v>
      </c>
      <c r="C81" s="398">
        <f>IF(BS!C50&gt;30,"nm",BS!C50)</f>
        <v>0.2356683101838101</v>
      </c>
    </row>
    <row r="83" spans="1:6">
      <c r="B83" s="352" t="s">
        <v>517</v>
      </c>
    </row>
    <row r="84" spans="1:6">
      <c r="B84" s="352" t="s">
        <v>224</v>
      </c>
      <c r="C84" s="382">
        <f>DCF!F5</f>
        <v>15073642.522995466</v>
      </c>
      <c r="D84" s="352" t="str">
        <f>Reporting_currency</f>
        <v>CNY</v>
      </c>
    </row>
    <row r="85" spans="1:6">
      <c r="B85" s="391" t="s">
        <v>487</v>
      </c>
      <c r="C85" s="399">
        <f>BS!C66</f>
        <v>17607845</v>
      </c>
      <c r="D85" s="400" t="str">
        <f>Reporting_currency</f>
        <v>CNY</v>
      </c>
    </row>
    <row r="86" spans="1:6">
      <c r="B86" s="381" t="s">
        <v>236</v>
      </c>
      <c r="C86" s="396">
        <f>C84*scaling_factor*Exchange_Rate/Common_Shares</f>
        <v>1.8176297815917777</v>
      </c>
      <c r="D86" s="352" t="str">
        <f>Market_currency</f>
        <v>HKD</v>
      </c>
    </row>
    <row r="88" spans="1:6">
      <c r="B88" s="352" t="s">
        <v>518</v>
      </c>
    </row>
    <row r="89" spans="1:6">
      <c r="B89" s="352" t="s">
        <v>217</v>
      </c>
      <c r="C89" s="382">
        <f>DCF!F6</f>
        <v>4283</v>
      </c>
      <c r="D89" s="352" t="str">
        <f>Reporting_currency</f>
        <v>CNY</v>
      </c>
    </row>
    <row r="90" spans="1:6">
      <c r="B90" s="381" t="s">
        <v>237</v>
      </c>
      <c r="C90" s="396">
        <f>C89*scaling_factor*Exchange_Rate/Common_Shares</f>
        <v>5.1645833730509284E-4</v>
      </c>
      <c r="D90" s="352" t="str">
        <f>Market_currency</f>
        <v>HKD</v>
      </c>
    </row>
    <row r="92" spans="1:6">
      <c r="B92" s="381" t="s">
        <v>486</v>
      </c>
      <c r="C92" s="396">
        <f>DCF!F8</f>
        <v>1.7162517713366969</v>
      </c>
      <c r="D92" s="352" t="str">
        <f>Market_currency</f>
        <v>HKD</v>
      </c>
    </row>
    <row r="94" spans="1:6" ht="13.9">
      <c r="A94" s="354" t="s">
        <v>488</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495</v>
      </c>
    </row>
    <row r="111" spans="1:6">
      <c r="A111" s="394"/>
      <c r="B111" s="384" t="s">
        <v>492</v>
      </c>
      <c r="C111" s="403">
        <f>BS!D47</f>
        <v>1.2421607466941946</v>
      </c>
      <c r="D111" s="352" t="str">
        <f>Market_currency</f>
        <v>HKD</v>
      </c>
    </row>
    <row r="112" spans="1:6">
      <c r="A112" s="394"/>
      <c r="B112" s="381" t="s">
        <v>379</v>
      </c>
      <c r="C112" s="403">
        <f>DCF!C11</f>
        <v>6.0252992887029917</v>
      </c>
      <c r="D112" s="352" t="str">
        <f>Market_currency</f>
        <v>HKD</v>
      </c>
    </row>
    <row r="113" spans="1:6">
      <c r="A113" s="394"/>
    </row>
    <row r="114" spans="1:6">
      <c r="A114" s="394"/>
      <c r="B114" s="469" t="s">
        <v>523</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7.79 HKD</v>
      </c>
      <c r="F118" s="408">
        <f>DCF!F74</f>
        <v>0.05</v>
      </c>
    </row>
    <row r="119" spans="1:6">
      <c r="A119" s="394"/>
      <c r="B119" s="409" t="str">
        <f>DCF!B75</f>
        <v>Optimistic</v>
      </c>
      <c r="C119" s="410">
        <f>DCF!C75</f>
        <v>0.03</v>
      </c>
      <c r="D119" s="411">
        <f>DCF!D75</f>
        <v>5</v>
      </c>
      <c r="E119" s="407" t="str">
        <f>ROUND(DCF!E75,2)&amp;" "&amp;Market_currency</f>
        <v>6.63 HKD</v>
      </c>
      <c r="F119" s="412">
        <f>DCF!F75</f>
        <v>0.18</v>
      </c>
    </row>
    <row r="120" spans="1:6">
      <c r="B120" s="409" t="str">
        <f>DCF!B76</f>
        <v>Base</v>
      </c>
      <c r="C120" s="410">
        <f>DCF!C76</f>
        <v>0.02</v>
      </c>
      <c r="D120" s="411">
        <f>DCF!D76</f>
        <v>5</v>
      </c>
      <c r="E120" s="407" t="str">
        <f>ROUND(DCF!E76,2)&amp;" "&amp;Market_currency</f>
        <v>6.42 HKD</v>
      </c>
      <c r="F120" s="412">
        <f>DCF!F76</f>
        <v>0.53999999999999992</v>
      </c>
    </row>
    <row r="121" spans="1:6">
      <c r="B121" s="409" t="str">
        <f>DCF!B77</f>
        <v>Pessimistic</v>
      </c>
      <c r="C121" s="410">
        <f>DCF!C77</f>
        <v>0.01</v>
      </c>
      <c r="D121" s="411">
        <f>DCF!D77</f>
        <v>5</v>
      </c>
      <c r="E121" s="407" t="str">
        <f>ROUND(DCF!E77,2)&amp;" "&amp;Market_currency</f>
        <v>6.22 HKD</v>
      </c>
      <c r="F121" s="412">
        <f>DCF!F77</f>
        <v>0.18</v>
      </c>
    </row>
    <row r="122" spans="1:6">
      <c r="B122" s="409" t="str">
        <f>DCF!B78</f>
        <v>Devil's advocate</v>
      </c>
      <c r="C122" s="410">
        <f>DCF!C78</f>
        <v>-0.1</v>
      </c>
      <c r="D122" s="411">
        <f>DCF!D78</f>
        <v>5</v>
      </c>
      <c r="E122" s="407" t="str">
        <f>ROUND(DCF!E78,2)&amp;" "&amp;Market_currency</f>
        <v>4.44 HKD</v>
      </c>
      <c r="F122" s="412">
        <f>DCF!F78</f>
        <v>0.05</v>
      </c>
    </row>
    <row r="124" spans="1:6">
      <c r="B124" s="468" t="s">
        <v>524</v>
      </c>
      <c r="C124" s="468"/>
      <c r="D124" s="468"/>
      <c r="E124" s="468"/>
      <c r="F124" s="468"/>
    </row>
    <row r="125" spans="1:6">
      <c r="B125" s="381" t="s">
        <v>218</v>
      </c>
      <c r="C125" s="413">
        <f>Scenarios!C36</f>
        <v>6.3918401764541954</v>
      </c>
      <c r="D125" s="352" t="str">
        <f>Market_currency</f>
        <v>HKD</v>
      </c>
    </row>
    <row r="127" spans="1:6">
      <c r="B127" s="473" t="s">
        <v>525</v>
      </c>
      <c r="C127" s="473"/>
      <c r="D127" s="473"/>
      <c r="E127" s="473"/>
      <c r="F127" s="473"/>
    </row>
    <row r="129" spans="1:6" ht="13.9">
      <c r="A129" s="354" t="s">
        <v>498</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0.24179999999999999</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0.31178600823045277</v>
      </c>
      <c r="D140" s="418">
        <f>Scenarios!D62</f>
        <v>3.5071825385208202</v>
      </c>
      <c r="E140" s="419">
        <f>Scenarios!E62</f>
        <v>3.8189685467512731</v>
      </c>
      <c r="F140" s="420">
        <f>E22</f>
        <v>0.35</v>
      </c>
    </row>
    <row r="141" spans="1:6">
      <c r="B141" s="417" t="s">
        <v>314</v>
      </c>
      <c r="C141" s="418">
        <f>Scenarios!C63</f>
        <v>0.34819199999999995</v>
      </c>
      <c r="D141" s="418">
        <f>Scenarios!D63</f>
        <v>4.0907777129306853</v>
      </c>
      <c r="E141" s="419">
        <f>Scenarios!E63</f>
        <v>4.4389697129306853</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0.41005477282098601</v>
      </c>
      <c r="D144" s="418">
        <f>Scenarios!D66</f>
        <v>5.1192763357185838</v>
      </c>
      <c r="E144" s="419">
        <f>Scenarios!E66</f>
        <v>5.5293311085395693</v>
      </c>
      <c r="F144" s="420">
        <f>E24</f>
        <v>0.1174</v>
      </c>
    </row>
    <row r="145" spans="1:6">
      <c r="B145" s="417" t="s">
        <v>315</v>
      </c>
      <c r="C145" s="418">
        <f>Scenarios!C67</f>
        <v>0.43566857385039198</v>
      </c>
      <c r="D145" s="418">
        <f>Scenarios!D67</f>
        <v>5.5568836739241325</v>
      </c>
      <c r="E145" s="419">
        <f>Scenarios!E67</f>
        <v>5.9925522477745243</v>
      </c>
      <c r="F145" s="420">
        <f>Scenarios!F67</f>
        <v>7.2499999999999995E-2</v>
      </c>
    </row>
    <row r="147" spans="1:6" ht="13.9">
      <c r="A147" s="354" t="s">
        <v>481</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D3CA-A3C6-44A1-B68F-4C39E6E16D28}">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