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000AD3-31D8-43D7-8DBC-9E5BB7C89B8C}"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<sst xmlns="http://schemas.openxmlformats.org/spreadsheetml/2006/main" count="766" uniqueCount="555">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</sst>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9" sqref="C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3.86</v>
      </c>
      <c r="E8" s="32"/>
    </row>
    <row r="9" spans="1:9">
      <c r="B9" s="4" t="s">
        <v>346</v>
      </c>
      <c r="C9" s="48">
        <v>9065251704</v>
      </c>
    </row>
    <row r="10" spans="1:9">
      <c r="B10" s="4" t="s">
        <v>352</v>
      </c>
      <c r="C10" s="33">
        <f>Thesis!C8*Common_Shares/1000000</f>
        <v>34991.871577440004</v>
      </c>
      <c r="D10" s="1" t="s">
        <v>531</v>
      </c>
      <c r="E10" s="310">
        <f>Scenarios!F34</f>
        <v>0.23694116234606433</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1.09355365</v>
      </c>
    </row>
    <row r="17" spans="1:6">
      <c r="B17" s="1" t="s">
        <v>535</v>
      </c>
      <c r="C17" s="423">
        <v>0</v>
      </c>
      <c r="D17" s="4" t="s">
        <v>274</v>
      </c>
      <c r="E17" s="227" t="s">
        <v>546</v>
      </c>
    </row>
    <row r="18" spans="1:6">
      <c r="B18" s="1" t="str">
        <f>"Expected Equity Value ("&amp;C7&amp;") :"</f>
        <v>Expected Equity Value (HKD) :</v>
      </c>
      <c r="C18" s="258">
        <f>C125</f>
        <v>6.3943869881745883</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3.3891802254695973</v>
      </c>
      <c r="D22" s="38" t="s">
        <v>409</v>
      </c>
      <c r="E22" s="79">
        <v>0.29465259038036606</v>
      </c>
    </row>
    <row r="23" spans="1:6">
      <c r="B23" s="1" t="s">
        <v>313</v>
      </c>
      <c r="C23" s="262">
        <f>E141</f>
        <v>4.202256884081196</v>
      </c>
      <c r="D23" s="38" t="s">
        <v>410</v>
      </c>
      <c r="E23" s="451">
        <v>0.20075184365903009</v>
      </c>
    </row>
    <row r="24" spans="1:6">
      <c r="B24" s="1" t="s">
        <v>315</v>
      </c>
      <c r="C24" s="262">
        <f>E144</f>
        <v>5.1666107665847232</v>
      </c>
      <c r="D24" s="38" t="s">
        <v>411</v>
      </c>
      <c r="E24" s="451">
        <v>0.1174</v>
      </c>
    </row>
    <row r="25" spans="1:6">
      <c r="B25" s="1" t="s">
        <v>314</v>
      </c>
      <c r="C25" s="262">
        <f>E145</f>
        <v>5.8149803014423274</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3585603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-12182</v>
      </c>
      <c r="D41" s="1" t="str">
        <f>Reporting_currency</f>
        <v>CNY</v>
      </c>
    </row>
    <row r="43" spans="2:6">
      <c r="B43" s="460" t="s">
        <v>205</v>
      </c>
      <c r="C43" s="460"/>
      <c r="D43" s="460"/>
      <c r="E43" s="460"/>
      <c r="F43" s="460"/>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0" t="s">
        <v>206</v>
      </c>
      <c r="C51" s="460"/>
      <c r="D51" s="460"/>
      <c r="E51" s="460"/>
      <c r="F51" s="460"/>
    </row>
    <row r="52" spans="2:6">
      <c r="B52" s="44" t="s">
        <v>204</v>
      </c>
      <c r="C52" s="292">
        <f>Normalized_FCF!C12</f>
        <v>-885995.0537155068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8.0966430654678623E-2</v>
      </c>
      <c r="F62" s="263"/>
    </row>
    <row r="63" spans="2:6">
      <c r="B63" s="206" t="s">
        <v>332</v>
      </c>
      <c r="C63" s="89">
        <f>Normalized_FCF!C92</f>
        <v>6.2642487046632125E-2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-845013</v>
      </c>
      <c r="D78" s="1" t="str">
        <f>Reporting_currency</f>
        <v>CNY</v>
      </c>
    </row>
    <row r="79" spans="1:6">
      <c r="A79" s="191"/>
      <c r="B79" s="44" t="s">
        <v>234</v>
      </c>
      <c r="C79" s="203">
        <f>C78*scaling_factor*Exchange_Rate/Common_Shares</f>
        <v>-0.10193506817242701</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1.8183540113446035</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5.166641187561668E-4</v>
      </c>
      <c r="D90" s="1" t="str">
        <f>Market_currency</f>
        <v>HKD</v>
      </c>
    </row>
    <row r="91" spans="1:6">
      <c r="A91" s="191"/>
    </row>
    <row r="92" spans="1:6">
      <c r="A92" s="191"/>
      <c r="B92" s="44" t="s">
        <v>473</v>
      </c>
      <c r="C92" s="219">
        <f>DCF!F8</f>
        <v>1.7169356072909325</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1.2426556823404187</v>
      </c>
      <c r="D111" s="1" t="str">
        <f>Market_currency</f>
        <v>HKD</v>
      </c>
    </row>
    <row r="112" spans="2:6">
      <c r="B112" s="44" t="s">
        <v>323</v>
      </c>
      <c r="C112" s="219">
        <f>DCF!C11</f>
        <v>6.027700053181408</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7.8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0" t="s">
        <v>357</v>
      </c>
      <c r="C124" s="460"/>
      <c r="D124" s="460"/>
      <c r="E124" s="460"/>
      <c r="F124" s="460"/>
    </row>
    <row r="125" spans="2:6">
      <c r="B125" s="193" t="s">
        <v>218</v>
      </c>
      <c r="C125" s="197">
        <f>Scenarios!C36</f>
        <v>6.3943869881745883</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0.44245811110342687</v>
      </c>
      <c r="D140" s="340">
        <f>Scenarios!D62</f>
        <v>2.9467221143661706</v>
      </c>
      <c r="E140" s="341">
        <f>Scenarios!E62</f>
        <v>3.3891802254695973</v>
      </c>
      <c r="F140" s="342">
        <f>E22</f>
        <v>0.29465259038036606</v>
      </c>
    </row>
    <row r="141" spans="1:6">
      <c r="B141" s="343" t="s">
        <v>313</v>
      </c>
      <c r="C141" s="340">
        <f>Scenarios!C63</f>
        <v>0.50874815444966315</v>
      </c>
      <c r="D141" s="340">
        <f>Scenarios!D63</f>
        <v>3.6935087296315325</v>
      </c>
      <c r="E141" s="341">
        <f>Scenarios!E63</f>
        <v>4.202256884081196</v>
      </c>
      <c r="F141" s="342">
        <f>Scenarios!F63</f>
        <v>0.20075184365903009</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4.583243330732758</v>
      </c>
      <c r="E144" s="341">
        <f>Scenarios!E66</f>
        <v>5.1666107665847232</v>
      </c>
      <c r="F144" s="342">
        <f>E24</f>
        <v>0.1174</v>
      </c>
    </row>
    <row r="145" spans="1:6">
      <c r="B145" s="343" t="s">
        <v>314</v>
      </c>
      <c r="C145" s="340">
        <f>Scenarios!C67</f>
        <v>0.63167232993043521</v>
      </c>
      <c r="D145" s="340">
        <f>Scenarios!D67</f>
        <v>5.1833079715118924</v>
      </c>
      <c r="E145" s="341">
        <f>Scenarios!E67</f>
        <v>5.8149803014423274</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3.0894345349749708</v>
      </c>
      <c r="D47" s="134">
        <f>D46*H1/Common_Shares*Exchange_Rate</f>
        <v>1.2426556823404187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924067.05044745002</v>
      </c>
      <c r="D86" s="203">
        <f>C86*scaling_factor/Common_Shares</f>
        <v>0.10193506817242701</v>
      </c>
      <c r="E86" s="217" t="str">
        <f>Market_currency</f>
        <v>HKD</v>
      </c>
    </row>
    <row r="87" spans="2:8" ht="15" customHeight="1">
      <c r="B87" s="215" t="s">
        <v>240</v>
      </c>
      <c r="C87" s="73">
        <f>DCF!F5*Exchange_Rate</f>
        <v>16483836.799816903</v>
      </c>
      <c r="D87" s="203">
        <f>C87*scaling_factor/Common_Shares</f>
        <v>1.8183540113446035</v>
      </c>
      <c r="E87" s="217" t="str">
        <f>Market_currency</f>
        <v>HKD</v>
      </c>
    </row>
    <row r="88" spans="2:8" ht="15" customHeight="1">
      <c r="B88" s="216" t="s">
        <v>159</v>
      </c>
      <c r="C88" s="73">
        <f>DCF!F6*Exchange_Rate</f>
        <v>4683.6902829500004</v>
      </c>
      <c r="D88" s="203">
        <f>C88*scaling_factor/Common_Shares</f>
        <v>5.1666411875616691E-4</v>
      </c>
      <c r="E88" s="217" t="str">
        <f>Market_currency</f>
        <v>HKD</v>
      </c>
    </row>
    <row r="89" spans="2:8" ht="15" customHeight="1">
      <c r="B89" s="77" t="s">
        <v>244</v>
      </c>
      <c r="C89" s="162">
        <f>SUM(C86:C88)</f>
        <v>17412587.5405473</v>
      </c>
      <c r="D89" s="219">
        <f>SUM(D86:D88)</f>
        <v>1.9208057436357866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6.2642487046632125E-2</v>
      </c>
      <c r="E92" s="241"/>
      <c r="G92" s="22">
        <f t="shared" ref="G92:Q92" si="38">IF(G$4="","",(G88*(1-dividend_tax_rate))/Market_Price)</f>
        <v>8.4559585492227987E-2</v>
      </c>
      <c r="H92" s="22">
        <f t="shared" si="38"/>
        <v>7.339378238341969E-2</v>
      </c>
      <c r="I92" s="22">
        <f t="shared" si="38"/>
        <v>7.3886010362694307E-2</v>
      </c>
      <c r="J92" s="22">
        <f t="shared" si="38"/>
        <v>0.12191709844559587</v>
      </c>
      <c r="K92" s="22">
        <f t="shared" si="38"/>
        <v>7.6709844559585502E-2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0.31253042232705952</v>
      </c>
      <c r="D123" s="26"/>
      <c r="E123" s="238"/>
      <c r="F123" s="26"/>
      <c r="G123" s="159">
        <f t="shared" ref="G123:Q123" si="48">IF(G$4="","",G14*$C$3/Common_Shares*Exchange_Rate)</f>
        <v>0.35110384510186504</v>
      </c>
      <c r="H123" s="159">
        <f t="shared" si="48"/>
        <v>0.31541567949844324</v>
      </c>
      <c r="I123" s="159">
        <f t="shared" si="48"/>
        <v>0.49437880177393584</v>
      </c>
      <c r="J123" s="159">
        <f t="shared" si="48"/>
        <v>0.63021188551747576</v>
      </c>
      <c r="K123" s="159">
        <f t="shared" si="48"/>
        <v>0.54718940210773659</v>
      </c>
      <c r="L123" s="159">
        <f t="shared" si="48"/>
        <v>0.36522206069968383</v>
      </c>
      <c r="M123" s="159">
        <f t="shared" si="48"/>
        <v>0.21381848404732945</v>
      </c>
      <c r="N123" s="159">
        <f t="shared" si="48"/>
        <v>9.3919838028454383E-2</v>
      </c>
      <c r="O123" s="159">
        <f t="shared" si="48"/>
        <v>2.6299325516345309E-2</v>
      </c>
      <c r="P123" s="159" t="str">
        <f t="shared" si="48"/>
        <v/>
      </c>
      <c r="Q123" s="159" t="str">
        <f t="shared" si="48"/>
        <v/>
      </c>
    </row>
    <row r="124" spans="1:17" ht="15.75" customHeight="1">
      <c r="A124" s="10"/>
      <c r="B124" s="26" t="s">
        <v>226</v>
      </c>
      <c r="C124" s="74">
        <f>C19*Exchange_Rate*$C$3/(Market_Price*Common_Shares)</f>
        <v>8.0966430654678623E-2</v>
      </c>
      <c r="D124" s="26"/>
      <c r="E124" s="238"/>
      <c r="F124" s="26"/>
      <c r="G124" s="74">
        <f t="shared" ref="G124" si="49">IF(G$4="","",G123/Market_Price)</f>
        <v>9.0959545363177477E-2</v>
      </c>
      <c r="H124" s="74">
        <f t="shared" ref="H124" si="50">IF(H$4="","",H123/Market_Price)</f>
        <v>8.1713906605814318E-2</v>
      </c>
      <c r="I124" s="74">
        <f t="shared" ref="I124" si="51">IF(I$4="","",I123/Market_Price)</f>
        <v>0.12807740978599375</v>
      </c>
      <c r="J124" s="74">
        <f t="shared" ref="J124" si="52">IF(J$4="","",J123/Market_Price)</f>
        <v>0.16326732785426834</v>
      </c>
      <c r="K124" s="74">
        <f t="shared" ref="K124" si="53">IF(K$4="","",K123/Market_Price)</f>
        <v>0.1417589124631442</v>
      </c>
      <c r="L124" s="74">
        <f t="shared" ref="L124" si="54">IF(L$4="","",L123/Market_Price)</f>
        <v>9.4617114170902544E-2</v>
      </c>
      <c r="M124" s="74">
        <f t="shared" ref="M124" si="55">IF(M$4="","",M123/Market_Price)</f>
        <v>5.5393389649567214E-2</v>
      </c>
      <c r="N124" s="74">
        <f t="shared" ref="N124" si="56">IF(N$4="","",N123/Market_Price)</f>
        <v>2.4331564256076264E-2</v>
      </c>
      <c r="O124" s="74">
        <f t="shared" ref="O124" si="57">IF(O$4="","",O123/Market_Price)</f>
        <v>6.8132967658925672E-3</v>
      </c>
      <c r="P124" s="74" t="str">
        <f t="shared" ref="P124" si="58">IF(P$4="","",P123/Market_Price)</f>
        <v/>
      </c>
      <c r="Q124" s="74" t="str">
        <f t="shared" ref="Q124" si="59">IF(Q$4="","",Q123/Market_Price)</f>
        <v/>
      </c>
    </row>
    <row r="125" spans="1:17" ht="15.75" customHeight="1">
      <c r="B125" s="2" t="s">
        <v>306</v>
      </c>
      <c r="C125" s="151"/>
      <c r="G125" s="22">
        <f>IF(G$4="","",(Data!C47*$C$3)/(Market_Price*Common_Shares))</f>
        <v>0.1044276809233573</v>
      </c>
      <c r="H125" s="22">
        <f>IF(H$4="","",(Data!D47*$C$3)/(Market_Price*Common_Shares))</f>
        <v>9.4031895170801877E-2</v>
      </c>
      <c r="I125" s="22">
        <f>IF(I$4="","",(Data!E47*$C$3)/(Market_Price*Common_Shares))</f>
        <v>0.14140729766481391</v>
      </c>
      <c r="J125" s="22">
        <f>IF(J$4="","",(Data!F47*$C$3)/(Market_Price*Common_Shares))</f>
        <v>0.1976143512271627</v>
      </c>
      <c r="K125" s="22">
        <f>IF(K$4="","",(Data!G47*$C$3)/(Market_Price*Common_Shares))</f>
        <v>0.21252455684006777</v>
      </c>
      <c r="L125" s="22">
        <f>IF(L$4="","",(Data!H47*$C$3)/(Market_Price*Common_Shares))</f>
        <v>0.11244259945606067</v>
      </c>
      <c r="M125" s="22">
        <f>IF(M$4="","",(Data!I47*$C$3)/(Market_Price*Common_Shares))</f>
        <v>6.4079281813712086E-2</v>
      </c>
      <c r="N125" s="22">
        <f>IF(N$4="","",(Data!J47*$C$3)/(Market_Price*Common_Shares))</f>
        <v>3.3157014692178459E-2</v>
      </c>
      <c r="O125" s="22">
        <f>IF(O$4="","",(Data!K47*$C$3)/(Market_Price*Common_Shares))</f>
        <v>1.160703848324177E-2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1.7169356072909325</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1.09355365</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54642618.178303652</v>
      </c>
      <c r="D10" t="str">
        <f>Market_currency</f>
        <v>HKD</v>
      </c>
      <c r="H10" s="315" t="s">
        <v>398</v>
      </c>
      <c r="I10" s="313">
        <f>Normalized_FCF!C41</f>
        <v>0.25</v>
      </c>
      <c r="N10" s="311"/>
      <c r="O10" s="311"/>
    </row>
    <row r="11" spans="2:15" ht="13.15">
      <c r="B11" s="136" t="s">
        <v>429</v>
      </c>
      <c r="C11" s="108">
        <f>(C10*scaling_factor)/Common_Shares</f>
        <v>6.027700053181408</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6.3949146175893299</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6.027700053181408</v>
      </c>
      <c r="C69" s="119">
        <f>C11</f>
        <v>6.027700053181408</v>
      </c>
      <c r="D69" s="119">
        <f>C11</f>
        <v>6.027700053181408</v>
      </c>
      <c r="E69" s="119">
        <f>C11</f>
        <v>6.027700053181408</v>
      </c>
      <c r="F69" s="119">
        <f>C11</f>
        <v>6.027700053181408</v>
      </c>
      <c r="G69" s="303"/>
      <c r="H69" s="303"/>
      <c r="I69" s="303"/>
      <c r="J69" s="303"/>
      <c r="K69" s="303"/>
      <c r="L69" s="303"/>
    </row>
    <row r="70" spans="1:21" ht="13.15">
      <c r="A70" s="131">
        <f>A56</f>
        <v>5</v>
      </c>
      <c r="B70" s="119">
        <f t="shared" ref="B70:F74" si="11">(B56+FV_adjustments)/Common_Shares*scaling_factor*Exchange_Rate</f>
        <v>4.4439653529126559</v>
      </c>
      <c r="C70" s="119">
        <f t="shared" si="11"/>
        <v>6.2218505580622105</v>
      </c>
      <c r="D70" s="119">
        <f t="shared" si="11"/>
        <v>6.423298958358771</v>
      </c>
      <c r="E70" s="119">
        <f t="shared" si="11"/>
        <v>6.6322564423712809</v>
      </c>
      <c r="F70" s="119">
        <f t="shared" si="11"/>
        <v>7.7973604587438379</v>
      </c>
      <c r="G70" s="303"/>
      <c r="H70" s="303"/>
      <c r="I70" s="303"/>
      <c r="J70" s="303"/>
      <c r="K70" s="303"/>
      <c r="L70" s="303"/>
    </row>
    <row r="71" spans="1:21" ht="13.15">
      <c r="A71" s="131">
        <v>6</v>
      </c>
      <c r="B71" s="119">
        <f t="shared" si="11"/>
        <v>4.2624213169040903</v>
      </c>
      <c r="C71" s="119">
        <f t="shared" si="11"/>
        <v>6.2541634856953126</v>
      </c>
      <c r="D71" s="119">
        <f t="shared" si="11"/>
        <v>6.491188096224783</v>
      </c>
      <c r="E71" s="119">
        <f t="shared" si="11"/>
        <v>6.7391808412375687</v>
      </c>
      <c r="F71" s="119">
        <f t="shared" si="11"/>
        <v>8.1587521832885059</v>
      </c>
      <c r="G71" s="303"/>
      <c r="H71" s="303"/>
      <c r="I71" s="303"/>
      <c r="J71" s="303"/>
      <c r="K71" s="303"/>
      <c r="L71" s="303"/>
    </row>
    <row r="72" spans="1:21" ht="13.15">
      <c r="A72" s="131">
        <f t="shared" ref="A72" si="12">A58</f>
        <v>7</v>
      </c>
      <c r="B72" s="119">
        <f t="shared" si="11"/>
        <v>4.1100766713024965</v>
      </c>
      <c r="C72" s="119">
        <f t="shared" si="11"/>
        <v>6.2845933755875638</v>
      </c>
      <c r="D72" s="119">
        <f t="shared" si="11"/>
        <v>6.5557539895798715</v>
      </c>
      <c r="E72" s="119">
        <f t="shared" si="11"/>
        <v>6.8418681427128858</v>
      </c>
      <c r="F72" s="119">
        <f t="shared" si="11"/>
        <v>8.5226711226901308</v>
      </c>
      <c r="G72" s="303"/>
      <c r="H72" s="303"/>
      <c r="I72" s="303"/>
      <c r="J72" s="303"/>
      <c r="K72" s="303"/>
      <c r="L72" s="303"/>
    </row>
    <row r="73" spans="1:21" ht="13.15">
      <c r="A73" s="131">
        <v>8</v>
      </c>
      <c r="B73" s="119">
        <f t="shared" si="11"/>
        <v>3.9822350106578024</v>
      </c>
      <c r="C73" s="119">
        <f t="shared" si="11"/>
        <v>6.3132499618730362</v>
      </c>
      <c r="D73" s="119">
        <f t="shared" si="11"/>
        <v>6.6171593147287666</v>
      </c>
      <c r="E73" s="119">
        <f t="shared" si="11"/>
        <v>6.9404862504234464</v>
      </c>
      <c r="F73" s="119">
        <f t="shared" si="11"/>
        <v>8.8891349497798764</v>
      </c>
      <c r="G73" s="303"/>
      <c r="H73" s="303"/>
      <c r="I73" s="303"/>
      <c r="J73" s="303"/>
      <c r="K73" s="303"/>
      <c r="L73" s="303"/>
    </row>
    <row r="74" spans="1:21" ht="13.15">
      <c r="A74" s="131">
        <f t="shared" ref="A74" si="13">A60</f>
        <v>9</v>
      </c>
      <c r="B74" s="119">
        <f t="shared" si="11"/>
        <v>3.8749552954314863</v>
      </c>
      <c r="C74" s="119">
        <f t="shared" si="11"/>
        <v>6.3402365839227572</v>
      </c>
      <c r="D74" s="119">
        <f t="shared" si="11"/>
        <v>6.6755587848004447</v>
      </c>
      <c r="E74" s="119">
        <f t="shared" si="11"/>
        <v>7.0351964144718169</v>
      </c>
      <c r="F74" s="119">
        <f t="shared" si="11"/>
        <v>9.2581614609751455</v>
      </c>
      <c r="G74" s="303"/>
      <c r="H74" s="303"/>
      <c r="I74" s="303"/>
      <c r="J74" s="303"/>
      <c r="K74" s="303"/>
      <c r="L74" s="303"/>
    </row>
    <row r="75" spans="1:21" ht="13.15">
      <c r="A75" s="131">
        <f t="shared" ref="A75:A79" si="14">A61</f>
        <v>10</v>
      </c>
      <c r="B75" s="119">
        <f t="shared" ref="B75:F79" si="15">(B61+FV_adjustments)/Common_Shares*scaling_factor*Exchange_Rate</f>
        <v>3.7849303595772348</v>
      </c>
      <c r="C75" s="119">
        <f t="shared" si="15"/>
        <v>6.365650558999886</v>
      </c>
      <c r="D75" s="119">
        <f t="shared" si="15"/>
        <v>6.7310995395539255</v>
      </c>
      <c r="E75" s="119">
        <f t="shared" si="15"/>
        <v>7.1261534950963599</v>
      </c>
      <c r="F75" s="119">
        <f t="shared" si="15"/>
        <v>9.6297685771438104</v>
      </c>
      <c r="G75" s="303"/>
      <c r="H75" s="303"/>
      <c r="I75" s="303"/>
      <c r="J75" s="303"/>
      <c r="K75" s="303"/>
      <c r="L75" s="303"/>
    </row>
    <row r="76" spans="1:21" ht="13.15">
      <c r="A76" s="131">
        <f t="shared" si="14"/>
        <v>15</v>
      </c>
      <c r="B76" s="119">
        <f t="shared" si="15"/>
        <v>3.5106880118109616</v>
      </c>
      <c r="C76" s="119">
        <f t="shared" si="15"/>
        <v>6.4721578291322572</v>
      </c>
      <c r="D76" s="119">
        <f t="shared" si="15"/>
        <v>6.9705875577060441</v>
      </c>
      <c r="E76" s="119">
        <f t="shared" si="15"/>
        <v>7.5296465406622168</v>
      </c>
      <c r="F76" s="119">
        <f t="shared" si="15"/>
        <v>11.52714928466491</v>
      </c>
      <c r="G76" s="303"/>
      <c r="H76" s="303"/>
      <c r="I76" s="303"/>
      <c r="J76" s="303"/>
      <c r="K76" s="303"/>
      <c r="L76" s="303"/>
    </row>
    <row r="77" spans="1:21" ht="13.15">
      <c r="A77" s="132">
        <f t="shared" si="14"/>
        <v>20</v>
      </c>
      <c r="B77" s="119">
        <f t="shared" si="15"/>
        <v>3.3965683276228416</v>
      </c>
      <c r="C77" s="119">
        <f t="shared" si="15"/>
        <v>6.5510437715319831</v>
      </c>
      <c r="D77" s="119">
        <f t="shared" si="15"/>
        <v>7.1569241481560342</v>
      </c>
      <c r="E77" s="119">
        <f t="shared" si="15"/>
        <v>7.8592833281703145</v>
      </c>
      <c r="F77" s="119">
        <f t="shared" si="15"/>
        <v>13.491806346115153</v>
      </c>
      <c r="G77" s="303"/>
      <c r="H77" s="303"/>
      <c r="I77" s="303"/>
      <c r="J77" s="303"/>
      <c r="K77" s="303"/>
      <c r="L77" s="303"/>
    </row>
    <row r="78" spans="1:21" ht="13.15">
      <c r="A78" s="132">
        <f t="shared" si="14"/>
        <v>25</v>
      </c>
      <c r="B78" s="119">
        <f t="shared" si="15"/>
        <v>3.3490800296802665</v>
      </c>
      <c r="C78" s="119">
        <f t="shared" si="15"/>
        <v>6.6094716319076987</v>
      </c>
      <c r="D78" s="119">
        <f t="shared" si="15"/>
        <v>7.3019056182455806</v>
      </c>
      <c r="E78" s="119">
        <f t="shared" si="15"/>
        <v>8.1285826701856685</v>
      </c>
      <c r="F78" s="119">
        <f t="shared" si="15"/>
        <v>15.526125212015922</v>
      </c>
      <c r="G78" s="303"/>
      <c r="H78" s="303"/>
      <c r="I78" s="303"/>
      <c r="J78" s="303"/>
      <c r="K78" s="303"/>
      <c r="L78" s="303"/>
    </row>
    <row r="79" spans="1:21" ht="13.15">
      <c r="A79" s="132">
        <f t="shared" si="14"/>
        <v>30</v>
      </c>
      <c r="B79" s="119">
        <f t="shared" si="15"/>
        <v>3.3293188600141708</v>
      </c>
      <c r="C79" s="119">
        <f t="shared" si="15"/>
        <v>6.6527469578306073</v>
      </c>
      <c r="D79" s="119">
        <f t="shared" si="15"/>
        <v>7.4147102296134584</v>
      </c>
      <c r="E79" s="119">
        <f t="shared" si="15"/>
        <v>8.3485888659690293</v>
      </c>
      <c r="F79" s="119">
        <f t="shared" si="15"/>
        <v>17.632575914972154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7.7973604587438379</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6.6322564423712809</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6.423298958358771</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6.2218505580622105</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4.4439653529126559</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6.6322564423712809</v>
      </c>
      <c r="F22" s="335">
        <f>1-F23-F24</f>
        <v>0.2</v>
      </c>
      <c r="G22" s="335">
        <f>F22*(1-F$29-F$30)</f>
        <v>0.18</v>
      </c>
    </row>
    <row r="23" spans="2:7">
      <c r="B23" s="309" t="s">
        <v>441</v>
      </c>
      <c r="C23" s="331">
        <v>0.02</v>
      </c>
      <c r="D23" s="332">
        <f>C18</f>
        <v>5</v>
      </c>
      <c r="E23" s="333">
        <f>DCF!E84</f>
        <v>6.423298958358771</v>
      </c>
      <c r="F23" s="334">
        <v>0.6</v>
      </c>
      <c r="G23" s="335">
        <f t="shared" ref="G23:G24" si="0">F23*(1-F$29-F$30)</f>
        <v>0.53999999999999992</v>
      </c>
    </row>
    <row r="24" spans="2:7">
      <c r="B24" s="309" t="s">
        <v>450</v>
      </c>
      <c r="C24" s="331">
        <v>0.01</v>
      </c>
      <c r="D24" s="332">
        <f>C18</f>
        <v>5</v>
      </c>
      <c r="E24" s="333">
        <f>DCF!E85</f>
        <v>6.2218505580622105</v>
      </c>
      <c r="F24" s="334">
        <v>0.2</v>
      </c>
      <c r="G24" s="335">
        <f t="shared" si="0"/>
        <v>0.18</v>
      </c>
    </row>
    <row r="25" spans="2:7">
      <c r="B25" s="141" t="s">
        <v>455</v>
      </c>
      <c r="C25" s="449">
        <f>E23*F23+E24*F24+E22*F22</f>
        <v>6.4248007751019607</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7.7973604587438379</v>
      </c>
      <c r="F29" s="334">
        <v>0.05</v>
      </c>
      <c r="G29" s="335">
        <f>F29</f>
        <v>0.05</v>
      </c>
    </row>
    <row r="30" spans="2:7">
      <c r="B30" s="322" t="s">
        <v>451</v>
      </c>
      <c r="C30" s="331">
        <v>-0.1</v>
      </c>
      <c r="D30" s="332">
        <f>C18</f>
        <v>5</v>
      </c>
      <c r="E30" s="333">
        <f>DCF!E86</f>
        <v>4.4439653529126559</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3.86</v>
      </c>
      <c r="D34" t="str">
        <f>Market_currency</f>
        <v>HKD</v>
      </c>
      <c r="E34" s="97" t="s">
        <v>458</v>
      </c>
      <c r="F34" s="337">
        <f>RATE(Holding_Period,$C$33,-C34,$C$36)</f>
        <v>0.23694116234606433</v>
      </c>
    </row>
    <row r="35" spans="2:7">
      <c r="B35" s="97" t="s">
        <v>438</v>
      </c>
      <c r="C35" s="327">
        <f>DCF!C11</f>
        <v>6.027700053181408</v>
      </c>
      <c r="D35" s="97" t="str">
        <f>Market_currency</f>
        <v>HKD</v>
      </c>
      <c r="E35" s="97" t="s">
        <v>458</v>
      </c>
      <c r="F35" s="337">
        <f>RATE(Holding_Period,$C$33,-C35,$C$36)</f>
        <v>5.923753194283414E-2</v>
      </c>
    </row>
    <row r="36" spans="2:7">
      <c r="B36" s="97" t="s">
        <v>439</v>
      </c>
      <c r="C36" s="328">
        <f>E22*G22+E23*G23+E24*G24+E30*G30+E29*G29</f>
        <v>6.3943869881745883</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6.3949146175893299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0.44245811110342687</v>
      </c>
      <c r="D62" s="119">
        <f>C36/(1+F62)^Holding_Period</f>
        <v>2.9467221143661706</v>
      </c>
      <c r="E62" s="339">
        <f>C62+D62</f>
        <v>3.3891802254695973</v>
      </c>
      <c r="F62" s="308">
        <f>Thesis!E22</f>
        <v>0.29465259038036606</v>
      </c>
      <c r="G62" s="448">
        <f>(1-E62/C36)</f>
        <v>0.46997574095259598</v>
      </c>
    </row>
    <row r="63" spans="2:7" ht="13.15">
      <c r="B63" s="309" t="s">
        <v>313</v>
      </c>
      <c r="C63" s="119">
        <f>PV(F63, Holding_Period, -C58, 0)</f>
        <v>0.50874815444966315</v>
      </c>
      <c r="D63" s="119">
        <f>C36/(1+F63)^Holding_Period</f>
        <v>3.6935087296315325</v>
      </c>
      <c r="E63" s="339">
        <f>C63+D63</f>
        <v>4.202256884081196</v>
      </c>
      <c r="F63" s="308">
        <f>Thesis!E23</f>
        <v>0.20075184365903009</v>
      </c>
      <c r="G63" s="448">
        <f>(1-E63/C36)</f>
        <v>0.34282099412303191</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4.583243330732758</v>
      </c>
      <c r="E66" s="339">
        <f>C66+D66</f>
        <v>5.1666107665847232</v>
      </c>
      <c r="F66" s="308">
        <f>Thesis!E24</f>
        <v>0.1174</v>
      </c>
      <c r="G66" s="448">
        <f>(1-E66/C47)</f>
        <v>0.19207509786387678</v>
      </c>
    </row>
    <row r="67" spans="2:7" ht="13.15">
      <c r="B67" s="309" t="s">
        <v>314</v>
      </c>
      <c r="C67" s="119">
        <f>PV(F67, Holding_Period, -C58, 0)</f>
        <v>0.63167232993043521</v>
      </c>
      <c r="D67" s="119">
        <f>C36/(1+F67)^Holding_Period</f>
        <v>5.1833079715118924</v>
      </c>
      <c r="E67" s="339">
        <f>C67+D67</f>
        <v>5.8149803014423274</v>
      </c>
      <c r="F67" s="308">
        <f>Thesis!E25</f>
        <v>7.2499999999999995E-2</v>
      </c>
      <c r="G67" s="448">
        <f>(1-E67/C36)</f>
        <v>9.0611764318265786E-2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3.86</v>
      </c>
    </row>
    <row r="9" spans="1:10">
      <c r="B9" s="358" t="s">
        <v>361</v>
      </c>
      <c r="C9" s="360">
        <f>Common_Shares</f>
        <v>9065251704</v>
      </c>
    </row>
    <row r="10" spans="1:10">
      <c r="B10" s="358" t="s">
        <v>367</v>
      </c>
      <c r="C10" s="364">
        <f>投资主题!C8*Common_Shares/1000000</f>
        <v>34991.871577440004</v>
      </c>
      <c r="D10" s="350" t="s">
        <v>532</v>
      </c>
      <c r="E10" s="367">
        <f>Scenarios!F34</f>
        <v>0.23694116234606433</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1.09355365</v>
      </c>
    </row>
    <row r="17" spans="1:6">
      <c r="B17" s="350" t="s">
        <v>538</v>
      </c>
      <c r="C17" s="432">
        <f>Terminal_Growth</f>
        <v>0</v>
      </c>
      <c r="D17" s="358" t="s">
        <v>339</v>
      </c>
      <c r="E17" s="351" t="str">
        <f>Reporting_currency</f>
        <v>CNY</v>
      </c>
    </row>
    <row r="18" spans="1:6">
      <c r="B18" s="350" t="str">
        <f>"预期股权价值 ("&amp;C7&amp;") :"</f>
        <v>预期股权价值 (HKD) :</v>
      </c>
      <c r="C18" s="366">
        <f>C125</f>
        <v>6.3943869881745883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3.3891802254695973</v>
      </c>
      <c r="D22" s="372" t="s">
        <v>444</v>
      </c>
      <c r="E22" s="373">
        <f>Thesis!E22</f>
        <v>0.29465259038036606</v>
      </c>
    </row>
    <row r="23" spans="1:6">
      <c r="B23" s="350" t="s">
        <v>341</v>
      </c>
      <c r="C23" s="374">
        <f>E141</f>
        <v>4.202256884081196</v>
      </c>
      <c r="D23" s="372" t="s">
        <v>445</v>
      </c>
      <c r="E23" s="375">
        <f>Thesis!E23</f>
        <v>0.20075184365903009</v>
      </c>
    </row>
    <row r="24" spans="1:6">
      <c r="B24" s="350" t="s">
        <v>343</v>
      </c>
      <c r="C24" s="374">
        <f>E144</f>
        <v>5.1666107665847232</v>
      </c>
      <c r="D24" s="372" t="s">
        <v>447</v>
      </c>
      <c r="E24" s="375">
        <f>Thesis!E24</f>
        <v>0.1174</v>
      </c>
    </row>
    <row r="25" spans="1:6">
      <c r="B25" s="350" t="s">
        <v>342</v>
      </c>
      <c r="C25" s="374">
        <f>E145</f>
        <v>5.8149803014423274</v>
      </c>
      <c r="D25" s="372" t="s">
        <v>446</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8.0966430654678623E-2</v>
      </c>
      <c r="F62" s="386"/>
    </row>
    <row r="63" spans="2:6">
      <c r="B63" s="384" t="s">
        <v>332</v>
      </c>
      <c r="C63" s="385">
        <f>Normalized_FCF!C92</f>
        <v>6.2642487046632125E-2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0" t="s">
        <v>513</v>
      </c>
      <c r="C73" s="470"/>
      <c r="D73" s="470"/>
      <c r="E73" s="470"/>
      <c r="F73" s="470"/>
    </row>
    <row r="74" spans="1:6">
      <c r="B74" s="471" t="s">
        <v>483</v>
      </c>
      <c r="C74" s="471"/>
      <c r="D74" s="471"/>
      <c r="E74" s="471"/>
      <c r="F74" s="471"/>
    </row>
    <row r="76" spans="1:6">
      <c r="B76" s="376" t="s">
        <v>371</v>
      </c>
    </row>
    <row r="77" spans="1:6">
      <c r="B77" s="470" t="s">
        <v>514</v>
      </c>
      <c r="C77" s="470"/>
      <c r="D77" s="470"/>
      <c r="E77" s="470"/>
      <c r="F77" s="470"/>
    </row>
    <row r="78" spans="1:6">
      <c r="B78" s="350" t="s">
        <v>215</v>
      </c>
      <c r="C78" s="380">
        <f>DCF!F4</f>
        <v>-845013</v>
      </c>
      <c r="D78" s="350" t="str">
        <f>Reporting_currency</f>
        <v>CNY</v>
      </c>
    </row>
    <row r="79" spans="1:6">
      <c r="B79" s="379" t="s">
        <v>234</v>
      </c>
      <c r="C79" s="394">
        <f>C78*scaling_factor*Exchange_Rate/Common_Shares</f>
        <v>-0.10193506817242701</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1.8183540113446035</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5.166641187561668E-4</v>
      </c>
      <c r="D90" s="350" t="str">
        <f>Market_currency</f>
        <v>HKD</v>
      </c>
    </row>
    <row r="92" spans="1:6">
      <c r="B92" s="379" t="s">
        <v>484</v>
      </c>
      <c r="C92" s="394">
        <f>DCF!F8</f>
        <v>1.7169356072909325</v>
      </c>
      <c r="D92" s="350" t="str">
        <f>Market_currency</f>
        <v>HKD</v>
      </c>
    </row>
    <row r="94" spans="1:6" ht="13.9">
      <c r="A94" s="352" t="s">
        <v>486</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493</v>
      </c>
    </row>
    <row r="111" spans="1:6">
      <c r="A111" s="392"/>
      <c r="B111" s="382" t="s">
        <v>490</v>
      </c>
      <c r="C111" s="401">
        <f>BS!D47</f>
        <v>1.2426556823404187</v>
      </c>
      <c r="D111" s="350" t="str">
        <f>Market_currency</f>
        <v>HKD</v>
      </c>
    </row>
    <row r="112" spans="1:6">
      <c r="A112" s="392"/>
      <c r="B112" s="379" t="s">
        <v>377</v>
      </c>
      <c r="C112" s="401">
        <f>DCF!C11</f>
        <v>6.027700053181408</v>
      </c>
      <c r="D112" s="350" t="str">
        <f>Market_currency</f>
        <v>HKD</v>
      </c>
    </row>
    <row r="113" spans="1:6">
      <c r="A113" s="392"/>
    </row>
    <row r="114" spans="1:6">
      <c r="A114" s="392"/>
      <c r="B114" s="470" t="s">
        <v>521</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7.8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6.3943869881745883</v>
      </c>
      <c r="D125" s="350" t="str">
        <f>Market_currency</f>
        <v>HKD</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0.44245811110342687</v>
      </c>
      <c r="D140" s="416">
        <f>Scenarios!D62</f>
        <v>2.9467221143661706</v>
      </c>
      <c r="E140" s="417">
        <f>Scenarios!E62</f>
        <v>3.3891802254695973</v>
      </c>
      <c r="F140" s="418">
        <f>E22</f>
        <v>0.29465259038036606</v>
      </c>
    </row>
    <row r="141" spans="1:6">
      <c r="B141" s="415" t="s">
        <v>313</v>
      </c>
      <c r="C141" s="416">
        <f>Scenarios!C63</f>
        <v>0.50874815444966315</v>
      </c>
      <c r="D141" s="416">
        <f>Scenarios!D63</f>
        <v>3.6935087296315325</v>
      </c>
      <c r="E141" s="417">
        <f>Scenarios!E63</f>
        <v>4.202256884081196</v>
      </c>
      <c r="F141" s="418">
        <f>Scenarios!F63</f>
        <v>0.20075184365903009</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4.583243330732758</v>
      </c>
      <c r="E144" s="417">
        <f>Scenarios!E66</f>
        <v>5.1666107665847232</v>
      </c>
      <c r="F144" s="418">
        <f>E24</f>
        <v>0.1174</v>
      </c>
    </row>
    <row r="145" spans="1:6">
      <c r="B145" s="415" t="s">
        <v>314</v>
      </c>
      <c r="C145" s="416">
        <f>Scenarios!C67</f>
        <v>0.63167232993043521</v>
      </c>
      <c r="D145" s="416">
        <f>Scenarios!D67</f>
        <v>5.1833079715118924</v>
      </c>
      <c r="E145" s="417">
        <f>Scenarios!E67</f>
        <v>5.8149803014423274</v>
      </c>
      <c r="F145" s="418">
        <f>Scenarios!F67</f>
        <v>7.2499999999999995E-2</v>
      </c>
    </row>
    <row r="147" spans="1:6" ht="13.9">
      <c r="A147" s="352" t="s">
        <v>479</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