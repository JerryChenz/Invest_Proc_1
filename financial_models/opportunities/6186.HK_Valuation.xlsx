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43C684-0946-40F2-A5AE-CBF77354D58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E83" i="2"/>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<sst xmlns="http://schemas.openxmlformats.org/spreadsheetml/2006/main" count="768" uniqueCount="558">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</sst>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52" zoomScaleNormal="100" workbookViewId="0">
      <selection activeCell="E20" sqref="E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3.92</v>
      </c>
      <c r="E8" s="32"/>
    </row>
    <row r="9" spans="1:9">
      <c r="B9" s="4" t="s">
        <v>346</v>
      </c>
      <c r="C9" s="48">
        <v>9065251704</v>
      </c>
    </row>
    <row r="10" spans="1:9">
      <c r="B10" s="4" t="s">
        <v>352</v>
      </c>
      <c r="C10" s="33">
        <f>Thesis!C8*Common_Shares/1000000</f>
        <v>35535.786679680001</v>
      </c>
      <c r="D10" s="1" t="s">
        <v>527</v>
      </c>
      <c r="E10" s="303">
        <f>Scenarios!F34</f>
        <v>0.23283448968117915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1.1377999782562256</v>
      </c>
    </row>
    <row r="17" spans="1:6">
      <c r="B17" s="1" t="s">
        <v>531</v>
      </c>
      <c r="C17" s="456">
        <v>0</v>
      </c>
      <c r="D17" s="4" t="s">
        <v>274</v>
      </c>
      <c r="E17" s="224" t="s">
        <v>557</v>
      </c>
    </row>
    <row r="18" spans="1:6">
      <c r="B18" s="1" t="str">
        <f>"Expected Equity Value ("&amp;C7&amp;") :"</f>
        <v>Expected Equity Value (HKD) :</v>
      </c>
      <c r="C18" s="252">
        <f>C125</f>
        <v>6.4377387695601005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3.3693767726718704</v>
      </c>
      <c r="D22" s="38" t="s">
        <v>406</v>
      </c>
      <c r="E22" s="79">
        <v>0.3</v>
      </c>
    </row>
    <row r="23" spans="1:6">
      <c r="B23" s="1" t="s">
        <v>313</v>
      </c>
      <c r="C23" s="256">
        <f>E141</f>
        <v>4.2348904916435766</v>
      </c>
      <c r="D23" s="38" t="s">
        <v>407</v>
      </c>
      <c r="E23" s="443">
        <v>0.2</v>
      </c>
    </row>
    <row r="24" spans="1:6">
      <c r="B24" s="1" t="s">
        <v>315</v>
      </c>
      <c r="C24" s="256">
        <f>E144</f>
        <v>5.1976836064484946</v>
      </c>
      <c r="D24" s="38" t="s">
        <v>408</v>
      </c>
      <c r="E24" s="443">
        <v>0.1174</v>
      </c>
    </row>
    <row r="25" spans="1:6">
      <c r="B25" s="1" t="s">
        <v>314</v>
      </c>
      <c r="C25" s="256">
        <f>E145</f>
        <v>5.8501213766463032</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4737250.864635732</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18203.276997391473</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-26442.723002608527</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-1174656.5354082808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2919358.1170187257</v>
      </c>
      <c r="D60" s="1" t="str">
        <f>Reporting_currency</f>
        <v>CNY</v>
      </c>
    </row>
    <row r="61" spans="2:6">
      <c r="B61" s="44" t="s">
        <v>213</v>
      </c>
      <c r="C61" s="285">
        <f>Normalized_FCF!C19</f>
        <v>3439974.6062248424</v>
      </c>
      <c r="D61" s="1" t="str">
        <f>Reporting_currency</f>
        <v>CNY</v>
      </c>
    </row>
    <row r="62" spans="2:6">
      <c r="B62" s="204" t="s">
        <v>302</v>
      </c>
      <c r="C62" s="89">
        <f>Normalized_FCF!C124</f>
        <v>0.11014257451074499</v>
      </c>
      <c r="F62" s="257"/>
    </row>
    <row r="63" spans="2:6">
      <c r="B63" s="204" t="s">
        <v>332</v>
      </c>
      <c r="C63" s="89">
        <f>Normalized_FCF!C92</f>
        <v>6.1683673469387752E-2</v>
      </c>
      <c r="E63" s="44" t="s">
        <v>322</v>
      </c>
      <c r="F63" s="258">
        <f>Normalized_FCF!C90</f>
        <v>0.63720757067819134</v>
      </c>
    </row>
    <row r="65" spans="1:6">
      <c r="B65" s="192" t="s">
        <v>325</v>
      </c>
      <c r="C65" s="264" t="s">
        <v>327</v>
      </c>
      <c r="D65" s="264" t="s">
        <v>328</v>
      </c>
    </row>
    <row r="66" spans="1:6">
      <c r="B66" s="44" t="s">
        <v>326</v>
      </c>
      <c r="C66" s="89">
        <f>Normalized_FCF!E119</f>
        <v>0.17304079935938224</v>
      </c>
      <c r="D66" s="89">
        <f>Normalized_FCF!G119</f>
        <v>0.1804186534711629</v>
      </c>
    </row>
    <row r="67" spans="1:6">
      <c r="B67" s="229" t="str">
        <f>Normalized_FCF!B116</f>
        <v>Pre-tax Profit/Sales</v>
      </c>
      <c r="C67" s="263">
        <f>Normalized_FCF!E116</f>
        <v>0.22645563866550303</v>
      </c>
      <c r="D67" s="263">
        <f>Normalized_FCF!G116</f>
        <v>0.23611091459493438</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-0.10605946800153272</v>
      </c>
      <c r="D79" s="1" t="str">
        <f>Market_currency</f>
        <v>HKD</v>
      </c>
    </row>
    <row r="80" spans="1:6">
      <c r="A80" s="191"/>
      <c r="B80" s="229" t="s">
        <v>309</v>
      </c>
      <c r="C80" s="337">
        <f>IF(BS!G31/BS!G27&gt;300%,"nm",BS!G31/BS!G27)</f>
        <v>3.1120102042901991E-2</v>
      </c>
    </row>
    <row r="81" spans="1:6">
      <c r="A81" s="191"/>
      <c r="B81" s="229" t="s">
        <v>311</v>
      </c>
      <c r="C81" s="338">
        <f>IF(BS!C50&gt;30,"nm",BS!C50)</f>
        <v>0.17837624059729351</v>
      </c>
    </row>
    <row r="82" spans="1:6">
      <c r="A82" s="191"/>
    </row>
    <row r="83" spans="1:6">
      <c r="A83" s="191"/>
      <c r="B83" s="1" t="s">
        <v>466</v>
      </c>
    </row>
    <row r="84" spans="1:6">
      <c r="A84" s="191"/>
      <c r="B84" s="1" t="s">
        <v>224</v>
      </c>
      <c r="C84" s="285">
        <f>DCF!F5</f>
        <v>14573965.500434754</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1.8292109442680784</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5.3756889118932447E-4</v>
      </c>
      <c r="D90" s="1" t="str">
        <f>Market_currency</f>
        <v>HKD</v>
      </c>
    </row>
    <row r="91" spans="1:6">
      <c r="A91" s="191"/>
    </row>
    <row r="92" spans="1:6">
      <c r="A92" s="191"/>
      <c r="B92" s="44" t="s">
        <v>469</v>
      </c>
      <c r="C92" s="216">
        <f>DCF!F8</f>
        <v>1.7236890451577349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1.2929348352930863</v>
      </c>
      <c r="D111" s="1" t="str">
        <f>Market_currency</f>
        <v>HKD</v>
      </c>
    </row>
    <row r="112" spans="2:6">
      <c r="B112" s="44" t="s">
        <v>323</v>
      </c>
      <c r="C112" s="216">
        <f>DCF!C11</f>
        <v>7.678984108359395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8.55 HKD</v>
      </c>
      <c r="E118" s="208">
        <f>DCF!F90</f>
        <v>0.05</v>
      </c>
      <c r="F118" s="208">
        <f>RATE(Holding_Period,Scenarios!C$58,-DCF!E90,C$18)</f>
        <v>-5.9275078203231649E-2</v>
      </c>
    </row>
    <row r="119" spans="2:6">
      <c r="B119" s="205" t="str">
        <f>DCF!B91&amp;" ("&amp;DCF!D91&amp;"yrs)"</f>
        <v>Optimistic (3yrs)</v>
      </c>
      <c r="C119" s="198">
        <f>DCF!C91</f>
        <v>0.02</v>
      </c>
      <c r="D119" s="207" t="str">
        <f>ROUND(DCF!E91,2)&amp;" "&amp;Market_currency</f>
        <v>8.02 HKD</v>
      </c>
      <c r="E119" s="199">
        <f>DCF!F91</f>
        <v>0.15999999999999995</v>
      </c>
      <c r="F119" s="208">
        <f>RATE(Holding_Period,Scenarios!C$58,-DCF!E91,C$18)</f>
        <v>-3.8152884851471905E-2</v>
      </c>
    </row>
    <row r="120" spans="2:6">
      <c r="B120" s="205" t="str">
        <f>DCF!B92&amp;" ("&amp;DCF!D92&amp;"yrs)"</f>
        <v>Base (3yrs)</v>
      </c>
      <c r="C120" s="198">
        <f>DCF!C92</f>
        <v>-0.05</v>
      </c>
      <c r="D120" s="207" t="str">
        <f>ROUND(DCF!E92,2)&amp;" "&amp;Market_currency</f>
        <v>6.88 HKD</v>
      </c>
      <c r="E120" s="199">
        <f>DCF!F92</f>
        <v>0.44</v>
      </c>
      <c r="F120" s="208">
        <f>RATE(Holding_Period,Scenarios!C$58,-DCF!E92,C$18)</f>
        <v>1.3820350355855139E-2</v>
      </c>
    </row>
    <row r="121" spans="2:6">
      <c r="B121" s="205" t="str">
        <f>DCF!B93&amp;" ("&amp;DCF!D93&amp;"yrs)"</f>
        <v>Pessimistic (3yrs)</v>
      </c>
      <c r="C121" s="198">
        <f>DCF!C93</f>
        <v>-0.15</v>
      </c>
      <c r="D121" s="207" t="str">
        <f>ROUND(DCF!E93,2)&amp;" "&amp;Market_currency</f>
        <v>5.52 HKD</v>
      </c>
      <c r="E121" s="199">
        <f>DCF!F93</f>
        <v>0.19999999999999998</v>
      </c>
      <c r="F121" s="208">
        <f>RATE(Holding_Period,Scenarios!C$58,-DCF!E93,C$18)</f>
        <v>9.4542798398140893E-2</v>
      </c>
    </row>
    <row r="122" spans="2:6">
      <c r="B122" s="205" t="str">
        <f>DCF!B94&amp;" ("&amp;DCF!D94&amp;"yrs)"</f>
        <v>Devil's advocate (3yrs)</v>
      </c>
      <c r="C122" s="198">
        <f>DCF!C94</f>
        <v>-0.3</v>
      </c>
      <c r="D122" s="207" t="str">
        <f>ROUND(DCF!E94,2)&amp;" "&amp;Market_currency</f>
        <v>3.97 HKD</v>
      </c>
      <c r="E122" s="199">
        <f>DCF!F94</f>
        <v>0.15</v>
      </c>
      <c r="F122" s="208">
        <f>RATE(Holding_Period,Scenarios!C$58,-DCF!E94,C$18)</f>
        <v>0.22789649960574468</v>
      </c>
    </row>
    <row r="124" spans="2:6">
      <c r="B124" s="461" t="s">
        <v>357</v>
      </c>
      <c r="C124" s="461"/>
      <c r="D124" s="461"/>
      <c r="E124" s="461"/>
      <c r="F124" s="461"/>
    </row>
    <row r="125" spans="2:6">
      <c r="B125" s="193" t="s">
        <v>218</v>
      </c>
      <c r="C125" s="197">
        <f>Scenarios!C36</f>
        <v>6.4377387695601005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0.43913609467455633</v>
      </c>
      <c r="D140" s="333">
        <f>Scenarios!D62</f>
        <v>2.9302406779973142</v>
      </c>
      <c r="E140" s="334">
        <f>Scenarios!E62</f>
        <v>3.3693767726718704</v>
      </c>
      <c r="F140" s="335">
        <f>E22</f>
        <v>0.3</v>
      </c>
    </row>
    <row r="141" spans="1:6">
      <c r="B141" s="336" t="s">
        <v>313</v>
      </c>
      <c r="C141" s="333">
        <f>Scenarios!C63</f>
        <v>0.50934722222222217</v>
      </c>
      <c r="D141" s="333">
        <f>Scenarios!D63</f>
        <v>3.7255432694213546</v>
      </c>
      <c r="E141" s="334">
        <f>Scenarios!E63</f>
        <v>4.2348904916435766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4.6143161705965294</v>
      </c>
      <c r="E144" s="334">
        <f>Scenarios!E66</f>
        <v>5.1976836064484946</v>
      </c>
      <c r="F144" s="335">
        <f>E24</f>
        <v>0.1174</v>
      </c>
    </row>
    <row r="145" spans="1:6">
      <c r="B145" s="336" t="s">
        <v>314</v>
      </c>
      <c r="C145" s="333">
        <f>Scenarios!C67</f>
        <v>0.63167232993043521</v>
      </c>
      <c r="D145" s="333">
        <f>Scenarios!D67</f>
        <v>5.2184490467158682</v>
      </c>
      <c r="E145" s="334">
        <f>Scenarios!E67</f>
        <v>5.8501213766463032</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3.2144362983183807</v>
      </c>
      <c r="D47" s="134">
        <f>D46*H1/Common_Shares*Exchange_Rate</f>
        <v>1.2929348352930863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0.17837624059729351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0.29336210433190779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14573965.500434754</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-1516939.7497826226</v>
      </c>
      <c r="F73" s="1" t="s">
        <v>278</v>
      </c>
    </row>
    <row r="74" spans="2:6" ht="15" customHeight="1">
      <c r="B74" s="227" t="s">
        <v>259</v>
      </c>
      <c r="C74" s="228">
        <f>-$C$66/C73</f>
        <v>11.235984514921489</v>
      </c>
      <c r="D74" s="228">
        <f>-$C$66/D73</f>
        <v>11.607478149691314</v>
      </c>
      <c r="F74" s="223" t="s">
        <v>257</v>
      </c>
    </row>
    <row r="75" spans="2:6" ht="15" customHeight="1">
      <c r="B75" s="77" t="s">
        <v>258</v>
      </c>
      <c r="C75" s="261"/>
      <c r="D75" s="262">
        <f>MAX(-D73*D76,G5)</f>
        <v>3033879.4995652451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-961455.77302622795</v>
      </c>
      <c r="D86" s="201">
        <f>C86*scaling_factor/Common_Shares</f>
        <v>-0.10605946800153272</v>
      </c>
      <c r="E86" s="214" t="str">
        <f>Market_currency</f>
        <v>HKD</v>
      </c>
    </row>
    <row r="87" spans="2:8" ht="15" customHeight="1">
      <c r="B87" s="212" t="s">
        <v>240</v>
      </c>
      <c r="C87" s="73">
        <f>DCF!F5*Exchange_Rate</f>
        <v>16582257.629501645</v>
      </c>
      <c r="D87" s="201">
        <f>C87*scaling_factor/Common_Shares</f>
        <v>1.8292109442680782</v>
      </c>
      <c r="E87" s="214" t="str">
        <f>Market_currency</f>
        <v>HKD</v>
      </c>
    </row>
    <row r="88" spans="2:8" ht="15" customHeight="1">
      <c r="B88" s="213" t="s">
        <v>159</v>
      </c>
      <c r="C88" s="73">
        <f>DCF!F6*Exchange_Rate</f>
        <v>4873.1973068714142</v>
      </c>
      <c r="D88" s="201">
        <f>C88*scaling_factor/Common_Shares</f>
        <v>5.3756889118932447E-4</v>
      </c>
      <c r="E88" s="214" t="str">
        <f>Market_currency</f>
        <v>HKD</v>
      </c>
    </row>
    <row r="89" spans="2:8" ht="15" customHeight="1">
      <c r="B89" s="77" t="s">
        <v>244</v>
      </c>
      <c r="C89" s="162">
        <f>SUM(C86:C88)</f>
        <v>15625675.053782288</v>
      </c>
      <c r="D89" s="216">
        <f>SUM(D86:D88)</f>
        <v>1.7236890451577347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-14330038.135364268</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6418511.864635732</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4737250.864635732</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-26442.723002608527</v>
      </c>
      <c r="E10" s="237"/>
      <c r="G10" s="266">
        <f>G48</f>
        <v>8822.1170187259777</v>
      </c>
      <c r="H10" s="266">
        <f t="shared" ref="H10:Q10" si="6">H48</f>
        <v>-1713.2514740014958</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4698626.1416331232</v>
      </c>
      <c r="E11" s="237"/>
      <c r="G11" s="267">
        <f t="shared" ref="G11:Q11" si="7">IF(G$4="","",SUM(G8:G10))</f>
        <v>4898959.1170187257</v>
      </c>
      <c r="H11" s="267">
        <f t="shared" si="7"/>
        <v>4183115.7485259986</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-1174656.5354082808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3439974.6062248424</v>
      </c>
      <c r="D14" s="58"/>
      <c r="E14" s="243"/>
      <c r="F14" s="58"/>
      <c r="G14" s="267">
        <f t="shared" ref="G14:Q14" si="8">IF(G$4="","",SUM(G11:G13))</f>
        <v>2919358.1170187257</v>
      </c>
      <c r="H14" s="267">
        <f t="shared" si="8"/>
        <v>2623175.7485259986</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3439974.6062248424</v>
      </c>
      <c r="D19" s="26"/>
      <c r="E19" s="234"/>
      <c r="F19" s="26"/>
      <c r="G19" s="271">
        <f t="shared" ref="G19:Q19" si="9">IF(G$4="","",G14+G17)</f>
        <v>2919358.1170187257</v>
      </c>
      <c r="H19" s="271">
        <f t="shared" si="9"/>
        <v>2623175.7485259986</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-7148815.135364267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-14330038.135364268</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AVERAGE(G29:I29)</f>
        <v>0.34454528800153589</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0.69065250995198546</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0.38694056323408876</v>
      </c>
      <c r="H41" s="6">
        <f t="shared" si="16"/>
        <v>0.37291341999075089</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18203.276997391473</v>
      </c>
      <c r="E46" s="237"/>
      <c r="G46" s="274">
        <f t="shared" ref="G46:Q46" si="17">IFERROR(IF(G$4="","",($C$46/$C$47)*G47),0)</f>
        <v>53468.117018725978</v>
      </c>
      <c r="H46" s="274">
        <f t="shared" si="17"/>
        <v>51418.748525998504</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-26442.723002608527</v>
      </c>
      <c r="E48" s="237"/>
      <c r="G48" s="267">
        <f>IF(G$4="","",(G45+G46))</f>
        <v>8822.1170187259777</v>
      </c>
      <c r="H48" s="267">
        <f t="shared" ref="H48:Q48" si="18">IF(H$4="","",(H45+H46))</f>
        <v>-1713.2514740014958</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106.10694943859993</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0.69065250995198546</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0.30934749004801454</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0.22831720118445539</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1.2744371535653588E-3</v>
      </c>
      <c r="D76" s="26"/>
      <c r="E76" s="234"/>
      <c r="F76" s="26"/>
      <c r="G76" s="6">
        <f t="shared" ref="G76:Q76" si="28">IF(G$4="","",ABS(G10/G$4))</f>
        <v>4.2519197817322065E-4</v>
      </c>
      <c r="H76" s="6">
        <f t="shared" si="28"/>
        <v>8.7714195577503256E-5</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0.22645563866550306</v>
      </c>
      <c r="D77" s="26"/>
      <c r="E77" s="234"/>
      <c r="F77" s="26"/>
      <c r="G77" s="62">
        <f t="shared" ref="G77:Q77" si="29">IF(G$4="","",G11/G$4)</f>
        <v>0.23611091459493438</v>
      </c>
      <c r="H77" s="62">
        <f t="shared" si="29"/>
        <v>0.21416507643945737</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5.6613909666375764E-2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0.16579349430320878</v>
      </c>
      <c r="D80" s="26"/>
      <c r="E80" s="234"/>
      <c r="F80" s="26"/>
      <c r="G80" s="62">
        <f t="shared" ref="G80:Q80" si="32">IF(G$4="","",ABS(G14/G$4))</f>
        <v>0.14070178961993612</v>
      </c>
      <c r="H80" s="62">
        <f t="shared" si="32"/>
        <v>0.13430004534183873</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0.16579349430320878</v>
      </c>
      <c r="D85" s="72"/>
      <c r="E85" s="234"/>
      <c r="F85" s="72"/>
      <c r="G85" s="62">
        <f t="shared" ref="G85:Q85" si="35">IF(G$4="","",ABS(G19/G$4))</f>
        <v>0.14070178961993612</v>
      </c>
      <c r="H85" s="62">
        <f t="shared" si="35"/>
        <v>0.13430004534183873</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0.63720757067819134</v>
      </c>
      <c r="E90" s="237"/>
      <c r="G90" s="152">
        <f t="shared" ref="G90:Q90" si="37">IF(G$4="","",G88/(G19*scaling_factor/Common_Shares))</f>
        <v>1.0135440866046448</v>
      </c>
      <c r="H90" s="152">
        <f t="shared" si="37"/>
        <v>0.97903688275034628</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6.1683673469387752E-2</v>
      </c>
      <c r="E92" s="237"/>
      <c r="G92" s="22">
        <f t="shared" ref="G92:Q92" si="38">IF(G$4="","",(G88*(1-dividend_tax_rate))/Market_Price)</f>
        <v>8.3265306122448993E-2</v>
      </c>
      <c r="H92" s="22">
        <f t="shared" si="38"/>
        <v>7.2270408163265312E-2</v>
      </c>
      <c r="I92" s="22">
        <f t="shared" si="38"/>
        <v>7.2755102040816325E-2</v>
      </c>
      <c r="J92" s="22">
        <f t="shared" si="38"/>
        <v>0.12005102040816328</v>
      </c>
      <c r="K92" s="22">
        <f t="shared" si="38"/>
        <v>7.5535714285714289E-2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-4.0892967383552192E-2</v>
      </c>
      <c r="D96" s="26"/>
      <c r="E96" s="234"/>
      <c r="F96" s="26"/>
      <c r="G96" s="6">
        <f t="shared" ref="G96:Q96" si="40">IF(H5="","",G11/H11-1)</f>
        <v>0.17112683739267043</v>
      </c>
      <c r="H96" s="6">
        <f t="shared" si="40"/>
        <v>-0.28116784936011474</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1.4315862708436577</v>
      </c>
      <c r="H113" s="251">
        <f>IF(H$4="","",Data!D$22/H19)</f>
        <v>1.580277647172261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0.22645563866550306</v>
      </c>
      <c r="E116" s="22">
        <f>E119/E117/E118</f>
        <v>0.22645563866550303</v>
      </c>
      <c r="G116" s="22">
        <f t="shared" ref="G116:Q116" si="44">IF(G4="","",G77)</f>
        <v>0.23611091459493438</v>
      </c>
      <c r="H116" s="22">
        <f t="shared" si="44"/>
        <v>0.21416507643945737</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0.17304079935938224</v>
      </c>
      <c r="D119" s="100"/>
      <c r="E119" s="453">
        <f>C11/C104</f>
        <v>0.17304079935938224</v>
      </c>
      <c r="F119" s="100"/>
      <c r="G119" s="99">
        <f t="shared" ref="G119:Q119" si="47">IF(G$4="","",G11/G104)</f>
        <v>0.1804186534711629</v>
      </c>
      <c r="H119" s="99">
        <f t="shared" si="47"/>
        <v>0.15884638823101963</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0.43175889208212037</v>
      </c>
      <c r="D123" s="26"/>
      <c r="E123" s="234"/>
      <c r="F123" s="26"/>
      <c r="G123" s="159">
        <f t="shared" ref="G123:Q123" si="48">IF(G$4="","",G14*$C$3/Common_Shares*Exchange_Rate)</f>
        <v>0.3664151543194748</v>
      </c>
      <c r="H123" s="159">
        <f t="shared" si="48"/>
        <v>0.32924064406487208</v>
      </c>
      <c r="I123" s="159">
        <f t="shared" si="48"/>
        <v>0.51438188689573949</v>
      </c>
      <c r="J123" s="159">
        <f t="shared" si="48"/>
        <v>0.65571091975103257</v>
      </c>
      <c r="K123" s="159">
        <f t="shared" si="48"/>
        <v>0.56932925953858748</v>
      </c>
      <c r="L123" s="159">
        <f t="shared" si="48"/>
        <v>0.37999932854029994</v>
      </c>
      <c r="M123" s="159">
        <f t="shared" si="48"/>
        <v>0.22246980429339752</v>
      </c>
      <c r="N123" s="159">
        <f t="shared" si="48"/>
        <v>9.7719933234737613E-2</v>
      </c>
      <c r="O123" s="159">
        <f t="shared" si="48"/>
        <v>2.7363423825297543E-2</v>
      </c>
      <c r="P123" s="159" t="str">
        <f t="shared" si="48"/>
        <v/>
      </c>
      <c r="Q123" s="159" t="str">
        <f t="shared" si="48"/>
        <v/>
      </c>
    </row>
    <row r="124" spans="1:17" ht="15.75" customHeight="1">
      <c r="A124" s="10"/>
      <c r="B124" s="26" t="s">
        <v>226</v>
      </c>
      <c r="C124" s="74">
        <f>C19*Exchange_Rate*$C$3/(Market_Price*Common_Shares)</f>
        <v>0.11014257451074499</v>
      </c>
      <c r="D124" s="26"/>
      <c r="E124" s="234"/>
      <c r="F124" s="26"/>
      <c r="G124" s="74">
        <f t="shared" ref="G124" si="49">IF(G$4="","",G123/Market_Price)</f>
        <v>9.3473253652927246E-2</v>
      </c>
      <c r="H124" s="74">
        <f t="shared" ref="H124" si="50">IF(H$4="","",H123/Market_Price)</f>
        <v>8.3989960220630627E-2</v>
      </c>
      <c r="I124" s="74">
        <f t="shared" ref="I124" si="51">IF(I$4="","",I123/Market_Price)</f>
        <v>0.13121986910605599</v>
      </c>
      <c r="J124" s="74">
        <f t="shared" ref="J124" si="52">IF(J$4="","",J123/Market_Price)</f>
        <v>0.16727319381403893</v>
      </c>
      <c r="K124" s="74">
        <f t="shared" ref="K124" si="53">IF(K$4="","",K123/Market_Price)</f>
        <v>0.14523705600474171</v>
      </c>
      <c r="L124" s="74">
        <f t="shared" ref="L124" si="54">IF(L$4="","",L123/Market_Price)</f>
        <v>9.6938604219464278E-2</v>
      </c>
      <c r="M124" s="74">
        <f t="shared" ref="M124" si="55">IF(M$4="","",M123/Market_Price)</f>
        <v>5.6752501095254468E-2</v>
      </c>
      <c r="N124" s="74">
        <f t="shared" ref="N124" si="56">IF(N$4="","",N123/Market_Price)</f>
        <v>2.4928554396616738E-2</v>
      </c>
      <c r="O124" s="74">
        <f t="shared" ref="O124" si="57">IF(O$4="","",O123/Market_Price)</f>
        <v>6.9804652615554959E-3</v>
      </c>
      <c r="P124" s="74" t="str">
        <f t="shared" ref="P124" si="58">IF(P$4="","",P123/Market_Price)</f>
        <v/>
      </c>
      <c r="Q124" s="74" t="str">
        <f t="shared" ref="Q124" si="59">IF(Q$4="","",Q123/Market_Price)</f>
        <v/>
      </c>
    </row>
    <row r="125" spans="1:17" ht="15.75" customHeight="1">
      <c r="B125" s="2" t="s">
        <v>306</v>
      </c>
      <c r="C125" s="151"/>
      <c r="G125" s="22">
        <f>IF(G$4="","",(Data!C47*$C$3)/(Market_Price*Common_Shares))</f>
        <v>0.10282929805208144</v>
      </c>
      <c r="H125" s="22">
        <f>IF(H$4="","",(Data!D47*$C$3)/(Market_Price*Common_Shares))</f>
        <v>9.2592631469207973E-2</v>
      </c>
      <c r="I125" s="22">
        <f>IF(I$4="","",(Data!E47*$C$3)/(Market_Price*Common_Shares))</f>
        <v>0.13924290025157698</v>
      </c>
      <c r="J125" s="22">
        <f>IF(J$4="","",(Data!F47*$C$3)/(Market_Price*Common_Shares))</f>
        <v>0.19458964176960408</v>
      </c>
      <c r="K125" s="22">
        <f>IF(K$4="","",(Data!G47*$C$3)/(Market_Price*Common_Shares))</f>
        <v>0.20927162994965859</v>
      </c>
      <c r="L125" s="22">
        <f>IF(L$4="","",(Data!H47*$C$3)/(Market_Price*Common_Shares))</f>
        <v>0.11072153926030465</v>
      </c>
      <c r="M125" s="22">
        <f>IF(M$4="","",(Data!I47*$C$3)/(Market_Price*Common_Shares))</f>
        <v>6.3098476479828747E-2</v>
      </c>
      <c r="N125" s="22">
        <f>IF(N$4="","",(Data!J47*$C$3)/(Market_Price*Common_Shares))</f>
        <v>3.2649509365257359E-2</v>
      </c>
      <c r="O125" s="22">
        <f>IF(O$4="","",(Data!K47*$C$3)/(Market_Price*Common_Shares))</f>
        <v>1.1429379730947254E-2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3439974.6062248424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14573965.500434754</v>
      </c>
      <c r="G5" t="str">
        <f>Reporting_currency</f>
        <v>CNY</v>
      </c>
      <c r="H5" s="308" t="s">
        <v>395</v>
      </c>
      <c r="I5" s="305">
        <f>Normalized_FCF!C7</f>
        <v>-1681261</v>
      </c>
      <c r="J5" s="305"/>
    </row>
    <row r="6" spans="2:15" ht="13.25" customHeight="1">
      <c r="B6" s="136" t="s">
        <v>194</v>
      </c>
      <c r="C6" s="283">
        <f>(C4*(1+Terminal_Growth))/(Equity_Cost-Terminal_Growth)</f>
        <v>47447925.603101276</v>
      </c>
      <c r="D6" t="str">
        <f>Reporting_currency</f>
        <v>CNY</v>
      </c>
      <c r="E6" s="187" t="s">
        <v>433</v>
      </c>
      <c r="F6" s="284">
        <f>BS!H42</f>
        <v>4283</v>
      </c>
      <c r="G6" t="str">
        <f>Reporting_currency</f>
        <v>CNY</v>
      </c>
      <c r="H6" s="308" t="s">
        <v>416</v>
      </c>
      <c r="I6" s="305">
        <f>I7+I8</f>
        <v>-38624.723002608531</v>
      </c>
      <c r="J6" s="305"/>
      <c r="N6" s="135"/>
    </row>
    <row r="7" spans="2:15" ht="12.75" customHeight="1">
      <c r="B7" s="318" t="s">
        <v>430</v>
      </c>
      <c r="C7" s="275">
        <f>F7</f>
        <v>13733235.500434754</v>
      </c>
      <c r="E7" s="140" t="s">
        <v>424</v>
      </c>
      <c r="F7" s="283">
        <f>SUM(F4:F6)</f>
        <v>13733235.500434754</v>
      </c>
      <c r="G7" t="str">
        <f>Reporting_currency</f>
        <v>CNY</v>
      </c>
      <c r="H7" s="312" t="s">
        <v>417</v>
      </c>
      <c r="I7" s="313">
        <f>Normalized_FCF!C9</f>
        <v>-12182</v>
      </c>
      <c r="J7" s="313"/>
      <c r="N7" s="304"/>
      <c r="O7" s="304"/>
    </row>
    <row r="8" spans="2:15" ht="13.15">
      <c r="B8" s="136" t="s">
        <v>426</v>
      </c>
      <c r="C8" s="283">
        <f>C6+C7</f>
        <v>61181161.103536032</v>
      </c>
      <c r="D8" t="str">
        <f>Reporting_currency</f>
        <v>CNY</v>
      </c>
      <c r="E8" s="140" t="s">
        <v>464</v>
      </c>
      <c r="F8" s="108">
        <f>FV_adjustments*scaling_factor/Common_Shares*Exchange_Rate</f>
        <v>1.7236890451577349</v>
      </c>
      <c r="G8" s="294" t="str">
        <f>Market_currency</f>
        <v>HKD</v>
      </c>
      <c r="H8" s="314" t="str">
        <f>Normalized_FCF!B10</f>
        <v>Net Interest Income</v>
      </c>
      <c r="I8" s="313">
        <f>Normalized_FCF!C10</f>
        <v>-26442.723002608527</v>
      </c>
      <c r="J8" s="313"/>
      <c r="N8" s="304"/>
      <c r="O8" s="304"/>
    </row>
    <row r="9" spans="2:15" ht="13.15" thickBot="1">
      <c r="B9" s="189" t="str">
        <f>"*"&amp;Thesis!E15</f>
        <v>*CNY/HKD</v>
      </c>
      <c r="C9" s="190">
        <f>Exchange_Rate</f>
        <v>1.1377999782562256</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69611923.773293927</v>
      </c>
      <c r="D10" t="str">
        <f>Market_currency</f>
        <v>HKD</v>
      </c>
      <c r="H10" s="308" t="s">
        <v>397</v>
      </c>
      <c r="I10" s="306">
        <f>Normalized_FCF!C41</f>
        <v>0.25</v>
      </c>
      <c r="N10" s="304"/>
      <c r="O10" s="304"/>
    </row>
    <row r="11" spans="2:15" ht="13.15">
      <c r="B11" s="136" t="s">
        <v>425</v>
      </c>
      <c r="C11" s="108">
        <f>(C10*scaling_factor)/Common_Shares</f>
        <v>7.678984108359395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0.22645563866550306</v>
      </c>
      <c r="E17" s="308" t="s">
        <v>550</v>
      </c>
      <c r="F17" s="311">
        <f>Scenarios!C40</f>
        <v>0.22645563866550303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7.9950937468294612</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0.22645563866550306</v>
      </c>
      <c r="F21" s="277">
        <f>C21*E21</f>
        <v>4786081.7269856818</v>
      </c>
      <c r="G21" s="299">
        <f t="shared" ref="G21:G50" si="2">IF(A21="",0%,IF(A21="I",$C$18,$F$18))</f>
        <v>0</v>
      </c>
      <c r="H21" s="277">
        <f>(F21*(1-$I$10)+C21*(G21-$I$9))</f>
        <v>3504002.8952856879</v>
      </c>
      <c r="I21" s="299">
        <f>H21/C4-1</f>
        <v>1.8613012126596162E-2</v>
      </c>
      <c r="J21" s="299">
        <f>H21/C21</f>
        <v>0.16579349430320878</v>
      </c>
      <c r="K21" s="119">
        <f t="shared" ref="K21:K50" si="3">IF($C$15&lt;B21,0,1/(1+Equity_Cost)^B21)</f>
        <v>0.93240093240093236</v>
      </c>
      <c r="L21" s="277">
        <f t="shared" ref="L21:L51" si="4">H21*K21</f>
        <v>3267135.5666999421</v>
      </c>
    </row>
    <row r="22" spans="1:21">
      <c r="A22" s="302" t="str">
        <f t="shared" si="0"/>
        <v>I</v>
      </c>
      <c r="B22" s="117">
        <v>2</v>
      </c>
      <c r="C22" s="277">
        <f t="shared" ref="C22:C50" si="5">IF(A22="",0,C21*(1+D22))</f>
        <v>21528124.24074826</v>
      </c>
      <c r="D22" s="299">
        <f t="shared" si="1"/>
        <v>1.8613012126595999E-2</v>
      </c>
      <c r="E22" s="299">
        <f t="shared" ref="E22:E50" si="6">IF($C$15&lt;B22,0,IF(B22&gt;=$F$15,$F$17,$C$17))</f>
        <v>0.22645563866550306</v>
      </c>
      <c r="F22" s="277">
        <f t="shared" ref="F22:F50" si="7">IF(A22="", 0,C22*E22)</f>
        <v>4875165.1242089458</v>
      </c>
      <c r="G22" s="299">
        <f t="shared" si="2"/>
        <v>0</v>
      </c>
      <c r="H22" s="277">
        <f t="shared" ref="H22:H50" si="8">IF(A22="", 0,F22*(1-$I$10)+C22*(G22-$I$9))</f>
        <v>3569222.9436672679</v>
      </c>
      <c r="I22" s="299">
        <f t="shared" ref="I22:I50" si="9">IF(A22="", 0,H22/H21-1)</f>
        <v>1.861301212659594E-2</v>
      </c>
      <c r="J22" s="299">
        <f>IF(A22="", 0,H22/C22)</f>
        <v>0.1657934943032088</v>
      </c>
      <c r="K22" s="119">
        <f t="shared" si="3"/>
        <v>0.86937149874212816</v>
      </c>
      <c r="L22" s="277">
        <f t="shared" si="4"/>
        <v>3102980.699880803</v>
      </c>
    </row>
    <row r="23" spans="1:21">
      <c r="A23" s="302" t="str">
        <f t="shared" si="0"/>
        <v>I</v>
      </c>
      <c r="B23" s="117">
        <v>3</v>
      </c>
      <c r="C23" s="277">
        <f t="shared" si="5"/>
        <v>21928827.47830417</v>
      </c>
      <c r="D23" s="299">
        <f t="shared" si="1"/>
        <v>1.8613012126595999E-2</v>
      </c>
      <c r="E23" s="299">
        <f t="shared" si="6"/>
        <v>0.22645563866550306</v>
      </c>
      <c r="F23" s="277">
        <f t="shared" si="7"/>
        <v>4965906.6317850035</v>
      </c>
      <c r="G23" s="299">
        <f t="shared" si="2"/>
        <v>0</v>
      </c>
      <c r="H23" s="277">
        <f t="shared" si="8"/>
        <v>3635656.9336002707</v>
      </c>
      <c r="I23" s="299">
        <f t="shared" si="9"/>
        <v>1.8613012126595718E-2</v>
      </c>
      <c r="J23" s="299">
        <f t="shared" ref="J23:J50" si="10">IF(A23="", 0,H23/C23)</f>
        <v>0.16579349430320878</v>
      </c>
      <c r="K23" s="119">
        <f t="shared" si="3"/>
        <v>0.81060279602995633</v>
      </c>
      <c r="L23" s="277">
        <f t="shared" si="4"/>
        <v>2947073.6757820765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0.22645563866550303</v>
      </c>
      <c r="F51" s="277">
        <f>C51*E51</f>
        <v>4965906.6317850035</v>
      </c>
      <c r="G51" s="299">
        <f>F18</f>
        <v>0</v>
      </c>
      <c r="H51" s="277">
        <f>(F51*(1-$I$10)+C51*(G51-$I$9))/Equity_Cost</f>
        <v>50146992.187589943</v>
      </c>
      <c r="I51" s="415">
        <f>(F51*(1-$I$10)+C51*(G51-$I$9))/VLOOKUP(C15,B21:H50,COLUMN(H20)-1,FALSE)-1</f>
        <v>0</v>
      </c>
      <c r="J51" s="454"/>
      <c r="K51" s="119">
        <f>1/(1+Equity_Cost)^C15</f>
        <v>0.81060279602995633</v>
      </c>
      <c r="L51" s="277">
        <f t="shared" si="4"/>
        <v>40649292.079752788</v>
      </c>
    </row>
    <row r="52" spans="1:21" ht="13.15">
      <c r="G52" s="111"/>
      <c r="H52" s="111"/>
      <c r="I52" s="111"/>
      <c r="J52" s="468" t="s">
        <v>420</v>
      </c>
      <c r="K52" s="468"/>
      <c r="L52" s="317">
        <f>SUM(L21:L51)</f>
        <v>49966482.022115611</v>
      </c>
    </row>
    <row r="53" spans="1:21">
      <c r="C53" s="111"/>
    </row>
    <row r="54" spans="1:21" ht="13.15">
      <c r="B54" s="115" t="s">
        <v>108</v>
      </c>
      <c r="C54" s="128"/>
      <c r="D54" s="128"/>
      <c r="E54" s="113"/>
      <c r="F54" s="113"/>
      <c r="G54" s="113"/>
      <c r="H54" s="113"/>
      <c r="I54" s="113"/>
      <c r="J54" s="113"/>
      <c r="K54" s="113"/>
      <c r="L54" s="113"/>
    </row>
    <row r="55" spans="1:21" ht="13.15">
      <c r="A55" s="125">
        <f>L52</f>
        <v>49966482.022115611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33213547.922170885</v>
      </c>
      <c r="C56" s="118">
        <v>40330736.76263608</v>
      </c>
      <c r="D56" s="118">
        <v>45075529.322946213</v>
      </c>
      <c r="E56" s="118">
        <v>48396884.115163296</v>
      </c>
      <c r="F56" s="118">
        <v>49820321.883256331</v>
      </c>
      <c r="G56" s="295"/>
      <c r="H56" s="295"/>
      <c r="I56" s="295"/>
      <c r="J56" s="295"/>
      <c r="K56" s="295"/>
      <c r="L56" s="295"/>
    </row>
    <row r="57" spans="1:21" ht="13.15">
      <c r="A57" s="131">
        <v>2</v>
      </c>
      <c r="B57" s="118">
        <v>23923045.006878335</v>
      </c>
      <c r="C57" s="118">
        <v>34690074.278351314</v>
      </c>
      <c r="D57" s="118">
        <v>42974106.044487193</v>
      </c>
      <c r="E57" s="118">
        <v>49299390.112648867</v>
      </c>
      <c r="F57" s="118">
        <v>52142947.612079479</v>
      </c>
      <c r="G57" s="295"/>
      <c r="H57" s="295"/>
      <c r="I57" s="295"/>
      <c r="J57" s="295"/>
      <c r="K57" s="295"/>
      <c r="L57" s="295"/>
    </row>
    <row r="58" spans="1:21" ht="13.15">
      <c r="A58" s="131">
        <v>3</v>
      </c>
      <c r="B58" s="118">
        <v>17859313.500393685</v>
      </c>
      <c r="C58" s="118">
        <v>30219619.162601151</v>
      </c>
      <c r="D58" s="118">
        <v>41112705.47149317</v>
      </c>
      <c r="E58" s="118">
        <v>50157717.494872913</v>
      </c>
      <c r="F58" s="118">
        <v>54416846.927011229</v>
      </c>
      <c r="G58" s="295"/>
      <c r="H58" s="295"/>
      <c r="I58" s="295"/>
      <c r="J58" s="295"/>
      <c r="K58" s="295"/>
      <c r="L58" s="295"/>
    </row>
    <row r="59" spans="1:21" ht="13.15">
      <c r="A59" s="131">
        <v>4</v>
      </c>
      <c r="B59" s="118">
        <v>13901633.263061041</v>
      </c>
      <c r="C59" s="118">
        <v>26676601.122146472</v>
      </c>
      <c r="D59" s="118">
        <v>39463912.423153475</v>
      </c>
      <c r="E59" s="118">
        <v>50974028.851393655</v>
      </c>
      <c r="F59" s="118">
        <v>56643042.060510829</v>
      </c>
      <c r="G59" s="295"/>
      <c r="H59" s="295"/>
      <c r="I59" s="295"/>
      <c r="J59" s="295"/>
      <c r="K59" s="295"/>
      <c r="L59" s="295"/>
    </row>
    <row r="60" spans="1:21" ht="13.15">
      <c r="A60" s="131">
        <v>5</v>
      </c>
      <c r="B60" s="118">
        <v>11318531.942657452</v>
      </c>
      <c r="C60" s="118">
        <v>23868614.796378203</v>
      </c>
      <c r="D60" s="118">
        <v>38003443.056325778</v>
      </c>
      <c r="E60" s="118">
        <v>51750380.910742074</v>
      </c>
      <c r="F60" s="118">
        <v>58822533.799601361</v>
      </c>
      <c r="G60" s="295"/>
      <c r="H60" s="295"/>
      <c r="I60" s="295"/>
      <c r="J60" s="295"/>
      <c r="K60" s="295"/>
      <c r="L60" s="295"/>
    </row>
    <row r="61" spans="1:21" ht="13.15">
      <c r="A61" s="131">
        <v>6</v>
      </c>
      <c r="B61" s="118">
        <v>9632591.6869161837</v>
      </c>
      <c r="C61" s="118">
        <v>21643171.088310104</v>
      </c>
      <c r="D61" s="118">
        <v>36709787.206921294</v>
      </c>
      <c r="E61" s="118">
        <v>52488729.72243008</v>
      </c>
      <c r="F61" s="118">
        <v>60956301.935773909</v>
      </c>
      <c r="G61" s="295"/>
      <c r="H61" s="295"/>
      <c r="I61" s="295"/>
      <c r="J61" s="295"/>
      <c r="K61" s="295"/>
      <c r="L61" s="295"/>
    </row>
    <row r="62" spans="1:21" ht="13.15">
      <c r="A62" s="131">
        <v>7</v>
      </c>
      <c r="B62" s="118">
        <v>8532211.1004183851</v>
      </c>
      <c r="C62" s="118">
        <v>19879416.168162897</v>
      </c>
      <c r="D62" s="118">
        <v>35563891.582740173</v>
      </c>
      <c r="E62" s="118">
        <v>53190935.585294195</v>
      </c>
      <c r="F62" s="118">
        <v>63045305.705453344</v>
      </c>
      <c r="G62" s="295"/>
      <c r="H62" s="295"/>
      <c r="I62" s="295"/>
      <c r="J62" s="295"/>
      <c r="K62" s="295"/>
      <c r="L62" s="295"/>
    </row>
    <row r="63" spans="1:21" ht="13.15">
      <c r="A63" s="131">
        <v>8</v>
      </c>
      <c r="B63" s="118">
        <v>7814013.981025883</v>
      </c>
      <c r="C63" s="118">
        <v>18481568.445901699</v>
      </c>
      <c r="D63" s="118">
        <v>34548879.141740561</v>
      </c>
      <c r="E63" s="118">
        <v>53858767.734591529</v>
      </c>
      <c r="F63" s="118">
        <v>65090484.221223392</v>
      </c>
      <c r="G63" s="295"/>
      <c r="H63" s="295"/>
      <c r="I63" s="295"/>
      <c r="J63" s="295"/>
      <c r="K63" s="295"/>
      <c r="L63" s="295"/>
    </row>
    <row r="64" spans="1:21" ht="13.15">
      <c r="A64" s="131">
        <v>9</v>
      </c>
      <c r="B64" s="118">
        <v>7345260.6163874194</v>
      </c>
      <c r="C64" s="118">
        <v>17373717.104249477</v>
      </c>
      <c r="D64" s="118">
        <v>33649800.522673324</v>
      </c>
      <c r="E64" s="118">
        <v>54493908.799657531</v>
      </c>
      <c r="F64" s="118">
        <v>67092756.894005254</v>
      </c>
      <c r="G64" s="295"/>
      <c r="H64" s="295"/>
      <c r="I64" s="295"/>
      <c r="J64" s="295"/>
      <c r="K64" s="295"/>
      <c r="L64" s="295"/>
    </row>
    <row r="65" spans="1:21" ht="13.15">
      <c r="A65" s="131">
        <v>10</v>
      </c>
      <c r="B65" s="118">
        <v>7039314.3644089354</v>
      </c>
      <c r="C65" s="118">
        <v>16495699.723919041</v>
      </c>
      <c r="D65" s="118">
        <v>32853413.867089279</v>
      </c>
      <c r="E65" s="118">
        <v>55097959.043356664</v>
      </c>
      <c r="F65" s="118">
        <v>69053023.846379131</v>
      </c>
      <c r="G65" s="295"/>
      <c r="H65" s="295"/>
      <c r="I65" s="295"/>
      <c r="J65" s="295"/>
      <c r="K65" s="295"/>
      <c r="L65" s="295"/>
    </row>
    <row r="66" spans="1:21" ht="13.15">
      <c r="A66" s="131">
        <v>15</v>
      </c>
      <c r="B66" s="118">
        <v>6532477.6526143597</v>
      </c>
      <c r="C66" s="277">
        <v>14190294.060824087</v>
      </c>
      <c r="D66" s="118">
        <v>30045128.657324843</v>
      </c>
      <c r="E66" s="118">
        <v>57702583.275956586</v>
      </c>
      <c r="F66" s="118">
        <v>78254477.187815785</v>
      </c>
      <c r="G66" s="295"/>
      <c r="H66" s="295"/>
      <c r="I66" s="295"/>
      <c r="J66" s="295"/>
      <c r="K66" s="295"/>
      <c r="L66" s="295"/>
      <c r="M66" s="275"/>
      <c r="N66" s="275"/>
      <c r="O66" s="275"/>
      <c r="P66" s="275"/>
      <c r="Q66" s="275"/>
      <c r="R66" s="275"/>
      <c r="S66" s="275"/>
      <c r="T66" s="275"/>
      <c r="U66" s="275"/>
    </row>
    <row r="67" spans="1:21" ht="13.15">
      <c r="A67" s="132">
        <v>20</v>
      </c>
      <c r="B67" s="118">
        <v>6472447.1802849118</v>
      </c>
      <c r="C67" s="277">
        <v>13469426.504478076</v>
      </c>
      <c r="D67" s="118">
        <v>28513784.750407912</v>
      </c>
      <c r="E67" s="118">
        <v>59729143.11243996</v>
      </c>
      <c r="F67" s="118">
        <v>86530399.768992946</v>
      </c>
      <c r="G67" s="295"/>
      <c r="H67" s="295"/>
      <c r="I67" s="295"/>
      <c r="J67" s="295"/>
      <c r="K67" s="295"/>
      <c r="L67" s="295"/>
      <c r="M67" s="275"/>
      <c r="N67" s="275"/>
      <c r="O67" s="275"/>
      <c r="P67" s="275"/>
      <c r="Q67" s="275"/>
      <c r="R67" s="275"/>
      <c r="S67" s="275"/>
      <c r="T67" s="275"/>
      <c r="U67" s="275"/>
    </row>
    <row r="68" spans="1:21" ht="13.15">
      <c r="A68" s="132">
        <v>25</v>
      </c>
      <c r="B68" s="118">
        <v>6465337.0844212221</v>
      </c>
      <c r="C68" s="277">
        <v>13244021.473983508</v>
      </c>
      <c r="D68" s="118">
        <v>27678750.561893873</v>
      </c>
      <c r="E68" s="118">
        <v>61305932.854101852</v>
      </c>
      <c r="F68" s="118">
        <v>93973886.360530019</v>
      </c>
      <c r="G68" s="295"/>
      <c r="H68" s="295"/>
      <c r="I68" s="295"/>
      <c r="J68" s="295"/>
      <c r="K68" s="295"/>
      <c r="L68" s="295"/>
      <c r="M68" s="275"/>
      <c r="N68" s="275"/>
      <c r="O68" s="275"/>
      <c r="P68" s="275"/>
      <c r="Q68" s="275"/>
      <c r="R68" s="275"/>
      <c r="S68" s="275"/>
      <c r="T68" s="275"/>
      <c r="U68" s="275"/>
    </row>
    <row r="69" spans="1:21" ht="13.15">
      <c r="A69" s="132">
        <v>30</v>
      </c>
      <c r="B69" s="118">
        <v>6464494.9543957673</v>
      </c>
      <c r="C69" s="277">
        <v>13173540.527344998</v>
      </c>
      <c r="D69" s="118">
        <v>27223410.587092828</v>
      </c>
      <c r="E69" s="118">
        <v>62532773.455919206</v>
      </c>
      <c r="F69" s="118">
        <v>100668667.7694822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7.678984108359395</v>
      </c>
      <c r="C73" s="119">
        <f>C11</f>
        <v>7.678984108359395</v>
      </c>
      <c r="D73" s="119">
        <f>C11</f>
        <v>7.678984108359395</v>
      </c>
      <c r="E73" s="119">
        <f>C11</f>
        <v>7.678984108359395</v>
      </c>
      <c r="F73" s="119">
        <f>C11</f>
        <v>7.678984108359395</v>
      </c>
      <c r="G73" s="296"/>
      <c r="H73" s="296"/>
      <c r="I73" s="296"/>
      <c r="J73" s="296"/>
      <c r="K73" s="296"/>
      <c r="L73" s="296"/>
    </row>
    <row r="74" spans="1:21" ht="13.15">
      <c r="A74" s="131">
        <v>1</v>
      </c>
      <c r="B74" s="119">
        <f t="shared" ref="B74:F87" si="11">(B56+FV_adjustments)/Common_Shares*scaling_factor*Exchange_Rate</f>
        <v>5.8923955893988964</v>
      </c>
      <c r="C74" s="119">
        <f t="shared" si="11"/>
        <v>6.7856898488791462</v>
      </c>
      <c r="D74" s="119">
        <f t="shared" si="11"/>
        <v>7.3812193551993133</v>
      </c>
      <c r="E74" s="119">
        <f t="shared" si="11"/>
        <v>7.7980900096234285</v>
      </c>
      <c r="F74" s="119">
        <f t="shared" si="11"/>
        <v>7.9767488615194777</v>
      </c>
      <c r="G74" s="296"/>
      <c r="H74" s="296"/>
      <c r="I74" s="296"/>
      <c r="J74" s="296"/>
      <c r="K74" s="296"/>
      <c r="L74" s="296"/>
    </row>
    <row r="75" spans="1:21" ht="13.15">
      <c r="A75" s="131">
        <v>2</v>
      </c>
      <c r="B75" s="119">
        <f t="shared" si="11"/>
        <v>4.7263238287719975</v>
      </c>
      <c r="C75" s="119">
        <f t="shared" si="11"/>
        <v>6.077717708498529</v>
      </c>
      <c r="D75" s="119">
        <f t="shared" si="11"/>
        <v>7.117465028390848</v>
      </c>
      <c r="E75" s="119">
        <f t="shared" si="11"/>
        <v>7.9113655520843276</v>
      </c>
      <c r="F75" s="119">
        <f t="shared" si="11"/>
        <v>8.2682668016762033</v>
      </c>
      <c r="G75" s="296"/>
      <c r="H75" s="296"/>
      <c r="I75" s="296"/>
      <c r="J75" s="296"/>
      <c r="K75" s="296"/>
      <c r="L75" s="296"/>
    </row>
    <row r="76" spans="1:21" ht="13.15">
      <c r="A76" s="131">
        <v>3</v>
      </c>
      <c r="B76" s="119">
        <f t="shared" si="11"/>
        <v>3.9652513509735567</v>
      </c>
      <c r="C76" s="119">
        <f t="shared" si="11"/>
        <v>5.5166209072644738</v>
      </c>
      <c r="D76" s="119">
        <f t="shared" si="11"/>
        <v>6.8838364871619042</v>
      </c>
      <c r="E76" s="119">
        <f t="shared" si="11"/>
        <v>8.0190961379212684</v>
      </c>
      <c r="F76" s="119">
        <f t="shared" si="11"/>
        <v>8.5536689808506186</v>
      </c>
      <c r="G76" s="296"/>
      <c r="H76" s="296"/>
      <c r="I76" s="296"/>
      <c r="J76" s="296"/>
      <c r="K76" s="296"/>
      <c r="L76" s="296"/>
    </row>
    <row r="77" spans="1:21" ht="13.15">
      <c r="A77" s="131">
        <v>4</v>
      </c>
      <c r="B77" s="119">
        <f t="shared" si="11"/>
        <v>3.4685140694267882</v>
      </c>
      <c r="C77" s="119">
        <f t="shared" si="11"/>
        <v>5.071928803722332</v>
      </c>
      <c r="D77" s="119">
        <f t="shared" si="11"/>
        <v>6.6768927909684326</v>
      </c>
      <c r="E77" s="119">
        <f t="shared" si="11"/>
        <v>8.1215531985773755</v>
      </c>
      <c r="F77" s="119">
        <f t="shared" si="11"/>
        <v>8.8330837017206747</v>
      </c>
      <c r="G77" s="296"/>
      <c r="H77" s="296"/>
      <c r="I77" s="296"/>
      <c r="J77" s="296"/>
      <c r="K77" s="296"/>
      <c r="L77" s="296"/>
    </row>
    <row r="78" spans="1:21" ht="13.15">
      <c r="A78" s="131">
        <v>5</v>
      </c>
      <c r="B78" s="119">
        <f t="shared" si="11"/>
        <v>3.1443032562960291</v>
      </c>
      <c r="C78" s="119">
        <f t="shared" si="11"/>
        <v>4.7194921715444114</v>
      </c>
      <c r="D78" s="119">
        <f t="shared" si="11"/>
        <v>6.4935860204474114</v>
      </c>
      <c r="E78" s="119">
        <f t="shared" si="11"/>
        <v>8.2189948786419293</v>
      </c>
      <c r="F78" s="119">
        <f t="shared" si="11"/>
        <v>9.1066365752997545</v>
      </c>
      <c r="G78" s="296"/>
      <c r="H78" s="296"/>
      <c r="I78" s="296"/>
      <c r="J78" s="296"/>
      <c r="K78" s="296"/>
      <c r="L78" s="296"/>
    </row>
    <row r="79" spans="1:21" ht="13.15">
      <c r="A79" s="131">
        <v>6</v>
      </c>
      <c r="B79" s="119">
        <f t="shared" si="11"/>
        <v>2.9326971311757215</v>
      </c>
      <c r="C79" s="119">
        <f t="shared" si="11"/>
        <v>4.4401717637577134</v>
      </c>
      <c r="D79" s="119">
        <f t="shared" si="11"/>
        <v>6.3312163868856652</v>
      </c>
      <c r="E79" s="119">
        <f t="shared" si="11"/>
        <v>8.3116666862557693</v>
      </c>
      <c r="F79" s="119">
        <f t="shared" si="11"/>
        <v>9.3744505774051419</v>
      </c>
      <c r="G79" s="296"/>
      <c r="H79" s="296"/>
      <c r="I79" s="296"/>
      <c r="J79" s="296"/>
      <c r="K79" s="296"/>
      <c r="L79" s="296"/>
    </row>
    <row r="80" spans="1:21" ht="13.15">
      <c r="A80" s="131">
        <f t="shared" ref="A80" si="12">A62</f>
        <v>7</v>
      </c>
      <c r="B80" s="119">
        <f t="shared" si="11"/>
        <v>2.7945859073209749</v>
      </c>
      <c r="C80" s="119">
        <f t="shared" si="11"/>
        <v>4.2187989463976274</v>
      </c>
      <c r="D80" s="119">
        <f t="shared" si="11"/>
        <v>6.1873924690454274</v>
      </c>
      <c r="E80" s="119">
        <f t="shared" si="11"/>
        <v>8.3998021116787207</v>
      </c>
      <c r="F80" s="119">
        <f t="shared" si="11"/>
        <v>9.6366461039418922</v>
      </c>
      <c r="G80" s="296"/>
      <c r="H80" s="296"/>
      <c r="I80" s="296"/>
      <c r="J80" s="296"/>
      <c r="K80" s="296"/>
      <c r="L80" s="296"/>
    </row>
    <row r="81" spans="1:12" ht="13.15">
      <c r="A81" s="131">
        <v>8</v>
      </c>
      <c r="B81" s="119">
        <f t="shared" si="11"/>
        <v>2.7044433835929351</v>
      </c>
      <c r="C81" s="119">
        <f t="shared" si="11"/>
        <v>4.0433519582800752</v>
      </c>
      <c r="D81" s="119">
        <f t="shared" si="11"/>
        <v>6.0599959917044206</v>
      </c>
      <c r="E81" s="119">
        <f t="shared" si="11"/>
        <v>8.483623215577472</v>
      </c>
      <c r="F81" s="119">
        <f t="shared" si="11"/>
        <v>9.8933410250268174</v>
      </c>
      <c r="G81" s="296"/>
      <c r="H81" s="296"/>
      <c r="I81" s="296"/>
      <c r="J81" s="296"/>
      <c r="K81" s="296"/>
      <c r="L81" s="296"/>
    </row>
    <row r="82" spans="1:12" ht="13.15">
      <c r="A82" s="131">
        <f t="shared" ref="A82" si="13">A64</f>
        <v>9</v>
      </c>
      <c r="B82" s="119">
        <f t="shared" si="11"/>
        <v>2.6456091023718371</v>
      </c>
      <c r="C82" s="119">
        <f t="shared" si="11"/>
        <v>3.9043030632684967</v>
      </c>
      <c r="D82" s="119">
        <f t="shared" si="11"/>
        <v>5.9471506271599415</v>
      </c>
      <c r="E82" s="119">
        <f t="shared" si="11"/>
        <v>8.5633411885161443</v>
      </c>
      <c r="F82" s="119">
        <f t="shared" si="11"/>
        <v>10.144650737977091</v>
      </c>
      <c r="G82" s="296"/>
      <c r="H82" s="296"/>
      <c r="I82" s="296"/>
      <c r="J82" s="296"/>
      <c r="K82" s="296"/>
      <c r="L82" s="296"/>
    </row>
    <row r="83" spans="1:12" ht="13.15">
      <c r="A83" s="131">
        <f t="shared" ref="A83:A87" si="14">A65</f>
        <v>10</v>
      </c>
      <c r="B83" s="119">
        <f t="shared" si="11"/>
        <v>2.6072091053044537</v>
      </c>
      <c r="C83" s="119">
        <f t="shared" si="11"/>
        <v>3.7941011418140986</v>
      </c>
      <c r="D83" s="119">
        <f t="shared" si="11"/>
        <v>5.8471943601974647</v>
      </c>
      <c r="E83" s="119">
        <f t="shared" si="11"/>
        <v>8.6391568830592185</v>
      </c>
      <c r="F83" s="119">
        <f t="shared" si="11"/>
        <v>10.390688219187156</v>
      </c>
      <c r="G83" s="296"/>
      <c r="H83" s="296"/>
      <c r="I83" s="296"/>
      <c r="J83" s="296"/>
      <c r="K83" s="296"/>
      <c r="L83" s="296"/>
    </row>
    <row r="84" spans="1:12" ht="13.15">
      <c r="A84" s="131">
        <f t="shared" si="14"/>
        <v>15</v>
      </c>
      <c r="B84" s="119">
        <f t="shared" si="11"/>
        <v>2.5435948981661269</v>
      </c>
      <c r="C84" s="119">
        <f t="shared" si="11"/>
        <v>3.5047445305482703</v>
      </c>
      <c r="D84" s="119">
        <f t="shared" si="11"/>
        <v>5.4947202144219691</v>
      </c>
      <c r="E84" s="119">
        <f t="shared" si="11"/>
        <v>8.9660690849465841</v>
      </c>
      <c r="F84" s="119">
        <f t="shared" si="11"/>
        <v>11.545583169008871</v>
      </c>
      <c r="G84" s="296"/>
      <c r="H84" s="296"/>
      <c r="I84" s="296"/>
      <c r="J84" s="296"/>
      <c r="K84" s="296"/>
      <c r="L84" s="296"/>
    </row>
    <row r="85" spans="1:12" ht="13.15">
      <c r="A85" s="132">
        <f t="shared" si="14"/>
        <v>20</v>
      </c>
      <c r="B85" s="119">
        <f t="shared" si="11"/>
        <v>2.5360603395745525</v>
      </c>
      <c r="C85" s="119">
        <f t="shared" si="11"/>
        <v>3.4142668343168237</v>
      </c>
      <c r="D85" s="119">
        <f t="shared" si="11"/>
        <v>5.3025178221569993</v>
      </c>
      <c r="E85" s="119">
        <f t="shared" si="11"/>
        <v>9.2204271340306789</v>
      </c>
      <c r="F85" s="119">
        <f t="shared" si="11"/>
        <v>12.584312686994418</v>
      </c>
      <c r="G85" s="296"/>
      <c r="H85" s="296"/>
      <c r="I85" s="296"/>
      <c r="J85" s="296"/>
      <c r="K85" s="296"/>
      <c r="L85" s="296"/>
    </row>
    <row r="86" spans="1:12" ht="13.15">
      <c r="A86" s="132">
        <f t="shared" si="14"/>
        <v>25</v>
      </c>
      <c r="B86" s="119">
        <f t="shared" si="11"/>
        <v>2.5351679355704215</v>
      </c>
      <c r="C86" s="119">
        <f t="shared" si="11"/>
        <v>3.3859757457547266</v>
      </c>
      <c r="D86" s="119">
        <f t="shared" si="11"/>
        <v>5.19771081706135</v>
      </c>
      <c r="E86" s="119">
        <f t="shared" si="11"/>
        <v>9.4183335344658623</v>
      </c>
      <c r="F86" s="119">
        <f t="shared" si="11"/>
        <v>13.518561305625095</v>
      </c>
      <c r="G86" s="296"/>
      <c r="H86" s="296"/>
      <c r="I86" s="296"/>
      <c r="J86" s="296"/>
      <c r="K86" s="296"/>
      <c r="L86" s="296"/>
    </row>
    <row r="87" spans="1:12" ht="13.15">
      <c r="A87" s="132">
        <f t="shared" si="14"/>
        <v>30</v>
      </c>
      <c r="B87" s="119">
        <f t="shared" si="11"/>
        <v>2.5350622379509904</v>
      </c>
      <c r="C87" s="119">
        <f t="shared" si="11"/>
        <v>3.3771295248034221</v>
      </c>
      <c r="D87" s="119">
        <f t="shared" si="11"/>
        <v>5.1405600803422331</v>
      </c>
      <c r="E87" s="119">
        <f t="shared" si="11"/>
        <v>9.5723170371473945</v>
      </c>
      <c r="F87" s="119">
        <f t="shared" si="11"/>
        <v>14.358838265411537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8.5536689808506186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8.0190961379212684</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6.8838364871619042</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5.5166209072644738</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3.9652513509735567</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2919358.1170187257</v>
      </c>
      <c r="D8" s="469"/>
      <c r="E8" s="469"/>
      <c r="F8" s="469"/>
      <c r="G8" s="469"/>
    </row>
    <row r="9" spans="2:7">
      <c r="B9" s="97" t="s">
        <v>54</v>
      </c>
      <c r="C9" s="447">
        <f>Normalized_FCF!C19</f>
        <v>3439974.6062248424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-0.15599721456083171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8.0190961379212684</v>
      </c>
      <c r="F22" s="328">
        <f>1-F23-F24</f>
        <v>0.19999999999999996</v>
      </c>
      <c r="G22" s="328">
        <f>F22*(1-F$29-F$30)</f>
        <v>0.15999999999999995</v>
      </c>
    </row>
    <row r="23" spans="2:7">
      <c r="B23" s="302" t="s">
        <v>437</v>
      </c>
      <c r="C23" s="324">
        <v>-0.05</v>
      </c>
      <c r="D23" s="325">
        <f>C18</f>
        <v>3</v>
      </c>
      <c r="E23" s="326">
        <f>DCF!E92</f>
        <v>6.8838364871619042</v>
      </c>
      <c r="F23" s="327">
        <v>0.55000000000000004</v>
      </c>
      <c r="G23" s="328">
        <f t="shared" ref="G23:G24" si="0">F23*(1-F$29-F$30)</f>
        <v>0.44</v>
      </c>
    </row>
    <row r="24" spans="2:7">
      <c r="B24" s="302" t="s">
        <v>446</v>
      </c>
      <c r="C24" s="324">
        <v>-0.15</v>
      </c>
      <c r="D24" s="325">
        <f>C18</f>
        <v>3</v>
      </c>
      <c r="E24" s="326">
        <f>DCF!E93</f>
        <v>5.5166209072644738</v>
      </c>
      <c r="F24" s="327">
        <v>0.25</v>
      </c>
      <c r="G24" s="328">
        <f t="shared" si="0"/>
        <v>0.19999999999999998</v>
      </c>
    </row>
    <row r="25" spans="2:7">
      <c r="B25" s="141" t="s">
        <v>451</v>
      </c>
      <c r="C25" s="441">
        <f>E23*F23+E24*F24+E22*F22</f>
        <v>6.7690845223394192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8.5536689808506186</v>
      </c>
      <c r="F29" s="327">
        <v>0.05</v>
      </c>
      <c r="G29" s="328">
        <f>F29</f>
        <v>0.05</v>
      </c>
    </row>
    <row r="30" spans="2:7">
      <c r="B30" s="315" t="s">
        <v>447</v>
      </c>
      <c r="C30" s="324">
        <v>-0.3</v>
      </c>
      <c r="D30" s="325">
        <f>C18</f>
        <v>3</v>
      </c>
      <c r="E30" s="326">
        <f>DCF!E94</f>
        <v>3.9652513509735567</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3.92</v>
      </c>
      <c r="D34" t="str">
        <f>Market_currency</f>
        <v>HKD</v>
      </c>
      <c r="E34" s="97" t="s">
        <v>454</v>
      </c>
      <c r="F34" s="330">
        <f>RATE(Holding_Period,$C$33,-C34,$C$36)</f>
        <v>0.23283448968117915</v>
      </c>
    </row>
    <row r="35" spans="2:7">
      <c r="B35" s="97" t="s">
        <v>434</v>
      </c>
      <c r="C35" s="320">
        <f>DCF!C11</f>
        <v>7.678984108359395</v>
      </c>
      <c r="D35" s="97" t="str">
        <f>Market_currency</f>
        <v>HKD</v>
      </c>
      <c r="E35" s="97" t="s">
        <v>454</v>
      </c>
      <c r="F35" s="330">
        <f>RATE(Holding_Period,$C$33,-C35,$C$36)</f>
        <v>-2.368885038249258E-2</v>
      </c>
    </row>
    <row r="36" spans="2:7">
      <c r="B36" s="97" t="s">
        <v>435</v>
      </c>
      <c r="C36" s="321">
        <f>E22*G22+E23*G23+E24*G24+E30*G30+E29*G29</f>
        <v>6.4377387695601005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0.22645563866550303</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7.9950937468294612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0.26774759070808285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0.43913609467455633</v>
      </c>
      <c r="D62" s="119">
        <f>C36/(1+F62)^Holding_Period</f>
        <v>2.9302406779973142</v>
      </c>
      <c r="E62" s="332">
        <f>C62+D62</f>
        <v>3.3693767726718704</v>
      </c>
      <c r="F62" s="301">
        <f>Thesis!E22</f>
        <v>0.3</v>
      </c>
      <c r="G62" s="440">
        <f>(1-E62/C36)</f>
        <v>0.47662107872356174</v>
      </c>
    </row>
    <row r="63" spans="2:7" ht="13.15">
      <c r="B63" s="302" t="s">
        <v>313</v>
      </c>
      <c r="C63" s="119">
        <f>PV(F63, Holding_Period, -C58, 0)</f>
        <v>0.50934722222222217</v>
      </c>
      <c r="D63" s="119">
        <f>C36/(1+F63)^Holding_Period</f>
        <v>3.7255432694213546</v>
      </c>
      <c r="E63" s="332">
        <f>C63+D63</f>
        <v>4.2348904916435766</v>
      </c>
      <c r="F63" s="301">
        <f>Thesis!E23</f>
        <v>0.2</v>
      </c>
      <c r="G63" s="440">
        <f>(1-E63/C36)</f>
        <v>0.34217733225404667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4.6143161705965294</v>
      </c>
      <c r="E66" s="332">
        <f>C66+D66</f>
        <v>5.1976836064484946</v>
      </c>
      <c r="F66" s="301">
        <f>Thesis!E24</f>
        <v>0.1174</v>
      </c>
      <c r="G66" s="440">
        <f>(1-E66/C36)</f>
        <v>0.19262278379095221</v>
      </c>
    </row>
    <row r="67" spans="2:7" ht="13.15">
      <c r="B67" s="302" t="s">
        <v>314</v>
      </c>
      <c r="C67" s="119">
        <f>PV(F67, Holding_Period, -C58, 0)</f>
        <v>0.63167232993043521</v>
      </c>
      <c r="D67" s="119">
        <f>C36/(1+F67)^Holding_Period</f>
        <v>5.2184490467158682</v>
      </c>
      <c r="E67" s="332">
        <f>C67+D67</f>
        <v>5.8501213766463032</v>
      </c>
      <c r="F67" s="301">
        <f>Thesis!E25</f>
        <v>7.2499999999999995E-2</v>
      </c>
      <c r="G67" s="440">
        <f>(1-E67/C36)</f>
        <v>9.1276986213274069E-2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3.92</v>
      </c>
    </row>
    <row r="9" spans="1:10">
      <c r="B9" s="351" t="s">
        <v>361</v>
      </c>
      <c r="C9" s="353">
        <f>Common_Shares</f>
        <v>9065251704</v>
      </c>
    </row>
    <row r="10" spans="1:10">
      <c r="B10" s="351" t="s">
        <v>367</v>
      </c>
      <c r="C10" s="357">
        <f>投资主题!C8*Common_Shares/1000000</f>
        <v>35535.786679680001</v>
      </c>
      <c r="D10" s="343" t="s">
        <v>528</v>
      </c>
      <c r="E10" s="360">
        <f>Scenarios!F34</f>
        <v>0.23283448968117915</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1.1377999782562256</v>
      </c>
    </row>
    <row r="17" spans="1:6">
      <c r="B17" s="343" t="s">
        <v>534</v>
      </c>
      <c r="C17" s="424">
        <f>Terminal_Growth</f>
        <v>0</v>
      </c>
      <c r="D17" s="351" t="s">
        <v>339</v>
      </c>
      <c r="E17" s="344" t="str">
        <f>Reporting_currency</f>
        <v>CNY</v>
      </c>
    </row>
    <row r="18" spans="1:6">
      <c r="B18" s="343" t="str">
        <f>"预期股权价值 ("&amp;C7&amp;") :"</f>
        <v>预期股权价值 (HKD) :</v>
      </c>
      <c r="C18" s="359">
        <f>C125</f>
        <v>6.4377387695601005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3.3693767726718704</v>
      </c>
      <c r="D22" s="365" t="s">
        <v>440</v>
      </c>
      <c r="E22" s="366">
        <f>Thesis!E22</f>
        <v>0.3</v>
      </c>
    </row>
    <row r="23" spans="1:6">
      <c r="B23" s="343" t="s">
        <v>341</v>
      </c>
      <c r="C23" s="367">
        <f>E141</f>
        <v>4.2348904916435766</v>
      </c>
      <c r="D23" s="365" t="s">
        <v>441</v>
      </c>
      <c r="E23" s="368">
        <f>Thesis!E23</f>
        <v>0.2</v>
      </c>
    </row>
    <row r="24" spans="1:6">
      <c r="B24" s="343" t="s">
        <v>343</v>
      </c>
      <c r="C24" s="367">
        <f>E144</f>
        <v>5.1976836064484946</v>
      </c>
      <c r="D24" s="365" t="s">
        <v>443</v>
      </c>
      <c r="E24" s="368">
        <f>Thesis!E24</f>
        <v>0.1174</v>
      </c>
    </row>
    <row r="25" spans="1:6">
      <c r="B25" s="343" t="s">
        <v>342</v>
      </c>
      <c r="C25" s="367">
        <f>E145</f>
        <v>5.8501213766463032</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4737250.864635732</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18203.276997391473</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-26442.723002608527</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-1174656.5354082808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2919358.1170187257</v>
      </c>
      <c r="D60" s="343" t="str">
        <f>Reporting_currency</f>
        <v>CNY</v>
      </c>
    </row>
    <row r="61" spans="2:6">
      <c r="B61" s="372" t="s">
        <v>213</v>
      </c>
      <c r="C61" s="373">
        <f>Normalized_FCF!C19</f>
        <v>3439974.6062248424</v>
      </c>
      <c r="D61" s="343" t="str">
        <f>Reporting_currency</f>
        <v>CNY</v>
      </c>
    </row>
    <row r="62" spans="2:6">
      <c r="B62" s="377" t="s">
        <v>302</v>
      </c>
      <c r="C62" s="378">
        <f>Normalized_FCF!C124</f>
        <v>0.11014257451074499</v>
      </c>
      <c r="F62" s="379"/>
    </row>
    <row r="63" spans="2:6">
      <c r="B63" s="377" t="s">
        <v>332</v>
      </c>
      <c r="C63" s="378">
        <f>Normalized_FCF!C92</f>
        <v>6.1683673469387752E-2</v>
      </c>
      <c r="E63" s="372" t="s">
        <v>373</v>
      </c>
      <c r="F63" s="380">
        <f>Normalized_FCF!C90</f>
        <v>0.63720757067819134</v>
      </c>
    </row>
    <row r="65" spans="1:6">
      <c r="B65" s="369" t="s">
        <v>376</v>
      </c>
      <c r="C65" s="381" t="s">
        <v>327</v>
      </c>
      <c r="D65" s="381" t="s">
        <v>374</v>
      </c>
    </row>
    <row r="66" spans="1:6">
      <c r="B66" s="372" t="s">
        <v>326</v>
      </c>
      <c r="C66" s="378">
        <f>Normalized_FCF!E119</f>
        <v>0.17304079935938224</v>
      </c>
      <c r="D66" s="378">
        <f>Normalized_FCF!G119</f>
        <v>0.1804186534711629</v>
      </c>
    </row>
    <row r="67" spans="1:6">
      <c r="B67" s="382" t="str">
        <f>Normalized_FCF!B116</f>
        <v>Pre-tax Profit/Sales</v>
      </c>
      <c r="C67" s="383">
        <f>Normalized_FCF!E116</f>
        <v>0.22645563866550303</v>
      </c>
      <c r="D67" s="383">
        <f>Normalized_FCF!G116</f>
        <v>0.23611091459493438</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-0.10605946800153272</v>
      </c>
      <c r="D79" s="343" t="str">
        <f>Market_currency</f>
        <v>HKD</v>
      </c>
    </row>
    <row r="80" spans="1:6">
      <c r="B80" s="382" t="s">
        <v>309</v>
      </c>
      <c r="C80" s="388">
        <f>IF(BS!G31/BS!G27&gt;300%,"nm",BS!G31/BS!G27)</f>
        <v>3.1120102042901991E-2</v>
      </c>
    </row>
    <row r="81" spans="1:6">
      <c r="B81" s="382" t="s">
        <v>311</v>
      </c>
      <c r="C81" s="389">
        <f>IF(BS!C50&gt;30,"nm",BS!C50)</f>
        <v>0.17837624059729351</v>
      </c>
    </row>
    <row r="83" spans="1:6">
      <c r="B83" s="343" t="s">
        <v>511</v>
      </c>
    </row>
    <row r="84" spans="1:6">
      <c r="B84" s="343" t="s">
        <v>224</v>
      </c>
      <c r="C84" s="373">
        <f>DCF!F5</f>
        <v>14573965.500434754</v>
      </c>
      <c r="D84" s="343" t="str">
        <f>Reporting_currency</f>
        <v>CNY</v>
      </c>
    </row>
    <row r="85" spans="1:6">
      <c r="B85" s="382" t="s">
        <v>481</v>
      </c>
      <c r="C85" s="390">
        <f>BS!C66</f>
        <v>17607845</v>
      </c>
      <c r="D85" s="391" t="str">
        <f>Reporting_currency</f>
        <v>CNY</v>
      </c>
    </row>
    <row r="86" spans="1:6">
      <c r="B86" s="372" t="s">
        <v>235</v>
      </c>
      <c r="C86" s="387">
        <f>C84*scaling_factor*Exchange_Rate/Common_Shares</f>
        <v>1.8292109442680784</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5.3756889118932447E-4</v>
      </c>
      <c r="D90" s="343" t="str">
        <f>Market_currency</f>
        <v>HKD</v>
      </c>
    </row>
    <row r="92" spans="1:6">
      <c r="B92" s="372" t="s">
        <v>480</v>
      </c>
      <c r="C92" s="387">
        <f>DCF!F8</f>
        <v>1.7236890451577349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1.2929348352930863</v>
      </c>
      <c r="D111" s="343" t="str">
        <f>Market_currency</f>
        <v>HKD</v>
      </c>
    </row>
    <row r="112" spans="1:6">
      <c r="A112" s="385"/>
      <c r="B112" s="372" t="s">
        <v>377</v>
      </c>
      <c r="C112" s="394">
        <f>DCF!C11</f>
        <v>7.678984108359395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8.55 HKD</v>
      </c>
      <c r="F118" s="399">
        <f>DCF!F90</f>
        <v>0.05</v>
      </c>
    </row>
    <row r="119" spans="1:6">
      <c r="A119" s="385"/>
      <c r="B119" s="400" t="str">
        <f>DCF!B91</f>
        <v>Optimistic</v>
      </c>
      <c r="C119" s="401">
        <f>DCF!C91</f>
        <v>0.02</v>
      </c>
      <c r="D119" s="402">
        <f>DCF!D91</f>
        <v>3</v>
      </c>
      <c r="E119" s="398" t="str">
        <f>ROUND(DCF!E91,2)&amp;" "&amp;Market_currency</f>
        <v>8.02 HKD</v>
      </c>
      <c r="F119" s="403">
        <f>DCF!F91</f>
        <v>0.15999999999999995</v>
      </c>
    </row>
    <row r="120" spans="1:6">
      <c r="B120" s="400" t="str">
        <f>DCF!B92</f>
        <v>Base</v>
      </c>
      <c r="C120" s="401">
        <f>DCF!C92</f>
        <v>-0.05</v>
      </c>
      <c r="D120" s="402">
        <f>DCF!D92</f>
        <v>3</v>
      </c>
      <c r="E120" s="398" t="str">
        <f>ROUND(DCF!E92,2)&amp;" "&amp;Market_currency</f>
        <v>6.88 HKD</v>
      </c>
      <c r="F120" s="403">
        <f>DCF!F92</f>
        <v>0.44</v>
      </c>
    </row>
    <row r="121" spans="1:6">
      <c r="B121" s="400" t="str">
        <f>DCF!B93</f>
        <v>Pessimistic</v>
      </c>
      <c r="C121" s="401">
        <f>DCF!C93</f>
        <v>-0.15</v>
      </c>
      <c r="D121" s="402">
        <f>DCF!D93</f>
        <v>3</v>
      </c>
      <c r="E121" s="398" t="str">
        <f>ROUND(DCF!E93,2)&amp;" "&amp;Market_currency</f>
        <v>5.52 HKD</v>
      </c>
      <c r="F121" s="403">
        <f>DCF!F93</f>
        <v>0.19999999999999998</v>
      </c>
    </row>
    <row r="122" spans="1:6">
      <c r="B122" s="400" t="str">
        <f>DCF!B94</f>
        <v>Devil's advocate</v>
      </c>
      <c r="C122" s="401">
        <f>DCF!C94</f>
        <v>-0.3</v>
      </c>
      <c r="D122" s="402">
        <f>DCF!D94</f>
        <v>3</v>
      </c>
      <c r="E122" s="398" t="str">
        <f>ROUND(DCF!E94,2)&amp;" "&amp;Market_currency</f>
        <v>3.97 HKD</v>
      </c>
      <c r="F122" s="403">
        <f>DCF!F94</f>
        <v>0.15</v>
      </c>
    </row>
    <row r="124" spans="1:6">
      <c r="B124" s="470" t="s">
        <v>518</v>
      </c>
      <c r="C124" s="470"/>
      <c r="D124" s="470"/>
      <c r="E124" s="470"/>
      <c r="F124" s="470"/>
    </row>
    <row r="125" spans="1:6">
      <c r="B125" s="372" t="s">
        <v>218</v>
      </c>
      <c r="C125" s="404">
        <f>Scenarios!C36</f>
        <v>6.4377387695601005</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0.43913609467455633</v>
      </c>
      <c r="D140" s="409">
        <f>Scenarios!D62</f>
        <v>2.9302406779973142</v>
      </c>
      <c r="E140" s="410">
        <f>Scenarios!E62</f>
        <v>3.3693767726718704</v>
      </c>
      <c r="F140" s="411">
        <f>E22</f>
        <v>0.3</v>
      </c>
    </row>
    <row r="141" spans="1:6">
      <c r="B141" s="408" t="s">
        <v>313</v>
      </c>
      <c r="C141" s="409">
        <f>Scenarios!C63</f>
        <v>0.50934722222222217</v>
      </c>
      <c r="D141" s="409">
        <f>Scenarios!D63</f>
        <v>3.7255432694213546</v>
      </c>
      <c r="E141" s="410">
        <f>Scenarios!E63</f>
        <v>4.2348904916435766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4.6143161705965294</v>
      </c>
      <c r="E144" s="410">
        <f>Scenarios!E66</f>
        <v>5.1976836064484946</v>
      </c>
      <c r="F144" s="411">
        <f>E24</f>
        <v>0.1174</v>
      </c>
    </row>
    <row r="145" spans="1:6">
      <c r="B145" s="408" t="s">
        <v>314</v>
      </c>
      <c r="C145" s="409">
        <f>Scenarios!C67</f>
        <v>0.63167232993043521</v>
      </c>
      <c r="D145" s="409">
        <f>Scenarios!D67</f>
        <v>5.2184490467158682</v>
      </c>
      <c r="E145" s="410">
        <f>Scenarios!E67</f>
        <v>5.8501213766463032</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