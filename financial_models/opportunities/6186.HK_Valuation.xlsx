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5BB748D8-8451-49B3-BA58-19281BB0E57E}" xr6:coauthVersionLast="47" xr6:coauthVersionMax="47" xr10:uidLastSave="{00000000-0000-0000-0000-000000000000}"/>
  <bookViews>
    <workbookView xWindow="-98" yWindow="-98" windowWidth="17115" windowHeight="10755" xr2:uid="{00000000-000D-0000-FFFF-FFFF00000000}"/>
  </bookViews>
  <sheets>
    <sheet name="Thesis" sheetId="6" r:id="rId1"/>
    <sheet name="Data" sheetId="4" r:id="rId2"/>
    <sheet name="BS" sheetId="3" r:id="rId3"/>
    <sheet name="Normalized_FCF" sheetId="2" r:id="rId4"/>
    <sheet name="DCF" sheetId="8" r:id="rId5"/>
    <sheet name="Scenarios" sheetId="9" r:id="rId6"/>
    <sheet name="Breakdown" sheetId="11" r:id="rId7"/>
    <sheet name="投资主题" sheetId="12" r:id="rId8"/>
  </sheets>
  <definedNames>
    <definedName name="_xlnm._FilterDatabase" localSheetId="4" hidden="1">DCF!$B$73:$M$73</definedName>
    <definedName name="Common_Shares">Thesis!$C$9</definedName>
    <definedName name="dividend_tax_rate">Normalized_FCF!$C$91</definedName>
    <definedName name="Equity_Cost">Thesis!$C$101</definedName>
    <definedName name="Exchange_Rate">Thesis!$E$16</definedName>
    <definedName name="FV_adjustments">DCF!$F$7</definedName>
    <definedName name="Holding_Period">Thesis!$E$21</definedName>
    <definedName name="Market_currency">Thesis!$C$7</definedName>
    <definedName name="Market_Price">Thesis!$C$8</definedName>
    <definedName name="Reporting_currency">Thesis!$E$17</definedName>
    <definedName name="scaling_factor">Data!$C$3</definedName>
    <definedName name="Terminal_Growth">Thesis!$C$17</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D13" i="4" l="1"/>
  <c r="C13" i="4"/>
  <c r="C52" i="2"/>
  <c r="C35" i="2"/>
  <c r="C30" i="2"/>
  <c r="C29" i="2"/>
  <c r="C4" i="2"/>
  <c r="G4" i="3"/>
  <c r="C23" i="3"/>
  <c r="C19" i="3"/>
  <c r="C88" i="2"/>
  <c r="G25" i="4"/>
  <c r="F25" i="4"/>
  <c r="E25" i="4"/>
  <c r="D25" i="4"/>
  <c r="C25" i="4"/>
  <c r="C104" i="6"/>
  <c r="C17" i="12"/>
  <c r="D51" i="8"/>
  <c r="C143" i="6" l="1"/>
  <c r="C139" i="6"/>
  <c r="C139" i="12"/>
  <c r="C143" i="12"/>
  <c r="E143" i="12"/>
  <c r="E139" i="12"/>
  <c r="E143" i="6" l="1"/>
  <c r="E139" i="6"/>
  <c r="D92" i="6"/>
  <c r="G8" i="8"/>
  <c r="C9" i="8"/>
  <c r="G23" i="9"/>
  <c r="G24" i="9"/>
  <c r="G30" i="9"/>
  <c r="G29" i="9"/>
  <c r="C57" i="9"/>
  <c r="F33" i="9"/>
  <c r="E21" i="12"/>
  <c r="E65" i="9"/>
  <c r="E61" i="9"/>
  <c r="D33" i="9"/>
  <c r="D25" i="9"/>
  <c r="B78" i="8"/>
  <c r="B74" i="8"/>
  <c r="E4" i="9"/>
  <c r="E28" i="9"/>
  <c r="B76" i="8"/>
  <c r="B77" i="8"/>
  <c r="B75" i="8"/>
  <c r="D30" i="9"/>
  <c r="D29" i="9"/>
  <c r="E21" i="9"/>
  <c r="D10" i="8"/>
  <c r="G7" i="8"/>
  <c r="H8" i="8"/>
  <c r="H20" i="8"/>
  <c r="H3" i="2"/>
  <c r="H12" i="3"/>
  <c r="G12" i="3"/>
  <c r="C16" i="8" l="1"/>
  <c r="C41" i="9" s="1"/>
  <c r="F16" i="8" s="1"/>
  <c r="I10" i="8"/>
  <c r="E24" i="12"/>
  <c r="F144" i="12" s="1"/>
  <c r="E25" i="12"/>
  <c r="C102" i="12" s="1"/>
  <c r="E23" i="12"/>
  <c r="E22" i="12"/>
  <c r="C135" i="12"/>
  <c r="E17" i="12"/>
  <c r="C16" i="12"/>
  <c r="C15" i="12"/>
  <c r="C6" i="12"/>
  <c r="E16" i="12"/>
  <c r="C7" i="12"/>
  <c r="B18" i="12" s="1"/>
  <c r="C5" i="12"/>
  <c r="C21" i="12" s="1"/>
  <c r="C8" i="12"/>
  <c r="C10" i="12" s="1"/>
  <c r="E18" i="12"/>
  <c r="E19" i="12" s="1"/>
  <c r="C9" i="12"/>
  <c r="C4" i="12"/>
  <c r="F5" i="12"/>
  <c r="F4" i="12"/>
  <c r="F3" i="12"/>
  <c r="D136" i="12"/>
  <c r="D125" i="12"/>
  <c r="D111" i="12"/>
  <c r="D112" i="12"/>
  <c r="D90" i="12"/>
  <c r="D89" i="12"/>
  <c r="D86" i="12"/>
  <c r="D84" i="12"/>
  <c r="D85" i="12"/>
  <c r="D79" i="12"/>
  <c r="D78" i="12"/>
  <c r="D92" i="12"/>
  <c r="B69" i="12"/>
  <c r="B68" i="12"/>
  <c r="B67" i="12"/>
  <c r="D61" i="12"/>
  <c r="D60" i="12"/>
  <c r="D55" i="12"/>
  <c r="D52" i="12"/>
  <c r="D49" i="12"/>
  <c r="D46" i="12"/>
  <c r="D45" i="12"/>
  <c r="D44" i="12"/>
  <c r="D41" i="12"/>
  <c r="D38" i="12"/>
  <c r="D37" i="12"/>
  <c r="D34" i="12"/>
  <c r="C32" i="12"/>
  <c r="B89" i="2"/>
  <c r="B88" i="2"/>
  <c r="B68" i="6"/>
  <c r="B69" i="6"/>
  <c r="B67" i="6"/>
  <c r="I15" i="8"/>
  <c r="F140" i="12" l="1"/>
  <c r="C103" i="12"/>
  <c r="C101" i="12" s="1"/>
  <c r="E15" i="12"/>
  <c r="D36" i="4"/>
  <c r="E36" i="4"/>
  <c r="F36" i="4"/>
  <c r="D37" i="4"/>
  <c r="E37" i="4"/>
  <c r="F37" i="4"/>
  <c r="F38" i="4" l="1"/>
  <c r="E38" i="4"/>
  <c r="D38" i="4"/>
  <c r="B18" i="6"/>
  <c r="F62" i="9"/>
  <c r="C102" i="6"/>
  <c r="C103" i="6"/>
  <c r="C101" i="6" s="1"/>
  <c r="F144" i="6"/>
  <c r="F66" i="9"/>
  <c r="M62" i="4"/>
  <c r="C21" i="6"/>
  <c r="C10" i="6"/>
  <c r="C5" i="8" l="1"/>
  <c r="F63" i="9"/>
  <c r="F141" i="6" l="1"/>
  <c r="F141" i="12"/>
  <c r="F67" i="9"/>
  <c r="C32" i="6"/>
  <c r="H1" i="3"/>
  <c r="C3" i="2"/>
  <c r="C3" i="8"/>
  <c r="F140" i="6"/>
  <c r="D111" i="6"/>
  <c r="C45" i="9"/>
  <c r="M69" i="4"/>
  <c r="M70" i="4"/>
  <c r="M71" i="4"/>
  <c r="M72" i="4"/>
  <c r="C32" i="4"/>
  <c r="C30" i="4"/>
  <c r="C29" i="4"/>
  <c r="C28" i="4"/>
  <c r="D64" i="4"/>
  <c r="E64" i="4"/>
  <c r="F64" i="4"/>
  <c r="G64" i="4"/>
  <c r="H64" i="4"/>
  <c r="I64" i="4"/>
  <c r="J64" i="4"/>
  <c r="K64" i="4"/>
  <c r="L64" i="4"/>
  <c r="M64" i="4"/>
  <c r="C64" i="4"/>
  <c r="E83" i="2"/>
  <c r="E84" i="2"/>
  <c r="D45" i="6"/>
  <c r="D44" i="6"/>
  <c r="F145" i="6" l="1"/>
  <c r="F145" i="12"/>
  <c r="C40" i="3"/>
  <c r="E19" i="6" l="1"/>
  <c r="C52" i="9"/>
  <c r="D47" i="9"/>
  <c r="J18" i="8"/>
  <c r="D35" i="9"/>
  <c r="D34" i="9"/>
  <c r="D9" i="9"/>
  <c r="E87" i="3"/>
  <c r="E88" i="3"/>
  <c r="E89" i="3"/>
  <c r="E86" i="3"/>
  <c r="D90" i="6" l="1"/>
  <c r="D86" i="6"/>
  <c r="D79" i="6"/>
  <c r="D8" i="9"/>
  <c r="D7" i="9"/>
  <c r="C34" i="9"/>
  <c r="D60" i="6"/>
  <c r="B123" i="2"/>
  <c r="C135" i="6"/>
  <c r="D85" i="6"/>
  <c r="D112" i="6"/>
  <c r="D136" i="6"/>
  <c r="D125" i="6"/>
  <c r="F78" i="8"/>
  <c r="F122" i="12" s="1"/>
  <c r="F74" i="8"/>
  <c r="D89" i="6"/>
  <c r="D84" i="6"/>
  <c r="D78" i="6"/>
  <c r="D61" i="6"/>
  <c r="D49" i="6"/>
  <c r="B79" i="2"/>
  <c r="H9" i="8" s="1"/>
  <c r="D55" i="6"/>
  <c r="D52" i="6"/>
  <c r="D46" i="6"/>
  <c r="D41" i="6"/>
  <c r="D38" i="6"/>
  <c r="D37" i="6"/>
  <c r="D34" i="6"/>
  <c r="F118" i="6" l="1"/>
  <c r="F118" i="12"/>
  <c r="F76" i="8"/>
  <c r="F77" i="8"/>
  <c r="F122" i="6"/>
  <c r="F121" i="6" l="1"/>
  <c r="F121" i="12"/>
  <c r="F120" i="6"/>
  <c r="F120" i="12"/>
  <c r="G4" i="8"/>
  <c r="G5" i="8"/>
  <c r="G6" i="8"/>
  <c r="D6" i="8"/>
  <c r="Q96" i="2" l="1"/>
  <c r="G38" i="3"/>
  <c r="G37" i="3"/>
  <c r="D81" i="3"/>
  <c r="D80" i="3"/>
  <c r="C81" i="3"/>
  <c r="C80" i="3"/>
  <c r="C69" i="3"/>
  <c r="H24" i="3" l="1"/>
  <c r="D22" i="9"/>
  <c r="C67" i="3"/>
  <c r="D57" i="4"/>
  <c r="H58" i="2" s="1"/>
  <c r="E57" i="4"/>
  <c r="I58" i="2" s="1"/>
  <c r="F57" i="4"/>
  <c r="J58" i="2" s="1"/>
  <c r="G57" i="4"/>
  <c r="K58" i="2" s="1"/>
  <c r="H57" i="4"/>
  <c r="L58" i="2" s="1"/>
  <c r="I57" i="4"/>
  <c r="M58" i="2" s="1"/>
  <c r="J57" i="4"/>
  <c r="N58" i="2" s="1"/>
  <c r="K57" i="4"/>
  <c r="O58" i="2" s="1"/>
  <c r="L57" i="4"/>
  <c r="P58" i="2" s="1"/>
  <c r="M57" i="4"/>
  <c r="Q58" i="2" s="1"/>
  <c r="C57" i="4"/>
  <c r="G58" i="2" s="1"/>
  <c r="G66" i="2" s="1"/>
  <c r="M58" i="4"/>
  <c r="Q60" i="2" s="1"/>
  <c r="D56" i="4"/>
  <c r="H56" i="2" s="1"/>
  <c r="E56" i="4"/>
  <c r="I56" i="2" s="1"/>
  <c r="F56" i="4"/>
  <c r="J56" i="2" s="1"/>
  <c r="G56" i="4"/>
  <c r="K56" i="2" s="1"/>
  <c r="H56" i="4"/>
  <c r="L56" i="2" s="1"/>
  <c r="I56" i="4"/>
  <c r="M56" i="2" s="1"/>
  <c r="J56" i="4"/>
  <c r="N56" i="2" s="1"/>
  <c r="K56" i="4"/>
  <c r="O56" i="2" s="1"/>
  <c r="L56" i="4"/>
  <c r="P56" i="2" s="1"/>
  <c r="M56" i="4"/>
  <c r="Q56" i="2" s="1"/>
  <c r="C56" i="4"/>
  <c r="G56" i="2" s="1"/>
  <c r="M44" i="4"/>
  <c r="B25" i="4"/>
  <c r="G39" i="3" l="1"/>
  <c r="H39" i="3"/>
  <c r="D24" i="3"/>
  <c r="G36" i="3"/>
  <c r="D12" i="3"/>
  <c r="G64" i="2"/>
  <c r="C64" i="2" s="1"/>
  <c r="C56" i="2" s="1"/>
  <c r="D79" i="3"/>
  <c r="D82" i="3" s="1"/>
  <c r="H42" i="3" s="1"/>
  <c r="F6" i="8" s="1"/>
  <c r="C79" i="3"/>
  <c r="C82" i="3" s="1"/>
  <c r="G42" i="3" s="1"/>
  <c r="B47" i="3"/>
  <c r="D58" i="9"/>
  <c r="D36" i="9"/>
  <c r="D11" i="8"/>
  <c r="D8" i="8"/>
  <c r="C74" i="8"/>
  <c r="C118" i="12" s="1"/>
  <c r="F22" i="9"/>
  <c r="G22" i="9" s="1"/>
  <c r="E55" i="4"/>
  <c r="I57" i="2" s="1"/>
  <c r="F55" i="4"/>
  <c r="J57" i="2" s="1"/>
  <c r="G55" i="4"/>
  <c r="K57" i="2" s="1"/>
  <c r="H55" i="4"/>
  <c r="L57" i="2" s="1"/>
  <c r="I55" i="4"/>
  <c r="M57" i="2" s="1"/>
  <c r="J55" i="4"/>
  <c r="N57" i="2" s="1"/>
  <c r="K55" i="4"/>
  <c r="O57" i="2" s="1"/>
  <c r="L55" i="4"/>
  <c r="P57" i="2" s="1"/>
  <c r="M55" i="4"/>
  <c r="Q57" i="2" s="1"/>
  <c r="D55" i="4"/>
  <c r="H57" i="2" s="1"/>
  <c r="C55" i="4"/>
  <c r="G57" i="2" s="1"/>
  <c r="G30" i="3"/>
  <c r="C68" i="3"/>
  <c r="C66" i="2"/>
  <c r="C58" i="2" s="1"/>
  <c r="B122" i="6" l="1"/>
  <c r="B122" i="12"/>
  <c r="B120" i="6"/>
  <c r="B120" i="12"/>
  <c r="B118" i="6"/>
  <c r="B118" i="12"/>
  <c r="B121" i="6"/>
  <c r="B121" i="12"/>
  <c r="B119" i="6"/>
  <c r="B119" i="12"/>
  <c r="C88" i="3"/>
  <c r="D88" i="3" s="1"/>
  <c r="C89" i="12"/>
  <c r="C90" i="12" s="1"/>
  <c r="F75" i="8"/>
  <c r="D74" i="8"/>
  <c r="F55" i="8"/>
  <c r="F64" i="8" s="1"/>
  <c r="C118" i="6"/>
  <c r="C89" i="6"/>
  <c r="C90" i="6" s="1"/>
  <c r="G65" i="2"/>
  <c r="C65" i="2" l="1"/>
  <c r="C57" i="2" s="1"/>
  <c r="D118" i="6"/>
  <c r="D118" i="12"/>
  <c r="F119" i="6"/>
  <c r="F119" i="12"/>
  <c r="C77" i="8"/>
  <c r="C121" i="12" s="1"/>
  <c r="D24" i="9"/>
  <c r="D78" i="8"/>
  <c r="D23" i="9"/>
  <c r="C76" i="8"/>
  <c r="C120" i="12" s="1"/>
  <c r="C78" i="8"/>
  <c r="C122" i="12" s="1"/>
  <c r="D75" i="8"/>
  <c r="C75" i="8"/>
  <c r="C119" i="12" s="1"/>
  <c r="C15" i="8"/>
  <c r="B51" i="8" s="1"/>
  <c r="Q95" i="2"/>
  <c r="A71" i="8"/>
  <c r="A70" i="8"/>
  <c r="D122" i="6" l="1"/>
  <c r="D122" i="12"/>
  <c r="D119" i="6"/>
  <c r="D119" i="12"/>
  <c r="D77" i="8"/>
  <c r="D76" i="8"/>
  <c r="C59" i="2"/>
  <c r="C61" i="2" s="1"/>
  <c r="D55" i="8"/>
  <c r="C120" i="6"/>
  <c r="B55" i="8"/>
  <c r="B64" i="8" s="1"/>
  <c r="C122" i="6"/>
  <c r="C55" i="8"/>
  <c r="C121" i="6"/>
  <c r="E55" i="8"/>
  <c r="C119" i="6"/>
  <c r="H35" i="3"/>
  <c r="H40" i="3"/>
  <c r="H41" i="3" s="1"/>
  <c r="K51" i="8"/>
  <c r="K22" i="8"/>
  <c r="K28" i="8"/>
  <c r="K27" i="8"/>
  <c r="K39" i="8"/>
  <c r="K38" i="8"/>
  <c r="K21" i="8"/>
  <c r="K43" i="8"/>
  <c r="K29" i="8"/>
  <c r="K47" i="8"/>
  <c r="K37" i="8"/>
  <c r="K46" i="8"/>
  <c r="K35" i="8"/>
  <c r="K45" i="8"/>
  <c r="K31" i="8"/>
  <c r="K36" i="8"/>
  <c r="K44" i="8"/>
  <c r="K30" i="8"/>
  <c r="K50" i="8"/>
  <c r="K42" i="8"/>
  <c r="K34" i="8"/>
  <c r="K26" i="8"/>
  <c r="K49" i="8"/>
  <c r="K41" i="8"/>
  <c r="K33" i="8"/>
  <c r="K25" i="8"/>
  <c r="K48" i="8"/>
  <c r="K40" i="8"/>
  <c r="K32" i="8"/>
  <c r="K24" i="8"/>
  <c r="K23" i="8"/>
  <c r="D120" i="6" l="1"/>
  <c r="D120" i="12"/>
  <c r="D121" i="6"/>
  <c r="D121" i="12"/>
  <c r="C9" i="2"/>
  <c r="I7" i="8" s="1"/>
  <c r="H32" i="3"/>
  <c r="H27" i="3" s="1"/>
  <c r="H29" i="3" s="1"/>
  <c r="D46" i="3" s="1"/>
  <c r="D47" i="3" s="1"/>
  <c r="D64" i="8"/>
  <c r="E64" i="8"/>
  <c r="A67" i="8"/>
  <c r="A68" i="8"/>
  <c r="A69" i="8"/>
  <c r="A66" i="8"/>
  <c r="D4" i="8"/>
  <c r="C41" i="6" l="1"/>
  <c r="C41" i="12"/>
  <c r="C111" i="6"/>
  <c r="C111" i="12"/>
  <c r="I65" i="4"/>
  <c r="M88" i="2" s="1"/>
  <c r="J65" i="4"/>
  <c r="N88" i="2" s="1"/>
  <c r="K65" i="4"/>
  <c r="O88" i="2" s="1"/>
  <c r="L65" i="4"/>
  <c r="P88" i="2" s="1"/>
  <c r="M65" i="4"/>
  <c r="Q88" i="2" s="1"/>
  <c r="C101" i="2" l="1"/>
  <c r="C102" i="2"/>
  <c r="M76" i="4"/>
  <c r="E79" i="4"/>
  <c r="I103" i="2" s="1"/>
  <c r="F79" i="4"/>
  <c r="J103" i="2" s="1"/>
  <c r="G79" i="4"/>
  <c r="K103" i="2" s="1"/>
  <c r="H79" i="4"/>
  <c r="L103" i="2" s="1"/>
  <c r="I79" i="4"/>
  <c r="M103" i="2" s="1"/>
  <c r="J79" i="4"/>
  <c r="N103" i="2" s="1"/>
  <c r="K79" i="4"/>
  <c r="O103" i="2" s="1"/>
  <c r="L79" i="4"/>
  <c r="P103" i="2" s="1"/>
  <c r="M79" i="4"/>
  <c r="Q103" i="2" s="1"/>
  <c r="E80" i="4"/>
  <c r="I104" i="2" s="1"/>
  <c r="F80" i="4"/>
  <c r="J104" i="2" s="1"/>
  <c r="G80" i="4"/>
  <c r="K104" i="2" s="1"/>
  <c r="H80" i="4"/>
  <c r="L104" i="2" s="1"/>
  <c r="I80" i="4"/>
  <c r="M104" i="2" s="1"/>
  <c r="J80" i="4"/>
  <c r="N104" i="2" s="1"/>
  <c r="K80" i="4"/>
  <c r="O104" i="2" s="1"/>
  <c r="L80" i="4"/>
  <c r="P104" i="2" s="1"/>
  <c r="M80" i="4"/>
  <c r="Q104" i="2" s="1"/>
  <c r="C79" i="4"/>
  <c r="D79" i="4"/>
  <c r="H103" i="2" s="1"/>
  <c r="C77" i="4"/>
  <c r="C78" i="4"/>
  <c r="M68" i="4"/>
  <c r="B72" i="4"/>
  <c r="B70" i="4"/>
  <c r="B68" i="4"/>
  <c r="E15" i="6"/>
  <c r="D1" i="4"/>
  <c r="B9" i="8" l="1"/>
  <c r="D9" i="8"/>
  <c r="K76" i="4"/>
  <c r="L76" i="4"/>
  <c r="J76" i="4"/>
  <c r="I76" i="4"/>
  <c r="H76" i="4"/>
  <c r="F76" i="4"/>
  <c r="E76" i="4"/>
  <c r="G76" i="4"/>
  <c r="C46" i="4" l="1"/>
  <c r="G12" i="2" s="1"/>
  <c r="C47" i="4"/>
  <c r="C48" i="4"/>
  <c r="G13" i="2" s="1"/>
  <c r="C66" i="3"/>
  <c r="C85" i="12" s="1"/>
  <c r="C24" i="3"/>
  <c r="G24" i="3"/>
  <c r="C12" i="3"/>
  <c r="M45" i="4"/>
  <c r="D46" i="4"/>
  <c r="H12" i="2" s="1"/>
  <c r="E46" i="4"/>
  <c r="I12" i="2" s="1"/>
  <c r="F46" i="4"/>
  <c r="J12" i="2" s="1"/>
  <c r="G46" i="4"/>
  <c r="K12" i="2" s="1"/>
  <c r="H46" i="4"/>
  <c r="L12" i="2" s="1"/>
  <c r="I46" i="4"/>
  <c r="M12" i="2" s="1"/>
  <c r="J46" i="4"/>
  <c r="N12" i="2" s="1"/>
  <c r="K46" i="4"/>
  <c r="O12" i="2" s="1"/>
  <c r="L46" i="4"/>
  <c r="P12" i="2" s="1"/>
  <c r="M46" i="4"/>
  <c r="Q12" i="2" s="1"/>
  <c r="D51" i="4"/>
  <c r="H45" i="2" s="1"/>
  <c r="E51" i="4"/>
  <c r="I45" i="2" s="1"/>
  <c r="F51" i="4"/>
  <c r="J45" i="2" s="1"/>
  <c r="G51" i="4"/>
  <c r="K45" i="2" s="1"/>
  <c r="H51" i="4"/>
  <c r="L45" i="2" s="1"/>
  <c r="I51" i="4"/>
  <c r="M45" i="2" s="1"/>
  <c r="J51" i="4"/>
  <c r="N45" i="2" s="1"/>
  <c r="K51" i="4"/>
  <c r="O45" i="2" s="1"/>
  <c r="L51" i="4"/>
  <c r="P45" i="2" s="1"/>
  <c r="M51" i="4"/>
  <c r="Q45" i="2" s="1"/>
  <c r="D52" i="4"/>
  <c r="H47" i="2" s="1"/>
  <c r="E52" i="4"/>
  <c r="I47" i="2" s="1"/>
  <c r="F52" i="4"/>
  <c r="J47" i="2" s="1"/>
  <c r="G52" i="4"/>
  <c r="K47" i="2" s="1"/>
  <c r="H52" i="4"/>
  <c r="L47" i="2" s="1"/>
  <c r="I52" i="4"/>
  <c r="M47" i="2" s="1"/>
  <c r="J52" i="4"/>
  <c r="N47" i="2" s="1"/>
  <c r="K52" i="4"/>
  <c r="O47" i="2" s="1"/>
  <c r="L52" i="4"/>
  <c r="P47" i="2" s="1"/>
  <c r="M52" i="4"/>
  <c r="Q47" i="2" s="1"/>
  <c r="C51" i="4"/>
  <c r="G45" i="2" s="1"/>
  <c r="C52" i="4"/>
  <c r="G47" i="2" s="1"/>
  <c r="Q16" i="2"/>
  <c r="D63" i="4"/>
  <c r="E63" i="4"/>
  <c r="F63" i="4"/>
  <c r="G63" i="4"/>
  <c r="H63" i="4"/>
  <c r="I63" i="4"/>
  <c r="J63" i="4"/>
  <c r="K63" i="4"/>
  <c r="L63" i="4"/>
  <c r="M63" i="4"/>
  <c r="C63" i="4"/>
  <c r="D61" i="4"/>
  <c r="E61" i="4"/>
  <c r="F61" i="4"/>
  <c r="G61" i="4"/>
  <c r="H61" i="4"/>
  <c r="I61" i="4"/>
  <c r="J61" i="4"/>
  <c r="K61" i="4"/>
  <c r="L61" i="4"/>
  <c r="M61" i="4"/>
  <c r="Q15" i="2" s="1"/>
  <c r="C61" i="4"/>
  <c r="D47" i="4"/>
  <c r="E47" i="4"/>
  <c r="F47" i="4"/>
  <c r="G47" i="4"/>
  <c r="H47" i="4"/>
  <c r="I47" i="4"/>
  <c r="J47" i="4"/>
  <c r="K47" i="4"/>
  <c r="L47" i="4"/>
  <c r="M47" i="4"/>
  <c r="D48" i="4"/>
  <c r="H13" i="2" s="1"/>
  <c r="E48" i="4"/>
  <c r="I13" i="2" s="1"/>
  <c r="F48" i="4"/>
  <c r="J13" i="2" s="1"/>
  <c r="G48" i="4"/>
  <c r="K13" i="2" s="1"/>
  <c r="H48" i="4"/>
  <c r="L13" i="2" s="1"/>
  <c r="I48" i="4"/>
  <c r="M13" i="2" s="1"/>
  <c r="J48" i="4"/>
  <c r="N13" i="2" s="1"/>
  <c r="K48" i="4"/>
  <c r="O13" i="2" s="1"/>
  <c r="L48" i="4"/>
  <c r="P13" i="2" s="1"/>
  <c r="M48" i="4"/>
  <c r="Q13" i="2" s="1"/>
  <c r="D42" i="4"/>
  <c r="H25" i="2" s="1"/>
  <c r="E42" i="4"/>
  <c r="I25" i="2" s="1"/>
  <c r="F42" i="4"/>
  <c r="J25" i="2" s="1"/>
  <c r="G42" i="4"/>
  <c r="K25" i="2" s="1"/>
  <c r="H42" i="4"/>
  <c r="L25" i="2" s="1"/>
  <c r="I42" i="4"/>
  <c r="M25" i="2" s="1"/>
  <c r="J42" i="4"/>
  <c r="N25" i="2" s="1"/>
  <c r="K42" i="4"/>
  <c r="O25" i="2" s="1"/>
  <c r="L42" i="4"/>
  <c r="P25" i="2" s="1"/>
  <c r="M42" i="4"/>
  <c r="Q25" i="2" s="1"/>
  <c r="C42" i="4"/>
  <c r="G25"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88" i="2" s="1"/>
  <c r="E65" i="4"/>
  <c r="I88" i="2" s="1"/>
  <c r="F65" i="4"/>
  <c r="J88" i="2" s="1"/>
  <c r="G65" i="4"/>
  <c r="K88" i="2" s="1"/>
  <c r="H65" i="4"/>
  <c r="L88" i="2" s="1"/>
  <c r="C65" i="4"/>
  <c r="G88" i="2" s="1"/>
  <c r="C33" i="9" s="1"/>
  <c r="C58" i="9" s="1"/>
  <c r="G103" i="2"/>
  <c r="E77" i="4"/>
  <c r="F77" i="4"/>
  <c r="G77" i="4"/>
  <c r="H77" i="4"/>
  <c r="E78" i="4"/>
  <c r="F78" i="4"/>
  <c r="G78" i="4"/>
  <c r="H78" i="4"/>
  <c r="D78" i="4"/>
  <c r="D80" i="4"/>
  <c r="H104" i="2" s="1"/>
  <c r="D77" i="4"/>
  <c r="C62" i="9" l="1"/>
  <c r="C66" i="9"/>
  <c r="C63" i="9"/>
  <c r="C67" i="9"/>
  <c r="C92" i="2"/>
  <c r="C63" i="12" s="1"/>
  <c r="P15" i="2"/>
  <c r="L62" i="4"/>
  <c r="P16" i="2" s="1"/>
  <c r="N15" i="2"/>
  <c r="J62" i="4"/>
  <c r="N16" i="2" s="1"/>
  <c r="M15" i="2"/>
  <c r="I62" i="4"/>
  <c r="M16" i="2" s="1"/>
  <c r="L15" i="2"/>
  <c r="H62" i="4"/>
  <c r="L16" i="2" s="1"/>
  <c r="K15" i="2"/>
  <c r="G62" i="4"/>
  <c r="K16" i="2" s="1"/>
  <c r="I15" i="2"/>
  <c r="E62" i="4"/>
  <c r="I16" i="2" s="1"/>
  <c r="H15" i="2"/>
  <c r="D62" i="4"/>
  <c r="H16" i="2" s="1"/>
  <c r="O15" i="2"/>
  <c r="K62" i="4"/>
  <c r="O16" i="2" s="1"/>
  <c r="G15" i="2"/>
  <c r="D58" i="3" s="1"/>
  <c r="C62" i="4"/>
  <c r="G16" i="2" s="1"/>
  <c r="J15" i="2"/>
  <c r="F62" i="4"/>
  <c r="J16" i="2" s="1"/>
  <c r="K45" i="4"/>
  <c r="L45" i="4"/>
  <c r="C70" i="3"/>
  <c r="C67" i="2" s="1"/>
  <c r="C85" i="6"/>
  <c r="J45" i="4"/>
  <c r="I45" i="4"/>
  <c r="G35" i="3"/>
  <c r="G40" i="3"/>
  <c r="D76" i="4"/>
  <c r="C45" i="4"/>
  <c r="F45" i="4"/>
  <c r="D45" i="4"/>
  <c r="G45" i="4"/>
  <c r="E45" i="4"/>
  <c r="H45" i="4"/>
  <c r="I41" i="4"/>
  <c r="J41" i="4"/>
  <c r="K41" i="4"/>
  <c r="L41" i="4"/>
  <c r="M41" i="4"/>
  <c r="D41" i="4"/>
  <c r="G36" i="4"/>
  <c r="H36" i="4"/>
  <c r="I36" i="4"/>
  <c r="J36" i="4"/>
  <c r="K36" i="4"/>
  <c r="L36" i="4"/>
  <c r="M36" i="4"/>
  <c r="C36" i="4"/>
  <c r="B31" i="2"/>
  <c r="B30" i="2"/>
  <c r="C136" i="6" l="1"/>
  <c r="C136" i="12"/>
  <c r="C63" i="6"/>
  <c r="C89" i="2"/>
  <c r="G72" i="4"/>
  <c r="I72" i="4"/>
  <c r="F72" i="4"/>
  <c r="E72" i="4"/>
  <c r="D72" i="4"/>
  <c r="J72" i="4"/>
  <c r="H72" i="4"/>
  <c r="L69" i="4"/>
  <c r="L70" i="4"/>
  <c r="L72" i="4"/>
  <c r="L71" i="4"/>
  <c r="K72" i="4"/>
  <c r="C72" i="4"/>
  <c r="C15" i="2"/>
  <c r="G41" i="3"/>
  <c r="G32" i="3"/>
  <c r="G27" i="3" s="1"/>
  <c r="L68" i="4"/>
  <c r="D68" i="4"/>
  <c r="K68" i="4"/>
  <c r="C68" i="4"/>
  <c r="J68" i="4"/>
  <c r="I68" i="4"/>
  <c r="E68" i="4"/>
  <c r="H68" i="4"/>
  <c r="G68" i="4"/>
  <c r="F68" i="4"/>
  <c r="J4" i="2"/>
  <c r="Q4" i="2"/>
  <c r="P4" i="2"/>
  <c r="I4" i="2"/>
  <c r="G4" i="2"/>
  <c r="H4" i="2"/>
  <c r="L4" i="2"/>
  <c r="K4" i="2"/>
  <c r="K38" i="4"/>
  <c r="K43" i="4" s="1"/>
  <c r="K44" i="4" s="1"/>
  <c r="K58" i="4" s="1"/>
  <c r="O60" i="2" s="1"/>
  <c r="O4" i="2"/>
  <c r="J38" i="4"/>
  <c r="J43" i="4" s="1"/>
  <c r="J44" i="4" s="1"/>
  <c r="J58" i="4" s="1"/>
  <c r="N60" i="2" s="1"/>
  <c r="N4" i="2"/>
  <c r="I38" i="4"/>
  <c r="I43" i="4" s="1"/>
  <c r="I44" i="4" s="1"/>
  <c r="I58" i="4" s="1"/>
  <c r="M60" i="2" s="1"/>
  <c r="M4" i="2"/>
  <c r="H41" i="4"/>
  <c r="G38" i="4"/>
  <c r="G43" i="4" s="1"/>
  <c r="G44" i="4" s="1"/>
  <c r="E41" i="4"/>
  <c r="G41" i="4"/>
  <c r="H38" i="4"/>
  <c r="H43" i="4" s="1"/>
  <c r="C41" i="4"/>
  <c r="F41" i="4"/>
  <c r="C38" i="4"/>
  <c r="C43" i="4" s="1"/>
  <c r="D43" i="4"/>
  <c r="D44" i="4" s="1"/>
  <c r="F43" i="4"/>
  <c r="F44" i="4" s="1"/>
  <c r="L38" i="4"/>
  <c r="L43" i="4" s="1"/>
  <c r="L44" i="4" s="1"/>
  <c r="L58" i="4" s="1"/>
  <c r="P60" i="2" s="1"/>
  <c r="E43" i="4"/>
  <c r="M38" i="4"/>
  <c r="Q117" i="2" l="1"/>
  <c r="Q116" i="2"/>
  <c r="I35" i="2"/>
  <c r="I38" i="2" s="1"/>
  <c r="I26" i="2"/>
  <c r="I32" i="2" s="1"/>
  <c r="G35" i="2"/>
  <c r="G26" i="2"/>
  <c r="K35" i="2"/>
  <c r="K26" i="2"/>
  <c r="K32" i="2" s="1"/>
  <c r="Q35" i="2"/>
  <c r="Q7" i="2" s="1"/>
  <c r="Q26" i="2"/>
  <c r="Q5" i="2" s="1"/>
  <c r="P96" i="2" s="1"/>
  <c r="J35" i="2"/>
  <c r="J38" i="2" s="1"/>
  <c r="J26" i="2"/>
  <c r="J32" i="2" s="1"/>
  <c r="L35" i="2"/>
  <c r="L38" i="2" s="1"/>
  <c r="L26" i="2"/>
  <c r="L32" i="2" s="1"/>
  <c r="N26" i="2"/>
  <c r="N5" i="2" s="1"/>
  <c r="N35" i="2"/>
  <c r="N7" i="2" s="1"/>
  <c r="N73" i="2" s="1"/>
  <c r="P26" i="2"/>
  <c r="P5" i="2" s="1"/>
  <c r="P35" i="2"/>
  <c r="P7" i="2" s="1"/>
  <c r="P73" i="2" s="1"/>
  <c r="O26" i="2"/>
  <c r="O5" i="2" s="1"/>
  <c r="O6" i="2" s="1"/>
  <c r="O35" i="2"/>
  <c r="O7" i="2" s="1"/>
  <c r="O73" i="2" s="1"/>
  <c r="M26" i="2"/>
  <c r="M5" i="2" s="1"/>
  <c r="M35" i="2"/>
  <c r="M7" i="2" s="1"/>
  <c r="M73" i="2" s="1"/>
  <c r="H26" i="2"/>
  <c r="H32" i="2" s="1"/>
  <c r="H35" i="2"/>
  <c r="H38" i="2" s="1"/>
  <c r="Q90" i="2"/>
  <c r="Q92" i="2"/>
  <c r="G92" i="2"/>
  <c r="C25" i="2"/>
  <c r="F71" i="4"/>
  <c r="M92" i="2"/>
  <c r="N92" i="2"/>
  <c r="P92" i="2"/>
  <c r="O92" i="2"/>
  <c r="L92" i="2"/>
  <c r="J92" i="2"/>
  <c r="I92" i="2"/>
  <c r="K92" i="2"/>
  <c r="C37" i="6"/>
  <c r="C37" i="12"/>
  <c r="H92" i="2"/>
  <c r="C140" i="6"/>
  <c r="C140" i="12"/>
  <c r="C145" i="6"/>
  <c r="C145" i="12"/>
  <c r="C144" i="6"/>
  <c r="C144" i="12"/>
  <c r="C141" i="6"/>
  <c r="C141" i="12"/>
  <c r="Q119" i="2"/>
  <c r="G89" i="2"/>
  <c r="Q125" i="2"/>
  <c r="Q46" i="2"/>
  <c r="Q89" i="2"/>
  <c r="E70" i="4"/>
  <c r="J71" i="4"/>
  <c r="K70" i="4"/>
  <c r="K71" i="4"/>
  <c r="G70" i="4"/>
  <c r="F70" i="4"/>
  <c r="M125" i="2"/>
  <c r="M89" i="2"/>
  <c r="I71" i="4"/>
  <c r="N125" i="2"/>
  <c r="N89" i="2"/>
  <c r="P125" i="2"/>
  <c r="P89" i="2"/>
  <c r="J69" i="4"/>
  <c r="F69" i="4"/>
  <c r="G69" i="4"/>
  <c r="O125" i="2"/>
  <c r="O89" i="2"/>
  <c r="I69" i="4"/>
  <c r="H70" i="4"/>
  <c r="J70" i="4"/>
  <c r="L125" i="2"/>
  <c r="L89" i="2"/>
  <c r="K69" i="4"/>
  <c r="H69" i="4"/>
  <c r="I70" i="4"/>
  <c r="D70" i="4"/>
  <c r="C70" i="4"/>
  <c r="D69" i="4"/>
  <c r="I89" i="2"/>
  <c r="K125" i="2"/>
  <c r="K89" i="2"/>
  <c r="J89" i="2"/>
  <c r="H89" i="2"/>
  <c r="E69" i="4"/>
  <c r="C69" i="4"/>
  <c r="C31" i="4"/>
  <c r="C80" i="4" s="1"/>
  <c r="C76" i="4" s="1"/>
  <c r="G112" i="2"/>
  <c r="G125" i="2"/>
  <c r="H112" i="2"/>
  <c r="H125" i="2"/>
  <c r="J112" i="2"/>
  <c r="J125" i="2"/>
  <c r="I112" i="2"/>
  <c r="I125" i="2"/>
  <c r="K112" i="2"/>
  <c r="M112" i="2"/>
  <c r="L112" i="2"/>
  <c r="N112" i="2"/>
  <c r="P112" i="2"/>
  <c r="O112" i="2"/>
  <c r="Q112" i="2"/>
  <c r="Q113" i="2"/>
  <c r="Q19" i="2"/>
  <c r="Q48" i="2"/>
  <c r="Q10" i="2" s="1"/>
  <c r="Q77" i="2"/>
  <c r="Q41" i="2"/>
  <c r="C12" i="9"/>
  <c r="H100" i="2"/>
  <c r="H117" i="2" s="1"/>
  <c r="P100" i="2"/>
  <c r="P118" i="2" s="1"/>
  <c r="M100" i="2"/>
  <c r="M117" i="2" s="1"/>
  <c r="N100" i="2"/>
  <c r="N117" i="2" s="1"/>
  <c r="Q53" i="2"/>
  <c r="Q123" i="2"/>
  <c r="Q124" i="2"/>
  <c r="Q100" i="2"/>
  <c r="K100" i="2"/>
  <c r="K117" i="2" s="1"/>
  <c r="I100" i="2"/>
  <c r="I117" i="2" s="1"/>
  <c r="O100" i="2"/>
  <c r="O118" i="2" s="1"/>
  <c r="J100" i="2"/>
  <c r="J117" i="2" s="1"/>
  <c r="L100" i="2"/>
  <c r="L117" i="2" s="1"/>
  <c r="G109" i="2"/>
  <c r="N102" i="2"/>
  <c r="N108" i="2" s="1"/>
  <c r="N101" i="2"/>
  <c r="N107" i="2" s="1"/>
  <c r="O102" i="2"/>
  <c r="O108" i="2" s="1"/>
  <c r="O101" i="2"/>
  <c r="O107" i="2" s="1"/>
  <c r="J101" i="2"/>
  <c r="J107" i="2" s="1"/>
  <c r="J102" i="2"/>
  <c r="J108" i="2" s="1"/>
  <c r="M102" i="2"/>
  <c r="M108" i="2" s="1"/>
  <c r="M101" i="2"/>
  <c r="M107" i="2" s="1"/>
  <c r="H101" i="2"/>
  <c r="H107" i="2" s="1"/>
  <c r="H102" i="2"/>
  <c r="H108" i="2" s="1"/>
  <c r="I101" i="2"/>
  <c r="I107" i="2" s="1"/>
  <c r="I102" i="2"/>
  <c r="I108" i="2" s="1"/>
  <c r="P101" i="2"/>
  <c r="P107" i="2" s="1"/>
  <c r="P102" i="2"/>
  <c r="P108" i="2" s="1"/>
  <c r="Q8" i="2"/>
  <c r="Q101" i="2"/>
  <c r="Q102" i="2"/>
  <c r="K102" i="2"/>
  <c r="K108" i="2" s="1"/>
  <c r="K101" i="2"/>
  <c r="K107" i="2" s="1"/>
  <c r="L101" i="2"/>
  <c r="L107" i="2" s="1"/>
  <c r="L102" i="2"/>
  <c r="L108" i="2" s="1"/>
  <c r="H59" i="2"/>
  <c r="H9" i="2" s="1"/>
  <c r="G59" i="2"/>
  <c r="I59" i="2"/>
  <c r="I9" i="2" s="1"/>
  <c r="Q59" i="2"/>
  <c r="Q9" i="2" s="1"/>
  <c r="Q61" i="2"/>
  <c r="M59" i="2"/>
  <c r="P59" i="2"/>
  <c r="P9" i="2" s="1"/>
  <c r="P75" i="2" s="1"/>
  <c r="J59" i="2"/>
  <c r="J9" i="2" s="1"/>
  <c r="N59" i="2"/>
  <c r="K59" i="2"/>
  <c r="K9" i="2" s="1"/>
  <c r="O59" i="2"/>
  <c r="O9" i="2" s="1"/>
  <c r="O75" i="2" s="1"/>
  <c r="L59" i="2"/>
  <c r="L9" i="2" s="1"/>
  <c r="F58" i="4"/>
  <c r="J60" i="2" s="1"/>
  <c r="D58" i="4"/>
  <c r="H60" i="2" s="1"/>
  <c r="G58" i="4"/>
  <c r="H44" i="4"/>
  <c r="E44" i="4"/>
  <c r="C44" i="4"/>
  <c r="Q11" i="2"/>
  <c r="Q14" i="2"/>
  <c r="C104" i="2"/>
  <c r="G51" i="2"/>
  <c r="M95" i="2"/>
  <c r="O95" i="2"/>
  <c r="P95" i="2"/>
  <c r="N95" i="2"/>
  <c r="L95" i="2"/>
  <c r="G95" i="2"/>
  <c r="I95" i="2"/>
  <c r="C100" i="2"/>
  <c r="D59" i="3"/>
  <c r="K95" i="2"/>
  <c r="H95" i="2"/>
  <c r="J95" i="2"/>
  <c r="Q118" i="2"/>
  <c r="Q107" i="2"/>
  <c r="Q108" i="2"/>
  <c r="K78" i="2"/>
  <c r="Q75" i="2"/>
  <c r="J30" i="2"/>
  <c r="P79" i="2"/>
  <c r="G82" i="2"/>
  <c r="G101" i="2"/>
  <c r="G107" i="2" s="1"/>
  <c r="G102" i="2"/>
  <c r="G108" i="2" s="1"/>
  <c r="L79" i="2"/>
  <c r="J81" i="2"/>
  <c r="P81" i="2"/>
  <c r="Q81" i="2"/>
  <c r="H30" i="2"/>
  <c r="Q6" i="2"/>
  <c r="Q79" i="2"/>
  <c r="Q73" i="2"/>
  <c r="Q85" i="2"/>
  <c r="I78" i="2"/>
  <c r="Q80" i="2"/>
  <c r="Q76" i="2"/>
  <c r="Q78" i="2"/>
  <c r="Q71" i="2"/>
  <c r="Q30" i="2"/>
  <c r="Q74" i="2"/>
  <c r="Q38" i="2"/>
  <c r="Q31" i="2"/>
  <c r="Q32" i="2"/>
  <c r="Q29" i="2"/>
  <c r="Q72" i="2"/>
  <c r="Q82" i="2"/>
  <c r="I30" i="2"/>
  <c r="H31" i="2"/>
  <c r="H78" i="2"/>
  <c r="I31" i="2"/>
  <c r="H79" i="2"/>
  <c r="H81" i="2"/>
  <c r="H82" i="2"/>
  <c r="I82" i="2"/>
  <c r="H29" i="2"/>
  <c r="I81" i="2"/>
  <c r="I29" i="2"/>
  <c r="I79" i="2"/>
  <c r="J31" i="2"/>
  <c r="L82" i="2"/>
  <c r="J79" i="2"/>
  <c r="J82" i="2"/>
  <c r="J29" i="2"/>
  <c r="L29" i="2"/>
  <c r="J78" i="2"/>
  <c r="L78" i="2"/>
  <c r="L81" i="2"/>
  <c r="L30" i="2"/>
  <c r="L31" i="2"/>
  <c r="G79" i="2"/>
  <c r="G81" i="2"/>
  <c r="G31" i="2"/>
  <c r="G78" i="2"/>
  <c r="K29" i="2"/>
  <c r="K30" i="2"/>
  <c r="K81" i="2"/>
  <c r="G30" i="2"/>
  <c r="P31" i="2"/>
  <c r="P78" i="2"/>
  <c r="P30" i="2"/>
  <c r="G29" i="2"/>
  <c r="P29" i="2"/>
  <c r="K31" i="2"/>
  <c r="K79" i="2"/>
  <c r="P82" i="2"/>
  <c r="K82" i="2"/>
  <c r="B1" i="4"/>
  <c r="O82" i="2"/>
  <c r="O81" i="2"/>
  <c r="O79" i="2"/>
  <c r="M82" i="2"/>
  <c r="M79" i="2"/>
  <c r="M81" i="2"/>
  <c r="N82" i="2"/>
  <c r="N79" i="2"/>
  <c r="N81" i="2"/>
  <c r="M78" i="2"/>
  <c r="M31" i="2"/>
  <c r="M29" i="2"/>
  <c r="M30" i="2"/>
  <c r="N29" i="2"/>
  <c r="N78" i="2"/>
  <c r="N31" i="2"/>
  <c r="N30" i="2"/>
  <c r="O31" i="2"/>
  <c r="O30" i="2"/>
  <c r="O78" i="2"/>
  <c r="O29" i="2"/>
  <c r="G38" i="2" l="1"/>
  <c r="C23" i="2"/>
  <c r="C117" i="2"/>
  <c r="O117" i="2"/>
  <c r="P117" i="2"/>
  <c r="I4" i="8"/>
  <c r="O32" i="2"/>
  <c r="O72" i="2"/>
  <c r="O8" i="2"/>
  <c r="H58" i="4"/>
  <c r="L60" i="2" s="1"/>
  <c r="G71" i="4"/>
  <c r="H71" i="4"/>
  <c r="O38" i="2"/>
  <c r="O61" i="2"/>
  <c r="O71" i="2"/>
  <c r="C58" i="4"/>
  <c r="G60" i="2" s="1"/>
  <c r="G61" i="2" s="1"/>
  <c r="C71" i="4"/>
  <c r="E58" i="4"/>
  <c r="I60" i="2" s="1"/>
  <c r="E71" i="4"/>
  <c r="D71" i="4"/>
  <c r="G104" i="2"/>
  <c r="G100" i="2" s="1"/>
  <c r="P38" i="2"/>
  <c r="P32" i="2"/>
  <c r="P61" i="2"/>
  <c r="P6" i="2"/>
  <c r="P71" i="2"/>
  <c r="C47" i="2"/>
  <c r="C24" i="2"/>
  <c r="C109" i="2"/>
  <c r="G32" i="2"/>
  <c r="C17" i="2"/>
  <c r="M61" i="2"/>
  <c r="M9" i="2"/>
  <c r="N61" i="2"/>
  <c r="N9" i="2"/>
  <c r="G67" i="2"/>
  <c r="G9" i="2"/>
  <c r="N71" i="2"/>
  <c r="M6" i="2"/>
  <c r="M8" i="2" s="1"/>
  <c r="C95" i="2"/>
  <c r="J61" i="2"/>
  <c r="J75" i="2" s="1"/>
  <c r="H61" i="2"/>
  <c r="H75" i="2" s="1"/>
  <c r="N38" i="2"/>
  <c r="N118" i="2"/>
  <c r="M118" i="2"/>
  <c r="M38" i="2"/>
  <c r="N6" i="2"/>
  <c r="N8" i="2" s="1"/>
  <c r="M32" i="2"/>
  <c r="M71" i="2"/>
  <c r="N32" i="2"/>
  <c r="K60" i="2"/>
  <c r="C118" i="2"/>
  <c r="C55" i="3"/>
  <c r="L118" i="2"/>
  <c r="J118" i="2"/>
  <c r="H118" i="2"/>
  <c r="K118" i="2"/>
  <c r="I118" i="2"/>
  <c r="H5" i="2"/>
  <c r="I5" i="2"/>
  <c r="C107" i="2"/>
  <c r="C108" i="2"/>
  <c r="K5" i="2"/>
  <c r="J7" i="2"/>
  <c r="J73" i="2" s="1"/>
  <c r="C81" i="2"/>
  <c r="L5" i="2"/>
  <c r="G7" i="2"/>
  <c r="G73" i="2" s="1"/>
  <c r="J5" i="2"/>
  <c r="L7" i="2"/>
  <c r="L73" i="2" s="1"/>
  <c r="H7" i="2"/>
  <c r="H73" i="2" s="1"/>
  <c r="G5" i="2"/>
  <c r="G71" i="2" s="1"/>
  <c r="K7" i="2"/>
  <c r="K73" i="2" s="1"/>
  <c r="K38" i="2"/>
  <c r="I7" i="2"/>
  <c r="I73" i="2" s="1"/>
  <c r="C7" i="2"/>
  <c r="I5" i="8" s="1"/>
  <c r="C26" i="2" l="1"/>
  <c r="C82" i="2"/>
  <c r="C18" i="8" s="1"/>
  <c r="G118" i="2"/>
  <c r="D69" i="6" s="1"/>
  <c r="G117" i="2"/>
  <c r="C69" i="6"/>
  <c r="C69" i="12"/>
  <c r="C55" i="6"/>
  <c r="C55" i="12"/>
  <c r="M72" i="2"/>
  <c r="O53" i="2"/>
  <c r="O74" i="2"/>
  <c r="M53" i="2"/>
  <c r="M75" i="2"/>
  <c r="P72" i="2"/>
  <c r="P8" i="2"/>
  <c r="N75" i="2"/>
  <c r="N53" i="2"/>
  <c r="K71" i="2"/>
  <c r="I71" i="2"/>
  <c r="H71" i="2"/>
  <c r="J71" i="2"/>
  <c r="L71" i="2"/>
  <c r="L61" i="2"/>
  <c r="L75" i="2" s="1"/>
  <c r="K61" i="2"/>
  <c r="K75" i="2" s="1"/>
  <c r="I61" i="2"/>
  <c r="I75" i="2" s="1"/>
  <c r="N72" i="2"/>
  <c r="C75" i="2"/>
  <c r="H6" i="2"/>
  <c r="H8" i="2" s="1"/>
  <c r="K6" i="2"/>
  <c r="K8" i="2" s="1"/>
  <c r="G6" i="2"/>
  <c r="G8" i="2" s="1"/>
  <c r="I6" i="2"/>
  <c r="I8" i="2" s="1"/>
  <c r="L6" i="2"/>
  <c r="L8" i="2" s="1"/>
  <c r="J6" i="2"/>
  <c r="J8" i="2" s="1"/>
  <c r="C73" i="2"/>
  <c r="C38" i="2"/>
  <c r="D69" i="12" l="1"/>
  <c r="C16" i="2"/>
  <c r="C38" i="12" s="1"/>
  <c r="L53" i="2"/>
  <c r="P53" i="2"/>
  <c r="P74" i="2"/>
  <c r="C32" i="2"/>
  <c r="C17" i="8" s="1"/>
  <c r="C40" i="9" s="1"/>
  <c r="C5" i="2"/>
  <c r="C6" i="2" s="1"/>
  <c r="C8" i="2" s="1"/>
  <c r="C34" i="12" s="1"/>
  <c r="I53" i="2"/>
  <c r="H53" i="2"/>
  <c r="J53" i="2"/>
  <c r="G53" i="2"/>
  <c r="C7" i="9"/>
  <c r="K53" i="2"/>
  <c r="C13" i="9"/>
  <c r="G75" i="2"/>
  <c r="L72" i="2"/>
  <c r="I72" i="2"/>
  <c r="H72" i="2"/>
  <c r="G72" i="2"/>
  <c r="K72" i="2"/>
  <c r="J72" i="2"/>
  <c r="C103" i="2"/>
  <c r="C38" i="6" l="1"/>
  <c r="F17" i="8"/>
  <c r="E51" i="8" s="1"/>
  <c r="E21" i="8"/>
  <c r="D55" i="3"/>
  <c r="G29" i="3"/>
  <c r="D62" i="3" s="1"/>
  <c r="F14" i="8" l="1"/>
  <c r="B39" i="9" s="1"/>
  <c r="B14" i="6" s="1"/>
  <c r="D51" i="3"/>
  <c r="C46" i="3"/>
  <c r="C47" i="3" s="1"/>
  <c r="C62" i="3"/>
  <c r="C79" i="2" s="1"/>
  <c r="I9" i="8" s="1"/>
  <c r="F18" i="8" l="1"/>
  <c r="H51" i="8" s="1"/>
  <c r="E15" i="8"/>
  <c r="F15" i="8"/>
  <c r="C13" i="2"/>
  <c r="C49" i="12" s="1"/>
  <c r="G1" i="2"/>
  <c r="A41" i="8" l="1"/>
  <c r="I41" i="8" s="1"/>
  <c r="E46" i="8"/>
  <c r="E44" i="8"/>
  <c r="A45" i="8"/>
  <c r="I45" i="8" s="1"/>
  <c r="E48" i="8"/>
  <c r="A44" i="8"/>
  <c r="I44" i="8" s="1"/>
  <c r="E43" i="8"/>
  <c r="E42" i="8"/>
  <c r="A47" i="8"/>
  <c r="I47" i="8" s="1"/>
  <c r="A48" i="8"/>
  <c r="I48" i="8" s="1"/>
  <c r="E41" i="8"/>
  <c r="A50" i="8"/>
  <c r="I50" i="8" s="1"/>
  <c r="E45" i="8"/>
  <c r="E49" i="8"/>
  <c r="A42" i="8"/>
  <c r="I42" i="8" s="1"/>
  <c r="A46" i="8"/>
  <c r="I46" i="8" s="1"/>
  <c r="A43" i="8"/>
  <c r="I43" i="8" s="1"/>
  <c r="E47" i="8"/>
  <c r="A49" i="8"/>
  <c r="I49" i="8" s="1"/>
  <c r="E50" i="8"/>
  <c r="A36" i="8"/>
  <c r="I36" i="8" s="1"/>
  <c r="A39" i="8"/>
  <c r="I39" i="8" s="1"/>
  <c r="A40" i="8"/>
  <c r="I40" i="8" s="1"/>
  <c r="E38" i="8"/>
  <c r="E40" i="8"/>
  <c r="E37" i="8"/>
  <c r="A38" i="8"/>
  <c r="I38" i="8" s="1"/>
  <c r="E39" i="8"/>
  <c r="E36" i="8"/>
  <c r="A37" i="8"/>
  <c r="I37" i="8" s="1"/>
  <c r="A33" i="8"/>
  <c r="I33" i="8" s="1"/>
  <c r="E33" i="8"/>
  <c r="A34" i="8"/>
  <c r="I34" i="8" s="1"/>
  <c r="E31" i="8"/>
  <c r="E35" i="8"/>
  <c r="A35" i="8"/>
  <c r="I35" i="8" s="1"/>
  <c r="E32" i="8"/>
  <c r="E34" i="8"/>
  <c r="A32" i="8"/>
  <c r="I32" i="8" s="1"/>
  <c r="A31" i="8"/>
  <c r="I31" i="8" s="1"/>
  <c r="E29" i="8"/>
  <c r="E26" i="8"/>
  <c r="E27" i="8"/>
  <c r="E30" i="8"/>
  <c r="A29" i="8"/>
  <c r="I29" i="8" s="1"/>
  <c r="E28" i="8"/>
  <c r="A26" i="8"/>
  <c r="I26" i="8" s="1"/>
  <c r="A28" i="8"/>
  <c r="I28" i="8" s="1"/>
  <c r="A30" i="8"/>
  <c r="I30" i="8" s="1"/>
  <c r="A27" i="8"/>
  <c r="I27" i="8" s="1"/>
  <c r="E24" i="8"/>
  <c r="E22" i="8"/>
  <c r="A23" i="8"/>
  <c r="E25" i="8"/>
  <c r="A24" i="8"/>
  <c r="A21" i="8"/>
  <c r="H21" i="8" s="1"/>
  <c r="E23" i="8"/>
  <c r="A22" i="8"/>
  <c r="A25" i="8"/>
  <c r="C49" i="6"/>
  <c r="D73" i="3"/>
  <c r="C73" i="3"/>
  <c r="C74" i="3" s="1"/>
  <c r="F1" i="3"/>
  <c r="H1" i="2"/>
  <c r="E1" i="4"/>
  <c r="F1" i="4" s="1"/>
  <c r="G1" i="4" s="1"/>
  <c r="H1" i="4" s="1"/>
  <c r="I1" i="4" s="1"/>
  <c r="J1" i="4" s="1"/>
  <c r="K1" i="4" s="1"/>
  <c r="L1" i="4" s="1"/>
  <c r="M1" i="4" s="1"/>
  <c r="J42" i="8" l="1"/>
  <c r="J39" i="8"/>
  <c r="J28" i="8"/>
  <c r="J31" i="8"/>
  <c r="J46" i="8"/>
  <c r="J33" i="8"/>
  <c r="J35" i="8"/>
  <c r="J45" i="8"/>
  <c r="J38" i="8"/>
  <c r="J49" i="8"/>
  <c r="J32" i="8"/>
  <c r="J44" i="8"/>
  <c r="J26" i="8"/>
  <c r="J40" i="8"/>
  <c r="J37" i="8"/>
  <c r="J29" i="8"/>
  <c r="J36" i="8"/>
  <c r="J50" i="8"/>
  <c r="J27" i="8"/>
  <c r="J48" i="8"/>
  <c r="J30" i="8"/>
  <c r="J34" i="8"/>
  <c r="J43" i="8"/>
  <c r="J47" i="8"/>
  <c r="J41" i="8"/>
  <c r="D46" i="8"/>
  <c r="H46" i="8"/>
  <c r="H42" i="8"/>
  <c r="D42" i="8"/>
  <c r="D44" i="8"/>
  <c r="H44" i="8"/>
  <c r="D50" i="8"/>
  <c r="H50" i="8"/>
  <c r="H45" i="8"/>
  <c r="D45" i="8"/>
  <c r="D49" i="8"/>
  <c r="H49" i="8"/>
  <c r="D48" i="8"/>
  <c r="H48" i="8"/>
  <c r="D43" i="8"/>
  <c r="H43" i="8"/>
  <c r="D47" i="8"/>
  <c r="H47" i="8"/>
  <c r="H41" i="8"/>
  <c r="D41" i="8"/>
  <c r="D38" i="8"/>
  <c r="H38" i="8"/>
  <c r="H40" i="8"/>
  <c r="D40" i="8"/>
  <c r="D37" i="8"/>
  <c r="H37" i="8"/>
  <c r="D39" i="8"/>
  <c r="H39" i="8"/>
  <c r="H36" i="8"/>
  <c r="D36" i="8"/>
  <c r="D35" i="8"/>
  <c r="H35" i="8"/>
  <c r="D34" i="8"/>
  <c r="H34" i="8"/>
  <c r="H31" i="8"/>
  <c r="D31" i="8"/>
  <c r="H32" i="8"/>
  <c r="D32" i="8"/>
  <c r="D33" i="8"/>
  <c r="H33" i="8"/>
  <c r="D28" i="8"/>
  <c r="H28" i="8"/>
  <c r="H29" i="8"/>
  <c r="D29" i="8"/>
  <c r="H26" i="8"/>
  <c r="D26" i="8"/>
  <c r="H27" i="8"/>
  <c r="D27" i="8"/>
  <c r="H30" i="8"/>
  <c r="D30" i="8"/>
  <c r="H22" i="8"/>
  <c r="H23" i="8"/>
  <c r="H24" i="8"/>
  <c r="H25" i="8"/>
  <c r="D21" i="8"/>
  <c r="C21" i="8" s="1"/>
  <c r="D25" i="8"/>
  <c r="D22" i="8"/>
  <c r="D24" i="8"/>
  <c r="D23" i="8"/>
  <c r="D74" i="3"/>
  <c r="D76" i="3" s="1"/>
  <c r="C6" i="9"/>
  <c r="F21" i="8" l="1"/>
  <c r="C22" i="8"/>
  <c r="C23" i="8" s="1"/>
  <c r="D75" i="3"/>
  <c r="Q115" i="2"/>
  <c r="F22" i="8" l="1"/>
  <c r="F23" i="8" s="1"/>
  <c r="F24" i="8" s="1"/>
  <c r="F25" i="8" s="1"/>
  <c r="F26" i="8" s="1"/>
  <c r="F27" i="8" s="1"/>
  <c r="F28" i="8" s="1"/>
  <c r="F29" i="8" s="1"/>
  <c r="F30" i="8" s="1"/>
  <c r="C24" i="8"/>
  <c r="C46" i="2"/>
  <c r="C44" i="12" s="1"/>
  <c r="D66" i="3"/>
  <c r="C71" i="2"/>
  <c r="C41" i="3"/>
  <c r="F31" i="8" l="1"/>
  <c r="F32" i="8" s="1"/>
  <c r="F33" i="8" s="1"/>
  <c r="F34" i="8" s="1"/>
  <c r="F35" i="8" s="1"/>
  <c r="F36" i="8" s="1"/>
  <c r="F37" i="8" s="1"/>
  <c r="F38" i="8" s="1"/>
  <c r="F39" i="8" s="1"/>
  <c r="F40" i="8" s="1"/>
  <c r="F41" i="8" s="1"/>
  <c r="F42" i="8" s="1"/>
  <c r="F43" i="8" s="1"/>
  <c r="F44" i="8" s="1"/>
  <c r="F45" i="8" s="1"/>
  <c r="F46" i="8" s="1"/>
  <c r="F47" i="8" s="1"/>
  <c r="F48" i="8" s="1"/>
  <c r="F49" i="8" s="1"/>
  <c r="F50" i="8" s="1"/>
  <c r="F51" i="8" s="1"/>
  <c r="C25" i="8"/>
  <c r="F5" i="8"/>
  <c r="L46" i="2"/>
  <c r="L48" i="2" s="1"/>
  <c r="L10" i="2" s="1"/>
  <c r="K46" i="2"/>
  <c r="K48" i="2" s="1"/>
  <c r="K10" i="2" s="1"/>
  <c r="K41" i="2" s="1"/>
  <c r="M46" i="2"/>
  <c r="M48" i="2" s="1"/>
  <c r="M10" i="2" s="1"/>
  <c r="P46" i="2"/>
  <c r="P48" i="2" s="1"/>
  <c r="P10" i="2" s="1"/>
  <c r="O46" i="2"/>
  <c r="O48" i="2" s="1"/>
  <c r="O10" i="2" s="1"/>
  <c r="N46" i="2"/>
  <c r="N48" i="2" s="1"/>
  <c r="N10" i="2" s="1"/>
  <c r="G46" i="2"/>
  <c r="G48" i="2" s="1"/>
  <c r="G10" i="2" s="1"/>
  <c r="J46" i="2"/>
  <c r="J48" i="2" s="1"/>
  <c r="J10" i="2" s="1"/>
  <c r="H46" i="2"/>
  <c r="H48" i="2" s="1"/>
  <c r="H10" i="2" s="1"/>
  <c r="I46" i="2"/>
  <c r="I48" i="2" s="1"/>
  <c r="I10" i="2" s="1"/>
  <c r="C44" i="6"/>
  <c r="C31" i="3"/>
  <c r="C26" i="8" l="1"/>
  <c r="I76" i="2"/>
  <c r="H76" i="2"/>
  <c r="J76" i="2"/>
  <c r="C84" i="6"/>
  <c r="C86" i="6" s="1"/>
  <c r="C84" i="12"/>
  <c r="C86" i="12" s="1"/>
  <c r="G41" i="2"/>
  <c r="C87" i="3"/>
  <c r="D87" i="3" s="1"/>
  <c r="O76" i="2"/>
  <c r="O11" i="2"/>
  <c r="O119" i="2" s="1"/>
  <c r="O115" i="2" s="1"/>
  <c r="O41" i="2"/>
  <c r="L76" i="2"/>
  <c r="L41" i="2"/>
  <c r="K76" i="2"/>
  <c r="P76" i="2"/>
  <c r="P11" i="2"/>
  <c r="P119" i="2" s="1"/>
  <c r="P115" i="2" s="1"/>
  <c r="P41" i="2"/>
  <c r="M76" i="2"/>
  <c r="M41" i="2"/>
  <c r="J41" i="2"/>
  <c r="H41" i="2"/>
  <c r="I41" i="2"/>
  <c r="N76" i="2"/>
  <c r="N41" i="2"/>
  <c r="G76" i="2"/>
  <c r="C34" i="6"/>
  <c r="C72" i="2"/>
  <c r="C32" i="3"/>
  <c r="G31" i="3"/>
  <c r="F4" i="8" s="1"/>
  <c r="F7" i="8" s="1"/>
  <c r="B1" i="2"/>
  <c r="F8" i="8" l="1"/>
  <c r="B66" i="8"/>
  <c r="B68" i="8"/>
  <c r="D68" i="8"/>
  <c r="F71" i="8"/>
  <c r="E69" i="8"/>
  <c r="F66" i="8"/>
  <c r="C67" i="8"/>
  <c r="C71" i="8"/>
  <c r="C66" i="8"/>
  <c r="E71" i="8"/>
  <c r="F68" i="8"/>
  <c r="C69" i="8"/>
  <c r="F70" i="8"/>
  <c r="D71" i="8"/>
  <c r="F67" i="8"/>
  <c r="E66" i="8"/>
  <c r="F69" i="8"/>
  <c r="B67" i="8"/>
  <c r="E68" i="8"/>
  <c r="C68" i="8"/>
  <c r="B70" i="8"/>
  <c r="B71" i="8"/>
  <c r="E70" i="8"/>
  <c r="C70" i="8"/>
  <c r="E67" i="8"/>
  <c r="D67" i="8"/>
  <c r="D70" i="8"/>
  <c r="B69" i="8"/>
  <c r="D66" i="8"/>
  <c r="D69" i="8"/>
  <c r="C27" i="8"/>
  <c r="C80" i="6"/>
  <c r="C80" i="12"/>
  <c r="D68" i="6"/>
  <c r="D68" i="12"/>
  <c r="O77" i="2"/>
  <c r="O116" i="2" s="1"/>
  <c r="O14" i="2"/>
  <c r="P77" i="2"/>
  <c r="P116" i="2" s="1"/>
  <c r="P14" i="2"/>
  <c r="O96" i="2"/>
  <c r="G52" i="2"/>
  <c r="C92" i="6" l="1"/>
  <c r="C92" i="12"/>
  <c r="C28" i="8"/>
  <c r="C7" i="8"/>
  <c r="C86" i="3"/>
  <c r="D86" i="3" s="1"/>
  <c r="D89" i="3" s="1"/>
  <c r="C78" i="12"/>
  <c r="C79" i="12" s="1"/>
  <c r="C78" i="6"/>
  <c r="C79" i="6" s="1"/>
  <c r="O80" i="2"/>
  <c r="O19" i="2"/>
  <c r="O90" i="2" s="1"/>
  <c r="O123" i="2"/>
  <c r="O124" i="2" s="1"/>
  <c r="P80" i="2"/>
  <c r="P19" i="2"/>
  <c r="P90" i="2" s="1"/>
  <c r="P123" i="2"/>
  <c r="P124" i="2" s="1"/>
  <c r="C45" i="2"/>
  <c r="C45" i="12" s="1"/>
  <c r="C29" i="8" l="1"/>
  <c r="C89" i="3"/>
  <c r="O113" i="2"/>
  <c r="O85" i="2"/>
  <c r="P113" i="2"/>
  <c r="P85" i="2"/>
  <c r="C53" i="2"/>
  <c r="C45" i="6"/>
  <c r="E78" i="8"/>
  <c r="C48" i="2"/>
  <c r="C10" i="2" s="1"/>
  <c r="I8" i="8" s="1"/>
  <c r="I6" i="8" s="1"/>
  <c r="I1" i="2"/>
  <c r="G21" i="8" l="1"/>
  <c r="I21" i="8" s="1"/>
  <c r="G26" i="8"/>
  <c r="G27" i="8"/>
  <c r="G28" i="8"/>
  <c r="E122" i="6"/>
  <c r="E122" i="12"/>
  <c r="E30" i="9"/>
  <c r="G29" i="8"/>
  <c r="C30" i="8"/>
  <c r="C31" i="8" s="1"/>
  <c r="G23" i="8"/>
  <c r="I23" i="8" s="1"/>
  <c r="G22" i="8"/>
  <c r="I22" i="8" s="1"/>
  <c r="G24" i="8"/>
  <c r="I24" i="8" s="1"/>
  <c r="G25" i="8"/>
  <c r="I25" i="8" s="1"/>
  <c r="C46" i="12"/>
  <c r="C11" i="2"/>
  <c r="C12" i="2" s="1"/>
  <c r="C46" i="6"/>
  <c r="C76" i="2"/>
  <c r="J1" i="2"/>
  <c r="K1" i="2" s="1"/>
  <c r="L1" i="2" s="1"/>
  <c r="M1" i="2" s="1"/>
  <c r="N1" i="2" s="1"/>
  <c r="O1" i="2" s="1"/>
  <c r="P1" i="2" s="1"/>
  <c r="Q1" i="2" s="1"/>
  <c r="J25" i="8" l="1"/>
  <c r="J24" i="8"/>
  <c r="G31" i="8"/>
  <c r="C32" i="8"/>
  <c r="G30" i="8"/>
  <c r="J22" i="8"/>
  <c r="C52" i="6"/>
  <c r="C52" i="12"/>
  <c r="C68" i="6"/>
  <c r="C68" i="12"/>
  <c r="C119" i="2"/>
  <c r="C14" i="2"/>
  <c r="C19" i="2" s="1"/>
  <c r="J23" i="8" l="1"/>
  <c r="G32" i="8"/>
  <c r="C33" i="8"/>
  <c r="C90" i="2"/>
  <c r="F63" i="12" s="1"/>
  <c r="C61" i="12"/>
  <c r="C66" i="6"/>
  <c r="C66" i="12"/>
  <c r="C4" i="8"/>
  <c r="J21" i="8" s="1"/>
  <c r="G33" i="8" l="1"/>
  <c r="C34" i="8"/>
  <c r="F63" i="6"/>
  <c r="G34" i="8" l="1"/>
  <c r="C35" i="8"/>
  <c r="C36" i="8" s="1"/>
  <c r="C64" i="8"/>
  <c r="G36" i="8" l="1"/>
  <c r="C37" i="8"/>
  <c r="G35" i="8"/>
  <c r="E74" i="8"/>
  <c r="E75" i="8"/>
  <c r="E77" i="8"/>
  <c r="E76" i="8"/>
  <c r="E120" i="6" l="1"/>
  <c r="E120" i="12"/>
  <c r="E121" i="6"/>
  <c r="E121" i="12"/>
  <c r="E118" i="12"/>
  <c r="E118" i="6"/>
  <c r="E119" i="12"/>
  <c r="E119" i="6"/>
  <c r="E24" i="9"/>
  <c r="E29" i="9"/>
  <c r="E23" i="9"/>
  <c r="E22" i="9"/>
  <c r="G37" i="8"/>
  <c r="C38" i="8"/>
  <c r="C36" i="9" l="1"/>
  <c r="C25" i="9"/>
  <c r="G38" i="8"/>
  <c r="C39" i="8"/>
  <c r="F34" i="9" l="1"/>
  <c r="D62" i="9"/>
  <c r="D63" i="9"/>
  <c r="D67" i="9"/>
  <c r="D66" i="9"/>
  <c r="G39" i="8"/>
  <c r="C40" i="8"/>
  <c r="C41" i="8" s="1"/>
  <c r="C125" i="12"/>
  <c r="C18" i="12" s="1"/>
  <c r="C125" i="6"/>
  <c r="C18" i="6" s="1"/>
  <c r="F53" i="9"/>
  <c r="C53" i="9" s="1"/>
  <c r="H74" i="2"/>
  <c r="H11" i="2"/>
  <c r="E8" i="12" l="1"/>
  <c r="C42" i="8"/>
  <c r="G41" i="8"/>
  <c r="G40" i="8"/>
  <c r="H119" i="2"/>
  <c r="H115" i="2" s="1"/>
  <c r="E66" i="9"/>
  <c r="D144" i="12"/>
  <c r="E62" i="9"/>
  <c r="D140" i="12"/>
  <c r="D145" i="6"/>
  <c r="D145" i="12"/>
  <c r="D141" i="6"/>
  <c r="D141" i="12"/>
  <c r="D144" i="6"/>
  <c r="D140" i="6"/>
  <c r="E67" i="9"/>
  <c r="E63" i="9"/>
  <c r="E141" i="12" s="1"/>
  <c r="C23" i="12" s="1"/>
  <c r="H14" i="2"/>
  <c r="H19" i="2" s="1"/>
  <c r="H90" i="2" s="1"/>
  <c r="H77" i="2"/>
  <c r="H116" i="2" s="1"/>
  <c r="E9" i="6" l="1"/>
  <c r="G42" i="8"/>
  <c r="C43" i="8"/>
  <c r="E145" i="6"/>
  <c r="C25" i="6" s="1"/>
  <c r="E145" i="12"/>
  <c r="C25" i="12" s="1"/>
  <c r="G62" i="9"/>
  <c r="E140" i="12"/>
  <c r="C22" i="12" s="1"/>
  <c r="E140" i="6"/>
  <c r="C22" i="6" s="1"/>
  <c r="E144" i="6"/>
  <c r="C24" i="6" s="1"/>
  <c r="E144" i="12"/>
  <c r="C24" i="12" s="1"/>
  <c r="G67" i="9"/>
  <c r="H113" i="2"/>
  <c r="G63" i="9"/>
  <c r="E141" i="6"/>
  <c r="H123" i="2"/>
  <c r="H124" i="2" s="1"/>
  <c r="H80" i="2"/>
  <c r="G74" i="2"/>
  <c r="D54" i="3"/>
  <c r="D50" i="3"/>
  <c r="G11" i="2"/>
  <c r="G43" i="8" l="1"/>
  <c r="C44" i="8"/>
  <c r="G96" i="2"/>
  <c r="G119" i="2"/>
  <c r="D66" i="12" s="1"/>
  <c r="C23" i="6"/>
  <c r="H85" i="2"/>
  <c r="G14" i="2"/>
  <c r="G19" i="2" s="1"/>
  <c r="G77" i="2"/>
  <c r="G116" i="2" s="1"/>
  <c r="C45" i="8" l="1"/>
  <c r="G44" i="8"/>
  <c r="D67" i="12"/>
  <c r="G90" i="2"/>
  <c r="C60" i="12"/>
  <c r="G115" i="2"/>
  <c r="D66" i="6"/>
  <c r="G113" i="2"/>
  <c r="G123" i="2"/>
  <c r="G124" i="2" s="1"/>
  <c r="G80" i="2"/>
  <c r="J74" i="2"/>
  <c r="I74" i="2"/>
  <c r="N74" i="2"/>
  <c r="L74" i="2"/>
  <c r="J11" i="2"/>
  <c r="M74" i="2"/>
  <c r="L11" i="2"/>
  <c r="L119" i="2" s="1"/>
  <c r="L115" i="2" s="1"/>
  <c r="K11" i="2"/>
  <c r="N11" i="2"/>
  <c r="M11" i="2"/>
  <c r="M119" i="2" s="1"/>
  <c r="M115" i="2" s="1"/>
  <c r="I11" i="2"/>
  <c r="K74" i="2"/>
  <c r="G45" i="8" l="1"/>
  <c r="C46" i="8"/>
  <c r="K14" i="2"/>
  <c r="K19" i="2" s="1"/>
  <c r="K90" i="2" s="1"/>
  <c r="K119" i="2"/>
  <c r="K115" i="2" s="1"/>
  <c r="N96" i="2"/>
  <c r="N119" i="2"/>
  <c r="N115" i="2" s="1"/>
  <c r="D67" i="6"/>
  <c r="I119" i="2"/>
  <c r="I115" i="2" s="1"/>
  <c r="J119" i="2"/>
  <c r="J115" i="2" s="1"/>
  <c r="C8" i="9"/>
  <c r="C60" i="6"/>
  <c r="G85" i="2"/>
  <c r="K77" i="2"/>
  <c r="K116" i="2" s="1"/>
  <c r="K96" i="2"/>
  <c r="L96" i="2"/>
  <c r="M96" i="2"/>
  <c r="I96" i="2"/>
  <c r="H96" i="2"/>
  <c r="J96" i="2"/>
  <c r="I14" i="2"/>
  <c r="I19" i="2" s="1"/>
  <c r="I90" i="2" s="1"/>
  <c r="I77" i="2"/>
  <c r="I116" i="2" s="1"/>
  <c r="N14" i="2"/>
  <c r="N19" i="2" s="1"/>
  <c r="N90" i="2" s="1"/>
  <c r="N77" i="2"/>
  <c r="N116" i="2" s="1"/>
  <c r="L14" i="2"/>
  <c r="L77" i="2"/>
  <c r="L116" i="2" s="1"/>
  <c r="J14" i="2"/>
  <c r="J19" i="2" s="1"/>
  <c r="J90" i="2" s="1"/>
  <c r="J77" i="2"/>
  <c r="J116" i="2" s="1"/>
  <c r="M14" i="2"/>
  <c r="M77" i="2"/>
  <c r="M116" i="2" s="1"/>
  <c r="K80" i="2" l="1"/>
  <c r="K123" i="2"/>
  <c r="K124" i="2" s="1"/>
  <c r="K113" i="2"/>
  <c r="C47" i="8"/>
  <c r="G46" i="8"/>
  <c r="N80" i="2"/>
  <c r="L123" i="2"/>
  <c r="L124" i="2" s="1"/>
  <c r="L19" i="2"/>
  <c r="N113" i="2"/>
  <c r="I113" i="2"/>
  <c r="J113" i="2"/>
  <c r="M123" i="2"/>
  <c r="M124" i="2" s="1"/>
  <c r="M19" i="2"/>
  <c r="M90" i="2" s="1"/>
  <c r="I123" i="2"/>
  <c r="I124" i="2" s="1"/>
  <c r="J80" i="2"/>
  <c r="N123" i="2"/>
  <c r="N124" i="2" s="1"/>
  <c r="M80" i="2"/>
  <c r="I85" i="2"/>
  <c r="I80" i="2"/>
  <c r="J123" i="2"/>
  <c r="J124" i="2" s="1"/>
  <c r="K85" i="2"/>
  <c r="L80" i="2"/>
  <c r="N85" i="2"/>
  <c r="C74" i="2"/>
  <c r="C50" i="3"/>
  <c r="C54" i="3"/>
  <c r="C48" i="8" l="1"/>
  <c r="G47" i="8"/>
  <c r="L85" i="2"/>
  <c r="L90" i="2"/>
  <c r="C81" i="6"/>
  <c r="C81" i="12"/>
  <c r="M113" i="2"/>
  <c r="L113" i="2"/>
  <c r="C14" i="9"/>
  <c r="M85" i="2"/>
  <c r="C77" i="2"/>
  <c r="C116" i="2" s="1"/>
  <c r="C96" i="2"/>
  <c r="J85" i="2"/>
  <c r="C78" i="2"/>
  <c r="C49" i="8" l="1"/>
  <c r="G48" i="8"/>
  <c r="C67" i="12"/>
  <c r="C123" i="2"/>
  <c r="G49" i="8" l="1"/>
  <c r="C50" i="8"/>
  <c r="C67" i="6"/>
  <c r="C80" i="2"/>
  <c r="C9" i="9"/>
  <c r="G50" i="8" l="1"/>
  <c r="C51" i="8"/>
  <c r="G51" i="8" s="1"/>
  <c r="C61" i="6"/>
  <c r="C124" i="2"/>
  <c r="C85" i="2"/>
  <c r="I51" i="8" l="1"/>
  <c r="J51" i="8"/>
  <c r="C62" i="6"/>
  <c r="C62" i="12"/>
  <c r="C6" i="8"/>
  <c r="C8" i="8" l="1"/>
  <c r="C10" i="8" s="1"/>
  <c r="L46" i="8"/>
  <c r="L49" i="8"/>
  <c r="L43" i="8"/>
  <c r="L47" i="8"/>
  <c r="L44" i="8"/>
  <c r="L45" i="8"/>
  <c r="L50" i="8"/>
  <c r="L48" i="8"/>
  <c r="L41" i="8"/>
  <c r="L42" i="8"/>
  <c r="L36" i="8"/>
  <c r="L39" i="8"/>
  <c r="L40" i="8"/>
  <c r="L38" i="8"/>
  <c r="L37" i="8"/>
  <c r="L24" i="8"/>
  <c r="L30" i="8"/>
  <c r="L35" i="8"/>
  <c r="L51" i="8"/>
  <c r="L28" i="8"/>
  <c r="L31" i="8"/>
  <c r="L29" i="8"/>
  <c r="L21" i="8"/>
  <c r="L23" i="8"/>
  <c r="L32" i="8"/>
  <c r="L34" i="8"/>
  <c r="L25" i="8"/>
  <c r="L26" i="8"/>
  <c r="L27" i="8"/>
  <c r="L33" i="8"/>
  <c r="L22" i="8"/>
  <c r="C11" i="8" l="1"/>
  <c r="L52" i="8"/>
  <c r="B65" i="8" l="1"/>
  <c r="C112" i="6"/>
  <c r="C112" i="12"/>
  <c r="C35" i="9"/>
  <c r="F35" i="9" s="1"/>
  <c r="I18" i="8"/>
  <c r="C65" i="8"/>
  <c r="D65" i="8"/>
  <c r="E65" i="8"/>
  <c r="F65" i="8"/>
  <c r="A55" i="8"/>
  <c r="C50" i="9" l="1"/>
  <c r="C51" i="9" s="1"/>
  <c r="C19" i="6" s="1"/>
  <c r="C47" i="9"/>
  <c r="G66" i="9" s="1"/>
  <c r="C19" i="12" l="1"/>
</calcChain>
</file>

<file path=xl/sharedStrings.xml><?xml version="1.0" encoding="utf-8"?>
<sst xmlns="http://schemas.openxmlformats.org/spreadsheetml/2006/main" count="765" uniqueCount="556">
  <si>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</si>
  <si>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</si>
  <si>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</si>
  <si>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</si>
  <si>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</si>
  <si>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</si>
  <si>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</si>
  <si>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</si>
  <si>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</si>
  <si>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</si>
  <si>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</si>
  <si>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</si>
  <si>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</si>
  <si>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</si>
  <si>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</si>
  <si>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</si>
  <si>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</si>
  <si>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</si>
  <si>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</si>
  <si>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</si>
  <si>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</si>
  <si>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</si>
  <si>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</si>
  <si>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</si>
  <si>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</si>
  <si>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</si>
  <si>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</si>
  <si>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</si>
  <si>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</si>
  <si>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</si>
  <si>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</si>
  <si>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</si>
  <si>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</si>
  <si>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</si>
  <si>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</si>
  <si>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</si>
  <si>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</si>
  <si>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</si>
  <si>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</si>
  <si>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</si>
  <si>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</si>
  <si>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</si>
  <si>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</si>
  <si>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</si>
  <si>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</si>
  <si>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</si>
  <si>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</si>
  <si>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</si>
  <si>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</si>
  <si>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</si>
  <si>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</si>
  <si>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</si>
  <si>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</si>
  <si>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</si>
  <si>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</si>
  <si>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</si>
  <si>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</si>
  <si>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</si>
  <si>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</si>
  <si>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</si>
  <si>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</si>
  <si>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</si>
  <si>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</si>
  <si>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</si>
  <si>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</si>
  <si>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</si>
  <si>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</si>
  <si>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</si>
  <si>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</si>
  <si>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</si>
  <si>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</si>
  <si>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</si>
  <si>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</si>
  <si>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</si>
  <si>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</si>
  <si>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</si>
  <si>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</si>
  <si>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</si>
  <si>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</si>
  <si>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</si>
  <si>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</si>
  <si>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</si>
  <si>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</si>
  <si>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</si>
  <si>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</si>
  <si>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</si>
  <si>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</si>
  <si>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</si>
  <si>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</si>
  <si>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</si>
  <si>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</si>
  <si>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</si>
  <si>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</si>
  <si>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</si>
  <si>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</si>
  <si>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</si>
  <si>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Equity Value per share</t>
    <phoneticPr fontId="2" type="noConversion"/>
  </si>
  <si>
    <t>Value Per Share</t>
    <phoneticPr fontId="2" type="noConversion"/>
  </si>
  <si>
    <t>Year</t>
    <phoneticPr fontId="28" type="noConversion"/>
  </si>
  <si>
    <t>HGP</t>
    <phoneticPr fontId="2" type="noConversion"/>
  </si>
  <si>
    <t>Value per share</t>
    <phoneticPr fontId="2" type="noConversion"/>
  </si>
  <si>
    <t>Scenarios</t>
    <phoneticPr fontId="28" type="noConversion"/>
  </si>
  <si>
    <t>Growth Rates</t>
    <phoneticPr fontId="28" type="noConversion"/>
  </si>
  <si>
    <t>PV(Dividends)</t>
    <phoneticPr fontId="2" type="noConversion"/>
  </si>
  <si>
    <t>PV(Equity Value)</t>
    <phoneticPr fontId="2" type="noConversion"/>
  </si>
  <si>
    <t>/Equity Cost of Capital</t>
    <phoneticPr fontId="2" type="noConversion"/>
  </si>
  <si>
    <t>Inputs</t>
    <phoneticPr fontId="28" type="noConversion"/>
  </si>
  <si>
    <t>Margin of Safety (MOS)</t>
    <phoneticPr fontId="2" type="noConversion"/>
  </si>
  <si>
    <t>Sensitivity Analysis (Enterprise Value)</t>
    <phoneticPr fontId="2" type="noConversion"/>
  </si>
  <si>
    <t>Sensitivity Analysis (Equity Value per share)</t>
    <phoneticPr fontId="2" type="noConversion"/>
  </si>
  <si>
    <t>HGR</t>
    <phoneticPr fontId="2" type="noConversion"/>
  </si>
  <si>
    <t>High Growth Period (HGP)</t>
    <phoneticPr fontId="2" type="noConversion"/>
  </si>
  <si>
    <t>High Growth Rate (HGR)</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</si>
  <si>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</si>
  <si>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</si>
  <si>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</si>
  <si>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</si>
  <si>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</si>
  <si>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</si>
  <si>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</si>
  <si>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</si>
  <si>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</si>
  <si>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</si>
  <si>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</si>
  <si>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</si>
  <si>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</si>
  <si>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</si>
  <si>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</si>
  <si>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</si>
  <si>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</si>
  <si>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</si>
  <si>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</si>
  <si>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</si>
  <si>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</si>
  <si>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</si>
  <si>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</si>
  <si>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No-Growth DCF</t>
    <phoneticPr fontId="2" type="noConversion"/>
  </si>
  <si>
    <t>Pre-tax Profit</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</si>
  <si>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</si>
  <si>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</si>
  <si>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</si>
  <si>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</si>
  <si>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</si>
  <si>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</si>
  <si>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</si>
  <si>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</si>
  <si>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</si>
  <si>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</si>
  <si>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</si>
  <si>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</si>
  <si>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</si>
  <si>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</si>
  <si>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</si>
  <si>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</si>
  <si>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</si>
  <si>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</si>
  <si>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</si>
  <si>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</si>
  <si>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</si>
  <si>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</si>
  <si>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</si>
  <si>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</si>
  <si>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</si>
  <si>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</si>
  <si>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</si>
  <si>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</si>
  <si>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</si>
  <si>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</si>
  <si>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</si>
  <si>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</si>
  <si>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</si>
  <si>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</si>
  <si>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</si>
  <si>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</si>
  <si>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</si>
  <si>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</si>
  <si>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</si>
  <si>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</si>
  <si>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</si>
  <si>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</si>
  <si>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</si>
  <si>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</si>
  <si>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</si>
  <si>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</si>
  <si>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</si>
  <si>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</si>
  <si>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</si>
  <si>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</si>
  <si>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</si>
  <si>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</si>
  <si>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</si>
  <si>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</si>
  <si>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</si>
  <si>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Non-Operating Cash is the Excess cash not required for operations</t>
    <phoneticPr fontId="2" type="noConversion"/>
  </si>
  <si>
    <t>Stable Income Value</t>
    <phoneticPr fontId="28"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</si>
  <si>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</si>
  <si>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</si>
  <si>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</si>
  <si>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</si>
  <si>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</si>
  <si>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</si>
  <si>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</si>
  <si>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</si>
  <si>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</si>
  <si>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</si>
  <si>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</si>
  <si>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</si>
  <si>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</si>
  <si>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</si>
  <si>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</si>
  <si>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</si>
  <si>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</si>
  <si>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</si>
  <si>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</si>
  <si>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t>Terminal Growth Rate (g) =</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</si>
  <si>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</si>
  <si>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</si>
  <si>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</si>
  <si>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</si>
  <si>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</si>
  <si>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 xml:space="preserve">Annual Dividend per share = </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</si>
  <si>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</si>
  <si>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</si>
  <si>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</si>
  <si>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</si>
  <si>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</si>
  <si>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</si>
  <si>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</si>
  <si>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</si>
  <si>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</si>
  <si>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</si>
  <si>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</si>
  <si>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</si>
  <si>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Market Price</t>
    <phoneticPr fontId="2" type="noConversion"/>
  </si>
  <si>
    <t>Prompt for fundamental Analysis</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</si>
  <si>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</si>
  <si>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</si>
  <si>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</si>
  <si>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</si>
  <si>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</si>
  <si>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</si>
  <si>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</si>
  <si>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</si>
  <si>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</si>
  <si>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</si>
  <si>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</si>
  <si>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</si>
  <si>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</si>
  <si>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</si>
  <si>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Expected Holding Period</t>
    <phoneticPr fontId="2" type="noConversion"/>
  </si>
  <si>
    <t>Equity Value Driving Factors</t>
    <phoneticPr fontId="2" type="noConversion"/>
  </si>
  <si>
    <t>Negative Growth</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</si>
  <si>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</si>
  <si>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</si>
  <si>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</si>
  <si>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</si>
  <si>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</si>
  <si>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</si>
  <si>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</si>
  <si>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</si>
  <si>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N</t>
    <phoneticPr fontId="2" type="noConversion"/>
  </si>
  <si>
    <t>Operating Expenses Multiple (months)</t>
    <phoneticPr fontId="2" type="noConversion"/>
  </si>
  <si>
    <t>Operating Cash Multiple (months)</t>
    <phoneticPr fontId="2" type="noConversion"/>
  </si>
  <si>
    <t>Rough Estimate</t>
    <phoneticPr fontId="2" type="noConversion"/>
  </si>
  <si>
    <t>WCInv is by default excluded</t>
  </si>
  <si>
    <t>Net borrowing is excluded</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</si>
  <si>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</si>
  <si>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</si>
  <si>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</si>
  <si>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</si>
  <si>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</si>
  <si>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</si>
  <si>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</si>
  <si>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</si>
  <si>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</si>
  <si>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</si>
  <si>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</si>
  <si>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</si>
  <si>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</si>
  <si>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</si>
  <si>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</si>
  <si>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</si>
  <si>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Historical Average or D&amp;A</t>
    <phoneticPr fontId="2" type="noConversion"/>
  </si>
  <si>
    <t>Step 1: Establishing the Company’s Sustainable Earning Power (Calculating Normalized FCFE)</t>
    <phoneticPr fontId="2" type="noConversion"/>
  </si>
  <si>
    <t>Note: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</si>
  <si>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</si>
  <si>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</si>
  <si>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</si>
  <si>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</si>
  <si>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</si>
  <si>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</si>
  <si>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</si>
  <si>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</si>
  <si>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</si>
  <si>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</si>
  <si>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</si>
  <si>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</si>
  <si>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</si>
  <si>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</si>
  <si>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</si>
  <si>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</si>
  <si>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</si>
  <si>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</si>
  <si>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</si>
  <si>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</si>
  <si>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</si>
  <si>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</si>
  <si>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</si>
  <si>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</si>
  <si>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</si>
  <si>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</si>
  <si>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</si>
  <si>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Debt to Equity Ratio =</t>
    <phoneticPr fontId="2" type="noConversion"/>
  </si>
  <si>
    <t>Est. Realizable Value</t>
    <phoneticPr fontId="2" type="noConversion"/>
  </si>
  <si>
    <t xml:space="preserve">Debt to EBIT Ratio = </t>
    <phoneticPr fontId="2" type="noConversion"/>
  </si>
  <si>
    <t>Target Price</t>
  </si>
  <si>
    <t>Entry Price</t>
  </si>
  <si>
    <t>Sell Price</t>
  </si>
  <si>
    <t>Exit Price</t>
  </si>
  <si>
    <t>Holding Period</t>
  </si>
  <si>
    <t>Risk Premium</t>
  </si>
  <si>
    <t>Base Cost of Equity</t>
  </si>
  <si>
    <t>Business Model Risk Premium:</t>
  </si>
  <si>
    <t>Management Risk Premium:</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</si>
  <si>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</si>
  <si>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</si>
  <si>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</si>
  <si>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</si>
  <si>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</si>
  <si>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</si>
  <si>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</si>
  <si>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</si>
  <si>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</si>
  <si>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</si>
  <si>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</si>
  <si>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</si>
  <si>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</si>
  <si>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Divisional Analysis (Optional)</t>
  </si>
  <si>
    <t>执行摘要</t>
  </si>
  <si>
    <t>增长分类:</t>
  </si>
  <si>
    <t>对比板块:</t>
  </si>
  <si>
    <t>商业模式风险溢价:</t>
  </si>
  <si>
    <t>管理风险溢价:</t>
  </si>
  <si>
    <t>报告货币:</t>
  </si>
  <si>
    <t>估值输出</t>
  </si>
  <si>
    <t>目标价格</t>
  </si>
  <si>
    <t>入场价格</t>
  </si>
  <si>
    <t>卖出价格</t>
  </si>
  <si>
    <t>退出价格</t>
  </si>
  <si>
    <t>持有期</t>
  </si>
  <si>
    <t>步骤1：确定公司可持续盈利能力（计算标准化FCFE）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</si>
  <si>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</si>
  <si>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</si>
  <si>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</si>
  <si>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</si>
  <si>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</si>
  <si>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</si>
  <si>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</si>
  <si>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</si>
  <si>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</si>
  <si>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</si>
  <si>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</si>
  <si>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</si>
  <si>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</si>
  <si>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</si>
  <si>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</si>
  <si>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股份数量：</t>
  </si>
  <si>
    <t>报告间隔：</t>
  </si>
  <si>
    <t>下次更新日期：</t>
  </si>
  <si>
    <t>股票代码：</t>
  </si>
  <si>
    <t>市场价格：</t>
  </si>
  <si>
    <t>市价货币：</t>
  </si>
  <si>
    <t>市值：</t>
  </si>
  <si>
    <t>外汇符号：</t>
  </si>
  <si>
    <t>汇率：</t>
  </si>
  <si>
    <t>估值概述</t>
  </si>
  <si>
    <t>关键组成部分</t>
  </si>
  <si>
    <t>最新FCFE =</t>
  </si>
  <si>
    <t>派息比率:</t>
  </si>
  <si>
    <t>最新</t>
  </si>
  <si>
    <t>说明：</t>
  </si>
  <si>
    <t>杜邦分析</t>
  </si>
  <si>
    <t>无增长股权价值每股 =</t>
  </si>
  <si>
    <t>情景</t>
  </si>
  <si>
    <t>HGR</t>
  </si>
  <si>
    <t>每股EV</t>
  </si>
  <si>
    <t>概率</t>
  </si>
  <si>
    <t xml:space="preserve">预期持有期 = </t>
  </si>
  <si>
    <t xml:space="preserve">每股年度股息 = </t>
  </si>
  <si>
    <t>关键风险因素</t>
  </si>
  <si>
    <t>- 可持续收入和利润率</t>
  </si>
  <si>
    <t>- 资本支出</t>
  </si>
  <si>
    <t>- 营运资金</t>
  </si>
  <si>
    <t>- 预期股权价值高度依赖各情景的特定增长率（HGR）、持续时间（HGP）和概率，这些是对不确定未来的预测。</t>
  </si>
  <si>
    <t>- 极端情景（“雪球”、“魔鬼代言人”）概率较低；若市场条件剧变，可能变得比预期更相关。</t>
  </si>
  <si>
    <t>- 宏观经济敏感性</t>
  </si>
  <si>
    <t>- 投入成本波动</t>
  </si>
  <si>
    <t>- 激烈竞争等</t>
  </si>
  <si>
    <t>Normalized FCFE</t>
  </si>
  <si>
    <t>Revenues</t>
  </si>
  <si>
    <t>Contribution Margin</t>
  </si>
  <si>
    <t>Fixed Costs</t>
  </si>
  <si>
    <t>G&amp;A and other Opex</t>
  </si>
  <si>
    <t>Tax rate</t>
  </si>
  <si>
    <t>Maintenance Capex</t>
  </si>
  <si>
    <t>Stage</t>
  </si>
  <si>
    <t>High Growth Rate_II</t>
  </si>
  <si>
    <t>Contribution Margin_II</t>
  </si>
  <si>
    <t>Try obtain this number by reverse engineering.</t>
  </si>
  <si>
    <t>CNS_01</t>
  </si>
  <si>
    <t>Assets held for sale</t>
  </si>
  <si>
    <t>Use the marginal tax rate</t>
  </si>
  <si>
    <t>Price Targets</t>
  </si>
  <si>
    <t>I</t>
  </si>
  <si>
    <t>@Target return</t>
  </si>
  <si>
    <t>@Entry yield</t>
  </si>
  <si>
    <t>@Benchmark yield</t>
  </si>
  <si>
    <t>@Base equity cost</t>
  </si>
  <si>
    <t>Historical FCFE</t>
  </si>
  <si>
    <t>Stage II Normalized Values</t>
  </si>
  <si>
    <t>Output</t>
  </si>
  <si>
    <t>Terminal Stage</t>
  </si>
  <si>
    <t>Normalized Values</t>
  </si>
  <si>
    <t>Stable Non-Operating EBIT</t>
  </si>
  <si>
    <t>Other Income, includes</t>
  </si>
  <si>
    <t>Non-op EBIT</t>
  </si>
  <si>
    <t>T</t>
  </si>
  <si>
    <t>FCFE/TV</t>
  </si>
  <si>
    <t>PV of FCFE/TV</t>
  </si>
  <si>
    <t>PV of total FCFE =</t>
  </si>
  <si>
    <t>High g Period (HGP)</t>
  </si>
  <si>
    <t>High g Rate (HGR)</t>
  </si>
  <si>
    <t>D&amp;A - maint. Capx</t>
  </si>
  <si>
    <t>FV adjustments</t>
  </si>
  <si>
    <t>Value per share</t>
  </si>
  <si>
    <t>Equity Value</t>
  </si>
  <si>
    <t>Value</t>
  </si>
  <si>
    <t>Growth DCF Valuation</t>
  </si>
  <si>
    <t>Terminal g Rate:</t>
  </si>
  <si>
    <t>+ FV adjustments</t>
  </si>
  <si>
    <t>Interest-bearing Debt</t>
  </si>
  <si>
    <t>Non-operating Cash</t>
  </si>
  <si>
    <t>Other Non-op. Assets</t>
  </si>
  <si>
    <t>No-g Model Value per share</t>
  </si>
  <si>
    <t>g Model Value per share</t>
  </si>
  <si>
    <t>Scenarios</t>
  </si>
  <si>
    <t>Base</t>
  </si>
  <si>
    <t>The Cost of Equity is established as an investor’s hurdle rate. This rate serves as an opportunity cost threshold for capital allocation.The model calculates intrinsic value using a standardized base cost of equity as the discount rate in DCF analysis. This rate serves as the minimum acceptable long-term return threshold, reflecting long-term risk-free rates plus an equity risk premium.</t>
  </si>
  <si>
    <t>作为资本配置的机会成本门槛。该模型在DCF分析中使用标准化的贴现率，计算内在价值。此利率作为最低可接受的长期回报门槛，反映长期无风险利率加上股权风险溢价。</t>
  </si>
  <si>
    <t>@目标回报率</t>
  </si>
  <si>
    <t>@入场收益率</t>
  </si>
  <si>
    <t>@基础Equity Cost</t>
  </si>
  <si>
    <t>@基准收益率</t>
  </si>
  <si>
    <t>Snowball Scenario</t>
  </si>
  <si>
    <t>Optimistic</t>
  </si>
  <si>
    <t>Pessimistic</t>
  </si>
  <si>
    <t>Devil's advocate</t>
  </si>
  <si>
    <t>HGP</t>
  </si>
  <si>
    <t>Probabilities</t>
  </si>
  <si>
    <t>General Scenarios</t>
  </si>
  <si>
    <t>Under General Scenario</t>
  </si>
  <si>
    <t>Extreme Scenarios</t>
  </si>
  <si>
    <t>Scenarios Analysis</t>
  </si>
  <si>
    <t>Implied Annual Return</t>
  </si>
  <si>
    <t>With a holding period of</t>
  </si>
  <si>
    <t>Conclusion</t>
  </si>
  <si>
    <t>Adj. Probabilities</t>
  </si>
  <si>
    <t>Annual Dividend per share</t>
  </si>
  <si>
    <t>Expected Value</t>
  </si>
  <si>
    <t>is assumed to be the</t>
  </si>
  <si>
    <t>MOS below Value</t>
  </si>
  <si>
    <t>Buy Price Outputs</t>
  </si>
  <si>
    <t>Sell Price Outputs</t>
  </si>
  <si>
    <t>FV adj. per share</t>
  </si>
  <si>
    <r>
      <rPr>
        <b/>
        <sz val="9"/>
        <color rgb="FF000000"/>
        <rFont val="Arial"/>
        <family val="2"/>
        <scheme val="major"/>
      </rPr>
      <t xml:space="preserve">FV adjustmets = </t>
    </r>
    <r>
      <rPr>
        <sz val="9"/>
        <color rgb="FF000000"/>
        <rFont val="Arial"/>
        <family val="2"/>
        <scheme val="major"/>
      </rPr>
      <t xml:space="preserve"> Non-Operating Cash + Other Non-Operating Assets – Total Interest-Bearing Debt</t>
    </r>
  </si>
  <si>
    <r>
      <t xml:space="preserve">• </t>
    </r>
    <r>
      <rPr>
        <b/>
        <sz val="9"/>
        <color rgb="FF000000"/>
        <rFont val="Arial"/>
        <family val="2"/>
        <scheme val="major"/>
      </rPr>
      <t>Non-Operating Cash:</t>
    </r>
    <r>
      <rPr>
        <sz val="9"/>
        <color rgb="FF000000"/>
        <rFont val="Arial"/>
        <family val="2"/>
        <scheme val="major"/>
      </rPr>
      <t xml:space="preserve"> Excess cash not required for operations</t>
    </r>
  </si>
  <si>
    <t>Cost of Equity =</t>
  </si>
  <si>
    <t xml:space="preserve">Est. (Net Asset) Realizable Value = </t>
  </si>
  <si>
    <t>FV adjustments per share =</t>
  </si>
  <si>
    <t>Step 3: Values from No-Growth Model and Growth Model</t>
  </si>
  <si>
    <t>PV(Equity Value)</t>
  </si>
  <si>
    <t>Annual Return</t>
  </si>
  <si>
    <t>Results</t>
  </si>
  <si>
    <t>Step 4: Determining Investment Decisions</t>
  </si>
  <si>
    <t>Step 5:  Risk Analysis</t>
  </si>
  <si>
    <t>步骤2：公允价值调整 (Fair Value Adjustment)</t>
  </si>
  <si>
    <t>Step 2: Fair Value adjustments</t>
  </si>
  <si>
    <r>
      <rPr>
        <b/>
        <i/>
        <sz val="9"/>
        <color rgb="FF000000"/>
        <rFont val="Arial"/>
        <family val="2"/>
        <scheme val="major"/>
      </rPr>
      <t>Goal:</t>
    </r>
    <r>
      <rPr>
        <i/>
        <sz val="9"/>
        <color rgb="FF000000"/>
        <rFont val="Arial"/>
        <family val="2"/>
        <scheme val="major"/>
      </rPr>
      <t xml:space="preserve"> Determine the FV adjustments needed to derive the equity value, considering the capital structure.</t>
    </r>
  </si>
  <si>
    <t>FV adjustmets =  Non-Operating Cash + Other Non-Operating Assets – Total Interest-Bearing Debt</t>
  </si>
  <si>
    <t>公允价值调整 (FV Adjustment) =</t>
  </si>
  <si>
    <t>总现金 =</t>
  </si>
  <si>
    <t>步骤3：零增长模型与增长模型的价值</t>
  </si>
  <si>
    <r>
      <t>Equity Value</t>
    </r>
    <r>
      <rPr>
        <sz val="9"/>
        <color rgb="FF000000"/>
        <rFont val="Arial"/>
        <family val="2"/>
        <scheme val="major"/>
      </rPr>
      <t xml:space="preserve"> = Enterprise Value - FV adjustment</t>
    </r>
  </si>
  <si>
    <r>
      <t>Enterprise Value</t>
    </r>
    <r>
      <rPr>
        <sz val="9"/>
        <color rgb="FF000000"/>
        <rFont val="Arial"/>
        <family val="2"/>
        <scheme val="major"/>
      </rPr>
      <t xml:space="preserve"> = Normalized FCFE / (Cost of Equity - Terminal Growth Rate)</t>
    </r>
  </si>
  <si>
    <r>
      <rPr>
        <b/>
        <i/>
        <sz val="9"/>
        <color rgb="FF000000"/>
        <rFont val="Arial"/>
        <family val="2"/>
        <scheme val="major"/>
      </rPr>
      <t>Goal:</t>
    </r>
    <r>
      <rPr>
        <i/>
        <sz val="9"/>
        <color rgb="FF000000"/>
        <rFont val="Arial"/>
        <family val="2"/>
        <scheme val="major"/>
      </rPr>
      <t xml:space="preserve"> Calculate the intrinsic value under the assumption that normalized FCFE remains steady, considering both zero-growth and growth scenarios.</t>
    </r>
  </si>
  <si>
    <t>估计(净资产)可变现价值 =</t>
  </si>
  <si>
    <t>a. From No-Growth Model</t>
  </si>
  <si>
    <t>b. From Growth Model</t>
  </si>
  <si>
    <t>a. 零增长模型</t>
  </si>
  <si>
    <t>b. 增长模型</t>
  </si>
  <si>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</si>
  <si>
    <t>步骤4：投资决策</t>
  </si>
  <si>
    <t>投资决策</t>
  </si>
  <si>
    <t>Investment Decisions</t>
  </si>
  <si>
    <t>年回报</t>
  </si>
  <si>
    <t xml:space="preserve">Taxes = </t>
  </si>
  <si>
    <r>
      <rPr>
        <b/>
        <i/>
        <sz val="9"/>
        <color rgb="FF000000"/>
        <rFont val="Microsoft YaHei"/>
        <family val="2"/>
      </rPr>
      <t>指导说明：</t>
    </r>
    <r>
      <rPr>
        <i/>
        <sz val="9"/>
        <color rgb="FF000000"/>
        <rFont val="Microsoft YaHei"/>
        <family val="2"/>
      </rPr>
      <t>该模型使用结构化的投资流程来评估公司，确定其内在价值和目标价格。它关注可持续的自由现金流（FCF）能力，调整财务结构，纳入增长情景，并根据得出的内在价值计算预期回报。</t>
    </r>
  </si>
  <si>
    <r>
      <rPr>
        <b/>
        <i/>
        <sz val="9"/>
        <color rgb="FF000000"/>
        <rFont val="Microsoft YaHei"/>
        <family val="2"/>
      </rPr>
      <t>目标：</t>
    </r>
    <r>
      <rPr>
        <i/>
        <sz val="9"/>
        <color rgb="FF000000"/>
        <rFont val="Microsoft YaHei"/>
        <family val="2"/>
      </rPr>
      <t>量化业务持续生成的潜在自由现金流（FCFE），去除临时波动或会计选择的影响。</t>
    </r>
  </si>
  <si>
    <r>
      <t>FCFE</t>
    </r>
    <r>
      <rPr>
        <sz val="9"/>
        <color rgb="FF000000"/>
        <rFont val="Microsoft YaHei"/>
        <family val="2"/>
      </rPr>
      <t xml:space="preserve"> = (Normalized Operating EBIT + Depreciation &amp; Amortization – Capital Expenditures) + Stable Non-Operating EBIT + Net Interest Income – Taxes – NCI’s Share of Profits – Working Capital Investment</t>
    </r>
  </si>
  <si>
    <r>
      <t xml:space="preserve">• </t>
    </r>
    <r>
      <rPr>
        <b/>
        <sz val="9"/>
        <color rgb="FF000000"/>
        <rFont val="Microsoft YaHei"/>
        <family val="2"/>
      </rPr>
      <t>Normalized Operating EBIT</t>
    </r>
    <r>
      <rPr>
        <sz val="9"/>
        <color rgb="FF000000"/>
        <rFont val="Microsoft YaHei"/>
        <family val="2"/>
      </rPr>
      <t>：核心业务运营的税前息前利润，调整以剔除一次性或非经常性项目，形成可持续盈利基础。</t>
    </r>
  </si>
  <si>
    <r>
      <t xml:space="preserve">• </t>
    </r>
    <r>
      <rPr>
        <b/>
        <sz val="9"/>
        <color rgb="FF000000"/>
        <rFont val="Microsoft YaHei"/>
        <family val="2"/>
      </rPr>
      <t>Depreciation &amp; Amortization (D&amp;A):</t>
    </r>
    <r>
      <rPr>
        <sz val="9"/>
        <color rgb="FF000000"/>
        <rFont val="Microsoft YaHei"/>
        <family val="2"/>
      </rPr>
      <t xml:space="preserve"> 非现金费用，加入以反映运营产生的现金。
• </t>
    </r>
    <r>
      <rPr>
        <b/>
        <sz val="9"/>
        <color rgb="FF000000"/>
        <rFont val="Microsoft YaHei"/>
        <family val="2"/>
      </rPr>
      <t>Capital Expenditures (Capex)</t>
    </r>
    <r>
      <rPr>
        <sz val="9"/>
        <color rgb="FF000000"/>
        <rFont val="Microsoft YaHei"/>
        <family val="2"/>
      </rPr>
      <t>: 维持或扩展运营资产所需的现金流出。</t>
    </r>
  </si>
  <si>
    <r>
      <t xml:space="preserve">• </t>
    </r>
    <r>
      <rPr>
        <b/>
        <sz val="9"/>
        <color rgb="FF000000"/>
        <rFont val="Microsoft YaHei"/>
        <family val="2"/>
      </rPr>
      <t xml:space="preserve">Stable Non-Operating EBIT: </t>
    </r>
    <r>
      <rPr>
        <sz val="9"/>
        <color rgb="FF000000"/>
        <rFont val="Microsoft YaHei"/>
        <family val="2"/>
      </rPr>
      <t>来自非核心资产的持续收益，如固定收益投资、支付股息的股票或租赁物业。</t>
    </r>
  </si>
  <si>
    <r>
      <t xml:space="preserve">• </t>
    </r>
    <r>
      <rPr>
        <b/>
        <sz val="9"/>
        <color rgb="FF000000"/>
        <rFont val="Microsoft YaHei"/>
        <family val="2"/>
      </rPr>
      <t>Net Interest Income:</t>
    </r>
    <r>
      <rPr>
        <sz val="9"/>
        <color rgb="FF000000"/>
        <rFont val="Microsoft YaHei"/>
        <family val="2"/>
      </rPr>
      <t xml:space="preserve"> 利息收入减去利息支出</t>
    </r>
  </si>
  <si>
    <r>
      <rPr>
        <b/>
        <sz val="9"/>
        <color rgb="FF000000"/>
        <rFont val="Microsoft YaHei"/>
        <family val="2"/>
      </rPr>
      <t>• NCI’s Share of Profits:</t>
    </r>
    <r>
      <rPr>
        <sz val="9"/>
        <color rgb="FF000000"/>
        <rFont val="Microsoft YaHei"/>
        <family val="2"/>
      </rPr>
      <t xml:space="preserve"> NCI代表子公司中母公司未拥有的股权部分。</t>
    </r>
  </si>
  <si>
    <r>
      <t xml:space="preserve">• </t>
    </r>
    <r>
      <rPr>
        <b/>
        <sz val="9"/>
        <color rgb="FF000000"/>
        <rFont val="Microsoft YaHei"/>
        <family val="2"/>
      </rPr>
      <t>Taxes</t>
    </r>
    <r>
      <rPr>
        <sz val="9"/>
        <color rgb="FF000000"/>
        <rFont val="Microsoft YaHei"/>
        <family val="2"/>
      </rPr>
      <t>: Tax = (Normalized Operating EBIT + Stable Non-Operating EBIT + Interest Income – Interest Expense) × Tax Rate</t>
    </r>
  </si>
  <si>
    <r>
      <t xml:space="preserve">• </t>
    </r>
    <r>
      <rPr>
        <b/>
        <sz val="9"/>
        <color rgb="FF000000"/>
        <rFont val="Microsoft YaHei"/>
        <family val="2"/>
      </rPr>
      <t>Working Capital Investment (WCInv):</t>
    </r>
    <r>
      <rPr>
        <sz val="9"/>
        <color rgb="FF000000"/>
        <rFont val="Microsoft YaHei"/>
        <family val="2"/>
      </rPr>
      <t xml:space="preserve"> WCInv仅在显著扭曲FCFE时纳入。</t>
    </r>
  </si>
  <si>
    <r>
      <rPr>
        <b/>
        <i/>
        <sz val="9"/>
        <color rgb="FF000000"/>
        <rFont val="Microsoft YaHei"/>
        <family val="2"/>
      </rPr>
      <t>关于净借款的说明：</t>
    </r>
    <r>
      <rPr>
        <i/>
        <sz val="9"/>
        <color rgb="FF000000"/>
        <rFont val="Microsoft YaHei"/>
        <family val="2"/>
      </rPr>
      <t>理论上，本金偿还通过净借款核算。然而，该模型旨在避免明确预测债务发行或偿还。相反，本金偿还通过有息债务在股权价值调整中反映。</t>
    </r>
  </si>
  <si>
    <r>
      <rPr>
        <b/>
        <i/>
        <sz val="9"/>
        <color rgb="FF000000"/>
        <rFont val="Microsoft YaHei"/>
        <family val="2"/>
      </rPr>
      <t>洞察：</t>
    </r>
    <r>
      <rPr>
        <i/>
        <sz val="9"/>
        <color rgb="FF000000"/>
        <rFont val="Microsoft YaHei"/>
        <family val="2"/>
      </rPr>
      <t>这一步骤通过纳入运营和稳定的非运营来源，同时考虑税金和再投资需求，确保现金流的全面衡量。</t>
    </r>
  </si>
  <si>
    <r>
      <rPr>
        <b/>
        <i/>
        <sz val="9"/>
        <color rgb="FF000000"/>
        <rFont val="Microsoft YaHei"/>
        <family val="2"/>
      </rPr>
      <t>目标：</t>
    </r>
    <r>
      <rPr>
        <i/>
        <sz val="9"/>
        <color rgb="FF000000"/>
        <rFont val="Microsoft YaHei"/>
        <family val="2"/>
      </rPr>
      <t>根据资本结构，确定计算股权价值所需的公允价值调整 (FV Adjustment)。</t>
    </r>
  </si>
  <si>
    <r>
      <rPr>
        <b/>
        <i/>
        <sz val="9"/>
        <color rgb="FF000000"/>
        <rFont val="Microsoft YaHei"/>
        <family val="2"/>
      </rPr>
      <t>关于债务的说明：</t>
    </r>
    <r>
      <rPr>
        <i/>
        <sz val="9"/>
        <color rgb="FF000000"/>
        <rFont val="Microsoft YaHei"/>
        <family val="2"/>
      </rPr>
      <t>总有息债务包括本金偿还。理想情况下，应根据偿还时间表贴现。但为简单和保守起见，该模型使用总有息债务的账面价值。</t>
    </r>
  </si>
  <si>
    <r>
      <t xml:space="preserve">• </t>
    </r>
    <r>
      <rPr>
        <b/>
        <sz val="9"/>
        <color rgb="FF000000"/>
        <rFont val="Microsoft YaHei"/>
        <family val="2"/>
      </rPr>
      <t>Non-Operating Cash</t>
    </r>
    <r>
      <rPr>
        <sz val="9"/>
        <color rgb="FF000000"/>
        <rFont val="Microsoft YaHei"/>
        <family val="2"/>
      </rPr>
      <t>: 运营不需要的超额现金</t>
    </r>
  </si>
  <si>
    <r>
      <t xml:space="preserve">• </t>
    </r>
    <r>
      <rPr>
        <b/>
        <sz val="9"/>
        <color rgb="FF000000"/>
        <rFont val="Microsoft YaHei"/>
        <family val="2"/>
      </rPr>
      <t>Other Non-Operating Assets:</t>
    </r>
    <r>
      <rPr>
        <sz val="9"/>
        <color rgb="FF000000"/>
        <rFont val="Microsoft YaHei"/>
        <family val="2"/>
      </rPr>
      <t xml:space="preserve"> 不贡献FCFE的资产（如非收益性投资或物业）</t>
    </r>
  </si>
  <si>
    <r>
      <rPr>
        <b/>
        <i/>
        <sz val="9"/>
        <color rgb="FF000000"/>
        <rFont val="Microsoft YaHei"/>
        <family val="2"/>
      </rPr>
      <t>目标：</t>
    </r>
    <r>
      <rPr>
        <i/>
        <sz val="9"/>
        <color rgb="FF000000"/>
        <rFont val="Microsoft YaHei"/>
        <family val="2"/>
      </rPr>
      <t>在假设当前的标准化自由现金流股权（FCFE）保持稳定的前提下，计算其内在价值，并分别考虑零增长和增长两种情境。</t>
    </r>
  </si>
  <si>
    <r>
      <t>Enterprise Value</t>
    </r>
    <r>
      <rPr>
        <sz val="9"/>
        <color rgb="FF000000"/>
        <rFont val="Microsoft YaHei"/>
        <family val="2"/>
      </rPr>
      <t xml:space="preserve"> = Normalized FCFE / (Cost of Equity - Terminal Growth Rate)</t>
    </r>
  </si>
  <si>
    <r>
      <t>Equity Value</t>
    </r>
    <r>
      <rPr>
        <sz val="9"/>
        <color rgb="FF000000"/>
        <rFont val="Microsoft YaHei"/>
        <family val="2"/>
      </rPr>
      <t xml:space="preserve"> = Enterprise Value - FV adjustment</t>
    </r>
  </si>
  <si>
    <r>
      <rPr>
        <b/>
        <i/>
        <sz val="9"/>
        <color rgb="FF000000"/>
        <rFont val="Microsoft YaHei"/>
        <family val="2"/>
      </rPr>
      <t>Cost of Equity:</t>
    </r>
    <r>
      <rPr>
        <i/>
        <sz val="9"/>
        <color rgb="FF000000"/>
        <rFont val="Microsoft YaHei"/>
        <family val="2"/>
      </rPr>
      <t xml:space="preserve"> 反映公司的风险概况，代表投资者为承担拥有此类业务一般风险所需的最低回报，而目标年回报率作为投资者要求的回报率。</t>
    </r>
  </si>
  <si>
    <r>
      <rPr>
        <b/>
        <i/>
        <sz val="9"/>
        <color rgb="FF000000"/>
        <rFont val="Microsoft YaHei"/>
        <family val="2"/>
      </rPr>
      <t>洞察：</t>
    </r>
    <r>
      <rPr>
        <i/>
        <sz val="9"/>
        <color rgb="FF000000"/>
        <rFont val="Microsoft YaHei"/>
        <family val="2"/>
      </rPr>
      <t>无增长股权价值每股代表公司在考虑未来增长潜力前，基于当前可持续运营和净财务状况的内在价值估计，作为基本锚定的估值基线。</t>
    </r>
  </si>
  <si>
    <r>
      <rPr>
        <b/>
        <sz val="9"/>
        <color rgb="FF000000"/>
        <rFont val="Microsoft YaHei"/>
        <family val="2"/>
      </rPr>
      <t>目标：</t>
    </r>
    <r>
      <rPr>
        <sz val="9"/>
        <color rgb="FF000000"/>
        <rFont val="Microsoft YaHei"/>
        <family val="2"/>
      </rPr>
      <t>通过建模合理的FCFE/股息、高增长期（HGP）和高增长率（HGR）情景，并按概率加权，估计内在价值。</t>
    </r>
  </si>
  <si>
    <r>
      <rPr>
        <b/>
        <i/>
        <sz val="9"/>
        <color rgb="FF000000"/>
        <rFont val="Microsoft YaHei"/>
        <family val="2"/>
      </rPr>
      <t>洞察：</t>
    </r>
    <r>
      <rPr>
        <i/>
        <sz val="9"/>
        <color rgb="FF000000"/>
        <rFont val="Microsoft YaHei"/>
        <family val="2"/>
      </rPr>
      <t>分析市场大幅波动作为市场感知结果范围的指标，包括定义“雪球”或“魔鬼代言人”等情景边界的极端情况。情景分析使用基本推理评估这些情景的可能性。</t>
    </r>
  </si>
  <si>
    <r>
      <rPr>
        <b/>
        <i/>
        <sz val="9"/>
        <color rgb="FF000000"/>
        <rFont val="Microsoft YaHei"/>
        <family val="2"/>
      </rPr>
      <t>目标：</t>
    </r>
    <r>
      <rPr>
        <i/>
        <sz val="9"/>
        <color rgb="FF000000"/>
        <rFont val="Microsoft YaHei"/>
        <family val="2"/>
      </rPr>
      <t>将公司内在价值估计（来自步骤4）转化为满足特定投资要求的具体买入价格。</t>
    </r>
  </si>
  <si>
    <r>
      <rPr>
        <b/>
        <i/>
        <sz val="9"/>
        <color rgb="FF000000"/>
        <rFont val="Microsoft YaHei"/>
        <family val="2"/>
      </rPr>
      <t>计算逻辑：</t>
    </r>
    <r>
      <rPr>
        <i/>
        <sz val="9"/>
        <color rgb="FF000000"/>
        <rFont val="Microsoft YaHei"/>
        <family val="2"/>
      </rPr>
      <t>The Target Buy Price is determined by discounting future cash flows—expected annual dividends and the Expected Equity Value—at the Target Annual Return, realized over the holding period.</t>
    </r>
  </si>
  <si>
    <r>
      <t>目标：</t>
    </r>
    <r>
      <rPr>
        <i/>
        <sz val="9"/>
        <color rgb="FF000000"/>
        <rFont val="Microsoft YaHei"/>
        <family val="2"/>
      </rPr>
      <t>关注影响FCFE/股息可持续性的估值风险因素。</t>
    </r>
  </si>
  <si>
    <r>
      <t xml:space="preserve">1. </t>
    </r>
    <r>
      <rPr>
        <b/>
        <sz val="9"/>
        <color rgb="FF000000"/>
        <rFont val="Microsoft YaHei"/>
        <family val="2"/>
      </rPr>
      <t>标准化FCFE的准确性</t>
    </r>
    <r>
      <rPr>
        <sz val="9"/>
        <color rgb="FF000000"/>
        <rFont val="Microsoft YaHei"/>
        <family val="2"/>
      </rPr>
      <t>, 受不确定性影响，包括：</t>
    </r>
  </si>
  <si>
    <r>
      <t xml:space="preserve">2. </t>
    </r>
    <r>
      <rPr>
        <b/>
        <sz val="9"/>
        <color rgb="FF000000"/>
        <rFont val="Microsoft YaHei"/>
        <family val="2"/>
      </rPr>
      <t>Cost of Equity的适当性</t>
    </r>
  </si>
  <si>
    <r>
      <t xml:space="preserve">3. </t>
    </r>
    <r>
      <rPr>
        <b/>
        <sz val="9"/>
        <color rgb="FF000000"/>
        <rFont val="Microsoft YaHei"/>
        <family val="2"/>
      </rPr>
      <t>增长情景的可靠性</t>
    </r>
  </si>
  <si>
    <r>
      <t xml:space="preserve">4. </t>
    </r>
    <r>
      <rPr>
        <b/>
        <sz val="9"/>
        <color rgb="FF000000"/>
        <rFont val="Microsoft YaHei"/>
        <family val="2"/>
      </rPr>
      <t>外部和公司特定风险</t>
    </r>
  </si>
  <si>
    <t>Implied Annual Return:</t>
  </si>
  <si>
    <t>隐含年回报率:</t>
  </si>
  <si>
    <t>FCFE g</t>
  </si>
  <si>
    <t>Disc. Factor</t>
  </si>
  <si>
    <t>Terminal Growth Rate (g)</t>
  </si>
  <si>
    <t>Company:</t>
  </si>
  <si>
    <t>公司：</t>
  </si>
  <si>
    <t>永续增长率 (g) =</t>
  </si>
  <si>
    <r>
      <rPr>
        <b/>
        <i/>
        <sz val="9"/>
        <color rgb="FF000000"/>
        <rFont val="Microsoft YaHei"/>
        <family val="2"/>
      </rPr>
      <t>永续增长率:</t>
    </r>
    <r>
      <rPr>
        <i/>
        <sz val="9"/>
        <color rgb="FF000000"/>
        <rFont val="Microsoft YaHei"/>
        <family val="2"/>
      </rPr>
      <t xml:space="preserve"> 将g设为0%是一个保守假设，仅基于公司当前表现的盈利能力估值，不依赖潜在乐观的未来增长预测。</t>
    </r>
  </si>
  <si>
    <t>Portfolio:</t>
  </si>
  <si>
    <t>Last Updated:</t>
  </si>
  <si>
    <t>Selected:</t>
  </si>
  <si>
    <t>组合:</t>
  </si>
  <si>
    <t>精选:</t>
  </si>
  <si>
    <t>更新日期:</t>
  </si>
  <si>
    <t>EBIT</t>
  </si>
  <si>
    <t>6186.HK</t>
  </si>
  <si>
    <t>中国飞鹤</t>
  </si>
  <si>
    <t>CNY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</si>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</sst>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Red]\-&quot;$&quot;#,##0.00"/>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71">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b/>
      <sz val="9"/>
      <color theme="0"/>
      <name val="Microsoft YaHei"/>
      <family val="2"/>
    </font>
    <font>
      <sz val="9"/>
      <color rgb="FF000000"/>
      <name val="Microsoft YaHei"/>
      <family val="2"/>
    </font>
    <font>
      <b/>
      <sz val="9"/>
      <color theme="1"/>
      <name val="Microsoft YaHei"/>
      <family val="2"/>
    </font>
    <font>
      <sz val="9"/>
      <name val="Microsoft YaHei"/>
      <family val="2"/>
    </font>
    <font>
      <b/>
      <sz val="9"/>
      <name val="Microsoft YaHei"/>
      <family val="2"/>
    </font>
    <font>
      <sz val="10"/>
      <color theme="0"/>
      <name val="Microsoft YaHei"/>
      <family val="2"/>
    </font>
    <font>
      <sz val="9"/>
      <color theme="1"/>
      <name val="Microsoft YaHei"/>
      <family val="2"/>
    </font>
    <font>
      <sz val="9"/>
      <color rgb="FF0000FF"/>
      <name val="Microsoft YaHei"/>
      <family val="2"/>
    </font>
    <font>
      <i/>
      <sz val="9"/>
      <color rgb="FF000000"/>
      <name val="Microsoft YaHei"/>
      <family val="2"/>
    </font>
    <font>
      <b/>
      <i/>
      <sz val="9"/>
      <color rgb="FF000000"/>
      <name val="Microsoft YaHei"/>
      <family val="2"/>
    </font>
    <font>
      <u/>
      <sz val="9"/>
      <color rgb="FF000000"/>
      <name val="Microsoft YaHei"/>
      <family val="2"/>
    </font>
    <font>
      <i/>
      <sz val="9"/>
      <name val="Microsoft YaHei"/>
      <family val="2"/>
    </font>
    <font>
      <b/>
      <sz val="9"/>
      <color rgb="FF000000"/>
      <name val="Microsoft YaHei"/>
      <family val="2"/>
    </font>
    <font>
      <b/>
      <u/>
      <sz val="9"/>
      <color rgb="FF000000"/>
      <name val="Microsoft YaHei"/>
      <family val="2"/>
    </font>
    <font>
      <i/>
      <u/>
      <sz val="9"/>
      <name val="Microsoft YaHei"/>
      <family val="2"/>
    </font>
    <font>
      <b/>
      <u/>
      <sz val="10"/>
      <name val="Arial"/>
      <family val="2"/>
      <scheme val="minor"/>
    </font>
    <font>
      <b/>
      <sz val="9"/>
      <color rgb="FF0000FF"/>
      <name val="Microsoft YaHei"/>
      <family val="2"/>
    </font>
    <font>
      <i/>
      <sz val="9"/>
      <color rgb="FFFF0000"/>
      <name val="Arial"/>
      <family val="2"/>
      <scheme val="major"/>
    </font>
  </fonts>
  <fills count="8">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0" tint="-4.9989318521683403E-2"/>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473">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4" fontId="24" fillId="0" borderId="1" xfId="0" applyNumberFormat="1" applyFont="1" applyBorder="1" applyAlignment="1">
      <alignment horizontal="right"/>
    </xf>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9" fontId="29" fillId="0" borderId="0" xfId="0" applyNumberFormat="1" applyFont="1"/>
    <xf numFmtId="175" fontId="25" fillId="0" borderId="0" xfId="0" applyNumberFormat="1" applyFont="1"/>
    <xf numFmtId="0" fontId="3" fillId="7"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7"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7"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7"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175" fontId="8" fillId="0" borderId="0" xfId="0" applyNumberFormat="1" applyFont="1"/>
    <xf numFmtId="10" fontId="8" fillId="7"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7" borderId="0" xfId="0"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39" fillId="0" borderId="0" xfId="0" applyFont="1"/>
    <xf numFmtId="9" fontId="3" fillId="0" borderId="1" xfId="0" applyNumberFormat="1" applyFont="1" applyBorder="1"/>
    <xf numFmtId="40" fontId="3" fillId="0" borderId="0" xfId="0" applyNumberFormat="1" applyFont="1" applyAlignment="1">
      <alignment horizontal="left"/>
    </xf>
    <xf numFmtId="0" fontId="8" fillId="0" borderId="1" xfId="0" applyFont="1" applyBorder="1" applyAlignment="1">
      <alignment horizontal="right"/>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180" fontId="3" fillId="0" borderId="0" xfId="0" applyNumberFormat="1" applyFont="1"/>
    <xf numFmtId="10" fontId="3" fillId="0" borderId="0" xfId="0" applyNumberFormat="1"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11" fillId="7"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181" fontId="13" fillId="0" borderId="1" xfId="0" applyNumberFormat="1" applyFont="1" applyBorder="1" applyAlignment="1">
      <alignment wrapText="1"/>
    </xf>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7"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7" borderId="1" xfId="0" applyNumberFormat="1" applyFont="1" applyFill="1" applyBorder="1" applyAlignment="1">
      <alignment horizontal="right"/>
    </xf>
    <xf numFmtId="0" fontId="1" fillId="0" borderId="0" xfId="0" quotePrefix="1" applyFont="1" applyAlignment="1">
      <alignment horizontal="left" wrapText="1"/>
    </xf>
    <xf numFmtId="37" fontId="0" fillId="0" borderId="1" xfId="0" applyNumberFormat="1" applyBorder="1"/>
    <xf numFmtId="39" fontId="0" fillId="0" borderId="1" xfId="0" applyNumberFormat="1" applyBorder="1"/>
    <xf numFmtId="10" fontId="25" fillId="0" borderId="1" xfId="0" applyNumberFormat="1" applyFont="1" applyBorder="1" applyAlignment="1">
      <alignment horizontal="center"/>
    </xf>
    <xf numFmtId="0" fontId="10" fillId="0" borderId="1" xfId="0" quotePrefix="1" applyFont="1" applyBorder="1" applyAlignment="1">
      <alignment horizontal="left" indent="1"/>
    </xf>
    <xf numFmtId="10" fontId="0" fillId="0" borderId="3" xfId="0" applyNumberFormat="1" applyBorder="1"/>
    <xf numFmtId="181" fontId="8" fillId="0" borderId="1" xfId="0" quotePrefix="1" applyNumberFormat="1" applyFont="1" applyBorder="1" applyAlignment="1">
      <alignment wrapText="1"/>
    </xf>
    <xf numFmtId="10" fontId="25" fillId="0" borderId="3" xfId="0" applyNumberFormat="1" applyFont="1" applyBorder="1"/>
    <xf numFmtId="0" fontId="0" fillId="0" borderId="3" xfId="0" applyBorder="1" applyAlignment="1">
      <alignment horizontal="center"/>
    </xf>
    <xf numFmtId="10" fontId="3" fillId="0" borderId="0" xfId="0" applyNumberFormat="1" applyFont="1" applyAlignment="1">
      <alignment horizontal="right"/>
    </xf>
    <xf numFmtId="0" fontId="1" fillId="0" borderId="0" xfId="0" quotePrefix="1" applyFont="1" applyAlignment="1">
      <alignment wrapText="1"/>
    </xf>
    <xf numFmtId="181" fontId="0" fillId="0" borderId="1" xfId="0" applyNumberFormat="1" applyBorder="1"/>
    <xf numFmtId="10" fontId="0" fillId="0" borderId="1" xfId="0" applyNumberFormat="1" applyBorder="1"/>
    <xf numFmtId="0" fontId="32" fillId="0" borderId="0" xfId="0" quotePrefix="1" applyFont="1"/>
    <xf numFmtId="0" fontId="1" fillId="0" borderId="1" xfId="0" applyFont="1" applyBorder="1"/>
    <xf numFmtId="0" fontId="24" fillId="0" borderId="2" xfId="0" applyFont="1" applyBorder="1" applyAlignment="1">
      <alignment horizontal="right"/>
    </xf>
    <xf numFmtId="175" fontId="25" fillId="0" borderId="1" xfId="0" applyNumberFormat="1" applyFont="1" applyBorder="1" applyAlignment="1">
      <alignment vertical="center"/>
    </xf>
    <xf numFmtId="10" fontId="25" fillId="0" borderId="1" xfId="0" applyNumberFormat="1" applyFont="1" applyBorder="1"/>
    <xf numFmtId="0" fontId="32" fillId="0" borderId="1" xfId="0" quotePrefix="1" applyFont="1" applyBorder="1" applyAlignment="1">
      <alignment horizontal="left" indent="1"/>
    </xf>
    <xf numFmtId="181" fontId="32" fillId="0" borderId="1" xfId="0" applyNumberFormat="1" applyFont="1" applyBorder="1"/>
    <xf numFmtId="0" fontId="32" fillId="0" borderId="0" xfId="0" applyFont="1" applyAlignment="1">
      <alignment horizontal="left" indent="1"/>
    </xf>
    <xf numFmtId="0" fontId="1" fillId="0" borderId="3" xfId="0" applyFont="1" applyBorder="1" applyAlignment="1">
      <alignment horizontal="center"/>
    </xf>
    <xf numFmtId="0" fontId="1" fillId="0" borderId="3" xfId="0" applyFont="1" applyBorder="1" applyAlignment="1">
      <alignment horizontal="right"/>
    </xf>
    <xf numFmtId="181" fontId="24" fillId="0" borderId="3" xfId="0" applyNumberFormat="1" applyFont="1" applyBorder="1" applyAlignment="1">
      <alignment horizontal="right"/>
    </xf>
    <xf numFmtId="0" fontId="1" fillId="0" borderId="1" xfId="0" quotePrefix="1" applyFont="1" applyBorder="1"/>
    <xf numFmtId="0" fontId="1" fillId="0" borderId="1" xfId="0" applyFont="1" applyBorder="1" applyAlignment="1">
      <alignment vertical="center" wrapText="1"/>
    </xf>
    <xf numFmtId="0" fontId="0" fillId="0" borderId="1" xfId="0" applyBorder="1" applyAlignment="1">
      <alignment vertical="center" wrapText="1"/>
    </xf>
    <xf numFmtId="174" fontId="1" fillId="0" borderId="0" xfId="0" applyNumberFormat="1" applyFont="1"/>
    <xf numFmtId="40" fontId="1" fillId="0" borderId="0" xfId="0" applyNumberFormat="1" applyFont="1" applyAlignment="1">
      <alignment horizontal="right"/>
    </xf>
    <xf numFmtId="37" fontId="1" fillId="0" borderId="0" xfId="0" applyNumberFormat="1" applyFont="1"/>
    <xf numFmtId="0" fontId="27" fillId="0" borderId="1" xfId="0" applyFont="1" applyBorder="1" applyAlignment="1">
      <alignment horizontal="center"/>
    </xf>
    <xf numFmtId="10" fontId="29" fillId="0" borderId="3" xfId="0" applyNumberFormat="1" applyFont="1" applyBorder="1"/>
    <xf numFmtId="175" fontId="25" fillId="0" borderId="3" xfId="0" applyNumberFormat="1" applyFont="1" applyBorder="1"/>
    <xf numFmtId="174" fontId="0" fillId="0" borderId="3" xfId="0" applyNumberFormat="1" applyBorder="1"/>
    <xf numFmtId="9" fontId="29" fillId="0" borderId="3" xfId="0" applyNumberFormat="1" applyFont="1" applyBorder="1"/>
    <xf numFmtId="9" fontId="25" fillId="0" borderId="3" xfId="0" applyNumberFormat="1" applyFont="1" applyBorder="1"/>
    <xf numFmtId="0" fontId="51" fillId="0" borderId="1" xfId="0" applyFont="1" applyBorder="1" applyAlignment="1">
      <alignment vertical="center" wrapText="1"/>
    </xf>
    <xf numFmtId="10" fontId="1" fillId="0" borderId="0" xfId="0" applyNumberFormat="1" applyFont="1"/>
    <xf numFmtId="10" fontId="1" fillId="0" borderId="0" xfId="0" applyNumberFormat="1" applyFont="1" applyAlignment="1">
      <alignment horizontal="right"/>
    </xf>
    <xf numFmtId="39" fontId="24" fillId="0" borderId="3" xfId="0" applyNumberFormat="1" applyFont="1" applyBorder="1"/>
    <xf numFmtId="39" fontId="42" fillId="0" borderId="3" xfId="0" applyNumberFormat="1" applyFont="1" applyBorder="1"/>
    <xf numFmtId="174" fontId="10" fillId="0" borderId="3" xfId="0" applyNumberFormat="1" applyFont="1" applyBorder="1"/>
    <xf numFmtId="10" fontId="3" fillId="0" borderId="3" xfId="0" applyNumberFormat="1" applyFont="1" applyBorder="1"/>
    <xf numFmtId="0" fontId="42" fillId="0" borderId="3" xfId="0" applyFont="1" applyBorder="1" applyAlignment="1">
      <alignment horizontal="center"/>
    </xf>
    <xf numFmtId="9" fontId="12" fillId="0" borderId="0" xfId="0" applyNumberFormat="1" applyFont="1" applyAlignment="1">
      <alignment horizontal="right"/>
    </xf>
    <xf numFmtId="178" fontId="12" fillId="0" borderId="0" xfId="0" applyNumberFormat="1" applyFont="1" applyAlignment="1">
      <alignment horizontal="right"/>
    </xf>
    <xf numFmtId="0" fontId="12" fillId="0" borderId="0" xfId="0" applyFont="1"/>
    <xf numFmtId="0" fontId="53" fillId="6" borderId="4" xfId="0" applyFont="1" applyFill="1" applyBorder="1" applyAlignment="1">
      <alignment horizontal="center"/>
    </xf>
    <xf numFmtId="0" fontId="53" fillId="6" borderId="1" xfId="0" applyFont="1" applyFill="1" applyBorder="1" applyAlignment="1">
      <alignment horizontal="center"/>
    </xf>
    <xf numFmtId="0" fontId="53" fillId="6" borderId="2" xfId="0" applyFont="1" applyFill="1" applyBorder="1" applyAlignment="1">
      <alignment horizontal="center"/>
    </xf>
    <xf numFmtId="0" fontId="54" fillId="0" borderId="0" xfId="0" applyFont="1"/>
    <xf numFmtId="0" fontId="56" fillId="0" borderId="1" xfId="0" applyFont="1" applyBorder="1" applyAlignment="1">
      <alignment horizontal="right"/>
    </xf>
    <xf numFmtId="0" fontId="58" fillId="3" borderId="0" xfId="0" applyFont="1" applyFill="1"/>
    <xf numFmtId="0" fontId="27" fillId="0" borderId="0" xfId="0" applyFont="1"/>
    <xf numFmtId="0" fontId="57" fillId="0" borderId="2" xfId="0" applyFont="1" applyBorder="1"/>
    <xf numFmtId="0" fontId="56" fillId="0" borderId="2" xfId="0" applyFont="1" applyBorder="1"/>
    <xf numFmtId="0" fontId="56" fillId="0" borderId="1" xfId="0" applyFont="1" applyBorder="1"/>
    <xf numFmtId="0" fontId="54" fillId="0" borderId="1" xfId="0" applyFont="1" applyBorder="1"/>
    <xf numFmtId="0" fontId="59" fillId="0" borderId="1" xfId="0" applyFont="1" applyBorder="1"/>
    <xf numFmtId="0" fontId="56" fillId="0" borderId="1" xfId="0" applyFont="1" applyBorder="1" applyAlignment="1">
      <alignment horizontal="left"/>
    </xf>
    <xf numFmtId="3" fontId="56" fillId="0" borderId="1" xfId="0" applyNumberFormat="1" applyFont="1" applyBorder="1" applyAlignment="1">
      <alignment horizontal="left"/>
    </xf>
    <xf numFmtId="0" fontId="60" fillId="0" borderId="1" xfId="0" applyFont="1" applyBorder="1" applyAlignment="1">
      <alignment horizontal="left"/>
    </xf>
    <xf numFmtId="49" fontId="56" fillId="0" borderId="1" xfId="0" applyNumberFormat="1" applyFont="1" applyBorder="1" applyAlignment="1">
      <alignment horizontal="left"/>
    </xf>
    <xf numFmtId="4" fontId="56" fillId="0" borderId="1" xfId="0" applyNumberFormat="1" applyFont="1" applyBorder="1" applyAlignment="1">
      <alignment horizontal="left"/>
    </xf>
    <xf numFmtId="165" fontId="56" fillId="0" borderId="1" xfId="0" applyNumberFormat="1" applyFont="1" applyBorder="1" applyAlignment="1">
      <alignment horizontal="left"/>
    </xf>
    <xf numFmtId="0" fontId="56" fillId="0" borderId="0" xfId="0" applyFont="1"/>
    <xf numFmtId="40" fontId="54" fillId="0" borderId="0" xfId="0" applyNumberFormat="1" applyFont="1" applyAlignment="1">
      <alignment horizontal="left"/>
    </xf>
    <xf numFmtId="10" fontId="54" fillId="0" borderId="0" xfId="0" applyNumberFormat="1" applyFont="1" applyAlignment="1">
      <alignment horizontal="right"/>
    </xf>
    <xf numFmtId="0" fontId="63" fillId="0" borderId="0" xfId="0" applyFont="1" applyAlignment="1">
      <alignment horizontal="left"/>
    </xf>
    <xf numFmtId="0" fontId="64" fillId="0" borderId="1" xfId="0" applyFont="1" applyBorder="1"/>
    <xf numFmtId="175" fontId="64" fillId="0" borderId="1" xfId="0" applyNumberFormat="1" applyFont="1" applyBorder="1" applyAlignment="1">
      <alignment horizontal="right"/>
    </xf>
    <xf numFmtId="174" fontId="56" fillId="0" borderId="1" xfId="0" applyNumberFormat="1" applyFont="1" applyBorder="1" applyAlignment="1">
      <alignment horizontal="left"/>
    </xf>
    <xf numFmtId="0" fontId="56" fillId="0" borderId="1" xfId="0" quotePrefix="1" applyFont="1" applyBorder="1"/>
    <xf numFmtId="10" fontId="56" fillId="0" borderId="1" xfId="0" applyNumberFormat="1" applyFont="1" applyBorder="1" applyAlignment="1">
      <alignment horizontal="right"/>
    </xf>
    <xf numFmtId="174" fontId="54" fillId="0" borderId="0" xfId="0" applyNumberFormat="1" applyFont="1" applyAlignment="1">
      <alignment horizontal="left"/>
    </xf>
    <xf numFmtId="10" fontId="56" fillId="0" borderId="0" xfId="0" applyNumberFormat="1" applyFont="1"/>
    <xf numFmtId="0" fontId="66" fillId="0" borderId="0" xfId="0" applyFont="1"/>
    <xf numFmtId="173" fontId="67" fillId="0" borderId="1" xfId="0" applyNumberFormat="1" applyFont="1" applyBorder="1" applyAlignment="1">
      <alignment horizontal="right"/>
    </xf>
    <xf numFmtId="0" fontId="54" fillId="0" borderId="0" xfId="0" applyFont="1" applyAlignment="1">
      <alignment horizontal="left" wrapText="1"/>
    </xf>
    <xf numFmtId="0" fontId="65" fillId="0" borderId="0" xfId="0" applyFont="1"/>
    <xf numFmtId="181" fontId="54" fillId="0" borderId="0" xfId="0" applyNumberFormat="1" applyFont="1"/>
    <xf numFmtId="37" fontId="54" fillId="0" borderId="0" xfId="0" applyNumberFormat="1" applyFont="1"/>
    <xf numFmtId="0" fontId="65" fillId="0" borderId="0" xfId="0" applyFont="1" applyAlignment="1">
      <alignment horizontal="left"/>
    </xf>
    <xf numFmtId="181" fontId="54" fillId="0" borderId="0" xfId="0" applyNumberFormat="1" applyFont="1" applyAlignment="1">
      <alignment horizontal="right"/>
    </xf>
    <xf numFmtId="0" fontId="65" fillId="0" borderId="0" xfId="0" quotePrefix="1" applyFont="1"/>
    <xf numFmtId="10" fontId="54" fillId="0" borderId="0" xfId="0" applyNumberFormat="1" applyFont="1"/>
    <xf numFmtId="180" fontId="54" fillId="0" borderId="0" xfId="0" applyNumberFormat="1" applyFont="1"/>
    <xf numFmtId="10" fontId="54" fillId="0" borderId="0" xfId="0" applyNumberFormat="1" applyFont="1" applyAlignment="1">
      <alignment horizontal="left"/>
    </xf>
    <xf numFmtId="0" fontId="66" fillId="0" borderId="0" xfId="0" applyFont="1" applyAlignment="1">
      <alignment horizontal="right"/>
    </xf>
    <xf numFmtId="0" fontId="61" fillId="0" borderId="0" xfId="0" applyFont="1" applyAlignment="1">
      <alignment horizontal="left" indent="1"/>
    </xf>
    <xf numFmtId="10" fontId="61" fillId="0" borderId="0" xfId="0" applyNumberFormat="1" applyFont="1"/>
    <xf numFmtId="166" fontId="61" fillId="0" borderId="0" xfId="0" applyNumberFormat="1" applyFont="1"/>
    <xf numFmtId="0" fontId="54" fillId="0" borderId="0" xfId="0" applyFont="1" applyAlignment="1">
      <alignment horizontal="center"/>
    </xf>
    <xf numFmtId="0" fontId="65" fillId="0" borderId="0" xfId="0" applyFont="1" applyAlignment="1">
      <alignment horizontal="center"/>
    </xf>
    <xf numFmtId="39" fontId="54" fillId="0" borderId="0" xfId="0" applyNumberFormat="1" applyFont="1"/>
    <xf numFmtId="9" fontId="61" fillId="0" borderId="0" xfId="0" applyNumberFormat="1" applyFont="1" applyAlignment="1">
      <alignment horizontal="right"/>
    </xf>
    <xf numFmtId="178" fontId="61" fillId="0" borderId="0" xfId="0" applyNumberFormat="1" applyFont="1" applyAlignment="1">
      <alignment horizontal="right"/>
    </xf>
    <xf numFmtId="181" fontId="61" fillId="0" borderId="0" xfId="0" applyNumberFormat="1" applyFont="1"/>
    <xf numFmtId="0" fontId="61" fillId="0" borderId="0" xfId="0" applyFont="1"/>
    <xf numFmtId="10" fontId="60" fillId="0" borderId="0" xfId="0" applyNumberFormat="1" applyFont="1"/>
    <xf numFmtId="0" fontId="62" fillId="0" borderId="0" xfId="0" applyFont="1"/>
    <xf numFmtId="39" fontId="65" fillId="0" borderId="0" xfId="0" applyNumberFormat="1" applyFont="1"/>
    <xf numFmtId="0" fontId="54" fillId="0" borderId="13" xfId="0" applyFont="1" applyBorder="1"/>
    <xf numFmtId="10" fontId="56" fillId="0" borderId="13" xfId="0" applyNumberFormat="1" applyFont="1" applyBorder="1" applyAlignment="1">
      <alignment horizontal="center"/>
    </xf>
    <xf numFmtId="175" fontId="56" fillId="0" borderId="13" xfId="0" applyNumberFormat="1" applyFont="1" applyBorder="1" applyAlignment="1">
      <alignment horizontal="center"/>
    </xf>
    <xf numFmtId="39" fontId="54" fillId="0" borderId="13" xfId="0" applyNumberFormat="1" applyFont="1" applyBorder="1" applyAlignment="1">
      <alignment horizontal="center"/>
    </xf>
    <xf numFmtId="10" fontId="54" fillId="0" borderId="13" xfId="0" applyNumberFormat="1" applyFont="1" applyBorder="1" applyAlignment="1">
      <alignment horizontal="center"/>
    </xf>
    <xf numFmtId="0" fontId="54" fillId="0" borderId="3" xfId="0" applyFont="1" applyBorder="1"/>
    <xf numFmtId="10" fontId="56" fillId="0" borderId="3" xfId="0" applyNumberFormat="1" applyFont="1" applyBorder="1" applyAlignment="1">
      <alignment horizontal="center"/>
    </xf>
    <xf numFmtId="175" fontId="56" fillId="0" borderId="3" xfId="0" applyNumberFormat="1" applyFont="1" applyBorder="1" applyAlignment="1">
      <alignment horizontal="center"/>
    </xf>
    <xf numFmtId="10" fontId="54" fillId="0" borderId="3" xfId="0" applyNumberFormat="1" applyFont="1" applyBorder="1" applyAlignment="1">
      <alignment horizontal="center"/>
    </xf>
    <xf numFmtId="40" fontId="65" fillId="0" borderId="0" xfId="0" applyNumberFormat="1" applyFont="1" applyAlignment="1">
      <alignment horizontal="right"/>
    </xf>
    <xf numFmtId="175" fontId="56" fillId="0" borderId="0" xfId="0" applyNumberFormat="1" applyFont="1"/>
    <xf numFmtId="176" fontId="54" fillId="0" borderId="0" xfId="0" applyNumberFormat="1" applyFont="1"/>
    <xf numFmtId="0" fontId="63" fillId="0" borderId="0" xfId="0" applyFont="1" applyAlignment="1">
      <alignment horizontal="right"/>
    </xf>
    <xf numFmtId="0" fontId="54" fillId="0" borderId="3" xfId="0" applyFont="1" applyBorder="1" applyAlignment="1">
      <alignment horizontal="center"/>
    </xf>
    <xf numFmtId="39" fontId="54" fillId="0" borderId="3" xfId="0" applyNumberFormat="1" applyFont="1" applyBorder="1"/>
    <xf numFmtId="174" fontId="65" fillId="0" borderId="3" xfId="0" applyNumberFormat="1" applyFont="1" applyBorder="1"/>
    <xf numFmtId="10" fontId="54" fillId="0" borderId="3" xfId="0" applyNumberFormat="1" applyFont="1" applyBorder="1"/>
    <xf numFmtId="0" fontId="54" fillId="0" borderId="0" xfId="0" quotePrefix="1" applyFont="1"/>
    <xf numFmtId="8" fontId="0" fillId="0" borderId="0" xfId="0" applyNumberFormat="1"/>
    <xf numFmtId="0" fontId="68" fillId="0" borderId="0" xfId="0" applyFont="1"/>
    <xf numFmtId="10" fontId="1" fillId="0" borderId="3" xfId="0" applyNumberFormat="1" applyFont="1" applyBorder="1"/>
    <xf numFmtId="10" fontId="47" fillId="0" borderId="0" xfId="0" applyNumberFormat="1" applyFont="1" applyAlignment="1">
      <alignment horizontal="left"/>
    </xf>
    <xf numFmtId="4" fontId="7" fillId="0" borderId="1" xfId="0" applyNumberFormat="1" applyFont="1" applyBorder="1" applyAlignment="1">
      <alignment horizontal="right"/>
    </xf>
    <xf numFmtId="0" fontId="47" fillId="0" borderId="0" xfId="0" applyFont="1" applyAlignment="1">
      <alignment horizontal="left"/>
    </xf>
    <xf numFmtId="177" fontId="7" fillId="0" borderId="1" xfId="0" applyNumberFormat="1" applyFont="1" applyBorder="1" applyAlignment="1">
      <alignment horizontal="right"/>
    </xf>
    <xf numFmtId="164" fontId="8" fillId="0" borderId="1" xfId="0" applyNumberFormat="1" applyFont="1" applyBorder="1" applyAlignment="1">
      <alignment horizontal="right"/>
    </xf>
    <xf numFmtId="0" fontId="69" fillId="0" borderId="2" xfId="0" applyFont="1" applyBorder="1" applyAlignment="1">
      <alignment horizontal="left"/>
    </xf>
    <xf numFmtId="0" fontId="5" fillId="0" borderId="2" xfId="0" applyFont="1" applyBorder="1"/>
    <xf numFmtId="0" fontId="55" fillId="0" borderId="2" xfId="0" applyFont="1" applyBorder="1"/>
    <xf numFmtId="0" fontId="57" fillId="0" borderId="2" xfId="0" applyFont="1" applyBorder="1" applyAlignment="1">
      <alignment horizontal="left"/>
    </xf>
    <xf numFmtId="10" fontId="56" fillId="0" borderId="0" xfId="0" applyNumberFormat="1" applyFont="1" applyAlignment="1">
      <alignment horizontal="left"/>
    </xf>
    <xf numFmtId="4" fontId="56" fillId="0" borderId="1" xfId="0" applyNumberFormat="1" applyFont="1" applyBorder="1" applyAlignment="1">
      <alignment horizontal="right"/>
    </xf>
    <xf numFmtId="177" fontId="56" fillId="0" borderId="1" xfId="0" applyNumberFormat="1" applyFont="1" applyBorder="1" applyAlignment="1">
      <alignment horizontal="right"/>
    </xf>
    <xf numFmtId="164" fontId="56" fillId="0" borderId="1" xfId="0" applyNumberFormat="1" applyFont="1" applyBorder="1" applyAlignment="1">
      <alignment horizontal="right"/>
    </xf>
    <xf numFmtId="0" fontId="3" fillId="0" borderId="5" xfId="0" applyFont="1" applyBorder="1" applyAlignment="1">
      <alignment horizontal="right"/>
    </xf>
    <xf numFmtId="164" fontId="7" fillId="0" borderId="7" xfId="0" applyNumberFormat="1" applyFont="1" applyBorder="1" applyAlignment="1">
      <alignment horizontal="right"/>
    </xf>
    <xf numFmtId="0" fontId="3" fillId="0" borderId="8" xfId="0" applyFont="1" applyBorder="1" applyAlignment="1">
      <alignment horizontal="right"/>
    </xf>
    <xf numFmtId="0" fontId="7" fillId="0" borderId="9" xfId="0" applyFont="1" applyBorder="1" applyAlignment="1">
      <alignment horizontal="right"/>
    </xf>
    <xf numFmtId="0" fontId="7" fillId="0" borderId="11" xfId="0" applyFont="1" applyBorder="1" applyAlignment="1">
      <alignment horizontal="right"/>
    </xf>
    <xf numFmtId="0" fontId="8" fillId="0" borderId="10" xfId="0" applyFont="1" applyBorder="1" applyAlignment="1">
      <alignment horizontal="right"/>
    </xf>
    <xf numFmtId="0" fontId="54" fillId="0" borderId="8" xfId="0" applyFont="1" applyBorder="1" applyAlignment="1">
      <alignment horizontal="right"/>
    </xf>
    <xf numFmtId="0" fontId="59" fillId="0" borderId="5" xfId="0" applyFont="1" applyBorder="1" applyAlignment="1">
      <alignment horizontal="right"/>
    </xf>
    <xf numFmtId="164" fontId="56" fillId="0" borderId="7" xfId="0" applyNumberFormat="1" applyFont="1" applyBorder="1" applyAlignment="1">
      <alignment horizontal="right"/>
    </xf>
    <xf numFmtId="0" fontId="56" fillId="0" borderId="9" xfId="0" applyFont="1" applyBorder="1" applyAlignment="1">
      <alignment horizontal="right"/>
    </xf>
    <xf numFmtId="0" fontId="56" fillId="0" borderId="10" xfId="0" applyFont="1" applyBorder="1" applyAlignment="1">
      <alignment horizontal="right"/>
    </xf>
    <xf numFmtId="0" fontId="56" fillId="0" borderId="11" xfId="0" applyFont="1" applyBorder="1" applyAlignment="1">
      <alignment horizontal="right"/>
    </xf>
    <xf numFmtId="10" fontId="0" fillId="0" borderId="3" xfId="0" applyNumberFormat="1" applyBorder="1" applyAlignment="1">
      <alignment horizontal="right"/>
    </xf>
    <xf numFmtId="40" fontId="32" fillId="0" borderId="0" xfId="0" applyNumberFormat="1" applyFont="1" applyAlignment="1">
      <alignment horizontal="right"/>
    </xf>
    <xf numFmtId="175" fontId="70" fillId="0" borderId="1" xfId="0" applyNumberFormat="1" applyFont="1" applyBorder="1" applyAlignment="1">
      <alignment horizontal="right"/>
    </xf>
    <xf numFmtId="10" fontId="13" fillId="0" borderId="0" xfId="0" applyNumberFormat="1" applyFont="1"/>
    <xf numFmtId="10" fontId="13" fillId="0" borderId="0" xfId="0" applyNumberFormat="1" applyFont="1" applyAlignment="1">
      <alignment horizontal="right"/>
    </xf>
    <xf numFmtId="0" fontId="12" fillId="0" borderId="0" xfId="0" applyFont="1" applyAlignment="1">
      <alignment horizontal="left" wrapText="1"/>
    </xf>
    <xf numFmtId="0" fontId="3"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xf>
    <xf numFmtId="0" fontId="12" fillId="0" borderId="0" xfId="0" applyFont="1" applyAlignment="1">
      <alignment horizontal="left" vertical="center" wrapText="1"/>
    </xf>
    <xf numFmtId="0" fontId="3" fillId="0" borderId="0" xfId="0" quotePrefix="1" applyFont="1" applyAlignment="1">
      <alignment horizontal="left" wrapText="1"/>
    </xf>
    <xf numFmtId="0" fontId="39" fillId="0" borderId="0" xfId="0" applyFont="1" applyAlignment="1">
      <alignment horizontal="left" wrapText="1"/>
    </xf>
    <xf numFmtId="0" fontId="24" fillId="0" borderId="3" xfId="0" applyFont="1" applyBorder="1" applyAlignment="1">
      <alignment horizontal="center"/>
    </xf>
    <xf numFmtId="0" fontId="1" fillId="0" borderId="3" xfId="0" applyFont="1" applyBorder="1" applyAlignment="1">
      <alignment horizontal="left" vertical="center" wrapText="1"/>
    </xf>
    <xf numFmtId="0" fontId="54" fillId="0" borderId="0" xfId="0" applyFont="1" applyAlignment="1">
      <alignment horizontal="left" wrapText="1"/>
    </xf>
    <xf numFmtId="0" fontId="61" fillId="0" borderId="0" xfId="0" applyFont="1" applyAlignment="1">
      <alignment horizontal="left" wrapText="1"/>
    </xf>
    <xf numFmtId="0" fontId="65" fillId="0" borderId="0" xfId="0" applyFont="1" applyAlignment="1">
      <alignment horizontal="left" wrapText="1"/>
    </xf>
    <xf numFmtId="0" fontId="54" fillId="0" borderId="0" xfId="0" applyFont="1" applyAlignment="1">
      <alignment horizontal="left"/>
    </xf>
    <xf numFmtId="0" fontId="54" fillId="0" borderId="0" xfId="0" quotePrefix="1" applyFont="1" applyAlignment="1">
      <alignment horizontal="left" wrapText="1"/>
    </xf>
    <xf numFmtId="0" fontId="61" fillId="0" borderId="0" xfId="0" applyFont="1" applyAlignment="1">
      <alignment horizontal="left" vertical="center" wrapText="1"/>
    </xf>
    <xf numFmtId="0" fontId="61" fillId="0" borderId="0" xfId="0" applyFont="1" applyAlignment="1">
      <alignment horizontal="left"/>
    </xf>
    <xf numFmtId="0" fontId="62" fillId="0" borderId="0" xfId="0" applyFont="1" applyAlignment="1">
      <alignment horizontal="left" wrapText="1"/>
    </xf>
  </cellXfs>
  <cellStyles count="2">
    <cellStyle name="常规" xfId="0" builtinId="0"/>
    <cellStyle name="常规 2 2" xfId="1" xr:uid="{A35F4541-DCCE-4554-A311-39480A36979A}"/>
  </cellStyles>
  <dxfs count="7">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FF0000"/>
      <color rgb="FFFF00FF"/>
      <color rgb="FF0000FF"/>
      <color rgb="FF003871"/>
      <color rgb="FF005078"/>
      <color rgb="FF002850"/>
      <color rgb="FF00283C"/>
      <color rgb="FF999999"/>
      <color rgb="FF0087CC"/>
      <color rgb="FFADB9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2:I167"/>
  <sheetViews>
    <sheetView showGridLines="0" tabSelected="1" topLeftCell="A4" zoomScale="130" zoomScaleNormal="130" workbookViewId="0">
      <selection activeCell="D22" sqref="D22"/>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2" spans="1:9" ht="13.9">
      <c r="A2" s="203" t="s">
        <v>225</v>
      </c>
      <c r="B2" s="34"/>
      <c r="C2" s="34"/>
      <c r="D2" s="34"/>
      <c r="E2" s="34"/>
      <c r="F2" s="34"/>
      <c r="G2" s="21"/>
      <c r="H2" s="21"/>
      <c r="I2" s="21"/>
    </row>
    <row r="3" spans="1:9">
      <c r="E3" s="438" t="s">
        <v>546</v>
      </c>
      <c r="F3" s="439">
        <v>45930</v>
      </c>
    </row>
    <row r="4" spans="1:9" ht="12.4">
      <c r="B4" s="431" t="s">
        <v>541</v>
      </c>
      <c r="C4" s="430" t="s">
        <v>553</v>
      </c>
      <c r="E4" s="440" t="s">
        <v>545</v>
      </c>
      <c r="F4" s="441" t="s">
        <v>327</v>
      </c>
    </row>
    <row r="5" spans="1:9">
      <c r="B5" s="1" t="s">
        <v>354</v>
      </c>
      <c r="C5" s="46" t="s">
        <v>552</v>
      </c>
      <c r="E5" s="443" t="s">
        <v>547</v>
      </c>
      <c r="F5" s="442" t="s">
        <v>555</v>
      </c>
    </row>
    <row r="6" spans="1:9">
      <c r="B6" s="2" t="s">
        <v>53</v>
      </c>
      <c r="C6" s="45" t="s">
        <v>409</v>
      </c>
      <c r="D6" s="45"/>
      <c r="E6" s="45"/>
    </row>
    <row r="7" spans="1:9">
      <c r="B7" s="1" t="s">
        <v>356</v>
      </c>
      <c r="C7" s="45" t="s">
        <v>311</v>
      </c>
      <c r="D7" s="45"/>
      <c r="E7" s="45"/>
    </row>
    <row r="8" spans="1:9">
      <c r="B8" s="4" t="s">
        <v>355</v>
      </c>
      <c r="C8" s="47">
        <v>3.96</v>
      </c>
      <c r="E8" s="32"/>
    </row>
    <row r="9" spans="1:9">
      <c r="B9" s="4" t="s">
        <v>351</v>
      </c>
      <c r="C9" s="48">
        <v>9065251704</v>
      </c>
      <c r="D9" s="1" t="s">
        <v>536</v>
      </c>
      <c r="E9" s="311">
        <f>Scenarios!F34</f>
        <v>0.33366695029787058</v>
      </c>
    </row>
    <row r="10" spans="1:9">
      <c r="B10" s="4" t="s">
        <v>357</v>
      </c>
      <c r="C10" s="33">
        <f>Thesis!C8*Common_Shares/1000000</f>
        <v>35898.396747839994</v>
      </c>
    </row>
    <row r="11" spans="1:9">
      <c r="D11" s="5"/>
      <c r="E11" s="5"/>
    </row>
    <row r="12" spans="1:9" ht="24.5" customHeight="1">
      <c r="B12" s="455" t="s">
        <v>360</v>
      </c>
      <c r="C12" s="455"/>
      <c r="D12" s="455"/>
      <c r="E12" s="455"/>
      <c r="F12" s="455"/>
    </row>
    <row r="14" spans="1:9">
      <c r="B14" s="42" t="str">
        <f>Scenarios!B39&amp;" Valuation Conclusion"</f>
        <v>1-stage DCF Valuation Conclusion</v>
      </c>
      <c r="C14" s="43"/>
    </row>
    <row r="15" spans="1:9">
      <c r="B15" s="1" t="s">
        <v>322</v>
      </c>
      <c r="C15" s="427" t="s">
        <v>260</v>
      </c>
      <c r="D15" s="4" t="s">
        <v>358</v>
      </c>
      <c r="E15" s="260" t="str">
        <f>IF(E17=C7,C7,E17&amp;"/"&amp;C7)</f>
        <v>CNY/HKD</v>
      </c>
    </row>
    <row r="16" spans="1:9">
      <c r="B16" s="1" t="s">
        <v>323</v>
      </c>
      <c r="C16" s="427" t="s">
        <v>260</v>
      </c>
      <c r="D16" s="4" t="s">
        <v>359</v>
      </c>
      <c r="E16" s="426">
        <v>1.0932867000000002</v>
      </c>
    </row>
    <row r="17" spans="1:6">
      <c r="B17" s="1" t="s">
        <v>540</v>
      </c>
      <c r="C17" s="425">
        <v>0</v>
      </c>
      <c r="D17" s="4" t="s">
        <v>276</v>
      </c>
      <c r="E17" s="228" t="s">
        <v>554</v>
      </c>
    </row>
    <row r="18" spans="1:6">
      <c r="B18" s="1" t="str">
        <f>"Expected Equity Value ("&amp;C7&amp;") :"</f>
        <v>Expected Equity Value (HKD) :</v>
      </c>
      <c r="C18" s="259">
        <f>C125</f>
        <v>6.4792427673148829</v>
      </c>
      <c r="D18" s="2" t="s">
        <v>352</v>
      </c>
      <c r="E18" s="428">
        <v>6</v>
      </c>
    </row>
    <row r="19" spans="1:6">
      <c r="B19" s="2" t="s">
        <v>277</v>
      </c>
      <c r="C19" s="31" t="str">
        <f>IF(Scenarios!C50="Y",Scenarios!B50,"")&amp;IF(Scenarios!C51="Y",Scenarios!B51,"")&amp;IF(Scenarios!C52="Y",Scenarios!B52,"")&amp;" "&amp;IF(Scenarios!C53="Y",Scenarios!B53,"")</f>
        <v xml:space="preserve">Low Growth </v>
      </c>
      <c r="D19" s="1" t="s">
        <v>353</v>
      </c>
      <c r="E19" s="429">
        <f>EOMONTH(EDATE(BS!C1,E18+2),0)</f>
        <v>46081</v>
      </c>
    </row>
    <row r="20" spans="1:6">
      <c r="D20" s="5"/>
      <c r="E20" s="5"/>
    </row>
    <row r="21" spans="1:6">
      <c r="B21" s="42" t="s">
        <v>412</v>
      </c>
      <c r="C21" s="261" t="str">
        <f>C138&amp;" ("&amp;Market_currency&amp;")"</f>
        <v xml:space="preserve"> (HKD)</v>
      </c>
      <c r="D21" s="31" t="s">
        <v>319</v>
      </c>
      <c r="E21" s="452">
        <v>2</v>
      </c>
    </row>
    <row r="22" spans="1:6">
      <c r="B22" s="1" t="s">
        <v>315</v>
      </c>
      <c r="C22" s="262">
        <f>E140</f>
        <v>3.8669260726007586</v>
      </c>
      <c r="D22" s="38" t="s">
        <v>414</v>
      </c>
      <c r="E22" s="79">
        <v>0.35</v>
      </c>
    </row>
    <row r="23" spans="1:6">
      <c r="B23" s="1" t="s">
        <v>316</v>
      </c>
      <c r="C23" s="263">
        <f>E141</f>
        <v>4.494907371081525</v>
      </c>
      <c r="D23" s="38" t="s">
        <v>415</v>
      </c>
      <c r="E23" s="453">
        <v>0.25</v>
      </c>
    </row>
    <row r="24" spans="1:6">
      <c r="B24" s="1" t="s">
        <v>318</v>
      </c>
      <c r="C24" s="263">
        <f>E144</f>
        <v>5.5993325483005094</v>
      </c>
      <c r="D24" s="38" t="s">
        <v>416</v>
      </c>
      <c r="E24" s="453">
        <v>0.1174</v>
      </c>
    </row>
    <row r="25" spans="1:6">
      <c r="B25" s="1" t="s">
        <v>317</v>
      </c>
      <c r="C25" s="263">
        <f>E145</f>
        <v>6.0685375691850254</v>
      </c>
      <c r="D25" s="38" t="s">
        <v>417</v>
      </c>
      <c r="E25" s="454">
        <v>7.2499999999999995E-2</v>
      </c>
    </row>
    <row r="26" spans="1:6">
      <c r="D26" s="5"/>
      <c r="E26" s="5"/>
    </row>
    <row r="27" spans="1:6" ht="13.9">
      <c r="A27" s="203" t="s">
        <v>283</v>
      </c>
      <c r="B27" s="34"/>
      <c r="C27" s="34"/>
      <c r="D27" s="34"/>
      <c r="E27" s="34"/>
      <c r="F27" s="34"/>
    </row>
    <row r="29" spans="1:6">
      <c r="B29" s="455" t="s">
        <v>361</v>
      </c>
      <c r="C29" s="455"/>
      <c r="D29" s="455"/>
      <c r="E29" s="455"/>
      <c r="F29" s="455"/>
    </row>
    <row r="30" spans="1:6" ht="24.5" customHeight="1">
      <c r="B30" s="457" t="s">
        <v>268</v>
      </c>
      <c r="C30" s="457"/>
      <c r="D30" s="457"/>
      <c r="E30" s="457"/>
      <c r="F30" s="457"/>
    </row>
    <row r="32" spans="1:6">
      <c r="B32" s="193" t="s">
        <v>195</v>
      </c>
      <c r="C32" s="105">
        <f>scaling_factor</f>
        <v>1000</v>
      </c>
    </row>
    <row r="33" spans="2:6" ht="24.5" customHeight="1">
      <c r="B33" s="456" t="s">
        <v>196</v>
      </c>
      <c r="C33" s="456"/>
      <c r="D33" s="456"/>
      <c r="E33" s="456"/>
      <c r="F33" s="456"/>
    </row>
    <row r="34" spans="2:6">
      <c r="B34" s="44" t="s">
        <v>197</v>
      </c>
      <c r="C34" s="293">
        <f>Normalized_FCF!C8</f>
        <v>3585603</v>
      </c>
      <c r="D34" s="1" t="str">
        <f>Reporting_currency</f>
        <v>CNY</v>
      </c>
    </row>
    <row r="35" spans="2:6">
      <c r="B35" s="44"/>
      <c r="C35" s="73"/>
    </row>
    <row r="36" spans="2:6" ht="24.5" customHeight="1">
      <c r="B36" s="456" t="s">
        <v>198</v>
      </c>
      <c r="C36" s="456"/>
      <c r="D36" s="456"/>
      <c r="E36" s="456"/>
      <c r="F36" s="456"/>
    </row>
    <row r="37" spans="2:6">
      <c r="B37" s="44" t="s">
        <v>199</v>
      </c>
      <c r="C37" s="293">
        <f>Normalized_FCF!C15</f>
        <v>0</v>
      </c>
      <c r="D37" s="1" t="str">
        <f>Reporting_currency</f>
        <v>CNY</v>
      </c>
    </row>
    <row r="38" spans="2:6">
      <c r="B38" s="49" t="s">
        <v>200</v>
      </c>
      <c r="C38" s="293">
        <f>Normalized_FCF!C16</f>
        <v>0</v>
      </c>
      <c r="D38" s="1" t="str">
        <f>Reporting_currency</f>
        <v>CNY</v>
      </c>
    </row>
    <row r="40" spans="2:6">
      <c r="B40" s="456" t="s">
        <v>201</v>
      </c>
      <c r="C40" s="456"/>
      <c r="D40" s="456"/>
      <c r="E40" s="456"/>
      <c r="F40" s="456"/>
    </row>
    <row r="41" spans="2:6">
      <c r="B41" s="44" t="s">
        <v>202</v>
      </c>
      <c r="C41" s="293">
        <f>Normalized_FCF!C9</f>
        <v>-12182</v>
      </c>
      <c r="D41" s="1" t="str">
        <f>Reporting_currency</f>
        <v>CNY</v>
      </c>
    </row>
    <row r="43" spans="2:6">
      <c r="B43" s="456" t="s">
        <v>205</v>
      </c>
      <c r="C43" s="456"/>
      <c r="D43" s="456"/>
      <c r="E43" s="456"/>
      <c r="F43" s="456"/>
    </row>
    <row r="44" spans="2:6">
      <c r="B44" s="44" t="s">
        <v>269</v>
      </c>
      <c r="C44" s="294">
        <f>Normalized_FCF!C46</f>
        <v>15205.2148620272</v>
      </c>
      <c r="D44" s="1" t="str">
        <f>Reporting_currency</f>
        <v>CNY</v>
      </c>
      <c r="E44" s="251"/>
      <c r="F44" s="251"/>
    </row>
    <row r="45" spans="2:6">
      <c r="B45" s="44" t="s">
        <v>270</v>
      </c>
      <c r="C45" s="294">
        <f>Normalized_FCF!C45</f>
        <v>-44646</v>
      </c>
      <c r="D45" s="1" t="str">
        <f>Reporting_currency</f>
        <v>CNY</v>
      </c>
      <c r="E45" s="251"/>
      <c r="F45" s="251"/>
    </row>
    <row r="46" spans="2:6">
      <c r="B46" s="44" t="s">
        <v>203</v>
      </c>
      <c r="C46" s="293">
        <f>Normalized_FCF!C10</f>
        <v>-29440.785137972802</v>
      </c>
      <c r="D46" s="1" t="str">
        <f>Reporting_currency</f>
        <v>CNY</v>
      </c>
    </row>
    <row r="48" spans="2:6">
      <c r="B48" s="1" t="s">
        <v>211</v>
      </c>
    </row>
    <row r="49" spans="2:6">
      <c r="B49" s="44" t="s">
        <v>223</v>
      </c>
      <c r="C49" s="293">
        <f>Normalized_FCF!C13</f>
        <v>-67196</v>
      </c>
      <c r="D49" s="1" t="str">
        <f>Reporting_currency</f>
        <v>CNY</v>
      </c>
    </row>
    <row r="51" spans="2:6">
      <c r="B51" s="456" t="s">
        <v>206</v>
      </c>
      <c r="C51" s="456"/>
      <c r="D51" s="456"/>
      <c r="E51" s="456"/>
      <c r="F51" s="456"/>
    </row>
    <row r="52" spans="2:6">
      <c r="B52" s="44" t="s">
        <v>204</v>
      </c>
      <c r="C52" s="293">
        <f>Normalized_FCF!C12</f>
        <v>-885995.0537155068</v>
      </c>
      <c r="D52" s="1" t="str">
        <f>Reporting_currency</f>
        <v>CNY</v>
      </c>
    </row>
    <row r="54" spans="2:6">
      <c r="B54" s="456" t="s">
        <v>267</v>
      </c>
      <c r="C54" s="459"/>
      <c r="D54" s="459"/>
      <c r="E54" s="459"/>
      <c r="F54" s="459"/>
    </row>
    <row r="55" spans="2:6">
      <c r="B55" s="44" t="s">
        <v>207</v>
      </c>
      <c r="C55" s="293">
        <f>Normalized_FCF!C17</f>
        <v>0</v>
      </c>
      <c r="D55" s="1" t="str">
        <f>Reporting_currency</f>
        <v>CNY</v>
      </c>
    </row>
    <row r="57" spans="2:6" ht="24.5" customHeight="1">
      <c r="B57" s="455" t="s">
        <v>272</v>
      </c>
      <c r="C57" s="455"/>
      <c r="D57" s="455"/>
      <c r="E57" s="455"/>
      <c r="F57" s="455"/>
    </row>
    <row r="58" spans="2:6" ht="24.5" customHeight="1">
      <c r="B58" s="455" t="s">
        <v>285</v>
      </c>
      <c r="C58" s="455"/>
      <c r="D58" s="455"/>
      <c r="E58" s="455"/>
      <c r="F58" s="455"/>
    </row>
    <row r="60" spans="2:6">
      <c r="B60" s="44" t="s">
        <v>227</v>
      </c>
      <c r="C60" s="293">
        <f>Normalized_FCF!G19</f>
        <v>2910551.9698010553</v>
      </c>
      <c r="D60" s="1" t="str">
        <f>Reporting_currency</f>
        <v>CNY</v>
      </c>
    </row>
    <row r="61" spans="2:6">
      <c r="B61" s="44" t="s">
        <v>213</v>
      </c>
      <c r="C61" s="293">
        <f>Normalized_FCF!C19</f>
        <v>2590789.1611465206</v>
      </c>
      <c r="D61" s="1" t="str">
        <f>Reporting_currency</f>
        <v>CNY</v>
      </c>
    </row>
    <row r="62" spans="2:6">
      <c r="B62" s="207" t="s">
        <v>305</v>
      </c>
      <c r="C62" s="89">
        <f>Normalized_FCF!C124</f>
        <v>7.8902558024574673E-2</v>
      </c>
      <c r="F62" s="264"/>
    </row>
    <row r="63" spans="2:6">
      <c r="B63" s="207" t="s">
        <v>335</v>
      </c>
      <c r="C63" s="89">
        <f>Normalized_FCF!C92</f>
        <v>6.1060606060606058E-2</v>
      </c>
      <c r="E63" s="44" t="s">
        <v>325</v>
      </c>
      <c r="F63" s="265">
        <f>Normalized_FCF!C90</f>
        <v>0.84606570650356128</v>
      </c>
    </row>
    <row r="65" spans="1:6">
      <c r="B65" s="193" t="s">
        <v>328</v>
      </c>
      <c r="C65" s="271" t="s">
        <v>330</v>
      </c>
      <c r="D65" s="271" t="s">
        <v>331</v>
      </c>
    </row>
    <row r="66" spans="1:6">
      <c r="B66" s="44" t="s">
        <v>329</v>
      </c>
      <c r="C66" s="89">
        <f>Normalized_FCF!C119</f>
        <v>0.13051754934484086</v>
      </c>
      <c r="D66" s="89">
        <f>Normalized_FCF!G119</f>
        <v>0.18009434106411271</v>
      </c>
    </row>
    <row r="67" spans="1:6">
      <c r="B67" s="233" t="str">
        <f>Normalized_FCF!B116</f>
        <v>Pre-tax Profit/Sales</v>
      </c>
      <c r="C67" s="270">
        <f>Normalized_FCF!C116</f>
        <v>0.21350770384328224</v>
      </c>
      <c r="D67" s="270">
        <f>Normalized_FCF!G116</f>
        <v>0.23568649229951275</v>
      </c>
    </row>
    <row r="68" spans="1:6">
      <c r="B68" s="233" t="str">
        <f>Normalized_FCF!B117</f>
        <v>Sales/Total Assets</v>
      </c>
      <c r="C68" s="272">
        <f>Normalized_FCF!C117</f>
        <v>0.48960240415119827</v>
      </c>
      <c r="D68" s="272">
        <f>Normalized_FCF!G117</f>
        <v>0.61200300518899786</v>
      </c>
    </row>
    <row r="69" spans="1:6">
      <c r="B69" s="233" t="str">
        <f>Normalized_FCF!B118</f>
        <v>Total Assets/Equity</v>
      </c>
      <c r="C69" s="272">
        <f>Normalized_FCF!C118</f>
        <v>1.2485669045200241</v>
      </c>
      <c r="D69" s="272">
        <f>Normalized_FCF!G118</f>
        <v>1.2485669045200241</v>
      </c>
    </row>
    <row r="71" spans="1:6" ht="13.9">
      <c r="A71" s="203" t="s">
        <v>486</v>
      </c>
      <c r="B71" s="34"/>
      <c r="C71" s="34"/>
      <c r="D71" s="34"/>
      <c r="E71" s="34"/>
      <c r="F71" s="34"/>
    </row>
    <row r="72" spans="1:6">
      <c r="A72" s="192"/>
    </row>
    <row r="73" spans="1:6">
      <c r="A73" s="192"/>
      <c r="B73" s="455" t="s">
        <v>487</v>
      </c>
      <c r="C73" s="455"/>
      <c r="D73" s="455"/>
      <c r="E73" s="455"/>
      <c r="F73" s="455"/>
    </row>
    <row r="74" spans="1:6">
      <c r="A74" s="192"/>
      <c r="B74" s="1" t="s">
        <v>474</v>
      </c>
    </row>
    <row r="75" spans="1:6">
      <c r="A75" s="192"/>
    </row>
    <row r="76" spans="1:6">
      <c r="A76" s="192"/>
      <c r="B76" s="193" t="s">
        <v>195</v>
      </c>
    </row>
    <row r="77" spans="1:6">
      <c r="A77" s="192"/>
      <c r="B77" s="455" t="s">
        <v>273</v>
      </c>
      <c r="C77" s="455"/>
      <c r="D77" s="455"/>
      <c r="E77" s="455"/>
      <c r="F77" s="455"/>
    </row>
    <row r="78" spans="1:6">
      <c r="A78" s="192"/>
      <c r="B78" s="1" t="s">
        <v>215</v>
      </c>
      <c r="C78" s="293">
        <f>DCF!F4</f>
        <v>-845013</v>
      </c>
      <c r="D78" s="1" t="str">
        <f>Reporting_currency</f>
        <v>CNY</v>
      </c>
    </row>
    <row r="79" spans="1:6">
      <c r="A79" s="192"/>
      <c r="B79" s="44" t="s">
        <v>235</v>
      </c>
      <c r="C79" s="204">
        <f>C78*scaling_factor*Exchange_Rate/Common_Shares</f>
        <v>-0.10191018455885338</v>
      </c>
      <c r="D79" s="1" t="str">
        <f>Market_currency</f>
        <v>HKD</v>
      </c>
    </row>
    <row r="80" spans="1:6">
      <c r="A80" s="192"/>
      <c r="B80" s="233" t="s">
        <v>312</v>
      </c>
      <c r="C80" s="346">
        <f>IF(BS!G31/BS!G27&gt;300%,"nm",BS!G31/BS!G27)</f>
        <v>3.1120102042901991E-2</v>
      </c>
    </row>
    <row r="81" spans="1:6">
      <c r="A81" s="192"/>
      <c r="B81" s="233" t="s">
        <v>314</v>
      </c>
      <c r="C81" s="347">
        <f>IF(BS!C50&gt;30,"nm",BS!C50)</f>
        <v>0.2356683101838101</v>
      </c>
    </row>
    <row r="82" spans="1:6">
      <c r="A82" s="192"/>
    </row>
    <row r="83" spans="1:6">
      <c r="A83" s="192"/>
      <c r="B83" s="1" t="s">
        <v>475</v>
      </c>
    </row>
    <row r="84" spans="1:6">
      <c r="A84" s="192"/>
      <c r="B84" s="1" t="s">
        <v>224</v>
      </c>
      <c r="C84" s="293">
        <f>DCF!F5</f>
        <v>15073642.522995466</v>
      </c>
      <c r="D84" s="1" t="str">
        <f>Reporting_currency</f>
        <v>CNY</v>
      </c>
    </row>
    <row r="85" spans="1:6">
      <c r="A85" s="192"/>
      <c r="B85" s="233" t="s">
        <v>222</v>
      </c>
      <c r="C85" s="299">
        <f>BS!C66</f>
        <v>17607845</v>
      </c>
      <c r="D85" s="348" t="str">
        <f>Reporting_currency</f>
        <v>CNY</v>
      </c>
    </row>
    <row r="86" spans="1:6">
      <c r="A86" s="192"/>
      <c r="B86" s="44" t="s">
        <v>236</v>
      </c>
      <c r="C86" s="204">
        <f>C84*scaling_factor*Exchange_Rate/Common_Shares</f>
        <v>1.8179101285928718</v>
      </c>
      <c r="D86" s="1" t="str">
        <f>Market_currency</f>
        <v>HKD</v>
      </c>
    </row>
    <row r="87" spans="1:6">
      <c r="A87" s="192"/>
    </row>
    <row r="88" spans="1:6">
      <c r="A88" s="192"/>
      <c r="B88" s="1" t="s">
        <v>216</v>
      </c>
    </row>
    <row r="89" spans="1:6">
      <c r="A89" s="192"/>
      <c r="B89" s="1" t="s">
        <v>217</v>
      </c>
      <c r="C89" s="293">
        <f>DCF!F6</f>
        <v>4283</v>
      </c>
      <c r="D89" s="1" t="str">
        <f>Reporting_currency</f>
        <v>CNY</v>
      </c>
    </row>
    <row r="90" spans="1:6">
      <c r="A90" s="192"/>
      <c r="B90" s="44" t="s">
        <v>237</v>
      </c>
      <c r="C90" s="204">
        <f>C89*scaling_factor*Exchange_Rate/Common_Shares</f>
        <v>5.1653799464099258E-4</v>
      </c>
      <c r="D90" s="1" t="str">
        <f>Market_currency</f>
        <v>HKD</v>
      </c>
    </row>
    <row r="91" spans="1:6">
      <c r="A91" s="192"/>
    </row>
    <row r="92" spans="1:6">
      <c r="A92" s="192"/>
      <c r="B92" s="44" t="s">
        <v>478</v>
      </c>
      <c r="C92" s="220">
        <f>DCF!F8</f>
        <v>1.7165164820286594</v>
      </c>
      <c r="D92" s="44" t="str">
        <f>Market_currency</f>
        <v>HKD</v>
      </c>
    </row>
    <row r="94" spans="1:6" ht="13.9">
      <c r="A94" s="203" t="s">
        <v>479</v>
      </c>
      <c r="B94" s="34"/>
      <c r="C94" s="34"/>
      <c r="D94" s="34"/>
      <c r="E94" s="34"/>
      <c r="F94" s="34"/>
    </row>
    <row r="95" spans="1:6">
      <c r="A95" s="192"/>
    </row>
    <row r="96" spans="1:6" ht="11.75" customHeight="1">
      <c r="B96" s="455" t="s">
        <v>494</v>
      </c>
      <c r="C96" s="455"/>
      <c r="D96" s="455"/>
      <c r="E96" s="455"/>
      <c r="F96" s="455"/>
    </row>
    <row r="97" spans="2:6">
      <c r="B97" s="457" t="s">
        <v>493</v>
      </c>
      <c r="C97" s="457"/>
      <c r="D97" s="457"/>
      <c r="E97" s="457"/>
      <c r="F97" s="457"/>
    </row>
    <row r="98" spans="2:6">
      <c r="B98" s="457" t="s">
        <v>492</v>
      </c>
      <c r="C98" s="457"/>
      <c r="D98" s="457"/>
      <c r="E98" s="457"/>
      <c r="F98" s="457"/>
    </row>
    <row r="100" spans="2:6">
      <c r="B100" s="193" t="s">
        <v>195</v>
      </c>
    </row>
    <row r="101" spans="2:6">
      <c r="B101" s="49" t="s">
        <v>476</v>
      </c>
      <c r="C101" s="215">
        <f>E25+C103</f>
        <v>7.2499999999999995E-2</v>
      </c>
    </row>
    <row r="102" spans="2:6">
      <c r="B102" s="233" t="s">
        <v>321</v>
      </c>
      <c r="C102" s="270">
        <f>E25</f>
        <v>7.2499999999999995E-2</v>
      </c>
    </row>
    <row r="103" spans="2:6">
      <c r="B103" s="233" t="s">
        <v>320</v>
      </c>
      <c r="C103" s="270">
        <f>IF(C15="Y",1%,0)+IF(C16="Y",1%,0)</f>
        <v>0</v>
      </c>
    </row>
    <row r="104" spans="2:6">
      <c r="B104" s="44" t="s">
        <v>214</v>
      </c>
      <c r="C104" s="215">
        <f>Terminal_Growth</f>
        <v>0</v>
      </c>
    </row>
    <row r="106" spans="2:6">
      <c r="B106" s="257" t="s">
        <v>284</v>
      </c>
      <c r="C106" s="117"/>
    </row>
    <row r="107" spans="2:6">
      <c r="B107" s="455" t="s">
        <v>286</v>
      </c>
      <c r="C107" s="455"/>
      <c r="D107" s="455"/>
      <c r="E107" s="455"/>
      <c r="F107" s="455"/>
    </row>
    <row r="108" spans="2:6">
      <c r="B108" s="455" t="s">
        <v>287</v>
      </c>
      <c r="C108" s="455"/>
      <c r="D108" s="455"/>
      <c r="E108" s="455"/>
      <c r="F108" s="455"/>
    </row>
    <row r="110" spans="2:6">
      <c r="B110" s="193" t="s">
        <v>496</v>
      </c>
    </row>
    <row r="111" spans="2:6">
      <c r="B111" s="49" t="s">
        <v>477</v>
      </c>
      <c r="C111" s="220">
        <f>BS!D47</f>
        <v>1.2423523346862815</v>
      </c>
      <c r="D111" s="1" t="str">
        <f>Market_currency</f>
        <v>HKD</v>
      </c>
    </row>
    <row r="112" spans="2:6">
      <c r="B112" s="44" t="s">
        <v>326</v>
      </c>
      <c r="C112" s="220">
        <f>DCF!C11</f>
        <v>6.0262286168881865</v>
      </c>
      <c r="D112" s="1" t="str">
        <f>Market_currency</f>
        <v>HKD</v>
      </c>
    </row>
    <row r="114" spans="2:6" ht="24.5" customHeight="1">
      <c r="B114" s="455" t="s">
        <v>500</v>
      </c>
      <c r="C114" s="455"/>
      <c r="D114" s="455"/>
      <c r="E114" s="455"/>
      <c r="F114" s="455"/>
    </row>
    <row r="116" spans="2:6">
      <c r="B116" s="193" t="s">
        <v>497</v>
      </c>
    </row>
    <row r="117" spans="2:6" ht="12.4">
      <c r="B117" s="351" t="s">
        <v>101</v>
      </c>
      <c r="C117" s="351" t="s">
        <v>110</v>
      </c>
      <c r="D117" s="351" t="s">
        <v>99</v>
      </c>
      <c r="E117" s="351" t="s">
        <v>219</v>
      </c>
      <c r="F117" s="351" t="s">
        <v>124</v>
      </c>
    </row>
    <row r="118" spans="2:6">
      <c r="B118" s="208" t="str">
        <f>DCF!B74</f>
        <v>Snowball Scenario</v>
      </c>
      <c r="C118" s="209">
        <f>DCF!C74</f>
        <v>0.08</v>
      </c>
      <c r="D118" s="210">
        <f>DCF!D74</f>
        <v>5</v>
      </c>
      <c r="E118" s="211" t="str">
        <f>ROUND(DCF!E74,2)&amp;" "&amp;Market_currency</f>
        <v>7.91 HKD</v>
      </c>
      <c r="F118" s="212">
        <f>DCF!F74</f>
        <v>0.05</v>
      </c>
    </row>
    <row r="119" spans="2:6">
      <c r="B119" s="199" t="str">
        <f>DCF!B75</f>
        <v>Optimistic</v>
      </c>
      <c r="C119" s="200">
        <f>DCF!C75</f>
        <v>0.03</v>
      </c>
      <c r="D119" s="201">
        <f>DCF!D75</f>
        <v>5</v>
      </c>
      <c r="E119" s="211" t="str">
        <f>ROUND(DCF!E75,2)&amp;" "&amp;Market_currency</f>
        <v>6.72 HKD</v>
      </c>
      <c r="F119" s="202">
        <f>DCF!F75</f>
        <v>0.18</v>
      </c>
    </row>
    <row r="120" spans="2:6">
      <c r="B120" s="199" t="str">
        <f>DCF!B76</f>
        <v>Base</v>
      </c>
      <c r="C120" s="200">
        <f>DCF!C76</f>
        <v>0.02</v>
      </c>
      <c r="D120" s="201">
        <f>DCF!D76</f>
        <v>5</v>
      </c>
      <c r="E120" s="211" t="str">
        <f>ROUND(DCF!E76,2)&amp;" "&amp;Market_currency</f>
        <v>6.51 HKD</v>
      </c>
      <c r="F120" s="202">
        <f>DCF!F76</f>
        <v>0.53999999999999992</v>
      </c>
    </row>
    <row r="121" spans="2:6">
      <c r="B121" s="199" t="str">
        <f>DCF!B77</f>
        <v>Pessimistic</v>
      </c>
      <c r="C121" s="200">
        <f>DCF!C77</f>
        <v>0.01</v>
      </c>
      <c r="D121" s="201">
        <f>DCF!D77</f>
        <v>5</v>
      </c>
      <c r="E121" s="211" t="str">
        <f>ROUND(DCF!E77,2)&amp;" "&amp;Market_currency</f>
        <v>6.3 HKD</v>
      </c>
      <c r="F121" s="202">
        <f>DCF!F77</f>
        <v>0.18</v>
      </c>
    </row>
    <row r="122" spans="2:6">
      <c r="B122" s="199" t="str">
        <f>DCF!B78</f>
        <v>Devil's advocate</v>
      </c>
      <c r="C122" s="200">
        <f>DCF!C78</f>
        <v>-0.1</v>
      </c>
      <c r="D122" s="201">
        <f>DCF!D78</f>
        <v>5</v>
      </c>
      <c r="E122" s="211" t="str">
        <f>ROUND(DCF!E78,2)&amp;" "&amp;Market_currency</f>
        <v>4.49 HKD</v>
      </c>
      <c r="F122" s="202">
        <f>DCF!F78</f>
        <v>0.05</v>
      </c>
    </row>
    <row r="124" spans="2:6">
      <c r="B124" s="456" t="s">
        <v>362</v>
      </c>
      <c r="C124" s="456"/>
      <c r="D124" s="456"/>
      <c r="E124" s="456"/>
      <c r="F124" s="456"/>
    </row>
    <row r="125" spans="2:6">
      <c r="B125" s="194" t="s">
        <v>218</v>
      </c>
      <c r="C125" s="198">
        <f>Scenarios!C36</f>
        <v>6.4792427673148829</v>
      </c>
      <c r="D125" s="195" t="str">
        <f>Market_currency</f>
        <v>HKD</v>
      </c>
    </row>
    <row r="127" spans="2:6" ht="24.5" customHeight="1">
      <c r="B127" s="460" t="s">
        <v>363</v>
      </c>
      <c r="C127" s="460"/>
      <c r="D127" s="460"/>
      <c r="E127" s="460"/>
      <c r="F127" s="460"/>
    </row>
    <row r="129" spans="1:6" ht="13.9">
      <c r="A129" s="203" t="s">
        <v>483</v>
      </c>
      <c r="B129" s="34"/>
      <c r="C129" s="34"/>
      <c r="D129" s="34"/>
      <c r="E129" s="34"/>
      <c r="F129" s="34"/>
    </row>
    <row r="131" spans="1:6">
      <c r="B131" s="458" t="s">
        <v>288</v>
      </c>
      <c r="C131" s="458"/>
      <c r="D131" s="458"/>
      <c r="E131" s="458"/>
      <c r="F131" s="458"/>
    </row>
    <row r="132" spans="1:6">
      <c r="B132" s="455" t="s">
        <v>364</v>
      </c>
      <c r="C132" s="455"/>
      <c r="D132" s="455"/>
      <c r="E132" s="455"/>
      <c r="F132" s="455"/>
    </row>
    <row r="134" spans="1:6">
      <c r="B134" s="193" t="s">
        <v>195</v>
      </c>
    </row>
    <row r="135" spans="1:6">
      <c r="B135" s="1" t="s">
        <v>221</v>
      </c>
      <c r="C135" s="205">
        <f>E21</f>
        <v>2</v>
      </c>
    </row>
    <row r="136" spans="1:6">
      <c r="B136" s="195" t="s">
        <v>220</v>
      </c>
      <c r="C136" s="196">
        <f>Scenarios!C58</f>
        <v>0.24179999999999999</v>
      </c>
      <c r="D136" s="195" t="str">
        <f>Market_currency</f>
        <v>HKD</v>
      </c>
    </row>
    <row r="138" spans="1:6">
      <c r="B138" s="193" t="s">
        <v>503</v>
      </c>
      <c r="C138" s="218"/>
      <c r="D138" s="219"/>
    </row>
    <row r="139" spans="1:6" ht="12.4">
      <c r="B139" s="349" t="s">
        <v>471</v>
      </c>
      <c r="C139" s="349" t="str">
        <f>"PV("&amp;Holding_Period&amp;" yrs of Dividends)"</f>
        <v>PV(2 yrs of Dividends)</v>
      </c>
      <c r="D139" s="349" t="s">
        <v>480</v>
      </c>
      <c r="E139" s="350" t="str">
        <f>"Buy below ("&amp;Market_currency&amp;")"</f>
        <v>Buy below (HKD)</v>
      </c>
      <c r="F139" s="350" t="s">
        <v>481</v>
      </c>
    </row>
    <row r="140" spans="1:6">
      <c r="B140" s="345" t="s">
        <v>315</v>
      </c>
      <c r="C140" s="342">
        <f>Scenarios!C62</f>
        <v>0.31178600823045277</v>
      </c>
      <c r="D140" s="342">
        <f>Scenarios!D62</f>
        <v>3.5551400643703057</v>
      </c>
      <c r="E140" s="343">
        <f>Scenarios!E62</f>
        <v>3.8669260726007586</v>
      </c>
      <c r="F140" s="344">
        <f>E22</f>
        <v>0.35</v>
      </c>
    </row>
    <row r="141" spans="1:6">
      <c r="B141" s="345" t="s">
        <v>316</v>
      </c>
      <c r="C141" s="342">
        <f>Scenarios!C63</f>
        <v>0.34819199999999995</v>
      </c>
      <c r="D141" s="342">
        <f>Scenarios!D63</f>
        <v>4.146715371081525</v>
      </c>
      <c r="E141" s="343">
        <f>Scenarios!E63</f>
        <v>4.494907371081525</v>
      </c>
      <c r="F141" s="344">
        <f>Scenarios!F63</f>
        <v>0.25</v>
      </c>
    </row>
    <row r="142" spans="1:6">
      <c r="B142" s="195"/>
      <c r="C142" s="195"/>
      <c r="D142" s="195"/>
      <c r="E142" s="195"/>
      <c r="F142" s="195"/>
    </row>
    <row r="143" spans="1:6" ht="12.4">
      <c r="B143" s="349" t="s">
        <v>472</v>
      </c>
      <c r="C143" s="349" t="str">
        <f>"PV("&amp;Holding_Period&amp;" yrs of Dividends)"</f>
        <v>PV(2 yrs of Dividends)</v>
      </c>
      <c r="D143" s="349" t="s">
        <v>480</v>
      </c>
      <c r="E143" s="350" t="str">
        <f>"Sell above ("&amp;Market_currency&amp;")"</f>
        <v>Sell above (HKD)</v>
      </c>
      <c r="F143" s="350" t="s">
        <v>481</v>
      </c>
    </row>
    <row r="144" spans="1:6">
      <c r="B144" s="345" t="s">
        <v>318</v>
      </c>
      <c r="C144" s="342">
        <f>Scenarios!C66</f>
        <v>0.41005477282098601</v>
      </c>
      <c r="D144" s="342">
        <f>Scenarios!D66</f>
        <v>5.189277775479523</v>
      </c>
      <c r="E144" s="343">
        <f>Scenarios!E66</f>
        <v>5.5993325483005094</v>
      </c>
      <c r="F144" s="344">
        <f>E24</f>
        <v>0.1174</v>
      </c>
    </row>
    <row r="145" spans="1:6">
      <c r="B145" s="345" t="s">
        <v>317</v>
      </c>
      <c r="C145" s="342">
        <f>Scenarios!C67</f>
        <v>0.43566857385039198</v>
      </c>
      <c r="D145" s="342">
        <f>Scenarios!D67</f>
        <v>5.6328689953346336</v>
      </c>
      <c r="E145" s="343">
        <f>Scenarios!E67</f>
        <v>6.0685375691850254</v>
      </c>
      <c r="F145" s="344">
        <f>Scenarios!F67</f>
        <v>7.2499999999999995E-2</v>
      </c>
    </row>
    <row r="147" spans="1:6" ht="13.9">
      <c r="A147" s="203" t="s">
        <v>484</v>
      </c>
      <c r="B147" s="34"/>
      <c r="C147" s="34"/>
      <c r="D147" s="34"/>
      <c r="E147" s="34"/>
      <c r="F147" s="34"/>
    </row>
    <row r="149" spans="1:6">
      <c r="B149" s="462" t="s">
        <v>365</v>
      </c>
      <c r="C149" s="455"/>
      <c r="D149" s="455"/>
      <c r="E149" s="455"/>
      <c r="F149" s="455"/>
    </row>
    <row r="151" spans="1:6">
      <c r="B151" s="193" t="s">
        <v>292</v>
      </c>
    </row>
    <row r="152" spans="1:6">
      <c r="B152" s="459" t="s">
        <v>296</v>
      </c>
      <c r="C152" s="459"/>
      <c r="D152" s="459"/>
      <c r="E152" s="459"/>
      <c r="F152" s="459"/>
    </row>
    <row r="153" spans="1:6">
      <c r="B153" s="197" t="s">
        <v>293</v>
      </c>
    </row>
    <row r="154" spans="1:6">
      <c r="B154" s="197" t="s">
        <v>294</v>
      </c>
    </row>
    <row r="155" spans="1:6">
      <c r="B155" s="197" t="s">
        <v>295</v>
      </c>
    </row>
    <row r="157" spans="1:6">
      <c r="B157" s="1" t="s">
        <v>299</v>
      </c>
    </row>
    <row r="158" spans="1:6" ht="34.25" customHeight="1">
      <c r="B158" s="456" t="s">
        <v>447</v>
      </c>
      <c r="C158" s="456"/>
      <c r="D158" s="456"/>
      <c r="E158" s="456"/>
      <c r="F158" s="456"/>
    </row>
    <row r="160" spans="1:6">
      <c r="B160" s="1" t="s">
        <v>300</v>
      </c>
    </row>
    <row r="161" spans="2:6" ht="24.5" customHeight="1">
      <c r="B161" s="461" t="s">
        <v>297</v>
      </c>
      <c r="C161" s="461"/>
      <c r="D161" s="461"/>
      <c r="E161" s="461"/>
      <c r="F161" s="461"/>
    </row>
    <row r="162" spans="2:6" ht="24.5" customHeight="1">
      <c r="B162" s="461" t="s">
        <v>298</v>
      </c>
      <c r="C162" s="461"/>
      <c r="D162" s="461"/>
      <c r="E162" s="461"/>
      <c r="F162" s="461"/>
    </row>
    <row r="164" spans="2:6">
      <c r="B164" s="1" t="s">
        <v>304</v>
      </c>
    </row>
    <row r="165" spans="2:6">
      <c r="B165" s="197" t="s">
        <v>301</v>
      </c>
    </row>
    <row r="166" spans="2:6">
      <c r="B166" s="197" t="s">
        <v>302</v>
      </c>
    </row>
    <row r="167" spans="2:6">
      <c r="B167" s="197" t="s">
        <v>303</v>
      </c>
    </row>
  </sheetData>
  <mergeCells count="28">
    <mergeCell ref="B161:F161"/>
    <mergeCell ref="B162:F162"/>
    <mergeCell ref="B149:F149"/>
    <mergeCell ref="B158:F158"/>
    <mergeCell ref="B152:F152"/>
    <mergeCell ref="B107:F107"/>
    <mergeCell ref="B127:F127"/>
    <mergeCell ref="B57:F57"/>
    <mergeCell ref="B77:F77"/>
    <mergeCell ref="B73:F73"/>
    <mergeCell ref="B97:F97"/>
    <mergeCell ref="B114:F114"/>
    <mergeCell ref="B132:F132"/>
    <mergeCell ref="B40:F40"/>
    <mergeCell ref="B12:F12"/>
    <mergeCell ref="B29:F29"/>
    <mergeCell ref="B30:F30"/>
    <mergeCell ref="B33:F33"/>
    <mergeCell ref="B36:F36"/>
    <mergeCell ref="B108:F108"/>
    <mergeCell ref="B131:F131"/>
    <mergeCell ref="B43:F43"/>
    <mergeCell ref="B51:F51"/>
    <mergeCell ref="B54:F54"/>
    <mergeCell ref="B58:F58"/>
    <mergeCell ref="B96:F96"/>
    <mergeCell ref="B98:F98"/>
    <mergeCell ref="B124:F124"/>
  </mergeCells>
  <phoneticPr fontId="2" type="noConversion"/>
  <dataValidations count="4">
    <dataValidation type="list" allowBlank="1" showInputMessage="1" showErrorMessage="1" sqref="F5" xr:uid="{45F807FD-9E0F-415A-9BBD-D5FB6470B56D}">
      <formula1>"Y, N"</formula1>
    </dataValidation>
    <dataValidation type="list" allowBlank="1" showInputMessage="1" showErrorMessage="1" sqref="C15:C16" xr:uid="{342D2C68-3352-49DC-9D77-964DC8D8A160}">
      <formula1>"Y,N"</formula1>
    </dataValidation>
    <dataValidation type="list" allowBlank="1" sqref="E17" xr:uid="{00000000-0002-0000-0000-000001000000}">
      <formula1>"HKD,USD,CNY,EUR"</formula1>
    </dataValidation>
    <dataValidation type="list" allowBlank="1" showInputMessage="1" showErrorMessage="1" sqref="F4" xr:uid="{43680096-2F0B-9A4B-87F6-C27180C3206F}">
      <formula1>"INT,CN"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D9" sqref="D9"/>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87" t="str">
        <f>Thesis!E17</f>
        <v>CNY</v>
      </c>
      <c r="C1" s="101">
        <v>45657</v>
      </c>
      <c r="D1" s="36">
        <f>EOMONTH(EDATE(C1,-12),0)</f>
        <v>45291</v>
      </c>
      <c r="E1" s="36">
        <f t="shared" ref="E1:M1" si="0">EOMONTH(EDATE(D1,-12),0)</f>
        <v>44926</v>
      </c>
      <c r="F1" s="36">
        <f t="shared" si="0"/>
        <v>44561</v>
      </c>
      <c r="G1" s="36">
        <f t="shared" si="0"/>
        <v>44196</v>
      </c>
      <c r="H1" s="36">
        <f t="shared" si="0"/>
        <v>43830</v>
      </c>
      <c r="I1" s="36">
        <f t="shared" si="0"/>
        <v>43465</v>
      </c>
      <c r="J1" s="36">
        <f t="shared" si="0"/>
        <v>43100</v>
      </c>
      <c r="K1" s="36">
        <f t="shared" si="0"/>
        <v>42735</v>
      </c>
      <c r="L1" s="36">
        <f t="shared" si="0"/>
        <v>42369</v>
      </c>
      <c r="M1" s="36">
        <f t="shared" si="0"/>
        <v>42004</v>
      </c>
    </row>
    <row r="2" spans="2:13" ht="13.9">
      <c r="B2" s="34" t="s">
        <v>93</v>
      </c>
      <c r="C2" s="35"/>
      <c r="D2" s="35"/>
      <c r="E2" s="35"/>
      <c r="F2" s="35"/>
      <c r="G2" s="35"/>
      <c r="H2" s="35"/>
      <c r="I2" s="35"/>
      <c r="J2" s="35"/>
      <c r="K2" s="35"/>
      <c r="L2" s="35"/>
      <c r="M2" s="35"/>
    </row>
    <row r="3" spans="2:13">
      <c r="B3" s="16" t="s">
        <v>25</v>
      </c>
      <c r="C3" s="103">
        <v>1000</v>
      </c>
    </row>
    <row r="4" spans="2:13">
      <c r="B4" s="31" t="s">
        <v>0</v>
      </c>
      <c r="C4" s="295">
        <v>20748550</v>
      </c>
      <c r="D4" s="295">
        <v>19532203</v>
      </c>
      <c r="E4" s="295">
        <v>21310933</v>
      </c>
      <c r="F4" s="295">
        <v>22776265</v>
      </c>
      <c r="G4" s="295">
        <v>18592465</v>
      </c>
      <c r="H4" s="295">
        <v>13721509</v>
      </c>
      <c r="I4" s="295">
        <v>10391917</v>
      </c>
      <c r="J4" s="295">
        <v>5887260</v>
      </c>
      <c r="K4" s="295">
        <v>3724381</v>
      </c>
      <c r="L4" s="295"/>
      <c r="M4" s="295"/>
    </row>
    <row r="5" spans="2:13">
      <c r="B5" s="38" t="s">
        <v>40</v>
      </c>
      <c r="C5" s="295">
        <v>6983747</v>
      </c>
      <c r="D5" s="295">
        <v>6868850</v>
      </c>
      <c r="E5" s="295">
        <v>7360333</v>
      </c>
      <c r="F5" s="295">
        <v>6768676</v>
      </c>
      <c r="G5" s="295">
        <v>5112187</v>
      </c>
      <c r="H5" s="295">
        <v>4111918</v>
      </c>
      <c r="I5" s="295">
        <v>3372827</v>
      </c>
      <c r="J5" s="295">
        <v>2096800</v>
      </c>
      <c r="K5" s="295">
        <v>1690421</v>
      </c>
      <c r="L5" s="295"/>
      <c r="M5" s="295"/>
    </row>
    <row r="6" spans="2:13">
      <c r="B6" s="38" t="s">
        <v>51</v>
      </c>
      <c r="C6" s="295">
        <v>8862484</v>
      </c>
      <c r="D6" s="295">
        <v>8471116</v>
      </c>
      <c r="E6" s="295">
        <v>8080385</v>
      </c>
      <c r="F6" s="295">
        <v>7937287</v>
      </c>
      <c r="G6" s="295">
        <v>6424644</v>
      </c>
      <c r="H6" s="295">
        <v>4761211</v>
      </c>
      <c r="I6" s="295">
        <v>4241603</v>
      </c>
      <c r="J6" s="295">
        <v>2499647</v>
      </c>
      <c r="K6" s="295">
        <v>1600378</v>
      </c>
      <c r="L6" s="295"/>
      <c r="M6" s="295"/>
    </row>
    <row r="7" spans="2:13">
      <c r="B7" s="66" t="s">
        <v>58</v>
      </c>
      <c r="C7" s="296">
        <v>7181223</v>
      </c>
      <c r="D7" s="296">
        <v>6709067</v>
      </c>
      <c r="E7" s="296">
        <v>6545373</v>
      </c>
      <c r="F7" s="296">
        <v>6729305</v>
      </c>
      <c r="G7" s="296">
        <v>5263430</v>
      </c>
      <c r="H7" s="296">
        <v>3847985</v>
      </c>
      <c r="I7" s="296">
        <v>3661314</v>
      </c>
      <c r="J7" s="296">
        <v>2139107</v>
      </c>
      <c r="K7" s="296">
        <v>1369520</v>
      </c>
      <c r="L7" s="296"/>
      <c r="M7" s="296"/>
    </row>
    <row r="8" spans="2:13">
      <c r="B8" s="38" t="s">
        <v>46</v>
      </c>
      <c r="C8" s="295"/>
      <c r="D8" s="295"/>
      <c r="E8" s="295"/>
      <c r="F8" s="295"/>
      <c r="G8" s="295"/>
      <c r="H8" s="295"/>
      <c r="I8" s="295"/>
      <c r="J8" s="295"/>
      <c r="K8" s="295"/>
      <c r="L8" s="295"/>
      <c r="M8" s="295"/>
    </row>
    <row r="9" spans="2:13">
      <c r="B9" s="38" t="s">
        <v>134</v>
      </c>
      <c r="C9" s="295">
        <v>-12182</v>
      </c>
      <c r="D9" s="295">
        <v>-7408</v>
      </c>
      <c r="E9" s="295">
        <v>-17253</v>
      </c>
      <c r="F9" s="295">
        <v>-15586</v>
      </c>
      <c r="G9" s="295">
        <v>-5571</v>
      </c>
      <c r="H9" s="295"/>
      <c r="I9" s="295"/>
      <c r="J9" s="295"/>
      <c r="K9" s="295"/>
      <c r="L9" s="295"/>
      <c r="M9" s="295"/>
    </row>
    <row r="10" spans="2:13">
      <c r="B10" s="38" t="s">
        <v>138</v>
      </c>
      <c r="C10" s="295"/>
      <c r="D10" s="295"/>
      <c r="E10" s="295"/>
      <c r="F10" s="295"/>
      <c r="G10" s="295"/>
      <c r="H10" s="295"/>
      <c r="I10" s="295"/>
      <c r="J10" s="295"/>
      <c r="K10" s="295"/>
      <c r="L10" s="295"/>
      <c r="M10" s="295"/>
    </row>
    <row r="11" spans="2:13">
      <c r="B11" s="38" t="s">
        <v>133</v>
      </c>
      <c r="C11" s="295"/>
      <c r="D11" s="295"/>
      <c r="E11" s="295"/>
      <c r="F11" s="295"/>
      <c r="G11" s="295"/>
      <c r="H11" s="295"/>
      <c r="I11" s="295"/>
      <c r="J11" s="295"/>
      <c r="K11" s="295"/>
      <c r="L11" s="295"/>
      <c r="M11" s="295"/>
    </row>
    <row r="12" spans="2:13">
      <c r="B12" s="38" t="s">
        <v>37</v>
      </c>
      <c r="C12" s="295">
        <v>44646</v>
      </c>
      <c r="D12" s="295">
        <v>53132</v>
      </c>
      <c r="E12" s="295">
        <v>33640</v>
      </c>
      <c r="F12" s="295">
        <v>29152</v>
      </c>
      <c r="G12" s="295">
        <v>50160</v>
      </c>
      <c r="H12" s="295">
        <v>72693</v>
      </c>
      <c r="I12" s="295">
        <v>58675</v>
      </c>
      <c r="J12" s="295">
        <v>21409</v>
      </c>
      <c r="K12" s="295">
        <v>26773</v>
      </c>
      <c r="L12" s="295"/>
      <c r="M12" s="295"/>
    </row>
    <row r="13" spans="2:13">
      <c r="B13" s="38" t="s">
        <v>64</v>
      </c>
      <c r="C13" s="295">
        <f>218979+91336</f>
        <v>310315</v>
      </c>
      <c r="D13" s="295">
        <f>198911+99510</f>
        <v>298421</v>
      </c>
      <c r="E13" s="295"/>
      <c r="F13" s="295"/>
      <c r="G13" s="295"/>
      <c r="H13" s="295"/>
      <c r="I13" s="295"/>
      <c r="J13" s="295"/>
      <c r="K13" s="295"/>
      <c r="L13" s="295"/>
      <c r="M13" s="295"/>
    </row>
    <row r="14" spans="2:13">
      <c r="B14" s="38" t="s">
        <v>47</v>
      </c>
      <c r="C14" s="295">
        <v>1895606</v>
      </c>
      <c r="D14" s="295">
        <v>1559940</v>
      </c>
      <c r="E14" s="295">
        <v>1715003</v>
      </c>
      <c r="F14" s="295">
        <v>2757433</v>
      </c>
      <c r="G14" s="295">
        <v>2463857</v>
      </c>
      <c r="H14" s="295">
        <v>1748099</v>
      </c>
      <c r="I14" s="295">
        <v>946317</v>
      </c>
      <c r="J14" s="295">
        <v>490835</v>
      </c>
      <c r="K14" s="295">
        <v>188795</v>
      </c>
      <c r="L14" s="295"/>
      <c r="M14" s="295"/>
    </row>
    <row r="15" spans="2:13">
      <c r="B15" s="41" t="s">
        <v>39</v>
      </c>
      <c r="C15" s="297">
        <v>3654120</v>
      </c>
      <c r="D15" s="297">
        <v>3290352</v>
      </c>
      <c r="E15" s="297">
        <v>4948106</v>
      </c>
      <c r="F15" s="297">
        <v>6914896</v>
      </c>
      <c r="G15" s="297">
        <v>7436632</v>
      </c>
      <c r="H15" s="297">
        <v>3934577</v>
      </c>
      <c r="I15" s="297">
        <v>2242254</v>
      </c>
      <c r="J15" s="297">
        <v>1160226</v>
      </c>
      <c r="K15" s="297">
        <v>406152</v>
      </c>
      <c r="L15" s="297"/>
      <c r="M15" s="297"/>
    </row>
    <row r="16" spans="2:13">
      <c r="B16" s="27" t="s">
        <v>41</v>
      </c>
      <c r="C16" s="295">
        <v>83995</v>
      </c>
      <c r="D16" s="295">
        <v>-99657</v>
      </c>
      <c r="E16" s="295">
        <v>6058</v>
      </c>
      <c r="F16" s="295">
        <v>43852</v>
      </c>
      <c r="G16" s="295">
        <v>-241</v>
      </c>
      <c r="H16" s="295">
        <v>0</v>
      </c>
      <c r="I16" s="295">
        <v>0</v>
      </c>
      <c r="J16" s="295">
        <v>0</v>
      </c>
      <c r="K16" s="295">
        <v>-10836</v>
      </c>
      <c r="L16" s="295"/>
      <c r="M16" s="295"/>
    </row>
    <row r="18" spans="2:13">
      <c r="B18" s="16" t="s">
        <v>48</v>
      </c>
      <c r="C18" s="9"/>
    </row>
    <row r="19" spans="2:13">
      <c r="B19" s="26" t="s">
        <v>44</v>
      </c>
      <c r="C19" s="295"/>
      <c r="D19" s="295"/>
      <c r="E19" s="295"/>
      <c r="F19" s="295"/>
      <c r="G19" s="295"/>
      <c r="H19" s="295"/>
      <c r="I19" s="295"/>
      <c r="J19" s="295"/>
      <c r="K19" s="295"/>
      <c r="L19" s="295"/>
      <c r="M19" s="295"/>
    </row>
    <row r="20" spans="2:13">
      <c r="B20" s="26" t="s">
        <v>50</v>
      </c>
      <c r="C20" s="295"/>
      <c r="D20" s="295"/>
      <c r="E20" s="295"/>
      <c r="F20" s="295"/>
      <c r="G20" s="295"/>
      <c r="H20" s="295"/>
      <c r="I20" s="295"/>
      <c r="J20" s="295"/>
      <c r="K20" s="295"/>
      <c r="L20" s="295"/>
      <c r="M20" s="295"/>
    </row>
    <row r="21" spans="2:13">
      <c r="B21" s="26" t="s">
        <v>49</v>
      </c>
      <c r="C21" s="295"/>
      <c r="D21" s="295"/>
      <c r="E21" s="295"/>
      <c r="F21" s="295"/>
      <c r="G21" s="295"/>
      <c r="H21" s="295"/>
      <c r="I21" s="295"/>
      <c r="J21" s="295"/>
      <c r="K21" s="295"/>
      <c r="L21" s="295"/>
      <c r="M21" s="295"/>
    </row>
    <row r="22" spans="2:13">
      <c r="B22" s="26" t="s">
        <v>289</v>
      </c>
      <c r="C22" s="295">
        <v>4179313</v>
      </c>
      <c r="D22" s="295">
        <v>4145346</v>
      </c>
      <c r="E22" s="295">
        <v>6279079</v>
      </c>
      <c r="F22" s="295">
        <v>6814937</v>
      </c>
      <c r="G22" s="295">
        <v>7747973</v>
      </c>
      <c r="H22" s="295">
        <v>5180535</v>
      </c>
      <c r="I22" s="295">
        <v>3121196</v>
      </c>
      <c r="J22" s="295">
        <v>2205574</v>
      </c>
      <c r="K22" s="295">
        <v>129094</v>
      </c>
      <c r="L22" s="295"/>
      <c r="M22" s="295"/>
    </row>
    <row r="23" spans="2:13">
      <c r="B23" s="26" t="s">
        <v>291</v>
      </c>
      <c r="C23" s="295">
        <v>-1316832</v>
      </c>
      <c r="D23" s="295">
        <v>386697</v>
      </c>
      <c r="E23" s="295">
        <v>-4803708</v>
      </c>
      <c r="F23" s="295">
        <v>-2444226</v>
      </c>
      <c r="G23" s="295">
        <v>-3786486</v>
      </c>
      <c r="H23" s="295">
        <v>-5514896</v>
      </c>
      <c r="I23" s="295">
        <v>-3272449</v>
      </c>
      <c r="J23" s="295">
        <v>-1680076</v>
      </c>
      <c r="K23" s="295">
        <v>947343</v>
      </c>
      <c r="L23" s="295"/>
      <c r="M23" s="295"/>
    </row>
    <row r="24" spans="2:13">
      <c r="B24" s="26" t="s">
        <v>290</v>
      </c>
      <c r="C24" s="295">
        <v>-3031620</v>
      </c>
      <c r="D24" s="295">
        <v>-2705301</v>
      </c>
      <c r="E24" s="295">
        <v>-1975285</v>
      </c>
      <c r="F24" s="295">
        <v>-4245443</v>
      </c>
      <c r="G24" s="295">
        <v>-2542842</v>
      </c>
      <c r="H24" s="295">
        <v>4123021</v>
      </c>
      <c r="I24" s="295">
        <v>-509032</v>
      </c>
      <c r="J24" s="295">
        <v>222174</v>
      </c>
      <c r="K24" s="295">
        <v>-395455</v>
      </c>
      <c r="L24" s="295"/>
      <c r="M24" s="295"/>
    </row>
    <row r="25" spans="2:13">
      <c r="B25" s="23" t="str">
        <f>"Dividend per share ("&amp;Market_currency&amp;")"</f>
        <v>Dividend per share (HKD)</v>
      </c>
      <c r="C25" s="37">
        <f>0.1632*2</f>
        <v>0.32640000000000002</v>
      </c>
      <c r="D25" s="37">
        <f>0.1349+0.1484</f>
        <v>0.2833</v>
      </c>
      <c r="E25" s="37">
        <f>0.1131+0.1721</f>
        <v>0.28520000000000001</v>
      </c>
      <c r="F25" s="37">
        <f>0.2973+0.1733</f>
        <v>0.47060000000000002</v>
      </c>
      <c r="G25" s="37">
        <f>0.1375+0.1586</f>
        <v>0.29610000000000003</v>
      </c>
      <c r="H25" s="37"/>
      <c r="I25" s="37"/>
      <c r="J25" s="37"/>
      <c r="K25" s="37"/>
      <c r="L25" s="37"/>
      <c r="M25" s="37"/>
    </row>
    <row r="27" spans="2:13">
      <c r="B27" s="16" t="s">
        <v>26</v>
      </c>
      <c r="C27" s="94" t="s">
        <v>188</v>
      </c>
    </row>
    <row r="28" spans="2:13">
      <c r="B28" s="25" t="s">
        <v>22</v>
      </c>
      <c r="C28" s="278">
        <f>BS!C4</f>
        <v>334915</v>
      </c>
      <c r="D28" s="295">
        <v>431184</v>
      </c>
      <c r="E28" s="295">
        <v>430651</v>
      </c>
      <c r="F28" s="295">
        <v>477328</v>
      </c>
      <c r="G28" s="295">
        <v>288808</v>
      </c>
      <c r="H28" s="295">
        <v>314353</v>
      </c>
      <c r="I28" s="295">
        <v>512837</v>
      </c>
      <c r="J28" s="295">
        <v>174705</v>
      </c>
      <c r="K28" s="295">
        <v>93183</v>
      </c>
      <c r="L28" s="295"/>
      <c r="M28" s="295"/>
    </row>
    <row r="29" spans="2:13">
      <c r="B29" s="25" t="s">
        <v>30</v>
      </c>
      <c r="C29" s="278">
        <f>BS!C6</f>
        <v>2050919</v>
      </c>
      <c r="D29" s="295">
        <v>2258059</v>
      </c>
      <c r="E29" s="295">
        <v>1994166</v>
      </c>
      <c r="F29" s="295">
        <v>1721807</v>
      </c>
      <c r="G29" s="295">
        <v>1284472</v>
      </c>
      <c r="H29" s="295">
        <v>686094</v>
      </c>
      <c r="I29" s="295">
        <v>660066</v>
      </c>
      <c r="J29" s="295">
        <v>394658</v>
      </c>
      <c r="K29" s="295">
        <v>293631</v>
      </c>
      <c r="L29" s="295"/>
      <c r="M29" s="295"/>
    </row>
    <row r="30" spans="2:13">
      <c r="B30" s="28" t="s">
        <v>38</v>
      </c>
      <c r="C30" s="279">
        <f>BS!C33+BS!C42</f>
        <v>6749408</v>
      </c>
      <c r="D30" s="297">
        <v>9860332</v>
      </c>
      <c r="E30" s="297">
        <v>10040830</v>
      </c>
      <c r="F30" s="297">
        <v>9078054</v>
      </c>
      <c r="G30" s="297">
        <v>9137313</v>
      </c>
      <c r="H30" s="297">
        <v>9974171</v>
      </c>
      <c r="I30" s="297">
        <v>6069951</v>
      </c>
      <c r="J30" s="297">
        <v>3428545</v>
      </c>
      <c r="K30" s="297">
        <v>2318007</v>
      </c>
      <c r="L30" s="297"/>
      <c r="M30" s="297"/>
    </row>
    <row r="31" spans="2:13">
      <c r="B31" s="28" t="s">
        <v>28</v>
      </c>
      <c r="C31" s="279">
        <f>BS!G27</f>
        <v>27153285</v>
      </c>
      <c r="D31" s="297">
        <v>26334346</v>
      </c>
      <c r="E31" s="297">
        <v>25474943</v>
      </c>
      <c r="F31" s="297">
        <v>22403370</v>
      </c>
      <c r="G31" s="297">
        <v>19185525</v>
      </c>
      <c r="H31" s="297">
        <v>13029578</v>
      </c>
      <c r="I31" s="297">
        <v>5787484</v>
      </c>
      <c r="J31" s="297">
        <v>3585013</v>
      </c>
      <c r="K31" s="297">
        <v>2376940</v>
      </c>
      <c r="L31" s="297"/>
      <c r="M31" s="297"/>
    </row>
    <row r="32" spans="2:13">
      <c r="B32" s="25" t="s">
        <v>143</v>
      </c>
      <c r="C32" s="278">
        <f>BS!G28</f>
        <v>1542743</v>
      </c>
      <c r="D32" s="295">
        <v>1389487</v>
      </c>
      <c r="E32" s="295">
        <v>1488944</v>
      </c>
      <c r="F32" s="295">
        <v>1482070</v>
      </c>
      <c r="G32" s="295">
        <v>1438416</v>
      </c>
      <c r="H32" s="295"/>
      <c r="I32" s="295"/>
      <c r="J32" s="295"/>
      <c r="K32" s="295"/>
      <c r="L32" s="295"/>
      <c r="M32" s="295"/>
    </row>
    <row r="34" spans="2:13" ht="13.9">
      <c r="B34" s="34" t="s">
        <v>78</v>
      </c>
      <c r="C34" s="35"/>
      <c r="D34" s="35"/>
      <c r="E34" s="35"/>
      <c r="F34" s="35"/>
      <c r="G34" s="35"/>
      <c r="H34" s="35"/>
      <c r="I34" s="35"/>
      <c r="J34" s="35"/>
      <c r="K34" s="35"/>
      <c r="L34" s="35"/>
      <c r="M34" s="35"/>
    </row>
    <row r="35" spans="2:13">
      <c r="B35" s="16" t="s">
        <v>25</v>
      </c>
    </row>
    <row r="36" spans="2:13">
      <c r="B36" s="31" t="s">
        <v>0</v>
      </c>
      <c r="C36" s="278">
        <f t="shared" ref="C36:M36" si="1">IF(C$4="","",C4)</f>
        <v>20748550</v>
      </c>
      <c r="D36" s="278">
        <f t="shared" si="1"/>
        <v>19532203</v>
      </c>
      <c r="E36" s="278">
        <f t="shared" si="1"/>
        <v>21310933</v>
      </c>
      <c r="F36" s="278">
        <f t="shared" si="1"/>
        <v>22776265</v>
      </c>
      <c r="G36" s="278">
        <f t="shared" si="1"/>
        <v>18592465</v>
      </c>
      <c r="H36" s="278">
        <f t="shared" si="1"/>
        <v>13721509</v>
      </c>
      <c r="I36" s="278">
        <f t="shared" si="1"/>
        <v>10391917</v>
      </c>
      <c r="J36" s="278">
        <f t="shared" si="1"/>
        <v>5887260</v>
      </c>
      <c r="K36" s="278">
        <f t="shared" si="1"/>
        <v>3724381</v>
      </c>
      <c r="L36" s="278" t="str">
        <f t="shared" si="1"/>
        <v/>
      </c>
      <c r="M36" s="278" t="str">
        <f t="shared" si="1"/>
        <v/>
      </c>
    </row>
    <row r="37" spans="2:13">
      <c r="B37" s="38" t="s">
        <v>40</v>
      </c>
      <c r="C37" s="278">
        <f t="shared" ref="C37:M37" si="2">IF(C$4="","",-C5)</f>
        <v>-6983747</v>
      </c>
      <c r="D37" s="278">
        <f t="shared" si="2"/>
        <v>-6868850</v>
      </c>
      <c r="E37" s="278">
        <f t="shared" si="2"/>
        <v>-7360333</v>
      </c>
      <c r="F37" s="278">
        <f t="shared" si="2"/>
        <v>-6768676</v>
      </c>
      <c r="G37" s="278">
        <f t="shared" si="2"/>
        <v>-5112187</v>
      </c>
      <c r="H37" s="278">
        <f t="shared" si="2"/>
        <v>-4111918</v>
      </c>
      <c r="I37" s="278">
        <f t="shared" si="2"/>
        <v>-3372827</v>
      </c>
      <c r="J37" s="278">
        <f t="shared" si="2"/>
        <v>-2096800</v>
      </c>
      <c r="K37" s="278">
        <f t="shared" si="2"/>
        <v>-1690421</v>
      </c>
      <c r="L37" s="278" t="str">
        <f t="shared" si="2"/>
        <v/>
      </c>
      <c r="M37" s="278" t="str">
        <f t="shared" si="2"/>
        <v/>
      </c>
    </row>
    <row r="38" spans="2:13">
      <c r="B38" s="30" t="s">
        <v>55</v>
      </c>
      <c r="C38" s="275">
        <f>IF(C36="","",C36+C37)</f>
        <v>13764803</v>
      </c>
      <c r="D38" s="275">
        <f t="shared" ref="D38" si="3">IF(D36="","",D36+D37)</f>
        <v>12663353</v>
      </c>
      <c r="E38" s="275">
        <f t="shared" ref="E38" si="4">IF(E36="","",E36+E37)</f>
        <v>13950600</v>
      </c>
      <c r="F38" s="275">
        <f t="shared" ref="F38" si="5">IF(F36="","",F36+F37)</f>
        <v>16007589</v>
      </c>
      <c r="G38" s="275">
        <f t="shared" ref="G38" si="6">IF(G36="","",G36+G37)</f>
        <v>13480278</v>
      </c>
      <c r="H38" s="275">
        <f t="shared" ref="H38" si="7">IF(H36="","",H36+H37)</f>
        <v>9609591</v>
      </c>
      <c r="I38" s="275">
        <f t="shared" ref="I38" si="8">IF(I36="","",I36+I37)</f>
        <v>7019090</v>
      </c>
      <c r="J38" s="275">
        <f t="shared" ref="J38" si="9">IF(J36="","",J36+J37)</f>
        <v>3790460</v>
      </c>
      <c r="K38" s="275">
        <f t="shared" ref="K38" si="10">IF(K36="","",K36+K37)</f>
        <v>2033960</v>
      </c>
      <c r="L38" s="275" t="str">
        <f t="shared" ref="L38" si="11">IF(L36="","",L36+L37)</f>
        <v/>
      </c>
      <c r="M38" s="275" t="str">
        <f t="shared" ref="M38" si="12">IF(M36="","",M36+M37)</f>
        <v/>
      </c>
    </row>
    <row r="39" spans="2:13">
      <c r="B39" s="38" t="s">
        <v>51</v>
      </c>
      <c r="C39" s="278">
        <f t="shared" ref="C39:M39" si="13">IF(C$4="","",-C6)</f>
        <v>-8862484</v>
      </c>
      <c r="D39" s="278">
        <f t="shared" si="13"/>
        <v>-8471116</v>
      </c>
      <c r="E39" s="278">
        <f t="shared" si="13"/>
        <v>-8080385</v>
      </c>
      <c r="F39" s="278">
        <f t="shared" si="13"/>
        <v>-7937287</v>
      </c>
      <c r="G39" s="278">
        <f t="shared" si="13"/>
        <v>-6424644</v>
      </c>
      <c r="H39" s="278">
        <f t="shared" si="13"/>
        <v>-4761211</v>
      </c>
      <c r="I39" s="278">
        <f t="shared" si="13"/>
        <v>-4241603</v>
      </c>
      <c r="J39" s="278">
        <f t="shared" si="13"/>
        <v>-2499647</v>
      </c>
      <c r="K39" s="278">
        <f t="shared" si="13"/>
        <v>-1600378</v>
      </c>
      <c r="L39" s="278" t="str">
        <f t="shared" si="13"/>
        <v/>
      </c>
      <c r="M39" s="278" t="str">
        <f t="shared" si="13"/>
        <v/>
      </c>
    </row>
    <row r="40" spans="2:13">
      <c r="B40" s="66" t="s">
        <v>58</v>
      </c>
      <c r="C40" s="290">
        <f t="shared" ref="C40:M40" si="14">IF(C$4="","",-C7)</f>
        <v>-7181223</v>
      </c>
      <c r="D40" s="290">
        <f t="shared" si="14"/>
        <v>-6709067</v>
      </c>
      <c r="E40" s="290">
        <f t="shared" si="14"/>
        <v>-6545373</v>
      </c>
      <c r="F40" s="290">
        <f t="shared" si="14"/>
        <v>-6729305</v>
      </c>
      <c r="G40" s="290">
        <f t="shared" si="14"/>
        <v>-5263430</v>
      </c>
      <c r="H40" s="290">
        <f t="shared" si="14"/>
        <v>-3847985</v>
      </c>
      <c r="I40" s="290">
        <f t="shared" si="14"/>
        <v>-3661314</v>
      </c>
      <c r="J40" s="290">
        <f t="shared" si="14"/>
        <v>-2139107</v>
      </c>
      <c r="K40" s="290">
        <f t="shared" si="14"/>
        <v>-1369520</v>
      </c>
      <c r="L40" s="290" t="str">
        <f t="shared" si="14"/>
        <v/>
      </c>
      <c r="M40" s="290" t="str">
        <f t="shared" si="14"/>
        <v/>
      </c>
    </row>
    <row r="41" spans="2:13">
      <c r="B41" s="66" t="s">
        <v>61</v>
      </c>
      <c r="C41" s="290">
        <f>IF(C$4="","",C39-C40)</f>
        <v>-1681261</v>
      </c>
      <c r="D41" s="290">
        <f t="shared" ref="D41:M41" si="15">IF(D$4="","",D39-D40)</f>
        <v>-1762049</v>
      </c>
      <c r="E41" s="290">
        <f t="shared" si="15"/>
        <v>-1535012</v>
      </c>
      <c r="F41" s="290">
        <f t="shared" si="15"/>
        <v>-1207982</v>
      </c>
      <c r="G41" s="290">
        <f t="shared" si="15"/>
        <v>-1161214</v>
      </c>
      <c r="H41" s="290">
        <f t="shared" si="15"/>
        <v>-913226</v>
      </c>
      <c r="I41" s="290">
        <f t="shared" si="15"/>
        <v>-580289</v>
      </c>
      <c r="J41" s="290">
        <f t="shared" si="15"/>
        <v>-360540</v>
      </c>
      <c r="K41" s="290">
        <f t="shared" si="15"/>
        <v>-230858</v>
      </c>
      <c r="L41" s="290" t="str">
        <f t="shared" si="15"/>
        <v/>
      </c>
      <c r="M41" s="290" t="str">
        <f t="shared" si="15"/>
        <v/>
      </c>
    </row>
    <row r="42" spans="2:13">
      <c r="B42" s="38" t="s">
        <v>46</v>
      </c>
      <c r="C42" s="278">
        <f t="shared" ref="C42:M42" si="16">IF(C$4="","",-C8)</f>
        <v>0</v>
      </c>
      <c r="D42" s="278">
        <f t="shared" si="16"/>
        <v>0</v>
      </c>
      <c r="E42" s="278">
        <f t="shared" si="16"/>
        <v>0</v>
      </c>
      <c r="F42" s="278">
        <f t="shared" si="16"/>
        <v>0</v>
      </c>
      <c r="G42" s="278">
        <f t="shared" si="16"/>
        <v>0</v>
      </c>
      <c r="H42" s="278">
        <f t="shared" si="16"/>
        <v>0</v>
      </c>
      <c r="I42" s="278">
        <f t="shared" si="16"/>
        <v>0</v>
      </c>
      <c r="J42" s="278">
        <f t="shared" si="16"/>
        <v>0</v>
      </c>
      <c r="K42" s="278">
        <f t="shared" si="16"/>
        <v>0</v>
      </c>
      <c r="L42" s="278" t="str">
        <f t="shared" si="16"/>
        <v/>
      </c>
      <c r="M42" s="278" t="str">
        <f t="shared" si="16"/>
        <v/>
      </c>
    </row>
    <row r="43" spans="2:13">
      <c r="B43" s="41" t="s">
        <v>127</v>
      </c>
      <c r="C43" s="279">
        <f>IF(C$4="","",C38+C39+C42)</f>
        <v>4902319</v>
      </c>
      <c r="D43" s="279">
        <f t="shared" ref="D43:M43" si="17">IF(D$4="","",D38+D39+D42)</f>
        <v>4192237</v>
      </c>
      <c r="E43" s="279">
        <f t="shared" si="17"/>
        <v>5870215</v>
      </c>
      <c r="F43" s="279">
        <f t="shared" si="17"/>
        <v>8070302</v>
      </c>
      <c r="G43" s="279">
        <f t="shared" si="17"/>
        <v>7055634</v>
      </c>
      <c r="H43" s="279">
        <f t="shared" si="17"/>
        <v>4848380</v>
      </c>
      <c r="I43" s="279">
        <f t="shared" si="17"/>
        <v>2777487</v>
      </c>
      <c r="J43" s="279">
        <f t="shared" si="17"/>
        <v>1290813</v>
      </c>
      <c r="K43" s="279">
        <f t="shared" si="17"/>
        <v>433582</v>
      </c>
      <c r="L43" s="279" t="str">
        <f t="shared" si="17"/>
        <v/>
      </c>
      <c r="M43" s="279" t="str">
        <f t="shared" si="17"/>
        <v/>
      </c>
    </row>
    <row r="44" spans="2:13">
      <c r="B44" s="41" t="s">
        <v>139</v>
      </c>
      <c r="C44" s="298">
        <f t="shared" ref="C44:M44" si="18">IF(C$4="","",C47-C46-C45-C43)</f>
        <v>381738</v>
      </c>
      <c r="D44" s="298">
        <f t="shared" si="18"/>
        <v>412766</v>
      </c>
      <c r="E44" s="298">
        <f t="shared" si="18"/>
        <v>826534</v>
      </c>
      <c r="F44" s="298">
        <f t="shared" si="18"/>
        <v>1631179</v>
      </c>
      <c r="G44" s="298">
        <f t="shared" si="18"/>
        <v>2895015</v>
      </c>
      <c r="H44" s="298">
        <f t="shared" si="18"/>
        <v>906989</v>
      </c>
      <c r="I44" s="298">
        <f t="shared" si="18"/>
        <v>469759</v>
      </c>
      <c r="J44" s="298">
        <f t="shared" si="18"/>
        <v>381657</v>
      </c>
      <c r="K44" s="298">
        <f t="shared" si="18"/>
        <v>188138</v>
      </c>
      <c r="L44" s="298" t="str">
        <f t="shared" si="18"/>
        <v/>
      </c>
      <c r="M44" s="298" t="str">
        <f t="shared" si="18"/>
        <v/>
      </c>
    </row>
    <row r="45" spans="2:13">
      <c r="B45" s="38" t="s">
        <v>65</v>
      </c>
      <c r="C45" s="293">
        <f t="shared" ref="C45:M45" si="19">IF(C$4="","",C51+C52)</f>
        <v>265669</v>
      </c>
      <c r="D45" s="293">
        <f t="shared" si="19"/>
        <v>245289</v>
      </c>
      <c r="E45" s="293">
        <f t="shared" si="19"/>
        <v>-33640</v>
      </c>
      <c r="F45" s="293">
        <f t="shared" si="19"/>
        <v>-29152</v>
      </c>
      <c r="G45" s="293">
        <f t="shared" si="19"/>
        <v>-50160</v>
      </c>
      <c r="H45" s="293">
        <f t="shared" si="19"/>
        <v>-72693</v>
      </c>
      <c r="I45" s="293">
        <f t="shared" si="19"/>
        <v>-58675</v>
      </c>
      <c r="J45" s="293">
        <f t="shared" si="19"/>
        <v>-21409</v>
      </c>
      <c r="K45" s="293">
        <f t="shared" si="19"/>
        <v>-26773</v>
      </c>
      <c r="L45" s="293" t="str">
        <f t="shared" si="19"/>
        <v/>
      </c>
      <c r="M45" s="293" t="str">
        <f t="shared" si="19"/>
        <v/>
      </c>
    </row>
    <row r="46" spans="2:13">
      <c r="B46" s="38" t="s">
        <v>47</v>
      </c>
      <c r="C46" s="278">
        <f>IF(C$4="","",-C14)</f>
        <v>-1895606</v>
      </c>
      <c r="D46" s="278">
        <f t="shared" ref="D46:M46" si="20">IF(D$4="","",-D14)</f>
        <v>-1559940</v>
      </c>
      <c r="E46" s="278">
        <f t="shared" si="20"/>
        <v>-1715003</v>
      </c>
      <c r="F46" s="278">
        <f t="shared" si="20"/>
        <v>-2757433</v>
      </c>
      <c r="G46" s="278">
        <f t="shared" si="20"/>
        <v>-2463857</v>
      </c>
      <c r="H46" s="278">
        <f t="shared" si="20"/>
        <v>-1748099</v>
      </c>
      <c r="I46" s="278">
        <f t="shared" si="20"/>
        <v>-946317</v>
      </c>
      <c r="J46" s="278">
        <f t="shared" si="20"/>
        <v>-490835</v>
      </c>
      <c r="K46" s="278">
        <f t="shared" si="20"/>
        <v>-188795</v>
      </c>
      <c r="L46" s="278" t="str">
        <f t="shared" si="20"/>
        <v/>
      </c>
      <c r="M46" s="278" t="str">
        <f t="shared" si="20"/>
        <v/>
      </c>
    </row>
    <row r="47" spans="2:13">
      <c r="B47" s="41" t="s">
        <v>39</v>
      </c>
      <c r="C47" s="279">
        <f t="shared" ref="C47:M47" si="21">IF(C$4="","",C15)</f>
        <v>3654120</v>
      </c>
      <c r="D47" s="279">
        <f t="shared" si="21"/>
        <v>3290352</v>
      </c>
      <c r="E47" s="279">
        <f t="shared" si="21"/>
        <v>4948106</v>
      </c>
      <c r="F47" s="279">
        <f t="shared" si="21"/>
        <v>6914896</v>
      </c>
      <c r="G47" s="279">
        <f t="shared" si="21"/>
        <v>7436632</v>
      </c>
      <c r="H47" s="279">
        <f t="shared" si="21"/>
        <v>3934577</v>
      </c>
      <c r="I47" s="279">
        <f t="shared" si="21"/>
        <v>2242254</v>
      </c>
      <c r="J47" s="279">
        <f t="shared" si="21"/>
        <v>1160226</v>
      </c>
      <c r="K47" s="279">
        <f t="shared" si="21"/>
        <v>406152</v>
      </c>
      <c r="L47" s="279" t="str">
        <f t="shared" si="21"/>
        <v/>
      </c>
      <c r="M47" s="279" t="str">
        <f t="shared" si="21"/>
        <v/>
      </c>
    </row>
    <row r="48" spans="2:13">
      <c r="B48" s="27" t="s">
        <v>41</v>
      </c>
      <c r="C48" s="278">
        <f t="shared" ref="C48:M48" si="22">IF(C$4="","",MIN(-C16,0))</f>
        <v>-83995</v>
      </c>
      <c r="D48" s="278">
        <f t="shared" si="22"/>
        <v>0</v>
      </c>
      <c r="E48" s="278">
        <f t="shared" si="22"/>
        <v>-6058</v>
      </c>
      <c r="F48" s="278">
        <f t="shared" si="22"/>
        <v>-43852</v>
      </c>
      <c r="G48" s="278">
        <f t="shared" si="22"/>
        <v>0</v>
      </c>
      <c r="H48" s="278">
        <f t="shared" si="22"/>
        <v>0</v>
      </c>
      <c r="I48" s="278">
        <f t="shared" si="22"/>
        <v>0</v>
      </c>
      <c r="J48" s="278">
        <f t="shared" si="22"/>
        <v>0</v>
      </c>
      <c r="K48" s="278">
        <f t="shared" si="22"/>
        <v>0</v>
      </c>
      <c r="L48" s="278" t="str">
        <f t="shared" si="22"/>
        <v/>
      </c>
      <c r="M48" s="278" t="str">
        <f t="shared" si="22"/>
        <v/>
      </c>
    </row>
    <row r="50" spans="2:13">
      <c r="B50" s="16" t="s">
        <v>65</v>
      </c>
    </row>
    <row r="51" spans="2:13">
      <c r="B51" s="38" t="s">
        <v>37</v>
      </c>
      <c r="C51" s="278">
        <f t="shared" ref="C51:M51" si="23">IF(C$4="","",-C12)</f>
        <v>-44646</v>
      </c>
      <c r="D51" s="278">
        <f t="shared" si="23"/>
        <v>-53132</v>
      </c>
      <c r="E51" s="278">
        <f t="shared" si="23"/>
        <v>-33640</v>
      </c>
      <c r="F51" s="278">
        <f t="shared" si="23"/>
        <v>-29152</v>
      </c>
      <c r="G51" s="278">
        <f t="shared" si="23"/>
        <v>-50160</v>
      </c>
      <c r="H51" s="278">
        <f t="shared" si="23"/>
        <v>-72693</v>
      </c>
      <c r="I51" s="278">
        <f t="shared" si="23"/>
        <v>-58675</v>
      </c>
      <c r="J51" s="278">
        <f t="shared" si="23"/>
        <v>-21409</v>
      </c>
      <c r="K51" s="278">
        <f t="shared" si="23"/>
        <v>-26773</v>
      </c>
      <c r="L51" s="278" t="str">
        <f t="shared" si="23"/>
        <v/>
      </c>
      <c r="M51" s="278" t="str">
        <f t="shared" si="23"/>
        <v/>
      </c>
    </row>
    <row r="52" spans="2:13">
      <c r="B52" s="38" t="s">
        <v>64</v>
      </c>
      <c r="C52" s="278">
        <f>IF(C$4="","",C13)</f>
        <v>310315</v>
      </c>
      <c r="D52" s="278">
        <f t="shared" ref="D52:M52" si="24">IF(D$4="","",D13)</f>
        <v>298421</v>
      </c>
      <c r="E52" s="278">
        <f t="shared" si="24"/>
        <v>0</v>
      </c>
      <c r="F52" s="278">
        <f t="shared" si="24"/>
        <v>0</v>
      </c>
      <c r="G52" s="278">
        <f t="shared" si="24"/>
        <v>0</v>
      </c>
      <c r="H52" s="278">
        <f t="shared" si="24"/>
        <v>0</v>
      </c>
      <c r="I52" s="278">
        <f t="shared" si="24"/>
        <v>0</v>
      </c>
      <c r="J52" s="278">
        <f t="shared" si="24"/>
        <v>0</v>
      </c>
      <c r="K52" s="278">
        <f t="shared" si="24"/>
        <v>0</v>
      </c>
      <c r="L52" s="278" t="str">
        <f t="shared" si="24"/>
        <v/>
      </c>
      <c r="M52" s="278" t="str">
        <f t="shared" si="24"/>
        <v/>
      </c>
    </row>
    <row r="54" spans="2:13">
      <c r="B54" s="157" t="s">
        <v>139</v>
      </c>
    </row>
    <row r="55" spans="2:13">
      <c r="B55" s="38" t="s">
        <v>134</v>
      </c>
      <c r="C55" s="293">
        <f t="shared" ref="C55:M55" si="25">IF(C$4="","",C9)</f>
        <v>-12182</v>
      </c>
      <c r="D55" s="293">
        <f t="shared" si="25"/>
        <v>-7408</v>
      </c>
      <c r="E55" s="293">
        <f t="shared" si="25"/>
        <v>-17253</v>
      </c>
      <c r="F55" s="293">
        <f t="shared" si="25"/>
        <v>-15586</v>
      </c>
      <c r="G55" s="293">
        <f t="shared" si="25"/>
        <v>-5571</v>
      </c>
      <c r="H55" s="293">
        <f t="shared" si="25"/>
        <v>0</v>
      </c>
      <c r="I55" s="293">
        <f t="shared" si="25"/>
        <v>0</v>
      </c>
      <c r="J55" s="293">
        <f t="shared" si="25"/>
        <v>0</v>
      </c>
      <c r="K55" s="293">
        <f t="shared" si="25"/>
        <v>0</v>
      </c>
      <c r="L55" s="293" t="str">
        <f t="shared" si="25"/>
        <v/>
      </c>
      <c r="M55" s="293" t="str">
        <f t="shared" si="25"/>
        <v/>
      </c>
    </row>
    <row r="56" spans="2:13">
      <c r="B56" s="38" t="s">
        <v>138</v>
      </c>
      <c r="C56" s="293">
        <f t="shared" ref="C56:M56" si="26">IF(C$4="","",C10)</f>
        <v>0</v>
      </c>
      <c r="D56" s="293">
        <f t="shared" si="26"/>
        <v>0</v>
      </c>
      <c r="E56" s="293">
        <f t="shared" si="26"/>
        <v>0</v>
      </c>
      <c r="F56" s="293">
        <f t="shared" si="26"/>
        <v>0</v>
      </c>
      <c r="G56" s="293">
        <f t="shared" si="26"/>
        <v>0</v>
      </c>
      <c r="H56" s="293">
        <f t="shared" si="26"/>
        <v>0</v>
      </c>
      <c r="I56" s="293">
        <f t="shared" si="26"/>
        <v>0</v>
      </c>
      <c r="J56" s="293">
        <f t="shared" si="26"/>
        <v>0</v>
      </c>
      <c r="K56" s="293">
        <f t="shared" si="26"/>
        <v>0</v>
      </c>
      <c r="L56" s="293" t="str">
        <f t="shared" si="26"/>
        <v/>
      </c>
      <c r="M56" s="293" t="str">
        <f t="shared" si="26"/>
        <v/>
      </c>
    </row>
    <row r="57" spans="2:13">
      <c r="B57" s="38" t="s">
        <v>133</v>
      </c>
      <c r="C57" s="293">
        <f t="shared" ref="C57:M57" si="27">IF(C$4="","",C11)</f>
        <v>0</v>
      </c>
      <c r="D57" s="293">
        <f t="shared" si="27"/>
        <v>0</v>
      </c>
      <c r="E57" s="293">
        <f t="shared" si="27"/>
        <v>0</v>
      </c>
      <c r="F57" s="293">
        <f t="shared" si="27"/>
        <v>0</v>
      </c>
      <c r="G57" s="293">
        <f t="shared" si="27"/>
        <v>0</v>
      </c>
      <c r="H57" s="293">
        <f t="shared" si="27"/>
        <v>0</v>
      </c>
      <c r="I57" s="293">
        <f t="shared" si="27"/>
        <v>0</v>
      </c>
      <c r="J57" s="293">
        <f t="shared" si="27"/>
        <v>0</v>
      </c>
      <c r="K57" s="293">
        <f t="shared" si="27"/>
        <v>0</v>
      </c>
      <c r="L57" s="293" t="str">
        <f t="shared" si="27"/>
        <v/>
      </c>
      <c r="M57" s="293" t="str">
        <f t="shared" si="27"/>
        <v/>
      </c>
    </row>
    <row r="58" spans="2:13">
      <c r="B58" s="38" t="s">
        <v>135</v>
      </c>
      <c r="C58" s="293">
        <f>IF(C$4="","",C44-C55-C56-C57)</f>
        <v>393920</v>
      </c>
      <c r="D58" s="293">
        <f t="shared" ref="D58:M58" si="28">IF(D$4="","",D44-D55-D56-D57)</f>
        <v>420174</v>
      </c>
      <c r="E58" s="293">
        <f t="shared" si="28"/>
        <v>843787</v>
      </c>
      <c r="F58" s="293">
        <f t="shared" si="28"/>
        <v>1646765</v>
      </c>
      <c r="G58" s="293">
        <f t="shared" si="28"/>
        <v>2900586</v>
      </c>
      <c r="H58" s="293">
        <f t="shared" si="28"/>
        <v>906989</v>
      </c>
      <c r="I58" s="293">
        <f t="shared" si="28"/>
        <v>469759</v>
      </c>
      <c r="J58" s="293">
        <f t="shared" si="28"/>
        <v>381657</v>
      </c>
      <c r="K58" s="293">
        <f t="shared" si="28"/>
        <v>188138</v>
      </c>
      <c r="L58" s="293" t="str">
        <f t="shared" si="28"/>
        <v/>
      </c>
      <c r="M58" s="293" t="str">
        <f t="shared" si="28"/>
        <v/>
      </c>
    </row>
    <row r="60" spans="2:13">
      <c r="B60" s="16" t="s">
        <v>48</v>
      </c>
      <c r="C60" s="9"/>
    </row>
    <row r="61" spans="2:13">
      <c r="B61" s="26" t="s">
        <v>44</v>
      </c>
      <c r="C61" s="278">
        <f>IF(C$4="","",-C19)</f>
        <v>0</v>
      </c>
      <c r="D61" s="278">
        <f t="shared" ref="D61:M61" si="29">IF(D$4="","",-D19)</f>
        <v>0</v>
      </c>
      <c r="E61" s="278">
        <f t="shared" si="29"/>
        <v>0</v>
      </c>
      <c r="F61" s="278">
        <f t="shared" si="29"/>
        <v>0</v>
      </c>
      <c r="G61" s="278">
        <f t="shared" si="29"/>
        <v>0</v>
      </c>
      <c r="H61" s="278">
        <f t="shared" si="29"/>
        <v>0</v>
      </c>
      <c r="I61" s="278">
        <f t="shared" si="29"/>
        <v>0</v>
      </c>
      <c r="J61" s="278">
        <f t="shared" si="29"/>
        <v>0</v>
      </c>
      <c r="K61" s="278">
        <f t="shared" si="29"/>
        <v>0</v>
      </c>
      <c r="L61" s="278" t="str">
        <f t="shared" si="29"/>
        <v/>
      </c>
      <c r="M61" s="278" t="str">
        <f t="shared" si="29"/>
        <v/>
      </c>
    </row>
    <row r="62" spans="2:13">
      <c r="B62" s="26" t="s">
        <v>50</v>
      </c>
      <c r="C62" s="278">
        <f>IF(C$4="","",IF(C20=0,C61,-C20))</f>
        <v>0</v>
      </c>
      <c r="D62" s="278">
        <f t="shared" ref="D62:M62" si="30">IF(D$4="","",IF(D20=0,D61,-D20))</f>
        <v>0</v>
      </c>
      <c r="E62" s="278">
        <f t="shared" si="30"/>
        <v>0</v>
      </c>
      <c r="F62" s="278">
        <f t="shared" si="30"/>
        <v>0</v>
      </c>
      <c r="G62" s="278">
        <f t="shared" si="30"/>
        <v>0</v>
      </c>
      <c r="H62" s="278">
        <f t="shared" si="30"/>
        <v>0</v>
      </c>
      <c r="I62" s="278">
        <f t="shared" si="30"/>
        <v>0</v>
      </c>
      <c r="J62" s="278">
        <f t="shared" si="30"/>
        <v>0</v>
      </c>
      <c r="K62" s="278">
        <f t="shared" si="30"/>
        <v>0</v>
      </c>
      <c r="L62" s="278" t="str">
        <f t="shared" si="30"/>
        <v/>
      </c>
      <c r="M62" s="278" t="str">
        <f t="shared" si="30"/>
        <v/>
      </c>
    </row>
    <row r="63" spans="2:13">
      <c r="B63" s="26" t="s">
        <v>49</v>
      </c>
      <c r="C63" s="278">
        <f>IF(C$4="","",-C21)</f>
        <v>0</v>
      </c>
      <c r="D63" s="278">
        <f t="shared" ref="D63:M63" si="31">IF(D$4="","",-D21)</f>
        <v>0</v>
      </c>
      <c r="E63" s="278">
        <f t="shared" si="31"/>
        <v>0</v>
      </c>
      <c r="F63" s="278">
        <f t="shared" si="31"/>
        <v>0</v>
      </c>
      <c r="G63" s="278">
        <f t="shared" si="31"/>
        <v>0</v>
      </c>
      <c r="H63" s="278">
        <f t="shared" si="31"/>
        <v>0</v>
      </c>
      <c r="I63" s="278">
        <f t="shared" si="31"/>
        <v>0</v>
      </c>
      <c r="J63" s="278">
        <f t="shared" si="31"/>
        <v>0</v>
      </c>
      <c r="K63" s="278">
        <f t="shared" si="31"/>
        <v>0</v>
      </c>
      <c r="L63" s="278" t="str">
        <f t="shared" si="31"/>
        <v/>
      </c>
      <c r="M63" s="278" t="str">
        <f t="shared" si="31"/>
        <v/>
      </c>
    </row>
    <row r="64" spans="2:13">
      <c r="B64" s="26" t="s">
        <v>308</v>
      </c>
      <c r="C64" s="278">
        <f>IF(C$4="","",C22+C23+C24)</f>
        <v>-169139</v>
      </c>
      <c r="D64" s="278">
        <f t="shared" ref="D64:M64" si="32">IF(D$4="","",D22+D23+D24)</f>
        <v>1826742</v>
      </c>
      <c r="E64" s="278">
        <f t="shared" si="32"/>
        <v>-499914</v>
      </c>
      <c r="F64" s="278">
        <f t="shared" si="32"/>
        <v>125268</v>
      </c>
      <c r="G64" s="278">
        <f t="shared" si="32"/>
        <v>1418645</v>
      </c>
      <c r="H64" s="278">
        <f t="shared" si="32"/>
        <v>3788660</v>
      </c>
      <c r="I64" s="278">
        <f t="shared" si="32"/>
        <v>-660285</v>
      </c>
      <c r="J64" s="278">
        <f t="shared" si="32"/>
        <v>747672</v>
      </c>
      <c r="K64" s="278">
        <f t="shared" si="32"/>
        <v>680982</v>
      </c>
      <c r="L64" s="278" t="str">
        <f t="shared" si="32"/>
        <v/>
      </c>
      <c r="M64" s="278" t="str">
        <f t="shared" si="32"/>
        <v/>
      </c>
    </row>
    <row r="65" spans="2:13">
      <c r="B65" s="23" t="s">
        <v>34</v>
      </c>
      <c r="C65" s="70">
        <f>IF(C$4="","",C25)</f>
        <v>0.32640000000000002</v>
      </c>
      <c r="D65" s="70">
        <f t="shared" ref="D65:M65" si="33">IF(D$4="","",D25)</f>
        <v>0.2833</v>
      </c>
      <c r="E65" s="70">
        <f t="shared" si="33"/>
        <v>0.28520000000000001</v>
      </c>
      <c r="F65" s="70">
        <f t="shared" si="33"/>
        <v>0.47060000000000002</v>
      </c>
      <c r="G65" s="70">
        <f t="shared" si="33"/>
        <v>0.29610000000000003</v>
      </c>
      <c r="H65" s="70">
        <f t="shared" si="33"/>
        <v>0</v>
      </c>
      <c r="I65" s="70">
        <f t="shared" si="33"/>
        <v>0</v>
      </c>
      <c r="J65" s="70">
        <f t="shared" si="33"/>
        <v>0</v>
      </c>
      <c r="K65" s="70">
        <f t="shared" si="33"/>
        <v>0</v>
      </c>
      <c r="L65" s="70" t="str">
        <f t="shared" si="33"/>
        <v/>
      </c>
      <c r="M65" s="70" t="str">
        <f t="shared" si="33"/>
        <v/>
      </c>
    </row>
    <row r="67" spans="2:13">
      <c r="B67" s="88" t="s">
        <v>81</v>
      </c>
    </row>
    <row r="68" spans="2:13">
      <c r="B68" s="1" t="str">
        <f>B36</f>
        <v>Sales</v>
      </c>
      <c r="C68" s="89">
        <f t="shared" ref="C68:M68" si="34">IF(D$36="","",C36/D36-1)</f>
        <v>6.2273927830875042E-2</v>
      </c>
      <c r="D68" s="89">
        <f t="shared" si="34"/>
        <v>-8.3465608943540825E-2</v>
      </c>
      <c r="E68" s="89">
        <f t="shared" si="34"/>
        <v>-6.4335921627185155E-2</v>
      </c>
      <c r="F68" s="89">
        <f t="shared" si="34"/>
        <v>0.22502664385814364</v>
      </c>
      <c r="G68" s="89">
        <f t="shared" si="34"/>
        <v>0.35498690413714695</v>
      </c>
      <c r="H68" s="89">
        <f t="shared" si="34"/>
        <v>0.32040209712991352</v>
      </c>
      <c r="I68" s="89">
        <f t="shared" si="34"/>
        <v>0.76515339903452539</v>
      </c>
      <c r="J68" s="89">
        <f t="shared" si="34"/>
        <v>0.58073516109119883</v>
      </c>
      <c r="K68" s="89" t="str">
        <f t="shared" si="34"/>
        <v/>
      </c>
      <c r="L68" s="89" t="str">
        <f t="shared" si="34"/>
        <v/>
      </c>
      <c r="M68" s="89" t="str">
        <f t="shared" si="34"/>
        <v/>
      </c>
    </row>
    <row r="69" spans="2:13">
      <c r="B69" s="30" t="s">
        <v>55</v>
      </c>
      <c r="C69" s="89">
        <f>IF(D$36="","",C38/D38-1)</f>
        <v>8.69793331987192E-2</v>
      </c>
      <c r="D69" s="89">
        <f t="shared" ref="D69:M69" si="35">IF(E$36="","",D38/E38-1)</f>
        <v>-9.2271801929666108E-2</v>
      </c>
      <c r="E69" s="89">
        <f t="shared" si="35"/>
        <v>-0.1285008629344494</v>
      </c>
      <c r="F69" s="89">
        <f t="shared" si="35"/>
        <v>0.18748211275761517</v>
      </c>
      <c r="G69" s="89">
        <f t="shared" si="35"/>
        <v>0.40279414597353824</v>
      </c>
      <c r="H69" s="89">
        <f t="shared" si="35"/>
        <v>0.36906507823663759</v>
      </c>
      <c r="I69" s="89">
        <f t="shared" si="35"/>
        <v>0.85177788447840097</v>
      </c>
      <c r="J69" s="89">
        <f t="shared" si="35"/>
        <v>0.86358630454876195</v>
      </c>
      <c r="K69" s="89" t="str">
        <f t="shared" si="35"/>
        <v/>
      </c>
      <c r="L69" s="89" t="str">
        <f t="shared" si="35"/>
        <v/>
      </c>
      <c r="M69" s="89" t="str">
        <f t="shared" si="35"/>
        <v/>
      </c>
    </row>
    <row r="70" spans="2:13">
      <c r="B70" s="77" t="str">
        <f>B43</f>
        <v>Operating EBIT</v>
      </c>
      <c r="C70" s="98">
        <f>IF(D$36="","",C43/D43-1)</f>
        <v>0.16938021395259861</v>
      </c>
      <c r="D70" s="98">
        <f t="shared" ref="D70:M70" si="36">IF(E$36="","",D43/E43-1)</f>
        <v>-0.28584608911257936</v>
      </c>
      <c r="E70" s="98">
        <f t="shared" si="36"/>
        <v>-0.27261520076943835</v>
      </c>
      <c r="F70" s="98">
        <f t="shared" si="36"/>
        <v>0.14380961370728707</v>
      </c>
      <c r="G70" s="98">
        <f t="shared" si="36"/>
        <v>0.45525598241061971</v>
      </c>
      <c r="H70" s="98">
        <f t="shared" si="36"/>
        <v>0.74559952935873319</v>
      </c>
      <c r="I70" s="98">
        <f t="shared" si="36"/>
        <v>1.1517346044702061</v>
      </c>
      <c r="J70" s="98">
        <f t="shared" si="36"/>
        <v>1.9770908386418253</v>
      </c>
      <c r="K70" s="98" t="str">
        <f t="shared" si="36"/>
        <v/>
      </c>
      <c r="L70" s="98" t="str">
        <f t="shared" si="36"/>
        <v/>
      </c>
      <c r="M70" s="98" t="str">
        <f t="shared" si="36"/>
        <v/>
      </c>
    </row>
    <row r="71" spans="2:13">
      <c r="B71" s="41" t="s">
        <v>139</v>
      </c>
      <c r="C71" s="98">
        <f>IF(D$36="","",C44/D44-1)</f>
        <v>-7.5170920085472104E-2</v>
      </c>
      <c r="D71" s="98">
        <f t="shared" ref="D71:M71" si="37">IF(E$36="","",D44/E44-1)</f>
        <v>-0.50060614566369921</v>
      </c>
      <c r="E71" s="98">
        <f t="shared" si="37"/>
        <v>-0.49329043593621547</v>
      </c>
      <c r="F71" s="98">
        <f t="shared" si="37"/>
        <v>-0.43655594185176938</v>
      </c>
      <c r="G71" s="98">
        <f t="shared" si="37"/>
        <v>2.1918964838603334</v>
      </c>
      <c r="H71" s="98">
        <f t="shared" si="37"/>
        <v>0.93075385463610072</v>
      </c>
      <c r="I71" s="98">
        <f t="shared" si="37"/>
        <v>0.23084078112022044</v>
      </c>
      <c r="J71" s="98">
        <f t="shared" si="37"/>
        <v>1.0286013458206211</v>
      </c>
      <c r="K71" s="98" t="str">
        <f t="shared" si="37"/>
        <v/>
      </c>
      <c r="L71" s="98" t="str">
        <f t="shared" si="37"/>
        <v/>
      </c>
      <c r="M71" s="98" t="str">
        <f t="shared" si="37"/>
        <v/>
      </c>
    </row>
    <row r="72" spans="2:13">
      <c r="B72" s="77" t="str">
        <f>B47</f>
        <v>Reported Net Income</v>
      </c>
      <c r="C72" s="98">
        <f>IF(D$36="","",C47/D47-1)</f>
        <v>0.1105559526761879</v>
      </c>
      <c r="D72" s="98">
        <f t="shared" ref="D72:M72" si="38">IF(E$36="","",D47/E47-1)</f>
        <v>-0.33502798848690796</v>
      </c>
      <c r="E72" s="98">
        <f t="shared" si="38"/>
        <v>-0.28442799428942966</v>
      </c>
      <c r="F72" s="98">
        <f t="shared" si="38"/>
        <v>-7.0157565951898704E-2</v>
      </c>
      <c r="G72" s="98">
        <f t="shared" si="38"/>
        <v>0.89007153755028812</v>
      </c>
      <c r="H72" s="98">
        <f t="shared" si="38"/>
        <v>0.75474188026869382</v>
      </c>
      <c r="I72" s="98">
        <f t="shared" si="38"/>
        <v>0.93260106220684591</v>
      </c>
      <c r="J72" s="98">
        <f t="shared" si="38"/>
        <v>1.8566300301365004</v>
      </c>
      <c r="K72" s="98" t="str">
        <f t="shared" si="38"/>
        <v/>
      </c>
      <c r="L72" s="98" t="str">
        <f t="shared" si="38"/>
        <v/>
      </c>
      <c r="M72" s="98" t="str">
        <f t="shared" si="38"/>
        <v/>
      </c>
    </row>
    <row r="74" spans="2:13" ht="13.9">
      <c r="B74" s="34" t="s">
        <v>79</v>
      </c>
      <c r="C74" s="35"/>
      <c r="D74" s="35"/>
      <c r="E74" s="35"/>
      <c r="F74" s="35"/>
      <c r="G74" s="35"/>
      <c r="H74" s="35"/>
      <c r="I74" s="35"/>
      <c r="J74" s="35"/>
      <c r="K74" s="35"/>
      <c r="L74" s="35"/>
      <c r="M74" s="35"/>
    </row>
    <row r="75" spans="2:13">
      <c r="B75" s="16" t="s">
        <v>26</v>
      </c>
      <c r="C75" s="9"/>
    </row>
    <row r="76" spans="2:13">
      <c r="B76" s="25" t="s">
        <v>1</v>
      </c>
      <c r="C76" s="73">
        <f>IF(C$4="","",C79+C80)</f>
        <v>33902693</v>
      </c>
      <c r="D76" s="293">
        <f t="shared" ref="D76:M76" si="39">IF(D$4="","",D79+D80)</f>
        <v>36194678</v>
      </c>
      <c r="E76" s="293">
        <f t="shared" si="39"/>
        <v>35515773</v>
      </c>
      <c r="F76" s="293">
        <f t="shared" si="39"/>
        <v>31481424</v>
      </c>
      <c r="G76" s="293">
        <f t="shared" si="39"/>
        <v>28322838</v>
      </c>
      <c r="H76" s="293">
        <f t="shared" si="39"/>
        <v>23003749</v>
      </c>
      <c r="I76" s="293">
        <f t="shared" si="39"/>
        <v>11857435</v>
      </c>
      <c r="J76" s="293">
        <f t="shared" si="39"/>
        <v>7013558</v>
      </c>
      <c r="K76" s="293">
        <f t="shared" si="39"/>
        <v>4694947</v>
      </c>
      <c r="L76" s="293" t="str">
        <f t="shared" si="39"/>
        <v/>
      </c>
      <c r="M76" s="293" t="str">
        <f t="shared" si="39"/>
        <v/>
      </c>
    </row>
    <row r="77" spans="2:13">
      <c r="B77" s="90" t="s">
        <v>82</v>
      </c>
      <c r="C77" s="267">
        <f t="shared" ref="C77:H78" si="40">IF(C$4="","",C28)</f>
        <v>334915</v>
      </c>
      <c r="D77" s="290">
        <f t="shared" si="40"/>
        <v>431184</v>
      </c>
      <c r="E77" s="290">
        <f t="shared" si="40"/>
        <v>430651</v>
      </c>
      <c r="F77" s="290">
        <f t="shared" si="40"/>
        <v>477328</v>
      </c>
      <c r="G77" s="290">
        <f t="shared" si="40"/>
        <v>288808</v>
      </c>
      <c r="H77" s="290">
        <f t="shared" si="40"/>
        <v>314353</v>
      </c>
      <c r="I77" s="299"/>
      <c r="J77" s="299"/>
      <c r="K77" s="299"/>
      <c r="L77" s="299"/>
      <c r="M77" s="299"/>
    </row>
    <row r="78" spans="2:13">
      <c r="B78" s="90" t="s">
        <v>83</v>
      </c>
      <c r="C78" s="267">
        <f t="shared" si="40"/>
        <v>2050919</v>
      </c>
      <c r="D78" s="290">
        <f t="shared" si="40"/>
        <v>2258059</v>
      </c>
      <c r="E78" s="290">
        <f t="shared" si="40"/>
        <v>1994166</v>
      </c>
      <c r="F78" s="290">
        <f t="shared" si="40"/>
        <v>1721807</v>
      </c>
      <c r="G78" s="290">
        <f t="shared" si="40"/>
        <v>1284472</v>
      </c>
      <c r="H78" s="290">
        <f t="shared" si="40"/>
        <v>686094</v>
      </c>
      <c r="I78" s="299"/>
      <c r="J78" s="299"/>
      <c r="K78" s="299"/>
      <c r="L78" s="299"/>
      <c r="M78" s="299"/>
    </row>
    <row r="79" spans="2:13">
      <c r="B79" s="25" t="s">
        <v>38</v>
      </c>
      <c r="C79" s="266">
        <f t="shared" ref="C79:M79" si="41">IF(C$4="","",C30)</f>
        <v>6749408</v>
      </c>
      <c r="D79" s="278">
        <f t="shared" si="41"/>
        <v>9860332</v>
      </c>
      <c r="E79" s="278">
        <f t="shared" si="41"/>
        <v>10040830</v>
      </c>
      <c r="F79" s="278">
        <f t="shared" si="41"/>
        <v>9078054</v>
      </c>
      <c r="G79" s="278">
        <f t="shared" si="41"/>
        <v>9137313</v>
      </c>
      <c r="H79" s="278">
        <f t="shared" si="41"/>
        <v>9974171</v>
      </c>
      <c r="I79" s="278">
        <f t="shared" si="41"/>
        <v>6069951</v>
      </c>
      <c r="J79" s="278">
        <f t="shared" si="41"/>
        <v>3428545</v>
      </c>
      <c r="K79" s="278">
        <f t="shared" si="41"/>
        <v>2318007</v>
      </c>
      <c r="L79" s="278" t="str">
        <f t="shared" si="41"/>
        <v/>
      </c>
      <c r="M79" s="278" t="str">
        <f t="shared" si="41"/>
        <v/>
      </c>
    </row>
    <row r="80" spans="2:13">
      <c r="B80" s="25" t="s">
        <v>28</v>
      </c>
      <c r="C80" s="266">
        <f t="shared" ref="C80:M80" si="42">IF(C$4="","",C31)</f>
        <v>27153285</v>
      </c>
      <c r="D80" s="278">
        <f t="shared" si="42"/>
        <v>26334346</v>
      </c>
      <c r="E80" s="278">
        <f t="shared" si="42"/>
        <v>25474943</v>
      </c>
      <c r="F80" s="278">
        <f t="shared" si="42"/>
        <v>22403370</v>
      </c>
      <c r="G80" s="278">
        <f t="shared" si="42"/>
        <v>19185525</v>
      </c>
      <c r="H80" s="278">
        <f t="shared" si="42"/>
        <v>13029578</v>
      </c>
      <c r="I80" s="278">
        <f t="shared" si="42"/>
        <v>5787484</v>
      </c>
      <c r="J80" s="278">
        <f t="shared" si="42"/>
        <v>3585013</v>
      </c>
      <c r="K80" s="278">
        <f t="shared" si="42"/>
        <v>2376940</v>
      </c>
      <c r="L80" s="278" t="str">
        <f t="shared" si="42"/>
        <v/>
      </c>
      <c r="M80" s="278" t="str">
        <f t="shared" si="42"/>
        <v/>
      </c>
    </row>
  </sheetData>
  <phoneticPr fontId="2" type="noConversion"/>
  <conditionalFormatting sqref="C4:M16 C19:M25 C39:M43 C45:M48 C51:M52 C55:M58 C77:H78 C79:M80">
    <cfRule type="expression" dxfId="6" priority="4">
      <formula>ISBLANK(C4)</formula>
    </cfRule>
  </conditionalFormatting>
  <conditionalFormatting sqref="C28:M32">
    <cfRule type="expression" dxfId="5" priority="1">
      <formula>ISBLANK(C28)</formula>
    </cfRule>
  </conditionalFormatting>
  <conditionalFormatting sqref="C36:M37 C61:M65">
    <cfRule type="expression" dxfId="4" priority="2">
      <formula>ISBLANK(C36)</formula>
    </cfRule>
  </conditionalFormatting>
  <dataValidations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opLeftCell="A55" zoomScaleNormal="100" workbookViewId="0">
      <selection activeCell="D75" sqref="D75"/>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7" t="s">
        <v>35</v>
      </c>
      <c r="C1" s="96">
        <v>45838</v>
      </c>
      <c r="F1" s="83" t="str">
        <f>IF(MONTH(C1)=MONTH(Normalized_FCF!G1),"FY","Quarter")&amp;" Report"</f>
        <v>Quarter Report</v>
      </c>
      <c r="H1" s="104">
        <f>scaling_factor</f>
        <v>1000</v>
      </c>
    </row>
    <row r="2" spans="2:8" ht="15" customHeight="1">
      <c r="B2" s="76" t="s">
        <v>131</v>
      </c>
      <c r="C2" s="35"/>
      <c r="D2" s="35"/>
      <c r="E2" s="35"/>
      <c r="F2" s="35"/>
      <c r="G2" s="35"/>
      <c r="H2" s="35"/>
    </row>
    <row r="3" spans="2:8" ht="15" customHeight="1">
      <c r="B3" s="16" t="s">
        <v>154</v>
      </c>
      <c r="C3" s="165" t="s">
        <v>113</v>
      </c>
      <c r="D3" s="166" t="s">
        <v>33</v>
      </c>
      <c r="F3" s="16" t="s">
        <v>155</v>
      </c>
      <c r="G3" s="165" t="s">
        <v>113</v>
      </c>
      <c r="H3" s="166" t="s">
        <v>33</v>
      </c>
    </row>
    <row r="4" spans="2:8" ht="15" customHeight="1">
      <c r="B4" s="4" t="s">
        <v>22</v>
      </c>
      <c r="C4" s="18">
        <v>334915</v>
      </c>
      <c r="D4" s="235">
        <v>0.6</v>
      </c>
      <c r="E4" s="24"/>
      <c r="F4" s="4" t="s">
        <v>74</v>
      </c>
      <c r="G4" s="18">
        <f>6476567+10386931</f>
        <v>16863498</v>
      </c>
      <c r="H4" s="235">
        <v>0.9</v>
      </c>
    </row>
    <row r="5" spans="2:8" ht="15" customHeight="1">
      <c r="B5" s="1" t="s">
        <v>31</v>
      </c>
      <c r="C5" s="18">
        <v>0</v>
      </c>
      <c r="D5" s="235">
        <v>0.6</v>
      </c>
      <c r="E5" s="24"/>
      <c r="F5" s="1" t="s">
        <v>27</v>
      </c>
      <c r="G5" s="18">
        <v>34347</v>
      </c>
      <c r="H5" s="235">
        <v>0.7</v>
      </c>
    </row>
    <row r="6" spans="2:8" ht="15" customHeight="1">
      <c r="B6" s="4" t="s">
        <v>8</v>
      </c>
      <c r="C6" s="18">
        <v>2050919</v>
      </c>
      <c r="D6" s="235">
        <v>0.5</v>
      </c>
      <c r="E6" s="24"/>
      <c r="F6" s="4" t="s">
        <v>147</v>
      </c>
      <c r="G6" s="18">
        <v>0</v>
      </c>
      <c r="H6" s="235">
        <v>0.6</v>
      </c>
    </row>
    <row r="7" spans="2:8" ht="15" customHeight="1">
      <c r="B7" s="1" t="s">
        <v>66</v>
      </c>
      <c r="C7" s="18">
        <v>0</v>
      </c>
      <c r="D7" s="235">
        <v>0.6</v>
      </c>
      <c r="E7" s="24"/>
      <c r="F7" s="4" t="s">
        <v>148</v>
      </c>
      <c r="G7" s="18">
        <v>0</v>
      </c>
      <c r="H7" s="235">
        <v>0.6</v>
      </c>
    </row>
    <row r="8" spans="2:8" ht="15" customHeight="1">
      <c r="B8" s="1" t="s">
        <v>144</v>
      </c>
      <c r="C8" s="18">
        <v>0</v>
      </c>
      <c r="D8" s="235">
        <v>0.6</v>
      </c>
      <c r="E8" s="24"/>
      <c r="F8" s="1" t="s">
        <v>149</v>
      </c>
      <c r="G8" s="18">
        <v>0</v>
      </c>
      <c r="H8" s="235">
        <v>0.6</v>
      </c>
    </row>
    <row r="9" spans="2:8" ht="15" customHeight="1">
      <c r="B9" s="4" t="s">
        <v>23</v>
      </c>
      <c r="C9" s="18">
        <v>1147862</v>
      </c>
      <c r="D9" s="235">
        <v>0.1</v>
      </c>
      <c r="E9" s="24"/>
      <c r="F9" s="4" t="s">
        <v>150</v>
      </c>
      <c r="G9" s="18">
        <v>0</v>
      </c>
      <c r="H9" s="235">
        <v>0.6</v>
      </c>
    </row>
    <row r="10" spans="2:8" ht="15" customHeight="1">
      <c r="B10" s="4" t="s">
        <v>9</v>
      </c>
      <c r="C10" s="18">
        <v>0</v>
      </c>
      <c r="D10" s="235">
        <v>0.9</v>
      </c>
      <c r="F10" s="1" t="s">
        <v>410</v>
      </c>
      <c r="G10" s="18">
        <v>0</v>
      </c>
      <c r="H10" s="235">
        <v>0.6</v>
      </c>
    </row>
    <row r="11" spans="2:8" ht="15" customHeight="1">
      <c r="B11" s="4" t="s">
        <v>10</v>
      </c>
      <c r="C11" s="18">
        <v>0</v>
      </c>
      <c r="D11" s="235">
        <v>0.05</v>
      </c>
      <c r="H11" s="236"/>
    </row>
    <row r="12" spans="2:8" ht="15" customHeight="1">
      <c r="B12" s="77" t="s">
        <v>69</v>
      </c>
      <c r="C12" s="78">
        <f>SUM(C4:C11)</f>
        <v>3533696</v>
      </c>
      <c r="D12" s="19">
        <f>C4*D4+C5*D5+C9*D9+C6*D6+C8*D8+C7*D7+C10*D10+C11*D11</f>
        <v>1341194.7</v>
      </c>
      <c r="F12" s="77" t="s">
        <v>67</v>
      </c>
      <c r="G12" s="78">
        <f>SUM(G4:G10)</f>
        <v>16897845</v>
      </c>
      <c r="H12" s="19">
        <f>G4*H4+G5*H5+G6*H6+G7*H7+G8*H8+G9*H9+G10*H10</f>
        <v>15201191.100000001</v>
      </c>
    </row>
    <row r="13" spans="2:8" ht="15" customHeight="1">
      <c r="F13" s="77"/>
      <c r="G13" s="78"/>
      <c r="H13" s="19"/>
    </row>
    <row r="14" spans="2:8" ht="15" customHeight="1">
      <c r="B14" s="16" t="s">
        <v>153</v>
      </c>
      <c r="C14" s="165" t="s">
        <v>113</v>
      </c>
      <c r="D14" s="166" t="s">
        <v>33</v>
      </c>
      <c r="F14" s="16" t="s">
        <v>156</v>
      </c>
      <c r="G14" s="165" t="s">
        <v>113</v>
      </c>
      <c r="H14" s="166" t="s">
        <v>33</v>
      </c>
    </row>
    <row r="15" spans="2:8" ht="15" customHeight="1">
      <c r="B15" s="4" t="s">
        <v>332</v>
      </c>
      <c r="C15" s="18">
        <v>80107</v>
      </c>
      <c r="D15" s="235">
        <v>0.4</v>
      </c>
      <c r="F15" s="4" t="s">
        <v>75</v>
      </c>
      <c r="G15" s="18">
        <v>710000</v>
      </c>
      <c r="H15" s="235">
        <v>0.8</v>
      </c>
    </row>
    <row r="16" spans="2:8" ht="15" customHeight="1">
      <c r="B16" s="1" t="s">
        <v>32</v>
      </c>
      <c r="C16" s="18">
        <v>0</v>
      </c>
      <c r="D16" s="235">
        <v>0.5</v>
      </c>
      <c r="F16" s="4" t="s">
        <v>147</v>
      </c>
      <c r="G16" s="18">
        <v>0</v>
      </c>
      <c r="H16" s="235">
        <v>0.6</v>
      </c>
    </row>
    <row r="17" spans="2:8" ht="15" customHeight="1">
      <c r="B17" s="1" t="s">
        <v>66</v>
      </c>
      <c r="C17" s="18">
        <v>0</v>
      </c>
      <c r="D17" s="235">
        <v>0.6</v>
      </c>
      <c r="F17" s="4" t="s">
        <v>148</v>
      </c>
      <c r="G17" s="18">
        <v>1800</v>
      </c>
      <c r="H17" s="235">
        <v>0.6</v>
      </c>
    </row>
    <row r="18" spans="2:8" ht="15" customHeight="1">
      <c r="B18" s="4" t="s">
        <v>144</v>
      </c>
      <c r="C18" s="18">
        <v>0</v>
      </c>
      <c r="D18" s="235">
        <v>0.6</v>
      </c>
      <c r="F18" s="4" t="s">
        <v>151</v>
      </c>
      <c r="G18" s="18">
        <v>112883</v>
      </c>
      <c r="H18" s="235">
        <v>0.1</v>
      </c>
    </row>
    <row r="19" spans="2:8" ht="15" customHeight="1">
      <c r="B19" s="4" t="s">
        <v>24</v>
      </c>
      <c r="C19" s="18">
        <f>9430196+359674</f>
        <v>9789870</v>
      </c>
      <c r="D19" s="235">
        <v>0.1</v>
      </c>
      <c r="F19" s="4" t="s">
        <v>152</v>
      </c>
      <c r="G19" s="18">
        <v>0</v>
      </c>
      <c r="H19" s="235">
        <v>0.1</v>
      </c>
    </row>
    <row r="20" spans="2:8" ht="15" customHeight="1">
      <c r="B20" s="4" t="s">
        <v>16</v>
      </c>
      <c r="C20" s="18">
        <v>2236840</v>
      </c>
      <c r="D20" s="235">
        <v>0.05</v>
      </c>
      <c r="F20" s="4" t="s">
        <v>149</v>
      </c>
      <c r="G20" s="18">
        <v>0</v>
      </c>
      <c r="H20" s="235">
        <v>0.2</v>
      </c>
    </row>
    <row r="21" spans="2:8" ht="15" customHeight="1">
      <c r="B21" s="4" t="s">
        <v>17</v>
      </c>
      <c r="C21" s="18">
        <v>13071</v>
      </c>
      <c r="D21" s="235">
        <v>0.05</v>
      </c>
      <c r="F21" s="1" t="s">
        <v>150</v>
      </c>
      <c r="G21" s="18">
        <v>32030</v>
      </c>
      <c r="H21" s="235">
        <v>0.1</v>
      </c>
    </row>
    <row r="22" spans="2:8" ht="15" customHeight="1">
      <c r="B22" s="4" t="s">
        <v>18</v>
      </c>
      <c r="C22" s="18">
        <v>382149</v>
      </c>
      <c r="D22" s="235">
        <v>0.9</v>
      </c>
      <c r="H22" s="236"/>
    </row>
    <row r="23" spans="2:8" ht="15" customHeight="1">
      <c r="B23" s="4" t="s">
        <v>19</v>
      </c>
      <c r="C23" s="18">
        <f>112402</f>
        <v>112402</v>
      </c>
      <c r="D23" s="235">
        <v>0</v>
      </c>
      <c r="H23" s="236"/>
    </row>
    <row r="24" spans="2:8" ht="15" customHeight="1">
      <c r="B24" s="77" t="s">
        <v>70</v>
      </c>
      <c r="C24" s="78">
        <f>SUM(C15:C23)</f>
        <v>12614439</v>
      </c>
      <c r="D24" s="19">
        <f>C15*D15+C16*D16+C18*D18+C17*D17+C19*D19+C20*D20+C21*D21+C22*D22+C23*D23</f>
        <v>1467459.4500000002</v>
      </c>
      <c r="F24" s="77" t="s">
        <v>68</v>
      </c>
      <c r="G24" s="78">
        <f>SUM(G15:G21)</f>
        <v>856713</v>
      </c>
      <c r="H24" s="19">
        <f>G15*H15+G16*H16+G17*H17+G18*H18+G19*H19+G20*H20+G21*H21</f>
        <v>583571.30000000005</v>
      </c>
    </row>
    <row r="26" spans="2:8" ht="15" customHeight="1">
      <c r="B26" s="16" t="s">
        <v>169</v>
      </c>
      <c r="C26" s="165" t="s">
        <v>113</v>
      </c>
      <c r="F26" s="167" t="s">
        <v>165</v>
      </c>
      <c r="G26" s="168" t="s">
        <v>113</v>
      </c>
      <c r="H26" s="169" t="s">
        <v>33</v>
      </c>
    </row>
    <row r="27" spans="2:8" ht="15" customHeight="1">
      <c r="B27" s="4" t="s">
        <v>3</v>
      </c>
      <c r="C27" s="18">
        <v>316384</v>
      </c>
      <c r="F27" s="170" t="s">
        <v>28</v>
      </c>
      <c r="G27" s="82">
        <f>G32-G30</f>
        <v>27153285</v>
      </c>
      <c r="H27" s="171">
        <f>H32-G30</f>
        <v>11844008.550000004</v>
      </c>
    </row>
    <row r="28" spans="2:8" ht="15" customHeight="1">
      <c r="B28" s="4" t="s">
        <v>4</v>
      </c>
      <c r="C28" s="18">
        <v>25471</v>
      </c>
      <c r="F28" s="172" t="s">
        <v>209</v>
      </c>
      <c r="G28" s="295">
        <v>1542743</v>
      </c>
      <c r="H28" s="171"/>
    </row>
    <row r="29" spans="2:8" ht="15" customHeight="1">
      <c r="B29" s="4" t="s">
        <v>5</v>
      </c>
      <c r="C29" s="18">
        <v>0</v>
      </c>
      <c r="F29" s="173" t="s">
        <v>72</v>
      </c>
      <c r="G29" s="14">
        <f>G27-G28</f>
        <v>25610542</v>
      </c>
      <c r="H29" s="171">
        <f>H27-G28</f>
        <v>10301265.550000004</v>
      </c>
    </row>
    <row r="30" spans="2:8" ht="15" customHeight="1">
      <c r="B30" s="2" t="s">
        <v>6</v>
      </c>
      <c r="C30" s="18">
        <v>0</v>
      </c>
      <c r="F30" s="170" t="s">
        <v>21</v>
      </c>
      <c r="G30" s="82">
        <f>C33+C42</f>
        <v>6749408</v>
      </c>
      <c r="H30" s="171"/>
    </row>
    <row r="31" spans="2:8" ht="15" customHeight="1">
      <c r="B31" s="77" t="s">
        <v>172</v>
      </c>
      <c r="C31" s="78">
        <f>SUM(C27:C30)</f>
        <v>341855</v>
      </c>
      <c r="F31" s="173" t="s">
        <v>73</v>
      </c>
      <c r="G31" s="174">
        <f>C31+C40</f>
        <v>845013</v>
      </c>
      <c r="H31" s="171"/>
    </row>
    <row r="32" spans="2:8" ht="15" customHeight="1">
      <c r="B32" s="4" t="s">
        <v>7</v>
      </c>
      <c r="C32" s="20">
        <f>C33-C31</f>
        <v>4969894</v>
      </c>
      <c r="F32" s="175" t="s">
        <v>71</v>
      </c>
      <c r="G32" s="176">
        <f>G35+G40</f>
        <v>33902693</v>
      </c>
      <c r="H32" s="171">
        <f>H35+H40</f>
        <v>18593416.550000004</v>
      </c>
    </row>
    <row r="33" spans="2:8" ht="15" customHeight="1">
      <c r="B33" s="80" t="s">
        <v>2</v>
      </c>
      <c r="C33" s="81">
        <v>5311749</v>
      </c>
      <c r="F33" s="177"/>
      <c r="G33" s="2"/>
      <c r="H33" s="178"/>
    </row>
    <row r="34" spans="2:8" ht="15" customHeight="1">
      <c r="B34" s="80"/>
      <c r="C34" s="81"/>
      <c r="F34" s="179" t="s">
        <v>171</v>
      </c>
      <c r="G34" s="180" t="s">
        <v>113</v>
      </c>
      <c r="H34" s="181" t="s">
        <v>33</v>
      </c>
    </row>
    <row r="35" spans="2:8" ht="15" customHeight="1">
      <c r="B35" s="16" t="s">
        <v>170</v>
      </c>
      <c r="C35" s="165" t="s">
        <v>113</v>
      </c>
      <c r="F35" s="182" t="s">
        <v>29</v>
      </c>
      <c r="G35" s="176">
        <f>C12+C24</f>
        <v>16148135</v>
      </c>
      <c r="H35" s="183">
        <f>D12+D24</f>
        <v>2808654.1500000004</v>
      </c>
    </row>
    <row r="36" spans="2:8" ht="15" customHeight="1">
      <c r="B36" s="4" t="s">
        <v>11</v>
      </c>
      <c r="C36" s="18">
        <v>465695</v>
      </c>
      <c r="F36" s="173" t="s">
        <v>166</v>
      </c>
      <c r="G36" s="174">
        <f>C4+C15</f>
        <v>415022</v>
      </c>
      <c r="H36" s="178"/>
    </row>
    <row r="37" spans="2:8" ht="15" customHeight="1">
      <c r="B37" s="4" t="s">
        <v>12</v>
      </c>
      <c r="C37" s="18">
        <v>37463</v>
      </c>
      <c r="F37" s="173" t="s">
        <v>167</v>
      </c>
      <c r="G37" s="174">
        <f>C6</f>
        <v>2050919</v>
      </c>
      <c r="H37" s="178"/>
    </row>
    <row r="38" spans="2:8" ht="15" customHeight="1">
      <c r="B38" s="4" t="s">
        <v>13</v>
      </c>
      <c r="C38" s="18">
        <v>0</v>
      </c>
      <c r="F38" s="173" t="s">
        <v>168</v>
      </c>
      <c r="G38" s="174">
        <f>C7+C17</f>
        <v>0</v>
      </c>
      <c r="H38" s="178"/>
    </row>
    <row r="39" spans="2:8" ht="15" customHeight="1">
      <c r="B39" s="2" t="s">
        <v>14</v>
      </c>
      <c r="C39" s="18">
        <v>0</v>
      </c>
      <c r="F39" s="173" t="s">
        <v>76</v>
      </c>
      <c r="G39" s="174">
        <f>C7+C17+C19+C20</f>
        <v>12026710</v>
      </c>
      <c r="H39" s="171">
        <f>C7*D7+C17*D17+C19*D19+C20*D20</f>
        <v>1090829</v>
      </c>
    </row>
    <row r="40" spans="2:8" ht="15" customHeight="1">
      <c r="B40" s="77" t="s">
        <v>173</v>
      </c>
      <c r="C40" s="78">
        <f>SUM(C36:C39)</f>
        <v>503158</v>
      </c>
      <c r="F40" s="182" t="s">
        <v>115</v>
      </c>
      <c r="G40" s="176">
        <f>G12+G24</f>
        <v>17754558</v>
      </c>
      <c r="H40" s="183">
        <f>H12+H24</f>
        <v>15784762.400000002</v>
      </c>
    </row>
    <row r="41" spans="2:8" ht="15" customHeight="1">
      <c r="B41" s="4" t="s">
        <v>15</v>
      </c>
      <c r="C41" s="20">
        <f>C42-C40</f>
        <v>934501</v>
      </c>
      <c r="F41" s="173" t="s">
        <v>160</v>
      </c>
      <c r="G41" s="174">
        <f>C70</f>
        <v>17720728</v>
      </c>
      <c r="H41" s="183">
        <f>H40-H42</f>
        <v>15780479.400000002</v>
      </c>
    </row>
    <row r="42" spans="2:8" ht="15" customHeight="1">
      <c r="B42" s="80" t="s">
        <v>20</v>
      </c>
      <c r="C42" s="81">
        <v>1437659</v>
      </c>
      <c r="F42" s="184" t="s">
        <v>161</v>
      </c>
      <c r="G42" s="185">
        <f>C82</f>
        <v>33830</v>
      </c>
      <c r="H42" s="186">
        <f>D82</f>
        <v>4283</v>
      </c>
    </row>
    <row r="44" spans="2:8" ht="15" customHeight="1">
      <c r="B44" s="76" t="s">
        <v>92</v>
      </c>
      <c r="C44" s="35"/>
      <c r="D44" s="35"/>
      <c r="E44" s="35"/>
      <c r="F44" s="35"/>
      <c r="G44" s="35"/>
      <c r="H44" s="35"/>
    </row>
    <row r="45" spans="2:8" ht="15" customHeight="1">
      <c r="B45" s="16" t="s">
        <v>228</v>
      </c>
      <c r="C45" s="213" t="s">
        <v>113</v>
      </c>
      <c r="D45" s="165" t="s">
        <v>313</v>
      </c>
      <c r="F45" s="230" t="s">
        <v>56</v>
      </c>
    </row>
    <row r="46" spans="2:8" ht="15" customHeight="1">
      <c r="B46" s="1" t="s">
        <v>230</v>
      </c>
      <c r="C46" s="73">
        <f>G29</f>
        <v>25610542</v>
      </c>
      <c r="D46" s="73">
        <f>H29</f>
        <v>10301265.550000004</v>
      </c>
      <c r="F46" s="227"/>
    </row>
    <row r="47" spans="2:8" ht="15" customHeight="1">
      <c r="B47" s="1" t="str">
        <f>"Equity per share ("&amp;Market_currency&amp;")"</f>
        <v>Equity per share (HKD)</v>
      </c>
      <c r="C47" s="135">
        <f>C46*H1/Common_Shares*Exchange_Rate</f>
        <v>3.088680365713032</v>
      </c>
      <c r="D47" s="135">
        <f>D46*H1/Common_Shares*Exchange_Rate</f>
        <v>1.2423523346862815</v>
      </c>
      <c r="F47" s="227"/>
    </row>
    <row r="48" spans="2:8" ht="15" customHeight="1">
      <c r="F48" s="227"/>
    </row>
    <row r="49" spans="2:8" ht="15" customHeight="1">
      <c r="B49" s="144" t="s">
        <v>120</v>
      </c>
      <c r="C49" s="214" t="s">
        <v>54</v>
      </c>
      <c r="D49" s="180" t="s">
        <v>91</v>
      </c>
      <c r="E49" s="2"/>
      <c r="F49" s="227"/>
    </row>
    <row r="50" spans="2:8" ht="15" customHeight="1">
      <c r="B50" s="8" t="s">
        <v>90</v>
      </c>
      <c r="C50" s="92">
        <f>G31/Normalized_FCF!C8</f>
        <v>0.2356683101838101</v>
      </c>
      <c r="D50" s="92">
        <f>G31/Normalized_FCF!G8</f>
        <v>0.1723700558857961</v>
      </c>
      <c r="F50" s="227"/>
    </row>
    <row r="51" spans="2:8" ht="15" customHeight="1">
      <c r="B51" s="1" t="s">
        <v>146</v>
      </c>
      <c r="C51" s="164"/>
      <c r="D51" s="89">
        <f>G29/G32</f>
        <v>0.7554132056707118</v>
      </c>
      <c r="F51" s="227"/>
    </row>
    <row r="52" spans="2:8" ht="15" customHeight="1">
      <c r="F52" s="227"/>
    </row>
    <row r="53" spans="2:8" ht="15" customHeight="1">
      <c r="B53" s="144" t="s">
        <v>119</v>
      </c>
      <c r="C53" s="214" t="s">
        <v>54</v>
      </c>
      <c r="D53" s="180" t="s">
        <v>91</v>
      </c>
      <c r="F53" s="227"/>
    </row>
    <row r="54" spans="2:8" ht="15" customHeight="1">
      <c r="B54" s="1" t="s">
        <v>116</v>
      </c>
      <c r="C54" s="89">
        <f>Normalized_FCF!C8/G35</f>
        <v>0.222044403270099</v>
      </c>
      <c r="D54" s="89">
        <f>Normalized_FCF!G8/G35</f>
        <v>0.30358422195504309</v>
      </c>
      <c r="F54" s="227"/>
    </row>
    <row r="55" spans="2:8" ht="15" customHeight="1">
      <c r="B55" s="1" t="s">
        <v>118</v>
      </c>
      <c r="C55" s="89">
        <f>Normalized_FCF!C9/G40</f>
        <v>-6.8613366776013236E-4</v>
      </c>
      <c r="D55" s="89">
        <f>Normalized_FCF!G9/G40</f>
        <v>-6.8613366776013236E-4</v>
      </c>
      <c r="F55" s="227"/>
    </row>
    <row r="56" spans="2:8" ht="15" customHeight="1">
      <c r="F56" s="227"/>
    </row>
    <row r="57" spans="2:8" ht="15" customHeight="1">
      <c r="B57" s="144" t="s">
        <v>145</v>
      </c>
      <c r="C57" s="214" t="s">
        <v>54</v>
      </c>
      <c r="D57" s="180" t="s">
        <v>91</v>
      </c>
      <c r="F57" s="227"/>
    </row>
    <row r="58" spans="2:8" ht="15" customHeight="1">
      <c r="B58" s="2" t="s">
        <v>86</v>
      </c>
      <c r="C58" s="95"/>
      <c r="D58" s="22">
        <f>Normalized_FCF!G15/BS!$G$39</f>
        <v>0</v>
      </c>
      <c r="F58" s="5"/>
    </row>
    <row r="59" spans="2:8" ht="15" customHeight="1">
      <c r="B59" s="1" t="s">
        <v>89</v>
      </c>
      <c r="C59" s="95"/>
      <c r="D59" s="89">
        <f>G39/G32</f>
        <v>0.35474202595056387</v>
      </c>
      <c r="F59" s="227"/>
    </row>
    <row r="60" spans="2:8" ht="15" customHeight="1">
      <c r="F60" s="227"/>
    </row>
    <row r="61" spans="2:8" ht="15" customHeight="1">
      <c r="B61" s="144" t="s">
        <v>231</v>
      </c>
      <c r="C61" s="214" t="s">
        <v>114</v>
      </c>
      <c r="D61" s="180" t="s">
        <v>91</v>
      </c>
      <c r="F61" s="227"/>
    </row>
    <row r="62" spans="2:8" ht="15" customHeight="1">
      <c r="B62" s="1" t="s">
        <v>210</v>
      </c>
      <c r="C62" s="89">
        <f>IF(G28&lt;=0,0,G28/G29)</f>
        <v>6.023859237340623E-2</v>
      </c>
      <c r="D62" s="89">
        <f>G28/G29</f>
        <v>6.023859237340623E-2</v>
      </c>
      <c r="F62" s="227" t="s">
        <v>229</v>
      </c>
    </row>
    <row r="64" spans="2:8" ht="15" customHeight="1">
      <c r="B64" s="76" t="s">
        <v>162</v>
      </c>
      <c r="C64" s="35"/>
      <c r="D64" s="35"/>
      <c r="E64" s="35"/>
      <c r="F64" s="35"/>
      <c r="G64" s="35"/>
      <c r="H64" s="35"/>
    </row>
    <row r="65" spans="2:6" ht="15" customHeight="1">
      <c r="B65" s="16" t="s">
        <v>158</v>
      </c>
      <c r="C65" s="213" t="s">
        <v>113</v>
      </c>
      <c r="D65" s="166" t="s">
        <v>239</v>
      </c>
      <c r="F65" s="230" t="s">
        <v>56</v>
      </c>
    </row>
    <row r="66" spans="2:6" ht="15" customHeight="1">
      <c r="B66" s="102" t="s">
        <v>157</v>
      </c>
      <c r="C66" s="19">
        <f>G4+G5+G15</f>
        <v>17607845</v>
      </c>
      <c r="D66" s="73">
        <f>C66-D75</f>
        <v>15073642.522995466</v>
      </c>
      <c r="F66" s="5" t="s">
        <v>193</v>
      </c>
    </row>
    <row r="67" spans="2:6" ht="15" customHeight="1">
      <c r="B67" s="102" t="s">
        <v>147</v>
      </c>
      <c r="C67" s="19">
        <f>G6+G16</f>
        <v>0</v>
      </c>
      <c r="F67" s="227"/>
    </row>
    <row r="68" spans="2:6" ht="15" customHeight="1">
      <c r="B68" s="102" t="s">
        <v>151</v>
      </c>
      <c r="C68" s="19">
        <f>G18</f>
        <v>112883</v>
      </c>
      <c r="F68" s="227"/>
    </row>
    <row r="69" spans="2:6" ht="15" customHeight="1">
      <c r="B69" s="102" t="s">
        <v>149</v>
      </c>
      <c r="C69" s="19">
        <f>G8+G20</f>
        <v>0</v>
      </c>
      <c r="F69" s="227"/>
    </row>
    <row r="70" spans="2:6" ht="15" customHeight="1">
      <c r="B70" s="77" t="s">
        <v>158</v>
      </c>
      <c r="C70" s="78">
        <f>SUM(C66:C69)</f>
        <v>17720728</v>
      </c>
      <c r="F70" s="227"/>
    </row>
    <row r="71" spans="2:6" ht="15" customHeight="1">
      <c r="F71" s="227"/>
    </row>
    <row r="72" spans="2:6" ht="15" customHeight="1">
      <c r="B72" s="229" t="s">
        <v>257</v>
      </c>
      <c r="C72" s="213" t="s">
        <v>91</v>
      </c>
      <c r="D72" s="165" t="s">
        <v>54</v>
      </c>
      <c r="F72" s="227"/>
    </row>
    <row r="73" spans="2:6" ht="15" customHeight="1">
      <c r="B73" s="102" t="s">
        <v>256</v>
      </c>
      <c r="C73" s="293">
        <f>(Normalized_FCF!G26+Normalized_FCF!G35-Normalized_FCF!G89)/12</f>
        <v>-1567094.0963488</v>
      </c>
      <c r="D73" s="293">
        <f>(Normalized_FCF!C26+Normalized_FCF!C35-Normalized_FCF!C89)/12</f>
        <v>-1267101.2385022666</v>
      </c>
      <c r="F73" s="1" t="s">
        <v>280</v>
      </c>
    </row>
    <row r="74" spans="2:6" ht="15" customHeight="1">
      <c r="B74" s="231" t="s">
        <v>261</v>
      </c>
      <c r="C74" s="232">
        <f>-$C$66/C73</f>
        <v>11.235984514921489</v>
      </c>
      <c r="D74" s="232">
        <f>-$C$66/D73</f>
        <v>13.896162725570964</v>
      </c>
      <c r="F74" s="227" t="s">
        <v>258</v>
      </c>
    </row>
    <row r="75" spans="2:6" ht="15" customHeight="1">
      <c r="B75" s="77" t="s">
        <v>259</v>
      </c>
      <c r="C75" s="268"/>
      <c r="D75" s="269">
        <f>MAX(-D73*D76,G5)</f>
        <v>2534202.4770045332</v>
      </c>
      <c r="F75" s="227" t="s">
        <v>281</v>
      </c>
    </row>
    <row r="76" spans="2:6" ht="15" customHeight="1">
      <c r="B76" s="233" t="s">
        <v>262</v>
      </c>
      <c r="C76" s="234"/>
      <c r="D76" s="255">
        <f>IF(D74&lt;=3,1,IF(D74&gt;18,6,2))</f>
        <v>2</v>
      </c>
      <c r="F76" s="227" t="s">
        <v>263</v>
      </c>
    </row>
    <row r="77" spans="2:6" ht="15" customHeight="1">
      <c r="F77" s="227"/>
    </row>
    <row r="78" spans="2:6" ht="15" customHeight="1">
      <c r="B78" s="16" t="s">
        <v>159</v>
      </c>
      <c r="C78" s="213" t="s">
        <v>113</v>
      </c>
      <c r="D78" s="166" t="s">
        <v>33</v>
      </c>
      <c r="F78" s="227"/>
    </row>
    <row r="79" spans="2:6" ht="15" customHeight="1">
      <c r="B79" s="102" t="s">
        <v>148</v>
      </c>
      <c r="C79" s="19">
        <f>G7+G17</f>
        <v>1800</v>
      </c>
      <c r="D79" s="73">
        <f>G7*H7+G17*H17</f>
        <v>1080</v>
      </c>
      <c r="F79" s="227"/>
    </row>
    <row r="80" spans="2:6" ht="15" customHeight="1">
      <c r="B80" s="102" t="s">
        <v>152</v>
      </c>
      <c r="C80" s="19">
        <f>G19</f>
        <v>0</v>
      </c>
      <c r="D80" s="73">
        <f>G19*H19</f>
        <v>0</v>
      </c>
      <c r="F80" s="227"/>
    </row>
    <row r="81" spans="2:8" ht="15" customHeight="1">
      <c r="B81" s="102" t="s">
        <v>150</v>
      </c>
      <c r="C81" s="19">
        <f>G9+G21</f>
        <v>32030</v>
      </c>
      <c r="D81" s="73">
        <f>G9*H9+G21*H21</f>
        <v>3203</v>
      </c>
      <c r="F81" s="227"/>
    </row>
    <row r="82" spans="2:8" ht="15" customHeight="1">
      <c r="B82" s="77" t="s">
        <v>159</v>
      </c>
      <c r="C82" s="78">
        <f>SUM(C79:C81)</f>
        <v>33830</v>
      </c>
      <c r="D82" s="78">
        <f>SUM(D79:D81)</f>
        <v>4283</v>
      </c>
      <c r="F82" s="227"/>
    </row>
    <row r="84" spans="2:8" ht="15" customHeight="1">
      <c r="B84" s="76" t="s">
        <v>242</v>
      </c>
      <c r="C84" s="35"/>
      <c r="D84" s="35"/>
      <c r="E84" s="35"/>
      <c r="F84" s="35"/>
      <c r="G84" s="35"/>
      <c r="H84" s="35"/>
    </row>
    <row r="85" spans="2:8" ht="15" customHeight="1">
      <c r="B85" s="16" t="s">
        <v>243</v>
      </c>
      <c r="D85" s="219" t="s">
        <v>244</v>
      </c>
    </row>
    <row r="86" spans="2:8" ht="15" customHeight="1">
      <c r="B86" s="216" t="s">
        <v>240</v>
      </c>
      <c r="C86" s="73">
        <f>-DCF!F4*Exchange_Rate</f>
        <v>923841.47422710015</v>
      </c>
      <c r="D86" s="204">
        <f>C86*scaling_factor/Common_Shares</f>
        <v>0.10191018455885338</v>
      </c>
      <c r="E86" s="218" t="str">
        <f>Market_currency</f>
        <v>HKD</v>
      </c>
    </row>
    <row r="87" spans="2:8" ht="15" customHeight="1">
      <c r="B87" s="216" t="s">
        <v>241</v>
      </c>
      <c r="C87" s="73">
        <f>DCF!F5*Exchange_Rate</f>
        <v>16479812.89094539</v>
      </c>
      <c r="D87" s="204">
        <f>C87*scaling_factor/Common_Shares</f>
        <v>1.8179101285928718</v>
      </c>
      <c r="E87" s="218" t="str">
        <f>Market_currency</f>
        <v>HKD</v>
      </c>
    </row>
    <row r="88" spans="2:8" ht="15" customHeight="1">
      <c r="B88" s="217" t="s">
        <v>159</v>
      </c>
      <c r="C88" s="73">
        <f>DCF!F6*Exchange_Rate</f>
        <v>4682.5469361000005</v>
      </c>
      <c r="D88" s="204">
        <f>C88*scaling_factor/Common_Shares</f>
        <v>5.1653799464099258E-4</v>
      </c>
      <c r="E88" s="218" t="str">
        <f>Market_currency</f>
        <v>HKD</v>
      </c>
    </row>
    <row r="89" spans="2:8" ht="15" customHeight="1">
      <c r="B89" s="77" t="s">
        <v>245</v>
      </c>
      <c r="C89" s="163">
        <f>SUM(C86:C88)</f>
        <v>17408336.912108589</v>
      </c>
      <c r="D89" s="220">
        <f>SUM(D86:D88)</f>
        <v>1.9203368511463663</v>
      </c>
      <c r="E89" s="218" t="str">
        <f>Market_currency</f>
        <v>HKD</v>
      </c>
    </row>
  </sheetData>
  <phoneticPr fontId="2" type="noConversion"/>
  <conditionalFormatting sqref="G28">
    <cfRule type="expression" dxfId="3" priority="1">
      <formula>ISBLANK(G28)</formula>
    </cfRule>
  </conditionalFormatting>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7"/>
  <sheetViews>
    <sheetView showGridLines="0" zoomScaleNormal="100" workbookViewId="0">
      <pane xSplit="2" ySplit="1" topLeftCell="C2" activePane="bottomRight" state="frozen"/>
      <selection activeCell="C17" sqref="C17"/>
      <selection pane="topRight" activeCell="C17" sqref="C17"/>
      <selection pane="bottomLeft" activeCell="C17" sqref="C17"/>
      <selection pane="bottomRight" activeCell="C4" sqref="C4"/>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87" t="str">
        <f>Thesis!E17</f>
        <v>CNY</v>
      </c>
      <c r="C1" s="50" t="s">
        <v>54</v>
      </c>
      <c r="D1" s="50"/>
      <c r="E1" s="50"/>
      <c r="F1" s="50"/>
      <c r="G1" s="36">
        <f>Data!C1</f>
        <v>45657</v>
      </c>
      <c r="H1" s="36">
        <f>EOMONTH(EDATE(G1,-12),0)</f>
        <v>45291</v>
      </c>
      <c r="I1" s="36">
        <f t="shared" ref="I1:Q1" si="0">EOMONTH(EDATE(H1,-12),0)</f>
        <v>44926</v>
      </c>
      <c r="J1" s="36">
        <f t="shared" si="0"/>
        <v>44561</v>
      </c>
      <c r="K1" s="36">
        <f t="shared" si="0"/>
        <v>44196</v>
      </c>
      <c r="L1" s="36">
        <f t="shared" si="0"/>
        <v>43830</v>
      </c>
      <c r="M1" s="36">
        <f t="shared" si="0"/>
        <v>43465</v>
      </c>
      <c r="N1" s="36">
        <f t="shared" si="0"/>
        <v>43100</v>
      </c>
      <c r="O1" s="36">
        <f t="shared" si="0"/>
        <v>42735</v>
      </c>
      <c r="P1" s="36">
        <f t="shared" si="0"/>
        <v>42369</v>
      </c>
      <c r="Q1" s="36">
        <f t="shared" si="0"/>
        <v>42004</v>
      </c>
    </row>
    <row r="2" spans="1:17" ht="15.75" customHeight="1">
      <c r="A2" s="3"/>
      <c r="B2" s="51" t="s">
        <v>95</v>
      </c>
      <c r="C2" s="51"/>
      <c r="D2" s="53"/>
      <c r="E2" s="63" t="s">
        <v>56</v>
      </c>
      <c r="F2" s="53"/>
      <c r="G2" s="35"/>
      <c r="H2" s="35"/>
      <c r="I2" s="35"/>
      <c r="J2" s="35"/>
      <c r="K2" s="35"/>
      <c r="L2" s="35"/>
      <c r="M2" s="35"/>
      <c r="N2" s="35"/>
      <c r="O2" s="35"/>
      <c r="P2" s="35"/>
      <c r="Q2" s="35"/>
    </row>
    <row r="3" spans="1:17" ht="15.75" customHeight="1">
      <c r="A3" s="10"/>
      <c r="B3" s="16" t="s">
        <v>398</v>
      </c>
      <c r="C3" s="104">
        <f>scaling_factor</f>
        <v>1000</v>
      </c>
      <c r="D3" s="9"/>
      <c r="E3" s="242"/>
      <c r="F3" s="9"/>
      <c r="G3" s="16" t="s">
        <v>418</v>
      </c>
      <c r="H3" s="104">
        <f>scaling_factor</f>
        <v>1000</v>
      </c>
    </row>
    <row r="4" spans="1:17" ht="15.75" customHeight="1">
      <c r="A4" s="10"/>
      <c r="B4" s="25" t="s">
        <v>0</v>
      </c>
      <c r="C4" s="273">
        <f>G4*0.8</f>
        <v>16598840</v>
      </c>
      <c r="D4" s="54"/>
      <c r="E4" s="240"/>
      <c r="F4" s="54"/>
      <c r="G4" s="278">
        <f>Data!C36</f>
        <v>20748550</v>
      </c>
      <c r="H4" s="278">
        <f>Data!D36</f>
        <v>19532203</v>
      </c>
      <c r="I4" s="278">
        <f>Data!E36</f>
        <v>21310933</v>
      </c>
      <c r="J4" s="278">
        <f>Data!F36</f>
        <v>22776265</v>
      </c>
      <c r="K4" s="278">
        <f>Data!G36</f>
        <v>18592465</v>
      </c>
      <c r="L4" s="278">
        <f>Data!H36</f>
        <v>13721509</v>
      </c>
      <c r="M4" s="278">
        <f>Data!I36</f>
        <v>10391917</v>
      </c>
      <c r="N4" s="278">
        <f>Data!J36</f>
        <v>5887260</v>
      </c>
      <c r="O4" s="278">
        <f>Data!K36</f>
        <v>3724381</v>
      </c>
      <c r="P4" s="278" t="str">
        <f>Data!L36</f>
        <v/>
      </c>
      <c r="Q4" s="278" t="str">
        <f>Data!M36</f>
        <v/>
      </c>
    </row>
    <row r="5" spans="1:17" ht="15.75" customHeight="1">
      <c r="A5" s="10"/>
      <c r="B5" s="2" t="s">
        <v>43</v>
      </c>
      <c r="C5" s="274">
        <f>C26</f>
        <v>-11331976</v>
      </c>
      <c r="E5" s="242"/>
      <c r="G5" s="278">
        <f t="shared" ref="G5:Q5" si="1">G26</f>
        <v>-14164970</v>
      </c>
      <c r="H5" s="278">
        <f t="shared" si="1"/>
        <v>-13577917</v>
      </c>
      <c r="I5" s="278">
        <f t="shared" si="1"/>
        <v>-13905706</v>
      </c>
      <c r="J5" s="278">
        <f t="shared" si="1"/>
        <v>-13497981</v>
      </c>
      <c r="K5" s="278">
        <f t="shared" si="1"/>
        <v>-10375617</v>
      </c>
      <c r="L5" s="278">
        <f t="shared" si="1"/>
        <v>-7959903</v>
      </c>
      <c r="M5" s="278">
        <f t="shared" si="1"/>
        <v>-7034141</v>
      </c>
      <c r="N5" s="278">
        <f t="shared" si="1"/>
        <v>-4235907</v>
      </c>
      <c r="O5" s="278">
        <f t="shared" si="1"/>
        <v>-3059941</v>
      </c>
      <c r="P5" s="278" t="str">
        <f t="shared" si="1"/>
        <v/>
      </c>
      <c r="Q5" s="278" t="str">
        <f t="shared" si="1"/>
        <v/>
      </c>
    </row>
    <row r="6" spans="1:17" ht="15.75" customHeight="1">
      <c r="A6" s="10"/>
      <c r="B6" s="30" t="s">
        <v>45</v>
      </c>
      <c r="C6" s="275">
        <f>C4+C5</f>
        <v>5266864</v>
      </c>
      <c r="E6" s="242"/>
      <c r="G6" s="275">
        <f>IF(G4="","",G4+G5)</f>
        <v>6583580</v>
      </c>
      <c r="H6" s="275">
        <f t="shared" ref="H6:Q6" si="2">IF(H4="","",H4+H5)</f>
        <v>5954286</v>
      </c>
      <c r="I6" s="275">
        <f t="shared" si="2"/>
        <v>7405227</v>
      </c>
      <c r="J6" s="275">
        <f t="shared" si="2"/>
        <v>9278284</v>
      </c>
      <c r="K6" s="275">
        <f t="shared" si="2"/>
        <v>8216848</v>
      </c>
      <c r="L6" s="275">
        <f t="shared" si="2"/>
        <v>5761606</v>
      </c>
      <c r="M6" s="275">
        <f t="shared" si="2"/>
        <v>3357776</v>
      </c>
      <c r="N6" s="275">
        <f t="shared" si="2"/>
        <v>1651353</v>
      </c>
      <c r="O6" s="275">
        <f t="shared" si="2"/>
        <v>664440</v>
      </c>
      <c r="P6" s="275" t="str">
        <f t="shared" si="2"/>
        <v/>
      </c>
      <c r="Q6" s="275" t="str">
        <f t="shared" si="2"/>
        <v/>
      </c>
    </row>
    <row r="7" spans="1:17" ht="15.75" customHeight="1">
      <c r="A7" s="10"/>
      <c r="B7" s="8" t="s">
        <v>42</v>
      </c>
      <c r="C7" s="274">
        <f>C35</f>
        <v>-1681261</v>
      </c>
      <c r="E7" s="242"/>
      <c r="G7" s="274">
        <f t="shared" ref="G7:Q7" si="3">G35</f>
        <v>-1681261</v>
      </c>
      <c r="H7" s="274">
        <f t="shared" si="3"/>
        <v>-1762049</v>
      </c>
      <c r="I7" s="274">
        <f t="shared" si="3"/>
        <v>-1535012</v>
      </c>
      <c r="J7" s="274">
        <f t="shared" si="3"/>
        <v>-1207982</v>
      </c>
      <c r="K7" s="274">
        <f t="shared" si="3"/>
        <v>-1161214</v>
      </c>
      <c r="L7" s="274">
        <f t="shared" si="3"/>
        <v>-913226</v>
      </c>
      <c r="M7" s="274">
        <f t="shared" si="3"/>
        <v>-580289</v>
      </c>
      <c r="N7" s="274">
        <f t="shared" si="3"/>
        <v>-360540</v>
      </c>
      <c r="O7" s="274">
        <f t="shared" si="3"/>
        <v>-230858</v>
      </c>
      <c r="P7" s="274" t="str">
        <f t="shared" si="3"/>
        <v/>
      </c>
      <c r="Q7" s="274" t="str">
        <f t="shared" si="3"/>
        <v/>
      </c>
    </row>
    <row r="8" spans="1:17" ht="15.75" customHeight="1">
      <c r="A8" s="10"/>
      <c r="B8" s="28" t="s">
        <v>127</v>
      </c>
      <c r="C8" s="276">
        <f>C6+C7</f>
        <v>3585603</v>
      </c>
      <c r="D8" s="56"/>
      <c r="E8" s="248"/>
      <c r="F8" s="56"/>
      <c r="G8" s="275">
        <f>IF(G$4="","",G6+G7)</f>
        <v>4902319</v>
      </c>
      <c r="H8" s="275">
        <f t="shared" ref="H8:Q8" si="4">IF(H$4="","",H6+H7)</f>
        <v>4192237</v>
      </c>
      <c r="I8" s="275">
        <f t="shared" si="4"/>
        <v>5870215</v>
      </c>
      <c r="J8" s="275">
        <f t="shared" si="4"/>
        <v>8070302</v>
      </c>
      <c r="K8" s="275">
        <f t="shared" si="4"/>
        <v>7055634</v>
      </c>
      <c r="L8" s="275">
        <f t="shared" si="4"/>
        <v>4848380</v>
      </c>
      <c r="M8" s="275">
        <f t="shared" si="4"/>
        <v>2777487</v>
      </c>
      <c r="N8" s="275">
        <f t="shared" si="4"/>
        <v>1290813</v>
      </c>
      <c r="O8" s="275">
        <f t="shared" si="4"/>
        <v>433582</v>
      </c>
      <c r="P8" s="275" t="str">
        <f t="shared" si="4"/>
        <v/>
      </c>
      <c r="Q8" s="275" t="str">
        <f t="shared" si="4"/>
        <v/>
      </c>
    </row>
    <row r="9" spans="1:17" ht="15.75" customHeight="1">
      <c r="A9" s="10"/>
      <c r="B9" s="26" t="s">
        <v>423</v>
      </c>
      <c r="C9" s="308">
        <f>C61</f>
        <v>-12182</v>
      </c>
      <c r="D9" s="55"/>
      <c r="E9" s="241"/>
      <c r="F9" s="55"/>
      <c r="G9" s="278">
        <f>G59</f>
        <v>-12182</v>
      </c>
      <c r="H9" s="278">
        <f t="shared" ref="H9:Q9" si="5">H59</f>
        <v>-7408</v>
      </c>
      <c r="I9" s="278">
        <f t="shared" si="5"/>
        <v>-17253</v>
      </c>
      <c r="J9" s="278">
        <f t="shared" si="5"/>
        <v>-15586</v>
      </c>
      <c r="K9" s="278">
        <f t="shared" si="5"/>
        <v>-5571</v>
      </c>
      <c r="L9" s="278">
        <f t="shared" si="5"/>
        <v>0</v>
      </c>
      <c r="M9" s="278">
        <f t="shared" si="5"/>
        <v>0</v>
      </c>
      <c r="N9" s="278">
        <f t="shared" si="5"/>
        <v>0</v>
      </c>
      <c r="O9" s="278">
        <f t="shared" si="5"/>
        <v>0</v>
      </c>
      <c r="P9" s="278" t="str">
        <f t="shared" si="5"/>
        <v/>
      </c>
      <c r="Q9" s="278" t="str">
        <f t="shared" si="5"/>
        <v/>
      </c>
    </row>
    <row r="10" spans="1:17" ht="15.75" customHeight="1">
      <c r="A10" s="10"/>
      <c r="B10" s="2" t="s">
        <v>65</v>
      </c>
      <c r="C10" s="274">
        <f>C48</f>
        <v>-29440.785137972802</v>
      </c>
      <c r="E10" s="242"/>
      <c r="G10" s="274">
        <f>G48</f>
        <v>15.969801055245625</v>
      </c>
      <c r="H10" s="274">
        <f t="shared" ref="H10:Q10" si="6">H48</f>
        <v>-10181.869680805925</v>
      </c>
      <c r="I10" s="274">
        <f t="shared" si="6"/>
        <v>-33640</v>
      </c>
      <c r="J10" s="274">
        <f t="shared" si="6"/>
        <v>-29152</v>
      </c>
      <c r="K10" s="274">
        <f t="shared" si="6"/>
        <v>-50160</v>
      </c>
      <c r="L10" s="274">
        <f t="shared" si="6"/>
        <v>-72693</v>
      </c>
      <c r="M10" s="274">
        <f t="shared" si="6"/>
        <v>-58675</v>
      </c>
      <c r="N10" s="274">
        <f t="shared" si="6"/>
        <v>-21409</v>
      </c>
      <c r="O10" s="274">
        <f t="shared" si="6"/>
        <v>-26773</v>
      </c>
      <c r="P10" s="274" t="str">
        <f t="shared" si="6"/>
        <v/>
      </c>
      <c r="Q10" s="274" t="str">
        <f t="shared" si="6"/>
        <v/>
      </c>
    </row>
    <row r="11" spans="1:17" ht="15.75" customHeight="1">
      <c r="A11" s="10"/>
      <c r="B11" s="67" t="s">
        <v>137</v>
      </c>
      <c r="C11" s="275">
        <f>SUM(C8:C10)</f>
        <v>3543980.2148620272</v>
      </c>
      <c r="E11" s="242"/>
      <c r="G11" s="275">
        <f t="shared" ref="G11:Q11" si="7">IF(G$4="","",SUM(G8:G10))</f>
        <v>4890152.9698010553</v>
      </c>
      <c r="H11" s="275">
        <f t="shared" si="7"/>
        <v>4174647.1303191939</v>
      </c>
      <c r="I11" s="275">
        <f t="shared" si="7"/>
        <v>5819322</v>
      </c>
      <c r="J11" s="275">
        <f t="shared" si="7"/>
        <v>8025564</v>
      </c>
      <c r="K11" s="275">
        <f t="shared" si="7"/>
        <v>6999903</v>
      </c>
      <c r="L11" s="275">
        <f t="shared" si="7"/>
        <v>4775687</v>
      </c>
      <c r="M11" s="275">
        <f t="shared" si="7"/>
        <v>2718812</v>
      </c>
      <c r="N11" s="275">
        <f t="shared" si="7"/>
        <v>1269404</v>
      </c>
      <c r="O11" s="275">
        <f t="shared" si="7"/>
        <v>406809</v>
      </c>
      <c r="P11" s="275" t="str">
        <f t="shared" si="7"/>
        <v/>
      </c>
      <c r="Q11" s="275" t="str">
        <f t="shared" si="7"/>
        <v/>
      </c>
    </row>
    <row r="12" spans="1:17" ht="15.75" customHeight="1">
      <c r="A12" s="10"/>
      <c r="B12" s="2" t="s">
        <v>60</v>
      </c>
      <c r="C12" s="274">
        <f>-C11*C41</f>
        <v>-885995.0537155068</v>
      </c>
      <c r="E12" s="242"/>
      <c r="G12" s="274">
        <f>Data!C46</f>
        <v>-1895606</v>
      </c>
      <c r="H12" s="274">
        <f>Data!D46</f>
        <v>-1559940</v>
      </c>
      <c r="I12" s="274">
        <f>Data!E46</f>
        <v>-1715003</v>
      </c>
      <c r="J12" s="274">
        <f>Data!F46</f>
        <v>-2757433</v>
      </c>
      <c r="K12" s="274">
        <f>Data!G46</f>
        <v>-2463857</v>
      </c>
      <c r="L12" s="274">
        <f>Data!H46</f>
        <v>-1748099</v>
      </c>
      <c r="M12" s="274">
        <f>Data!I46</f>
        <v>-946317</v>
      </c>
      <c r="N12" s="274">
        <f>Data!J46</f>
        <v>-490835</v>
      </c>
      <c r="O12" s="274">
        <f>Data!K46</f>
        <v>-188795</v>
      </c>
      <c r="P12" s="274" t="str">
        <f>Data!L46</f>
        <v/>
      </c>
      <c r="Q12" s="274" t="str">
        <f>Data!M46</f>
        <v/>
      </c>
    </row>
    <row r="13" spans="1:17" ht="15.75" customHeight="1">
      <c r="A13" s="10"/>
      <c r="B13" s="38" t="s">
        <v>208</v>
      </c>
      <c r="C13" s="274">
        <f>-C4*C79</f>
        <v>-67196</v>
      </c>
      <c r="D13" s="57"/>
      <c r="E13" s="249"/>
      <c r="F13" s="57"/>
      <c r="G13" s="278">
        <f>Data!C48</f>
        <v>-83995</v>
      </c>
      <c r="H13" s="278">
        <f>Data!D48</f>
        <v>0</v>
      </c>
      <c r="I13" s="278">
        <f>Data!E48</f>
        <v>-6058</v>
      </c>
      <c r="J13" s="278">
        <f>Data!F48</f>
        <v>-43852</v>
      </c>
      <c r="K13" s="278">
        <f>Data!G48</f>
        <v>0</v>
      </c>
      <c r="L13" s="278">
        <f>Data!H48</f>
        <v>0</v>
      </c>
      <c r="M13" s="278">
        <f>Data!I48</f>
        <v>0</v>
      </c>
      <c r="N13" s="278">
        <f>Data!J48</f>
        <v>0</v>
      </c>
      <c r="O13" s="278">
        <f>Data!K48</f>
        <v>0</v>
      </c>
      <c r="P13" s="278" t="str">
        <f>Data!L48</f>
        <v/>
      </c>
      <c r="Q13" s="278" t="str">
        <f>Data!M48</f>
        <v/>
      </c>
    </row>
    <row r="14" spans="1:17" ht="15.75" customHeight="1">
      <c r="A14" s="10"/>
      <c r="B14" s="39" t="s">
        <v>129</v>
      </c>
      <c r="C14" s="277">
        <f>SUM(C11:C13)</f>
        <v>2590789.1611465206</v>
      </c>
      <c r="D14" s="58"/>
      <c r="E14" s="250"/>
      <c r="F14" s="58"/>
      <c r="G14" s="275">
        <f t="shared" ref="G14:Q14" si="8">IF(G$4="","",SUM(G11:G13))</f>
        <v>2910551.9698010553</v>
      </c>
      <c r="H14" s="275">
        <f t="shared" si="8"/>
        <v>2614707.1303191939</v>
      </c>
      <c r="I14" s="275">
        <f t="shared" si="8"/>
        <v>4098261</v>
      </c>
      <c r="J14" s="275">
        <f t="shared" si="8"/>
        <v>5224279</v>
      </c>
      <c r="K14" s="275">
        <f t="shared" si="8"/>
        <v>4536046</v>
      </c>
      <c r="L14" s="275">
        <f t="shared" si="8"/>
        <v>3027588</v>
      </c>
      <c r="M14" s="275">
        <f t="shared" si="8"/>
        <v>1772495</v>
      </c>
      <c r="N14" s="275">
        <f t="shared" si="8"/>
        <v>778569</v>
      </c>
      <c r="O14" s="275">
        <f t="shared" si="8"/>
        <v>218014</v>
      </c>
      <c r="P14" s="275" t="str">
        <f t="shared" si="8"/>
        <v/>
      </c>
      <c r="Q14" s="275" t="str">
        <f t="shared" si="8"/>
        <v/>
      </c>
    </row>
    <row r="15" spans="1:17" ht="15.75" customHeight="1">
      <c r="A15" s="10"/>
      <c r="B15" s="2" t="s">
        <v>62</v>
      </c>
      <c r="C15" s="274">
        <f>BS!$G$39*BS!D58</f>
        <v>0</v>
      </c>
      <c r="E15" s="242"/>
      <c r="G15" s="274">
        <f>IF(Data!C61="","",-Data!C61)</f>
        <v>0</v>
      </c>
      <c r="H15" s="274">
        <f>IF(Data!D61="","",-Data!D61)</f>
        <v>0</v>
      </c>
      <c r="I15" s="274">
        <f>IF(Data!E61="","",-Data!E61)</f>
        <v>0</v>
      </c>
      <c r="J15" s="274">
        <f>IF(Data!F61="","",-Data!F61)</f>
        <v>0</v>
      </c>
      <c r="K15" s="274">
        <f>IF(Data!G61="","",-Data!G61)</f>
        <v>0</v>
      </c>
      <c r="L15" s="274">
        <f>IF(Data!H61="","",-Data!H61)</f>
        <v>0</v>
      </c>
      <c r="M15" s="274">
        <f>IF(Data!I61="","",-Data!I61)</f>
        <v>0</v>
      </c>
      <c r="N15" s="274">
        <f>IF(Data!J61="","",-Data!J61)</f>
        <v>0</v>
      </c>
      <c r="O15" s="274">
        <f>IF(Data!K61="","",-Data!K61)</f>
        <v>0</v>
      </c>
      <c r="P15" s="274" t="str">
        <f>IF(Data!L61="","",-Data!L61)</f>
        <v/>
      </c>
      <c r="Q15" s="274" t="str">
        <f>IF(Data!M61="","",-Data!M61)</f>
        <v/>
      </c>
    </row>
    <row r="16" spans="1:17" ht="15.75" customHeight="1">
      <c r="A16" s="10"/>
      <c r="B16" s="2" t="s">
        <v>404</v>
      </c>
      <c r="C16" s="274">
        <f>-C4*C82</f>
        <v>0</v>
      </c>
      <c r="E16" s="242"/>
      <c r="G16" s="274">
        <f>Data!C62</f>
        <v>0</v>
      </c>
      <c r="H16" s="274">
        <f>Data!D62</f>
        <v>0</v>
      </c>
      <c r="I16" s="274">
        <f>Data!E62</f>
        <v>0</v>
      </c>
      <c r="J16" s="274">
        <f>Data!F62</f>
        <v>0</v>
      </c>
      <c r="K16" s="274">
        <f>Data!G62</f>
        <v>0</v>
      </c>
      <c r="L16" s="274">
        <f>Data!H62</f>
        <v>0</v>
      </c>
      <c r="M16" s="274">
        <f>Data!I62</f>
        <v>0</v>
      </c>
      <c r="N16" s="274">
        <f>Data!J62</f>
        <v>0</v>
      </c>
      <c r="O16" s="274">
        <f>Data!K62</f>
        <v>0</v>
      </c>
      <c r="P16" s="274" t="str">
        <f>Data!L62</f>
        <v/>
      </c>
      <c r="Q16" s="274" t="str">
        <f>Data!M62</f>
        <v/>
      </c>
    </row>
    <row r="17" spans="1:17" ht="15.75" customHeight="1">
      <c r="A17" s="10"/>
      <c r="B17" s="26" t="s">
        <v>49</v>
      </c>
      <c r="C17" s="274">
        <f>-C4*C83</f>
        <v>0</v>
      </c>
      <c r="D17" s="55"/>
      <c r="E17" s="241" t="s">
        <v>264</v>
      </c>
      <c r="F17" s="55"/>
      <c r="G17" s="280"/>
      <c r="H17" s="280"/>
      <c r="I17" s="280"/>
      <c r="J17" s="280"/>
      <c r="K17" s="280"/>
      <c r="L17" s="280"/>
      <c r="M17" s="280"/>
      <c r="N17" s="280"/>
      <c r="O17" s="280"/>
      <c r="P17" s="280"/>
      <c r="Q17" s="280"/>
    </row>
    <row r="18" spans="1:17" ht="15.75" customHeight="1">
      <c r="A18" s="10"/>
      <c r="B18" s="26" t="s">
        <v>94</v>
      </c>
      <c r="C18" s="274">
        <v>0</v>
      </c>
      <c r="D18" s="55"/>
      <c r="E18" s="241" t="s">
        <v>265</v>
      </c>
      <c r="F18" s="55"/>
      <c r="G18" s="281"/>
      <c r="H18" s="281"/>
      <c r="I18" s="281"/>
      <c r="J18" s="281"/>
      <c r="K18" s="281"/>
      <c r="L18" s="281"/>
      <c r="M18" s="281"/>
      <c r="N18" s="281"/>
      <c r="O18" s="281"/>
      <c r="P18" s="281"/>
      <c r="Q18" s="281"/>
    </row>
    <row r="19" spans="1:17" ht="15.75" customHeight="1">
      <c r="A19" s="10"/>
      <c r="B19" s="30" t="s">
        <v>63</v>
      </c>
      <c r="C19" s="275">
        <f>C14+C17</f>
        <v>2590789.1611465206</v>
      </c>
      <c r="D19" s="26"/>
      <c r="E19" s="239"/>
      <c r="F19" s="26"/>
      <c r="G19" s="279">
        <f t="shared" ref="G19:Q19" si="9">IF(G$4="","",G14+G17)</f>
        <v>2910551.9698010553</v>
      </c>
      <c r="H19" s="279">
        <f t="shared" si="9"/>
        <v>2614707.1303191939</v>
      </c>
      <c r="I19" s="279">
        <f t="shared" si="9"/>
        <v>4098261</v>
      </c>
      <c r="J19" s="279">
        <f t="shared" si="9"/>
        <v>5224279</v>
      </c>
      <c r="K19" s="279">
        <f t="shared" si="9"/>
        <v>4536046</v>
      </c>
      <c r="L19" s="279">
        <f t="shared" si="9"/>
        <v>3027588</v>
      </c>
      <c r="M19" s="279">
        <f t="shared" si="9"/>
        <v>1772495</v>
      </c>
      <c r="N19" s="279">
        <f t="shared" si="9"/>
        <v>778569</v>
      </c>
      <c r="O19" s="279">
        <f t="shared" si="9"/>
        <v>218014</v>
      </c>
      <c r="P19" s="279" t="str">
        <f t="shared" si="9"/>
        <v/>
      </c>
      <c r="Q19" s="279" t="str">
        <f t="shared" si="9"/>
        <v/>
      </c>
    </row>
    <row r="20" spans="1:17" ht="15.75" customHeight="1">
      <c r="A20" s="10"/>
      <c r="B20" s="26"/>
      <c r="C20" s="59"/>
      <c r="D20" s="26"/>
      <c r="E20" s="64"/>
      <c r="F20" s="26"/>
      <c r="G20" s="12"/>
      <c r="H20" s="12"/>
      <c r="I20" s="12"/>
      <c r="J20" s="12"/>
      <c r="K20" s="12"/>
      <c r="L20" s="12"/>
      <c r="M20" s="12"/>
      <c r="N20" s="12"/>
      <c r="O20" s="12"/>
      <c r="P20" s="12"/>
      <c r="Q20" s="12"/>
    </row>
    <row r="21" spans="1:17" ht="15.75" customHeight="1">
      <c r="A21" s="10"/>
      <c r="B21" s="51" t="s">
        <v>174</v>
      </c>
      <c r="C21" s="51"/>
      <c r="D21" s="53"/>
      <c r="E21" s="63" t="s">
        <v>56</v>
      </c>
      <c r="F21" s="53"/>
      <c r="G21" s="35"/>
      <c r="H21" s="35"/>
      <c r="I21" s="35"/>
      <c r="J21" s="35"/>
      <c r="K21" s="35"/>
      <c r="L21" s="35"/>
      <c r="M21" s="35"/>
      <c r="N21" s="35"/>
      <c r="O21" s="35"/>
      <c r="P21" s="35"/>
      <c r="Q21" s="35"/>
    </row>
    <row r="22" spans="1:17" ht="15.75" customHeight="1">
      <c r="A22" s="10"/>
      <c r="B22" s="61" t="s">
        <v>43</v>
      </c>
      <c r="C22" s="59"/>
      <c r="D22" s="26"/>
      <c r="E22" s="239"/>
      <c r="F22" s="26"/>
      <c r="G22" s="12"/>
      <c r="H22" s="12"/>
      <c r="I22" s="12"/>
      <c r="J22" s="12"/>
      <c r="K22" s="12"/>
      <c r="L22" s="12"/>
      <c r="M22" s="12"/>
      <c r="N22" s="12"/>
      <c r="O22" s="12"/>
      <c r="P22" s="12"/>
      <c r="Q22" s="12"/>
    </row>
    <row r="23" spans="1:17" ht="15.75" customHeight="1">
      <c r="A23" s="10"/>
      <c r="B23" s="26" t="s">
        <v>40</v>
      </c>
      <c r="C23" s="282">
        <f>-C4*C29</f>
        <v>-5586997.5999999996</v>
      </c>
      <c r="D23" s="55"/>
      <c r="E23" s="241"/>
      <c r="F23" s="55"/>
      <c r="G23" s="278">
        <f>Data!C37</f>
        <v>-6983747</v>
      </c>
      <c r="H23" s="278">
        <f>Data!D37</f>
        <v>-6868850</v>
      </c>
      <c r="I23" s="278">
        <f>Data!E37</f>
        <v>-7360333</v>
      </c>
      <c r="J23" s="278">
        <f>Data!F37</f>
        <v>-6768676</v>
      </c>
      <c r="K23" s="278">
        <f>Data!G37</f>
        <v>-5112187</v>
      </c>
      <c r="L23" s="278">
        <f>Data!H37</f>
        <v>-4111918</v>
      </c>
      <c r="M23" s="278">
        <f>Data!I37</f>
        <v>-3372827</v>
      </c>
      <c r="N23" s="278">
        <f>Data!J37</f>
        <v>-2096800</v>
      </c>
      <c r="O23" s="278">
        <f>Data!K37</f>
        <v>-1690421</v>
      </c>
      <c r="P23" s="278" t="str">
        <f>Data!L37</f>
        <v/>
      </c>
      <c r="Q23" s="278" t="str">
        <f>Data!M37</f>
        <v/>
      </c>
    </row>
    <row r="24" spans="1:17" ht="15.75" customHeight="1">
      <c r="A24" s="10"/>
      <c r="B24" s="65" t="s">
        <v>59</v>
      </c>
      <c r="C24" s="274">
        <f>-C4*C30</f>
        <v>-5744978.4000000004</v>
      </c>
      <c r="D24" s="26"/>
      <c r="E24" s="239"/>
      <c r="F24" s="26"/>
      <c r="G24" s="278">
        <f>Data!C40</f>
        <v>-7181223</v>
      </c>
      <c r="H24" s="278">
        <f>Data!D40</f>
        <v>-6709067</v>
      </c>
      <c r="I24" s="278">
        <f>Data!E40</f>
        <v>-6545373</v>
      </c>
      <c r="J24" s="278">
        <f>Data!F40</f>
        <v>-6729305</v>
      </c>
      <c r="K24" s="278">
        <f>Data!G40</f>
        <v>-5263430</v>
      </c>
      <c r="L24" s="278">
        <f>Data!H40</f>
        <v>-3847985</v>
      </c>
      <c r="M24" s="278">
        <f>Data!I40</f>
        <v>-3661314</v>
      </c>
      <c r="N24" s="278">
        <f>Data!J40</f>
        <v>-2139107</v>
      </c>
      <c r="O24" s="278">
        <f>Data!K40</f>
        <v>-1369520</v>
      </c>
      <c r="P24" s="278" t="str">
        <f>Data!L40</f>
        <v/>
      </c>
      <c r="Q24" s="278" t="str">
        <f>Data!M40</f>
        <v/>
      </c>
    </row>
    <row r="25" spans="1:17" ht="15.75" customHeight="1">
      <c r="A25" s="10"/>
      <c r="B25" s="26" t="s">
        <v>46</v>
      </c>
      <c r="C25" s="274">
        <f>-C4*C31</f>
        <v>0</v>
      </c>
      <c r="D25" s="55"/>
      <c r="E25" s="240"/>
      <c r="F25" s="55"/>
      <c r="G25" s="278">
        <f>Data!C42</f>
        <v>0</v>
      </c>
      <c r="H25" s="278">
        <f>Data!D42</f>
        <v>0</v>
      </c>
      <c r="I25" s="278">
        <f>Data!E42</f>
        <v>0</v>
      </c>
      <c r="J25" s="278">
        <f>Data!F42</f>
        <v>0</v>
      </c>
      <c r="K25" s="278">
        <f>Data!G42</f>
        <v>0</v>
      </c>
      <c r="L25" s="278">
        <f>Data!H42</f>
        <v>0</v>
      </c>
      <c r="M25" s="278">
        <f>Data!I42</f>
        <v>0</v>
      </c>
      <c r="N25" s="278">
        <f>Data!J42</f>
        <v>0</v>
      </c>
      <c r="O25" s="278">
        <f>Data!K42</f>
        <v>0</v>
      </c>
      <c r="P25" s="278" t="str">
        <f>Data!L42</f>
        <v/>
      </c>
      <c r="Q25" s="278" t="str">
        <f>Data!M42</f>
        <v/>
      </c>
    </row>
    <row r="26" spans="1:17" ht="15.75" customHeight="1">
      <c r="A26" s="10"/>
      <c r="B26" s="67" t="s">
        <v>43</v>
      </c>
      <c r="C26" s="275">
        <f>SUM(C23:C25)</f>
        <v>-11331976</v>
      </c>
      <c r="D26" s="9"/>
      <c r="E26" s="247"/>
      <c r="F26" s="9"/>
      <c r="G26" s="275">
        <f>IF(G$4="","",SUM(G23:G25))</f>
        <v>-14164970</v>
      </c>
      <c r="H26" s="275">
        <f t="shared" ref="H26:Q26" si="10">IF(H$4="","",SUM(H23:H25))</f>
        <v>-13577917</v>
      </c>
      <c r="I26" s="275">
        <f t="shared" si="10"/>
        <v>-13905706</v>
      </c>
      <c r="J26" s="275">
        <f t="shared" si="10"/>
        <v>-13497981</v>
      </c>
      <c r="K26" s="275">
        <f t="shared" si="10"/>
        <v>-10375617</v>
      </c>
      <c r="L26" s="275">
        <f t="shared" si="10"/>
        <v>-7959903</v>
      </c>
      <c r="M26" s="275">
        <f t="shared" si="10"/>
        <v>-7034141</v>
      </c>
      <c r="N26" s="275">
        <f t="shared" si="10"/>
        <v>-4235907</v>
      </c>
      <c r="O26" s="275">
        <f t="shared" si="10"/>
        <v>-3059941</v>
      </c>
      <c r="P26" s="275" t="str">
        <f t="shared" si="10"/>
        <v/>
      </c>
      <c r="Q26" s="275" t="str">
        <f t="shared" si="10"/>
        <v/>
      </c>
    </row>
    <row r="27" spans="1:17" ht="15.75" customHeight="1">
      <c r="A27" s="10"/>
      <c r="E27" s="242"/>
    </row>
    <row r="28" spans="1:17" ht="15.75" customHeight="1">
      <c r="A28" s="10"/>
      <c r="B28" s="61" t="s">
        <v>175</v>
      </c>
      <c r="E28" s="242"/>
    </row>
    <row r="29" spans="1:17" ht="15.75" customHeight="1">
      <c r="A29" s="10"/>
      <c r="B29" s="25" t="s">
        <v>40</v>
      </c>
      <c r="C29" s="60">
        <f>G29</f>
        <v>0.33658964120384316</v>
      </c>
      <c r="D29" s="25"/>
      <c r="E29" s="240"/>
      <c r="F29" s="25"/>
      <c r="G29" s="13">
        <f t="shared" ref="G29:Q29" si="11">IF(G$4="","",ABS(G23/G$4))</f>
        <v>0.33658964120384316</v>
      </c>
      <c r="H29" s="13">
        <f t="shared" si="11"/>
        <v>0.35166796085418528</v>
      </c>
      <c r="I29" s="13">
        <f t="shared" si="11"/>
        <v>0.34537826194657922</v>
      </c>
      <c r="J29" s="13">
        <f t="shared" si="11"/>
        <v>0.29718112254138246</v>
      </c>
      <c r="K29" s="13">
        <f t="shared" si="11"/>
        <v>0.27496015186797446</v>
      </c>
      <c r="L29" s="13">
        <f t="shared" si="11"/>
        <v>0.299669518855397</v>
      </c>
      <c r="M29" s="13">
        <f t="shared" si="11"/>
        <v>0.32456254221429981</v>
      </c>
      <c r="N29" s="13">
        <f t="shared" si="11"/>
        <v>0.3561588922520833</v>
      </c>
      <c r="O29" s="13">
        <f t="shared" si="11"/>
        <v>0.45387971853577819</v>
      </c>
      <c r="P29" s="13" t="str">
        <f t="shared" si="11"/>
        <v/>
      </c>
      <c r="Q29" s="13" t="str">
        <f t="shared" si="11"/>
        <v/>
      </c>
    </row>
    <row r="30" spans="1:17" ht="15.75" customHeight="1">
      <c r="A30" s="10"/>
      <c r="B30" s="65" t="str">
        <f>B24</f>
        <v>Selling Expenses</v>
      </c>
      <c r="C30" s="60">
        <f>G30</f>
        <v>0.34610722195044957</v>
      </c>
      <c r="D30" s="25"/>
      <c r="E30" s="240"/>
      <c r="F30" s="25"/>
      <c r="G30" s="13">
        <f t="shared" ref="G30:Q30" si="12">IF(G$4="","",ABS(G24/G$4))</f>
        <v>0.34610722195044957</v>
      </c>
      <c r="H30" s="13">
        <f t="shared" si="12"/>
        <v>0.3434874704097638</v>
      </c>
      <c r="I30" s="13">
        <f t="shared" si="12"/>
        <v>0.3071368578747819</v>
      </c>
      <c r="J30" s="13">
        <f t="shared" si="12"/>
        <v>0.29545252481036727</v>
      </c>
      <c r="K30" s="13">
        <f t="shared" si="12"/>
        <v>0.28309479135768173</v>
      </c>
      <c r="L30" s="13">
        <f t="shared" si="12"/>
        <v>0.28043453529783058</v>
      </c>
      <c r="M30" s="13">
        <f t="shared" si="12"/>
        <v>0.35232325277424753</v>
      </c>
      <c r="N30" s="13">
        <f t="shared" si="12"/>
        <v>0.36334508752798417</v>
      </c>
      <c r="O30" s="13">
        <f t="shared" si="12"/>
        <v>0.36771748110625629</v>
      </c>
      <c r="P30" s="13" t="str">
        <f t="shared" si="12"/>
        <v/>
      </c>
      <c r="Q30" s="13" t="str">
        <f t="shared" si="12"/>
        <v/>
      </c>
    </row>
    <row r="31" spans="1:17" ht="15.75" customHeight="1">
      <c r="A31" s="10"/>
      <c r="B31" s="26" t="str">
        <f>B25</f>
        <v>R&amp;D</v>
      </c>
      <c r="C31" s="60">
        <v>0</v>
      </c>
      <c r="D31" s="26"/>
      <c r="E31" s="239"/>
      <c r="F31" s="26"/>
      <c r="G31" s="13">
        <f t="shared" ref="G31:Q31" si="13">IF(G$4="","",ABS(G25/G$4))</f>
        <v>0</v>
      </c>
      <c r="H31" s="13">
        <f t="shared" si="13"/>
        <v>0</v>
      </c>
      <c r="I31" s="13">
        <f t="shared" si="13"/>
        <v>0</v>
      </c>
      <c r="J31" s="13">
        <f t="shared" si="13"/>
        <v>0</v>
      </c>
      <c r="K31" s="13">
        <f t="shared" si="13"/>
        <v>0</v>
      </c>
      <c r="L31" s="13">
        <f t="shared" si="13"/>
        <v>0</v>
      </c>
      <c r="M31" s="13">
        <f t="shared" si="13"/>
        <v>0</v>
      </c>
      <c r="N31" s="13">
        <f t="shared" si="13"/>
        <v>0</v>
      </c>
      <c r="O31" s="13">
        <f t="shared" si="13"/>
        <v>0</v>
      </c>
      <c r="P31" s="13" t="str">
        <f t="shared" si="13"/>
        <v/>
      </c>
      <c r="Q31" s="13" t="str">
        <f t="shared" si="13"/>
        <v/>
      </c>
    </row>
    <row r="32" spans="1:17" ht="15.75" customHeight="1">
      <c r="A32" s="10"/>
      <c r="B32" s="67" t="s">
        <v>43</v>
      </c>
      <c r="C32" s="68">
        <f>ABS(C26/$C$4)</f>
        <v>0.68269686315429268</v>
      </c>
      <c r="E32" s="242"/>
      <c r="G32" s="29">
        <f t="shared" ref="G32:Q32" si="14">IF(G$4="","",ABS(G26/G$4))</f>
        <v>0.68269686315429268</v>
      </c>
      <c r="H32" s="29">
        <f t="shared" si="14"/>
        <v>0.69515543126394908</v>
      </c>
      <c r="I32" s="29">
        <f t="shared" si="14"/>
        <v>0.65251511982136112</v>
      </c>
      <c r="J32" s="29">
        <f t="shared" si="14"/>
        <v>0.59263364735174973</v>
      </c>
      <c r="K32" s="29">
        <f t="shared" si="14"/>
        <v>0.55805494322565619</v>
      </c>
      <c r="L32" s="29">
        <f t="shared" si="14"/>
        <v>0.58010405415322763</v>
      </c>
      <c r="M32" s="29">
        <f t="shared" si="14"/>
        <v>0.6768857949885474</v>
      </c>
      <c r="N32" s="29">
        <f t="shared" si="14"/>
        <v>0.71950397978006742</v>
      </c>
      <c r="O32" s="29">
        <f t="shared" si="14"/>
        <v>0.82159719964203448</v>
      </c>
      <c r="P32" s="29" t="str">
        <f t="shared" si="14"/>
        <v/>
      </c>
      <c r="Q32" s="29" t="str">
        <f t="shared" si="14"/>
        <v/>
      </c>
    </row>
    <row r="33" spans="1:17" ht="15.75" customHeight="1">
      <c r="A33" s="10"/>
      <c r="E33" s="242"/>
    </row>
    <row r="34" spans="1:17" ht="15.75" customHeight="1">
      <c r="A34" s="10"/>
      <c r="B34" s="61" t="s">
        <v>42</v>
      </c>
      <c r="E34" s="242"/>
    </row>
    <row r="35" spans="1:17" ht="15.75" customHeight="1">
      <c r="A35" s="10"/>
      <c r="B35" s="306" t="s">
        <v>402</v>
      </c>
      <c r="C35" s="284">
        <f>G35</f>
        <v>-1681261</v>
      </c>
      <c r="D35" s="55"/>
      <c r="E35" s="241"/>
      <c r="F35" s="55"/>
      <c r="G35" s="275">
        <f>IF(G4="","",Data!C41)</f>
        <v>-1681261</v>
      </c>
      <c r="H35" s="275">
        <f>IF(H4="","",Data!D41)</f>
        <v>-1762049</v>
      </c>
      <c r="I35" s="275">
        <f>IF(I4="","",Data!E41)</f>
        <v>-1535012</v>
      </c>
      <c r="J35" s="275">
        <f>IF(J4="","",Data!F41)</f>
        <v>-1207982</v>
      </c>
      <c r="K35" s="275">
        <f>IF(K4="","",Data!G41)</f>
        <v>-1161214</v>
      </c>
      <c r="L35" s="275">
        <f>IF(L4="","",Data!H41)</f>
        <v>-913226</v>
      </c>
      <c r="M35" s="275">
        <f>IF(M4="","",Data!I41)</f>
        <v>-580289</v>
      </c>
      <c r="N35" s="275">
        <f>IF(N4="","",Data!J41)</f>
        <v>-360540</v>
      </c>
      <c r="O35" s="275">
        <f>IF(O4="","",Data!K41)</f>
        <v>-230858</v>
      </c>
      <c r="P35" s="275" t="str">
        <f>IF(P4="","",Data!L41)</f>
        <v/>
      </c>
      <c r="Q35" s="275" t="str">
        <f>IF(Q4="","",Data!M41)</f>
        <v/>
      </c>
    </row>
    <row r="36" spans="1:17" ht="15.75" customHeight="1">
      <c r="A36" s="10"/>
      <c r="E36" s="242"/>
    </row>
    <row r="37" spans="1:17" ht="15.75" customHeight="1">
      <c r="A37" s="10"/>
      <c r="B37" s="61" t="s">
        <v>176</v>
      </c>
      <c r="E37" s="242"/>
    </row>
    <row r="38" spans="1:17" ht="15.75" customHeight="1">
      <c r="A38" s="10"/>
      <c r="B38" s="306" t="s">
        <v>402</v>
      </c>
      <c r="C38" s="68">
        <f>ABS(C35/$C$4)</f>
        <v>0.10128786107944893</v>
      </c>
      <c r="E38" s="242"/>
      <c r="G38" s="29">
        <f t="shared" ref="G38:Q38" si="15">IF(G$4="","",ABS(G35/G$4))</f>
        <v>8.1030288863559147E-2</v>
      </c>
      <c r="H38" s="29">
        <f t="shared" si="15"/>
        <v>9.0212507007018106E-2</v>
      </c>
      <c r="I38" s="29">
        <f t="shared" si="15"/>
        <v>7.2029319410839496E-2</v>
      </c>
      <c r="J38" s="29">
        <f t="shared" si="15"/>
        <v>5.3036878522444306E-2</v>
      </c>
      <c r="K38" s="29">
        <f t="shared" si="15"/>
        <v>6.2456161676248956E-2</v>
      </c>
      <c r="L38" s="29">
        <f t="shared" si="15"/>
        <v>6.6554341800162065E-2</v>
      </c>
      <c r="M38" s="29">
        <f t="shared" si="15"/>
        <v>5.5840419048766458E-2</v>
      </c>
      <c r="N38" s="29">
        <f t="shared" si="15"/>
        <v>6.1240712997217721E-2</v>
      </c>
      <c r="O38" s="29">
        <f t="shared" si="15"/>
        <v>6.1985602439707431E-2</v>
      </c>
      <c r="P38" s="29" t="str">
        <f t="shared" si="15"/>
        <v/>
      </c>
      <c r="Q38" s="29" t="str">
        <f t="shared" si="15"/>
        <v/>
      </c>
    </row>
    <row r="39" spans="1:17" ht="15.75" customHeight="1">
      <c r="A39" s="10"/>
      <c r="E39" s="242"/>
    </row>
    <row r="40" spans="1:17" ht="15.75" customHeight="1">
      <c r="A40" s="10"/>
      <c r="B40" s="61" t="s">
        <v>177</v>
      </c>
      <c r="E40" s="242"/>
    </row>
    <row r="41" spans="1:17" ht="15.75" customHeight="1">
      <c r="A41" s="10"/>
      <c r="B41" s="26" t="s">
        <v>142</v>
      </c>
      <c r="C41" s="237">
        <v>0.25</v>
      </c>
      <c r="D41" s="26"/>
      <c r="E41" s="239" t="s">
        <v>411</v>
      </c>
      <c r="F41" s="26"/>
      <c r="G41" s="6">
        <f t="shared" ref="G41:Q41" si="16">IF(G$4="","",-G12/SUM(G8+G9,G10))</f>
        <v>0.38763736261549264</v>
      </c>
      <c r="H41" s="6">
        <f t="shared" si="16"/>
        <v>0.37366990581566273</v>
      </c>
      <c r="I41" s="6">
        <f t="shared" si="16"/>
        <v>0.29470838699078689</v>
      </c>
      <c r="J41" s="6">
        <f t="shared" si="16"/>
        <v>0.34358121123948421</v>
      </c>
      <c r="K41" s="6">
        <f t="shared" si="16"/>
        <v>0.35198444892736369</v>
      </c>
      <c r="L41" s="6">
        <f t="shared" si="16"/>
        <v>0.36604136745142635</v>
      </c>
      <c r="M41" s="6">
        <f t="shared" si="16"/>
        <v>0.34806268326018863</v>
      </c>
      <c r="N41" s="6">
        <f t="shared" si="16"/>
        <v>0.38666571083752688</v>
      </c>
      <c r="O41" s="6">
        <f t="shared" si="16"/>
        <v>0.46408756935072726</v>
      </c>
      <c r="P41" s="6" t="str">
        <f t="shared" si="16"/>
        <v/>
      </c>
      <c r="Q41" s="6" t="str">
        <f t="shared" si="16"/>
        <v/>
      </c>
    </row>
    <row r="42" spans="1:17" ht="15.75" customHeight="1">
      <c r="A42" s="10"/>
    </row>
    <row r="43" spans="1:17" ht="15.75" customHeight="1">
      <c r="A43" s="10"/>
      <c r="B43" s="51" t="s">
        <v>178</v>
      </c>
      <c r="C43" s="51"/>
      <c r="D43" s="53"/>
      <c r="E43" s="63" t="s">
        <v>56</v>
      </c>
      <c r="F43" s="53"/>
      <c r="G43" s="35"/>
      <c r="H43" s="35"/>
      <c r="I43" s="35"/>
      <c r="J43" s="35"/>
      <c r="K43" s="35"/>
      <c r="L43" s="35"/>
      <c r="M43" s="35"/>
      <c r="N43" s="35"/>
      <c r="O43" s="35"/>
      <c r="P43" s="35"/>
      <c r="Q43" s="35"/>
    </row>
    <row r="44" spans="1:17" ht="15.75" customHeight="1">
      <c r="A44" s="10"/>
      <c r="B44" s="61" t="s">
        <v>57</v>
      </c>
      <c r="E44" s="242"/>
    </row>
    <row r="45" spans="1:17" ht="15.75" customHeight="1">
      <c r="A45" s="10"/>
      <c r="B45" s="2" t="s">
        <v>37</v>
      </c>
      <c r="C45" s="274">
        <f>-BS!G31*Normalized_FCF!C52</f>
        <v>-44646</v>
      </c>
      <c r="E45" s="242"/>
      <c r="G45" s="274">
        <f>Data!C51</f>
        <v>-44646</v>
      </c>
      <c r="H45" s="274">
        <f>Data!D51</f>
        <v>-53132</v>
      </c>
      <c r="I45" s="274">
        <f>Data!E51</f>
        <v>-33640</v>
      </c>
      <c r="J45" s="274">
        <f>Data!F51</f>
        <v>-29152</v>
      </c>
      <c r="K45" s="274">
        <f>Data!G51</f>
        <v>-50160</v>
      </c>
      <c r="L45" s="274">
        <f>Data!H51</f>
        <v>-72693</v>
      </c>
      <c r="M45" s="274">
        <f>Data!I51</f>
        <v>-58675</v>
      </c>
      <c r="N45" s="274">
        <f>Data!J51</f>
        <v>-21409</v>
      </c>
      <c r="O45" s="274">
        <f>Data!K51</f>
        <v>-26773</v>
      </c>
      <c r="P45" s="274" t="str">
        <f>Data!L51</f>
        <v/>
      </c>
      <c r="Q45" s="274" t="str">
        <f>Data!M51</f>
        <v/>
      </c>
    </row>
    <row r="46" spans="1:17" ht="15.75" customHeight="1">
      <c r="A46" s="10"/>
      <c r="B46" s="2" t="s">
        <v>274</v>
      </c>
      <c r="C46" s="274">
        <f>BS!D75*C51</f>
        <v>15205.2148620272</v>
      </c>
      <c r="E46" s="242"/>
      <c r="G46" s="282">
        <f t="shared" ref="G46:Q46" si="17">IFERROR(IF(G$4="","",($C$46/$C$47)*G47),0)</f>
        <v>44661.969801055246</v>
      </c>
      <c r="H46" s="282">
        <f t="shared" si="17"/>
        <v>42950.130319194075</v>
      </c>
      <c r="I46" s="282">
        <f t="shared" si="17"/>
        <v>0</v>
      </c>
      <c r="J46" s="282">
        <f t="shared" si="17"/>
        <v>0</v>
      </c>
      <c r="K46" s="282">
        <f t="shared" si="17"/>
        <v>0</v>
      </c>
      <c r="L46" s="282">
        <f t="shared" si="17"/>
        <v>0</v>
      </c>
      <c r="M46" s="282">
        <f t="shared" si="17"/>
        <v>0</v>
      </c>
      <c r="N46" s="282">
        <f t="shared" si="17"/>
        <v>0</v>
      </c>
      <c r="O46" s="282">
        <f t="shared" si="17"/>
        <v>0</v>
      </c>
      <c r="P46" s="282" t="str">
        <f t="shared" si="17"/>
        <v/>
      </c>
      <c r="Q46" s="282" t="str">
        <f t="shared" si="17"/>
        <v/>
      </c>
    </row>
    <row r="47" spans="1:17" ht="15.75" customHeight="1">
      <c r="A47" s="10"/>
      <c r="B47" s="252" t="s">
        <v>271</v>
      </c>
      <c r="C47" s="286">
        <f>BS!$C$66*C51</f>
        <v>105647.07</v>
      </c>
      <c r="D47" s="253"/>
      <c r="E47" s="254"/>
      <c r="F47" s="253"/>
      <c r="G47" s="286">
        <f>Data!C52</f>
        <v>310315</v>
      </c>
      <c r="H47" s="286">
        <f>Data!D52</f>
        <v>298421</v>
      </c>
      <c r="I47" s="286">
        <f>Data!E52</f>
        <v>0</v>
      </c>
      <c r="J47" s="286">
        <f>Data!F52</f>
        <v>0</v>
      </c>
      <c r="K47" s="286">
        <f>Data!G52</f>
        <v>0</v>
      </c>
      <c r="L47" s="286">
        <f>Data!H52</f>
        <v>0</v>
      </c>
      <c r="M47" s="286">
        <f>Data!I52</f>
        <v>0</v>
      </c>
      <c r="N47" s="286">
        <f>Data!J52</f>
        <v>0</v>
      </c>
      <c r="O47" s="286">
        <f>Data!K52</f>
        <v>0</v>
      </c>
      <c r="P47" s="286" t="str">
        <f>Data!L52</f>
        <v/>
      </c>
      <c r="Q47" s="286" t="str">
        <f>Data!M52</f>
        <v/>
      </c>
    </row>
    <row r="48" spans="1:17" ht="15.75" customHeight="1">
      <c r="A48" s="10"/>
      <c r="B48" s="67" t="s">
        <v>65</v>
      </c>
      <c r="C48" s="275">
        <f>C45+C46</f>
        <v>-29440.785137972802</v>
      </c>
      <c r="E48" s="242"/>
      <c r="G48" s="275">
        <f>IF(G$4="","",(G45+G46))</f>
        <v>15.969801055245625</v>
      </c>
      <c r="H48" s="275">
        <f t="shared" ref="H48:Q48" si="18">IF(H$4="","",(H45+H46))</f>
        <v>-10181.869680805925</v>
      </c>
      <c r="I48" s="275">
        <f t="shared" si="18"/>
        <v>-33640</v>
      </c>
      <c r="J48" s="275">
        <f t="shared" si="18"/>
        <v>-29152</v>
      </c>
      <c r="K48" s="275">
        <f t="shared" si="18"/>
        <v>-50160</v>
      </c>
      <c r="L48" s="275">
        <f t="shared" si="18"/>
        <v>-72693</v>
      </c>
      <c r="M48" s="275">
        <f t="shared" si="18"/>
        <v>-58675</v>
      </c>
      <c r="N48" s="275">
        <f t="shared" si="18"/>
        <v>-21409</v>
      </c>
      <c r="O48" s="275">
        <f t="shared" si="18"/>
        <v>-26773</v>
      </c>
      <c r="P48" s="275" t="str">
        <f t="shared" si="18"/>
        <v/>
      </c>
      <c r="Q48" s="275" t="str">
        <f t="shared" si="18"/>
        <v/>
      </c>
    </row>
    <row r="49" spans="1:17" ht="15.75" customHeight="1">
      <c r="A49" s="10"/>
      <c r="E49" s="242"/>
    </row>
    <row r="50" spans="1:17" ht="15.75" customHeight="1">
      <c r="A50" s="10"/>
      <c r="B50" s="69" t="s">
        <v>130</v>
      </c>
      <c r="E50" s="242"/>
      <c r="G50" s="94" t="s">
        <v>188</v>
      </c>
    </row>
    <row r="51" spans="1:17" ht="15.75" customHeight="1">
      <c r="A51" s="10"/>
      <c r="B51" s="8" t="s">
        <v>85</v>
      </c>
      <c r="C51" s="84">
        <v>6.0000000000000001E-3</v>
      </c>
      <c r="E51" s="239"/>
      <c r="G51" s="6">
        <f>IF(Normalized_FCF!G4="","",Normalized_FCF!G47/BS!$C$66)</f>
        <v>1.7623678536470535E-2</v>
      </c>
      <c r="H51" s="152"/>
      <c r="I51" s="152"/>
      <c r="J51" s="152"/>
      <c r="K51" s="152"/>
      <c r="L51" s="152"/>
      <c r="M51" s="152"/>
      <c r="N51" s="152"/>
      <c r="O51" s="152"/>
      <c r="P51" s="152"/>
      <c r="Q51" s="152"/>
    </row>
    <row r="52" spans="1:17" ht="15.75" customHeight="1">
      <c r="A52" s="10"/>
      <c r="B52" s="8" t="s">
        <v>84</v>
      </c>
      <c r="C52" s="79">
        <f>G52</f>
        <v>5.283469011719346E-2</v>
      </c>
      <c r="E52" s="239"/>
      <c r="G52" s="22">
        <f>IFERROR(ABS(Normalized_FCF!G45/BS!$G$31),0)</f>
        <v>5.283469011719346E-2</v>
      </c>
      <c r="H52" s="152"/>
      <c r="I52" s="152"/>
      <c r="J52" s="152"/>
      <c r="K52" s="152"/>
      <c r="L52" s="152"/>
      <c r="M52" s="152"/>
      <c r="N52" s="152"/>
      <c r="O52" s="152"/>
      <c r="P52" s="152"/>
      <c r="Q52" s="152"/>
    </row>
    <row r="53" spans="1:17" ht="15.75" customHeight="1">
      <c r="A53" s="10"/>
      <c r="B53" s="25" t="s">
        <v>87</v>
      </c>
      <c r="C53" s="40">
        <f>-C8/C45</f>
        <v>80.311853245531509</v>
      </c>
      <c r="E53" s="242"/>
      <c r="G53" s="40">
        <f t="shared" ref="G53:Q53" si="19">IF(G4="","",-G8/G45)</f>
        <v>109.80421538323702</v>
      </c>
      <c r="H53" s="40">
        <f t="shared" si="19"/>
        <v>78.902299932244219</v>
      </c>
      <c r="I53" s="40">
        <f t="shared" si="19"/>
        <v>174.50104042806183</v>
      </c>
      <c r="J53" s="40">
        <f t="shared" si="19"/>
        <v>276.83527716794731</v>
      </c>
      <c r="K53" s="40">
        <f t="shared" si="19"/>
        <v>140.66255980861243</v>
      </c>
      <c r="L53" s="40">
        <f t="shared" si="19"/>
        <v>66.696655799045303</v>
      </c>
      <c r="M53" s="40">
        <f t="shared" si="19"/>
        <v>47.336804431188753</v>
      </c>
      <c r="N53" s="40">
        <f t="shared" si="19"/>
        <v>60.293007613620439</v>
      </c>
      <c r="O53" s="40">
        <f t="shared" si="19"/>
        <v>16.194748440593134</v>
      </c>
      <c r="P53" s="40" t="str">
        <f t="shared" si="19"/>
        <v/>
      </c>
      <c r="Q53" s="40" t="str">
        <f t="shared" si="19"/>
        <v/>
      </c>
    </row>
    <row r="54" spans="1:17" ht="15.75" customHeight="1">
      <c r="A54" s="10"/>
      <c r="E54" s="242"/>
    </row>
    <row r="55" spans="1:17" ht="15.75" customHeight="1">
      <c r="A55" s="10"/>
      <c r="B55" s="61" t="s">
        <v>139</v>
      </c>
      <c r="E55" s="242"/>
      <c r="G55" s="94" t="s">
        <v>188</v>
      </c>
    </row>
    <row r="56" spans="1:17" ht="15.75" customHeight="1">
      <c r="A56" s="10"/>
      <c r="B56" s="38" t="s">
        <v>138</v>
      </c>
      <c r="C56" s="274">
        <f>BS!$C67*C64</f>
        <v>0</v>
      </c>
      <c r="E56" s="242"/>
      <c r="G56" s="274">
        <f>Data!C56</f>
        <v>0</v>
      </c>
      <c r="H56" s="274">
        <f>Data!D56</f>
        <v>0</v>
      </c>
      <c r="I56" s="274">
        <f>Data!E56</f>
        <v>0</v>
      </c>
      <c r="J56" s="274">
        <f>Data!F56</f>
        <v>0</v>
      </c>
      <c r="K56" s="274">
        <f>Data!G56</f>
        <v>0</v>
      </c>
      <c r="L56" s="274">
        <f>Data!H56</f>
        <v>0</v>
      </c>
      <c r="M56" s="274">
        <f>Data!I56</f>
        <v>0</v>
      </c>
      <c r="N56" s="274">
        <f>Data!J56</f>
        <v>0</v>
      </c>
      <c r="O56" s="274">
        <f>Data!K56</f>
        <v>0</v>
      </c>
      <c r="P56" s="274" t="str">
        <f>Data!L56</f>
        <v/>
      </c>
      <c r="Q56" s="274" t="str">
        <f>Data!M56</f>
        <v/>
      </c>
    </row>
    <row r="57" spans="1:17" ht="15.75" customHeight="1">
      <c r="A57" s="10"/>
      <c r="B57" s="38" t="s">
        <v>134</v>
      </c>
      <c r="C57" s="274">
        <f>BS!$C68*C65</f>
        <v>-12182</v>
      </c>
      <c r="E57" s="242"/>
      <c r="G57" s="274">
        <f>Data!C55</f>
        <v>-12182</v>
      </c>
      <c r="H57" s="274">
        <f>Data!D55</f>
        <v>-7408</v>
      </c>
      <c r="I57" s="274">
        <f>Data!E55</f>
        <v>-17253</v>
      </c>
      <c r="J57" s="274">
        <f>Data!F55</f>
        <v>-15586</v>
      </c>
      <c r="K57" s="274">
        <f>Data!G55</f>
        <v>-5571</v>
      </c>
      <c r="L57" s="274">
        <f>Data!H55</f>
        <v>0</v>
      </c>
      <c r="M57" s="274">
        <f>Data!I55</f>
        <v>0</v>
      </c>
      <c r="N57" s="274">
        <f>Data!J55</f>
        <v>0</v>
      </c>
      <c r="O57" s="274">
        <f>Data!K55</f>
        <v>0</v>
      </c>
      <c r="P57" s="274" t="str">
        <f>Data!L55</f>
        <v/>
      </c>
      <c r="Q57" s="274" t="str">
        <f>Data!M55</f>
        <v/>
      </c>
    </row>
    <row r="58" spans="1:17" ht="15.75" customHeight="1">
      <c r="A58" s="10"/>
      <c r="B58" s="38" t="s">
        <v>133</v>
      </c>
      <c r="C58" s="274">
        <f>BS!$C69*C66</f>
        <v>0</v>
      </c>
      <c r="E58" s="242"/>
      <c r="G58" s="274">
        <f>Data!C57</f>
        <v>0</v>
      </c>
      <c r="H58" s="274">
        <f>Data!D57</f>
        <v>0</v>
      </c>
      <c r="I58" s="274">
        <f>Data!E57</f>
        <v>0</v>
      </c>
      <c r="J58" s="274">
        <f>Data!F57</f>
        <v>0</v>
      </c>
      <c r="K58" s="274">
        <f>Data!G57</f>
        <v>0</v>
      </c>
      <c r="L58" s="274">
        <f>Data!H57</f>
        <v>0</v>
      </c>
      <c r="M58" s="274">
        <f>Data!I57</f>
        <v>0</v>
      </c>
      <c r="N58" s="274">
        <f>Data!J57</f>
        <v>0</v>
      </c>
      <c r="O58" s="274">
        <f>Data!K57</f>
        <v>0</v>
      </c>
      <c r="P58" s="274" t="str">
        <f>Data!L57</f>
        <v/>
      </c>
      <c r="Q58" s="274" t="str">
        <f>Data!M57</f>
        <v/>
      </c>
    </row>
    <row r="59" spans="1:17" ht="15.75" customHeight="1">
      <c r="A59" s="10"/>
      <c r="B59" s="30" t="s">
        <v>163</v>
      </c>
      <c r="C59" s="275">
        <f>SUM(C56:C58)</f>
        <v>-12182</v>
      </c>
      <c r="E59" s="242"/>
      <c r="G59" s="275">
        <f t="shared" ref="G59:Q59" si="20">IF(G4="","",SUM(G56:G58))</f>
        <v>-12182</v>
      </c>
      <c r="H59" s="275">
        <f t="shared" si="20"/>
        <v>-7408</v>
      </c>
      <c r="I59" s="275">
        <f t="shared" si="20"/>
        <v>-17253</v>
      </c>
      <c r="J59" s="275">
        <f t="shared" si="20"/>
        <v>-15586</v>
      </c>
      <c r="K59" s="275">
        <f t="shared" si="20"/>
        <v>-5571</v>
      </c>
      <c r="L59" s="275">
        <f t="shared" si="20"/>
        <v>0</v>
      </c>
      <c r="M59" s="275">
        <f t="shared" si="20"/>
        <v>0</v>
      </c>
      <c r="N59" s="275">
        <f t="shared" si="20"/>
        <v>0</v>
      </c>
      <c r="O59" s="275">
        <f t="shared" si="20"/>
        <v>0</v>
      </c>
      <c r="P59" s="275" t="str">
        <f t="shared" si="20"/>
        <v/>
      </c>
      <c r="Q59" s="275" t="str">
        <f t="shared" si="20"/>
        <v/>
      </c>
    </row>
    <row r="60" spans="1:17" ht="15.75" customHeight="1">
      <c r="A60" s="10"/>
      <c r="B60" s="38" t="s">
        <v>135</v>
      </c>
      <c r="C60" s="287">
        <v>0</v>
      </c>
      <c r="E60" s="240" t="s">
        <v>266</v>
      </c>
      <c r="G60" s="274">
        <f>Data!C58</f>
        <v>393920</v>
      </c>
      <c r="H60" s="274">
        <f>Data!D58</f>
        <v>420174</v>
      </c>
      <c r="I60" s="274">
        <f>Data!E58</f>
        <v>843787</v>
      </c>
      <c r="J60" s="274">
        <f>Data!F58</f>
        <v>1646765</v>
      </c>
      <c r="K60" s="274">
        <f>Data!G58</f>
        <v>2900586</v>
      </c>
      <c r="L60" s="274">
        <f>Data!H58</f>
        <v>906989</v>
      </c>
      <c r="M60" s="274">
        <f>Data!I58</f>
        <v>469759</v>
      </c>
      <c r="N60" s="274">
        <f>Data!J58</f>
        <v>381657</v>
      </c>
      <c r="O60" s="274">
        <f>Data!K58</f>
        <v>188138</v>
      </c>
      <c r="P60" s="274" t="str">
        <f>Data!L58</f>
        <v/>
      </c>
      <c r="Q60" s="274" t="str">
        <f>Data!M58</f>
        <v/>
      </c>
    </row>
    <row r="61" spans="1:17" ht="15.75" customHeight="1">
      <c r="A61" s="10"/>
      <c r="B61" s="30" t="s">
        <v>164</v>
      </c>
      <c r="C61" s="275">
        <f>C59+C60</f>
        <v>-12182</v>
      </c>
      <c r="E61" s="242"/>
      <c r="G61" s="275">
        <f t="shared" ref="G61:Q61" si="21">IF(G4="","",G59+G60)</f>
        <v>381738</v>
      </c>
      <c r="H61" s="275">
        <f t="shared" si="21"/>
        <v>412766</v>
      </c>
      <c r="I61" s="275">
        <f t="shared" si="21"/>
        <v>826534</v>
      </c>
      <c r="J61" s="275">
        <f t="shared" si="21"/>
        <v>1631179</v>
      </c>
      <c r="K61" s="275">
        <f t="shared" si="21"/>
        <v>2895015</v>
      </c>
      <c r="L61" s="275">
        <f t="shared" si="21"/>
        <v>906989</v>
      </c>
      <c r="M61" s="275">
        <f t="shared" si="21"/>
        <v>469759</v>
      </c>
      <c r="N61" s="275">
        <f t="shared" si="21"/>
        <v>381657</v>
      </c>
      <c r="O61" s="275">
        <f t="shared" si="21"/>
        <v>188138</v>
      </c>
      <c r="P61" s="275" t="str">
        <f t="shared" si="21"/>
        <v/>
      </c>
      <c r="Q61" s="275" t="str">
        <f t="shared" si="21"/>
        <v/>
      </c>
    </row>
    <row r="62" spans="1:17" ht="15.75" customHeight="1">
      <c r="A62" s="10"/>
      <c r="E62" s="242"/>
    </row>
    <row r="63" spans="1:17" ht="15.75" customHeight="1">
      <c r="A63" s="10"/>
      <c r="B63" s="93" t="s">
        <v>140</v>
      </c>
      <c r="E63" s="242"/>
      <c r="G63" s="94" t="s">
        <v>188</v>
      </c>
    </row>
    <row r="64" spans="1:17" ht="15.75" customHeight="1">
      <c r="A64" s="10"/>
      <c r="B64" s="38" t="s">
        <v>138</v>
      </c>
      <c r="C64" s="159">
        <f>G64</f>
        <v>0</v>
      </c>
      <c r="E64" s="242"/>
      <c r="G64" s="22">
        <f>IFERROR(G56/BS!$C$67,0)</f>
        <v>0</v>
      </c>
      <c r="H64" s="158"/>
      <c r="I64" s="158"/>
      <c r="J64" s="158"/>
      <c r="K64" s="158"/>
      <c r="L64" s="158"/>
      <c r="M64" s="158"/>
      <c r="N64" s="158"/>
      <c r="O64" s="158"/>
      <c r="P64" s="158"/>
      <c r="Q64" s="158"/>
    </row>
    <row r="65" spans="1:17" ht="15.75" customHeight="1">
      <c r="A65" s="10"/>
      <c r="B65" s="102" t="s">
        <v>132</v>
      </c>
      <c r="C65" s="159">
        <f>G65</f>
        <v>-0.1079170468538221</v>
      </c>
      <c r="E65" s="242"/>
      <c r="G65" s="22">
        <f>IFERROR(G57/BS!$C$68,0)</f>
        <v>-0.1079170468538221</v>
      </c>
      <c r="H65" s="158"/>
      <c r="I65" s="158"/>
      <c r="J65" s="158"/>
      <c r="K65" s="158"/>
      <c r="L65" s="158"/>
      <c r="M65" s="158"/>
      <c r="N65" s="158"/>
      <c r="O65" s="158"/>
      <c r="P65" s="158"/>
      <c r="Q65" s="158"/>
    </row>
    <row r="66" spans="1:17" ht="15.75" customHeight="1">
      <c r="A66" s="10"/>
      <c r="B66" s="102" t="s">
        <v>133</v>
      </c>
      <c r="C66" s="159">
        <f>G66</f>
        <v>0</v>
      </c>
      <c r="E66" s="242"/>
      <c r="G66" s="22">
        <f>IFERROR(G58/BS!$C$69,0)</f>
        <v>0</v>
      </c>
      <c r="H66" s="158"/>
      <c r="I66" s="158"/>
      <c r="J66" s="158"/>
      <c r="K66" s="158"/>
      <c r="L66" s="158"/>
      <c r="M66" s="158"/>
      <c r="N66" s="158"/>
      <c r="O66" s="158"/>
      <c r="P66" s="158"/>
      <c r="Q66" s="158"/>
    </row>
    <row r="67" spans="1:17" ht="15.75" customHeight="1">
      <c r="A67" s="10"/>
      <c r="B67" s="30" t="s">
        <v>163</v>
      </c>
      <c r="C67" s="68">
        <f>C59/BS!C70</f>
        <v>-6.874435406942649E-4</v>
      </c>
      <c r="D67" s="9"/>
      <c r="E67" s="247"/>
      <c r="F67" s="9"/>
      <c r="G67" s="68">
        <f>G59/BS!C70</f>
        <v>-6.874435406942649E-4</v>
      </c>
      <c r="H67" s="158"/>
      <c r="I67" s="158"/>
      <c r="J67" s="158"/>
      <c r="K67" s="158"/>
      <c r="L67" s="158"/>
      <c r="M67" s="158"/>
      <c r="N67" s="158"/>
      <c r="O67" s="158"/>
      <c r="P67" s="158"/>
      <c r="Q67" s="158"/>
    </row>
    <row r="68" spans="1:17" ht="15.75" customHeight="1">
      <c r="A68" s="10"/>
    </row>
    <row r="69" spans="1:17" ht="15.75" customHeight="1">
      <c r="A69" s="10"/>
      <c r="B69" s="51" t="s">
        <v>181</v>
      </c>
      <c r="C69" s="51"/>
      <c r="D69" s="53"/>
      <c r="E69" s="63" t="s">
        <v>56</v>
      </c>
      <c r="F69" s="53"/>
      <c r="G69" s="35"/>
      <c r="H69" s="35"/>
      <c r="I69" s="35"/>
      <c r="J69" s="35"/>
      <c r="K69" s="35"/>
      <c r="L69" s="35"/>
      <c r="M69" s="35"/>
      <c r="N69" s="35"/>
      <c r="O69" s="35"/>
      <c r="P69" s="35"/>
      <c r="Q69" s="35"/>
    </row>
    <row r="70" spans="1:17" ht="15.75" customHeight="1">
      <c r="A70" s="10"/>
      <c r="B70" s="69" t="s">
        <v>185</v>
      </c>
      <c r="C70" s="59"/>
      <c r="D70" s="26"/>
      <c r="E70" s="239"/>
      <c r="F70" s="26"/>
      <c r="G70" s="94"/>
      <c r="H70" s="12"/>
      <c r="I70" s="12"/>
      <c r="J70" s="12"/>
      <c r="K70" s="12"/>
      <c r="L70" s="12"/>
      <c r="M70" s="12"/>
      <c r="N70" s="12"/>
      <c r="O70" s="12"/>
      <c r="P70" s="12"/>
      <c r="Q70" s="12"/>
    </row>
    <row r="71" spans="1:17" ht="15.75" customHeight="1">
      <c r="A71" s="10"/>
      <c r="B71" s="2" t="s">
        <v>43</v>
      </c>
      <c r="C71" s="74">
        <f t="shared" ref="C71:C76" si="22">ABS(C5/C$4)</f>
        <v>0.68269686315429268</v>
      </c>
      <c r="D71" s="26"/>
      <c r="E71" s="239"/>
      <c r="F71" s="26"/>
      <c r="G71" s="6">
        <f t="shared" ref="G71:Q71" si="23">IF(G$4="","",ABS(G5/G$4))</f>
        <v>0.68269686315429268</v>
      </c>
      <c r="H71" s="6">
        <f t="shared" si="23"/>
        <v>0.69515543126394908</v>
      </c>
      <c r="I71" s="6">
        <f t="shared" si="23"/>
        <v>0.65251511982136112</v>
      </c>
      <c r="J71" s="6">
        <f t="shared" si="23"/>
        <v>0.59263364735174973</v>
      </c>
      <c r="K71" s="6">
        <f t="shared" si="23"/>
        <v>0.55805494322565619</v>
      </c>
      <c r="L71" s="6">
        <f t="shared" si="23"/>
        <v>0.58010405415322763</v>
      </c>
      <c r="M71" s="6">
        <f t="shared" si="23"/>
        <v>0.6768857949885474</v>
      </c>
      <c r="N71" s="6">
        <f t="shared" si="23"/>
        <v>0.71950397978006742</v>
      </c>
      <c r="O71" s="6">
        <f t="shared" si="23"/>
        <v>0.82159719964203448</v>
      </c>
      <c r="P71" s="6" t="str">
        <f t="shared" si="23"/>
        <v/>
      </c>
      <c r="Q71" s="6" t="str">
        <f t="shared" si="23"/>
        <v/>
      </c>
    </row>
    <row r="72" spans="1:17" ht="15.75" customHeight="1">
      <c r="A72" s="10"/>
      <c r="B72" s="30" t="s">
        <v>45</v>
      </c>
      <c r="C72" s="75">
        <f t="shared" si="22"/>
        <v>0.31730313684570727</v>
      </c>
      <c r="D72" s="26"/>
      <c r="E72" s="239"/>
      <c r="F72" s="26"/>
      <c r="G72" s="62">
        <f t="shared" ref="G72:Q72" si="24">IF(G$4="","",ABS(G6/G$4))</f>
        <v>0.31730313684570727</v>
      </c>
      <c r="H72" s="62">
        <f t="shared" si="24"/>
        <v>0.30484456873605092</v>
      </c>
      <c r="I72" s="62">
        <f t="shared" si="24"/>
        <v>0.34748488017863882</v>
      </c>
      <c r="J72" s="62">
        <f t="shared" si="24"/>
        <v>0.40736635264825027</v>
      </c>
      <c r="K72" s="62">
        <f t="shared" si="24"/>
        <v>0.44194505677434381</v>
      </c>
      <c r="L72" s="62">
        <f t="shared" si="24"/>
        <v>0.41989594584677237</v>
      </c>
      <c r="M72" s="62">
        <f t="shared" si="24"/>
        <v>0.32311420501145266</v>
      </c>
      <c r="N72" s="62">
        <f t="shared" si="24"/>
        <v>0.28049602021993253</v>
      </c>
      <c r="O72" s="62">
        <f t="shared" si="24"/>
        <v>0.17840280035796552</v>
      </c>
      <c r="P72" s="62" t="str">
        <f t="shared" si="24"/>
        <v/>
      </c>
      <c r="Q72" s="62" t="str">
        <f t="shared" si="24"/>
        <v/>
      </c>
    </row>
    <row r="73" spans="1:17" ht="15.75" customHeight="1">
      <c r="A73" s="10"/>
      <c r="B73" s="8" t="s">
        <v>42</v>
      </c>
      <c r="C73" s="74">
        <f t="shared" si="22"/>
        <v>0.10128786107944893</v>
      </c>
      <c r="D73" s="26"/>
      <c r="E73" s="239"/>
      <c r="F73" s="26"/>
      <c r="G73" s="6">
        <f t="shared" ref="G73:Q73" si="25">IF(G$4="","",ABS(G7/G$4))</f>
        <v>8.1030288863559147E-2</v>
      </c>
      <c r="H73" s="6">
        <f t="shared" si="25"/>
        <v>9.0212507007018106E-2</v>
      </c>
      <c r="I73" s="6">
        <f t="shared" si="25"/>
        <v>7.2029319410839496E-2</v>
      </c>
      <c r="J73" s="6">
        <f t="shared" si="25"/>
        <v>5.3036878522444306E-2</v>
      </c>
      <c r="K73" s="6">
        <f t="shared" si="25"/>
        <v>6.2456161676248956E-2</v>
      </c>
      <c r="L73" s="6">
        <f t="shared" si="25"/>
        <v>6.6554341800162065E-2</v>
      </c>
      <c r="M73" s="6">
        <f t="shared" si="25"/>
        <v>5.5840419048766458E-2</v>
      </c>
      <c r="N73" s="6">
        <f t="shared" si="25"/>
        <v>6.1240712997217721E-2</v>
      </c>
      <c r="O73" s="6">
        <f t="shared" si="25"/>
        <v>6.1985602439707431E-2</v>
      </c>
      <c r="P73" s="6" t="str">
        <f t="shared" si="25"/>
        <v/>
      </c>
      <c r="Q73" s="6" t="str">
        <f t="shared" si="25"/>
        <v/>
      </c>
    </row>
    <row r="74" spans="1:17" ht="15.75" customHeight="1">
      <c r="A74" s="10"/>
      <c r="B74" s="28" t="s">
        <v>127</v>
      </c>
      <c r="C74" s="75">
        <f t="shared" si="22"/>
        <v>0.21601527576625837</v>
      </c>
      <c r="D74" s="26"/>
      <c r="E74" s="239"/>
      <c r="F74" s="26"/>
      <c r="G74" s="62">
        <f t="shared" ref="G74:Q74" si="26">IF(G$4="","",ABS(G8/G$4))</f>
        <v>0.23627284798214815</v>
      </c>
      <c r="H74" s="62">
        <f t="shared" si="26"/>
        <v>0.21463206172903282</v>
      </c>
      <c r="I74" s="62">
        <f t="shared" si="26"/>
        <v>0.27545556076779931</v>
      </c>
      <c r="J74" s="62">
        <f t="shared" si="26"/>
        <v>0.35432947412580595</v>
      </c>
      <c r="K74" s="62">
        <f t="shared" si="26"/>
        <v>0.37948889509809486</v>
      </c>
      <c r="L74" s="62">
        <f t="shared" si="26"/>
        <v>0.3533416040466103</v>
      </c>
      <c r="M74" s="62">
        <f t="shared" si="26"/>
        <v>0.26727378596268619</v>
      </c>
      <c r="N74" s="62">
        <f t="shared" si="26"/>
        <v>0.2192553072227148</v>
      </c>
      <c r="O74" s="62">
        <f t="shared" si="26"/>
        <v>0.11641719791825809</v>
      </c>
      <c r="P74" s="62" t="str">
        <f t="shared" si="26"/>
        <v/>
      </c>
      <c r="Q74" s="62" t="str">
        <f t="shared" si="26"/>
        <v/>
      </c>
    </row>
    <row r="75" spans="1:17" ht="15.75" customHeight="1">
      <c r="A75" s="10"/>
      <c r="B75" s="26" t="s">
        <v>128</v>
      </c>
      <c r="C75" s="74">
        <f t="shared" si="22"/>
        <v>7.3390670673372351E-4</v>
      </c>
      <c r="D75" s="26"/>
      <c r="E75" s="239"/>
      <c r="F75" s="26"/>
      <c r="G75" s="6">
        <f t="shared" ref="G75:Q75" si="27">IF(G$4="","",G9/G$4)</f>
        <v>-5.8712536538697889E-4</v>
      </c>
      <c r="H75" s="6">
        <f t="shared" si="27"/>
        <v>-3.7927109399794792E-4</v>
      </c>
      <c r="I75" s="6">
        <f t="shared" si="27"/>
        <v>-8.0958445132364688E-4</v>
      </c>
      <c r="J75" s="6">
        <f t="shared" si="27"/>
        <v>-6.8430886275690943E-4</v>
      </c>
      <c r="K75" s="6">
        <f t="shared" si="27"/>
        <v>-2.9963751444469572E-4</v>
      </c>
      <c r="L75" s="6">
        <f t="shared" si="27"/>
        <v>0</v>
      </c>
      <c r="M75" s="6">
        <f t="shared" si="27"/>
        <v>0</v>
      </c>
      <c r="N75" s="6">
        <f t="shared" si="27"/>
        <v>0</v>
      </c>
      <c r="O75" s="6">
        <f t="shared" si="27"/>
        <v>0</v>
      </c>
      <c r="P75" s="6" t="str">
        <f t="shared" si="27"/>
        <v/>
      </c>
      <c r="Q75" s="6" t="str">
        <f t="shared" si="27"/>
        <v/>
      </c>
    </row>
    <row r="76" spans="1:17" ht="15.75" customHeight="1">
      <c r="A76" s="10"/>
      <c r="B76" s="2" t="s">
        <v>65</v>
      </c>
      <c r="C76" s="74">
        <f t="shared" si="22"/>
        <v>1.7736652162423882E-3</v>
      </c>
      <c r="D76" s="26"/>
      <c r="E76" s="239"/>
      <c r="F76" s="26"/>
      <c r="G76" s="6">
        <f t="shared" ref="G76:Q76" si="28">IF(G$4="","",ABS(G10/G$4))</f>
        <v>7.6968275157761021E-7</v>
      </c>
      <c r="H76" s="6">
        <f t="shared" si="28"/>
        <v>5.212862922224352E-4</v>
      </c>
      <c r="I76" s="6">
        <f t="shared" si="28"/>
        <v>1.5785324837725313E-3</v>
      </c>
      <c r="J76" s="6">
        <f t="shared" si="28"/>
        <v>1.2799289084492124E-3</v>
      </c>
      <c r="K76" s="6">
        <f t="shared" si="28"/>
        <v>2.6978671198251551E-3</v>
      </c>
      <c r="L76" s="6">
        <f t="shared" si="28"/>
        <v>5.2977409408833968E-3</v>
      </c>
      <c r="M76" s="6">
        <f t="shared" si="28"/>
        <v>5.6462152266997514E-3</v>
      </c>
      <c r="N76" s="6">
        <f t="shared" si="28"/>
        <v>3.636496434674195E-3</v>
      </c>
      <c r="O76" s="6">
        <f t="shared" si="28"/>
        <v>7.1885771085181674E-3</v>
      </c>
      <c r="P76" s="6" t="str">
        <f t="shared" si="28"/>
        <v/>
      </c>
      <c r="Q76" s="6" t="str">
        <f t="shared" si="28"/>
        <v/>
      </c>
    </row>
    <row r="77" spans="1:17" ht="15.75" customHeight="1">
      <c r="A77" s="10"/>
      <c r="B77" s="67" t="s">
        <v>137</v>
      </c>
      <c r="C77" s="75">
        <f>C11/C4</f>
        <v>0.21350770384328224</v>
      </c>
      <c r="D77" s="26"/>
      <c r="E77" s="239"/>
      <c r="F77" s="26"/>
      <c r="G77" s="62">
        <f t="shared" ref="G77:Q77" si="29">IF(G$4="","",G11/G$4)</f>
        <v>0.23568649229951275</v>
      </c>
      <c r="H77" s="62">
        <f t="shared" si="29"/>
        <v>0.21373150434281243</v>
      </c>
      <c r="I77" s="62">
        <f t="shared" si="29"/>
        <v>0.27306744383270315</v>
      </c>
      <c r="J77" s="62">
        <f t="shared" si="29"/>
        <v>0.35236523635459982</v>
      </c>
      <c r="K77" s="62">
        <f t="shared" si="29"/>
        <v>0.37649139046382502</v>
      </c>
      <c r="L77" s="62">
        <f t="shared" si="29"/>
        <v>0.34804386310572694</v>
      </c>
      <c r="M77" s="62">
        <f t="shared" si="29"/>
        <v>0.26162757073598641</v>
      </c>
      <c r="N77" s="62">
        <f t="shared" si="29"/>
        <v>0.21561881078804063</v>
      </c>
      <c r="O77" s="62">
        <f t="shared" si="29"/>
        <v>0.10922862080973993</v>
      </c>
      <c r="P77" s="62" t="str">
        <f t="shared" si="29"/>
        <v/>
      </c>
      <c r="Q77" s="62" t="str">
        <f t="shared" si="29"/>
        <v/>
      </c>
    </row>
    <row r="78" spans="1:17" ht="15.75" customHeight="1">
      <c r="A78" s="10"/>
      <c r="B78" s="2" t="s">
        <v>60</v>
      </c>
      <c r="C78" s="74">
        <f>ABS(C12/C$4)</f>
        <v>5.3376925960820561E-2</v>
      </c>
      <c r="D78" s="26"/>
      <c r="E78" s="239"/>
      <c r="F78" s="26"/>
      <c r="G78" s="6">
        <f t="shared" ref="G78:Q78" si="30">IF(G$4="","",ABS(G12/G$4))</f>
        <v>9.1360890279079746E-2</v>
      </c>
      <c r="H78" s="6">
        <f t="shared" si="30"/>
        <v>7.9865031097618638E-2</v>
      </c>
      <c r="I78" s="6">
        <f t="shared" si="30"/>
        <v>8.0475265911633245E-2</v>
      </c>
      <c r="J78" s="6">
        <f t="shared" si="30"/>
        <v>0.12106607470540055</v>
      </c>
      <c r="K78" s="6">
        <f t="shared" si="30"/>
        <v>0.13251911459830637</v>
      </c>
      <c r="L78" s="6">
        <f t="shared" si="30"/>
        <v>0.12739845158429733</v>
      </c>
      <c r="M78" s="6">
        <f t="shared" si="30"/>
        <v>9.1062794285212245E-2</v>
      </c>
      <c r="N78" s="6">
        <f t="shared" si="30"/>
        <v>8.3372400743299935E-2</v>
      </c>
      <c r="O78" s="6">
        <f t="shared" si="30"/>
        <v>5.0691645135124468E-2</v>
      </c>
      <c r="P78" s="6" t="str">
        <f t="shared" si="30"/>
        <v/>
      </c>
      <c r="Q78" s="6" t="str">
        <f t="shared" si="30"/>
        <v/>
      </c>
    </row>
    <row r="79" spans="1:17" ht="15.75" customHeight="1">
      <c r="A79" s="10"/>
      <c r="B79" s="38" t="str">
        <f>B13</f>
        <v>NCI’s Share of Profits</v>
      </c>
      <c r="C79" s="238">
        <f>MIN(BS!C62,MAX(G79:K79))</f>
        <v>4.0482346959185098E-3</v>
      </c>
      <c r="D79" s="26"/>
      <c r="E79" s="239"/>
      <c r="F79" s="26"/>
      <c r="G79" s="6">
        <f t="shared" ref="G79:Q79" si="31">IF(G$4="","",-G13/G$4)</f>
        <v>4.0482346959185098E-3</v>
      </c>
      <c r="H79" s="6">
        <f t="shared" si="31"/>
        <v>0</v>
      </c>
      <c r="I79" s="6">
        <f t="shared" si="31"/>
        <v>2.8426723503846595E-4</v>
      </c>
      <c r="J79" s="6">
        <f t="shared" si="31"/>
        <v>1.9253376266916459E-3</v>
      </c>
      <c r="K79" s="6">
        <f t="shared" si="31"/>
        <v>0</v>
      </c>
      <c r="L79" s="6">
        <f t="shared" si="31"/>
        <v>0</v>
      </c>
      <c r="M79" s="6">
        <f t="shared" si="31"/>
        <v>0</v>
      </c>
      <c r="N79" s="6">
        <f t="shared" si="31"/>
        <v>0</v>
      </c>
      <c r="O79" s="6">
        <f t="shared" si="31"/>
        <v>0</v>
      </c>
      <c r="P79" s="6" t="str">
        <f t="shared" si="31"/>
        <v/>
      </c>
      <c r="Q79" s="6" t="str">
        <f t="shared" si="31"/>
        <v/>
      </c>
    </row>
    <row r="80" spans="1:17" ht="15.75" customHeight="1">
      <c r="A80" s="10"/>
      <c r="B80" s="39" t="s">
        <v>129</v>
      </c>
      <c r="C80" s="75">
        <f>ABS(C14/C$4)</f>
        <v>0.15608254318654319</v>
      </c>
      <c r="D80" s="26"/>
      <c r="E80" s="239"/>
      <c r="F80" s="26"/>
      <c r="G80" s="62">
        <f t="shared" ref="G80:Q80" si="32">IF(G$4="","",ABS(G14/G$4))</f>
        <v>0.14027736732451448</v>
      </c>
      <c r="H80" s="62">
        <f t="shared" si="32"/>
        <v>0.1338664732451938</v>
      </c>
      <c r="I80" s="62">
        <f t="shared" si="32"/>
        <v>0.19230791068603142</v>
      </c>
      <c r="J80" s="62">
        <f t="shared" si="32"/>
        <v>0.22937382402250764</v>
      </c>
      <c r="K80" s="62">
        <f t="shared" si="32"/>
        <v>0.24397227586551865</v>
      </c>
      <c r="L80" s="62">
        <f t="shared" si="32"/>
        <v>0.22064541152142961</v>
      </c>
      <c r="M80" s="62">
        <f t="shared" si="32"/>
        <v>0.1705647764507742</v>
      </c>
      <c r="N80" s="62">
        <f t="shared" si="32"/>
        <v>0.13224641004474066</v>
      </c>
      <c r="O80" s="62">
        <f t="shared" si="32"/>
        <v>5.8536975674615459E-2</v>
      </c>
      <c r="P80" s="62" t="str">
        <f t="shared" si="32"/>
        <v/>
      </c>
      <c r="Q80" s="62" t="str">
        <f t="shared" si="32"/>
        <v/>
      </c>
    </row>
    <row r="81" spans="1:17" ht="15.75" customHeight="1">
      <c r="A81" s="10"/>
      <c r="B81" s="2" t="s">
        <v>62</v>
      </c>
      <c r="C81" s="74">
        <f>ABS(C15/C$4)</f>
        <v>0</v>
      </c>
      <c r="D81" s="26"/>
      <c r="E81" s="239"/>
      <c r="F81" s="26"/>
      <c r="G81" s="6">
        <f t="shared" ref="G81:Q81" si="33">IF(G$4="","",G15/G$4)</f>
        <v>0</v>
      </c>
      <c r="H81" s="6">
        <f t="shared" si="33"/>
        <v>0</v>
      </c>
      <c r="I81" s="6">
        <f t="shared" si="33"/>
        <v>0</v>
      </c>
      <c r="J81" s="6">
        <f t="shared" si="33"/>
        <v>0</v>
      </c>
      <c r="K81" s="6">
        <f t="shared" si="33"/>
        <v>0</v>
      </c>
      <c r="L81" s="6">
        <f t="shared" si="33"/>
        <v>0</v>
      </c>
      <c r="M81" s="6">
        <f t="shared" si="33"/>
        <v>0</v>
      </c>
      <c r="N81" s="6">
        <f t="shared" si="33"/>
        <v>0</v>
      </c>
      <c r="O81" s="6">
        <f t="shared" si="33"/>
        <v>0</v>
      </c>
      <c r="P81" s="6" t="str">
        <f t="shared" si="33"/>
        <v/>
      </c>
      <c r="Q81" s="6" t="str">
        <f t="shared" si="33"/>
        <v/>
      </c>
    </row>
    <row r="82" spans="1:17" ht="15.75" customHeight="1">
      <c r="A82" s="10"/>
      <c r="B82" s="2" t="s">
        <v>77</v>
      </c>
      <c r="C82" s="85">
        <f>MAX(AVERAGE(G82:J82),C81)</f>
        <v>0</v>
      </c>
      <c r="D82" s="26"/>
      <c r="E82" s="240" t="s">
        <v>282</v>
      </c>
      <c r="F82" s="26"/>
      <c r="G82" s="6">
        <f t="shared" ref="G82:Q82" si="34">IF(G$4="","",-G16/G$4)</f>
        <v>0</v>
      </c>
      <c r="H82" s="6">
        <f t="shared" si="34"/>
        <v>0</v>
      </c>
      <c r="I82" s="6">
        <f t="shared" si="34"/>
        <v>0</v>
      </c>
      <c r="J82" s="6">
        <f t="shared" si="34"/>
        <v>0</v>
      </c>
      <c r="K82" s="6">
        <f t="shared" si="34"/>
        <v>0</v>
      </c>
      <c r="L82" s="6">
        <f t="shared" si="34"/>
        <v>0</v>
      </c>
      <c r="M82" s="6">
        <f t="shared" si="34"/>
        <v>0</v>
      </c>
      <c r="N82" s="6">
        <f t="shared" si="34"/>
        <v>0</v>
      </c>
      <c r="O82" s="6">
        <f t="shared" si="34"/>
        <v>0</v>
      </c>
      <c r="P82" s="6" t="str">
        <f t="shared" si="34"/>
        <v/>
      </c>
      <c r="Q82" s="6" t="str">
        <f t="shared" si="34"/>
        <v/>
      </c>
    </row>
    <row r="83" spans="1:17" ht="15.75" customHeight="1">
      <c r="A83" s="10"/>
      <c r="B83" s="26" t="s">
        <v>49</v>
      </c>
      <c r="C83" s="238">
        <v>0</v>
      </c>
      <c r="D83" s="26"/>
      <c r="E83" s="241" t="str">
        <f>E17</f>
        <v>WCInv is by default excluded</v>
      </c>
      <c r="F83" s="26"/>
      <c r="G83" s="206"/>
      <c r="H83" s="206"/>
      <c r="I83" s="206"/>
      <c r="J83" s="206"/>
      <c r="K83" s="206"/>
      <c r="L83" s="206"/>
      <c r="M83" s="206"/>
      <c r="N83" s="206"/>
      <c r="O83" s="206"/>
      <c r="P83" s="206"/>
      <c r="Q83" s="206"/>
    </row>
    <row r="84" spans="1:17" ht="15.75" customHeight="1">
      <c r="A84" s="10"/>
      <c r="B84" s="8" t="s">
        <v>94</v>
      </c>
      <c r="C84" s="74">
        <v>0</v>
      </c>
      <c r="E84" s="241" t="str">
        <f>E18</f>
        <v>Net borrowing is excluded</v>
      </c>
      <c r="G84" s="152"/>
      <c r="H84" s="152"/>
      <c r="I84" s="152"/>
      <c r="J84" s="152"/>
      <c r="K84" s="152"/>
      <c r="L84" s="152"/>
      <c r="M84" s="152"/>
      <c r="N84" s="152"/>
      <c r="O84" s="152"/>
      <c r="P84" s="152"/>
      <c r="Q84" s="152"/>
    </row>
    <row r="85" spans="1:17" ht="15.75" customHeight="1">
      <c r="A85" s="10"/>
      <c r="B85" s="30" t="s">
        <v>117</v>
      </c>
      <c r="C85" s="75">
        <f>ABS(C19/C$4)</f>
        <v>0.15608254318654319</v>
      </c>
      <c r="D85" s="72"/>
      <c r="E85" s="239"/>
      <c r="F85" s="72"/>
      <c r="G85" s="62">
        <f t="shared" ref="G85:Q85" si="35">IF(G$4="","",ABS(G19/G$4))</f>
        <v>0.14027736732451448</v>
      </c>
      <c r="H85" s="62">
        <f t="shared" si="35"/>
        <v>0.1338664732451938</v>
      </c>
      <c r="I85" s="62">
        <f t="shared" si="35"/>
        <v>0.19230791068603142</v>
      </c>
      <c r="J85" s="62">
        <f t="shared" si="35"/>
        <v>0.22937382402250764</v>
      </c>
      <c r="K85" s="62">
        <f t="shared" si="35"/>
        <v>0.24397227586551865</v>
      </c>
      <c r="L85" s="62">
        <f t="shared" si="35"/>
        <v>0.22064541152142961</v>
      </c>
      <c r="M85" s="62">
        <f t="shared" si="35"/>
        <v>0.1705647764507742</v>
      </c>
      <c r="N85" s="62">
        <f t="shared" si="35"/>
        <v>0.13224641004474066</v>
      </c>
      <c r="O85" s="62">
        <f t="shared" si="35"/>
        <v>5.8536975674615459E-2</v>
      </c>
      <c r="P85" s="62" t="str">
        <f t="shared" si="35"/>
        <v/>
      </c>
      <c r="Q85" s="62" t="str">
        <f t="shared" si="35"/>
        <v/>
      </c>
    </row>
    <row r="86" spans="1:17" ht="15.75" customHeight="1">
      <c r="A86" s="10"/>
      <c r="E86" s="242"/>
    </row>
    <row r="87" spans="1:17" ht="15.75" customHeight="1">
      <c r="A87" s="10"/>
      <c r="B87" s="61" t="s">
        <v>183</v>
      </c>
      <c r="E87" s="242"/>
    </row>
    <row r="88" spans="1:17" ht="15.75" customHeight="1">
      <c r="A88" s="10"/>
      <c r="B88" s="2" t="str">
        <f>"Dividend per share ("&amp;Market_currency&amp;")"</f>
        <v>Dividend per share (HKD)</v>
      </c>
      <c r="C88" s="110">
        <f>0.1209*2</f>
        <v>0.24179999999999999</v>
      </c>
      <c r="E88" s="242"/>
      <c r="G88" s="109">
        <f>Data!C65</f>
        <v>0.32640000000000002</v>
      </c>
      <c r="H88" s="109">
        <f>Data!D65</f>
        <v>0.2833</v>
      </c>
      <c r="I88" s="109">
        <f>Data!E65</f>
        <v>0.28520000000000001</v>
      </c>
      <c r="J88" s="109">
        <f>Data!F65</f>
        <v>0.47060000000000002</v>
      </c>
      <c r="K88" s="109">
        <f>Data!G65</f>
        <v>0.29610000000000003</v>
      </c>
      <c r="L88" s="109">
        <f>Data!H65</f>
        <v>0</v>
      </c>
      <c r="M88" s="109">
        <f>Data!I65</f>
        <v>0</v>
      </c>
      <c r="N88" s="109">
        <f>Data!J65</f>
        <v>0</v>
      </c>
      <c r="O88" s="109">
        <f>Data!K65</f>
        <v>0</v>
      </c>
      <c r="P88" s="109" t="str">
        <f>Data!L65</f>
        <v/>
      </c>
      <c r="Q88" s="109" t="str">
        <f>Data!M65</f>
        <v/>
      </c>
    </row>
    <row r="89" spans="1:17" ht="15.75" customHeight="1">
      <c r="A89" s="10"/>
      <c r="B89" s="2" t="str">
        <f>"Dividend ("&amp;Market_currency&amp;")"</f>
        <v>Dividend (HKD)</v>
      </c>
      <c r="C89" s="71">
        <f>C88*Common_Shares/scaling_factor</f>
        <v>2191977.8620271999</v>
      </c>
      <c r="E89" s="242"/>
      <c r="G89" s="71">
        <f t="shared" ref="G89:Q89" si="36">IF(G$4="","",G88*Common_Shares/scaling_factor)</f>
        <v>2958898.1561856004</v>
      </c>
      <c r="H89" s="71">
        <f t="shared" si="36"/>
        <v>2568185.8077431996</v>
      </c>
      <c r="I89" s="71">
        <f t="shared" si="36"/>
        <v>2585409.7859808002</v>
      </c>
      <c r="J89" s="71">
        <f t="shared" si="36"/>
        <v>4266107.4519023998</v>
      </c>
      <c r="K89" s="71">
        <f t="shared" si="36"/>
        <v>2684221.0295544006</v>
      </c>
      <c r="L89" s="71">
        <f t="shared" si="36"/>
        <v>0</v>
      </c>
      <c r="M89" s="71">
        <f t="shared" si="36"/>
        <v>0</v>
      </c>
      <c r="N89" s="71">
        <f t="shared" si="36"/>
        <v>0</v>
      </c>
      <c r="O89" s="71">
        <f t="shared" si="36"/>
        <v>0</v>
      </c>
      <c r="P89" s="71" t="str">
        <f t="shared" si="36"/>
        <v/>
      </c>
      <c r="Q89" s="71" t="str">
        <f t="shared" si="36"/>
        <v/>
      </c>
    </row>
    <row r="90" spans="1:17" ht="15.75" customHeight="1">
      <c r="A90" s="10"/>
      <c r="B90" s="2" t="s">
        <v>182</v>
      </c>
      <c r="C90" s="22">
        <f>C88/(C19*scaling_factor/Common_Shares)</f>
        <v>0.84606570650356128</v>
      </c>
      <c r="E90" s="242"/>
      <c r="G90" s="153">
        <f t="shared" ref="G90:Q90" si="37">IF(G$4="","",G88/(G19*scaling_factor/Common_Shares))</f>
        <v>1.0166106590386186</v>
      </c>
      <c r="H90" s="153">
        <f t="shared" si="37"/>
        <v>0.98220782662939587</v>
      </c>
      <c r="I90" s="153">
        <f t="shared" si="37"/>
        <v>0.63085532765746255</v>
      </c>
      <c r="J90" s="153">
        <f t="shared" si="37"/>
        <v>0.81659257706228938</v>
      </c>
      <c r="K90" s="153">
        <f t="shared" si="37"/>
        <v>0.59175348520592608</v>
      </c>
      <c r="L90" s="153">
        <f t="shared" si="37"/>
        <v>0</v>
      </c>
      <c r="M90" s="153">
        <f t="shared" si="37"/>
        <v>0</v>
      </c>
      <c r="N90" s="153">
        <f t="shared" si="37"/>
        <v>0</v>
      </c>
      <c r="O90" s="153">
        <f t="shared" si="37"/>
        <v>0</v>
      </c>
      <c r="P90" s="153" t="str">
        <f t="shared" si="37"/>
        <v/>
      </c>
      <c r="Q90" s="153" t="str">
        <f t="shared" si="37"/>
        <v/>
      </c>
    </row>
    <row r="91" spans="1:17" ht="15.75" customHeight="1">
      <c r="A91" s="10"/>
      <c r="B91" s="2" t="s">
        <v>334</v>
      </c>
      <c r="C91" s="300">
        <v>0</v>
      </c>
      <c r="E91" s="242"/>
      <c r="G91" s="301"/>
      <c r="H91" s="301"/>
      <c r="I91" s="301"/>
      <c r="J91" s="301"/>
      <c r="K91" s="301"/>
      <c r="L91" s="301"/>
      <c r="M91" s="301"/>
      <c r="N91" s="301"/>
      <c r="O91" s="301"/>
      <c r="P91" s="301"/>
      <c r="Q91" s="301"/>
    </row>
    <row r="92" spans="1:17" ht="15.75" customHeight="1">
      <c r="A92" s="10"/>
      <c r="B92" s="2" t="s">
        <v>333</v>
      </c>
      <c r="C92" s="22">
        <f>(C88*(1-dividend_tax_rate))/Market_Price</f>
        <v>6.1060606060606058E-2</v>
      </c>
      <c r="E92" s="242"/>
      <c r="G92" s="22">
        <f t="shared" ref="G92:Q92" si="38">IF(G$4="","",(G88*(1-dividend_tax_rate))/Market_Price)</f>
        <v>8.2424242424242428E-2</v>
      </c>
      <c r="H92" s="22">
        <f t="shared" si="38"/>
        <v>7.1540404040404043E-2</v>
      </c>
      <c r="I92" s="22">
        <f t="shared" si="38"/>
        <v>7.2020202020202026E-2</v>
      </c>
      <c r="J92" s="22">
        <f t="shared" si="38"/>
        <v>0.11883838383838384</v>
      </c>
      <c r="K92" s="22">
        <f t="shared" si="38"/>
        <v>7.4772727272727282E-2</v>
      </c>
      <c r="L92" s="22">
        <f t="shared" si="38"/>
        <v>0</v>
      </c>
      <c r="M92" s="22">
        <f t="shared" si="38"/>
        <v>0</v>
      </c>
      <c r="N92" s="22">
        <f t="shared" si="38"/>
        <v>0</v>
      </c>
      <c r="O92" s="22">
        <f t="shared" si="38"/>
        <v>0</v>
      </c>
      <c r="P92" s="22" t="str">
        <f t="shared" si="38"/>
        <v/>
      </c>
      <c r="Q92" s="22" t="str">
        <f t="shared" si="38"/>
        <v/>
      </c>
    </row>
    <row r="93" spans="1:17" ht="15.75" customHeight="1">
      <c r="A93" s="10"/>
      <c r="E93" s="242"/>
    </row>
    <row r="94" spans="1:17" ht="15.75" customHeight="1">
      <c r="A94" s="10"/>
      <c r="B94" s="144" t="s">
        <v>81</v>
      </c>
      <c r="C94" s="59"/>
      <c r="D94" s="26"/>
      <c r="E94" s="239"/>
      <c r="F94" s="26"/>
      <c r="G94" s="12"/>
      <c r="H94" s="12"/>
      <c r="I94" s="12"/>
      <c r="J94" s="12"/>
      <c r="K94" s="12"/>
      <c r="L94" s="12"/>
      <c r="M94" s="12"/>
      <c r="N94" s="12"/>
      <c r="O94" s="12"/>
      <c r="P94" s="12"/>
      <c r="Q94" s="12"/>
    </row>
    <row r="95" spans="1:17" ht="15.75" customHeight="1">
      <c r="A95" s="10"/>
      <c r="B95" s="26" t="s">
        <v>121</v>
      </c>
      <c r="C95" s="74">
        <f>C4/G4-1</f>
        <v>-0.19999999999999996</v>
      </c>
      <c r="D95" s="26"/>
      <c r="E95" s="239"/>
      <c r="F95" s="26"/>
      <c r="G95" s="6">
        <f t="shared" ref="G95:Q95" si="39">IF(H4="","",G4/H4-1)</f>
        <v>6.2273927830875042E-2</v>
      </c>
      <c r="H95" s="6">
        <f t="shared" si="39"/>
        <v>-8.3465608943540825E-2</v>
      </c>
      <c r="I95" s="6">
        <f t="shared" si="39"/>
        <v>-6.4335921627185155E-2</v>
      </c>
      <c r="J95" s="6">
        <f t="shared" si="39"/>
        <v>0.22502664385814364</v>
      </c>
      <c r="K95" s="6">
        <f t="shared" si="39"/>
        <v>0.35498690413714695</v>
      </c>
      <c r="L95" s="6">
        <f t="shared" si="39"/>
        <v>0.32040209712991352</v>
      </c>
      <c r="M95" s="6">
        <f t="shared" si="39"/>
        <v>0.76515339903452539</v>
      </c>
      <c r="N95" s="6">
        <f t="shared" si="39"/>
        <v>0.58073516109119883</v>
      </c>
      <c r="O95" s="6" t="str">
        <f t="shared" si="39"/>
        <v/>
      </c>
      <c r="P95" s="6" t="str">
        <f t="shared" si="39"/>
        <v/>
      </c>
      <c r="Q95" s="6" t="str">
        <f t="shared" si="39"/>
        <v/>
      </c>
    </row>
    <row r="96" spans="1:17" ht="15.75" customHeight="1">
      <c r="A96" s="10"/>
      <c r="B96" s="67" t="s">
        <v>137</v>
      </c>
      <c r="C96" s="74">
        <f>C11/G11-1</f>
        <v>-0.27528234050187472</v>
      </c>
      <c r="D96" s="26"/>
      <c r="E96" s="239"/>
      <c r="F96" s="26"/>
      <c r="G96" s="6">
        <f t="shared" ref="G96:Q96" si="40">IF(H5="","",G11/H11-1)</f>
        <v>0.17139313028048764</v>
      </c>
      <c r="H96" s="6">
        <f t="shared" si="40"/>
        <v>-0.28262310792920653</v>
      </c>
      <c r="I96" s="6">
        <f t="shared" si="40"/>
        <v>-0.27490180129396513</v>
      </c>
      <c r="J96" s="6">
        <f t="shared" si="40"/>
        <v>0.14652503041827858</v>
      </c>
      <c r="K96" s="6">
        <f t="shared" si="40"/>
        <v>0.46573739024353977</v>
      </c>
      <c r="L96" s="6">
        <f t="shared" si="40"/>
        <v>0.7565344716736575</v>
      </c>
      <c r="M96" s="6">
        <f t="shared" si="40"/>
        <v>1.1418019795116447</v>
      </c>
      <c r="N96" s="6">
        <f t="shared" si="40"/>
        <v>2.1203931083137295</v>
      </c>
      <c r="O96" s="6" t="str">
        <f t="shared" si="40"/>
        <v/>
      </c>
      <c r="P96" s="6" t="str">
        <f t="shared" si="40"/>
        <v/>
      </c>
      <c r="Q96" s="6" t="str">
        <f t="shared" si="40"/>
        <v/>
      </c>
    </row>
    <row r="97" spans="1:17" ht="15.75" customHeight="1">
      <c r="A97" s="10"/>
    </row>
    <row r="98" spans="1:17" ht="15.75" customHeight="1">
      <c r="A98" s="3"/>
      <c r="B98" s="51" t="s">
        <v>184</v>
      </c>
      <c r="C98" s="51"/>
      <c r="D98" s="53"/>
      <c r="E98" s="63" t="s">
        <v>56</v>
      </c>
      <c r="F98" s="53"/>
      <c r="G98" s="35"/>
      <c r="H98" s="35"/>
      <c r="I98" s="35"/>
      <c r="J98" s="35"/>
      <c r="K98" s="35"/>
      <c r="L98" s="35"/>
      <c r="M98" s="35"/>
      <c r="N98" s="35"/>
      <c r="O98" s="35"/>
      <c r="P98" s="35"/>
      <c r="Q98" s="35"/>
    </row>
    <row r="99" spans="1:17" ht="15.75" customHeight="1">
      <c r="A99" s="10"/>
      <c r="B99" s="61" t="s">
        <v>26</v>
      </c>
      <c r="E99" s="242"/>
      <c r="G99" s="94" t="s">
        <v>188</v>
      </c>
    </row>
    <row r="100" spans="1:17" ht="15.75" customHeight="1">
      <c r="A100" s="10"/>
      <c r="B100" s="25" t="s">
        <v>1</v>
      </c>
      <c r="C100" s="288">
        <f>BS!G32</f>
        <v>33902693</v>
      </c>
      <c r="D100" s="25"/>
      <c r="E100" s="243"/>
      <c r="F100" s="25"/>
      <c r="G100" s="278">
        <f t="shared" ref="G100:Q100" si="41">IF(G$4="","",G104+G103)</f>
        <v>33902693</v>
      </c>
      <c r="H100" s="278">
        <f t="shared" si="41"/>
        <v>36194678</v>
      </c>
      <c r="I100" s="278">
        <f t="shared" si="41"/>
        <v>35515773</v>
      </c>
      <c r="J100" s="278">
        <f t="shared" si="41"/>
        <v>31481424</v>
      </c>
      <c r="K100" s="278">
        <f t="shared" si="41"/>
        <v>28322838</v>
      </c>
      <c r="L100" s="278">
        <f t="shared" si="41"/>
        <v>23003749</v>
      </c>
      <c r="M100" s="278">
        <f t="shared" si="41"/>
        <v>11857435</v>
      </c>
      <c r="N100" s="278">
        <f t="shared" si="41"/>
        <v>7013558</v>
      </c>
      <c r="O100" s="278">
        <f t="shared" si="41"/>
        <v>4694947</v>
      </c>
      <c r="P100" s="278" t="str">
        <f t="shared" si="41"/>
        <v/>
      </c>
      <c r="Q100" s="278" t="str">
        <f t="shared" si="41"/>
        <v/>
      </c>
    </row>
    <row r="101" spans="1:17" ht="15.75" customHeight="1">
      <c r="A101" s="10"/>
      <c r="B101" s="90" t="s">
        <v>179</v>
      </c>
      <c r="C101" s="289">
        <f>BS!C4</f>
        <v>334915</v>
      </c>
      <c r="D101" s="86"/>
      <c r="E101" s="244"/>
      <c r="F101" s="86"/>
      <c r="G101" s="290">
        <f>IF(G$4="","",Data!D77)</f>
        <v>431184</v>
      </c>
      <c r="H101" s="290">
        <f>IF(H$4="","",Data!E77)</f>
        <v>430651</v>
      </c>
      <c r="I101" s="290">
        <f>IF(I$4="","",Data!F77)</f>
        <v>477328</v>
      </c>
      <c r="J101" s="290">
        <f>IF(J$4="","",Data!G77)</f>
        <v>288808</v>
      </c>
      <c r="K101" s="290">
        <f>IF(K$4="","",Data!H77)</f>
        <v>314353</v>
      </c>
      <c r="L101" s="290">
        <f>IF(L$4="","",Data!I77)</f>
        <v>0</v>
      </c>
      <c r="M101" s="290">
        <f>IF(M$4="","",Data!J77)</f>
        <v>0</v>
      </c>
      <c r="N101" s="290">
        <f>IF(N$4="","",Data!K77)</f>
        <v>0</v>
      </c>
      <c r="O101" s="290">
        <f>IF(O$4="","",Data!L77)</f>
        <v>0</v>
      </c>
      <c r="P101" s="290" t="str">
        <f>IF(P$4="","",Data!M77)</f>
        <v/>
      </c>
      <c r="Q101" s="290" t="str">
        <f>IF(Q$4="","",Data!N77)</f>
        <v/>
      </c>
    </row>
    <row r="102" spans="1:17" ht="15.75" customHeight="1">
      <c r="A102" s="10"/>
      <c r="B102" s="90" t="s">
        <v>180</v>
      </c>
      <c r="C102" s="289">
        <f>BS!C6+BS!C7</f>
        <v>2050919</v>
      </c>
      <c r="D102" s="86"/>
      <c r="E102" s="244"/>
      <c r="F102" s="86"/>
      <c r="G102" s="290">
        <f>IF(G$4="","",Data!D78)</f>
        <v>2258059</v>
      </c>
      <c r="H102" s="290">
        <f>IF(H$4="","",Data!E78)</f>
        <v>1994166</v>
      </c>
      <c r="I102" s="290">
        <f>IF(I$4="","",Data!F78)</f>
        <v>1721807</v>
      </c>
      <c r="J102" s="290">
        <f>IF(J$4="","",Data!G78)</f>
        <v>1284472</v>
      </c>
      <c r="K102" s="290">
        <f>IF(K$4="","",Data!H78)</f>
        <v>686094</v>
      </c>
      <c r="L102" s="290">
        <f>IF(L$4="","",Data!I78)</f>
        <v>0</v>
      </c>
      <c r="M102" s="290">
        <f>IF(M$4="","",Data!J78)</f>
        <v>0</v>
      </c>
      <c r="N102" s="290">
        <f>IF(N$4="","",Data!K78)</f>
        <v>0</v>
      </c>
      <c r="O102" s="290">
        <f>IF(O$4="","",Data!L78)</f>
        <v>0</v>
      </c>
      <c r="P102" s="290" t="str">
        <f>IF(P$4="","",Data!M78)</f>
        <v/>
      </c>
      <c r="Q102" s="290" t="str">
        <f>IF(Q$4="","",Data!N78)</f>
        <v/>
      </c>
    </row>
    <row r="103" spans="1:17" ht="15.75" customHeight="1">
      <c r="A103" s="10"/>
      <c r="B103" s="25" t="s">
        <v>38</v>
      </c>
      <c r="C103" s="288">
        <f>BS!G30</f>
        <v>6749408</v>
      </c>
      <c r="D103" s="25"/>
      <c r="E103" s="243"/>
      <c r="F103" s="25"/>
      <c r="G103" s="278">
        <f>Data!C79</f>
        <v>6749408</v>
      </c>
      <c r="H103" s="278">
        <f>Data!D79</f>
        <v>9860332</v>
      </c>
      <c r="I103" s="278">
        <f>Data!E79</f>
        <v>10040830</v>
      </c>
      <c r="J103" s="278">
        <f>Data!F79</f>
        <v>9078054</v>
      </c>
      <c r="K103" s="278">
        <f>Data!G79</f>
        <v>9137313</v>
      </c>
      <c r="L103" s="278">
        <f>Data!H79</f>
        <v>9974171</v>
      </c>
      <c r="M103" s="278">
        <f>Data!I79</f>
        <v>6069951</v>
      </c>
      <c r="N103" s="278">
        <f>Data!J79</f>
        <v>3428545</v>
      </c>
      <c r="O103" s="278">
        <f>Data!K79</f>
        <v>2318007</v>
      </c>
      <c r="P103" s="278" t="str">
        <f>Data!L79</f>
        <v/>
      </c>
      <c r="Q103" s="278" t="str">
        <f>Data!M79</f>
        <v/>
      </c>
    </row>
    <row r="104" spans="1:17" ht="15.75" customHeight="1">
      <c r="A104" s="10"/>
      <c r="B104" s="25" t="s">
        <v>28</v>
      </c>
      <c r="C104" s="288">
        <f>BS!G27</f>
        <v>27153285</v>
      </c>
      <c r="D104" s="25"/>
      <c r="E104" s="243"/>
      <c r="F104" s="25"/>
      <c r="G104" s="278">
        <f>Data!C80</f>
        <v>27153285</v>
      </c>
      <c r="H104" s="278">
        <f>Data!D80</f>
        <v>26334346</v>
      </c>
      <c r="I104" s="278">
        <f>Data!E80</f>
        <v>25474943</v>
      </c>
      <c r="J104" s="278">
        <f>Data!F80</f>
        <v>22403370</v>
      </c>
      <c r="K104" s="278">
        <f>Data!G80</f>
        <v>19185525</v>
      </c>
      <c r="L104" s="278">
        <f>Data!H80</f>
        <v>13029578</v>
      </c>
      <c r="M104" s="278">
        <f>Data!I80</f>
        <v>5787484</v>
      </c>
      <c r="N104" s="278">
        <f>Data!J80</f>
        <v>3585013</v>
      </c>
      <c r="O104" s="278">
        <f>Data!K80</f>
        <v>2376940</v>
      </c>
      <c r="P104" s="278" t="str">
        <f>Data!L80</f>
        <v/>
      </c>
      <c r="Q104" s="278" t="str">
        <f>Data!M80</f>
        <v/>
      </c>
    </row>
    <row r="105" spans="1:17" ht="15.75" customHeight="1">
      <c r="A105" s="10"/>
      <c r="E105" s="242"/>
    </row>
    <row r="106" spans="1:17" ht="15.75" customHeight="1">
      <c r="A106" s="10"/>
      <c r="B106" s="88" t="s">
        <v>189</v>
      </c>
      <c r="C106" s="25"/>
      <c r="D106" s="25"/>
      <c r="E106" s="243"/>
      <c r="F106" s="25"/>
      <c r="G106" s="94" t="s">
        <v>188</v>
      </c>
      <c r="H106" s="12"/>
      <c r="I106" s="12"/>
      <c r="J106" s="12"/>
      <c r="K106" s="12"/>
      <c r="L106" s="12"/>
      <c r="M106" s="12"/>
      <c r="N106" s="12"/>
      <c r="O106" s="12"/>
      <c r="P106" s="12"/>
      <c r="Q106" s="12"/>
    </row>
    <row r="107" spans="1:17" ht="15.75" customHeight="1">
      <c r="A107" s="10"/>
      <c r="B107" s="25" t="s">
        <v>186</v>
      </c>
      <c r="C107" s="91">
        <f>C101/C$4</f>
        <v>2.0177012369539078E-2</v>
      </c>
      <c r="D107" s="25"/>
      <c r="E107" s="243"/>
      <c r="F107" s="25"/>
      <c r="G107" s="91">
        <f t="shared" ref="G107:Q107" si="42">IF(G$4="","",G101/G$4)</f>
        <v>2.0781404001725422E-2</v>
      </c>
      <c r="H107" s="91">
        <f t="shared" si="42"/>
        <v>2.2048255386245986E-2</v>
      </c>
      <c r="I107" s="91">
        <f t="shared" si="42"/>
        <v>2.2398268531931474E-2</v>
      </c>
      <c r="J107" s="91">
        <f t="shared" si="42"/>
        <v>1.2680217761779642E-2</v>
      </c>
      <c r="K107" s="91">
        <f t="shared" si="42"/>
        <v>1.6907548299808551E-2</v>
      </c>
      <c r="L107" s="91">
        <f t="shared" si="42"/>
        <v>0</v>
      </c>
      <c r="M107" s="91">
        <f t="shared" si="42"/>
        <v>0</v>
      </c>
      <c r="N107" s="91">
        <f t="shared" si="42"/>
        <v>0</v>
      </c>
      <c r="O107" s="91">
        <f t="shared" si="42"/>
        <v>0</v>
      </c>
      <c r="P107" s="91" t="str">
        <f t="shared" si="42"/>
        <v/>
      </c>
      <c r="Q107" s="91" t="str">
        <f t="shared" si="42"/>
        <v/>
      </c>
    </row>
    <row r="108" spans="1:17" ht="15.75" customHeight="1">
      <c r="A108" s="10"/>
      <c r="B108" s="25" t="s">
        <v>187</v>
      </c>
      <c r="C108" s="91">
        <f>C102/C$4</f>
        <v>0.12355797152090146</v>
      </c>
      <c r="D108" s="25"/>
      <c r="E108" s="243"/>
      <c r="F108" s="25"/>
      <c r="G108" s="91">
        <f t="shared" ref="G108:Q108" si="43">IF(G$4="","",G102/G$4)</f>
        <v>0.10882972545069415</v>
      </c>
      <c r="H108" s="91">
        <f t="shared" si="43"/>
        <v>0.10209631755311983</v>
      </c>
      <c r="I108" s="91">
        <f t="shared" si="43"/>
        <v>8.079453865300032E-2</v>
      </c>
      <c r="J108" s="91">
        <f t="shared" si="43"/>
        <v>5.6395199125054085E-2</v>
      </c>
      <c r="K108" s="91">
        <f t="shared" si="43"/>
        <v>3.69017233594362E-2</v>
      </c>
      <c r="L108" s="91">
        <f t="shared" si="43"/>
        <v>0</v>
      </c>
      <c r="M108" s="91">
        <f t="shared" si="43"/>
        <v>0</v>
      </c>
      <c r="N108" s="91">
        <f t="shared" si="43"/>
        <v>0</v>
      </c>
      <c r="O108" s="91">
        <f t="shared" si="43"/>
        <v>0</v>
      </c>
      <c r="P108" s="91" t="str">
        <f t="shared" si="43"/>
        <v/>
      </c>
      <c r="Q108" s="91" t="str">
        <f t="shared" si="43"/>
        <v/>
      </c>
    </row>
    <row r="109" spans="1:17" ht="15.75" customHeight="1">
      <c r="A109" s="10"/>
      <c r="B109" s="25" t="s">
        <v>66</v>
      </c>
      <c r="C109" s="91">
        <f>BS!$G$38/C$4</f>
        <v>0</v>
      </c>
      <c r="D109" s="25"/>
      <c r="E109" s="243"/>
      <c r="F109" s="25"/>
      <c r="G109" s="91">
        <f>BS!$G$38/G$4</f>
        <v>0</v>
      </c>
      <c r="H109" s="187"/>
      <c r="I109" s="187"/>
      <c r="J109" s="187"/>
      <c r="K109" s="187"/>
      <c r="L109" s="187"/>
      <c r="M109" s="187"/>
      <c r="N109" s="187"/>
      <c r="O109" s="187"/>
      <c r="P109" s="187"/>
      <c r="Q109" s="187"/>
    </row>
    <row r="110" spans="1:17" ht="15.75" customHeight="1">
      <c r="A110" s="10"/>
      <c r="E110" s="242"/>
    </row>
    <row r="111" spans="1:17" ht="15.75" customHeight="1">
      <c r="A111" s="10"/>
      <c r="B111" s="61" t="s">
        <v>48</v>
      </c>
      <c r="E111" s="242"/>
    </row>
    <row r="112" spans="1:17" ht="15.75" customHeight="1">
      <c r="A112" s="10"/>
      <c r="B112" s="2" t="s">
        <v>306</v>
      </c>
      <c r="C112" s="152"/>
      <c r="E112" s="242"/>
      <c r="G112" s="258">
        <f>IF(G$4="","",Data!C$22/Data!C15)</f>
        <v>1.1437262596740119</v>
      </c>
      <c r="H112" s="258">
        <f>IF(H$4="","",Data!D$22/Data!D15)</f>
        <v>1.2598487942931333</v>
      </c>
      <c r="I112" s="258">
        <f>IF(I$4="","",Data!E$22/Data!E15)</f>
        <v>1.2689863555873702</v>
      </c>
      <c r="J112" s="258">
        <f>IF(J$4="","",Data!F$22/Data!F15)</f>
        <v>0.9855443957508544</v>
      </c>
      <c r="K112" s="258">
        <f>IF(K$4="","",Data!G$22/Data!G15)</f>
        <v>1.0418658607821389</v>
      </c>
      <c r="L112" s="258">
        <f>IF(L$4="","",Data!H$22/Data!H15)</f>
        <v>1.3166688566521891</v>
      </c>
      <c r="M112" s="258">
        <f>IF(M$4="","",Data!I$22/Data!I15)</f>
        <v>1.391990381107582</v>
      </c>
      <c r="N112" s="258">
        <f>IF(N$4="","",Data!J$22/Data!J15)</f>
        <v>1.9009865319342956</v>
      </c>
      <c r="O112" s="258">
        <f>IF(O$4="","",Data!K$22/Data!K15)</f>
        <v>0.3178465205144872</v>
      </c>
      <c r="P112" s="258" t="str">
        <f>IF(P$4="","",Data!L$22/Data!L15)</f>
        <v/>
      </c>
      <c r="Q112" s="258" t="str">
        <f>IF(Q$4="","",Data!M$22/Data!M15)</f>
        <v/>
      </c>
    </row>
    <row r="113" spans="1:17" ht="15.75" customHeight="1">
      <c r="A113" s="10"/>
      <c r="B113" s="2" t="s">
        <v>307</v>
      </c>
      <c r="C113" s="152"/>
      <c r="E113" s="242"/>
      <c r="G113" s="258">
        <f>IF(G$4="","",Data!C$22/G19)</f>
        <v>1.4359176690068407</v>
      </c>
      <c r="H113" s="258">
        <f>IF(H$4="","",Data!D$22/H19)</f>
        <v>1.5853959137266556</v>
      </c>
      <c r="I113" s="258">
        <f>IF(I$4="","",Data!E$22/I19)</f>
        <v>1.5321325313346319</v>
      </c>
      <c r="J113" s="258">
        <f>IF(J$4="","",Data!F$22/J19)</f>
        <v>1.3044741676315526</v>
      </c>
      <c r="K113" s="258">
        <f>IF(K$4="","",Data!G$22/K19)</f>
        <v>1.7080896005022876</v>
      </c>
      <c r="L113" s="258">
        <f>IF(L$4="","",Data!H$22/L19)</f>
        <v>1.7111096357892817</v>
      </c>
      <c r="M113" s="258">
        <f>IF(M$4="","",Data!I$22/M19)</f>
        <v>1.7609053904242324</v>
      </c>
      <c r="N113" s="258">
        <f>IF(N$4="","",Data!J$22/N19)</f>
        <v>2.8328561758816497</v>
      </c>
      <c r="O113" s="258">
        <f>IF(O$4="","",Data!K$22/O19)</f>
        <v>0.5921362848257451</v>
      </c>
      <c r="P113" s="258" t="str">
        <f>IF(P$4="","",Data!L$22/P19)</f>
        <v/>
      </c>
      <c r="Q113" s="258" t="str">
        <f>IF(Q$4="","",Data!M$22/Q19)</f>
        <v/>
      </c>
    </row>
    <row r="114" spans="1:17" ht="15.75" customHeight="1">
      <c r="A114" s="10"/>
      <c r="E114" s="242"/>
    </row>
    <row r="115" spans="1:17" ht="15.75" customHeight="1">
      <c r="A115" s="10"/>
      <c r="B115" s="88" t="s">
        <v>36</v>
      </c>
      <c r="C115" s="52"/>
      <c r="D115" s="52"/>
      <c r="E115" s="245"/>
      <c r="F115" s="52"/>
      <c r="G115" s="22" t="str">
        <f>IFERROR(IF(#REF!*G117*(1/#REF!)=G119,"","Error"),"")</f>
        <v/>
      </c>
      <c r="H115" s="22" t="str">
        <f>IFERROR(IF(#REF!*H117*(1/#REF!)=H119,"","Error"),"")</f>
        <v/>
      </c>
      <c r="I115" s="22" t="str">
        <f>IFERROR(IF(#REF!*I117*(1/#REF!)=I119,"","Error"),"")</f>
        <v/>
      </c>
      <c r="J115" s="22" t="str">
        <f>IFERROR(IF(#REF!*J117*(1/#REF!)=J119,"","Error"),"")</f>
        <v/>
      </c>
      <c r="K115" s="22" t="str">
        <f>IFERROR(IF(#REF!*K117*(1/#REF!)=K119,"","Error"),"")</f>
        <v/>
      </c>
      <c r="L115" s="22" t="str">
        <f>IFERROR(IF(#REF!*L117*(1/#REF!)=L119,"","Error"),"")</f>
        <v/>
      </c>
      <c r="M115" s="22" t="str">
        <f>IFERROR(IF(#REF!*M117*(1/#REF!)=M119,"","Error"),"")</f>
        <v/>
      </c>
      <c r="N115" s="22" t="str">
        <f>IFERROR(IF(#REF!*N117*(1/#REF!)=N119,"","Error"),"")</f>
        <v/>
      </c>
      <c r="O115" s="22" t="str">
        <f>IFERROR(IF(#REF!*O117*(1/#REF!)=O119,"","Error"),"")</f>
        <v/>
      </c>
      <c r="P115" s="22" t="str">
        <f>IFERROR(IF(#REF!*P117*(1/#REF!)=P119,"","Error"),"")</f>
        <v/>
      </c>
      <c r="Q115" s="22" t="str">
        <f>IFERROR(IF(#REF!*Q117*(1/#REF!)=Q119,"","Error"),"")</f>
        <v/>
      </c>
    </row>
    <row r="116" spans="1:17" ht="15.75" customHeight="1">
      <c r="A116" s="10"/>
      <c r="B116" s="7" t="s">
        <v>190</v>
      </c>
      <c r="C116" s="22">
        <f>C77</f>
        <v>0.21350770384328224</v>
      </c>
      <c r="E116" s="242"/>
      <c r="G116" s="22">
        <f t="shared" ref="G116:Q116" si="44">IF(G4="","",G77)</f>
        <v>0.23568649229951275</v>
      </c>
      <c r="H116" s="22">
        <f t="shared" si="44"/>
        <v>0.21373150434281243</v>
      </c>
      <c r="I116" s="22">
        <f t="shared" si="44"/>
        <v>0.27306744383270315</v>
      </c>
      <c r="J116" s="22">
        <f t="shared" si="44"/>
        <v>0.35236523635459982</v>
      </c>
      <c r="K116" s="22">
        <f t="shared" si="44"/>
        <v>0.37649139046382502</v>
      </c>
      <c r="L116" s="22">
        <f t="shared" si="44"/>
        <v>0.34804386310572694</v>
      </c>
      <c r="M116" s="22">
        <f t="shared" si="44"/>
        <v>0.26162757073598641</v>
      </c>
      <c r="N116" s="22">
        <f t="shared" si="44"/>
        <v>0.21561881078804063</v>
      </c>
      <c r="O116" s="22">
        <f t="shared" si="44"/>
        <v>0.10922862080973993</v>
      </c>
      <c r="P116" s="22" t="str">
        <f t="shared" si="44"/>
        <v/>
      </c>
      <c r="Q116" s="22" t="str">
        <f t="shared" si="44"/>
        <v/>
      </c>
    </row>
    <row r="117" spans="1:17" ht="15.75" customHeight="1">
      <c r="B117" s="7" t="s">
        <v>80</v>
      </c>
      <c r="C117" s="40">
        <f>C4/C100</f>
        <v>0.48960240415119827</v>
      </c>
      <c r="E117" s="242"/>
      <c r="G117" s="40">
        <f t="shared" ref="G117:Q117" si="45">IF(G4="","",G4/G100)</f>
        <v>0.61200300518899786</v>
      </c>
      <c r="H117" s="40">
        <f t="shared" si="45"/>
        <v>0.53964295524330952</v>
      </c>
      <c r="I117" s="40">
        <f t="shared" si="45"/>
        <v>0.60004136753548909</v>
      </c>
      <c r="J117" s="40">
        <f t="shared" si="45"/>
        <v>0.72348267981778713</v>
      </c>
      <c r="K117" s="40">
        <f t="shared" si="45"/>
        <v>0.65644781077376502</v>
      </c>
      <c r="L117" s="40">
        <f t="shared" si="45"/>
        <v>0.59649011993653733</v>
      </c>
      <c r="M117" s="40">
        <f t="shared" si="45"/>
        <v>0.87640514158416216</v>
      </c>
      <c r="N117" s="40">
        <f t="shared" si="45"/>
        <v>0.83941132304031707</v>
      </c>
      <c r="O117" s="40">
        <f t="shared" si="45"/>
        <v>0.7932743436720372</v>
      </c>
      <c r="P117" s="40" t="str">
        <f t="shared" si="45"/>
        <v/>
      </c>
      <c r="Q117" s="40" t="str">
        <f t="shared" si="45"/>
        <v/>
      </c>
    </row>
    <row r="118" spans="1:17" ht="15.75" customHeight="1">
      <c r="B118" s="7" t="s">
        <v>88</v>
      </c>
      <c r="C118" s="15">
        <f>C100/C104</f>
        <v>1.2485669045200241</v>
      </c>
      <c r="D118" s="11"/>
      <c r="E118" s="246"/>
      <c r="F118" s="11"/>
      <c r="G118" s="15">
        <f t="shared" ref="G118:Q118" si="46">IF(G$4="","",G100/G104)</f>
        <v>1.2485669045200241</v>
      </c>
      <c r="H118" s="15">
        <f t="shared" si="46"/>
        <v>1.374428588429726</v>
      </c>
      <c r="I118" s="15">
        <f t="shared" si="46"/>
        <v>1.3941453372437378</v>
      </c>
      <c r="J118" s="15">
        <f t="shared" si="46"/>
        <v>1.4052093055642969</v>
      </c>
      <c r="K118" s="15">
        <f t="shared" si="46"/>
        <v>1.4762607747246947</v>
      </c>
      <c r="L118" s="15">
        <f t="shared" si="46"/>
        <v>1.7655022288519244</v>
      </c>
      <c r="M118" s="15">
        <f t="shared" si="46"/>
        <v>2.0488065280180474</v>
      </c>
      <c r="N118" s="15">
        <f t="shared" si="46"/>
        <v>1.9563549699819778</v>
      </c>
      <c r="O118" s="15">
        <f t="shared" si="46"/>
        <v>1.9752063577540873</v>
      </c>
      <c r="P118" s="15" t="str">
        <f t="shared" si="46"/>
        <v/>
      </c>
      <c r="Q118" s="15" t="str">
        <f t="shared" si="46"/>
        <v/>
      </c>
    </row>
    <row r="119" spans="1:17" ht="15.75" customHeight="1">
      <c r="A119" s="10"/>
      <c r="B119" s="67" t="s">
        <v>191</v>
      </c>
      <c r="C119" s="99">
        <f>C11/C104</f>
        <v>0.13051754934484086</v>
      </c>
      <c r="D119" s="100"/>
      <c r="E119" s="245"/>
      <c r="F119" s="100"/>
      <c r="G119" s="99">
        <f t="shared" ref="G119:Q119" si="47">IF(G$4="","",G11/G104)</f>
        <v>0.18009434106411271</v>
      </c>
      <c r="H119" s="99">
        <f t="shared" si="47"/>
        <v>0.15852480750116954</v>
      </c>
      <c r="I119" s="99">
        <f t="shared" si="47"/>
        <v>0.22843317058648571</v>
      </c>
      <c r="J119" s="99">
        <f t="shared" si="47"/>
        <v>0.35823021268675204</v>
      </c>
      <c r="K119" s="99">
        <f t="shared" si="47"/>
        <v>0.36485334646823581</v>
      </c>
      <c r="L119" s="99">
        <f t="shared" si="47"/>
        <v>0.36652660585016644</v>
      </c>
      <c r="M119" s="99">
        <f t="shared" si="47"/>
        <v>0.46977443047790718</v>
      </c>
      <c r="N119" s="99">
        <f t="shared" si="47"/>
        <v>0.35408630317379602</v>
      </c>
      <c r="O119" s="99">
        <f t="shared" si="47"/>
        <v>0.17114819894486188</v>
      </c>
      <c r="P119" s="99" t="str">
        <f t="shared" si="47"/>
        <v/>
      </c>
      <c r="Q119" s="99" t="str">
        <f t="shared" si="47"/>
        <v/>
      </c>
    </row>
    <row r="120" spans="1:17" ht="15.75" customHeight="1">
      <c r="A120" s="10"/>
      <c r="B120" s="26"/>
      <c r="C120" s="59"/>
      <c r="D120" s="26"/>
      <c r="E120" s="64"/>
      <c r="F120" s="26"/>
      <c r="G120" s="12"/>
      <c r="H120" s="12"/>
      <c r="I120" s="12"/>
      <c r="J120" s="12"/>
      <c r="K120" s="12"/>
      <c r="L120" s="12"/>
      <c r="M120" s="12"/>
      <c r="N120" s="12"/>
      <c r="O120" s="12"/>
      <c r="P120" s="12"/>
      <c r="Q120" s="12"/>
    </row>
    <row r="121" spans="1:17" ht="15.75" customHeight="1">
      <c r="A121" s="10"/>
      <c r="B121" s="51" t="s">
        <v>192</v>
      </c>
      <c r="C121" s="51"/>
      <c r="D121" s="53"/>
      <c r="E121" s="63" t="s">
        <v>56</v>
      </c>
      <c r="F121" s="53"/>
      <c r="G121" s="35"/>
      <c r="H121" s="35"/>
      <c r="I121" s="35"/>
      <c r="J121" s="35"/>
      <c r="K121" s="35"/>
      <c r="L121" s="35"/>
      <c r="M121" s="35"/>
      <c r="N121" s="35"/>
      <c r="O121" s="35"/>
      <c r="P121" s="35"/>
      <c r="Q121" s="35"/>
    </row>
    <row r="122" spans="1:17" ht="15.75" customHeight="1">
      <c r="A122" s="10"/>
      <c r="B122" s="161" t="s">
        <v>141</v>
      </c>
      <c r="C122" s="162"/>
      <c r="D122" s="26"/>
      <c r="E122" s="239"/>
      <c r="F122" s="26"/>
      <c r="G122" s="12"/>
      <c r="H122" s="12"/>
      <c r="I122" s="12"/>
      <c r="J122" s="12"/>
      <c r="K122" s="12"/>
      <c r="L122" s="12"/>
      <c r="M122" s="12"/>
      <c r="N122" s="12"/>
      <c r="O122" s="12"/>
      <c r="P122" s="12"/>
      <c r="Q122" s="12"/>
    </row>
    <row r="123" spans="1:17" ht="15.75" customHeight="1">
      <c r="A123" s="10"/>
      <c r="B123" s="26" t="str">
        <f>"FCFE per share ("&amp;Market_currency&amp;")"</f>
        <v>FCFE per share (HKD)</v>
      </c>
      <c r="C123" s="160">
        <f>C14*$C$3/Common_Shares*Exchange_Rate</f>
        <v>0.31245412977731568</v>
      </c>
      <c r="D123" s="26"/>
      <c r="E123" s="239"/>
      <c r="F123" s="26"/>
      <c r="G123" s="160">
        <f t="shared" ref="G123:Q123" si="48">IF(G$4="","",G14*$C$3/Common_Shares*Exchange_Rate)</f>
        <v>0.35101813630152412</v>
      </c>
      <c r="H123" s="160">
        <f t="shared" si="48"/>
        <v>0.31533868262166259</v>
      </c>
      <c r="I123" s="160">
        <f t="shared" si="48"/>
        <v>0.49425811778085194</v>
      </c>
      <c r="J123" s="160">
        <f t="shared" si="48"/>
        <v>0.63005804298506884</v>
      </c>
      <c r="K123" s="160">
        <f t="shared" si="48"/>
        <v>0.5470558263925509</v>
      </c>
      <c r="L123" s="160">
        <f t="shared" si="48"/>
        <v>0.36513290546792748</v>
      </c>
      <c r="M123" s="160">
        <f t="shared" si="48"/>
        <v>0.21376628830520339</v>
      </c>
      <c r="N123" s="160">
        <f t="shared" si="48"/>
        <v>9.3896911031903563E-2</v>
      </c>
      <c r="O123" s="160">
        <f t="shared" si="48"/>
        <v>2.6292905525020161E-2</v>
      </c>
      <c r="P123" s="160" t="str">
        <f t="shared" si="48"/>
        <v/>
      </c>
      <c r="Q123" s="160" t="str">
        <f t="shared" si="48"/>
        <v/>
      </c>
    </row>
    <row r="124" spans="1:17" ht="15.75" customHeight="1">
      <c r="A124" s="10"/>
      <c r="B124" s="26" t="s">
        <v>226</v>
      </c>
      <c r="C124" s="74">
        <f>C19*Exchange_Rate*$C$3/(Market_Price*Common_Shares)</f>
        <v>7.8902558024574673E-2</v>
      </c>
      <c r="D124" s="26"/>
      <c r="E124" s="239"/>
      <c r="F124" s="26"/>
      <c r="G124" s="74">
        <f t="shared" ref="G124" si="49">IF(G$4="","",G123/Market_Price)</f>
        <v>8.8640943510485889E-2</v>
      </c>
      <c r="H124" s="74">
        <f t="shared" ref="H124" si="50">IF(H$4="","",H123/Market_Price)</f>
        <v>7.9630980460015807E-2</v>
      </c>
      <c r="I124" s="74">
        <f t="shared" ref="I124" si="51">IF(I$4="","",I123/Market_Price)</f>
        <v>0.12481265600526564</v>
      </c>
      <c r="J124" s="74">
        <f t="shared" ref="J124" si="52">IF(J$4="","",J123/Market_Price)</f>
        <v>0.15910556641037094</v>
      </c>
      <c r="K124" s="74">
        <f t="shared" ref="K124" si="53">IF(K$4="","",K123/Market_Price)</f>
        <v>0.13814541070518963</v>
      </c>
      <c r="L124" s="74">
        <f t="shared" ref="L124" si="54">IF(L$4="","",L123/Market_Price)</f>
        <v>9.2205279158567549E-2</v>
      </c>
      <c r="M124" s="74">
        <f t="shared" ref="M124" si="55">IF(M$4="","",M123/Market_Price)</f>
        <v>5.3981385935657419E-2</v>
      </c>
      <c r="N124" s="74">
        <f t="shared" ref="N124" si="56">IF(N$4="","",N123/Market_Price)</f>
        <v>2.3711341169672617E-2</v>
      </c>
      <c r="O124" s="74">
        <f t="shared" ref="O124" si="57">IF(O$4="","",O123/Market_Price)</f>
        <v>6.6396226073283235E-3</v>
      </c>
      <c r="P124" s="74" t="str">
        <f t="shared" ref="P124" si="58">IF(P$4="","",P123/Market_Price)</f>
        <v/>
      </c>
      <c r="Q124" s="74" t="str">
        <f t="shared" ref="Q124" si="59">IF(Q$4="","",Q123/Market_Price)</f>
        <v/>
      </c>
    </row>
    <row r="125" spans="1:17" ht="15.75" customHeight="1">
      <c r="B125" s="2" t="s">
        <v>309</v>
      </c>
      <c r="C125" s="152"/>
      <c r="G125" s="22">
        <f>IF(G$4="","",(Data!C47*$C$3)/(Market_Price*Common_Shares))</f>
        <v>0.1017906182737776</v>
      </c>
      <c r="H125" s="22">
        <f>IF(H$4="","",(Data!D47*$C$3)/(Market_Price*Common_Shares))</f>
        <v>9.1657352363458414E-2</v>
      </c>
      <c r="I125" s="22">
        <f>IF(I$4="","",(Data!E47*$C$3)/(Market_Price*Common_Shares))</f>
        <v>0.13783640630964186</v>
      </c>
      <c r="J125" s="22">
        <f>IF(J$4="","",(Data!F47*$C$3)/(Market_Price*Common_Shares))</f>
        <v>0.1926240898325374</v>
      </c>
      <c r="K125" s="22">
        <f>IF(K$4="","",(Data!G47*$C$3)/(Market_Price*Common_Shares))</f>
        <v>0.20715777510168226</v>
      </c>
      <c r="L125" s="22">
        <f>IF(L$4="","",(Data!H47*$C$3)/(Market_Price*Common_Shares))</f>
        <v>0.10960313987383694</v>
      </c>
      <c r="M125" s="22">
        <f>IF(M$4="","",(Data!I47*$C$3)/(Market_Price*Common_Shares))</f>
        <v>6.2461118131547651E-2</v>
      </c>
      <c r="N125" s="22">
        <f>IF(N$4="","",(Data!J47*$C$3)/(Market_Price*Common_Shares))</f>
        <v>3.2319716341365878E-2</v>
      </c>
      <c r="O125" s="22">
        <f>IF(O$4="","",(Data!K47*$C$3)/(Market_Price*Common_Shares))</f>
        <v>1.1313931450836676E-2</v>
      </c>
      <c r="P125" s="22" t="str">
        <f>IF(P$4="","",(Data!L47*$C$3)/(Market_Price*Common_Shares))</f>
        <v/>
      </c>
      <c r="Q125" s="22" t="str">
        <f>IF(Q$4="","",(Data!M47*$C$3)/(Market_Price*Common_Shares))</f>
        <v/>
      </c>
    </row>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sheetData>
  <phoneticPr fontId="2" type="noConversion"/>
  <conditionalFormatting sqref="G4:Q11 G13:Q16 G23:Q25">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U102"/>
  <sheetViews>
    <sheetView showGridLines="0" zoomScale="116" zoomScaleNormal="100" workbookViewId="0">
      <selection activeCell="D22" sqref="D22"/>
    </sheetView>
  </sheetViews>
  <sheetFormatPr defaultColWidth="8.796875" defaultRowHeight="12.75"/>
  <cols>
    <col min="1" max="1" width="6.1328125" customWidth="1"/>
    <col min="2" max="9" width="20.6640625" customWidth="1"/>
    <col min="10" max="11" width="11.1328125" customWidth="1"/>
    <col min="12" max="12" width="20.6640625" customWidth="1"/>
    <col min="13" max="13" width="5.6640625" customWidth="1"/>
  </cols>
  <sheetData>
    <row r="2" spans="2:15" ht="13.9">
      <c r="B2" s="34" t="s">
        <v>52</v>
      </c>
      <c r="C2" s="35"/>
      <c r="D2" s="35"/>
      <c r="E2" s="35"/>
      <c r="F2" s="35"/>
      <c r="G2" s="35"/>
      <c r="H2" s="35"/>
      <c r="I2" s="35"/>
      <c r="J2" s="35"/>
      <c r="K2" s="35"/>
      <c r="L2" s="35"/>
    </row>
    <row r="3" spans="2:15" ht="13.15">
      <c r="B3" s="106" t="s">
        <v>136</v>
      </c>
      <c r="C3" s="104">
        <f>scaling_factor</f>
        <v>1000</v>
      </c>
      <c r="E3" s="106" t="s">
        <v>433</v>
      </c>
      <c r="H3" s="106" t="s">
        <v>422</v>
      </c>
    </row>
    <row r="4" spans="2:15">
      <c r="B4" s="97" t="s">
        <v>398</v>
      </c>
      <c r="C4" s="283">
        <f>Normalized_FCF!C19</f>
        <v>2590789.1611465206</v>
      </c>
      <c r="D4" t="str">
        <f>Reporting_currency</f>
        <v>CNY</v>
      </c>
      <c r="E4" s="136" t="s">
        <v>440</v>
      </c>
      <c r="F4" s="283">
        <f>-BS!G31</f>
        <v>-845013</v>
      </c>
      <c r="G4" t="str">
        <f>Reporting_currency</f>
        <v>CNY</v>
      </c>
      <c r="H4" s="316" t="s">
        <v>399</v>
      </c>
      <c r="I4" s="313">
        <f>Normalized_FCF!C4</f>
        <v>16598840</v>
      </c>
      <c r="J4" s="313"/>
    </row>
    <row r="5" spans="2:15">
      <c r="B5" s="188" t="s">
        <v>105</v>
      </c>
      <c r="C5" s="189">
        <f>Equity_Cost</f>
        <v>7.2499999999999995E-2</v>
      </c>
      <c r="E5" s="136" t="s">
        <v>441</v>
      </c>
      <c r="F5" s="283">
        <f>BS!D66</f>
        <v>15073642.522995466</v>
      </c>
      <c r="G5" t="str">
        <f>Reporting_currency</f>
        <v>CNY</v>
      </c>
      <c r="H5" s="316" t="s">
        <v>401</v>
      </c>
      <c r="I5" s="313">
        <f>Normalized_FCF!C7</f>
        <v>-1681261</v>
      </c>
      <c r="J5" s="313"/>
    </row>
    <row r="6" spans="2:15" ht="13.25" customHeight="1">
      <c r="B6" s="137" t="s">
        <v>194</v>
      </c>
      <c r="C6" s="291">
        <f>(C4*(1+Terminal_Growth))/(Equity_Cost-Terminal_Growth)</f>
        <v>35735022.912365802</v>
      </c>
      <c r="D6" t="str">
        <f>Reporting_currency</f>
        <v>CNY</v>
      </c>
      <c r="E6" s="188" t="s">
        <v>442</v>
      </c>
      <c r="F6" s="292">
        <f>BS!H42</f>
        <v>4283</v>
      </c>
      <c r="G6" t="str">
        <f>Reporting_currency</f>
        <v>CNY</v>
      </c>
      <c r="H6" s="316" t="s">
        <v>424</v>
      </c>
      <c r="I6" s="313">
        <f>I7+I8</f>
        <v>-41622.785137972802</v>
      </c>
      <c r="J6" s="313"/>
      <c r="N6" s="136"/>
    </row>
    <row r="7" spans="2:15" ht="12.75" customHeight="1">
      <c r="B7" s="326" t="s">
        <v>439</v>
      </c>
      <c r="C7" s="283">
        <f>F7</f>
        <v>14232912.522995466</v>
      </c>
      <c r="E7" s="141" t="s">
        <v>433</v>
      </c>
      <c r="F7" s="291">
        <f>SUM(F4:F6)</f>
        <v>14232912.522995466</v>
      </c>
      <c r="G7" t="str">
        <f>Reporting_currency</f>
        <v>CNY</v>
      </c>
      <c r="H7" s="320" t="s">
        <v>425</v>
      </c>
      <c r="I7" s="321">
        <f>Normalized_FCF!C9</f>
        <v>-12182</v>
      </c>
      <c r="J7" s="321"/>
      <c r="N7" s="312"/>
      <c r="O7" s="312"/>
    </row>
    <row r="8" spans="2:15" ht="13.15">
      <c r="B8" s="137" t="s">
        <v>435</v>
      </c>
      <c r="C8" s="291">
        <f>C6+C7</f>
        <v>49967935.435361266</v>
      </c>
      <c r="D8" t="str">
        <f>Reporting_currency</f>
        <v>CNY</v>
      </c>
      <c r="E8" s="141" t="s">
        <v>473</v>
      </c>
      <c r="F8" s="108">
        <f>FV_adjustments*scaling_factor/Common_Shares*Exchange_Rate</f>
        <v>1.7165164820286594</v>
      </c>
      <c r="G8" s="302" t="str">
        <f>Market_currency</f>
        <v>HKD</v>
      </c>
      <c r="H8" s="322" t="str">
        <f>Normalized_FCF!B10</f>
        <v>Net Interest Income</v>
      </c>
      <c r="I8" s="321">
        <f>Normalized_FCF!C10</f>
        <v>-29440.785137972802</v>
      </c>
      <c r="J8" s="321"/>
      <c r="N8" s="312"/>
      <c r="O8" s="312"/>
    </row>
    <row r="9" spans="2:15" ht="13.15" thickBot="1">
      <c r="B9" s="190" t="str">
        <f>"*"&amp;Thesis!E15</f>
        <v>*CNY/HKD</v>
      </c>
      <c r="C9" s="191">
        <f>Exchange_Rate</f>
        <v>1.0932867000000002</v>
      </c>
      <c r="D9" t="str">
        <f>Thesis!E15</f>
        <v>CNY/HKD</v>
      </c>
      <c r="F9" s="331"/>
      <c r="H9" s="316" t="str">
        <f>Normalized_FCF!B79</f>
        <v>NCI’s Share of Profits</v>
      </c>
      <c r="I9" s="145">
        <f>Normalized_FCF!C79</f>
        <v>4.0482346959185098E-3</v>
      </c>
      <c r="J9" s="314"/>
      <c r="N9" s="312"/>
      <c r="O9" s="312"/>
    </row>
    <row r="10" spans="2:15" ht="13.5" thickTop="1">
      <c r="B10" s="107" t="s">
        <v>436</v>
      </c>
      <c r="C10" s="291">
        <f>C8*Exchange_Rate</f>
        <v>54629279.237939194</v>
      </c>
      <c r="D10" t="str">
        <f>Market_currency</f>
        <v>HKD</v>
      </c>
      <c r="H10" s="316" t="s">
        <v>403</v>
      </c>
      <c r="I10" s="314">
        <f>Normalized_FCF!C41</f>
        <v>0.25</v>
      </c>
      <c r="N10" s="312"/>
      <c r="O10" s="312"/>
    </row>
    <row r="11" spans="2:15" ht="13.15">
      <c r="B11" s="137" t="s">
        <v>434</v>
      </c>
      <c r="C11" s="108">
        <f>(C10*scaling_factor)/Common_Shares</f>
        <v>6.0262286168881865</v>
      </c>
      <c r="D11" t="str">
        <f>Market_currency</f>
        <v>HKD</v>
      </c>
      <c r="E11" s="315"/>
      <c r="I11" s="315"/>
      <c r="J11" s="315"/>
    </row>
    <row r="13" spans="2:15" ht="13.9">
      <c r="B13" s="34" t="s">
        <v>437</v>
      </c>
      <c r="C13" s="35"/>
      <c r="D13" s="35"/>
      <c r="E13" s="35"/>
      <c r="F13" s="35"/>
      <c r="G13" s="35"/>
      <c r="H13" s="35"/>
      <c r="I13" s="35"/>
      <c r="J13" s="35"/>
      <c r="K13" s="35"/>
      <c r="L13" s="35"/>
    </row>
    <row r="14" spans="2:15" ht="13.15">
      <c r="B14" s="106" t="s">
        <v>405</v>
      </c>
      <c r="C14" s="317" t="s">
        <v>413</v>
      </c>
      <c r="E14" s="106" t="s">
        <v>405</v>
      </c>
      <c r="F14" s="317" t="str">
        <f>IF(F17=C17,"I","II")</f>
        <v>I</v>
      </c>
      <c r="H14" s="106" t="s">
        <v>421</v>
      </c>
    </row>
    <row r="15" spans="2:15">
      <c r="B15" s="140" t="s">
        <v>430</v>
      </c>
      <c r="C15" s="149">
        <f>Scenarios!C45</f>
        <v>5</v>
      </c>
      <c r="E15" s="316" t="str">
        <f>IF(F14="II","Change year","Terminal Year")</f>
        <v>Terminal Year</v>
      </c>
      <c r="F15" s="318">
        <f>IF(F14="II",_xlfn.CEILING.MATH(C15/2),C15+1)</f>
        <v>6</v>
      </c>
      <c r="H15" s="97" t="s">
        <v>438</v>
      </c>
      <c r="I15" s="127">
        <f>Terminal_Growth</f>
        <v>0</v>
      </c>
      <c r="J15" s="127"/>
    </row>
    <row r="16" spans="2:15" ht="13.25" customHeight="1">
      <c r="B16" s="114" t="s">
        <v>431</v>
      </c>
      <c r="C16" s="148">
        <f>Scenarios!C46</f>
        <v>1.8613012126595961E-2</v>
      </c>
      <c r="E16" s="316" t="s">
        <v>406</v>
      </c>
      <c r="F16" s="319">
        <f>Scenarios!C41</f>
        <v>1.8613012126595961E-2</v>
      </c>
    </row>
    <row r="17" spans="1:21" ht="13.25" customHeight="1">
      <c r="B17" s="316" t="s">
        <v>400</v>
      </c>
      <c r="C17" s="314">
        <f>Normalized_FCF!C32</f>
        <v>0.68269686315429268</v>
      </c>
      <c r="E17" s="316" t="s">
        <v>407</v>
      </c>
      <c r="F17" s="319">
        <f>Scenarios!C40</f>
        <v>0.68269686315429268</v>
      </c>
      <c r="H17" s="106" t="s">
        <v>420</v>
      </c>
    </row>
    <row r="18" spans="1:21" ht="13.25" customHeight="1">
      <c r="B18" s="316" t="s">
        <v>432</v>
      </c>
      <c r="C18" s="314">
        <f>Normalized_FCF!C81-Normalized_FCF!C82</f>
        <v>0</v>
      </c>
      <c r="E18" s="316" t="s">
        <v>432</v>
      </c>
      <c r="F18" s="145">
        <f>IF(F14="II",C18/2,C18)</f>
        <v>0</v>
      </c>
      <c r="H18" s="141" t="s">
        <v>97</v>
      </c>
      <c r="I18" s="130">
        <f>(L52+FV_adjustments)*Exchange_Rate/Common_Shares*scaling_factor</f>
        <v>6.4797347344821565</v>
      </c>
      <c r="J18" t="str">
        <f>Market_currency</f>
        <v>HKD</v>
      </c>
    </row>
    <row r="19" spans="1:21">
      <c r="L19" s="283"/>
    </row>
    <row r="20" spans="1:21" ht="13.15">
      <c r="A20" s="122" t="s">
        <v>405</v>
      </c>
      <c r="B20" s="122" t="s">
        <v>98</v>
      </c>
      <c r="C20" s="122" t="s">
        <v>399</v>
      </c>
      <c r="D20" s="122" t="s">
        <v>102</v>
      </c>
      <c r="E20" s="122" t="s">
        <v>400</v>
      </c>
      <c r="F20" s="122" t="s">
        <v>401</v>
      </c>
      <c r="G20" s="122" t="s">
        <v>551</v>
      </c>
      <c r="H20" s="122" t="str">
        <f>B18</f>
        <v>D&amp;A - maint. Capx</v>
      </c>
      <c r="I20" s="122" t="s">
        <v>427</v>
      </c>
      <c r="J20" s="122" t="s">
        <v>538</v>
      </c>
      <c r="K20" s="122" t="s">
        <v>539</v>
      </c>
      <c r="L20" s="123" t="s">
        <v>428</v>
      </c>
    </row>
    <row r="21" spans="1:21">
      <c r="A21" s="310" t="str">
        <f t="shared" ref="A21:A50" si="0">IF($C$15&lt;B21,"",IF(B21&gt;=$F$15,"II","I"))</f>
        <v>I</v>
      </c>
      <c r="B21" s="118">
        <v>1</v>
      </c>
      <c r="C21" s="285">
        <f>I4*(1+D21)</f>
        <v>16907794.410207424</v>
      </c>
      <c r="D21" s="307">
        <f t="shared" ref="D21:D50" si="1">IF(A21="",0,IF(A21="I",$C$16,$F$16))</f>
        <v>1.8613012126595961E-2</v>
      </c>
      <c r="E21" s="307">
        <f>$C$17</f>
        <v>0.68269686315429268</v>
      </c>
      <c r="F21" s="285">
        <f>I5*(1+D21)</f>
        <v>-1712554.3313809729</v>
      </c>
      <c r="G21" s="285">
        <f>C21*(1-E21)+F21+$I$6</f>
        <v>3610719.086982186</v>
      </c>
      <c r="H21" s="307">
        <f t="shared" ref="H21:H50" si="2">IF(A21="",0%,IF(A21="I",$C$18,$F$18))</f>
        <v>0</v>
      </c>
      <c r="I21" s="285">
        <f>(G21*(1-$I$10)+C21*(H21-$I$9))</f>
        <v>2639592.5952737806</v>
      </c>
      <c r="J21" s="307">
        <f>I21/C4-1</f>
        <v>1.8837285124993608E-2</v>
      </c>
      <c r="K21" s="120">
        <f t="shared" ref="K21:K50" si="3">IF($C$15&lt;B21,0,1/(1+Equity_Cost)^B21)</f>
        <v>0.93240093240093236</v>
      </c>
      <c r="L21" s="285">
        <f t="shared" ref="L21:L50" si="4">I21*K21</f>
        <v>2461158.5969918701</v>
      </c>
    </row>
    <row r="22" spans="1:21">
      <c r="A22" s="310" t="str">
        <f t="shared" si="0"/>
        <v>I</v>
      </c>
      <c r="B22" s="118">
        <v>2</v>
      </c>
      <c r="C22" s="285">
        <f t="shared" ref="C22:C50" si="5">IF(A22="",0,C21*(1+D22))</f>
        <v>17222499.392598607</v>
      </c>
      <c r="D22" s="307">
        <f t="shared" si="1"/>
        <v>1.8613012126595961E-2</v>
      </c>
      <c r="E22" s="307">
        <f t="shared" ref="E22:E50" si="6">IF($C$15&lt;B22,0,IF(B22&gt;=$F$15,$F$17,$C$17))</f>
        <v>0.68269686315429268</v>
      </c>
      <c r="F22" s="285">
        <f t="shared" ref="F22:F50" si="7">IF(A22="",0,F21*(1+D22))</f>
        <v>-1744430.1259184214</v>
      </c>
      <c r="G22" s="285">
        <f t="shared" ref="G22:G50" si="8">IF(A22="", 0,C22*(1-E22)+F22+$I$6)</f>
        <v>3678700.1705384324</v>
      </c>
      <c r="H22" s="307">
        <f t="shared" si="2"/>
        <v>0</v>
      </c>
      <c r="I22" s="285">
        <f>IF(A22="", 0,G22*(1-$I$10)+C22*(H22-$I$9))</f>
        <v>2689304.4083122709</v>
      </c>
      <c r="J22" s="307">
        <f>IF(A22="", 0,I22/I21-1)</f>
        <v>1.883313854096258E-2</v>
      </c>
      <c r="K22" s="120">
        <f t="shared" si="3"/>
        <v>0.86937149874212816</v>
      </c>
      <c r="L22" s="285">
        <f t="shared" si="4"/>
        <v>2338004.604028251</v>
      </c>
    </row>
    <row r="23" spans="1:21">
      <c r="A23" s="310" t="str">
        <f t="shared" si="0"/>
        <v>I</v>
      </c>
      <c r="B23" s="118">
        <v>3</v>
      </c>
      <c r="C23" s="285">
        <f t="shared" si="5"/>
        <v>17543061.982643336</v>
      </c>
      <c r="D23" s="307">
        <f t="shared" si="1"/>
        <v>1.8613012126595961E-2</v>
      </c>
      <c r="E23" s="307">
        <f t="shared" si="6"/>
        <v>0.68269686315429268</v>
      </c>
      <c r="F23" s="285">
        <f t="shared" si="7"/>
        <v>-1776899.2250061403</v>
      </c>
      <c r="G23" s="285">
        <f t="shared" si="8"/>
        <v>3747946.5868272907</v>
      </c>
      <c r="H23" s="307">
        <f t="shared" si="2"/>
        <v>0</v>
      </c>
      <c r="I23" s="285">
        <f t="shared" ref="I23:I50" si="9">IF(A23="", 0,G23*(1-$I$10)+C23*(H23-$I$9))</f>
        <v>2739941.5079296823</v>
      </c>
      <c r="J23" s="307">
        <f t="shared" ref="J23:J50" si="10">IF(A23="", 0,I23/I22-1)</f>
        <v>1.8829069502470208E-2</v>
      </c>
      <c r="K23" s="120">
        <f t="shared" si="3"/>
        <v>0.81060279602995633</v>
      </c>
      <c r="L23" s="285">
        <f t="shared" si="4"/>
        <v>2221004.2472863351</v>
      </c>
      <c r="N23" s="283"/>
      <c r="O23" s="283"/>
      <c r="P23" s="283"/>
      <c r="Q23" s="283"/>
      <c r="R23" s="283"/>
      <c r="S23" s="283"/>
      <c r="T23" s="283"/>
      <c r="U23" s="283"/>
    </row>
    <row r="24" spans="1:21">
      <c r="A24" s="310" t="str">
        <f t="shared" si="0"/>
        <v>I</v>
      </c>
      <c r="B24" s="118">
        <v>4</v>
      </c>
      <c r="C24" s="285">
        <f t="shared" si="5"/>
        <v>17869591.2080639</v>
      </c>
      <c r="D24" s="307">
        <f t="shared" si="1"/>
        <v>1.8613012126595961E-2</v>
      </c>
      <c r="E24" s="307">
        <f t="shared" si="6"/>
        <v>0.68269686315429268</v>
      </c>
      <c r="F24" s="285">
        <f t="shared" si="7"/>
        <v>-1809972.6718289186</v>
      </c>
      <c r="G24" s="285">
        <f t="shared" si="8"/>
        <v>3818481.8875022572</v>
      </c>
      <c r="H24" s="307">
        <f t="shared" si="2"/>
        <v>0</v>
      </c>
      <c r="I24" s="285">
        <f t="shared" si="9"/>
        <v>2791521.1164963283</v>
      </c>
      <c r="J24" s="307">
        <f t="shared" si="10"/>
        <v>1.8825076527133611E-2</v>
      </c>
      <c r="K24" s="120">
        <f t="shared" si="3"/>
        <v>0.75580680282513402</v>
      </c>
      <c r="L24" s="285">
        <f t="shared" si="4"/>
        <v>2109850.6500779386</v>
      </c>
      <c r="N24" s="283"/>
      <c r="O24" s="283"/>
      <c r="P24" s="283"/>
      <c r="Q24" s="283"/>
      <c r="R24" s="283"/>
      <c r="S24" s="283"/>
      <c r="T24" s="283"/>
      <c r="U24" s="283"/>
    </row>
    <row r="25" spans="1:21">
      <c r="A25" s="310" t="str">
        <f t="shared" si="0"/>
        <v>I</v>
      </c>
      <c r="B25" s="118">
        <v>5</v>
      </c>
      <c r="C25" s="285">
        <f t="shared" si="5"/>
        <v>18202198.125916906</v>
      </c>
      <c r="D25" s="307">
        <f t="shared" si="1"/>
        <v>1.8613012126595961E-2</v>
      </c>
      <c r="E25" s="307">
        <f t="shared" si="6"/>
        <v>0.68269686315429268</v>
      </c>
      <c r="F25" s="285">
        <f t="shared" si="7"/>
        <v>-1843661.7151184776</v>
      </c>
      <c r="G25" s="285">
        <f t="shared" si="8"/>
        <v>3890330.0625840393</v>
      </c>
      <c r="H25" s="307">
        <f t="shared" si="2"/>
        <v>0</v>
      </c>
      <c r="I25" s="285">
        <f t="shared" si="9"/>
        <v>2844060.7769427099</v>
      </c>
      <c r="J25" s="307">
        <f t="shared" si="10"/>
        <v>1.8821158162086515E-2</v>
      </c>
      <c r="K25" s="120">
        <f t="shared" si="3"/>
        <v>0.70471496766912267</v>
      </c>
      <c r="L25" s="285">
        <f t="shared" si="4"/>
        <v>2004252.1984722018</v>
      </c>
      <c r="N25" s="283"/>
      <c r="O25" s="283"/>
      <c r="P25" s="283"/>
      <c r="Q25" s="283"/>
      <c r="R25" s="283"/>
      <c r="S25" s="283"/>
      <c r="T25" s="283"/>
      <c r="U25" s="283"/>
    </row>
    <row r="26" spans="1:21">
      <c r="A26" s="310" t="str">
        <f t="shared" si="0"/>
        <v/>
      </c>
      <c r="B26" s="118">
        <v>6</v>
      </c>
      <c r="C26" s="285">
        <f t="shared" si="5"/>
        <v>0</v>
      </c>
      <c r="D26" s="307">
        <f t="shared" si="1"/>
        <v>0</v>
      </c>
      <c r="E26" s="307">
        <f t="shared" si="6"/>
        <v>0</v>
      </c>
      <c r="F26" s="285">
        <f t="shared" si="7"/>
        <v>0</v>
      </c>
      <c r="G26" s="285">
        <f t="shared" si="8"/>
        <v>0</v>
      </c>
      <c r="H26" s="307">
        <f t="shared" si="2"/>
        <v>0</v>
      </c>
      <c r="I26" s="285">
        <f t="shared" si="9"/>
        <v>0</v>
      </c>
      <c r="J26" s="307">
        <f t="shared" si="10"/>
        <v>0</v>
      </c>
      <c r="K26" s="120">
        <f t="shared" si="3"/>
        <v>0</v>
      </c>
      <c r="L26" s="285">
        <f t="shared" si="4"/>
        <v>0</v>
      </c>
    </row>
    <row r="27" spans="1:21">
      <c r="A27" s="310" t="str">
        <f t="shared" si="0"/>
        <v/>
      </c>
      <c r="B27" s="118">
        <v>7</v>
      </c>
      <c r="C27" s="285">
        <f t="shared" si="5"/>
        <v>0</v>
      </c>
      <c r="D27" s="307">
        <f t="shared" si="1"/>
        <v>0</v>
      </c>
      <c r="E27" s="307">
        <f t="shared" si="6"/>
        <v>0</v>
      </c>
      <c r="F27" s="285">
        <f t="shared" si="7"/>
        <v>0</v>
      </c>
      <c r="G27" s="285">
        <f t="shared" si="8"/>
        <v>0</v>
      </c>
      <c r="H27" s="307">
        <f t="shared" si="2"/>
        <v>0</v>
      </c>
      <c r="I27" s="285">
        <f t="shared" si="9"/>
        <v>0</v>
      </c>
      <c r="J27" s="307">
        <f t="shared" si="10"/>
        <v>0</v>
      </c>
      <c r="K27" s="120">
        <f t="shared" si="3"/>
        <v>0</v>
      </c>
      <c r="L27" s="285">
        <f t="shared" si="4"/>
        <v>0</v>
      </c>
    </row>
    <row r="28" spans="1:21">
      <c r="A28" s="310" t="str">
        <f t="shared" si="0"/>
        <v/>
      </c>
      <c r="B28" s="118">
        <v>8</v>
      </c>
      <c r="C28" s="285">
        <f t="shared" si="5"/>
        <v>0</v>
      </c>
      <c r="D28" s="307">
        <f t="shared" si="1"/>
        <v>0</v>
      </c>
      <c r="E28" s="307">
        <f t="shared" si="6"/>
        <v>0</v>
      </c>
      <c r="F28" s="285">
        <f t="shared" si="7"/>
        <v>0</v>
      </c>
      <c r="G28" s="285">
        <f t="shared" si="8"/>
        <v>0</v>
      </c>
      <c r="H28" s="307">
        <f t="shared" si="2"/>
        <v>0</v>
      </c>
      <c r="I28" s="285">
        <f t="shared" si="9"/>
        <v>0</v>
      </c>
      <c r="J28" s="307">
        <f t="shared" si="10"/>
        <v>0</v>
      </c>
      <c r="K28" s="120">
        <f t="shared" si="3"/>
        <v>0</v>
      </c>
      <c r="L28" s="285">
        <f t="shared" si="4"/>
        <v>0</v>
      </c>
    </row>
    <row r="29" spans="1:21">
      <c r="A29" s="310" t="str">
        <f t="shared" si="0"/>
        <v/>
      </c>
      <c r="B29" s="118">
        <v>9</v>
      </c>
      <c r="C29" s="285">
        <f t="shared" si="5"/>
        <v>0</v>
      </c>
      <c r="D29" s="307">
        <f t="shared" si="1"/>
        <v>0</v>
      </c>
      <c r="E29" s="307">
        <f t="shared" si="6"/>
        <v>0</v>
      </c>
      <c r="F29" s="285">
        <f t="shared" si="7"/>
        <v>0</v>
      </c>
      <c r="G29" s="285">
        <f t="shared" si="8"/>
        <v>0</v>
      </c>
      <c r="H29" s="307">
        <f t="shared" si="2"/>
        <v>0</v>
      </c>
      <c r="I29" s="285">
        <f t="shared" si="9"/>
        <v>0</v>
      </c>
      <c r="J29" s="307">
        <f t="shared" si="10"/>
        <v>0</v>
      </c>
      <c r="K29" s="120">
        <f t="shared" si="3"/>
        <v>0</v>
      </c>
      <c r="L29" s="285">
        <f t="shared" si="4"/>
        <v>0</v>
      </c>
    </row>
    <row r="30" spans="1:21">
      <c r="A30" s="310" t="str">
        <f t="shared" si="0"/>
        <v/>
      </c>
      <c r="B30" s="118">
        <v>10</v>
      </c>
      <c r="C30" s="285">
        <f t="shared" si="5"/>
        <v>0</v>
      </c>
      <c r="D30" s="307">
        <f t="shared" si="1"/>
        <v>0</v>
      </c>
      <c r="E30" s="307">
        <f t="shared" si="6"/>
        <v>0</v>
      </c>
      <c r="F30" s="285">
        <f t="shared" si="7"/>
        <v>0</v>
      </c>
      <c r="G30" s="285">
        <f t="shared" si="8"/>
        <v>0</v>
      </c>
      <c r="H30" s="307">
        <f t="shared" si="2"/>
        <v>0</v>
      </c>
      <c r="I30" s="285">
        <f t="shared" si="9"/>
        <v>0</v>
      </c>
      <c r="J30" s="307">
        <f t="shared" si="10"/>
        <v>0</v>
      </c>
      <c r="K30" s="120">
        <f t="shared" si="3"/>
        <v>0</v>
      </c>
      <c r="L30" s="285">
        <f t="shared" si="4"/>
        <v>0</v>
      </c>
    </row>
    <row r="31" spans="1:21">
      <c r="A31" s="310" t="str">
        <f t="shared" si="0"/>
        <v/>
      </c>
      <c r="B31" s="118">
        <v>11</v>
      </c>
      <c r="C31" s="285">
        <f t="shared" si="5"/>
        <v>0</v>
      </c>
      <c r="D31" s="307">
        <f t="shared" si="1"/>
        <v>0</v>
      </c>
      <c r="E31" s="307">
        <f t="shared" si="6"/>
        <v>0</v>
      </c>
      <c r="F31" s="285">
        <f t="shared" si="7"/>
        <v>0</v>
      </c>
      <c r="G31" s="285">
        <f t="shared" si="8"/>
        <v>0</v>
      </c>
      <c r="H31" s="307">
        <f t="shared" si="2"/>
        <v>0</v>
      </c>
      <c r="I31" s="285">
        <f t="shared" si="9"/>
        <v>0</v>
      </c>
      <c r="J31" s="307">
        <f t="shared" si="10"/>
        <v>0</v>
      </c>
      <c r="K31" s="120">
        <f t="shared" si="3"/>
        <v>0</v>
      </c>
      <c r="L31" s="285">
        <f t="shared" si="4"/>
        <v>0</v>
      </c>
    </row>
    <row r="32" spans="1:21">
      <c r="A32" s="310" t="str">
        <f t="shared" si="0"/>
        <v/>
      </c>
      <c r="B32" s="118">
        <v>12</v>
      </c>
      <c r="C32" s="285">
        <f t="shared" si="5"/>
        <v>0</v>
      </c>
      <c r="D32" s="307">
        <f t="shared" si="1"/>
        <v>0</v>
      </c>
      <c r="E32" s="307">
        <f t="shared" si="6"/>
        <v>0</v>
      </c>
      <c r="F32" s="285">
        <f t="shared" si="7"/>
        <v>0</v>
      </c>
      <c r="G32" s="285">
        <f t="shared" si="8"/>
        <v>0</v>
      </c>
      <c r="H32" s="307">
        <f t="shared" si="2"/>
        <v>0</v>
      </c>
      <c r="I32" s="285">
        <f t="shared" si="9"/>
        <v>0</v>
      </c>
      <c r="J32" s="307">
        <f t="shared" si="10"/>
        <v>0</v>
      </c>
      <c r="K32" s="120">
        <f t="shared" si="3"/>
        <v>0</v>
      </c>
      <c r="L32" s="285">
        <f t="shared" si="4"/>
        <v>0</v>
      </c>
    </row>
    <row r="33" spans="1:21">
      <c r="A33" s="310" t="str">
        <f t="shared" si="0"/>
        <v/>
      </c>
      <c r="B33" s="118">
        <v>13</v>
      </c>
      <c r="C33" s="285">
        <f t="shared" si="5"/>
        <v>0</v>
      </c>
      <c r="D33" s="307">
        <f t="shared" si="1"/>
        <v>0</v>
      </c>
      <c r="E33" s="307">
        <f t="shared" si="6"/>
        <v>0</v>
      </c>
      <c r="F33" s="285">
        <f t="shared" si="7"/>
        <v>0</v>
      </c>
      <c r="G33" s="285">
        <f t="shared" si="8"/>
        <v>0</v>
      </c>
      <c r="H33" s="307">
        <f t="shared" si="2"/>
        <v>0</v>
      </c>
      <c r="I33" s="285">
        <f t="shared" si="9"/>
        <v>0</v>
      </c>
      <c r="J33" s="307">
        <f t="shared" si="10"/>
        <v>0</v>
      </c>
      <c r="K33" s="120">
        <f t="shared" si="3"/>
        <v>0</v>
      </c>
      <c r="L33" s="285">
        <f t="shared" si="4"/>
        <v>0</v>
      </c>
      <c r="N33" s="283"/>
      <c r="O33" s="283"/>
      <c r="P33" s="283"/>
      <c r="Q33" s="283"/>
      <c r="R33" s="283"/>
      <c r="S33" s="283"/>
      <c r="T33" s="283"/>
      <c r="U33" s="283"/>
    </row>
    <row r="34" spans="1:21">
      <c r="A34" s="310" t="str">
        <f t="shared" si="0"/>
        <v/>
      </c>
      <c r="B34" s="118">
        <v>14</v>
      </c>
      <c r="C34" s="285">
        <f t="shared" si="5"/>
        <v>0</v>
      </c>
      <c r="D34" s="307">
        <f t="shared" si="1"/>
        <v>0</v>
      </c>
      <c r="E34" s="307">
        <f t="shared" si="6"/>
        <v>0</v>
      </c>
      <c r="F34" s="285">
        <f t="shared" si="7"/>
        <v>0</v>
      </c>
      <c r="G34" s="285">
        <f t="shared" si="8"/>
        <v>0</v>
      </c>
      <c r="H34" s="307">
        <f t="shared" si="2"/>
        <v>0</v>
      </c>
      <c r="I34" s="285">
        <f t="shared" si="9"/>
        <v>0</v>
      </c>
      <c r="J34" s="307">
        <f t="shared" si="10"/>
        <v>0</v>
      </c>
      <c r="K34" s="120">
        <f t="shared" si="3"/>
        <v>0</v>
      </c>
      <c r="L34" s="285">
        <f t="shared" si="4"/>
        <v>0</v>
      </c>
      <c r="N34" s="283"/>
      <c r="O34" s="283"/>
      <c r="P34" s="283"/>
      <c r="Q34" s="283"/>
      <c r="R34" s="283"/>
      <c r="S34" s="283"/>
      <c r="T34" s="283"/>
      <c r="U34" s="283"/>
    </row>
    <row r="35" spans="1:21">
      <c r="A35" s="310" t="str">
        <f t="shared" si="0"/>
        <v/>
      </c>
      <c r="B35" s="118">
        <v>15</v>
      </c>
      <c r="C35" s="285">
        <f t="shared" si="5"/>
        <v>0</v>
      </c>
      <c r="D35" s="307">
        <f t="shared" si="1"/>
        <v>0</v>
      </c>
      <c r="E35" s="307">
        <f t="shared" si="6"/>
        <v>0</v>
      </c>
      <c r="F35" s="285">
        <f t="shared" si="7"/>
        <v>0</v>
      </c>
      <c r="G35" s="285">
        <f t="shared" si="8"/>
        <v>0</v>
      </c>
      <c r="H35" s="307">
        <f t="shared" si="2"/>
        <v>0</v>
      </c>
      <c r="I35" s="285">
        <f t="shared" si="9"/>
        <v>0</v>
      </c>
      <c r="J35" s="307">
        <f t="shared" si="10"/>
        <v>0</v>
      </c>
      <c r="K35" s="120">
        <f t="shared" si="3"/>
        <v>0</v>
      </c>
      <c r="L35" s="285">
        <f t="shared" si="4"/>
        <v>0</v>
      </c>
      <c r="N35" s="283"/>
      <c r="O35" s="283"/>
      <c r="P35" s="283"/>
      <c r="Q35" s="283"/>
      <c r="R35" s="283"/>
      <c r="S35" s="283"/>
      <c r="T35" s="283"/>
      <c r="U35" s="283"/>
    </row>
    <row r="36" spans="1:21">
      <c r="A36" s="310" t="str">
        <f t="shared" si="0"/>
        <v/>
      </c>
      <c r="B36" s="118">
        <v>16</v>
      </c>
      <c r="C36" s="285">
        <f t="shared" si="5"/>
        <v>0</v>
      </c>
      <c r="D36" s="307">
        <f t="shared" si="1"/>
        <v>0</v>
      </c>
      <c r="E36" s="307">
        <f t="shared" si="6"/>
        <v>0</v>
      </c>
      <c r="F36" s="285">
        <f t="shared" si="7"/>
        <v>0</v>
      </c>
      <c r="G36" s="285">
        <f t="shared" si="8"/>
        <v>0</v>
      </c>
      <c r="H36" s="307">
        <f t="shared" si="2"/>
        <v>0</v>
      </c>
      <c r="I36" s="285">
        <f t="shared" si="9"/>
        <v>0</v>
      </c>
      <c r="J36" s="307">
        <f t="shared" si="10"/>
        <v>0</v>
      </c>
      <c r="K36" s="120">
        <f t="shared" si="3"/>
        <v>0</v>
      </c>
      <c r="L36" s="285">
        <f t="shared" si="4"/>
        <v>0</v>
      </c>
    </row>
    <row r="37" spans="1:21">
      <c r="A37" s="310" t="str">
        <f t="shared" si="0"/>
        <v/>
      </c>
      <c r="B37" s="118">
        <v>17</v>
      </c>
      <c r="C37" s="285">
        <f t="shared" si="5"/>
        <v>0</v>
      </c>
      <c r="D37" s="307">
        <f t="shared" si="1"/>
        <v>0</v>
      </c>
      <c r="E37" s="307">
        <f t="shared" si="6"/>
        <v>0</v>
      </c>
      <c r="F37" s="285">
        <f t="shared" si="7"/>
        <v>0</v>
      </c>
      <c r="G37" s="285">
        <f t="shared" si="8"/>
        <v>0</v>
      </c>
      <c r="H37" s="307">
        <f t="shared" si="2"/>
        <v>0</v>
      </c>
      <c r="I37" s="285">
        <f t="shared" si="9"/>
        <v>0</v>
      </c>
      <c r="J37" s="307">
        <f t="shared" si="10"/>
        <v>0</v>
      </c>
      <c r="K37" s="120">
        <f t="shared" si="3"/>
        <v>0</v>
      </c>
      <c r="L37" s="285">
        <f t="shared" si="4"/>
        <v>0</v>
      </c>
    </row>
    <row r="38" spans="1:21">
      <c r="A38" s="310" t="str">
        <f t="shared" si="0"/>
        <v/>
      </c>
      <c r="B38" s="118">
        <v>18</v>
      </c>
      <c r="C38" s="285">
        <f t="shared" si="5"/>
        <v>0</v>
      </c>
      <c r="D38" s="307">
        <f t="shared" si="1"/>
        <v>0</v>
      </c>
      <c r="E38" s="307">
        <f t="shared" si="6"/>
        <v>0</v>
      </c>
      <c r="F38" s="285">
        <f t="shared" si="7"/>
        <v>0</v>
      </c>
      <c r="G38" s="285">
        <f t="shared" si="8"/>
        <v>0</v>
      </c>
      <c r="H38" s="307">
        <f t="shared" si="2"/>
        <v>0</v>
      </c>
      <c r="I38" s="285">
        <f t="shared" si="9"/>
        <v>0</v>
      </c>
      <c r="J38" s="307">
        <f t="shared" si="10"/>
        <v>0</v>
      </c>
      <c r="K38" s="120">
        <f t="shared" si="3"/>
        <v>0</v>
      </c>
      <c r="L38" s="285">
        <f t="shared" si="4"/>
        <v>0</v>
      </c>
    </row>
    <row r="39" spans="1:21">
      <c r="A39" s="310" t="str">
        <f t="shared" si="0"/>
        <v/>
      </c>
      <c r="B39" s="118">
        <v>19</v>
      </c>
      <c r="C39" s="285">
        <f t="shared" si="5"/>
        <v>0</v>
      </c>
      <c r="D39" s="307">
        <f t="shared" si="1"/>
        <v>0</v>
      </c>
      <c r="E39" s="307">
        <f t="shared" si="6"/>
        <v>0</v>
      </c>
      <c r="F39" s="285">
        <f t="shared" si="7"/>
        <v>0</v>
      </c>
      <c r="G39" s="285">
        <f t="shared" si="8"/>
        <v>0</v>
      </c>
      <c r="H39" s="307">
        <f t="shared" si="2"/>
        <v>0</v>
      </c>
      <c r="I39" s="285">
        <f t="shared" si="9"/>
        <v>0</v>
      </c>
      <c r="J39" s="307">
        <f t="shared" si="10"/>
        <v>0</v>
      </c>
      <c r="K39" s="120">
        <f t="shared" si="3"/>
        <v>0</v>
      </c>
      <c r="L39" s="285">
        <f t="shared" si="4"/>
        <v>0</v>
      </c>
    </row>
    <row r="40" spans="1:21">
      <c r="A40" s="310" t="str">
        <f t="shared" si="0"/>
        <v/>
      </c>
      <c r="B40" s="118">
        <v>20</v>
      </c>
      <c r="C40" s="285">
        <f t="shared" si="5"/>
        <v>0</v>
      </c>
      <c r="D40" s="307">
        <f t="shared" si="1"/>
        <v>0</v>
      </c>
      <c r="E40" s="307">
        <f t="shared" si="6"/>
        <v>0</v>
      </c>
      <c r="F40" s="285">
        <f t="shared" si="7"/>
        <v>0</v>
      </c>
      <c r="G40" s="285">
        <f t="shared" si="8"/>
        <v>0</v>
      </c>
      <c r="H40" s="307">
        <f t="shared" si="2"/>
        <v>0</v>
      </c>
      <c r="I40" s="285">
        <f t="shared" si="9"/>
        <v>0</v>
      </c>
      <c r="J40" s="307">
        <f t="shared" si="10"/>
        <v>0</v>
      </c>
      <c r="K40" s="120">
        <f t="shared" si="3"/>
        <v>0</v>
      </c>
      <c r="L40" s="285">
        <f t="shared" si="4"/>
        <v>0</v>
      </c>
    </row>
    <row r="41" spans="1:21">
      <c r="A41" s="310" t="str">
        <f t="shared" si="0"/>
        <v/>
      </c>
      <c r="B41" s="118">
        <v>21</v>
      </c>
      <c r="C41" s="285">
        <f t="shared" si="5"/>
        <v>0</v>
      </c>
      <c r="D41" s="307">
        <f t="shared" si="1"/>
        <v>0</v>
      </c>
      <c r="E41" s="307">
        <f t="shared" si="6"/>
        <v>0</v>
      </c>
      <c r="F41" s="285">
        <f t="shared" si="7"/>
        <v>0</v>
      </c>
      <c r="G41" s="285">
        <f t="shared" si="8"/>
        <v>0</v>
      </c>
      <c r="H41" s="307">
        <f t="shared" si="2"/>
        <v>0</v>
      </c>
      <c r="I41" s="285">
        <f t="shared" si="9"/>
        <v>0</v>
      </c>
      <c r="J41" s="307">
        <f t="shared" si="10"/>
        <v>0</v>
      </c>
      <c r="K41" s="120">
        <f t="shared" si="3"/>
        <v>0</v>
      </c>
      <c r="L41" s="285">
        <f t="shared" si="4"/>
        <v>0</v>
      </c>
    </row>
    <row r="42" spans="1:21">
      <c r="A42" s="310" t="str">
        <f t="shared" si="0"/>
        <v/>
      </c>
      <c r="B42" s="118">
        <v>22</v>
      </c>
      <c r="C42" s="285">
        <f t="shared" si="5"/>
        <v>0</v>
      </c>
      <c r="D42" s="307">
        <f t="shared" si="1"/>
        <v>0</v>
      </c>
      <c r="E42" s="307">
        <f t="shared" si="6"/>
        <v>0</v>
      </c>
      <c r="F42" s="285">
        <f t="shared" si="7"/>
        <v>0</v>
      </c>
      <c r="G42" s="285">
        <f t="shared" si="8"/>
        <v>0</v>
      </c>
      <c r="H42" s="307">
        <f t="shared" si="2"/>
        <v>0</v>
      </c>
      <c r="I42" s="285">
        <f t="shared" si="9"/>
        <v>0</v>
      </c>
      <c r="J42" s="307">
        <f t="shared" si="10"/>
        <v>0</v>
      </c>
      <c r="K42" s="120">
        <f t="shared" si="3"/>
        <v>0</v>
      </c>
      <c r="L42" s="285">
        <f t="shared" si="4"/>
        <v>0</v>
      </c>
    </row>
    <row r="43" spans="1:21">
      <c r="A43" s="310" t="str">
        <f t="shared" si="0"/>
        <v/>
      </c>
      <c r="B43" s="118">
        <v>23</v>
      </c>
      <c r="C43" s="285">
        <f t="shared" si="5"/>
        <v>0</v>
      </c>
      <c r="D43" s="307">
        <f t="shared" si="1"/>
        <v>0</v>
      </c>
      <c r="E43" s="307">
        <f t="shared" si="6"/>
        <v>0</v>
      </c>
      <c r="F43" s="285">
        <f t="shared" si="7"/>
        <v>0</v>
      </c>
      <c r="G43" s="285">
        <f t="shared" si="8"/>
        <v>0</v>
      </c>
      <c r="H43" s="307">
        <f t="shared" si="2"/>
        <v>0</v>
      </c>
      <c r="I43" s="285">
        <f t="shared" si="9"/>
        <v>0</v>
      </c>
      <c r="J43" s="307">
        <f t="shared" si="10"/>
        <v>0</v>
      </c>
      <c r="K43" s="120">
        <f t="shared" si="3"/>
        <v>0</v>
      </c>
      <c r="L43" s="285">
        <f t="shared" si="4"/>
        <v>0</v>
      </c>
    </row>
    <row r="44" spans="1:21">
      <c r="A44" s="310" t="str">
        <f t="shared" si="0"/>
        <v/>
      </c>
      <c r="B44" s="118">
        <v>24</v>
      </c>
      <c r="C44" s="285">
        <f t="shared" si="5"/>
        <v>0</v>
      </c>
      <c r="D44" s="307">
        <f t="shared" si="1"/>
        <v>0</v>
      </c>
      <c r="E44" s="307">
        <f t="shared" si="6"/>
        <v>0</v>
      </c>
      <c r="F44" s="285">
        <f t="shared" si="7"/>
        <v>0</v>
      </c>
      <c r="G44" s="285">
        <f t="shared" si="8"/>
        <v>0</v>
      </c>
      <c r="H44" s="307">
        <f t="shared" si="2"/>
        <v>0</v>
      </c>
      <c r="I44" s="285">
        <f t="shared" si="9"/>
        <v>0</v>
      </c>
      <c r="J44" s="307">
        <f t="shared" si="10"/>
        <v>0</v>
      </c>
      <c r="K44" s="120">
        <f t="shared" si="3"/>
        <v>0</v>
      </c>
      <c r="L44" s="285">
        <f t="shared" si="4"/>
        <v>0</v>
      </c>
    </row>
    <row r="45" spans="1:21">
      <c r="A45" s="310" t="str">
        <f t="shared" si="0"/>
        <v/>
      </c>
      <c r="B45" s="118">
        <v>25</v>
      </c>
      <c r="C45" s="285">
        <f t="shared" si="5"/>
        <v>0</v>
      </c>
      <c r="D45" s="307">
        <f t="shared" si="1"/>
        <v>0</v>
      </c>
      <c r="E45" s="307">
        <f t="shared" si="6"/>
        <v>0</v>
      </c>
      <c r="F45" s="285">
        <f t="shared" si="7"/>
        <v>0</v>
      </c>
      <c r="G45" s="285">
        <f t="shared" si="8"/>
        <v>0</v>
      </c>
      <c r="H45" s="307">
        <f t="shared" si="2"/>
        <v>0</v>
      </c>
      <c r="I45" s="285">
        <f t="shared" si="9"/>
        <v>0</v>
      </c>
      <c r="J45" s="307">
        <f t="shared" si="10"/>
        <v>0</v>
      </c>
      <c r="K45" s="120">
        <f t="shared" si="3"/>
        <v>0</v>
      </c>
      <c r="L45" s="285">
        <f t="shared" si="4"/>
        <v>0</v>
      </c>
    </row>
    <row r="46" spans="1:21">
      <c r="A46" s="310" t="str">
        <f t="shared" si="0"/>
        <v/>
      </c>
      <c r="B46" s="118">
        <v>26</v>
      </c>
      <c r="C46" s="285">
        <f t="shared" si="5"/>
        <v>0</v>
      </c>
      <c r="D46" s="307">
        <f t="shared" si="1"/>
        <v>0</v>
      </c>
      <c r="E46" s="307">
        <f t="shared" si="6"/>
        <v>0</v>
      </c>
      <c r="F46" s="285">
        <f t="shared" si="7"/>
        <v>0</v>
      </c>
      <c r="G46" s="285">
        <f t="shared" si="8"/>
        <v>0</v>
      </c>
      <c r="H46" s="307">
        <f t="shared" si="2"/>
        <v>0</v>
      </c>
      <c r="I46" s="285">
        <f t="shared" si="9"/>
        <v>0</v>
      </c>
      <c r="J46" s="307">
        <f t="shared" si="10"/>
        <v>0</v>
      </c>
      <c r="K46" s="120">
        <f t="shared" si="3"/>
        <v>0</v>
      </c>
      <c r="L46" s="285">
        <f t="shared" si="4"/>
        <v>0</v>
      </c>
    </row>
    <row r="47" spans="1:21">
      <c r="A47" s="310" t="str">
        <f t="shared" si="0"/>
        <v/>
      </c>
      <c r="B47" s="118">
        <v>27</v>
      </c>
      <c r="C47" s="285">
        <f t="shared" si="5"/>
        <v>0</v>
      </c>
      <c r="D47" s="307">
        <f t="shared" si="1"/>
        <v>0</v>
      </c>
      <c r="E47" s="307">
        <f t="shared" si="6"/>
        <v>0</v>
      </c>
      <c r="F47" s="285">
        <f t="shared" si="7"/>
        <v>0</v>
      </c>
      <c r="G47" s="285">
        <f t="shared" si="8"/>
        <v>0</v>
      </c>
      <c r="H47" s="307">
        <f t="shared" si="2"/>
        <v>0</v>
      </c>
      <c r="I47" s="285">
        <f t="shared" si="9"/>
        <v>0</v>
      </c>
      <c r="J47" s="307">
        <f t="shared" si="10"/>
        <v>0</v>
      </c>
      <c r="K47" s="120">
        <f t="shared" si="3"/>
        <v>0</v>
      </c>
      <c r="L47" s="285">
        <f t="shared" si="4"/>
        <v>0</v>
      </c>
      <c r="N47" s="283"/>
      <c r="O47" s="283"/>
      <c r="P47" s="283"/>
      <c r="Q47" s="283"/>
      <c r="R47" s="283"/>
      <c r="S47" s="283"/>
      <c r="T47" s="283"/>
      <c r="U47" s="283"/>
    </row>
    <row r="48" spans="1:21">
      <c r="A48" s="310" t="str">
        <f t="shared" si="0"/>
        <v/>
      </c>
      <c r="B48" s="118">
        <v>28</v>
      </c>
      <c r="C48" s="285">
        <f t="shared" si="5"/>
        <v>0</v>
      </c>
      <c r="D48" s="307">
        <f t="shared" si="1"/>
        <v>0</v>
      </c>
      <c r="E48" s="307">
        <f t="shared" si="6"/>
        <v>0</v>
      </c>
      <c r="F48" s="285">
        <f t="shared" si="7"/>
        <v>0</v>
      </c>
      <c r="G48" s="285">
        <f t="shared" si="8"/>
        <v>0</v>
      </c>
      <c r="H48" s="307">
        <f t="shared" si="2"/>
        <v>0</v>
      </c>
      <c r="I48" s="285">
        <f t="shared" si="9"/>
        <v>0</v>
      </c>
      <c r="J48" s="307">
        <f t="shared" si="10"/>
        <v>0</v>
      </c>
      <c r="K48" s="120">
        <f t="shared" si="3"/>
        <v>0</v>
      </c>
      <c r="L48" s="285">
        <f t="shared" si="4"/>
        <v>0</v>
      </c>
      <c r="N48" s="283"/>
      <c r="O48" s="283"/>
      <c r="P48" s="283"/>
      <c r="Q48" s="283"/>
      <c r="R48" s="283"/>
      <c r="S48" s="283"/>
      <c r="T48" s="283"/>
      <c r="U48" s="283"/>
    </row>
    <row r="49" spans="1:21">
      <c r="A49" s="310" t="str">
        <f t="shared" si="0"/>
        <v/>
      </c>
      <c r="B49" s="118">
        <v>29</v>
      </c>
      <c r="C49" s="285">
        <f t="shared" si="5"/>
        <v>0</v>
      </c>
      <c r="D49" s="307">
        <f t="shared" si="1"/>
        <v>0</v>
      </c>
      <c r="E49" s="307">
        <f t="shared" si="6"/>
        <v>0</v>
      </c>
      <c r="F49" s="285">
        <f t="shared" si="7"/>
        <v>0</v>
      </c>
      <c r="G49" s="285">
        <f t="shared" si="8"/>
        <v>0</v>
      </c>
      <c r="H49" s="307">
        <f t="shared" si="2"/>
        <v>0</v>
      </c>
      <c r="I49" s="285">
        <f t="shared" si="9"/>
        <v>0</v>
      </c>
      <c r="J49" s="307">
        <f t="shared" si="10"/>
        <v>0</v>
      </c>
      <c r="K49" s="120">
        <f t="shared" si="3"/>
        <v>0</v>
      </c>
      <c r="L49" s="285">
        <f t="shared" si="4"/>
        <v>0</v>
      </c>
      <c r="N49" s="283"/>
      <c r="O49" s="283"/>
      <c r="P49" s="283"/>
      <c r="Q49" s="283"/>
      <c r="R49" s="283"/>
      <c r="S49" s="283"/>
      <c r="T49" s="283"/>
      <c r="U49" s="283"/>
    </row>
    <row r="50" spans="1:21">
      <c r="A50" s="310" t="str">
        <f t="shared" si="0"/>
        <v/>
      </c>
      <c r="B50" s="118">
        <v>30</v>
      </c>
      <c r="C50" s="285">
        <f t="shared" si="5"/>
        <v>0</v>
      </c>
      <c r="D50" s="307">
        <f t="shared" si="1"/>
        <v>0</v>
      </c>
      <c r="E50" s="307">
        <f t="shared" si="6"/>
        <v>0</v>
      </c>
      <c r="F50" s="285">
        <f t="shared" si="7"/>
        <v>0</v>
      </c>
      <c r="G50" s="285">
        <f t="shared" si="8"/>
        <v>0</v>
      </c>
      <c r="H50" s="307">
        <f t="shared" si="2"/>
        <v>0</v>
      </c>
      <c r="I50" s="285">
        <f t="shared" si="9"/>
        <v>0</v>
      </c>
      <c r="J50" s="307">
        <f t="shared" si="10"/>
        <v>0</v>
      </c>
      <c r="K50" s="120">
        <f t="shared" si="3"/>
        <v>0</v>
      </c>
      <c r="L50" s="285">
        <f t="shared" si="4"/>
        <v>0</v>
      </c>
      <c r="N50" s="283"/>
      <c r="O50" s="283"/>
      <c r="P50" s="283"/>
      <c r="Q50" s="283"/>
      <c r="R50" s="283"/>
      <c r="S50" s="283"/>
      <c r="T50" s="283"/>
      <c r="U50" s="283"/>
    </row>
    <row r="51" spans="1:21">
      <c r="A51" s="323" t="s">
        <v>426</v>
      </c>
      <c r="B51" s="324">
        <f>C15+1</f>
        <v>6</v>
      </c>
      <c r="C51" s="285">
        <f>VLOOKUP(C15,B21:C50,2,FALSE)*(1+Terminal_Growth)</f>
        <v>18202198.125916906</v>
      </c>
      <c r="D51" s="309">
        <f>Terminal_Growth</f>
        <v>0</v>
      </c>
      <c r="E51" s="309">
        <f>F17</f>
        <v>0.68269686315429268</v>
      </c>
      <c r="F51" s="285">
        <f>VLOOKUP(C15,B21:F50,5,FALSE)*(1+Terminal_Growth)</f>
        <v>-1843661.7151184776</v>
      </c>
      <c r="G51" s="285">
        <f>C51*(1-E51)+F51+$I$6</f>
        <v>3890330.0625840393</v>
      </c>
      <c r="H51" s="307">
        <f>F18</f>
        <v>0</v>
      </c>
      <c r="I51" s="285">
        <f>(G51+C51*H51)*(1-$I$10)/Equity_Cost</f>
        <v>40244793.750869378</v>
      </c>
      <c r="J51" s="424">
        <f>(G51+C51*H51)*(1-$I$10)/VLOOKUP(C15,B21:I50,8,FALSE)-1</f>
        <v>2.5908999762842999E-2</v>
      </c>
      <c r="K51" s="120">
        <f>1/(1+Equity_Cost)^C15</f>
        <v>0.70471496766912267</v>
      </c>
      <c r="L51" s="285">
        <f>I51*K51</f>
        <v>28361108.526994426</v>
      </c>
    </row>
    <row r="52" spans="1:21" ht="13.15">
      <c r="G52" s="111"/>
      <c r="H52" s="111"/>
      <c r="I52" s="111"/>
      <c r="J52" s="463" t="s">
        <v>429</v>
      </c>
      <c r="K52" s="463"/>
      <c r="L52" s="325">
        <f>SUM(L21:L51)</f>
        <v>39495378.823851019</v>
      </c>
    </row>
    <row r="53" spans="1:21">
      <c r="C53" s="111"/>
    </row>
    <row r="54" spans="1:21" ht="13.15">
      <c r="B54" s="115" t="s">
        <v>108</v>
      </c>
      <c r="C54" s="129"/>
      <c r="D54" s="129"/>
      <c r="E54" s="113"/>
      <c r="F54" s="113"/>
      <c r="G54" s="113"/>
      <c r="H54" s="113"/>
      <c r="I54" s="113"/>
      <c r="J54" s="113"/>
      <c r="K54" s="113"/>
      <c r="L54" s="113"/>
    </row>
    <row r="55" spans="1:21" ht="13.15">
      <c r="A55" s="126">
        <f>L52</f>
        <v>39495378.823851019</v>
      </c>
      <c r="B55" s="124">
        <f>C78</f>
        <v>-0.1</v>
      </c>
      <c r="C55" s="124">
        <f>C77</f>
        <v>0.01</v>
      </c>
      <c r="D55" s="124">
        <f>C76</f>
        <v>0.02</v>
      </c>
      <c r="E55" s="124">
        <f>C75</f>
        <v>0.03</v>
      </c>
      <c r="F55" s="124">
        <f>C74</f>
        <v>0.08</v>
      </c>
      <c r="G55" s="124"/>
      <c r="H55" s="124"/>
      <c r="I55" s="124"/>
      <c r="J55" s="124"/>
      <c r="K55" s="124"/>
      <c r="L55" s="124"/>
    </row>
    <row r="56" spans="1:21" ht="13.15">
      <c r="A56" s="132">
        <v>5</v>
      </c>
      <c r="B56" s="119">
        <f t="dataTable" ref="B56:F61" dt2D="1" dtr="1" r1="C16" r2="C15"/>
        <v>22991992.239408404</v>
      </c>
      <c r="C56" s="119">
        <v>38030952.57114657</v>
      </c>
      <c r="D56" s="119">
        <v>39735566.701144479</v>
      </c>
      <c r="E56" s="119">
        <v>41503815.361554481</v>
      </c>
      <c r="F56" s="119">
        <v>51364714.006957784</v>
      </c>
      <c r="G56" s="303"/>
      <c r="H56" s="303"/>
      <c r="I56" s="303"/>
      <c r="J56" s="303"/>
      <c r="K56" s="303"/>
      <c r="L56" s="303"/>
    </row>
    <row r="57" spans="1:21" ht="13.15">
      <c r="A57" s="132">
        <v>10</v>
      </c>
      <c r="B57" s="119">
        <v>17303587.46092274</v>
      </c>
      <c r="C57" s="119">
        <v>39044984.937389858</v>
      </c>
      <c r="D57" s="119">
        <v>42127098.567571491</v>
      </c>
      <c r="E57" s="119">
        <v>45459485.015557408</v>
      </c>
      <c r="F57" s="119">
        <v>66588889.841605693</v>
      </c>
      <c r="G57" s="303"/>
      <c r="H57" s="303"/>
      <c r="I57" s="303"/>
      <c r="J57" s="303"/>
      <c r="K57" s="303"/>
      <c r="L57" s="303"/>
    </row>
    <row r="58" spans="1:21" ht="13.15">
      <c r="A58" s="132">
        <v>15</v>
      </c>
      <c r="B58" s="119">
        <v>14936487.842127807</v>
      </c>
      <c r="C58" s="285">
        <v>39796040.69851777</v>
      </c>
      <c r="D58" s="119">
        <v>43987859.274436772</v>
      </c>
      <c r="E58" s="119">
        <v>48691100.161142245</v>
      </c>
      <c r="F58" s="119">
        <v>82352876.710313052</v>
      </c>
      <c r="G58" s="303"/>
      <c r="H58" s="303"/>
      <c r="I58" s="303"/>
      <c r="J58" s="303"/>
      <c r="K58" s="303"/>
      <c r="L58" s="303"/>
      <c r="M58" s="283"/>
      <c r="N58" s="283"/>
      <c r="O58" s="283"/>
      <c r="P58" s="283"/>
      <c r="Q58" s="283"/>
      <c r="R58" s="283"/>
      <c r="S58" s="283"/>
      <c r="T58" s="283"/>
      <c r="U58" s="283"/>
    </row>
    <row r="59" spans="1:21" ht="13.15">
      <c r="A59" s="133">
        <v>20</v>
      </c>
      <c r="B59" s="119">
        <v>13951473.444683544</v>
      </c>
      <c r="C59" s="285">
        <v>40352319.546315514</v>
      </c>
      <c r="D59" s="119">
        <v>45435646.969353318</v>
      </c>
      <c r="E59" s="119">
        <v>51331193.334394284</v>
      </c>
      <c r="F59" s="119">
        <v>98675814.956416398</v>
      </c>
      <c r="G59" s="303"/>
      <c r="H59" s="303"/>
      <c r="I59" s="303"/>
      <c r="J59" s="303"/>
      <c r="K59" s="303"/>
      <c r="L59" s="303"/>
      <c r="M59" s="283"/>
      <c r="N59" s="283"/>
      <c r="O59" s="283"/>
      <c r="P59" s="283"/>
      <c r="Q59" s="283"/>
      <c r="R59" s="283"/>
      <c r="S59" s="283"/>
      <c r="T59" s="283"/>
      <c r="U59" s="283"/>
    </row>
    <row r="60" spans="1:21" ht="13.15">
      <c r="A60" s="133">
        <v>25</v>
      </c>
      <c r="B60" s="119">
        <v>13541582.219376165</v>
      </c>
      <c r="C60" s="285">
        <v>40764334.435919009</v>
      </c>
      <c r="D60" s="119">
        <v>46562115.946163833</v>
      </c>
      <c r="E60" s="119">
        <v>53488038.023334056</v>
      </c>
      <c r="F60" s="119">
        <v>115577523.59174928</v>
      </c>
      <c r="G60" s="303"/>
      <c r="H60" s="303"/>
      <c r="I60" s="303"/>
      <c r="J60" s="303"/>
      <c r="K60" s="303"/>
      <c r="L60" s="303"/>
      <c r="M60" s="283"/>
      <c r="N60" s="283"/>
      <c r="O60" s="283"/>
      <c r="P60" s="283"/>
      <c r="Q60" s="283"/>
      <c r="R60" s="283"/>
      <c r="S60" s="283"/>
      <c r="T60" s="283"/>
      <c r="U60" s="283"/>
    </row>
    <row r="61" spans="1:21" ht="13.15">
      <c r="A61" s="133">
        <v>30</v>
      </c>
      <c r="B61" s="119">
        <v>13371015.355561882</v>
      </c>
      <c r="C61" s="285">
        <v>41069498.419642329</v>
      </c>
      <c r="D61" s="119">
        <v>47438578.952564552</v>
      </c>
      <c r="E61" s="119">
        <v>55250089.09764424</v>
      </c>
      <c r="F61" s="119">
        <v>133078524.36052203</v>
      </c>
      <c r="G61" s="303"/>
      <c r="H61" s="303"/>
      <c r="I61" s="303"/>
      <c r="J61" s="303"/>
      <c r="K61" s="303"/>
      <c r="L61" s="303"/>
      <c r="M61" s="283"/>
      <c r="N61" s="283"/>
      <c r="O61" s="283"/>
      <c r="P61" s="283"/>
      <c r="Q61" s="283"/>
      <c r="R61" s="283"/>
      <c r="S61" s="283"/>
      <c r="T61" s="283"/>
      <c r="U61" s="283"/>
    </row>
    <row r="62" spans="1:21">
      <c r="C62" s="283"/>
      <c r="D62" s="111"/>
      <c r="E62" s="111"/>
      <c r="F62" s="111"/>
      <c r="G62" s="111"/>
      <c r="H62" s="111"/>
      <c r="I62" s="111"/>
      <c r="J62" s="111"/>
      <c r="K62" s="111"/>
      <c r="L62" s="111"/>
      <c r="M62" s="283"/>
      <c r="N62" s="283"/>
      <c r="O62" s="283"/>
      <c r="P62" s="283"/>
      <c r="Q62" s="283"/>
      <c r="R62" s="283"/>
      <c r="S62" s="283"/>
      <c r="T62" s="283"/>
      <c r="U62" s="283"/>
    </row>
    <row r="63" spans="1:21" ht="13.15">
      <c r="B63" s="115" t="s">
        <v>109</v>
      </c>
      <c r="C63" s="283"/>
      <c r="D63" s="111"/>
      <c r="E63" s="111"/>
      <c r="F63" s="111"/>
      <c r="G63" s="111"/>
      <c r="H63" s="111"/>
      <c r="I63" s="111"/>
      <c r="J63" s="111"/>
      <c r="K63" s="111"/>
      <c r="L63" s="111"/>
      <c r="M63" s="283"/>
      <c r="N63" s="283"/>
      <c r="O63" s="283"/>
      <c r="P63" s="283"/>
      <c r="Q63" s="283"/>
      <c r="R63" s="283"/>
      <c r="S63" s="283"/>
      <c r="T63" s="283"/>
      <c r="U63" s="283"/>
    </row>
    <row r="64" spans="1:21" ht="13.15">
      <c r="B64" s="125">
        <f>B55</f>
        <v>-0.1</v>
      </c>
      <c r="C64" s="125">
        <f>C55</f>
        <v>0.01</v>
      </c>
      <c r="D64" s="125">
        <f>D55</f>
        <v>0.02</v>
      </c>
      <c r="E64" s="125">
        <f>E55</f>
        <v>0.03</v>
      </c>
      <c r="F64" s="125">
        <f>F55</f>
        <v>0.08</v>
      </c>
      <c r="G64" s="125"/>
      <c r="H64" s="125"/>
      <c r="I64" s="125"/>
      <c r="J64" s="125"/>
      <c r="K64" s="125"/>
      <c r="L64" s="125"/>
    </row>
    <row r="65" spans="1:12" ht="13.15">
      <c r="A65" s="132">
        <v>0</v>
      </c>
      <c r="B65" s="120">
        <f>C11</f>
        <v>6.0262286168881865</v>
      </c>
      <c r="C65" s="120">
        <f>C11</f>
        <v>6.0262286168881865</v>
      </c>
      <c r="D65" s="120">
        <f>C11</f>
        <v>6.0262286168881865</v>
      </c>
      <c r="E65" s="120">
        <f>C11</f>
        <v>6.0262286168881865</v>
      </c>
      <c r="F65" s="120">
        <f>C11</f>
        <v>6.0262286168881865</v>
      </c>
      <c r="G65" s="304"/>
      <c r="H65" s="304"/>
      <c r="I65" s="304"/>
      <c r="J65" s="304"/>
      <c r="K65" s="304"/>
      <c r="L65" s="304"/>
    </row>
    <row r="66" spans="1:12" ht="13.15">
      <c r="A66" s="132">
        <f t="shared" ref="A66:A71" si="11">A56</f>
        <v>5</v>
      </c>
      <c r="B66" s="120">
        <f t="shared" ref="B66:F71" si="12">(B56+FV_adjustments)/Common_Shares*scaling_factor*Exchange_Rate</f>
        <v>4.4893947365570916</v>
      </c>
      <c r="C66" s="120">
        <f t="shared" si="12"/>
        <v>6.3031221265270831</v>
      </c>
      <c r="D66" s="120">
        <f t="shared" si="12"/>
        <v>6.508701852033929</v>
      </c>
      <c r="E66" s="120">
        <f t="shared" si="12"/>
        <v>6.7219560236600797</v>
      </c>
      <c r="F66" s="120">
        <f t="shared" si="12"/>
        <v>7.9111992671003559</v>
      </c>
      <c r="G66" s="304"/>
      <c r="H66" s="304"/>
      <c r="I66" s="304"/>
      <c r="J66" s="304"/>
      <c r="K66" s="304"/>
      <c r="L66" s="304"/>
    </row>
    <row r="67" spans="1:12" ht="13.15">
      <c r="A67" s="132">
        <f t="shared" si="11"/>
        <v>10</v>
      </c>
      <c r="B67" s="120">
        <f t="shared" si="12"/>
        <v>3.8033622366772835</v>
      </c>
      <c r="C67" s="120">
        <f t="shared" si="12"/>
        <v>6.4254163700387261</v>
      </c>
      <c r="D67" s="120">
        <f t="shared" si="12"/>
        <v>6.7971251708301548</v>
      </c>
      <c r="E67" s="120">
        <f t="shared" si="12"/>
        <v>7.1990173522944252</v>
      </c>
      <c r="F67" s="120">
        <f t="shared" si="12"/>
        <v>9.7472640010930913</v>
      </c>
      <c r="G67" s="304"/>
      <c r="H67" s="304"/>
      <c r="I67" s="304"/>
      <c r="J67" s="304"/>
      <c r="K67" s="304"/>
      <c r="L67" s="304"/>
    </row>
    <row r="68" spans="1:12" ht="13.15">
      <c r="A68" s="132">
        <f t="shared" si="11"/>
        <v>15</v>
      </c>
      <c r="B68" s="120">
        <f t="shared" si="12"/>
        <v>3.5178854936915744</v>
      </c>
      <c r="C68" s="120">
        <f t="shared" si="12"/>
        <v>6.5159951318217235</v>
      </c>
      <c r="D68" s="120">
        <f t="shared" si="12"/>
        <v>7.0215364722616167</v>
      </c>
      <c r="E68" s="120">
        <f t="shared" si="12"/>
        <v>7.5887563218839302</v>
      </c>
      <c r="F68" s="120">
        <f t="shared" si="12"/>
        <v>11.648430978610962</v>
      </c>
      <c r="G68" s="304"/>
      <c r="H68" s="304"/>
      <c r="I68" s="304"/>
      <c r="J68" s="304"/>
      <c r="K68" s="304"/>
      <c r="L68" s="304"/>
    </row>
    <row r="69" spans="1:12" ht="13.15">
      <c r="A69" s="133">
        <f t="shared" si="11"/>
        <v>20</v>
      </c>
      <c r="B69" s="120">
        <f t="shared" si="12"/>
        <v>3.3990908727370175</v>
      </c>
      <c r="C69" s="120">
        <f t="shared" si="12"/>
        <v>6.5830834251914752</v>
      </c>
      <c r="D69" s="120">
        <f t="shared" si="12"/>
        <v>7.1961424383130046</v>
      </c>
      <c r="E69" s="120">
        <f t="shared" si="12"/>
        <v>7.9071566098542743</v>
      </c>
      <c r="F69" s="120">
        <f t="shared" si="12"/>
        <v>13.617008561681471</v>
      </c>
      <c r="G69" s="304"/>
      <c r="H69" s="304"/>
      <c r="I69" s="304"/>
      <c r="J69" s="304"/>
      <c r="K69" s="304"/>
      <c r="L69" s="304"/>
    </row>
    <row r="70" spans="1:12" ht="13.15">
      <c r="A70" s="133">
        <f t="shared" si="11"/>
        <v>25</v>
      </c>
      <c r="B70" s="120">
        <f t="shared" si="12"/>
        <v>3.3496572067222585</v>
      </c>
      <c r="C70" s="120">
        <f t="shared" si="12"/>
        <v>6.632773209183541</v>
      </c>
      <c r="D70" s="120">
        <f t="shared" si="12"/>
        <v>7.3319967521834215</v>
      </c>
      <c r="E70" s="120">
        <f t="shared" si="12"/>
        <v>8.1672762060198192</v>
      </c>
      <c r="F70" s="120">
        <f t="shared" si="12"/>
        <v>15.655386961051351</v>
      </c>
      <c r="G70" s="304"/>
      <c r="H70" s="304"/>
      <c r="I70" s="304"/>
      <c r="J70" s="304"/>
      <c r="K70" s="304"/>
      <c r="L70" s="304"/>
    </row>
    <row r="71" spans="1:12" ht="13.15">
      <c r="A71" s="133">
        <f t="shared" si="11"/>
        <v>30</v>
      </c>
      <c r="B71" s="120">
        <f t="shared" si="12"/>
        <v>3.3290865166015875</v>
      </c>
      <c r="C71" s="120">
        <f t="shared" si="12"/>
        <v>6.669576569489192</v>
      </c>
      <c r="D71" s="120">
        <f t="shared" si="12"/>
        <v>7.4376998676873312</v>
      </c>
      <c r="E71" s="120">
        <f t="shared" si="12"/>
        <v>8.3797829369045225</v>
      </c>
      <c r="F71" s="120">
        <f t="shared" si="12"/>
        <v>17.766041138336512</v>
      </c>
      <c r="G71" s="304"/>
      <c r="H71" s="304"/>
      <c r="I71" s="304"/>
      <c r="J71" s="304"/>
      <c r="K71" s="304"/>
      <c r="L71" s="304"/>
    </row>
    <row r="73" spans="1:12" ht="13.15">
      <c r="B73" s="154" t="s">
        <v>101</v>
      </c>
      <c r="C73" s="154" t="s">
        <v>110</v>
      </c>
      <c r="D73" s="154" t="s">
        <v>99</v>
      </c>
      <c r="E73" s="155" t="s">
        <v>100</v>
      </c>
      <c r="F73" s="155" t="s">
        <v>466</v>
      </c>
      <c r="G73" s="332"/>
      <c r="H73" s="332"/>
      <c r="I73" s="332"/>
      <c r="J73" s="332"/>
      <c r="K73" s="332"/>
      <c r="L73" s="332"/>
    </row>
    <row r="74" spans="1:12">
      <c r="B74" s="121" t="str">
        <f>Scenarios!B29</f>
        <v>Snowball Scenario</v>
      </c>
      <c r="C74" s="131">
        <f>Scenarios!C29</f>
        <v>0.08</v>
      </c>
      <c r="D74" s="134">
        <f>Scenarios!D29</f>
        <v>5</v>
      </c>
      <c r="E74" s="128">
        <f>INDEX(B$65:F$71, MATCH(D74, A$65:A$71, 0), MATCH(C74, B$64:F$64, 0))</f>
        <v>7.9111992671003559</v>
      </c>
      <c r="F74" s="131">
        <f>Scenarios!F29</f>
        <v>0.05</v>
      </c>
      <c r="G74" s="305"/>
      <c r="H74" s="305"/>
      <c r="I74" s="305"/>
      <c r="J74" s="305"/>
      <c r="K74" s="305"/>
      <c r="L74" s="305"/>
    </row>
    <row r="75" spans="1:12">
      <c r="B75" s="121" t="str">
        <f>Scenarios!B22</f>
        <v>Optimistic</v>
      </c>
      <c r="C75" s="131">
        <f>Scenarios!C22</f>
        <v>0.03</v>
      </c>
      <c r="D75" s="134">
        <f>Scenarios!D22</f>
        <v>5</v>
      </c>
      <c r="E75" s="128">
        <f>INDEX(B$65:F$71, MATCH(D75, A$65:A$71, 0), MATCH(C75, B$64:F$64, 0))</f>
        <v>6.7219560236600797</v>
      </c>
      <c r="F75" s="131">
        <f>Scenarios!F22*(1-F$74-F$78)</f>
        <v>0.18</v>
      </c>
      <c r="G75" s="305"/>
      <c r="H75" s="305"/>
      <c r="I75" s="305"/>
      <c r="J75" s="305"/>
      <c r="K75" s="305"/>
      <c r="L75" s="305"/>
    </row>
    <row r="76" spans="1:12">
      <c r="B76" s="121" t="str">
        <f>Scenarios!B23</f>
        <v>Base</v>
      </c>
      <c r="C76" s="131">
        <f>Scenarios!C23</f>
        <v>0.02</v>
      </c>
      <c r="D76" s="134">
        <f>Scenarios!D23</f>
        <v>5</v>
      </c>
      <c r="E76" s="128">
        <f>INDEX(B$65:F$71, MATCH(D76, A$65:A$71, 0), MATCH(C76, B$64:F$64, 0))</f>
        <v>6.508701852033929</v>
      </c>
      <c r="F76" s="131">
        <f>Scenarios!F23*(1-F$74-F$78)</f>
        <v>0.53999999999999992</v>
      </c>
      <c r="G76" s="305"/>
      <c r="H76" s="305"/>
      <c r="I76" s="305"/>
      <c r="J76" s="305"/>
      <c r="K76" s="305"/>
      <c r="L76" s="305"/>
    </row>
    <row r="77" spans="1:12">
      <c r="B77" s="121" t="str">
        <f>Scenarios!B24</f>
        <v>Pessimistic</v>
      </c>
      <c r="C77" s="131">
        <f>Scenarios!C24</f>
        <v>0.01</v>
      </c>
      <c r="D77" s="134">
        <f>Scenarios!D24</f>
        <v>5</v>
      </c>
      <c r="E77" s="128">
        <f>INDEX(B$65:F$71, MATCH(D77, A$65:A$71, 0), MATCH(C77, B$64:F$64, 0))</f>
        <v>6.3031221265270831</v>
      </c>
      <c r="F77" s="131">
        <f>Scenarios!F24*(1-F$74-F$78)</f>
        <v>0.18</v>
      </c>
      <c r="G77" s="305"/>
      <c r="H77" s="305"/>
      <c r="I77" s="305"/>
      <c r="J77" s="305"/>
      <c r="K77" s="305"/>
      <c r="L77" s="305"/>
    </row>
    <row r="78" spans="1:12">
      <c r="B78" s="121" t="str">
        <f>Scenarios!B30</f>
        <v>Devil's advocate</v>
      </c>
      <c r="C78" s="131">
        <f>Scenarios!C30</f>
        <v>-0.1</v>
      </c>
      <c r="D78" s="134">
        <f>Scenarios!D30</f>
        <v>5</v>
      </c>
      <c r="E78" s="128">
        <f>INDEX(B$65:F$71, MATCH(D78, A$65:A$71, 0), MATCH(C78, B$64:F$64, 0))</f>
        <v>4.4893947365570916</v>
      </c>
      <c r="F78" s="131">
        <f>Scenarios!F30</f>
        <v>0.05</v>
      </c>
      <c r="G78" s="305"/>
      <c r="H78" s="305"/>
      <c r="I78" s="305"/>
      <c r="J78" s="305"/>
      <c r="K78" s="305"/>
      <c r="L78" s="305"/>
    </row>
    <row r="79" spans="1:12">
      <c r="B79" s="142"/>
      <c r="C79" s="142"/>
      <c r="D79" s="142"/>
      <c r="E79" s="142"/>
      <c r="F79" s="143"/>
      <c r="G79" s="143"/>
      <c r="H79" s="143"/>
      <c r="I79" s="143"/>
      <c r="J79" s="143"/>
      <c r="K79" s="143"/>
      <c r="L79" s="143"/>
    </row>
    <row r="89" spans="3:3">
      <c r="C89" s="112"/>
    </row>
    <row r="90" spans="3:3">
      <c r="C90" s="112"/>
    </row>
    <row r="91" spans="3:3">
      <c r="C91" s="112"/>
    </row>
    <row r="98" spans="3:21">
      <c r="C98" s="283"/>
      <c r="M98" s="283"/>
      <c r="N98" s="283"/>
      <c r="O98" s="283"/>
      <c r="P98" s="283"/>
      <c r="Q98" s="283"/>
      <c r="R98" s="283"/>
      <c r="S98" s="283"/>
      <c r="T98" s="283"/>
      <c r="U98" s="283"/>
    </row>
    <row r="99" spans="3:21">
      <c r="C99" s="283"/>
      <c r="M99" s="283"/>
      <c r="N99" s="283"/>
      <c r="O99" s="283"/>
      <c r="P99" s="283"/>
      <c r="Q99" s="283"/>
      <c r="R99" s="283"/>
      <c r="S99" s="283"/>
      <c r="T99" s="283"/>
      <c r="U99" s="283"/>
    </row>
    <row r="100" spans="3:21">
      <c r="C100" s="283"/>
      <c r="M100" s="283"/>
      <c r="N100" s="283"/>
      <c r="O100" s="283"/>
      <c r="P100" s="283"/>
      <c r="Q100" s="283"/>
      <c r="R100" s="283"/>
      <c r="S100" s="283"/>
      <c r="T100" s="283"/>
      <c r="U100" s="283"/>
    </row>
    <row r="101" spans="3:21">
      <c r="C101" s="283"/>
      <c r="M101" s="283"/>
      <c r="N101" s="283"/>
      <c r="O101" s="283"/>
      <c r="P101" s="283"/>
      <c r="Q101" s="283"/>
      <c r="R101" s="283"/>
      <c r="S101" s="283"/>
      <c r="T101" s="283"/>
      <c r="U101" s="283"/>
    </row>
    <row r="102" spans="3:21">
      <c r="C102" s="283"/>
      <c r="M102" s="283"/>
      <c r="N102" s="283"/>
      <c r="O102" s="283"/>
      <c r="P102" s="283"/>
      <c r="Q102" s="283"/>
      <c r="R102" s="283"/>
      <c r="S102" s="283"/>
      <c r="T102" s="283"/>
      <c r="U102" s="283"/>
    </row>
  </sheetData>
  <mergeCells count="1">
    <mergeCell ref="J52:K52"/>
  </mergeCells>
  <phoneticPr fontId="2" type="noConversion"/>
  <conditionalFormatting sqref="C21:L50">
    <cfRule type="cellIs" dxfId="1" priority="2" operator="equal">
      <formula>0</formula>
    </cfRule>
  </conditionalFormatting>
  <conditionalFormatting sqref="C66:L71">
    <cfRule type="expression" dxfId="0" priority="19">
      <formula>ISNUMBER(MATCH(C66, $E$74:$E$78, 0))</formula>
    </cfRule>
  </conditionalFormatting>
  <dataValidations disablePrompts="1" count="1">
    <dataValidation type="list" allowBlank="1" showInputMessage="1" showErrorMessage="1" sqref="C15"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G67"/>
  <sheetViews>
    <sheetView showGridLines="0" topLeftCell="A10" zoomScaleNormal="100" workbookViewId="0">
      <selection activeCell="C46" sqref="C46"/>
    </sheetView>
  </sheetViews>
  <sheetFormatPr defaultColWidth="8.796875" defaultRowHeight="12.75"/>
  <cols>
    <col min="1" max="1" width="2.6640625" customWidth="1"/>
    <col min="2" max="2" width="22.6640625" customWidth="1"/>
    <col min="3" max="7" width="20.6640625" customWidth="1"/>
  </cols>
  <sheetData>
    <row r="2" spans="2:7" ht="13.9">
      <c r="B2" s="34" t="s">
        <v>122</v>
      </c>
      <c r="C2" s="35"/>
      <c r="D2" s="35"/>
      <c r="E2" s="35"/>
      <c r="F2" s="35"/>
      <c r="G2" s="35"/>
    </row>
    <row r="3" spans="2:7" ht="13.15">
      <c r="B3" s="146" t="s">
        <v>125</v>
      </c>
      <c r="E3" s="97" t="s">
        <v>234</v>
      </c>
    </row>
    <row r="4" spans="2:7" ht="12.75" customHeight="1">
      <c r="B4" s="140" t="s">
        <v>123</v>
      </c>
      <c r="C4" s="116">
        <v>2</v>
      </c>
      <c r="D4" s="116"/>
      <c r="E4" s="464" t="str">
        <f>"Please develop three logical "&amp;C18&amp;"-year scenarios (Base Case, Pessimistic Case, Optimistic Case) and two extreme "&amp;C18&amp;"-year scenarios (Success Scenario, Devil’s Advocate Scenario) for "&amp;Thesis!C4&amp;"("&amp;Thesis!C5&amp;"). Each scenario should include the Compound Growth Rate, the Probability Assessment, and the Business Narrative."</f>
        <v>Please develop three logical 5-year scenarios (Base Case, Pessimistic Case, Optimistic Case) and two extreme 5-year scenarios (Success Scenario, Devil’s Advocate Scenario) for 中国飞鹤(6186.HK). Each scenario should include the Compound Growth Rate, the Probability Assessment, and the Business Narrative.</v>
      </c>
      <c r="F4" s="464"/>
      <c r="G4" s="464"/>
    </row>
    <row r="5" spans="2:7">
      <c r="E5" s="464"/>
      <c r="F5" s="464"/>
      <c r="G5" s="464"/>
    </row>
    <row r="6" spans="2:7" ht="13.15">
      <c r="B6" s="146" t="s">
        <v>91</v>
      </c>
      <c r="C6" s="104">
        <f>DCF!C3</f>
        <v>1000</v>
      </c>
      <c r="E6" s="464"/>
      <c r="F6" s="464"/>
      <c r="G6" s="464"/>
    </row>
    <row r="7" spans="2:7" ht="12.75" customHeight="1">
      <c r="B7" s="97" t="s">
        <v>232</v>
      </c>
      <c r="C7" s="283">
        <f>Normalized_FCF!G8</f>
        <v>4902319</v>
      </c>
      <c r="D7" t="str">
        <f>Reporting_currency</f>
        <v>CNY</v>
      </c>
      <c r="E7" s="464"/>
      <c r="F7" s="464"/>
      <c r="G7" s="464"/>
    </row>
    <row r="8" spans="2:7">
      <c r="B8" s="97" t="s">
        <v>63</v>
      </c>
      <c r="C8" s="283">
        <f>Normalized_FCF!G19</f>
        <v>2910551.9698010553</v>
      </c>
      <c r="D8" t="str">
        <f>Reporting_currency</f>
        <v>CNY</v>
      </c>
      <c r="E8" s="464"/>
      <c r="F8" s="464"/>
      <c r="G8" s="464"/>
    </row>
    <row r="9" spans="2:7">
      <c r="B9" s="97" t="s">
        <v>54</v>
      </c>
      <c r="C9" s="283">
        <f>Normalized_FCF!C19</f>
        <v>2590789.1611465206</v>
      </c>
      <c r="D9" t="str">
        <f>Reporting_currency</f>
        <v>CNY</v>
      </c>
      <c r="E9" s="464"/>
      <c r="F9" s="464"/>
      <c r="G9" s="464"/>
    </row>
    <row r="10" spans="2:7">
      <c r="E10" s="464"/>
      <c r="F10" s="464"/>
      <c r="G10" s="464"/>
    </row>
    <row r="11" spans="2:7" ht="13.15">
      <c r="B11" s="146" t="s">
        <v>324</v>
      </c>
      <c r="E11" s="464"/>
      <c r="F11" s="464"/>
      <c r="G11" s="464"/>
    </row>
    <row r="12" spans="2:7">
      <c r="B12" s="114" t="s">
        <v>121</v>
      </c>
      <c r="C12" s="145">
        <f ca="1">(Normalized_FCF!G4/OFFSET(Normalized_FCF!G4, 0, $C$4))^(1/$C$4) - 1</f>
        <v>-1.328292424848343E-2</v>
      </c>
      <c r="D12" s="145"/>
      <c r="E12" s="464"/>
      <c r="F12" s="464"/>
      <c r="G12" s="464"/>
    </row>
    <row r="13" spans="2:7">
      <c r="B13" s="136" t="s">
        <v>127</v>
      </c>
      <c r="C13" s="145">
        <f ca="1">(Normalized_FCF!G8/OFFSET(Normalized_FCF!G8, 0, $C$4))^(1/$C$4) - 1</f>
        <v>-8.6152390653333799E-2</v>
      </c>
      <c r="E13" s="464"/>
      <c r="F13" s="464"/>
      <c r="G13" s="464"/>
    </row>
    <row r="14" spans="2:7">
      <c r="B14" s="97" t="s">
        <v>63</v>
      </c>
      <c r="C14" s="145">
        <f ca="1">(Normalized_FCF!G19/OFFSET(Normalized_FCF!G19, 0, $C$4))^(1/$C$4) - 1</f>
        <v>-0.15727112921242259</v>
      </c>
      <c r="E14" s="464"/>
      <c r="F14" s="464"/>
      <c r="G14" s="464"/>
    </row>
    <row r="16" spans="2:7" ht="13.9">
      <c r="B16" s="34" t="s">
        <v>462</v>
      </c>
      <c r="C16" s="35"/>
      <c r="D16" s="35"/>
      <c r="E16" s="35"/>
      <c r="F16" s="35"/>
      <c r="G16" s="35"/>
    </row>
    <row r="17" spans="2:7" ht="13.15">
      <c r="B17" s="106" t="s">
        <v>126</v>
      </c>
      <c r="E17" s="146"/>
    </row>
    <row r="18" spans="2:7" ht="12.75" customHeight="1">
      <c r="B18" s="140" t="s">
        <v>111</v>
      </c>
      <c r="C18" s="138">
        <v>5</v>
      </c>
      <c r="E18" s="327"/>
      <c r="F18" s="328"/>
    </row>
    <row r="19" spans="2:7">
      <c r="E19" s="328"/>
      <c r="F19" s="328"/>
    </row>
    <row r="20" spans="2:7" ht="13.15">
      <c r="B20" s="106" t="s">
        <v>459</v>
      </c>
      <c r="E20" s="328"/>
      <c r="F20" s="328"/>
    </row>
    <row r="21" spans="2:7" ht="13.15">
      <c r="B21" s="154" t="s">
        <v>445</v>
      </c>
      <c r="C21" s="154" t="s">
        <v>384</v>
      </c>
      <c r="D21" s="154" t="s">
        <v>457</v>
      </c>
      <c r="E21" s="155" t="str">
        <f>"Value per share ("&amp;Market_currency&amp;")"</f>
        <v>Value per share (HKD)</v>
      </c>
      <c r="F21" s="155" t="s">
        <v>458</v>
      </c>
      <c r="G21" s="155" t="s">
        <v>466</v>
      </c>
    </row>
    <row r="22" spans="2:7">
      <c r="B22" s="310" t="s">
        <v>454</v>
      </c>
      <c r="C22" s="333">
        <v>0.03</v>
      </c>
      <c r="D22" s="334">
        <f>C18</f>
        <v>5</v>
      </c>
      <c r="E22" s="335">
        <f>DCF!E75</f>
        <v>6.7219560236600797</v>
      </c>
      <c r="F22" s="337">
        <f>1-F23-F24</f>
        <v>0.2</v>
      </c>
      <c r="G22" s="337">
        <f>F22*(1-F$29-F$30)</f>
        <v>0.18</v>
      </c>
    </row>
    <row r="23" spans="2:7">
      <c r="B23" s="310" t="s">
        <v>446</v>
      </c>
      <c r="C23" s="333">
        <v>0.02</v>
      </c>
      <c r="D23" s="334">
        <f>C18</f>
        <v>5</v>
      </c>
      <c r="E23" s="335">
        <f>DCF!E76</f>
        <v>6.508701852033929</v>
      </c>
      <c r="F23" s="336">
        <v>0.6</v>
      </c>
      <c r="G23" s="337">
        <f t="shared" ref="G23:G24" si="0">F23*(1-F$29-F$30)</f>
        <v>0.53999999999999992</v>
      </c>
    </row>
    <row r="24" spans="2:7">
      <c r="B24" s="310" t="s">
        <v>455</v>
      </c>
      <c r="C24" s="333">
        <v>0.01</v>
      </c>
      <c r="D24" s="334">
        <f>C18</f>
        <v>5</v>
      </c>
      <c r="E24" s="335">
        <f>DCF!E77</f>
        <v>6.3031221265270831</v>
      </c>
      <c r="F24" s="336">
        <v>0.2</v>
      </c>
      <c r="G24" s="337">
        <f t="shared" si="0"/>
        <v>0.18</v>
      </c>
    </row>
    <row r="25" spans="2:7">
      <c r="B25" s="142" t="s">
        <v>460</v>
      </c>
      <c r="C25" s="451">
        <f>E23*F23+E24*F24+E22*F22</f>
        <v>6.5102367412577902</v>
      </c>
      <c r="D25" s="142" t="str">
        <f>Market_currency</f>
        <v>HKD</v>
      </c>
      <c r="G25" s="150"/>
    </row>
    <row r="27" spans="2:7" ht="13.15">
      <c r="B27" s="106" t="s">
        <v>461</v>
      </c>
    </row>
    <row r="28" spans="2:7" ht="13.15">
      <c r="B28" s="154" t="s">
        <v>445</v>
      </c>
      <c r="C28" s="154" t="s">
        <v>384</v>
      </c>
      <c r="D28" s="154" t="s">
        <v>457</v>
      </c>
      <c r="E28" s="155" t="str">
        <f>"Value per share ("&amp;Market_currency&amp;")"</f>
        <v>Value per share (HKD)</v>
      </c>
      <c r="F28" s="155" t="s">
        <v>458</v>
      </c>
      <c r="G28" s="155" t="s">
        <v>466</v>
      </c>
    </row>
    <row r="29" spans="2:7">
      <c r="B29" s="310" t="s">
        <v>453</v>
      </c>
      <c r="C29" s="333">
        <v>0.08</v>
      </c>
      <c r="D29" s="334">
        <f>C18</f>
        <v>5</v>
      </c>
      <c r="E29" s="335">
        <f>DCF!E74</f>
        <v>7.9111992671003559</v>
      </c>
      <c r="F29" s="336">
        <v>0.05</v>
      </c>
      <c r="G29" s="337">
        <f>F29</f>
        <v>0.05</v>
      </c>
    </row>
    <row r="30" spans="2:7">
      <c r="B30" s="323" t="s">
        <v>456</v>
      </c>
      <c r="C30" s="333">
        <v>-0.1</v>
      </c>
      <c r="D30" s="334">
        <f>C18</f>
        <v>5</v>
      </c>
      <c r="E30" s="335">
        <f>DCF!E78</f>
        <v>4.4893947365570916</v>
      </c>
      <c r="F30" s="336">
        <v>0.05</v>
      </c>
      <c r="G30" s="337">
        <f>F30</f>
        <v>0.05</v>
      </c>
    </row>
    <row r="31" spans="2:7">
      <c r="E31" s="338"/>
      <c r="F31" s="338"/>
    </row>
    <row r="32" spans="2:7" ht="13.15">
      <c r="B32" s="146" t="s">
        <v>465</v>
      </c>
    </row>
    <row r="33" spans="2:7">
      <c r="B33" s="97" t="s">
        <v>467</v>
      </c>
      <c r="C33" s="156">
        <f>Normalized_FCF!C88*(1-dividend_tax_rate)</f>
        <v>0.24179999999999999</v>
      </c>
      <c r="D33" t="str">
        <f>Market_currency</f>
        <v>HKD</v>
      </c>
      <c r="E33" s="97" t="s">
        <v>464</v>
      </c>
      <c r="F33" s="223">
        <f>Holding_Period</f>
        <v>2</v>
      </c>
    </row>
    <row r="34" spans="2:7">
      <c r="B34" s="97" t="s">
        <v>233</v>
      </c>
      <c r="C34" s="147">
        <f>Market_Price</f>
        <v>3.96</v>
      </c>
      <c r="D34" t="str">
        <f>Market_currency</f>
        <v>HKD</v>
      </c>
      <c r="E34" s="97" t="s">
        <v>463</v>
      </c>
      <c r="F34" s="339">
        <f>RATE(Holding_Period,$C$33,-C34,$C$36)</f>
        <v>0.33366695029787058</v>
      </c>
    </row>
    <row r="35" spans="2:7">
      <c r="B35" s="97" t="s">
        <v>443</v>
      </c>
      <c r="C35" s="329">
        <f>DCF!C11</f>
        <v>6.0262286168881865</v>
      </c>
      <c r="D35" s="97" t="str">
        <f>Market_currency</f>
        <v>HKD</v>
      </c>
      <c r="E35" s="97" t="s">
        <v>463</v>
      </c>
      <c r="F35" s="339">
        <f>RATE(Holding_Period,$C$33,-C35,$C$36)</f>
        <v>7.6329705858594984E-2</v>
      </c>
    </row>
    <row r="36" spans="2:7">
      <c r="B36" s="97" t="s">
        <v>444</v>
      </c>
      <c r="C36" s="330">
        <f>E22*G22+E23*G23+E24*G24+E30*G30+E29*G29</f>
        <v>6.4792427673148829</v>
      </c>
      <c r="D36" t="str">
        <f>Market_currency</f>
        <v>HKD</v>
      </c>
      <c r="E36" s="97" t="s">
        <v>469</v>
      </c>
      <c r="F36" s="340" t="s">
        <v>468</v>
      </c>
    </row>
    <row r="38" spans="2:7" ht="13.9">
      <c r="B38" s="34" t="s">
        <v>419</v>
      </c>
      <c r="C38" s="35"/>
      <c r="D38" s="35"/>
      <c r="E38" s="35"/>
      <c r="F38" s="35"/>
      <c r="G38" s="35"/>
    </row>
    <row r="39" spans="2:7" ht="13.15">
      <c r="B39" s="423" t="str">
        <f>IF(DCF!F14="II","2","1")&amp;"-stage DCF"</f>
        <v>1-stage DCF</v>
      </c>
      <c r="E39" s="226" t="s">
        <v>252</v>
      </c>
    </row>
    <row r="40" spans="2:7">
      <c r="B40" t="s">
        <v>407</v>
      </c>
      <c r="C40" s="139">
        <f>DCF!C17</f>
        <v>0.68269686315429268</v>
      </c>
      <c r="E40" s="97" t="s">
        <v>408</v>
      </c>
    </row>
    <row r="41" spans="2:7">
      <c r="B41" s="97" t="s">
        <v>406</v>
      </c>
      <c r="C41" s="139">
        <f>DCF!C16</f>
        <v>1.8613012126595961E-2</v>
      </c>
      <c r="E41" s="97"/>
    </row>
    <row r="43" spans="2:7" ht="13.9">
      <c r="B43" s="34" t="s">
        <v>278</v>
      </c>
      <c r="C43" s="35"/>
      <c r="D43" s="35"/>
      <c r="E43" s="35"/>
      <c r="F43" s="35"/>
      <c r="G43" s="35"/>
    </row>
    <row r="44" spans="2:7" ht="13.15">
      <c r="B44" s="106" t="s">
        <v>250</v>
      </c>
      <c r="E44" s="226" t="s">
        <v>252</v>
      </c>
    </row>
    <row r="45" spans="2:7">
      <c r="B45" s="140" t="s">
        <v>111</v>
      </c>
      <c r="C45" s="151">
        <f>C18</f>
        <v>5</v>
      </c>
      <c r="D45" s="138"/>
      <c r="E45" s="225" t="s">
        <v>310</v>
      </c>
    </row>
    <row r="46" spans="2:7">
      <c r="B46" s="114" t="s">
        <v>112</v>
      </c>
      <c r="C46" s="139">
        <v>1.8613012126595961E-2</v>
      </c>
      <c r="D46" s="139"/>
      <c r="E46" s="225" t="s">
        <v>253</v>
      </c>
    </row>
    <row r="47" spans="2:7">
      <c r="B47" s="97" t="s">
        <v>96</v>
      </c>
      <c r="C47" s="147">
        <f>DCF!I18</f>
        <v>6.4797347344821565</v>
      </c>
      <c r="D47" s="147" t="str">
        <f>Market_currency</f>
        <v>HKD</v>
      </c>
      <c r="E47" s="225" t="s">
        <v>254</v>
      </c>
    </row>
    <row r="49" spans="2:7" ht="13.15">
      <c r="B49" s="106" t="s">
        <v>279</v>
      </c>
      <c r="E49" s="226" t="s">
        <v>255</v>
      </c>
    </row>
    <row r="50" spans="2:7">
      <c r="B50" s="97" t="s">
        <v>251</v>
      </c>
      <c r="C50" s="222" t="str">
        <f>IF(C36&lt;C35,"Y","N")</f>
        <v>N</v>
      </c>
      <c r="E50" s="127"/>
    </row>
    <row r="51" spans="2:7">
      <c r="B51" s="97" t="s">
        <v>247</v>
      </c>
      <c r="C51" s="222" t="str">
        <f>IF(C50="Y","N",IF(C46&gt;8%,"N","Y"))</f>
        <v>Y</v>
      </c>
      <c r="E51" s="225" t="s">
        <v>248</v>
      </c>
    </row>
    <row r="52" spans="2:7">
      <c r="B52" s="97" t="s">
        <v>246</v>
      </c>
      <c r="C52" s="222" t="str">
        <f>IF(C46&gt;8%,"Y","N")</f>
        <v>N</v>
      </c>
      <c r="E52" s="225"/>
    </row>
    <row r="53" spans="2:7">
      <c r="B53" s="97" t="s">
        <v>238</v>
      </c>
      <c r="C53" s="221" t="str">
        <f>IF(F53&gt;50%,"Y","N")</f>
        <v>N</v>
      </c>
      <c r="E53" s="127" t="s">
        <v>275</v>
      </c>
      <c r="F53" s="256">
        <f>BS!D89/C36</f>
        <v>0.29638291388519605</v>
      </c>
    </row>
    <row r="55" spans="2:7" ht="13.9">
      <c r="B55" s="34" t="s">
        <v>107</v>
      </c>
      <c r="C55" s="35"/>
      <c r="D55" s="35"/>
      <c r="E55" s="35"/>
      <c r="F55" s="35"/>
      <c r="G55" s="35"/>
    </row>
    <row r="56" spans="2:7" ht="13.15">
      <c r="B56" s="106" t="s">
        <v>106</v>
      </c>
    </row>
    <row r="57" spans="2:7">
      <c r="B57" s="224" t="s">
        <v>249</v>
      </c>
      <c r="C57" s="223">
        <f>Holding_Period</f>
        <v>2</v>
      </c>
      <c r="D57" s="127"/>
    </row>
    <row r="58" spans="2:7">
      <c r="B58" s="97" t="s">
        <v>336</v>
      </c>
      <c r="C58" s="156">
        <f>C33</f>
        <v>0.24179999999999999</v>
      </c>
      <c r="D58" t="str">
        <f>Market_currency</f>
        <v>HKD</v>
      </c>
    </row>
    <row r="60" spans="2:7" ht="13.15">
      <c r="B60" s="106" t="s">
        <v>482</v>
      </c>
      <c r="E60" s="422"/>
    </row>
    <row r="61" spans="2:7" ht="13.15">
      <c r="B61" s="154" t="s">
        <v>471</v>
      </c>
      <c r="C61" s="154" t="s">
        <v>103</v>
      </c>
      <c r="D61" s="154" t="s">
        <v>104</v>
      </c>
      <c r="E61" s="155" t="str">
        <f>"Buy below ("&amp;Market_currency&amp;")"</f>
        <v>Buy below (HKD)</v>
      </c>
      <c r="F61" s="155" t="s">
        <v>463</v>
      </c>
      <c r="G61" s="155" t="s">
        <v>470</v>
      </c>
    </row>
    <row r="62" spans="2:7" ht="13.15">
      <c r="B62" s="310" t="s">
        <v>315</v>
      </c>
      <c r="C62" s="120">
        <f>PV(F62, Holding_Period, -C58, 0)</f>
        <v>0.31178600823045277</v>
      </c>
      <c r="D62" s="120">
        <f>C36/(1+F62)^Holding_Period</f>
        <v>3.5551400643703057</v>
      </c>
      <c r="E62" s="341">
        <f>C62+D62</f>
        <v>3.8669260726007586</v>
      </c>
      <c r="F62" s="309">
        <f>Thesis!E22</f>
        <v>0.35</v>
      </c>
      <c r="G62" s="450">
        <f>(1-E62/C36)</f>
        <v>0.40318240703870345</v>
      </c>
    </row>
    <row r="63" spans="2:7" ht="13.15">
      <c r="B63" s="310" t="s">
        <v>316</v>
      </c>
      <c r="C63" s="120">
        <f>PV(F63, Holding_Period, -C58, 0)</f>
        <v>0.34819199999999995</v>
      </c>
      <c r="D63" s="120">
        <f>C36/(1+F63)^Holding_Period</f>
        <v>4.146715371081525</v>
      </c>
      <c r="E63" s="341">
        <f>C63+D63</f>
        <v>4.494907371081525</v>
      </c>
      <c r="F63" s="309">
        <f>Thesis!E23</f>
        <v>0.25</v>
      </c>
      <c r="G63" s="450">
        <f>(1-E63/C36)</f>
        <v>0.30626038682228651</v>
      </c>
    </row>
    <row r="65" spans="2:7" ht="13.15">
      <c r="B65" s="154" t="s">
        <v>472</v>
      </c>
      <c r="C65" s="154" t="s">
        <v>103</v>
      </c>
      <c r="D65" s="154" t="s">
        <v>104</v>
      </c>
      <c r="E65" s="155" t="str">
        <f>"Sell above ("&amp;Market_currency&amp;")"</f>
        <v>Sell above (HKD)</v>
      </c>
      <c r="F65" s="155" t="s">
        <v>463</v>
      </c>
      <c r="G65" s="155" t="s">
        <v>470</v>
      </c>
    </row>
    <row r="66" spans="2:7" ht="13.15">
      <c r="B66" s="310" t="s">
        <v>318</v>
      </c>
      <c r="C66" s="120">
        <f>PV(F66, Holding_Period, -C58, 0)</f>
        <v>0.41005477282098601</v>
      </c>
      <c r="D66" s="120">
        <f>C36/(1+F66)^Holding_Period</f>
        <v>5.189277775479523</v>
      </c>
      <c r="E66" s="341">
        <f>C66+D66</f>
        <v>5.5993325483005094</v>
      </c>
      <c r="F66" s="309">
        <f>Thesis!E24</f>
        <v>0.1174</v>
      </c>
      <c r="G66" s="450">
        <f>(1-E66/C47)</f>
        <v>0.13587009688784835</v>
      </c>
    </row>
    <row r="67" spans="2:7" ht="13.15">
      <c r="B67" s="310" t="s">
        <v>317</v>
      </c>
      <c r="C67" s="120">
        <f>PV(F67, Holding_Period, -C58, 0)</f>
        <v>0.43566857385039198</v>
      </c>
      <c r="D67" s="120">
        <f>C36/(1+F67)^Holding_Period</f>
        <v>5.6328689953346336</v>
      </c>
      <c r="E67" s="341">
        <f>C67+D67</f>
        <v>6.0685375691850254</v>
      </c>
      <c r="F67" s="309">
        <f>Thesis!E25</f>
        <v>7.2499999999999995E-2</v>
      </c>
      <c r="G67" s="450">
        <f>(1-E67/C36)</f>
        <v>6.33878391162771E-2</v>
      </c>
    </row>
  </sheetData>
  <mergeCells count="1">
    <mergeCell ref="E4:G14"/>
  </mergeCells>
  <phoneticPr fontId="2"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0689B-F36D-4933-9EEF-92EBF45B6A8E}">
  <dimension ref="B2:E2"/>
  <sheetViews>
    <sheetView showGridLines="0" workbookViewId="0">
      <selection activeCell="D49" sqref="D49"/>
    </sheetView>
  </sheetViews>
  <sheetFormatPr defaultColWidth="8.796875" defaultRowHeight="12.75"/>
  <cols>
    <col min="1" max="1" width="2.6640625" customWidth="1"/>
    <col min="2" max="2" width="22.6640625" customWidth="1"/>
    <col min="3" max="5" width="20.6640625" customWidth="1"/>
  </cols>
  <sheetData>
    <row r="2" spans="2:5" ht="13.9">
      <c r="B2" s="34" t="s">
        <v>337</v>
      </c>
      <c r="C2" s="35"/>
      <c r="D2" s="35"/>
      <c r="E2" s="3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2:J167"/>
  <sheetViews>
    <sheetView showGridLines="0" topLeftCell="A128" zoomScale="85" zoomScaleNormal="100" workbookViewId="0">
      <selection activeCell="B23" sqref="B23"/>
    </sheetView>
  </sheetViews>
  <sheetFormatPr defaultColWidth="9" defaultRowHeight="12.4"/>
  <cols>
    <col min="1" max="1" width="2.6640625" style="352" customWidth="1"/>
    <col min="2" max="2" width="32.6640625" style="352" customWidth="1"/>
    <col min="3" max="4" width="25.6640625" style="352" customWidth="1"/>
    <col min="5" max="6" width="15.6640625" style="352" customWidth="1"/>
    <col min="7" max="16384" width="9" style="352"/>
  </cols>
  <sheetData>
    <row r="2" spans="1:10" ht="13.9">
      <c r="A2" s="354" t="s">
        <v>338</v>
      </c>
      <c r="B2" s="354"/>
      <c r="C2" s="354"/>
      <c r="D2" s="354"/>
      <c r="E2" s="354"/>
      <c r="F2" s="354"/>
      <c r="G2" s="355"/>
      <c r="H2" s="355"/>
      <c r="I2" s="355"/>
      <c r="J2" s="355"/>
    </row>
    <row r="3" spans="1:10">
      <c r="E3" s="445" t="s">
        <v>550</v>
      </c>
      <c r="F3" s="446">
        <f>Thesis!F3</f>
        <v>45930</v>
      </c>
    </row>
    <row r="4" spans="1:10">
      <c r="B4" s="432" t="s">
        <v>542</v>
      </c>
      <c r="C4" s="433" t="str">
        <f>Thesis!C4</f>
        <v>中国飞鹤</v>
      </c>
      <c r="D4" s="358"/>
      <c r="E4" s="444" t="s">
        <v>548</v>
      </c>
      <c r="F4" s="447" t="str">
        <f>Thesis!F4</f>
        <v>INT</v>
      </c>
    </row>
    <row r="5" spans="1:10">
      <c r="B5" s="352" t="s">
        <v>369</v>
      </c>
      <c r="C5" s="364" t="str">
        <f>Thesis!C5</f>
        <v>6186.HK</v>
      </c>
      <c r="E5" s="448" t="s">
        <v>549</v>
      </c>
      <c r="F5" s="449" t="str">
        <f>Thesis!F5</f>
        <v>N</v>
      </c>
    </row>
    <row r="6" spans="1:10">
      <c r="B6" s="359" t="s">
        <v>340</v>
      </c>
      <c r="C6" s="361" t="str">
        <f>Thesis!C6</f>
        <v>CNS_01</v>
      </c>
      <c r="E6" s="363"/>
    </row>
    <row r="7" spans="1:10">
      <c r="B7" s="352" t="s">
        <v>371</v>
      </c>
      <c r="C7" s="361" t="str">
        <f>Market_currency</f>
        <v>HKD</v>
      </c>
      <c r="D7" s="363"/>
      <c r="E7" s="363"/>
    </row>
    <row r="8" spans="1:10">
      <c r="B8" s="360" t="s">
        <v>370</v>
      </c>
      <c r="C8" s="365">
        <f>Market_Price</f>
        <v>3.96</v>
      </c>
      <c r="D8" s="352" t="s">
        <v>537</v>
      </c>
      <c r="E8" s="369">
        <f>Scenarios!F34</f>
        <v>0.33366695029787058</v>
      </c>
    </row>
    <row r="9" spans="1:10">
      <c r="B9" s="360" t="s">
        <v>366</v>
      </c>
      <c r="C9" s="362">
        <f>Common_Shares</f>
        <v>9065251704</v>
      </c>
    </row>
    <row r="10" spans="1:10">
      <c r="B10" s="360" t="s">
        <v>372</v>
      </c>
      <c r="C10" s="366">
        <f>投资主题!C8*Common_Shares/1000000</f>
        <v>35898.396747839994</v>
      </c>
      <c r="E10" s="362"/>
    </row>
    <row r="11" spans="1:10">
      <c r="D11" s="358"/>
      <c r="E11" s="358"/>
    </row>
    <row r="12" spans="1:10" ht="24.5" customHeight="1">
      <c r="B12" s="466" t="s">
        <v>506</v>
      </c>
      <c r="C12" s="466"/>
      <c r="D12" s="466"/>
      <c r="E12" s="466"/>
      <c r="F12" s="466"/>
    </row>
    <row r="14" spans="1:10">
      <c r="B14" s="356" t="s">
        <v>375</v>
      </c>
      <c r="C14" s="357"/>
      <c r="D14" s="358"/>
    </row>
    <row r="15" spans="1:10">
      <c r="B15" s="352" t="s">
        <v>341</v>
      </c>
      <c r="C15" s="367" t="str">
        <f>Thesis!C15</f>
        <v>N</v>
      </c>
      <c r="D15" s="360" t="s">
        <v>373</v>
      </c>
      <c r="E15" s="353" t="str">
        <f>IF(E17=C7,C7,E17&amp;"/"&amp;C7)</f>
        <v>CNY/HKD</v>
      </c>
    </row>
    <row r="16" spans="1:10">
      <c r="B16" s="352" t="s">
        <v>342</v>
      </c>
      <c r="C16" s="367" t="str">
        <f>Thesis!C16</f>
        <v>N</v>
      </c>
      <c r="D16" s="360" t="s">
        <v>374</v>
      </c>
      <c r="E16" s="435">
        <f>Exchange_Rate</f>
        <v>1.0932867000000002</v>
      </c>
    </row>
    <row r="17" spans="1:6">
      <c r="B17" s="352" t="s">
        <v>543</v>
      </c>
      <c r="C17" s="434">
        <f>Terminal_Growth</f>
        <v>0</v>
      </c>
      <c r="D17" s="360" t="s">
        <v>343</v>
      </c>
      <c r="E17" s="353" t="str">
        <f>Reporting_currency</f>
        <v>CNY</v>
      </c>
    </row>
    <row r="18" spans="1:6">
      <c r="B18" s="352" t="str">
        <f>"预期股权价值 ("&amp;C7&amp;") :"</f>
        <v>预期股权价值 (HKD) :</v>
      </c>
      <c r="C18" s="368">
        <f>C125</f>
        <v>6.4792427673148829</v>
      </c>
      <c r="D18" s="359" t="s">
        <v>367</v>
      </c>
      <c r="E18" s="436">
        <f>Thesis!E18</f>
        <v>6</v>
      </c>
    </row>
    <row r="19" spans="1:6">
      <c r="B19" s="359" t="s">
        <v>339</v>
      </c>
      <c r="C19" s="361" t="str">
        <f>IF(Scenarios!C50="Y",Scenarios!B50,"")&amp;IF(Scenarios!C51="Y",Scenarios!B51,"")&amp;IF(Scenarios!C52="Y",Scenarios!B52,"")&amp;" "&amp;IF(Scenarios!C53="Y",Scenarios!B53,"")</f>
        <v xml:space="preserve">Low Growth </v>
      </c>
      <c r="D19" s="352" t="s">
        <v>368</v>
      </c>
      <c r="E19" s="437">
        <f>EOMONTH(EDATE(BS!C1,E18+2),0)</f>
        <v>46081</v>
      </c>
    </row>
    <row r="20" spans="1:6">
      <c r="D20" s="358"/>
      <c r="E20" s="358"/>
    </row>
    <row r="21" spans="1:6">
      <c r="B21" s="356" t="s">
        <v>344</v>
      </c>
      <c r="C21" s="370" t="str">
        <f>C138&amp;" ("&amp;Market_currency&amp;")"</f>
        <v xml:space="preserve"> (HKD)</v>
      </c>
      <c r="D21" s="371" t="s">
        <v>349</v>
      </c>
      <c r="E21" s="372">
        <f>Holding_Period</f>
        <v>2</v>
      </c>
    </row>
    <row r="22" spans="1:6">
      <c r="B22" s="352" t="s">
        <v>345</v>
      </c>
      <c r="C22" s="373">
        <f>E140</f>
        <v>3.8669260726007586</v>
      </c>
      <c r="D22" s="374" t="s">
        <v>449</v>
      </c>
      <c r="E22" s="375">
        <f>Thesis!E22</f>
        <v>0.35</v>
      </c>
    </row>
    <row r="23" spans="1:6">
      <c r="B23" s="352" t="s">
        <v>346</v>
      </c>
      <c r="C23" s="376">
        <f>E141</f>
        <v>4.494907371081525</v>
      </c>
      <c r="D23" s="374" t="s">
        <v>450</v>
      </c>
      <c r="E23" s="377">
        <f>Thesis!E23</f>
        <v>0.25</v>
      </c>
    </row>
    <row r="24" spans="1:6">
      <c r="B24" s="352" t="s">
        <v>348</v>
      </c>
      <c r="C24" s="376">
        <f>E144</f>
        <v>5.5993325483005094</v>
      </c>
      <c r="D24" s="374" t="s">
        <v>452</v>
      </c>
      <c r="E24" s="377">
        <f>Thesis!E24</f>
        <v>0.1174</v>
      </c>
    </row>
    <row r="25" spans="1:6">
      <c r="B25" s="352" t="s">
        <v>347</v>
      </c>
      <c r="C25" s="376">
        <f>E145</f>
        <v>6.0685375691850254</v>
      </c>
      <c r="D25" s="374" t="s">
        <v>451</v>
      </c>
      <c r="E25" s="377">
        <f>Thesis!E25</f>
        <v>7.2499999999999995E-2</v>
      </c>
    </row>
    <row r="27" spans="1:6" ht="13.9">
      <c r="A27" s="354" t="s">
        <v>350</v>
      </c>
      <c r="B27" s="354"/>
      <c r="C27" s="354"/>
      <c r="D27" s="354"/>
      <c r="E27" s="354"/>
      <c r="F27" s="354"/>
    </row>
    <row r="29" spans="1:6">
      <c r="B29" s="466" t="s">
        <v>507</v>
      </c>
      <c r="C29" s="466"/>
      <c r="D29" s="466"/>
      <c r="E29" s="466"/>
      <c r="F29" s="466"/>
    </row>
    <row r="30" spans="1:6" ht="24.5" customHeight="1">
      <c r="B30" s="467" t="s">
        <v>508</v>
      </c>
      <c r="C30" s="467"/>
      <c r="D30" s="467"/>
      <c r="E30" s="467"/>
      <c r="F30" s="467"/>
    </row>
    <row r="32" spans="1:6">
      <c r="B32" s="378" t="s">
        <v>376</v>
      </c>
      <c r="C32" s="379">
        <f>scaling_factor</f>
        <v>1000</v>
      </c>
    </row>
    <row r="33" spans="2:6">
      <c r="B33" s="465" t="s">
        <v>509</v>
      </c>
      <c r="C33" s="465"/>
      <c r="D33" s="465"/>
      <c r="E33" s="465"/>
      <c r="F33" s="465"/>
    </row>
    <row r="34" spans="2:6">
      <c r="B34" s="381" t="s">
        <v>197</v>
      </c>
      <c r="C34" s="382">
        <f>Normalized_FCF!C8</f>
        <v>3585603</v>
      </c>
      <c r="D34" s="352" t="str">
        <f>Reporting_currency</f>
        <v>CNY</v>
      </c>
    </row>
    <row r="35" spans="2:6">
      <c r="B35" s="381"/>
      <c r="C35" s="383"/>
    </row>
    <row r="36" spans="2:6" ht="24.5" customHeight="1">
      <c r="B36" s="465" t="s">
        <v>510</v>
      </c>
      <c r="C36" s="465"/>
      <c r="D36" s="465"/>
      <c r="E36" s="465"/>
      <c r="F36" s="465"/>
    </row>
    <row r="37" spans="2:6">
      <c r="B37" s="381" t="s">
        <v>199</v>
      </c>
      <c r="C37" s="382">
        <f>Normalized_FCF!C15</f>
        <v>0</v>
      </c>
      <c r="D37" s="352" t="str">
        <f>Reporting_currency</f>
        <v>CNY</v>
      </c>
    </row>
    <row r="38" spans="2:6">
      <c r="B38" s="384" t="s">
        <v>200</v>
      </c>
      <c r="C38" s="382">
        <f>Normalized_FCF!C16</f>
        <v>0</v>
      </c>
      <c r="D38" s="352" t="str">
        <f>Reporting_currency</f>
        <v>CNY</v>
      </c>
    </row>
    <row r="40" spans="2:6">
      <c r="B40" s="465" t="s">
        <v>511</v>
      </c>
      <c r="C40" s="465"/>
      <c r="D40" s="465"/>
      <c r="E40" s="465"/>
      <c r="F40" s="465"/>
    </row>
    <row r="41" spans="2:6">
      <c r="B41" s="381" t="s">
        <v>202</v>
      </c>
      <c r="C41" s="382">
        <f>Normalized_FCF!C9</f>
        <v>-12182</v>
      </c>
      <c r="D41" s="352" t="str">
        <f>Reporting_currency</f>
        <v>CNY</v>
      </c>
    </row>
    <row r="43" spans="2:6">
      <c r="B43" s="465" t="s">
        <v>512</v>
      </c>
      <c r="C43" s="465"/>
      <c r="D43" s="465"/>
      <c r="E43" s="465"/>
      <c r="F43" s="465"/>
    </row>
    <row r="44" spans="2:6">
      <c r="B44" s="381" t="s">
        <v>269</v>
      </c>
      <c r="C44" s="385">
        <f>Normalized_FCF!C46</f>
        <v>15205.2148620272</v>
      </c>
      <c r="D44" s="352" t="str">
        <f>Reporting_currency</f>
        <v>CNY</v>
      </c>
      <c r="E44" s="380"/>
      <c r="F44" s="380"/>
    </row>
    <row r="45" spans="2:6">
      <c r="B45" s="381" t="s">
        <v>270</v>
      </c>
      <c r="C45" s="385">
        <f>Normalized_FCF!C45</f>
        <v>-44646</v>
      </c>
      <c r="D45" s="352" t="str">
        <f>Reporting_currency</f>
        <v>CNY</v>
      </c>
      <c r="E45" s="380"/>
      <c r="F45" s="380"/>
    </row>
    <row r="46" spans="2:6">
      <c r="B46" s="381" t="s">
        <v>203</v>
      </c>
      <c r="C46" s="382">
        <f>Normalized_FCF!C10</f>
        <v>-29440.785137972802</v>
      </c>
      <c r="D46" s="352" t="str">
        <f>Reporting_currency</f>
        <v>CNY</v>
      </c>
    </row>
    <row r="48" spans="2:6">
      <c r="B48" s="352" t="s">
        <v>513</v>
      </c>
    </row>
    <row r="49" spans="2:6">
      <c r="B49" s="381" t="s">
        <v>223</v>
      </c>
      <c r="C49" s="382">
        <f>Normalized_FCF!C13</f>
        <v>-67196</v>
      </c>
      <c r="D49" s="352" t="str">
        <f>Reporting_currency</f>
        <v>CNY</v>
      </c>
    </row>
    <row r="51" spans="2:6">
      <c r="B51" s="465" t="s">
        <v>514</v>
      </c>
      <c r="C51" s="465"/>
      <c r="D51" s="465"/>
      <c r="E51" s="465"/>
      <c r="F51" s="465"/>
    </row>
    <row r="52" spans="2:6">
      <c r="B52" s="381" t="s">
        <v>505</v>
      </c>
      <c r="C52" s="382">
        <f>Normalized_FCF!C12</f>
        <v>-885995.0537155068</v>
      </c>
      <c r="D52" s="352" t="str">
        <f>Reporting_currency</f>
        <v>CNY</v>
      </c>
    </row>
    <row r="54" spans="2:6">
      <c r="B54" s="465" t="s">
        <v>515</v>
      </c>
      <c r="C54" s="468"/>
      <c r="D54" s="468"/>
      <c r="E54" s="468"/>
      <c r="F54" s="468"/>
    </row>
    <row r="55" spans="2:6">
      <c r="B55" s="381" t="s">
        <v>207</v>
      </c>
      <c r="C55" s="382">
        <f>Normalized_FCF!C17</f>
        <v>0</v>
      </c>
      <c r="D55" s="352" t="str">
        <f>Reporting_currency</f>
        <v>CNY</v>
      </c>
    </row>
    <row r="57" spans="2:6">
      <c r="B57" s="466" t="s">
        <v>516</v>
      </c>
      <c r="C57" s="466"/>
      <c r="D57" s="466"/>
      <c r="E57" s="466"/>
      <c r="F57" s="466"/>
    </row>
    <row r="58" spans="2:6">
      <c r="B58" s="466" t="s">
        <v>517</v>
      </c>
      <c r="C58" s="466"/>
      <c r="D58" s="466"/>
      <c r="E58" s="466"/>
      <c r="F58" s="466"/>
    </row>
    <row r="60" spans="2:6">
      <c r="B60" s="381" t="s">
        <v>377</v>
      </c>
      <c r="C60" s="382">
        <f>Normalized_FCF!G19</f>
        <v>2910551.9698010553</v>
      </c>
      <c r="D60" s="352" t="str">
        <f>Reporting_currency</f>
        <v>CNY</v>
      </c>
    </row>
    <row r="61" spans="2:6">
      <c r="B61" s="381" t="s">
        <v>213</v>
      </c>
      <c r="C61" s="382">
        <f>Normalized_FCF!C19</f>
        <v>2590789.1611465206</v>
      </c>
      <c r="D61" s="352" t="str">
        <f>Reporting_currency</f>
        <v>CNY</v>
      </c>
    </row>
    <row r="62" spans="2:6">
      <c r="B62" s="386" t="s">
        <v>305</v>
      </c>
      <c r="C62" s="387">
        <f>Normalized_FCF!C124</f>
        <v>7.8902558024574673E-2</v>
      </c>
      <c r="F62" s="388"/>
    </row>
    <row r="63" spans="2:6">
      <c r="B63" s="386" t="s">
        <v>335</v>
      </c>
      <c r="C63" s="387">
        <f>Normalized_FCF!C92</f>
        <v>6.1060606060606058E-2</v>
      </c>
      <c r="E63" s="381" t="s">
        <v>378</v>
      </c>
      <c r="F63" s="389">
        <f>Normalized_FCF!C90</f>
        <v>0.84606570650356128</v>
      </c>
    </row>
    <row r="65" spans="1:6">
      <c r="B65" s="378" t="s">
        <v>381</v>
      </c>
      <c r="C65" s="390" t="s">
        <v>330</v>
      </c>
      <c r="D65" s="390" t="s">
        <v>379</v>
      </c>
    </row>
    <row r="66" spans="1:6">
      <c r="B66" s="381" t="s">
        <v>329</v>
      </c>
      <c r="C66" s="387">
        <f>Normalized_FCF!C119</f>
        <v>0.13051754934484086</v>
      </c>
      <c r="D66" s="387">
        <f>Normalized_FCF!G119</f>
        <v>0.18009434106411271</v>
      </c>
    </row>
    <row r="67" spans="1:6">
      <c r="B67" s="391" t="str">
        <f>Normalized_FCF!B116</f>
        <v>Pre-tax Profit/Sales</v>
      </c>
      <c r="C67" s="392">
        <f>Normalized_FCF!C116</f>
        <v>0.21350770384328224</v>
      </c>
      <c r="D67" s="392">
        <f>Normalized_FCF!G116</f>
        <v>0.23568649229951275</v>
      </c>
    </row>
    <row r="68" spans="1:6">
      <c r="B68" s="391" t="str">
        <f>Normalized_FCF!B117</f>
        <v>Sales/Total Assets</v>
      </c>
      <c r="C68" s="393">
        <f>Normalized_FCF!C117</f>
        <v>0.48960240415119827</v>
      </c>
      <c r="D68" s="393">
        <f>Normalized_FCF!G117</f>
        <v>0.61200300518899786</v>
      </c>
    </row>
    <row r="69" spans="1:6">
      <c r="B69" s="391" t="str">
        <f>Normalized_FCF!B118</f>
        <v>Total Assets/Equity</v>
      </c>
      <c r="C69" s="393">
        <f>Normalized_FCF!C118</f>
        <v>1.2485669045200241</v>
      </c>
      <c r="D69" s="393">
        <f>Normalized_FCF!G118</f>
        <v>1.2485669045200241</v>
      </c>
    </row>
    <row r="71" spans="1:6" ht="13.9">
      <c r="A71" s="354" t="s">
        <v>485</v>
      </c>
      <c r="B71" s="354"/>
      <c r="C71" s="354"/>
      <c r="D71" s="354"/>
      <c r="E71" s="354"/>
      <c r="F71" s="354"/>
    </row>
    <row r="72" spans="1:6">
      <c r="A72" s="394"/>
    </row>
    <row r="73" spans="1:6">
      <c r="A73" s="395"/>
      <c r="B73" s="466" t="s">
        <v>518</v>
      </c>
      <c r="C73" s="466"/>
      <c r="D73" s="466"/>
      <c r="E73" s="466"/>
      <c r="F73" s="466"/>
    </row>
    <row r="74" spans="1:6">
      <c r="B74" s="467" t="s">
        <v>488</v>
      </c>
      <c r="C74" s="467"/>
      <c r="D74" s="467"/>
      <c r="E74" s="467"/>
      <c r="F74" s="467"/>
    </row>
    <row r="76" spans="1:6">
      <c r="B76" s="378" t="s">
        <v>376</v>
      </c>
    </row>
    <row r="77" spans="1:6">
      <c r="B77" s="466" t="s">
        <v>519</v>
      </c>
      <c r="C77" s="466"/>
      <c r="D77" s="466"/>
      <c r="E77" s="466"/>
      <c r="F77" s="466"/>
    </row>
    <row r="78" spans="1:6">
      <c r="B78" s="352" t="s">
        <v>215</v>
      </c>
      <c r="C78" s="382">
        <f>DCF!F4</f>
        <v>-845013</v>
      </c>
      <c r="D78" s="352" t="str">
        <f>Reporting_currency</f>
        <v>CNY</v>
      </c>
    </row>
    <row r="79" spans="1:6">
      <c r="B79" s="381" t="s">
        <v>235</v>
      </c>
      <c r="C79" s="396">
        <f>C78*scaling_factor*Exchange_Rate/Common_Shares</f>
        <v>-0.10191018455885338</v>
      </c>
      <c r="D79" s="352" t="str">
        <f>Market_currency</f>
        <v>HKD</v>
      </c>
    </row>
    <row r="80" spans="1:6">
      <c r="B80" s="391" t="s">
        <v>312</v>
      </c>
      <c r="C80" s="397">
        <f>IF(BS!G31/BS!G27&gt;300%,"nm",BS!G31/BS!G27)</f>
        <v>3.1120102042901991E-2</v>
      </c>
    </row>
    <row r="81" spans="1:6">
      <c r="B81" s="391" t="s">
        <v>314</v>
      </c>
      <c r="C81" s="398">
        <f>IF(BS!C50&gt;30,"nm",BS!C50)</f>
        <v>0.2356683101838101</v>
      </c>
    </row>
    <row r="83" spans="1:6">
      <c r="B83" s="352" t="s">
        <v>520</v>
      </c>
    </row>
    <row r="84" spans="1:6">
      <c r="B84" s="352" t="s">
        <v>224</v>
      </c>
      <c r="C84" s="382">
        <f>DCF!F5</f>
        <v>15073642.522995466</v>
      </c>
      <c r="D84" s="352" t="str">
        <f>Reporting_currency</f>
        <v>CNY</v>
      </c>
    </row>
    <row r="85" spans="1:6">
      <c r="B85" s="391" t="s">
        <v>490</v>
      </c>
      <c r="C85" s="399">
        <f>BS!C66</f>
        <v>17607845</v>
      </c>
      <c r="D85" s="400" t="str">
        <f>Reporting_currency</f>
        <v>CNY</v>
      </c>
    </row>
    <row r="86" spans="1:6">
      <c r="B86" s="381" t="s">
        <v>236</v>
      </c>
      <c r="C86" s="396">
        <f>C84*scaling_factor*Exchange_Rate/Common_Shares</f>
        <v>1.8179101285928718</v>
      </c>
      <c r="D86" s="352" t="str">
        <f>Market_currency</f>
        <v>HKD</v>
      </c>
    </row>
    <row r="88" spans="1:6">
      <c r="B88" s="352" t="s">
        <v>521</v>
      </c>
    </row>
    <row r="89" spans="1:6">
      <c r="B89" s="352" t="s">
        <v>217</v>
      </c>
      <c r="C89" s="382">
        <f>DCF!F6</f>
        <v>4283</v>
      </c>
      <c r="D89" s="352" t="str">
        <f>Reporting_currency</f>
        <v>CNY</v>
      </c>
    </row>
    <row r="90" spans="1:6">
      <c r="B90" s="381" t="s">
        <v>237</v>
      </c>
      <c r="C90" s="396">
        <f>C89*scaling_factor*Exchange_Rate/Common_Shares</f>
        <v>5.1653799464099258E-4</v>
      </c>
      <c r="D90" s="352" t="str">
        <f>Market_currency</f>
        <v>HKD</v>
      </c>
    </row>
    <row r="92" spans="1:6">
      <c r="B92" s="381" t="s">
        <v>489</v>
      </c>
      <c r="C92" s="396">
        <f>DCF!F8</f>
        <v>1.7165164820286594</v>
      </c>
      <c r="D92" s="352" t="str">
        <f>Market_currency</f>
        <v>HKD</v>
      </c>
    </row>
    <row r="94" spans="1:6" ht="13.9">
      <c r="A94" s="354" t="s">
        <v>491</v>
      </c>
      <c r="B94" s="354"/>
      <c r="C94" s="354"/>
      <c r="D94" s="354"/>
      <c r="E94" s="354"/>
      <c r="F94" s="354"/>
    </row>
    <row r="95" spans="1:6">
      <c r="A95" s="394"/>
    </row>
    <row r="96" spans="1:6">
      <c r="A96" s="394"/>
      <c r="B96" s="466" t="s">
        <v>522</v>
      </c>
      <c r="C96" s="466"/>
      <c r="D96" s="466"/>
      <c r="E96" s="466"/>
      <c r="F96" s="466"/>
    </row>
    <row r="97" spans="1:6">
      <c r="A97" s="394"/>
      <c r="B97" s="467" t="s">
        <v>523</v>
      </c>
      <c r="C97" s="467"/>
      <c r="D97" s="467"/>
      <c r="E97" s="467"/>
      <c r="F97" s="467"/>
    </row>
    <row r="98" spans="1:6">
      <c r="A98" s="394"/>
      <c r="B98" s="467" t="s">
        <v>524</v>
      </c>
      <c r="C98" s="467"/>
      <c r="D98" s="467"/>
      <c r="E98" s="467"/>
      <c r="F98" s="467"/>
    </row>
    <row r="99" spans="1:6">
      <c r="A99" s="394"/>
    </row>
    <row r="100" spans="1:6">
      <c r="A100" s="394"/>
      <c r="B100" s="378" t="s">
        <v>376</v>
      </c>
    </row>
    <row r="101" spans="1:6">
      <c r="A101" s="394"/>
      <c r="B101" s="381" t="s">
        <v>212</v>
      </c>
      <c r="C101" s="377">
        <f>E25+C103</f>
        <v>7.2499999999999995E-2</v>
      </c>
    </row>
    <row r="102" spans="1:6">
      <c r="A102" s="394"/>
      <c r="B102" s="391" t="s">
        <v>321</v>
      </c>
      <c r="C102" s="392">
        <f>E25</f>
        <v>7.2499999999999995E-2</v>
      </c>
    </row>
    <row r="103" spans="1:6">
      <c r="A103" s="394"/>
      <c r="B103" s="391" t="s">
        <v>320</v>
      </c>
      <c r="C103" s="392">
        <f>IF(C15="Y",1%,0)+IF(C16="Y",1%,0)</f>
        <v>0</v>
      </c>
    </row>
    <row r="104" spans="1:6">
      <c r="A104" s="394"/>
      <c r="B104" s="381" t="s">
        <v>543</v>
      </c>
      <c r="C104" s="377">
        <v>0</v>
      </c>
    </row>
    <row r="105" spans="1:6">
      <c r="A105" s="394"/>
      <c r="C105" s="401"/>
    </row>
    <row r="106" spans="1:6">
      <c r="A106" s="394"/>
      <c r="B106" s="402" t="s">
        <v>380</v>
      </c>
      <c r="C106" s="401"/>
    </row>
    <row r="107" spans="1:6">
      <c r="A107" s="394"/>
      <c r="B107" s="466" t="s">
        <v>525</v>
      </c>
      <c r="C107" s="466"/>
      <c r="D107" s="466"/>
      <c r="E107" s="466"/>
      <c r="F107" s="466"/>
    </row>
    <row r="108" spans="1:6">
      <c r="A108" s="394"/>
      <c r="B108" s="466" t="s">
        <v>544</v>
      </c>
      <c r="C108" s="466"/>
      <c r="D108" s="466"/>
      <c r="E108" s="466"/>
      <c r="F108" s="466"/>
    </row>
    <row r="109" spans="1:6">
      <c r="A109" s="394"/>
    </row>
    <row r="110" spans="1:6">
      <c r="A110" s="394"/>
      <c r="B110" s="378" t="s">
        <v>498</v>
      </c>
    </row>
    <row r="111" spans="1:6">
      <c r="A111" s="394"/>
      <c r="B111" s="384" t="s">
        <v>495</v>
      </c>
      <c r="C111" s="403">
        <f>BS!D47</f>
        <v>1.2423523346862815</v>
      </c>
      <c r="D111" s="352" t="str">
        <f>Market_currency</f>
        <v>HKD</v>
      </c>
    </row>
    <row r="112" spans="1:6">
      <c r="A112" s="394"/>
      <c r="B112" s="381" t="s">
        <v>382</v>
      </c>
      <c r="C112" s="403">
        <f>DCF!C11</f>
        <v>6.0262286168881865</v>
      </c>
      <c r="D112" s="352" t="str">
        <f>Market_currency</f>
        <v>HKD</v>
      </c>
    </row>
    <row r="113" spans="1:6">
      <c r="A113" s="394"/>
    </row>
    <row r="114" spans="1:6">
      <c r="A114" s="394"/>
      <c r="B114" s="466" t="s">
        <v>526</v>
      </c>
      <c r="C114" s="466"/>
      <c r="D114" s="466"/>
      <c r="E114" s="466"/>
      <c r="F114" s="466"/>
    </row>
    <row r="115" spans="1:6">
      <c r="A115" s="394"/>
    </row>
    <row r="116" spans="1:6">
      <c r="A116" s="394"/>
      <c r="B116" s="378" t="s">
        <v>499</v>
      </c>
    </row>
    <row r="117" spans="1:6">
      <c r="A117" s="394"/>
      <c r="B117" s="351" t="s">
        <v>383</v>
      </c>
      <c r="C117" s="351" t="s">
        <v>384</v>
      </c>
      <c r="D117" s="351" t="s">
        <v>99</v>
      </c>
      <c r="E117" s="351" t="s">
        <v>385</v>
      </c>
      <c r="F117" s="351" t="s">
        <v>386</v>
      </c>
    </row>
    <row r="118" spans="1:6">
      <c r="A118" s="394"/>
      <c r="B118" s="404" t="str">
        <f>DCF!B74</f>
        <v>Snowball Scenario</v>
      </c>
      <c r="C118" s="405">
        <f>DCF!C74</f>
        <v>0.08</v>
      </c>
      <c r="D118" s="406">
        <f>DCF!D74</f>
        <v>5</v>
      </c>
      <c r="E118" s="407" t="str">
        <f>ROUND(DCF!E74,2)&amp;" "&amp;Market_currency</f>
        <v>7.91 HKD</v>
      </c>
      <c r="F118" s="408">
        <f>DCF!F74</f>
        <v>0.05</v>
      </c>
    </row>
    <row r="119" spans="1:6">
      <c r="A119" s="394"/>
      <c r="B119" s="409" t="str">
        <f>DCF!B75</f>
        <v>Optimistic</v>
      </c>
      <c r="C119" s="410">
        <f>DCF!C75</f>
        <v>0.03</v>
      </c>
      <c r="D119" s="411">
        <f>DCF!D75</f>
        <v>5</v>
      </c>
      <c r="E119" s="407" t="str">
        <f>ROUND(DCF!E75,2)&amp;" "&amp;Market_currency</f>
        <v>6.72 HKD</v>
      </c>
      <c r="F119" s="412">
        <f>DCF!F75</f>
        <v>0.18</v>
      </c>
    </row>
    <row r="120" spans="1:6">
      <c r="B120" s="409" t="str">
        <f>DCF!B76</f>
        <v>Base</v>
      </c>
      <c r="C120" s="410">
        <f>DCF!C76</f>
        <v>0.02</v>
      </c>
      <c r="D120" s="411">
        <f>DCF!D76</f>
        <v>5</v>
      </c>
      <c r="E120" s="407" t="str">
        <f>ROUND(DCF!E76,2)&amp;" "&amp;Market_currency</f>
        <v>6.51 HKD</v>
      </c>
      <c r="F120" s="412">
        <f>DCF!F76</f>
        <v>0.53999999999999992</v>
      </c>
    </row>
    <row r="121" spans="1:6">
      <c r="B121" s="409" t="str">
        <f>DCF!B77</f>
        <v>Pessimistic</v>
      </c>
      <c r="C121" s="410">
        <f>DCF!C77</f>
        <v>0.01</v>
      </c>
      <c r="D121" s="411">
        <f>DCF!D77</f>
        <v>5</v>
      </c>
      <c r="E121" s="407" t="str">
        <f>ROUND(DCF!E77,2)&amp;" "&amp;Market_currency</f>
        <v>6.3 HKD</v>
      </c>
      <c r="F121" s="412">
        <f>DCF!F77</f>
        <v>0.18</v>
      </c>
    </row>
    <row r="122" spans="1:6">
      <c r="B122" s="409" t="str">
        <f>DCF!B78</f>
        <v>Devil's advocate</v>
      </c>
      <c r="C122" s="410">
        <f>DCF!C78</f>
        <v>-0.1</v>
      </c>
      <c r="D122" s="411">
        <f>DCF!D78</f>
        <v>5</v>
      </c>
      <c r="E122" s="407" t="str">
        <f>ROUND(DCF!E78,2)&amp;" "&amp;Market_currency</f>
        <v>4.49 HKD</v>
      </c>
      <c r="F122" s="412">
        <f>DCF!F78</f>
        <v>0.05</v>
      </c>
    </row>
    <row r="124" spans="1:6">
      <c r="B124" s="465" t="s">
        <v>527</v>
      </c>
      <c r="C124" s="465"/>
      <c r="D124" s="465"/>
      <c r="E124" s="465"/>
      <c r="F124" s="465"/>
    </row>
    <row r="125" spans="1:6">
      <c r="B125" s="381" t="s">
        <v>218</v>
      </c>
      <c r="C125" s="413">
        <f>Scenarios!C36</f>
        <v>6.4792427673148829</v>
      </c>
      <c r="D125" s="352" t="str">
        <f>Market_currency</f>
        <v>HKD</v>
      </c>
    </row>
    <row r="127" spans="1:6">
      <c r="B127" s="470" t="s">
        <v>528</v>
      </c>
      <c r="C127" s="470"/>
      <c r="D127" s="470"/>
      <c r="E127" s="470"/>
      <c r="F127" s="470"/>
    </row>
    <row r="129" spans="1:6" ht="13.9">
      <c r="A129" s="354" t="s">
        <v>501</v>
      </c>
      <c r="B129" s="354"/>
      <c r="C129" s="354"/>
      <c r="D129" s="354"/>
      <c r="E129" s="354"/>
      <c r="F129" s="354"/>
    </row>
    <row r="131" spans="1:6">
      <c r="B131" s="471" t="s">
        <v>529</v>
      </c>
      <c r="C131" s="471"/>
      <c r="D131" s="471"/>
      <c r="E131" s="471"/>
      <c r="F131" s="471"/>
    </row>
    <row r="132" spans="1:6" ht="24.5" customHeight="1">
      <c r="B132" s="466" t="s">
        <v>530</v>
      </c>
      <c r="C132" s="466"/>
      <c r="D132" s="466"/>
      <c r="E132" s="466"/>
      <c r="F132" s="466"/>
    </row>
    <row r="134" spans="1:6">
      <c r="B134" s="378" t="s">
        <v>376</v>
      </c>
    </row>
    <row r="135" spans="1:6">
      <c r="B135" s="352" t="s">
        <v>387</v>
      </c>
      <c r="C135" s="414">
        <f>E21</f>
        <v>2</v>
      </c>
    </row>
    <row r="136" spans="1:6">
      <c r="B136" s="352" t="s">
        <v>388</v>
      </c>
      <c r="C136" s="415">
        <f>Scenarios!C58</f>
        <v>0.24179999999999999</v>
      </c>
      <c r="D136" s="352" t="str">
        <f>Market_currency</f>
        <v>HKD</v>
      </c>
    </row>
    <row r="138" spans="1:6">
      <c r="B138" s="378" t="s">
        <v>502</v>
      </c>
      <c r="C138" s="416"/>
      <c r="D138" s="416"/>
    </row>
    <row r="139" spans="1:6">
      <c r="B139" s="349" t="s">
        <v>471</v>
      </c>
      <c r="C139" s="349" t="str">
        <f>"PV("&amp;Holding_Period&amp;" yrs of Dividends)"</f>
        <v>PV(2 yrs of Dividends)</v>
      </c>
      <c r="D139" s="349" t="s">
        <v>480</v>
      </c>
      <c r="E139" s="350" t="str">
        <f>"Buy below ("&amp;Market_currency&amp;")"</f>
        <v>Buy below (HKD)</v>
      </c>
      <c r="F139" s="350" t="s">
        <v>504</v>
      </c>
    </row>
    <row r="140" spans="1:6">
      <c r="B140" s="417" t="s">
        <v>315</v>
      </c>
      <c r="C140" s="418">
        <f>Scenarios!C62</f>
        <v>0.31178600823045277</v>
      </c>
      <c r="D140" s="418">
        <f>Scenarios!D62</f>
        <v>3.5551400643703057</v>
      </c>
      <c r="E140" s="419">
        <f>Scenarios!E62</f>
        <v>3.8669260726007586</v>
      </c>
      <c r="F140" s="420">
        <f>E22</f>
        <v>0.35</v>
      </c>
    </row>
    <row r="141" spans="1:6">
      <c r="B141" s="417" t="s">
        <v>316</v>
      </c>
      <c r="C141" s="418">
        <f>Scenarios!C63</f>
        <v>0.34819199999999995</v>
      </c>
      <c r="D141" s="418">
        <f>Scenarios!D63</f>
        <v>4.146715371081525</v>
      </c>
      <c r="E141" s="419">
        <f>Scenarios!E63</f>
        <v>4.494907371081525</v>
      </c>
      <c r="F141" s="420">
        <f>Scenarios!F63</f>
        <v>0.25</v>
      </c>
    </row>
    <row r="143" spans="1:6">
      <c r="B143" s="349" t="s">
        <v>472</v>
      </c>
      <c r="C143" s="349" t="str">
        <f>"PV("&amp;Holding_Period&amp;" yrs of Dividends)"</f>
        <v>PV(2 yrs of Dividends)</v>
      </c>
      <c r="D143" s="349" t="s">
        <v>480</v>
      </c>
      <c r="E143" s="350" t="str">
        <f>"Sell above ("&amp;Market_currency&amp;")"</f>
        <v>Sell above (HKD)</v>
      </c>
      <c r="F143" s="350" t="s">
        <v>504</v>
      </c>
    </row>
    <row r="144" spans="1:6">
      <c r="B144" s="417" t="s">
        <v>318</v>
      </c>
      <c r="C144" s="418">
        <f>Scenarios!C66</f>
        <v>0.41005477282098601</v>
      </c>
      <c r="D144" s="418">
        <f>Scenarios!D66</f>
        <v>5.189277775479523</v>
      </c>
      <c r="E144" s="419">
        <f>Scenarios!E66</f>
        <v>5.5993325483005094</v>
      </c>
      <c r="F144" s="420">
        <f>E24</f>
        <v>0.1174</v>
      </c>
    </row>
    <row r="145" spans="1:6">
      <c r="B145" s="417" t="s">
        <v>317</v>
      </c>
      <c r="C145" s="418">
        <f>Scenarios!C67</f>
        <v>0.43566857385039198</v>
      </c>
      <c r="D145" s="418">
        <f>Scenarios!D67</f>
        <v>5.6328689953346336</v>
      </c>
      <c r="E145" s="419">
        <f>Scenarios!E67</f>
        <v>6.0685375691850254</v>
      </c>
      <c r="F145" s="420">
        <f>Scenarios!F67</f>
        <v>7.2499999999999995E-2</v>
      </c>
    </row>
    <row r="147" spans="1:6" ht="13.9">
      <c r="A147" s="354" t="s">
        <v>484</v>
      </c>
      <c r="B147" s="354"/>
      <c r="C147" s="354"/>
      <c r="D147" s="354"/>
      <c r="E147" s="354"/>
      <c r="F147" s="354"/>
    </row>
    <row r="149" spans="1:6">
      <c r="B149" s="472" t="s">
        <v>531</v>
      </c>
      <c r="C149" s="466"/>
      <c r="D149" s="466"/>
      <c r="E149" s="466"/>
      <c r="F149" s="466"/>
    </row>
    <row r="151" spans="1:6">
      <c r="B151" s="378" t="s">
        <v>389</v>
      </c>
    </row>
    <row r="152" spans="1:6">
      <c r="B152" s="468" t="s">
        <v>532</v>
      </c>
      <c r="C152" s="468"/>
      <c r="D152" s="468"/>
      <c r="E152" s="468"/>
      <c r="F152" s="468"/>
    </row>
    <row r="153" spans="1:6">
      <c r="B153" s="421" t="s">
        <v>390</v>
      </c>
    </row>
    <row r="154" spans="1:6">
      <c r="B154" s="421" t="s">
        <v>391</v>
      </c>
    </row>
    <row r="155" spans="1:6">
      <c r="B155" s="421" t="s">
        <v>392</v>
      </c>
    </row>
    <row r="157" spans="1:6">
      <c r="B157" s="352" t="s">
        <v>533</v>
      </c>
    </row>
    <row r="158" spans="1:6" ht="24.5" customHeight="1">
      <c r="B158" s="465" t="s">
        <v>448</v>
      </c>
      <c r="C158" s="465"/>
      <c r="D158" s="465"/>
      <c r="E158" s="465"/>
      <c r="F158" s="465"/>
    </row>
    <row r="160" spans="1:6">
      <c r="B160" s="352" t="s">
        <v>534</v>
      </c>
    </row>
    <row r="161" spans="2:6">
      <c r="B161" s="469" t="s">
        <v>393</v>
      </c>
      <c r="C161" s="469"/>
      <c r="D161" s="469"/>
      <c r="E161" s="469"/>
      <c r="F161" s="469"/>
    </row>
    <row r="162" spans="2:6">
      <c r="B162" s="469" t="s">
        <v>394</v>
      </c>
      <c r="C162" s="469"/>
      <c r="D162" s="469"/>
      <c r="E162" s="469"/>
      <c r="F162" s="469"/>
    </row>
    <row r="164" spans="2:6">
      <c r="B164" s="352" t="s">
        <v>535</v>
      </c>
    </row>
    <row r="165" spans="2:6">
      <c r="B165" s="421" t="s">
        <v>395</v>
      </c>
    </row>
    <row r="166" spans="2:6">
      <c r="B166" s="421" t="s">
        <v>396</v>
      </c>
    </row>
    <row r="167" spans="2:6">
      <c r="B167" s="421" t="s">
        <v>397</v>
      </c>
    </row>
  </sheetData>
  <mergeCells count="29">
    <mergeCell ref="B158:F158"/>
    <mergeCell ref="B161:F161"/>
    <mergeCell ref="B162:F162"/>
    <mergeCell ref="B124:F124"/>
    <mergeCell ref="B127:F127"/>
    <mergeCell ref="B131:F131"/>
    <mergeCell ref="B132:F132"/>
    <mergeCell ref="B149:F149"/>
    <mergeCell ref="B152:F152"/>
    <mergeCell ref="B114:F114"/>
    <mergeCell ref="B43:F43"/>
    <mergeCell ref="B51:F51"/>
    <mergeCell ref="B54:F54"/>
    <mergeCell ref="B57:F57"/>
    <mergeCell ref="B58:F58"/>
    <mergeCell ref="B73:F73"/>
    <mergeCell ref="B74:F74"/>
    <mergeCell ref="B107:F107"/>
    <mergeCell ref="B108:F108"/>
    <mergeCell ref="B96:F96"/>
    <mergeCell ref="B77:F77"/>
    <mergeCell ref="B97:F97"/>
    <mergeCell ref="B98:F98"/>
    <mergeCell ref="B40:F40"/>
    <mergeCell ref="B12:F12"/>
    <mergeCell ref="B29:F29"/>
    <mergeCell ref="B30:F30"/>
    <mergeCell ref="B33:F33"/>
    <mergeCell ref="B36:F36"/>
  </mergeCells>
  <dataValidations count="4">
    <dataValidation type="list" allowBlank="1" showInputMessage="1" showErrorMessage="1" sqref="F4" xr:uid="{42FF33A6-1E0C-4B43-92BC-7EAB9273C898}">
      <formula1>"INT,CN"</formula1>
    </dataValidation>
    <dataValidation type="list" allowBlank="1" showInputMessage="1" showErrorMessage="1" sqref="C15:C16" xr:uid="{B605A743-B0FC-4D89-AD54-945707F01FA1}">
      <formula1>"Y,N"</formula1>
    </dataValidation>
    <dataValidation type="list" allowBlank="1" showInputMessage="1" showErrorMessage="1" sqref="F5" xr:uid="{CF966412-2762-45A3-9589-2A9D9DD6B905}">
      <formula1>"Y, N"</formula1>
    </dataValidation>
    <dataValidation type="list" allowBlank="1" sqref="E17" xr:uid="{4F076B80-6574-480B-B48C-99BFFF6B4B13}">
      <formula1>"HKD,USD,CNY,EUR"</formula1>
    </dataValidation>
  </dataValidations>
  <pageMargins left="0.25" right="0.25" top="0.75" bottom="0.75" header="0.3" footer="0.3"/>
  <pageSetup paperSize="9" scale="85" fitToHeight="0"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11</vt:i4>
      </vt:variant>
    </vt:vector>
  </HeadingPairs>
  <TitlesOfParts>
    <vt:vector size="19" baseType="lpstr">
      <vt:lpstr>Thesis</vt:lpstr>
      <vt:lpstr>Data</vt:lpstr>
      <vt:lpstr>BS</vt:lpstr>
      <vt:lpstr>Normalized_FCF</vt:lpstr>
      <vt:lpstr>DCF</vt:lpstr>
      <vt:lpstr>Scenarios</vt:lpstr>
      <vt:lpstr>Breakdown</vt:lpstr>
      <vt:lpstr>投资主题</vt:lpstr>
      <vt:lpstr>Common_Shares</vt:lpstr>
      <vt:lpstr>dividend_tax_rate</vt:lpstr>
      <vt:lpstr>Equity_Cost</vt:lpstr>
      <vt:lpstr>Exchange_Rate</vt:lpstr>
      <vt:lpstr>FV_adjustments</vt:lpstr>
      <vt:lpstr>Holding_Period</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2025-09-30T13:21:48Z</cp:lastPrinted>
  <dcterms:created xsi:type="dcterms:W3CDTF">2022-08-10T03:52:42Z</dcterms:created>
  <dcterms:modified xsi:type="dcterms:W3CDTF">2025-10-02T02:30:17Z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