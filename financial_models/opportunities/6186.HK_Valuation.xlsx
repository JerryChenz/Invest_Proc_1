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1A4E534-1FAF-4DC7-9D31-138101331A47}" xr6:coauthVersionLast="47" xr6:coauthVersionMax="47" xr10:uidLastSave="{00000000-0000-0000-0000-000000000000}"/>
  <bookViews>
    <workbookView xWindow="368" yWindow="368" windowWidth="12689"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<sst xmlns="http://schemas.openxmlformats.org/spreadsheetml/2006/main" count="766" uniqueCount="555">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</sst>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3.89</v>
      </c>
      <c r="E8" s="32"/>
    </row>
    <row r="9" spans="1:9">
      <c r="B9" s="4" t="s">
        <v>346</v>
      </c>
      <c r="C9" s="48">
        <v>9065251704</v>
      </c>
    </row>
    <row r="10" spans="1:9">
      <c r="B10" s="4" t="s">
        <v>352</v>
      </c>
      <c r="C10" s="33">
        <f>Thesis!C8*Common_Shares/1000000</f>
        <v>35263.829128559999</v>
      </c>
      <c r="D10" s="1" t="s">
        <v>531</v>
      </c>
      <c r="E10" s="310">
        <f>Scenarios!F34</f>
        <v>0.23321922687563271</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1.0924664399999999</v>
      </c>
    </row>
    <row r="17" spans="1:6">
      <c r="B17" s="1" t="s">
        <v>535</v>
      </c>
      <c r="C17" s="423">
        <v>0</v>
      </c>
      <c r="D17" s="4" t="s">
        <v>274</v>
      </c>
      <c r="E17" s="227" t="s">
        <v>546</v>
      </c>
    </row>
    <row r="18" spans="1:6">
      <c r="B18" s="1" t="str">
        <f>"Expected Equity Value ("&amp;C7&amp;") :"</f>
        <v>Expected Equity Value (HKD) :</v>
      </c>
      <c r="C18" s="258">
        <f>C125</f>
        <v>6.3880296947053443</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3</v>
      </c>
    </row>
    <row r="22" spans="1:6">
      <c r="B22" s="1" t="s">
        <v>312</v>
      </c>
      <c r="C22" s="261">
        <f>E140</f>
        <v>3.6591560894679178</v>
      </c>
      <c r="D22" s="38" t="s">
        <v>409</v>
      </c>
      <c r="E22" s="79">
        <v>0.25992104989487319</v>
      </c>
    </row>
    <row r="23" spans="1:6">
      <c r="B23" s="1" t="s">
        <v>313</v>
      </c>
      <c r="C23" s="262">
        <f>E141</f>
        <v>4.3538511954983088</v>
      </c>
      <c r="D23" s="38" t="s">
        <v>410</v>
      </c>
      <c r="E23" s="451">
        <v>0.1856311014966876</v>
      </c>
    </row>
    <row r="24" spans="1:6">
      <c r="B24" s="1" t="s">
        <v>315</v>
      </c>
      <c r="C24" s="262">
        <f>E144</f>
        <v>5.1620541104191968</v>
      </c>
      <c r="D24" s="38" t="s">
        <v>411</v>
      </c>
      <c r="E24" s="451">
        <v>0.1174</v>
      </c>
    </row>
    <row r="25" spans="1:6">
      <c r="B25" s="1" t="s">
        <v>314</v>
      </c>
      <c r="C25" s="262">
        <f>E145</f>
        <v>5.8098270615809753</v>
      </c>
      <c r="D25" s="38" t="s">
        <v>412</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3585603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-12182</v>
      </c>
      <c r="D41" s="1" t="str">
        <f>Reporting_currency</f>
        <v>CNY</v>
      </c>
    </row>
    <row r="43" spans="2:6">
      <c r="B43" s="462" t="s">
        <v>205</v>
      </c>
      <c r="C43" s="462"/>
      <c r="D43" s="462"/>
      <c r="E43" s="462"/>
      <c r="F43" s="462"/>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2" t="s">
        <v>206</v>
      </c>
      <c r="C51" s="462"/>
      <c r="D51" s="462"/>
      <c r="E51" s="462"/>
      <c r="F51" s="462"/>
    </row>
    <row r="52" spans="2:6">
      <c r="B52" s="44" t="s">
        <v>204</v>
      </c>
      <c r="C52" s="292">
        <f>Normalized_FCF!C12</f>
        <v>-885995.0537155068</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8.0262134930095805E-2</v>
      </c>
      <c r="F62" s="263"/>
    </row>
    <row r="63" spans="2:6">
      <c r="B63" s="206" t="s">
        <v>332</v>
      </c>
      <c r="C63" s="89">
        <f>Normalized_FCF!C92</f>
        <v>6.2159383033419016E-2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-845013</v>
      </c>
      <c r="D78" s="1" t="str">
        <f>Reporting_currency</f>
        <v>CNY</v>
      </c>
    </row>
    <row r="79" spans="1:6">
      <c r="A79" s="191"/>
      <c r="B79" s="44" t="s">
        <v>234</v>
      </c>
      <c r="C79" s="203">
        <f>C78*scaling_factor*Exchange_Rate/Common_Shares</f>
        <v>-0.10183372442448399</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1.8165462055138843</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5.161504517801086E-4</v>
      </c>
      <c r="D90" s="1" t="str">
        <f>Market_currency</f>
        <v>HKD</v>
      </c>
    </row>
    <row r="91" spans="1:6">
      <c r="A91" s="191"/>
    </row>
    <row r="92" spans="1:6">
      <c r="A92" s="191"/>
      <c r="B92" s="44" t="s">
        <v>473</v>
      </c>
      <c r="C92" s="219">
        <f>DCF!F8</f>
        <v>1.7152286315411802</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1.2414202352415062</v>
      </c>
      <c r="D111" s="1" t="str">
        <f>Market_currency</f>
        <v>HKD</v>
      </c>
    </row>
    <row r="112" spans="2:6">
      <c r="B112" s="44" t="s">
        <v>323</v>
      </c>
      <c r="C112" s="219">
        <f>DCF!C11</f>
        <v>6.0217073195145971</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7.79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2" t="s">
        <v>357</v>
      </c>
      <c r="C124" s="462"/>
      <c r="D124" s="462"/>
      <c r="E124" s="462"/>
      <c r="F124" s="462"/>
    </row>
    <row r="125" spans="2:6">
      <c r="B125" s="193" t="s">
        <v>218</v>
      </c>
      <c r="C125" s="197">
        <f>Scenarios!C36</f>
        <v>6.3880296947053443</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0.46514124211524543</v>
      </c>
      <c r="D140" s="340">
        <f>Scenarios!D62</f>
        <v>3.1940148473526722</v>
      </c>
      <c r="E140" s="341">
        <f>Scenarios!E62</f>
        <v>3.6591560894679178</v>
      </c>
      <c r="F140" s="342">
        <f>E22</f>
        <v>0.25992104989487319</v>
      </c>
    </row>
    <row r="141" spans="1:6">
      <c r="B141" s="343" t="s">
        <v>313</v>
      </c>
      <c r="C141" s="340">
        <f>Scenarios!C63</f>
        <v>0.52103337867510235</v>
      </c>
      <c r="D141" s="340">
        <f>Scenarios!D63</f>
        <v>3.8328178168232068</v>
      </c>
      <c r="E141" s="341">
        <f>Scenarios!E63</f>
        <v>4.3538511954983088</v>
      </c>
      <c r="F141" s="342">
        <f>Scenarios!F63</f>
        <v>0.1856311014966876</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0.58336743585196538</v>
      </c>
      <c r="D144" s="340">
        <f>Scenarios!D66</f>
        <v>4.5786866745672317</v>
      </c>
      <c r="E144" s="341">
        <f>Scenarios!E66</f>
        <v>5.1620541104191968</v>
      </c>
      <c r="F144" s="342">
        <f>E24</f>
        <v>0.1174</v>
      </c>
    </row>
    <row r="145" spans="1:6">
      <c r="B145" s="343" t="s">
        <v>314</v>
      </c>
      <c r="C145" s="340">
        <f>Scenarios!C67</f>
        <v>0.63167232993043521</v>
      </c>
      <c r="D145" s="340">
        <f>Scenarios!D67</f>
        <v>5.1781547316505403</v>
      </c>
      <c r="E145" s="341">
        <f>Scenarios!E67</f>
        <v>5.8098270615809753</v>
      </c>
      <c r="F145" s="342">
        <f>Scenarios!F67</f>
        <v>7.2499999999999995E-2</v>
      </c>
    </row>
    <row r="147" spans="1:6" ht="13.9">
      <c r="A147" s="202" t="s">
        <v>479</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3.0863630220951315</v>
      </c>
      <c r="D47" s="134">
        <f>D46*H1/Common_Shares*Exchange_Rate</f>
        <v>1.2414202352415062</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923148.34386371996</v>
      </c>
      <c r="D86" s="203">
        <f>C86*scaling_factor/Common_Shares</f>
        <v>0.10183372442448399</v>
      </c>
      <c r="E86" s="217" t="str">
        <f>Market_currency</f>
        <v>HKD</v>
      </c>
    </row>
    <row r="87" spans="2:8" ht="15" customHeight="1">
      <c r="B87" s="215" t="s">
        <v>240</v>
      </c>
      <c r="C87" s="73">
        <f>DCF!F5*Exchange_Rate</f>
        <v>16467448.584929474</v>
      </c>
      <c r="D87" s="203">
        <f>C87*scaling_factor/Common_Shares</f>
        <v>1.8165462055138843</v>
      </c>
      <c r="E87" s="217" t="str">
        <f>Market_currency</f>
        <v>HKD</v>
      </c>
    </row>
    <row r="88" spans="2:8" ht="15" customHeight="1">
      <c r="B88" s="216" t="s">
        <v>159</v>
      </c>
      <c r="C88" s="73">
        <f>DCF!F6*Exchange_Rate</f>
        <v>4679.03376252</v>
      </c>
      <c r="D88" s="203">
        <f>C88*scaling_factor/Common_Shares</f>
        <v>5.1615045178010871E-4</v>
      </c>
      <c r="E88" s="217" t="str">
        <f>Market_currency</f>
        <v>HKD</v>
      </c>
    </row>
    <row r="89" spans="2:8" ht="15" customHeight="1">
      <c r="B89" s="77" t="s">
        <v>244</v>
      </c>
      <c r="C89" s="162">
        <f>SUM(C86:C88)</f>
        <v>17395275.96255571</v>
      </c>
      <c r="D89" s="219">
        <f>SUM(D86:D88)</f>
        <v>1.9188960803901485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6.2159383033419016E-2</v>
      </c>
      <c r="E92" s="241"/>
      <c r="G92" s="22">
        <f t="shared" ref="G92:Q92" si="38">IF(G$4="","",(G88*(1-dividend_tax_rate))/Market_Price)</f>
        <v>8.3907455012853474E-2</v>
      </c>
      <c r="H92" s="22">
        <f t="shared" si="38"/>
        <v>7.2827763496143949E-2</v>
      </c>
      <c r="I92" s="22">
        <f t="shared" si="38"/>
        <v>7.3316195372750637E-2</v>
      </c>
      <c r="J92" s="22">
        <f t="shared" si="38"/>
        <v>0.12097686375321337</v>
      </c>
      <c r="K92" s="22">
        <f t="shared" si="38"/>
        <v>7.6118251928020575E-2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0.31221970487807271</v>
      </c>
      <c r="D123" s="26"/>
      <c r="E123" s="238"/>
      <c r="F123" s="26"/>
      <c r="G123" s="159">
        <f t="shared" ref="G123:Q123" si="48">IF(G$4="","",G14*$C$3/Common_Shares*Exchange_Rate)</f>
        <v>0.35075477799259863</v>
      </c>
      <c r="H123" s="159">
        <f t="shared" si="48"/>
        <v>0.31510209352951746</v>
      </c>
      <c r="I123" s="159">
        <f t="shared" si="48"/>
        <v>0.49388729083885125</v>
      </c>
      <c r="J123" s="159">
        <f t="shared" si="48"/>
        <v>0.62958532945956902</v>
      </c>
      <c r="K123" s="159">
        <f t="shared" si="48"/>
        <v>0.54664538692396791</v>
      </c>
      <c r="L123" s="159">
        <f t="shared" si="48"/>
        <v>0.36485895727388179</v>
      </c>
      <c r="M123" s="159">
        <f t="shared" si="48"/>
        <v>0.21360590591360815</v>
      </c>
      <c r="N123" s="159">
        <f t="shared" si="48"/>
        <v>9.3826463014706388E-2</v>
      </c>
      <c r="O123" s="159">
        <f t="shared" si="48"/>
        <v>2.627317875190021E-2</v>
      </c>
      <c r="P123" s="159" t="str">
        <f t="shared" si="48"/>
        <v/>
      </c>
      <c r="Q123" s="159" t="str">
        <f t="shared" si="48"/>
        <v/>
      </c>
    </row>
    <row r="124" spans="1:17" ht="15.75" customHeight="1">
      <c r="A124" s="10"/>
      <c r="B124" s="26" t="s">
        <v>226</v>
      </c>
      <c r="C124" s="74">
        <f>C19*Exchange_Rate*$C$3/(Market_Price*Common_Shares)</f>
        <v>8.0262134930095805E-2</v>
      </c>
      <c r="D124" s="26"/>
      <c r="E124" s="238"/>
      <c r="F124" s="26"/>
      <c r="G124" s="74">
        <f t="shared" ref="G124" si="49">IF(G$4="","",G123/Market_Price)</f>
        <v>9.0168323391413521E-2</v>
      </c>
      <c r="H124" s="74">
        <f t="shared" ref="H124" si="50">IF(H$4="","",H123/Market_Price)</f>
        <v>8.1003108876482641E-2</v>
      </c>
      <c r="I124" s="74">
        <f t="shared" ref="I124" si="51">IF(I$4="","",I123/Market_Price)</f>
        <v>0.12696331384032164</v>
      </c>
      <c r="J124" s="74">
        <f t="shared" ref="J124" si="52">IF(J$4="","",J123/Market_Price)</f>
        <v>0.16184712839577609</v>
      </c>
      <c r="K124" s="74">
        <f t="shared" ref="K124" si="53">IF(K$4="","",K123/Market_Price)</f>
        <v>0.1405258064071897</v>
      </c>
      <c r="L124" s="74">
        <f t="shared" ref="L124" si="54">IF(L$4="","",L123/Market_Price)</f>
        <v>9.3794076420021022E-2</v>
      </c>
      <c r="M124" s="74">
        <f t="shared" ref="M124" si="55">IF(M$4="","",M123/Market_Price)</f>
        <v>5.4911543936660187E-2</v>
      </c>
      <c r="N124" s="74">
        <f t="shared" ref="N124" si="56">IF(N$4="","",N123/Market_Price)</f>
        <v>2.4119913371389815E-2</v>
      </c>
      <c r="O124" s="74">
        <f t="shared" ref="O124" si="57">IF(O$4="","",O123/Market_Price)</f>
        <v>6.7540305274807737E-3</v>
      </c>
      <c r="P124" s="74" t="str">
        <f t="shared" ref="P124" si="58">IF(P$4="","",P123/Market_Price)</f>
        <v/>
      </c>
      <c r="Q124" s="74" t="str">
        <f t="shared" ref="Q124" si="59">IF(Q$4="","",Q123/Market_Price)</f>
        <v/>
      </c>
    </row>
    <row r="125" spans="1:17" ht="15.75" customHeight="1">
      <c r="B125" s="2" t="s">
        <v>306</v>
      </c>
      <c r="C125" s="151"/>
      <c r="G125" s="22">
        <f>IF(G$4="","",(Data!C47*$C$3)/(Market_Price*Common_Shares))</f>
        <v>0.10362232605762449</v>
      </c>
      <c r="H125" s="22">
        <f>IF(H$4="","",(Data!D47*$C$3)/(Market_Price*Common_Shares))</f>
        <v>9.3306713459973087E-2</v>
      </c>
      <c r="I125" s="22">
        <f>IF(I$4="","",(Data!E47*$C$3)/(Market_Price*Common_Shares))</f>
        <v>0.14031675295274595</v>
      </c>
      <c r="J125" s="22">
        <f>IF(J$4="","",(Data!F47*$C$3)/(Market_Price*Common_Shares))</f>
        <v>0.19609033309430543</v>
      </c>
      <c r="K125" s="22">
        <f>IF(K$4="","",(Data!G47*$C$3)/(Market_Price*Common_Shares))</f>
        <v>0.2108855499749773</v>
      </c>
      <c r="L125" s="22">
        <f>IF(L$4="","",(Data!H47*$C$3)/(Market_Price*Common_Shares))</f>
        <v>0.11157543287927872</v>
      </c>
      <c r="M125" s="22">
        <f>IF(M$4="","",(Data!I47*$C$3)/(Market_Price*Common_Shares))</f>
        <v>6.3585097121061362E-2</v>
      </c>
      <c r="N125" s="22">
        <f>IF(N$4="","",(Data!J47*$C$3)/(Market_Price*Common_Shares))</f>
        <v>3.2901305067303051E-2</v>
      </c>
      <c r="O125" s="22">
        <f>IF(O$4="","",(Data!K47*$C$3)/(Market_Price*Common_Shares))</f>
        <v>1.1517524047638365E-2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1.7152286315411802</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1.0924664399999999</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54588292.53921897</v>
      </c>
      <c r="D10" t="str">
        <f>Market_currency</f>
        <v>HKD</v>
      </c>
      <c r="H10" s="315" t="s">
        <v>398</v>
      </c>
      <c r="I10" s="313">
        <f>Normalized_FCF!C41</f>
        <v>0.25</v>
      </c>
      <c r="N10" s="311"/>
      <c r="O10" s="311"/>
    </row>
    <row r="11" spans="2:15" ht="13.15">
      <c r="B11" s="136" t="s">
        <v>429</v>
      </c>
      <c r="C11" s="108">
        <f>(C10*scaling_factor)/Common_Shares</f>
        <v>6.0217073195145971</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6.3885567995514219</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6.0217073195145971</v>
      </c>
      <c r="C69" s="119">
        <f>C11</f>
        <v>6.0217073195145971</v>
      </c>
      <c r="D69" s="119">
        <f>C11</f>
        <v>6.0217073195145971</v>
      </c>
      <c r="E69" s="119">
        <f>C11</f>
        <v>6.0217073195145971</v>
      </c>
      <c r="F69" s="119">
        <f>C11</f>
        <v>6.0217073195145971</v>
      </c>
      <c r="G69" s="303"/>
      <c r="H69" s="303"/>
      <c r="I69" s="303"/>
      <c r="J69" s="303"/>
      <c r="K69" s="303"/>
      <c r="L69" s="303"/>
    </row>
    <row r="70" spans="1:21" ht="13.15">
      <c r="A70" s="131">
        <f>A56</f>
        <v>5</v>
      </c>
      <c r="B70" s="119">
        <f t="shared" ref="B70:F74" si="11">(B56+FV_adjustments)/Common_Shares*scaling_factor*Exchange_Rate</f>
        <v>4.4395471667803701</v>
      </c>
      <c r="C70" s="119">
        <f t="shared" si="11"/>
        <v>6.2156648001478816</v>
      </c>
      <c r="D70" s="119">
        <f t="shared" si="11"/>
        <v>6.4169129206362339</v>
      </c>
      <c r="E70" s="119">
        <f t="shared" si="11"/>
        <v>6.6256626593166397</v>
      </c>
      <c r="F70" s="119">
        <f t="shared" si="11"/>
        <v>7.7896083303829187</v>
      </c>
      <c r="G70" s="303"/>
      <c r="H70" s="303"/>
      <c r="I70" s="303"/>
      <c r="J70" s="303"/>
      <c r="K70" s="303"/>
      <c r="L70" s="303"/>
    </row>
    <row r="71" spans="1:21" ht="13.15">
      <c r="A71" s="131">
        <v>6</v>
      </c>
      <c r="B71" s="119">
        <f t="shared" si="11"/>
        <v>4.2581836216799456</v>
      </c>
      <c r="C71" s="119">
        <f t="shared" si="11"/>
        <v>6.2479456022990263</v>
      </c>
      <c r="D71" s="119">
        <f t="shared" si="11"/>
        <v>6.4847345631858717</v>
      </c>
      <c r="E71" s="119">
        <f t="shared" si="11"/>
        <v>6.7324807540471481</v>
      </c>
      <c r="F71" s="119">
        <f t="shared" si="11"/>
        <v>8.1506407596183514</v>
      </c>
      <c r="G71" s="303"/>
      <c r="H71" s="303"/>
      <c r="I71" s="303"/>
      <c r="J71" s="303"/>
      <c r="K71" s="303"/>
      <c r="L71" s="303"/>
    </row>
    <row r="72" spans="1:21" ht="13.15">
      <c r="A72" s="131">
        <f t="shared" ref="A72" si="12">A58</f>
        <v>7</v>
      </c>
      <c r="B72" s="119">
        <f t="shared" si="11"/>
        <v>4.1059904369802878</v>
      </c>
      <c r="C72" s="119">
        <f t="shared" si="11"/>
        <v>6.2783452388236531</v>
      </c>
      <c r="D72" s="119">
        <f t="shared" si="11"/>
        <v>6.549236265191122</v>
      </c>
      <c r="E72" s="119">
        <f t="shared" si="11"/>
        <v>6.8350659639048867</v>
      </c>
      <c r="F72" s="119">
        <f t="shared" si="11"/>
        <v>8.5141978911561313</v>
      </c>
      <c r="G72" s="303"/>
      <c r="H72" s="303"/>
      <c r="I72" s="303"/>
      <c r="J72" s="303"/>
      <c r="K72" s="303"/>
      <c r="L72" s="303"/>
    </row>
    <row r="73" spans="1:21" ht="13.15">
      <c r="A73" s="131">
        <v>8</v>
      </c>
      <c r="B73" s="119">
        <f t="shared" si="11"/>
        <v>3.978275876393162</v>
      </c>
      <c r="C73" s="119">
        <f t="shared" si="11"/>
        <v>6.3069733347582631</v>
      </c>
      <c r="D73" s="119">
        <f t="shared" si="11"/>
        <v>6.6105805412240866</v>
      </c>
      <c r="E73" s="119">
        <f t="shared" si="11"/>
        <v>6.933586025586445</v>
      </c>
      <c r="F73" s="119">
        <f t="shared" si="11"/>
        <v>8.8802973802571081</v>
      </c>
      <c r="G73" s="303"/>
      <c r="H73" s="303"/>
      <c r="I73" s="303"/>
      <c r="J73" s="303"/>
      <c r="K73" s="303"/>
      <c r="L73" s="303"/>
    </row>
    <row r="74" spans="1:21" ht="13.15">
      <c r="A74" s="131">
        <f t="shared" ref="A74" si="13">A60</f>
        <v>9</v>
      </c>
      <c r="B74" s="119">
        <f t="shared" si="11"/>
        <v>3.8711028185578127</v>
      </c>
      <c r="C74" s="119">
        <f t="shared" si="11"/>
        <v>6.3339331267339789</v>
      </c>
      <c r="D74" s="119">
        <f t="shared" si="11"/>
        <v>6.6689219505980954</v>
      </c>
      <c r="E74" s="119">
        <f t="shared" si="11"/>
        <v>7.0282020288796891</v>
      </c>
      <c r="F74" s="119">
        <f t="shared" si="11"/>
        <v>9.2489570056455079</v>
      </c>
      <c r="G74" s="303"/>
      <c r="H74" s="303"/>
      <c r="I74" s="303"/>
      <c r="J74" s="303"/>
      <c r="K74" s="303"/>
      <c r="L74" s="303"/>
    </row>
    <row r="75" spans="1:21" ht="13.15">
      <c r="A75" s="131">
        <f t="shared" ref="A75:A79" si="14">A61</f>
        <v>10</v>
      </c>
      <c r="B75" s="119">
        <f t="shared" ref="B75:F79" si="15">(B61+FV_adjustments)/Common_Shares*scaling_factor*Exchange_Rate</f>
        <v>3.7811673854092671</v>
      </c>
      <c r="C75" s="119">
        <f t="shared" si="15"/>
        <v>6.3593218352612286</v>
      </c>
      <c r="D75" s="119">
        <f t="shared" si="15"/>
        <v>6.724407486785962</v>
      </c>
      <c r="E75" s="119">
        <f t="shared" si="15"/>
        <v>7.1190686800610807</v>
      </c>
      <c r="F75" s="119">
        <f t="shared" si="15"/>
        <v>9.6201946703722871</v>
      </c>
      <c r="G75" s="303"/>
      <c r="H75" s="303"/>
      <c r="I75" s="303"/>
      <c r="J75" s="303"/>
      <c r="K75" s="303"/>
      <c r="L75" s="303"/>
    </row>
    <row r="76" spans="1:21" ht="13.15">
      <c r="A76" s="131">
        <f t="shared" si="14"/>
        <v>15</v>
      </c>
      <c r="B76" s="119">
        <f t="shared" si="15"/>
        <v>3.5071976891246246</v>
      </c>
      <c r="C76" s="119">
        <f t="shared" si="15"/>
        <v>6.4657232159668112</v>
      </c>
      <c r="D76" s="119">
        <f t="shared" si="15"/>
        <v>6.9636574061779379</v>
      </c>
      <c r="E76" s="119">
        <f t="shared" si="15"/>
        <v>7.5221605732243368</v>
      </c>
      <c r="F76" s="119">
        <f t="shared" si="15"/>
        <v>11.515689003796401</v>
      </c>
      <c r="G76" s="303"/>
      <c r="H76" s="303"/>
      <c r="I76" s="303"/>
      <c r="J76" s="303"/>
      <c r="K76" s="303"/>
      <c r="L76" s="303"/>
    </row>
    <row r="77" spans="1:21" ht="13.15">
      <c r="A77" s="132">
        <f t="shared" si="14"/>
        <v>20</v>
      </c>
      <c r="B77" s="119">
        <f t="shared" si="15"/>
        <v>3.3931914626181157</v>
      </c>
      <c r="C77" s="119">
        <f t="shared" si="15"/>
        <v>6.5445307300375415</v>
      </c>
      <c r="D77" s="119">
        <f t="shared" si="15"/>
        <v>7.1498087409667139</v>
      </c>
      <c r="E77" s="119">
        <f t="shared" si="15"/>
        <v>7.8514696361514353</v>
      </c>
      <c r="F77" s="119">
        <f t="shared" si="15"/>
        <v>13.478392805062493</v>
      </c>
      <c r="G77" s="303"/>
      <c r="H77" s="303"/>
      <c r="I77" s="303"/>
      <c r="J77" s="303"/>
      <c r="K77" s="303"/>
      <c r="L77" s="303"/>
    </row>
    <row r="78" spans="1:21" ht="13.15">
      <c r="A78" s="132">
        <f t="shared" si="14"/>
        <v>25</v>
      </c>
      <c r="B78" s="119">
        <f t="shared" si="15"/>
        <v>3.3457503774962434</v>
      </c>
      <c r="C78" s="119">
        <f t="shared" si="15"/>
        <v>6.6029005014899749</v>
      </c>
      <c r="D78" s="119">
        <f t="shared" si="15"/>
        <v>7.294646070616424</v>
      </c>
      <c r="E78" s="119">
        <f t="shared" si="15"/>
        <v>8.1205012410167807</v>
      </c>
      <c r="F78" s="119">
        <f t="shared" si="15"/>
        <v>15.5106891530793</v>
      </c>
      <c r="G78" s="303"/>
      <c r="H78" s="303"/>
      <c r="I78" s="303"/>
      <c r="J78" s="303"/>
      <c r="K78" s="303"/>
      <c r="L78" s="303"/>
    </row>
    <row r="79" spans="1:21" ht="13.15">
      <c r="A79" s="132">
        <f t="shared" si="14"/>
        <v>30</v>
      </c>
      <c r="B79" s="119">
        <f t="shared" si="15"/>
        <v>3.3260088543662572</v>
      </c>
      <c r="C79" s="119">
        <f t="shared" si="15"/>
        <v>6.6461328031249609</v>
      </c>
      <c r="D79" s="119">
        <f t="shared" si="15"/>
        <v>7.4073385317468388</v>
      </c>
      <c r="E79" s="119">
        <f t="shared" si="15"/>
        <v>8.3402887068492895</v>
      </c>
      <c r="F79" s="119">
        <f t="shared" si="15"/>
        <v>17.61504562474769</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7.7896083303829187</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6.6256626593166397</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6.4169129206362339</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6.2156648001478816</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4.4395471667803701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6.6256626593166397</v>
      </c>
      <c r="F22" s="335">
        <f>1-F23-F24</f>
        <v>0.2</v>
      </c>
      <c r="G22" s="335">
        <f>F22*(1-F$29-F$30)</f>
        <v>0.18</v>
      </c>
    </row>
    <row r="23" spans="2:7">
      <c r="B23" s="309" t="s">
        <v>441</v>
      </c>
      <c r="C23" s="331">
        <v>0.02</v>
      </c>
      <c r="D23" s="332">
        <f>C18</f>
        <v>5</v>
      </c>
      <c r="E23" s="333">
        <f>DCF!E84</f>
        <v>6.4169129206362339</v>
      </c>
      <c r="F23" s="334">
        <v>0.6</v>
      </c>
      <c r="G23" s="335">
        <f t="shared" ref="G23:G24" si="0">F23*(1-F$29-F$30)</f>
        <v>0.53999999999999992</v>
      </c>
    </row>
    <row r="24" spans="2:7">
      <c r="B24" s="309" t="s">
        <v>450</v>
      </c>
      <c r="C24" s="331">
        <v>0.01</v>
      </c>
      <c r="D24" s="332">
        <f>C18</f>
        <v>5</v>
      </c>
      <c r="E24" s="333">
        <f>DCF!E85</f>
        <v>6.2156648001478816</v>
      </c>
      <c r="F24" s="334">
        <v>0.2</v>
      </c>
      <c r="G24" s="335">
        <f t="shared" si="0"/>
        <v>0.18</v>
      </c>
    </row>
    <row r="25" spans="2:7">
      <c r="B25" s="141" t="s">
        <v>455</v>
      </c>
      <c r="C25" s="449">
        <f>E23*F23+E24*F24+E22*F22</f>
        <v>6.4184132442746442</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7.7896083303829187</v>
      </c>
      <c r="F29" s="334">
        <v>0.05</v>
      </c>
      <c r="G29" s="335">
        <f>F29</f>
        <v>0.05</v>
      </c>
    </row>
    <row r="30" spans="2:7">
      <c r="B30" s="322" t="s">
        <v>451</v>
      </c>
      <c r="C30" s="331">
        <v>-0.1</v>
      </c>
      <c r="D30" s="332">
        <f>C18</f>
        <v>5</v>
      </c>
      <c r="E30" s="333">
        <f>DCF!E86</f>
        <v>4.4395471667803701</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3</v>
      </c>
    </row>
    <row r="34" spans="2:7">
      <c r="B34" s="97" t="s">
        <v>233</v>
      </c>
      <c r="C34" s="146">
        <f>Market_Price</f>
        <v>3.89</v>
      </c>
      <c r="D34" t="str">
        <f>Market_currency</f>
        <v>HKD</v>
      </c>
      <c r="E34" s="97" t="s">
        <v>458</v>
      </c>
      <c r="F34" s="337">
        <f>RATE(Holding_Period,$C$33,-C34,$C$36)</f>
        <v>0.23321922687563271</v>
      </c>
    </row>
    <row r="35" spans="2:7">
      <c r="B35" s="97" t="s">
        <v>438</v>
      </c>
      <c r="C35" s="327">
        <f>DCF!C11</f>
        <v>6.0217073195145971</v>
      </c>
      <c r="D35" s="97" t="str">
        <f>Market_currency</f>
        <v>HKD</v>
      </c>
      <c r="E35" s="97" t="s">
        <v>458</v>
      </c>
      <c r="F35" s="337">
        <f>RATE(Holding_Period,$C$33,-C35,$C$36)</f>
        <v>5.9276719164918328E-2</v>
      </c>
    </row>
    <row r="36" spans="2:7">
      <c r="B36" s="97" t="s">
        <v>439</v>
      </c>
      <c r="C36" s="328">
        <f>E22*G22+E23*G23+E24*G24+E30*G30+E29*G29</f>
        <v>6.3880296947053443</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6.3885567995514219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0.30038934884423074</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0.46514124211524543</v>
      </c>
      <c r="D62" s="119">
        <f>C36/(1+F62)^Holding_Period</f>
        <v>3.1940148473526722</v>
      </c>
      <c r="E62" s="339">
        <f>C62+D62</f>
        <v>3.6591560894679178</v>
      </c>
      <c r="F62" s="308">
        <f>Thesis!E22</f>
        <v>0.25992104989487319</v>
      </c>
      <c r="G62" s="448">
        <f>(1-E62/C36)</f>
        <v>0.4271854915607588</v>
      </c>
    </row>
    <row r="63" spans="2:7" ht="13.15">
      <c r="B63" s="309" t="s">
        <v>313</v>
      </c>
      <c r="C63" s="119">
        <f>PV(F63, Holding_Period, -C58, 0)</f>
        <v>0.52103337867510235</v>
      </c>
      <c r="D63" s="119">
        <f>C36/(1+F63)^Holding_Period</f>
        <v>3.8328178168232068</v>
      </c>
      <c r="E63" s="339">
        <f>C63+D63</f>
        <v>4.3538511954983088</v>
      </c>
      <c r="F63" s="308">
        <f>Thesis!E23</f>
        <v>0.1856311014966876</v>
      </c>
      <c r="G63" s="448">
        <f>(1-E63/C36)</f>
        <v>0.31843598048597743</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0.58336743585196538</v>
      </c>
      <c r="D66" s="119">
        <f>C36/(1+F66)^Holding_Period</f>
        <v>4.5786866745672317</v>
      </c>
      <c r="E66" s="339">
        <f>C66+D66</f>
        <v>5.1620541104191968</v>
      </c>
      <c r="F66" s="308">
        <f>Thesis!E24</f>
        <v>0.1174</v>
      </c>
      <c r="G66" s="448">
        <f>(1-E66/C47)</f>
        <v>0.19198431314226483</v>
      </c>
    </row>
    <row r="67" spans="2:7" ht="13.15">
      <c r="B67" s="309" t="s">
        <v>314</v>
      </c>
      <c r="C67" s="119">
        <f>PV(F67, Holding_Period, -C58, 0)</f>
        <v>0.63167232993043521</v>
      </c>
      <c r="D67" s="119">
        <f>C36/(1+F67)^Holding_Period</f>
        <v>5.1781547316505403</v>
      </c>
      <c r="E67" s="339">
        <f>C67+D67</f>
        <v>5.8098270615809753</v>
      </c>
      <c r="F67" s="308">
        <f>Thesis!E25</f>
        <v>7.2499999999999995E-2</v>
      </c>
      <c r="G67" s="448">
        <f>(1-E67/C36)</f>
        <v>9.051345418816803E-2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3.89</v>
      </c>
    </row>
    <row r="9" spans="1:10">
      <c r="B9" s="358" t="s">
        <v>361</v>
      </c>
      <c r="C9" s="360">
        <f>Common_Shares</f>
        <v>9065251704</v>
      </c>
    </row>
    <row r="10" spans="1:10">
      <c r="B10" s="358" t="s">
        <v>367</v>
      </c>
      <c r="C10" s="364">
        <f>投资主题!C8*Common_Shares/1000000</f>
        <v>35263.829128559999</v>
      </c>
      <c r="D10" s="350" t="s">
        <v>532</v>
      </c>
      <c r="E10" s="367">
        <f>Scenarios!F34</f>
        <v>0.23321922687563271</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1.0924664399999999</v>
      </c>
    </row>
    <row r="17" spans="1:6">
      <c r="B17" s="350" t="s">
        <v>538</v>
      </c>
      <c r="C17" s="432">
        <f>Terminal_Growth</f>
        <v>0</v>
      </c>
      <c r="D17" s="358" t="s">
        <v>339</v>
      </c>
      <c r="E17" s="351" t="str">
        <f>Reporting_currency</f>
        <v>CNY</v>
      </c>
    </row>
    <row r="18" spans="1:6">
      <c r="B18" s="350" t="str">
        <f>"预期股权价值 ("&amp;C7&amp;") :"</f>
        <v>预期股权价值 (HKD) :</v>
      </c>
      <c r="C18" s="366">
        <f>C125</f>
        <v>6.3880296947053443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3.6591560894679178</v>
      </c>
      <c r="D22" s="372" t="s">
        <v>444</v>
      </c>
      <c r="E22" s="373">
        <f>Thesis!E22</f>
        <v>0.25992104989487319</v>
      </c>
    </row>
    <row r="23" spans="1:6">
      <c r="B23" s="350" t="s">
        <v>341</v>
      </c>
      <c r="C23" s="374">
        <f>E141</f>
        <v>4.3538511954983088</v>
      </c>
      <c r="D23" s="372" t="s">
        <v>445</v>
      </c>
      <c r="E23" s="375">
        <f>Thesis!E23</f>
        <v>0.1856311014966876</v>
      </c>
    </row>
    <row r="24" spans="1:6">
      <c r="B24" s="350" t="s">
        <v>343</v>
      </c>
      <c r="C24" s="374">
        <f>E144</f>
        <v>5.1620541104191968</v>
      </c>
      <c r="D24" s="372" t="s">
        <v>447</v>
      </c>
      <c r="E24" s="375">
        <f>Thesis!E24</f>
        <v>0.1174</v>
      </c>
    </row>
    <row r="25" spans="1:6">
      <c r="B25" s="350" t="s">
        <v>342</v>
      </c>
      <c r="C25" s="374">
        <f>E145</f>
        <v>5.8098270615809753</v>
      </c>
      <c r="D25" s="372" t="s">
        <v>446</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8.0262134930095805E-2</v>
      </c>
      <c r="F62" s="386"/>
    </row>
    <row r="63" spans="2:6">
      <c r="B63" s="384" t="s">
        <v>332</v>
      </c>
      <c r="C63" s="385">
        <f>Normalized_FCF!C92</f>
        <v>6.2159383033419016E-2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3" t="s">
        <v>513</v>
      </c>
      <c r="C73" s="473"/>
      <c r="D73" s="473"/>
      <c r="E73" s="473"/>
      <c r="F73" s="473"/>
    </row>
    <row r="74" spans="1:6">
      <c r="B74" s="476" t="s">
        <v>483</v>
      </c>
      <c r="C74" s="476"/>
      <c r="D74" s="476"/>
      <c r="E74" s="476"/>
      <c r="F74" s="476"/>
    </row>
    <row r="76" spans="1:6">
      <c r="B76" s="376" t="s">
        <v>371</v>
      </c>
    </row>
    <row r="77" spans="1:6">
      <c r="B77" s="473" t="s">
        <v>514</v>
      </c>
      <c r="C77" s="473"/>
      <c r="D77" s="473"/>
      <c r="E77" s="473"/>
      <c r="F77" s="473"/>
    </row>
    <row r="78" spans="1:6">
      <c r="B78" s="350" t="s">
        <v>215</v>
      </c>
      <c r="C78" s="380">
        <f>DCF!F4</f>
        <v>-845013</v>
      </c>
      <c r="D78" s="350" t="str">
        <f>Reporting_currency</f>
        <v>CNY</v>
      </c>
    </row>
    <row r="79" spans="1:6">
      <c r="B79" s="379" t="s">
        <v>234</v>
      </c>
      <c r="C79" s="394">
        <f>C78*scaling_factor*Exchange_Rate/Common_Shares</f>
        <v>-0.10183372442448399</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1.8165462055138843</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5.161504517801086E-4</v>
      </c>
      <c r="D90" s="350" t="str">
        <f>Market_currency</f>
        <v>HKD</v>
      </c>
    </row>
    <row r="92" spans="1:6">
      <c r="B92" s="379" t="s">
        <v>484</v>
      </c>
      <c r="C92" s="394">
        <f>DCF!F8</f>
        <v>1.7152286315411802</v>
      </c>
      <c r="D92" s="350" t="str">
        <f>Market_currency</f>
        <v>HKD</v>
      </c>
    </row>
    <row r="94" spans="1:6" ht="13.9">
      <c r="A94" s="352" t="s">
        <v>486</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493</v>
      </c>
    </row>
    <row r="111" spans="1:6">
      <c r="A111" s="392"/>
      <c r="B111" s="382" t="s">
        <v>490</v>
      </c>
      <c r="C111" s="401">
        <f>BS!D47</f>
        <v>1.2414202352415062</v>
      </c>
      <c r="D111" s="350" t="str">
        <f>Market_currency</f>
        <v>HKD</v>
      </c>
    </row>
    <row r="112" spans="1:6">
      <c r="A112" s="392"/>
      <c r="B112" s="379" t="s">
        <v>377</v>
      </c>
      <c r="C112" s="401">
        <f>DCF!C11</f>
        <v>6.0217073195145971</v>
      </c>
      <c r="D112" s="350" t="str">
        <f>Market_currency</f>
        <v>HKD</v>
      </c>
    </row>
    <row r="113" spans="1:6">
      <c r="A113" s="392"/>
    </row>
    <row r="114" spans="1:6">
      <c r="A114" s="392"/>
      <c r="B114" s="473" t="s">
        <v>521</v>
      </c>
      <c r="C114" s="473"/>
      <c r="D114" s="473"/>
      <c r="E114" s="473"/>
      <c r="F114" s="473"/>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7.79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6.3880296947053443</v>
      </c>
      <c r="D125" s="350" t="str">
        <f>Market_currency</f>
        <v>HKD</v>
      </c>
    </row>
    <row r="127" spans="1:6">
      <c r="B127" s="471" t="s">
        <v>523</v>
      </c>
      <c r="C127" s="471"/>
      <c r="D127" s="471"/>
      <c r="E127" s="471"/>
      <c r="F127" s="471"/>
    </row>
    <row r="129" spans="1:6" ht="13.9">
      <c r="A129" s="352" t="s">
        <v>496</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0.46514124211524543</v>
      </c>
      <c r="D140" s="416">
        <f>Scenarios!D62</f>
        <v>3.1940148473526722</v>
      </c>
      <c r="E140" s="417">
        <f>Scenarios!E62</f>
        <v>3.6591560894679178</v>
      </c>
      <c r="F140" s="418">
        <f>E22</f>
        <v>0.25992104989487319</v>
      </c>
    </row>
    <row r="141" spans="1:6">
      <c r="B141" s="415" t="s">
        <v>313</v>
      </c>
      <c r="C141" s="416">
        <f>Scenarios!C63</f>
        <v>0.52103337867510235</v>
      </c>
      <c r="D141" s="416">
        <f>Scenarios!D63</f>
        <v>3.8328178168232068</v>
      </c>
      <c r="E141" s="417">
        <f>Scenarios!E63</f>
        <v>4.3538511954983088</v>
      </c>
      <c r="F141" s="418">
        <f>Scenarios!F63</f>
        <v>0.1856311014966876</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0.58336743585196538</v>
      </c>
      <c r="D144" s="416">
        <f>Scenarios!D66</f>
        <v>4.5786866745672317</v>
      </c>
      <c r="E144" s="417">
        <f>Scenarios!E66</f>
        <v>5.1620541104191968</v>
      </c>
      <c r="F144" s="418">
        <f>E24</f>
        <v>0.1174</v>
      </c>
    </row>
    <row r="145" spans="1:6">
      <c r="B145" s="415" t="s">
        <v>314</v>
      </c>
      <c r="C145" s="416">
        <f>Scenarios!C67</f>
        <v>0.63167232993043521</v>
      </c>
      <c r="D145" s="416">
        <f>Scenarios!D67</f>
        <v>5.1781547316505403</v>
      </c>
      <c r="E145" s="417">
        <f>Scenarios!E67</f>
        <v>5.8098270615809753</v>
      </c>
      <c r="F145" s="418">
        <f>Scenarios!F67</f>
        <v>7.2499999999999995E-2</v>
      </c>
    </row>
    <row r="147" spans="1:6" ht="13.9">
      <c r="A147" s="352" t="s">
        <v>479</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2025-10-06T04:21:37Z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