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96DCE9-15A4-4115-9881-A1761A05DB3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62"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<sst xmlns="http://schemas.openxmlformats.org/spreadsheetml/2006/main" count="766" uniqueCount="556">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</sst>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4.09</v>
      </c>
      <c r="E8" s="32"/>
    </row>
    <row r="9" spans="1:9">
      <c r="B9" s="4" t="s">
        <v>346</v>
      </c>
      <c r="C9" s="48">
        <v>9065251704</v>
      </c>
    </row>
    <row r="10" spans="1:9">
      <c r="B10" s="4" t="s">
        <v>352</v>
      </c>
      <c r="C10" s="33">
        <f>Thesis!C8*Common_Shares/1000000</f>
        <v>37076.879469359999</v>
      </c>
      <c r="D10" s="1" t="s">
        <v>530</v>
      </c>
      <c r="E10" s="307">
        <f>Scenarios!F34</f>
        <v>0.21689041384271771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1.1164044342041017</v>
      </c>
    </row>
    <row r="17" spans="1:6">
      <c r="B17" s="1" t="s">
        <v>534</v>
      </c>
      <c r="C17" s="420">
        <v>0</v>
      </c>
      <c r="D17" s="4" t="s">
        <v>274</v>
      </c>
      <c r="E17" s="224" t="s">
        <v>555</v>
      </c>
    </row>
    <row r="18" spans="1:6">
      <c r="B18" s="1" t="str">
        <f>"Expected Equity Value ("&amp;C7&amp;") :"</f>
        <v>Expected Equity Value (HKD) :</v>
      </c>
      <c r="C18" s="255">
        <f>C125</f>
        <v>6.4760666752188394</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3.4268206342457499</v>
      </c>
      <c r="D22" s="38" t="s">
        <v>408</v>
      </c>
      <c r="E22" s="79">
        <v>0.29465259038036606</v>
      </c>
    </row>
    <row r="23" spans="1:6">
      <c r="B23" s="1" t="s">
        <v>313</v>
      </c>
      <c r="C23" s="259">
        <f>E141</f>
        <v>4.2494364867060339</v>
      </c>
      <c r="D23" s="38" t="s">
        <v>409</v>
      </c>
      <c r="E23" s="448">
        <v>0.20075184365903009</v>
      </c>
    </row>
    <row r="24" spans="1:6">
      <c r="B24" s="1" t="s">
        <v>315</v>
      </c>
      <c r="C24" s="259">
        <f>E144</f>
        <v>5.2251555311718869</v>
      </c>
      <c r="D24" s="38" t="s">
        <v>410</v>
      </c>
      <c r="E24" s="448">
        <v>0.1174</v>
      </c>
    </row>
    <row r="25" spans="1:6">
      <c r="B25" s="1" t="s">
        <v>314</v>
      </c>
      <c r="C25" s="259">
        <f>E145</f>
        <v>5.8811900841392495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0.10730344213104163</v>
      </c>
      <c r="F62" s="260"/>
    </row>
    <row r="63" spans="2:6">
      <c r="B63" s="204" t="s">
        <v>332</v>
      </c>
      <c r="C63" s="89">
        <f>Normalized_FCF!C92</f>
        <v>5.9119804400977992E-2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-0.10406509283618129</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1.7982019739331927</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5.2746027885649627E-4</v>
      </c>
      <c r="D90" s="1" t="str">
        <f>Market_currency</f>
        <v>HKD</v>
      </c>
    </row>
    <row r="91" spans="1:6">
      <c r="A91" s="191"/>
    </row>
    <row r="92" spans="1:6">
      <c r="A92" s="191"/>
      <c r="B92" s="44" t="s">
        <v>472</v>
      </c>
      <c r="C92" s="216">
        <f>DCF!F8</f>
        <v>1.694664341375868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1.2686220872233995</v>
      </c>
      <c r="D111" s="1" t="str">
        <f>Market_currency</f>
        <v>HKD</v>
      </c>
    </row>
    <row r="112" spans="2:6">
      <c r="B112" s="44" t="s">
        <v>323</v>
      </c>
      <c r="C112" s="216">
        <f>DCF!C11</f>
        <v>7.7480585250442857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8.64 HKD</v>
      </c>
      <c r="E118" s="208">
        <f>DCF!F90</f>
        <v>0.05</v>
      </c>
      <c r="F118" s="208">
        <f>RATE(Holding_Period,Scenarios!C$58,-DCF!E90,C$18)</f>
        <v>-6.0950446819974753E-2</v>
      </c>
    </row>
    <row r="119" spans="2:6">
      <c r="B119" s="205" t="str">
        <f>DCF!B91&amp;" ("&amp;DCF!D91&amp;"yrs)"</f>
        <v>Optimistic (3yrs)</v>
      </c>
      <c r="C119" s="198">
        <f>DCF!C91</f>
        <v>0.02</v>
      </c>
      <c r="D119" s="207" t="str">
        <f>ROUND(DCF!E91,2)&amp;" "&amp;Market_currency</f>
        <v>8.1 HKD</v>
      </c>
      <c r="E119" s="199">
        <f>DCF!F91</f>
        <v>0.15999999999999995</v>
      </c>
      <c r="F119" s="208">
        <f>RATE(Holding_Period,Scenarios!C$58,-DCF!E91,C$18)</f>
        <v>-3.9562546207970999E-2</v>
      </c>
    </row>
    <row r="120" spans="2:6">
      <c r="B120" s="205" t="str">
        <f>DCF!B92&amp;" ("&amp;DCF!D92&amp;"yrs)"</f>
        <v>Base (3yrs)</v>
      </c>
      <c r="C120" s="198">
        <f>DCF!C92</f>
        <v>-0.05</v>
      </c>
      <c r="D120" s="207" t="str">
        <f>ROUND(DCF!E92,2)&amp;" "&amp;Market_currency</f>
        <v>6.93 HKD</v>
      </c>
      <c r="E120" s="199">
        <f>DCF!F92</f>
        <v>0.44</v>
      </c>
      <c r="F120" s="208">
        <f>RATE(Holding_Period,Scenarios!C$58,-DCF!E92,C$18)</f>
        <v>1.3184198585789651E-2</v>
      </c>
    </row>
    <row r="121" spans="2:6">
      <c r="B121" s="205" t="str">
        <f>DCF!B93&amp;" ("&amp;DCF!D93&amp;"yrs)"</f>
        <v>Pessimistic (3yrs)</v>
      </c>
      <c r="C121" s="198">
        <f>DCF!C93</f>
        <v>-0.15</v>
      </c>
      <c r="D121" s="207" t="str">
        <f>ROUND(DCF!E93,2)&amp;" "&amp;Market_currency</f>
        <v>5.53 HKD</v>
      </c>
      <c r="E121" s="199">
        <f>DCF!F93</f>
        <v>0.19999999999999998</v>
      </c>
      <c r="F121" s="208">
        <f>RATE(Holding_Period,Scenarios!C$58,-DCF!E93,C$18)</f>
        <v>9.5483184135252711E-2</v>
      </c>
    </row>
    <row r="122" spans="2:6">
      <c r="B122" s="205" t="str">
        <f>DCF!B94&amp;" ("&amp;DCF!D94&amp;"yrs)"</f>
        <v>Devil's advocate (3yrs)</v>
      </c>
      <c r="C122" s="198">
        <f>DCF!C94</f>
        <v>-0.3</v>
      </c>
      <c r="D122" s="207" t="str">
        <f>ROUND(DCF!E94,2)&amp;" "&amp;Market_currency</f>
        <v>3.94 HKD</v>
      </c>
      <c r="E122" s="199">
        <f>DCF!F94</f>
        <v>0.15</v>
      </c>
      <c r="F122" s="208">
        <f>RATE(Holding_Period,Scenarios!C$58,-DCF!E94,C$18)</f>
        <v>0.23262901604619493</v>
      </c>
    </row>
    <row r="124" spans="2:6">
      <c r="B124" s="459" t="s">
        <v>357</v>
      </c>
      <c r="C124" s="459"/>
      <c r="D124" s="459"/>
      <c r="E124" s="459"/>
      <c r="F124" s="459"/>
    </row>
    <row r="125" spans="2:6">
      <c r="B125" s="193" t="s">
        <v>218</v>
      </c>
      <c r="C125" s="197">
        <f>Scenarios!C36</f>
        <v>6.4760666752188394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2.9843625231423232</v>
      </c>
      <c r="E140" s="338">
        <f>Scenarios!E62</f>
        <v>3.4268206342457499</v>
      </c>
      <c r="F140" s="339">
        <f>E22</f>
        <v>0.29465259038036606</v>
      </c>
    </row>
    <row r="141" spans="1:6">
      <c r="B141" s="340" t="s">
        <v>313</v>
      </c>
      <c r="C141" s="337">
        <f>Scenarios!C63</f>
        <v>0.50874815444966315</v>
      </c>
      <c r="D141" s="337">
        <f>Scenarios!D63</f>
        <v>3.7406883322563709</v>
      </c>
      <c r="E141" s="338">
        <f>Scenarios!E63</f>
        <v>4.2494364867060339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4.6417880953199218</v>
      </c>
      <c r="E144" s="338">
        <f>Scenarios!E66</f>
        <v>5.2251555311718869</v>
      </c>
      <c r="F144" s="339">
        <f>E24</f>
        <v>0.1174</v>
      </c>
    </row>
    <row r="145" spans="1:6">
      <c r="B145" s="340" t="s">
        <v>314</v>
      </c>
      <c r="C145" s="337">
        <f>Scenarios!C67</f>
        <v>0.63167232993043521</v>
      </c>
      <c r="D145" s="337">
        <f>Scenarios!D67</f>
        <v>5.2495177542088145</v>
      </c>
      <c r="E145" s="338">
        <f>Scenarios!E67</f>
        <v>5.8811900841392495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3.1539910401555007</v>
      </c>
      <c r="D47" s="134">
        <f>D46*H1/Common_Shares*Exchange_Rate</f>
        <v>1.2686220872233995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-943376.26016011066</v>
      </c>
      <c r="D86" s="201">
        <f>C86*scaling_factor/Common_Shares</f>
        <v>-0.1040650928361813</v>
      </c>
      <c r="E86" s="214" t="str">
        <f>Market_currency</f>
        <v>HKD</v>
      </c>
    </row>
    <row r="87" spans="2:8" ht="15" customHeight="1">
      <c r="B87" s="212" t="s">
        <v>240</v>
      </c>
      <c r="C87" s="73">
        <f>DCF!F5*Exchange_Rate</f>
        <v>16301153.508334041</v>
      </c>
      <c r="D87" s="201">
        <f>C87*scaling_factor/Common_Shares</f>
        <v>1.7982019739331929</v>
      </c>
      <c r="E87" s="214" t="str">
        <f>Market_currency</f>
        <v>HKD</v>
      </c>
    </row>
    <row r="88" spans="2:8" ht="15" customHeight="1">
      <c r="B88" s="213" t="s">
        <v>159</v>
      </c>
      <c r="C88" s="73">
        <f>DCF!F6*Exchange_Rate</f>
        <v>4781.5601916961677</v>
      </c>
      <c r="D88" s="201">
        <f>C88*scaling_factor/Common_Shares</f>
        <v>5.2746027885649627E-4</v>
      </c>
      <c r="E88" s="214" t="str">
        <f>Market_currency</f>
        <v>HKD</v>
      </c>
    </row>
    <row r="89" spans="2:8" ht="15" customHeight="1">
      <c r="B89" s="77" t="s">
        <v>244</v>
      </c>
      <c r="C89" s="162">
        <f>SUM(C86:C88)</f>
        <v>15362558.808365626</v>
      </c>
      <c r="D89" s="216">
        <f>SUM(D86:D88)</f>
        <v>1.6946643413758682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5.9119804400977992E-2</v>
      </c>
      <c r="E92" s="238"/>
      <c r="G92" s="22">
        <f t="shared" ref="G92:Q92" si="38">IF(G$4="","",(G88*(1-dividend_tax_rate))/Market_Price)</f>
        <v>7.9804400977995113E-2</v>
      </c>
      <c r="H92" s="22">
        <f t="shared" si="38"/>
        <v>6.926650366748166E-2</v>
      </c>
      <c r="I92" s="22">
        <f t="shared" si="38"/>
        <v>6.9731051344743278E-2</v>
      </c>
      <c r="J92" s="22">
        <f t="shared" si="38"/>
        <v>0.11506112469437654</v>
      </c>
      <c r="K92" s="22">
        <f t="shared" si="38"/>
        <v>7.2396088019559907E-2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0.43887107831596034</v>
      </c>
      <c r="D123" s="26"/>
      <c r="E123" s="235"/>
      <c r="F123" s="26"/>
      <c r="G123" s="159">
        <f t="shared" ref="G123:Q123" si="48">IF(G$4="","",G14*$C$3/Common_Shares*Exchange_Rate)</f>
        <v>0.35946525955797121</v>
      </c>
      <c r="H123" s="159">
        <f t="shared" si="48"/>
        <v>0.32299207896509663</v>
      </c>
      <c r="I123" s="159">
        <f t="shared" si="48"/>
        <v>0.50470929019068489</v>
      </c>
      <c r="J123" s="159">
        <f t="shared" si="48"/>
        <v>0.6433807280327194</v>
      </c>
      <c r="K123" s="159">
        <f t="shared" si="48"/>
        <v>0.55862341537844828</v>
      </c>
      <c r="L123" s="159">
        <f t="shared" si="48"/>
        <v>0.37285370318528643</v>
      </c>
      <c r="M123" s="159">
        <f t="shared" si="48"/>
        <v>0.21828641302165427</v>
      </c>
      <c r="N123" s="159">
        <f t="shared" si="48"/>
        <v>9.5882377270376712E-2</v>
      </c>
      <c r="O123" s="159">
        <f t="shared" si="48"/>
        <v>2.6848873507966418E-2</v>
      </c>
      <c r="P123" s="159" t="str">
        <f t="shared" si="48"/>
        <v/>
      </c>
      <c r="Q123" s="159" t="str">
        <f t="shared" si="48"/>
        <v/>
      </c>
    </row>
    <row r="124" spans="1:17" ht="15.75" customHeight="1">
      <c r="A124" s="10"/>
      <c r="B124" s="26" t="s">
        <v>226</v>
      </c>
      <c r="C124" s="74">
        <f>C19*Exchange_Rate*$C$3/(Market_Price*Common_Shares)</f>
        <v>0.10730344213104163</v>
      </c>
      <c r="D124" s="26"/>
      <c r="E124" s="235"/>
      <c r="F124" s="26"/>
      <c r="G124" s="74">
        <f t="shared" ref="G124" si="49">IF(G$4="","",G123/Market_Price)</f>
        <v>8.7888816517841375E-2</v>
      </c>
      <c r="H124" s="74">
        <f t="shared" ref="H124" si="50">IF(H$4="","",H123/Market_Price)</f>
        <v>7.8971168451123869E-2</v>
      </c>
      <c r="I124" s="74">
        <f t="shared" ref="I124" si="51">IF(I$4="","",I123/Market_Price)</f>
        <v>0.12340080444760022</v>
      </c>
      <c r="J124" s="74">
        <f t="shared" ref="J124" si="52">IF(J$4="","",J123/Market_Price)</f>
        <v>0.15730580147499251</v>
      </c>
      <c r="K124" s="74">
        <f t="shared" ref="K124" si="53">IF(K$4="","",K123/Market_Price)</f>
        <v>0.13658274214631988</v>
      </c>
      <c r="L124" s="74">
        <f t="shared" ref="L124" si="54">IF(L$4="","",L123/Market_Price)</f>
        <v>9.1162274617429442E-2</v>
      </c>
      <c r="M124" s="74">
        <f t="shared" ref="M124" si="55">IF(M$4="","",M123/Market_Price)</f>
        <v>5.3370761129988821E-2</v>
      </c>
      <c r="N124" s="74">
        <f t="shared" ref="N124" si="56">IF(N$4="","",N123/Market_Price)</f>
        <v>2.3443124026986971E-2</v>
      </c>
      <c r="O124" s="74">
        <f t="shared" ref="O124" si="57">IF(O$4="","",O123/Market_Price)</f>
        <v>6.5645167501140389E-3</v>
      </c>
      <c r="P124" s="74" t="str">
        <f t="shared" ref="P124" si="58">IF(P$4="","",P123/Market_Price)</f>
        <v/>
      </c>
      <c r="Q124" s="74" t="str">
        <f t="shared" ref="Q124" si="59">IF(Q$4="","",Q123/Market_Price)</f>
        <v/>
      </c>
    </row>
    <row r="125" spans="1:17" ht="15.75" customHeight="1">
      <c r="B125" s="2" t="s">
        <v>306</v>
      </c>
      <c r="C125" s="151"/>
      <c r="G125" s="22">
        <f>IF(G$4="","",(Data!C47*$C$3)/(Market_Price*Common_Shares))</f>
        <v>9.855521964893868E-2</v>
      </c>
      <c r="H125" s="22">
        <f>IF(H$4="","",(Data!D47*$C$3)/(Market_Price*Common_Shares))</f>
        <v>8.8744037985157773E-2</v>
      </c>
      <c r="I125" s="22">
        <f>IF(I$4="","",(Data!E47*$C$3)/(Market_Price*Common_Shares))</f>
        <v>0.13345529804063122</v>
      </c>
      <c r="J125" s="22">
        <f>IF(J$4="","",(Data!F47*$C$3)/(Market_Price*Common_Shares))</f>
        <v>0.18650156374984059</v>
      </c>
      <c r="K125" s="22">
        <f>IF(K$4="","",(Data!G47*$C$3)/(Market_Price*Common_Shares))</f>
        <v>0.20057329814246005</v>
      </c>
      <c r="L125" s="22">
        <f>IF(L$4="","",(Data!H47*$C$3)/(Market_Price*Common_Shares))</f>
        <v>0.10611942149153893</v>
      </c>
      <c r="M125" s="22">
        <f>IF(M$4="","",(Data!I47*$C$3)/(Market_Price*Common_Shares))</f>
        <v>6.0475801418319965E-2</v>
      </c>
      <c r="N125" s="22">
        <f>IF(N$4="","",(Data!J47*$C$3)/(Market_Price*Common_Shares))</f>
        <v>3.1292439293840797E-2</v>
      </c>
      <c r="O125" s="22">
        <f>IF(O$4="","",(Data!K47*$C$3)/(Market_Price*Common_Shares))</f>
        <v>1.0954319937729396E-2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1.694664341375868</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70238100.746849447</v>
      </c>
      <c r="D10" t="str">
        <f>Market_currency</f>
        <v>HKD</v>
      </c>
      <c r="H10" s="312" t="s">
        <v>398</v>
      </c>
      <c r="I10" s="310">
        <f>Normalized_FCF!C41</f>
        <v>0.25</v>
      </c>
      <c r="N10" s="308"/>
      <c r="O10" s="308"/>
    </row>
    <row r="11" spans="2:15" ht="13.15">
      <c r="B11" s="136" t="s">
        <v>428</v>
      </c>
      <c r="C11" s="108">
        <f>(C10*scaling_factor)/Common_Shares</f>
        <v>7.7480585250442857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8.0719984192912602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7.7480585250442857</v>
      </c>
      <c r="C73" s="119">
        <f>C11</f>
        <v>7.7480585250442857</v>
      </c>
      <c r="D73" s="119">
        <f>C11</f>
        <v>7.7480585250442857</v>
      </c>
      <c r="E73" s="119">
        <f>C11</f>
        <v>7.7480585250442857</v>
      </c>
      <c r="F73" s="119">
        <f>C11</f>
        <v>7.7480585250442857</v>
      </c>
      <c r="G73" s="300"/>
      <c r="H73" s="300"/>
      <c r="I73" s="300"/>
      <c r="J73" s="300"/>
      <c r="K73" s="300"/>
      <c r="L73" s="300"/>
    </row>
    <row r="74" spans="1:21" ht="13.15">
      <c r="A74" s="131">
        <v>1</v>
      </c>
      <c r="B74" s="119">
        <f t="shared" ref="B74:F87" si="11">(B56+FV_adjustments)/Common_Shares*scaling_factor*Exchange_Rate</f>
        <v>5.9172149648922128</v>
      </c>
      <c r="C74" s="119">
        <f t="shared" si="11"/>
        <v>6.8326367449682506</v>
      </c>
      <c r="D74" s="119">
        <f t="shared" si="11"/>
        <v>7.4429179316856082</v>
      </c>
      <c r="E74" s="119">
        <f t="shared" si="11"/>
        <v>7.8701147623877601</v>
      </c>
      <c r="F74" s="119">
        <f t="shared" si="11"/>
        <v>8.0531991184029668</v>
      </c>
      <c r="G74" s="300"/>
      <c r="H74" s="300"/>
      <c r="I74" s="300"/>
      <c r="J74" s="300"/>
      <c r="K74" s="300"/>
      <c r="L74" s="300"/>
    </row>
    <row r="75" spans="1:21" ht="13.15">
      <c r="A75" s="131">
        <v>2</v>
      </c>
      <c r="B75" s="119">
        <f t="shared" si="11"/>
        <v>4.7222587950959865</v>
      </c>
      <c r="C75" s="119">
        <f t="shared" si="11"/>
        <v>6.1071276418776854</v>
      </c>
      <c r="D75" s="119">
        <f t="shared" si="11"/>
        <v>7.1726302266126529</v>
      </c>
      <c r="E75" s="119">
        <f t="shared" si="11"/>
        <v>7.9861962188822506</v>
      </c>
      <c r="F75" s="119">
        <f t="shared" si="11"/>
        <v>8.3519381608520238</v>
      </c>
      <c r="G75" s="300"/>
      <c r="H75" s="300"/>
      <c r="I75" s="300"/>
      <c r="J75" s="300"/>
      <c r="K75" s="300"/>
      <c r="L75" s="300"/>
    </row>
    <row r="76" spans="1:21" ht="13.15">
      <c r="A76" s="131">
        <v>3</v>
      </c>
      <c r="B76" s="119">
        <f t="shared" si="11"/>
        <v>3.9423340222686121</v>
      </c>
      <c r="C76" s="119">
        <f t="shared" si="11"/>
        <v>5.5321320823187285</v>
      </c>
      <c r="D76" s="119">
        <f t="shared" si="11"/>
        <v>6.9332145437974466</v>
      </c>
      <c r="E76" s="119">
        <f t="shared" si="11"/>
        <v>8.0965953663175725</v>
      </c>
      <c r="F76" s="119">
        <f t="shared" si="11"/>
        <v>8.6444099506622862</v>
      </c>
      <c r="G76" s="300"/>
      <c r="H76" s="300"/>
      <c r="I76" s="300"/>
      <c r="J76" s="300"/>
      <c r="K76" s="300"/>
      <c r="L76" s="300"/>
    </row>
    <row r="77" spans="1:21" ht="13.15">
      <c r="A77" s="131">
        <v>4</v>
      </c>
      <c r="B77" s="119">
        <f t="shared" si="11"/>
        <v>3.4332922124978311</v>
      </c>
      <c r="C77" s="119">
        <f t="shared" si="11"/>
        <v>5.0764246458384346</v>
      </c>
      <c r="D77" s="119">
        <f t="shared" si="11"/>
        <v>6.7211447082035569</v>
      </c>
      <c r="E77" s="119">
        <f t="shared" si="11"/>
        <v>8.2015903596826298</v>
      </c>
      <c r="F77" s="119">
        <f t="shared" si="11"/>
        <v>8.9307459686583535</v>
      </c>
      <c r="G77" s="300"/>
      <c r="H77" s="300"/>
      <c r="I77" s="300"/>
      <c r="J77" s="300"/>
      <c r="K77" s="300"/>
      <c r="L77" s="300"/>
    </row>
    <row r="78" spans="1:21" ht="13.15">
      <c r="A78" s="131">
        <v>5</v>
      </c>
      <c r="B78" s="119">
        <f t="shared" si="11"/>
        <v>3.1010504718548972</v>
      </c>
      <c r="C78" s="119">
        <f t="shared" si="11"/>
        <v>4.7152579129636116</v>
      </c>
      <c r="D78" s="119">
        <f t="shared" si="11"/>
        <v>6.5332973013837972</v>
      </c>
      <c r="E78" s="119">
        <f t="shared" si="11"/>
        <v>8.3014457379878621</v>
      </c>
      <c r="F78" s="119">
        <f t="shared" si="11"/>
        <v>9.2110749373258276</v>
      </c>
      <c r="G78" s="300"/>
      <c r="H78" s="300"/>
      <c r="I78" s="300"/>
      <c r="J78" s="300"/>
      <c r="K78" s="300"/>
      <c r="L78" s="300"/>
    </row>
    <row r="79" spans="1:21" ht="13.15">
      <c r="A79" s="131">
        <v>6</v>
      </c>
      <c r="B79" s="119">
        <f t="shared" si="11"/>
        <v>2.8842027157243124</v>
      </c>
      <c r="C79" s="119">
        <f t="shared" si="11"/>
        <v>4.4290185442516314</v>
      </c>
      <c r="D79" s="119">
        <f t="shared" si="11"/>
        <v>6.3669056589793458</v>
      </c>
      <c r="E79" s="119">
        <f t="shared" si="11"/>
        <v>8.3964130907816497</v>
      </c>
      <c r="F79" s="119">
        <f t="shared" si="11"/>
        <v>9.4855228786785997</v>
      </c>
      <c r="G79" s="300"/>
      <c r="H79" s="300"/>
      <c r="I79" s="300"/>
      <c r="J79" s="300"/>
      <c r="K79" s="300"/>
      <c r="L79" s="300"/>
    </row>
    <row r="80" spans="1:21" ht="13.15">
      <c r="A80" s="131">
        <f t="shared" ref="A80" si="12">A62</f>
        <v>7</v>
      </c>
      <c r="B80" s="119">
        <f t="shared" si="11"/>
        <v>2.7426703807206665</v>
      </c>
      <c r="C80" s="119">
        <f t="shared" si="11"/>
        <v>4.2021621681162609</v>
      </c>
      <c r="D80" s="119">
        <f t="shared" si="11"/>
        <v>6.2195191225837947</v>
      </c>
      <c r="E80" s="119">
        <f t="shared" si="11"/>
        <v>8.4867316920400775</v>
      </c>
      <c r="F80" s="119">
        <f t="shared" si="11"/>
        <v>9.7542131709120863</v>
      </c>
      <c r="G80" s="300"/>
      <c r="H80" s="300"/>
      <c r="I80" s="300"/>
      <c r="J80" s="300"/>
      <c r="K80" s="300"/>
      <c r="L80" s="300"/>
    </row>
    <row r="81" spans="1:12" ht="13.15">
      <c r="A81" s="131">
        <v>8</v>
      </c>
      <c r="B81" s="119">
        <f t="shared" si="11"/>
        <v>2.6502949639350697</v>
      </c>
      <c r="C81" s="119">
        <f t="shared" si="11"/>
        <v>4.0223692359810022</v>
      </c>
      <c r="D81" s="119">
        <f t="shared" si="11"/>
        <v>6.0889669458231674</v>
      </c>
      <c r="E81" s="119">
        <f t="shared" si="11"/>
        <v>8.5726291030271078</v>
      </c>
      <c r="F81" s="119">
        <f t="shared" si="11"/>
        <v>10.017266603867945</v>
      </c>
      <c r="G81" s="300"/>
      <c r="H81" s="300"/>
      <c r="I81" s="300"/>
      <c r="J81" s="300"/>
      <c r="K81" s="300"/>
      <c r="L81" s="300"/>
    </row>
    <row r="82" spans="1:12" ht="13.15">
      <c r="A82" s="131">
        <f t="shared" ref="A82" si="13">A64</f>
        <v>9</v>
      </c>
      <c r="B82" s="119">
        <f t="shared" si="11"/>
        <v>2.5900033166157996</v>
      </c>
      <c r="C82" s="119">
        <f t="shared" si="11"/>
        <v>3.8798760030532917</v>
      </c>
      <c r="D82" s="119">
        <f t="shared" si="11"/>
        <v>5.9733263230515146</v>
      </c>
      <c r="E82" s="119">
        <f t="shared" si="11"/>
        <v>8.6543217456441486</v>
      </c>
      <c r="F82" s="119">
        <f t="shared" si="11"/>
        <v>10.274801433335217</v>
      </c>
      <c r="G82" s="300"/>
      <c r="H82" s="300"/>
      <c r="I82" s="300"/>
      <c r="J82" s="300"/>
      <c r="K82" s="300"/>
      <c r="L82" s="300"/>
    </row>
    <row r="83" spans="1:12" ht="13.15">
      <c r="A83" s="131">
        <f t="shared" ref="A83:A87" si="14">A65</f>
        <v>10</v>
      </c>
      <c r="B83" s="119">
        <f t="shared" si="11"/>
        <v>2.5506521248922662</v>
      </c>
      <c r="C83" s="119">
        <f t="shared" si="11"/>
        <v>3.7669443032970644</v>
      </c>
      <c r="D83" s="119">
        <f t="shared" si="11"/>
        <v>5.8708940697805883</v>
      </c>
      <c r="E83" s="119">
        <f t="shared" si="11"/>
        <v>8.7320154477135041</v>
      </c>
      <c r="F83" s="119">
        <f t="shared" si="11"/>
        <v>10.526933434212269</v>
      </c>
      <c r="G83" s="300"/>
      <c r="H83" s="300"/>
      <c r="I83" s="300"/>
      <c r="J83" s="300"/>
      <c r="K83" s="300"/>
      <c r="L83" s="300"/>
    </row>
    <row r="84" spans="1:12" ht="13.15">
      <c r="A84" s="131">
        <f t="shared" si="14"/>
        <v>15</v>
      </c>
      <c r="B84" s="119">
        <f t="shared" si="11"/>
        <v>2.4854621495636717</v>
      </c>
      <c r="C84" s="119">
        <f t="shared" si="11"/>
        <v>3.4704201273599504</v>
      </c>
      <c r="D84" s="119">
        <f t="shared" si="11"/>
        <v>5.5096888940702664</v>
      </c>
      <c r="E84" s="119">
        <f t="shared" si="11"/>
        <v>9.0670254923928795</v>
      </c>
      <c r="F84" s="119">
        <f t="shared" si="11"/>
        <v>11.710435935819913</v>
      </c>
      <c r="G84" s="300"/>
      <c r="H84" s="300"/>
      <c r="I84" s="300"/>
      <c r="J84" s="300"/>
      <c r="K84" s="300"/>
      <c r="L84" s="300"/>
    </row>
    <row r="85" spans="1:12" ht="13.15">
      <c r="A85" s="132">
        <f t="shared" si="14"/>
        <v>20</v>
      </c>
      <c r="B85" s="119">
        <f t="shared" si="11"/>
        <v>2.4777409547112619</v>
      </c>
      <c r="C85" s="119">
        <f t="shared" si="11"/>
        <v>3.3777012356147376</v>
      </c>
      <c r="D85" s="119">
        <f t="shared" si="11"/>
        <v>5.312725514764054</v>
      </c>
      <c r="E85" s="119">
        <f t="shared" si="11"/>
        <v>9.3276841674018378</v>
      </c>
      <c r="F85" s="119">
        <f t="shared" si="11"/>
        <v>12.774895506986427</v>
      </c>
      <c r="G85" s="300"/>
      <c r="H85" s="300"/>
      <c r="I85" s="300"/>
      <c r="J85" s="300"/>
      <c r="K85" s="300"/>
      <c r="L85" s="300"/>
    </row>
    <row r="86" spans="1:12" ht="13.15">
      <c r="A86" s="132">
        <f t="shared" si="14"/>
        <v>25</v>
      </c>
      <c r="B86" s="119">
        <f t="shared" si="11"/>
        <v>2.4768264452387796</v>
      </c>
      <c r="C86" s="119">
        <f t="shared" si="11"/>
        <v>3.3487093570965976</v>
      </c>
      <c r="D86" s="119">
        <f t="shared" si="11"/>
        <v>5.2053223671999778</v>
      </c>
      <c r="E86" s="119">
        <f t="shared" si="11"/>
        <v>9.5304928471309864</v>
      </c>
      <c r="F86" s="119">
        <f t="shared" si="11"/>
        <v>13.732286114195835</v>
      </c>
      <c r="G86" s="300"/>
      <c r="H86" s="300"/>
      <c r="I86" s="300"/>
      <c r="J86" s="300"/>
      <c r="K86" s="300"/>
      <c r="L86" s="300"/>
    </row>
    <row r="87" spans="1:12" ht="13.15">
      <c r="A87" s="132">
        <f t="shared" si="14"/>
        <v>30</v>
      </c>
      <c r="B87" s="119">
        <f t="shared" si="11"/>
        <v>2.4767181294157439</v>
      </c>
      <c r="C87" s="119">
        <f t="shared" si="11"/>
        <v>3.3396440090948079</v>
      </c>
      <c r="D87" s="119">
        <f t="shared" si="11"/>
        <v>5.1467559669518552</v>
      </c>
      <c r="E87" s="119">
        <f t="shared" si="11"/>
        <v>9.6882906283560519</v>
      </c>
      <c r="F87" s="119">
        <f t="shared" si="11"/>
        <v>14.593377319161304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8.6444099506622862</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8.0965953663175725</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6.9332145437974466</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5.5321320823187285</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3.9423340222686121</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8.0965953663175725</v>
      </c>
      <c r="F22" s="332">
        <f>1-F23-F24</f>
        <v>0.19999999999999996</v>
      </c>
      <c r="G22" s="332">
        <f>F22*(1-F$29-F$30)</f>
        <v>0.15999999999999995</v>
      </c>
    </row>
    <row r="23" spans="2:7">
      <c r="B23" s="306" t="s">
        <v>440</v>
      </c>
      <c r="C23" s="328">
        <v>-0.05</v>
      </c>
      <c r="D23" s="329">
        <f>C18</f>
        <v>3</v>
      </c>
      <c r="E23" s="330">
        <f>DCF!E92</f>
        <v>6.9332145437974466</v>
      </c>
      <c r="F23" s="331">
        <v>0.55000000000000004</v>
      </c>
      <c r="G23" s="332">
        <f t="shared" ref="G23:G24" si="0">F23*(1-F$29-F$30)</f>
        <v>0.44</v>
      </c>
    </row>
    <row r="24" spans="2:7">
      <c r="B24" s="306" t="s">
        <v>449</v>
      </c>
      <c r="C24" s="328">
        <v>-0.15</v>
      </c>
      <c r="D24" s="329">
        <f>C18</f>
        <v>3</v>
      </c>
      <c r="E24" s="330">
        <f>DCF!E93</f>
        <v>5.5321320823187285</v>
      </c>
      <c r="F24" s="331">
        <v>0.25</v>
      </c>
      <c r="G24" s="332">
        <f t="shared" si="0"/>
        <v>0.19999999999999998</v>
      </c>
    </row>
    <row r="25" spans="2:7">
      <c r="B25" s="141" t="s">
        <v>454</v>
      </c>
      <c r="C25" s="446">
        <f>E23*F23+E24*F24+E22*F22</f>
        <v>6.8156200929317921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8.6444099506622862</v>
      </c>
      <c r="F29" s="331">
        <v>0.05</v>
      </c>
      <c r="G29" s="332">
        <f>F29</f>
        <v>0.05</v>
      </c>
    </row>
    <row r="30" spans="2:7">
      <c r="B30" s="319" t="s">
        <v>450</v>
      </c>
      <c r="C30" s="328">
        <v>-0.3</v>
      </c>
      <c r="D30" s="329">
        <f>C18</f>
        <v>3</v>
      </c>
      <c r="E30" s="330">
        <f>DCF!E94</f>
        <v>3.9423340222686121</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4.09</v>
      </c>
      <c r="D34" t="str">
        <f>Market_currency</f>
        <v>HKD</v>
      </c>
      <c r="E34" s="97" t="s">
        <v>457</v>
      </c>
      <c r="F34" s="334">
        <f>RATE(Holding_Period,$C$33,-C34,$C$36)</f>
        <v>0.21689041384271771</v>
      </c>
    </row>
    <row r="35" spans="2:7">
      <c r="B35" s="97" t="s">
        <v>437</v>
      </c>
      <c r="C35" s="324">
        <f>DCF!C11</f>
        <v>7.7480585250442857</v>
      </c>
      <c r="D35" s="97" t="str">
        <f>Market_currency</f>
        <v>HKD</v>
      </c>
      <c r="E35" s="97" t="s">
        <v>457</v>
      </c>
      <c r="F35" s="334">
        <f>RATE(Holding_Period,$C$33,-C35,$C$36)</f>
        <v>-2.4900767938669355E-2</v>
      </c>
    </row>
    <row r="36" spans="2:7">
      <c r="B36" s="97" t="s">
        <v>438</v>
      </c>
      <c r="C36" s="325">
        <f>E22*G22+E23*G23+E24*G24+E30*G30+E29*G29</f>
        <v>6.4760666752188394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8.0719984192912602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0.26168111391759291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2.9843625231423232</v>
      </c>
      <c r="E62" s="336">
        <f>C62+D62</f>
        <v>3.4268206342457499</v>
      </c>
      <c r="F62" s="305">
        <f>Thesis!E22</f>
        <v>0.29465259038036606</v>
      </c>
      <c r="G62" s="445">
        <f>(1-E62/C36)</f>
        <v>0.47084846310203399</v>
      </c>
    </row>
    <row r="63" spans="2:7" ht="13.15">
      <c r="B63" s="306" t="s">
        <v>313</v>
      </c>
      <c r="C63" s="119">
        <f>PV(F63, Holding_Period, -C58, 0)</f>
        <v>0.50874815444966315</v>
      </c>
      <c r="D63" s="119">
        <f>C36/(1+F63)^Holding_Period</f>
        <v>3.7406883322563709</v>
      </c>
      <c r="E63" s="336">
        <f>C63+D63</f>
        <v>4.2494364867060339</v>
      </c>
      <c r="F63" s="305">
        <f>Thesis!E23</f>
        <v>0.20075184365903009</v>
      </c>
      <c r="G63" s="445">
        <f>(1-E63/C36)</f>
        <v>0.34382446941647082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4.6417880953199218</v>
      </c>
      <c r="E66" s="336">
        <f>C66+D66</f>
        <v>5.2251555311718869</v>
      </c>
      <c r="F66" s="305">
        <f>Thesis!E24</f>
        <v>0.1174</v>
      </c>
      <c r="G66" s="445">
        <f>(1-E66/C36)</f>
        <v>0.19315908973477047</v>
      </c>
    </row>
    <row r="67" spans="2:7" ht="13.15">
      <c r="B67" s="306" t="s">
        <v>314</v>
      </c>
      <c r="C67" s="119">
        <f>PV(F67, Holding_Period, -C58, 0)</f>
        <v>0.63167232993043521</v>
      </c>
      <c r="D67" s="119">
        <f>C36/(1+F67)^Holding_Period</f>
        <v>5.2495177542088145</v>
      </c>
      <c r="E67" s="336">
        <f>C67+D67</f>
        <v>5.8811900841392495</v>
      </c>
      <c r="F67" s="305">
        <f>Thesis!E25</f>
        <v>7.2499999999999995E-2</v>
      </c>
      <c r="G67" s="445">
        <f>(1-E67/C36)</f>
        <v>9.185770019260775E-2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4.09</v>
      </c>
    </row>
    <row r="9" spans="1:10">
      <c r="B9" s="355" t="s">
        <v>361</v>
      </c>
      <c r="C9" s="357">
        <f>Common_Shares</f>
        <v>9065251704</v>
      </c>
    </row>
    <row r="10" spans="1:10">
      <c r="B10" s="355" t="s">
        <v>367</v>
      </c>
      <c r="C10" s="361">
        <f>投资主题!C8*Common_Shares/1000000</f>
        <v>37076.879469359999</v>
      </c>
      <c r="D10" s="347" t="s">
        <v>531</v>
      </c>
      <c r="E10" s="364">
        <f>Scenarios!F34</f>
        <v>0.21689041384271771</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1.1164044342041017</v>
      </c>
    </row>
    <row r="17" spans="1:6">
      <c r="B17" s="347" t="s">
        <v>537</v>
      </c>
      <c r="C17" s="429">
        <f>Terminal_Growth</f>
        <v>0</v>
      </c>
      <c r="D17" s="355" t="s">
        <v>339</v>
      </c>
      <c r="E17" s="348" t="str">
        <f>Reporting_currency</f>
        <v>CNY</v>
      </c>
    </row>
    <row r="18" spans="1:6">
      <c r="B18" s="347" t="str">
        <f>"预期股权价值 ("&amp;C7&amp;") :"</f>
        <v>预期股权价值 (HKD) :</v>
      </c>
      <c r="C18" s="363">
        <f>C125</f>
        <v>6.4760666752188394</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3.4268206342457499</v>
      </c>
      <c r="D22" s="369" t="s">
        <v>443</v>
      </c>
      <c r="E22" s="370">
        <f>Thesis!E22</f>
        <v>0.29465259038036606</v>
      </c>
    </row>
    <row r="23" spans="1:6">
      <c r="B23" s="347" t="s">
        <v>341</v>
      </c>
      <c r="C23" s="371">
        <f>E141</f>
        <v>4.2494364867060339</v>
      </c>
      <c r="D23" s="369" t="s">
        <v>444</v>
      </c>
      <c r="E23" s="372">
        <f>Thesis!E23</f>
        <v>0.20075184365903009</v>
      </c>
    </row>
    <row r="24" spans="1:6">
      <c r="B24" s="347" t="s">
        <v>343</v>
      </c>
      <c r="C24" s="371">
        <f>E144</f>
        <v>5.2251555311718869</v>
      </c>
      <c r="D24" s="369" t="s">
        <v>446</v>
      </c>
      <c r="E24" s="372">
        <f>Thesis!E24</f>
        <v>0.1174</v>
      </c>
    </row>
    <row r="25" spans="1:6">
      <c r="B25" s="347" t="s">
        <v>342</v>
      </c>
      <c r="C25" s="371">
        <f>E145</f>
        <v>5.8811900841392495</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0.10730344213104163</v>
      </c>
      <c r="F62" s="383"/>
    </row>
    <row r="63" spans="2:6">
      <c r="B63" s="381" t="s">
        <v>332</v>
      </c>
      <c r="C63" s="382">
        <f>Normalized_FCF!C92</f>
        <v>5.9119804400977992E-2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-0.10406509283618129</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1.7982019739331927</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5.2746027885649627E-4</v>
      </c>
      <c r="D90" s="347" t="str">
        <f>Market_currency</f>
        <v>HKD</v>
      </c>
    </row>
    <row r="92" spans="1:6">
      <c r="B92" s="376" t="s">
        <v>483</v>
      </c>
      <c r="C92" s="391">
        <f>DCF!F8</f>
        <v>1.694664341375868</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1.2686220872233995</v>
      </c>
      <c r="D111" s="347" t="str">
        <f>Market_currency</f>
        <v>HKD</v>
      </c>
    </row>
    <row r="112" spans="1:6">
      <c r="A112" s="389"/>
      <c r="B112" s="376" t="s">
        <v>377</v>
      </c>
      <c r="C112" s="398">
        <f>DCF!C11</f>
        <v>7.7480585250442857</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8.64 HKD</v>
      </c>
      <c r="F118" s="403">
        <f>DCF!F90</f>
        <v>0.05</v>
      </c>
    </row>
    <row r="119" spans="1:6">
      <c r="A119" s="389"/>
      <c r="B119" s="404" t="str">
        <f>DCF!B91</f>
        <v>Optimistic</v>
      </c>
      <c r="C119" s="405">
        <f>DCF!C91</f>
        <v>0.02</v>
      </c>
      <c r="D119" s="406">
        <f>DCF!D91</f>
        <v>3</v>
      </c>
      <c r="E119" s="402" t="str">
        <f>ROUND(DCF!E91,2)&amp;" "&amp;Market_currency</f>
        <v>8.1 HKD</v>
      </c>
      <c r="F119" s="407">
        <f>DCF!F91</f>
        <v>0.15999999999999995</v>
      </c>
    </row>
    <row r="120" spans="1:6">
      <c r="B120" s="404" t="str">
        <f>DCF!B92</f>
        <v>Base</v>
      </c>
      <c r="C120" s="405">
        <f>DCF!C92</f>
        <v>-0.05</v>
      </c>
      <c r="D120" s="406">
        <f>DCF!D92</f>
        <v>3</v>
      </c>
      <c r="E120" s="402" t="str">
        <f>ROUND(DCF!E92,2)&amp;" "&amp;Market_currency</f>
        <v>6.93 HKD</v>
      </c>
      <c r="F120" s="407">
        <f>DCF!F92</f>
        <v>0.44</v>
      </c>
    </row>
    <row r="121" spans="1:6">
      <c r="B121" s="404" t="str">
        <f>DCF!B93</f>
        <v>Pessimistic</v>
      </c>
      <c r="C121" s="405">
        <f>DCF!C93</f>
        <v>-0.15</v>
      </c>
      <c r="D121" s="406">
        <f>DCF!D93</f>
        <v>3</v>
      </c>
      <c r="E121" s="402" t="str">
        <f>ROUND(DCF!E93,2)&amp;" "&amp;Market_currency</f>
        <v>5.53 HKD</v>
      </c>
      <c r="F121" s="407">
        <f>DCF!F93</f>
        <v>0.19999999999999998</v>
      </c>
    </row>
    <row r="122" spans="1:6">
      <c r="B122" s="404" t="str">
        <f>DCF!B94</f>
        <v>Devil's advocate</v>
      </c>
      <c r="C122" s="405">
        <f>DCF!C94</f>
        <v>-0.3</v>
      </c>
      <c r="D122" s="406">
        <f>DCF!D94</f>
        <v>3</v>
      </c>
      <c r="E122" s="402" t="str">
        <f>ROUND(DCF!E94,2)&amp;" "&amp;Market_currency</f>
        <v>3.94 HKD</v>
      </c>
      <c r="F122" s="407">
        <f>DCF!F94</f>
        <v>0.15</v>
      </c>
    </row>
    <row r="124" spans="1:6">
      <c r="B124" s="466" t="s">
        <v>521</v>
      </c>
      <c r="C124" s="466"/>
      <c r="D124" s="466"/>
      <c r="E124" s="466"/>
      <c r="F124" s="466"/>
    </row>
    <row r="125" spans="1:6">
      <c r="B125" s="376" t="s">
        <v>218</v>
      </c>
      <c r="C125" s="408">
        <f>Scenarios!C36</f>
        <v>6.4760666752188394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2.9843625231423232</v>
      </c>
      <c r="E140" s="414">
        <f>Scenarios!E62</f>
        <v>3.4268206342457499</v>
      </c>
      <c r="F140" s="415">
        <f>E22</f>
        <v>0.29465259038036606</v>
      </c>
    </row>
    <row r="141" spans="1:6">
      <c r="B141" s="412" t="s">
        <v>313</v>
      </c>
      <c r="C141" s="413">
        <f>Scenarios!C63</f>
        <v>0.50874815444966315</v>
      </c>
      <c r="D141" s="413">
        <f>Scenarios!D63</f>
        <v>3.7406883322563709</v>
      </c>
      <c r="E141" s="414">
        <f>Scenarios!E63</f>
        <v>4.2494364867060339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4.6417880953199218</v>
      </c>
      <c r="E144" s="414">
        <f>Scenarios!E66</f>
        <v>5.2251555311718869</v>
      </c>
      <c r="F144" s="415">
        <f>E24</f>
        <v>0.1174</v>
      </c>
    </row>
    <row r="145" spans="1:6">
      <c r="B145" s="412" t="s">
        <v>314</v>
      </c>
      <c r="C145" s="413">
        <f>Scenarios!C67</f>
        <v>0.63167232993043521</v>
      </c>
      <c r="D145" s="413">
        <f>Scenarios!D67</f>
        <v>5.2495177542088145</v>
      </c>
      <c r="E145" s="414">
        <f>Scenarios!E67</f>
        <v>5.8811900841392495</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