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4C5EDD2-2550-4846-8E9C-F81A20850B7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9" i="2" l="1"/>
  <c r="E83" i="2"/>
  <c r="E84" i="2"/>
  <c r="C88" i="2"/>
  <c r="C19" i="3"/>
  <c r="C23" i="3"/>
  <c r="G4" i="3"/>
  <c r="C13" i="4"/>
  <c r="D13" i="4"/>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C52" i="2" s="1"/>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<sst xmlns="http://schemas.openxmlformats.org/spreadsheetml/2006/main" count="768" uniqueCount="558">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</sst>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52" zoomScaleNormal="100" workbookViewId="0">
      <selection activeCell="E20" sqref="E2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3.74</v>
      </c>
      <c r="E8" s="32"/>
    </row>
    <row r="9" spans="1:9">
      <c r="B9" s="4" t="s">
        <v>346</v>
      </c>
      <c r="C9" s="48">
        <v>9065251704</v>
      </c>
    </row>
    <row r="10" spans="1:9">
      <c r="B10" s="4" t="s">
        <v>352</v>
      </c>
      <c r="C10" s="33">
        <f>Thesis!C8*Common_Shares/1000000</f>
        <v>33904.041372960004</v>
      </c>
      <c r="D10" s="1" t="s">
        <v>527</v>
      </c>
      <c r="E10" s="303">
        <f>Scenarios!F34</f>
        <v>0.25264215752963443</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1.1359030000000001</v>
      </c>
    </row>
    <row r="17" spans="1:6">
      <c r="B17" s="1" t="s">
        <v>531</v>
      </c>
      <c r="C17" s="456">
        <v>0</v>
      </c>
      <c r="D17" s="4" t="s">
        <v>274</v>
      </c>
      <c r="E17" s="224" t="s">
        <v>557</v>
      </c>
    </row>
    <row r="18" spans="1:6">
      <c r="B18" s="1" t="str">
        <f>"Expected Equity Value ("&amp;C7&amp;") :"</f>
        <v>Expected Equity Value (HKD) :</v>
      </c>
      <c r="C18" s="252">
        <f>C125</f>
        <v>6.4270055557277068</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3.364491377208787</v>
      </c>
      <c r="D22" s="38" t="s">
        <v>406</v>
      </c>
      <c r="E22" s="79">
        <v>0.3</v>
      </c>
    </row>
    <row r="23" spans="1:6">
      <c r="B23" s="1" t="s">
        <v>313</v>
      </c>
      <c r="C23" s="256">
        <f>E141</f>
        <v>4.2286791410461264</v>
      </c>
      <c r="D23" s="38" t="s">
        <v>407</v>
      </c>
      <c r="E23" s="443">
        <v>0.2</v>
      </c>
    </row>
    <row r="24" spans="1:6">
      <c r="B24" s="1" t="s">
        <v>315</v>
      </c>
      <c r="C24" s="256">
        <f>E144</f>
        <v>5.1899904638836762</v>
      </c>
      <c r="D24" s="38" t="s">
        <v>408</v>
      </c>
      <c r="E24" s="443">
        <v>0.1174</v>
      </c>
    </row>
    <row r="25" spans="1:6">
      <c r="B25" s="1" t="s">
        <v>314</v>
      </c>
      <c r="C25" s="256">
        <f>E145</f>
        <v>5.8414210035033776</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4737250.864635732</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-12182</v>
      </c>
      <c r="D41" s="1" t="str">
        <f>Reporting_currency</f>
        <v>CNY</v>
      </c>
    </row>
    <row r="43" spans="2:6">
      <c r="B43" s="463" t="s">
        <v>205</v>
      </c>
      <c r="C43" s="463"/>
      <c r="D43" s="463"/>
      <c r="E43" s="463"/>
      <c r="F43" s="463"/>
    </row>
    <row r="44" spans="2:6">
      <c r="B44" s="44" t="s">
        <v>267</v>
      </c>
      <c r="C44" s="286">
        <f>Normalized_FCF!C46</f>
        <v>18203.276997391473</v>
      </c>
      <c r="D44" s="1" t="str">
        <f>Reporting_currency</f>
        <v>CNY</v>
      </c>
      <c r="E44" s="244"/>
      <c r="F44" s="244"/>
    </row>
    <row r="45" spans="2:6">
      <c r="B45" s="44" t="s">
        <v>268</v>
      </c>
      <c r="C45" s="286">
        <f>Normalized_FCF!C45</f>
        <v>-44646</v>
      </c>
      <c r="D45" s="1" t="str">
        <f>Reporting_currency</f>
        <v>CNY</v>
      </c>
      <c r="E45" s="244"/>
      <c r="F45" s="244"/>
    </row>
    <row r="46" spans="2:6">
      <c r="B46" s="44" t="s">
        <v>203</v>
      </c>
      <c r="C46" s="285">
        <f>Normalized_FCF!C10</f>
        <v>-26442.723002608527</v>
      </c>
      <c r="D46" s="1" t="str">
        <f>Reporting_currency</f>
        <v>CNY</v>
      </c>
    </row>
    <row r="48" spans="2:6">
      <c r="B48" s="1" t="s">
        <v>211</v>
      </c>
    </row>
    <row r="49" spans="2:6">
      <c r="B49" s="44" t="s">
        <v>223</v>
      </c>
      <c r="C49" s="285">
        <f>Normalized_FCF!C13</f>
        <v>-83995</v>
      </c>
      <c r="D49" s="1" t="str">
        <f>Reporting_currency</f>
        <v>CNY</v>
      </c>
    </row>
    <row r="51" spans="2:6">
      <c r="B51" s="463" t="s">
        <v>206</v>
      </c>
      <c r="C51" s="463"/>
      <c r="D51" s="463"/>
      <c r="E51" s="463"/>
      <c r="F51" s="463"/>
    </row>
    <row r="52" spans="2:6">
      <c r="B52" s="44" t="s">
        <v>204</v>
      </c>
      <c r="C52" s="285">
        <f>Normalized_FCF!C12</f>
        <v>-1174656.5354082808</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2919358.1170187257</v>
      </c>
      <c r="D60" s="1" t="str">
        <f>Reporting_currency</f>
        <v>CNY</v>
      </c>
    </row>
    <row r="61" spans="2:6">
      <c r="B61" s="44" t="s">
        <v>213</v>
      </c>
      <c r="C61" s="285">
        <f>Normalized_FCF!C19</f>
        <v>3439974.6062248424</v>
      </c>
      <c r="D61" s="1" t="str">
        <f>Reporting_currency</f>
        <v>CNY</v>
      </c>
    </row>
    <row r="62" spans="2:6">
      <c r="B62" s="204" t="s">
        <v>302</v>
      </c>
      <c r="C62" s="89">
        <f>Normalized_FCF!C124</f>
        <v>0.11525108267036881</v>
      </c>
      <c r="F62" s="257"/>
    </row>
    <row r="63" spans="2:6">
      <c r="B63" s="204" t="s">
        <v>332</v>
      </c>
      <c r="C63" s="89">
        <f>Normalized_FCF!C92</f>
        <v>6.4652406417112299E-2</v>
      </c>
      <c r="E63" s="44" t="s">
        <v>322</v>
      </c>
      <c r="F63" s="258">
        <f>Normalized_FCF!C90</f>
        <v>0.63720757067819134</v>
      </c>
    </row>
    <row r="65" spans="1:6">
      <c r="B65" s="192" t="s">
        <v>325</v>
      </c>
      <c r="C65" s="264" t="s">
        <v>327</v>
      </c>
      <c r="D65" s="264" t="s">
        <v>328</v>
      </c>
    </row>
    <row r="66" spans="1:6">
      <c r="B66" s="44" t="s">
        <v>326</v>
      </c>
      <c r="C66" s="89">
        <f>Normalized_FCF!E119</f>
        <v>0.17304079935938224</v>
      </c>
      <c r="D66" s="89">
        <f>Normalized_FCF!G119</f>
        <v>0.1804186534711629</v>
      </c>
    </row>
    <row r="67" spans="1:6">
      <c r="B67" s="229" t="str">
        <f>Normalized_FCF!B116</f>
        <v>Pre-tax Profit/Sales</v>
      </c>
      <c r="C67" s="263">
        <f>Normalized_FCF!E116</f>
        <v>0.22645563866550303</v>
      </c>
      <c r="D67" s="263">
        <f>Normalized_FCF!G116</f>
        <v>0.23611091459493438</v>
      </c>
    </row>
    <row r="68" spans="1:6">
      <c r="B68" s="229" t="str">
        <f>Normalized_FCF!B117</f>
        <v>Sales/Total Assets</v>
      </c>
      <c r="C68" s="265">
        <f>Normalized_FCF!E117</f>
        <v>0.61200300518899786</v>
      </c>
      <c r="D68" s="265">
        <f>Normalized_FCF!G117</f>
        <v>0.61200300518899786</v>
      </c>
    </row>
    <row r="69" spans="1:6">
      <c r="B69" s="229" t="str">
        <f>Normalized_FCF!B118</f>
        <v>Total Assets/Equity</v>
      </c>
      <c r="C69" s="265">
        <f>Normalized_FCF!E118</f>
        <v>1.2485669045200241</v>
      </c>
      <c r="D69" s="265">
        <f>Normalized_FCF!G118</f>
        <v>1.2485669045200241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-845013</v>
      </c>
      <c r="D78" s="1" t="str">
        <f>Reporting_currency</f>
        <v>CNY</v>
      </c>
    </row>
    <row r="79" spans="1:6">
      <c r="A79" s="191"/>
      <c r="B79" s="44" t="s">
        <v>234</v>
      </c>
      <c r="C79" s="201">
        <f>C78*scaling_factor*Exchange_Rate/Common_Shares</f>
        <v>-0.10588264210198041</v>
      </c>
      <c r="D79" s="1" t="str">
        <f>Market_currency</f>
        <v>HKD</v>
      </c>
    </row>
    <row r="80" spans="1:6">
      <c r="A80" s="191"/>
      <c r="B80" s="229" t="s">
        <v>309</v>
      </c>
      <c r="C80" s="337">
        <f>IF(BS!G31/BS!G27&gt;300%,"nm",BS!G31/BS!G27)</f>
        <v>3.1120102042901991E-2</v>
      </c>
    </row>
    <row r="81" spans="1:6">
      <c r="A81" s="191"/>
      <c r="B81" s="229" t="s">
        <v>311</v>
      </c>
      <c r="C81" s="338">
        <f>IF(BS!C50&gt;30,"nm",BS!C50)</f>
        <v>0.17837624059729351</v>
      </c>
    </row>
    <row r="82" spans="1:6">
      <c r="A82" s="191"/>
    </row>
    <row r="83" spans="1:6">
      <c r="A83" s="191"/>
      <c r="B83" s="1" t="s">
        <v>466</v>
      </c>
    </row>
    <row r="84" spans="1:6">
      <c r="A84" s="191"/>
      <c r="B84" s="1" t="s">
        <v>224</v>
      </c>
      <c r="C84" s="285">
        <f>DCF!F5</f>
        <v>14573965.500434754</v>
      </c>
      <c r="D84" s="1" t="str">
        <f>Reporting_currency</f>
        <v>CNY</v>
      </c>
    </row>
    <row r="85" spans="1:6">
      <c r="A85" s="191"/>
      <c r="B85" s="229" t="s">
        <v>222</v>
      </c>
      <c r="C85" s="291">
        <f>BS!C66</f>
        <v>17607845</v>
      </c>
      <c r="D85" s="339" t="str">
        <f>Reporting_currency</f>
        <v>CNY</v>
      </c>
    </row>
    <row r="86" spans="1:6">
      <c r="A86" s="191"/>
      <c r="B86" s="44" t="s">
        <v>235</v>
      </c>
      <c r="C86" s="201">
        <f>C84*scaling_factor*Exchange_Rate/Common_Shares</f>
        <v>1.8261612224772199</v>
      </c>
      <c r="D86" s="1" t="str">
        <f>Market_currency</f>
        <v>HKD</v>
      </c>
    </row>
    <row r="87" spans="1:6">
      <c r="A87" s="191"/>
    </row>
    <row r="88" spans="1:6">
      <c r="A88" s="191"/>
      <c r="B88" s="1" t="s">
        <v>216</v>
      </c>
    </row>
    <row r="89" spans="1:6">
      <c r="A89" s="191"/>
      <c r="B89" s="1" t="s">
        <v>217</v>
      </c>
      <c r="C89" s="285">
        <f>DCF!F6</f>
        <v>4283</v>
      </c>
      <c r="D89" s="1" t="str">
        <f>Reporting_currency</f>
        <v>CNY</v>
      </c>
    </row>
    <row r="90" spans="1:6">
      <c r="A90" s="191"/>
      <c r="B90" s="44" t="s">
        <v>236</v>
      </c>
      <c r="C90" s="201">
        <f>C89*scaling_factor*Exchange_Rate/Common_Shares</f>
        <v>5.3667263831773252E-4</v>
      </c>
      <c r="D90" s="1" t="str">
        <f>Market_currency</f>
        <v>HKD</v>
      </c>
    </row>
    <row r="91" spans="1:6">
      <c r="A91" s="191"/>
    </row>
    <row r="92" spans="1:6">
      <c r="A92" s="191"/>
      <c r="B92" s="44" t="s">
        <v>469</v>
      </c>
      <c r="C92" s="216">
        <f>DCF!F8</f>
        <v>1.7208152530135572</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1.2907792110039855</v>
      </c>
      <c r="D111" s="1" t="str">
        <f>Market_currency</f>
        <v>HKD</v>
      </c>
    </row>
    <row r="112" spans="2:6">
      <c r="B112" s="44" t="s">
        <v>323</v>
      </c>
      <c r="C112" s="216">
        <f>DCF!C11</f>
        <v>7.66618144869879</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(3yrs)</v>
      </c>
      <c r="C118" s="206">
        <f>DCF!C90</f>
        <v>0.05</v>
      </c>
      <c r="D118" s="207" t="str">
        <f>ROUND(DCF!E90,2)&amp;" "&amp;Market_currency</f>
        <v>8.54 HKD</v>
      </c>
      <c r="E118" s="208">
        <f>DCF!F90</f>
        <v>0.05</v>
      </c>
      <c r="F118" s="208">
        <f>RATE(Holding_Period,Scenarios!C$58,-DCF!E90,C$18)</f>
        <v>-5.9223241852837047E-2</v>
      </c>
    </row>
    <row r="119" spans="2:6">
      <c r="B119" s="205" t="str">
        <f>DCF!B91&amp;" ("&amp;DCF!D91&amp;"yrs)"</f>
        <v>Optimistic (3yrs)</v>
      </c>
      <c r="C119" s="198">
        <f>DCF!C91</f>
        <v>0.02</v>
      </c>
      <c r="D119" s="207" t="str">
        <f>ROUND(DCF!E91,2)&amp;" "&amp;Market_currency</f>
        <v>8.01 HKD</v>
      </c>
      <c r="E119" s="199">
        <f>DCF!F91</f>
        <v>0.15999999999999995</v>
      </c>
      <c r="F119" s="208">
        <f>RATE(Holding_Period,Scenarios!C$58,-DCF!E91,C$18)</f>
        <v>-3.8098786705572693E-2</v>
      </c>
    </row>
    <row r="120" spans="2:6">
      <c r="B120" s="205" t="str">
        <f>DCF!B92&amp;" ("&amp;DCF!D92&amp;"yrs)"</f>
        <v>Base (3yrs)</v>
      </c>
      <c r="C120" s="198">
        <f>DCF!C92</f>
        <v>-0.05</v>
      </c>
      <c r="D120" s="207" t="str">
        <f>ROUND(DCF!E92,2)&amp;" "&amp;Market_currency</f>
        <v>6.87 HKD</v>
      </c>
      <c r="E120" s="199">
        <f>DCF!F92</f>
        <v>0.44</v>
      </c>
      <c r="F120" s="208">
        <f>RATE(Holding_Period,Scenarios!C$58,-DCF!E92,C$18)</f>
        <v>1.388028193844301E-2</v>
      </c>
    </row>
    <row r="121" spans="2:6">
      <c r="B121" s="205" t="str">
        <f>DCF!B93&amp;" ("&amp;DCF!D93&amp;"yrs)"</f>
        <v>Pessimistic (3yrs)</v>
      </c>
      <c r="C121" s="198">
        <f>DCF!C93</f>
        <v>-0.15</v>
      </c>
      <c r="D121" s="207" t="str">
        <f>ROUND(DCF!E93,2)&amp;" "&amp;Market_currency</f>
        <v>5.51 HKD</v>
      </c>
      <c r="E121" s="199">
        <f>DCF!F93</f>
        <v>0.19999999999999998</v>
      </c>
      <c r="F121" s="208">
        <f>RATE(Holding_Period,Scenarios!C$58,-DCF!E93,C$18)</f>
        <v>9.4612570358912546E-2</v>
      </c>
    </row>
    <row r="122" spans="2:6">
      <c r="B122" s="205" t="str">
        <f>DCF!B94&amp;" ("&amp;DCF!D94&amp;"yrs)"</f>
        <v>Devil's advocate (3yrs)</v>
      </c>
      <c r="C122" s="198">
        <f>DCF!C94</f>
        <v>-0.3</v>
      </c>
      <c r="D122" s="207" t="str">
        <f>ROUND(DCF!E94,2)&amp;" "&amp;Market_currency</f>
        <v>3.96 HKD</v>
      </c>
      <c r="E122" s="199">
        <f>DCF!F94</f>
        <v>0.15</v>
      </c>
      <c r="F122" s="208">
        <f>RATE(Holding_Period,Scenarios!C$58,-DCF!E94,C$18)</f>
        <v>0.22798471587346744</v>
      </c>
    </row>
    <row r="124" spans="2:6">
      <c r="B124" s="463" t="s">
        <v>357</v>
      </c>
      <c r="C124" s="463"/>
      <c r="D124" s="463"/>
      <c r="E124" s="463"/>
      <c r="F124" s="463"/>
    </row>
    <row r="125" spans="2:6">
      <c r="B125" s="193" t="s">
        <v>218</v>
      </c>
      <c r="C125" s="197">
        <f>Scenarios!C36</f>
        <v>6.4270055557277068</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0.43913609467455633</v>
      </c>
      <c r="D140" s="333">
        <f>Scenarios!D62</f>
        <v>2.9253552825342308</v>
      </c>
      <c r="E140" s="334">
        <f>Scenarios!E62</f>
        <v>3.364491377208787</v>
      </c>
      <c r="F140" s="335">
        <f>E22</f>
        <v>0.3</v>
      </c>
    </row>
    <row r="141" spans="1:6">
      <c r="B141" s="336" t="s">
        <v>313</v>
      </c>
      <c r="C141" s="333">
        <f>Scenarios!C63</f>
        <v>0.50934722222222217</v>
      </c>
      <c r="D141" s="333">
        <f>Scenarios!D63</f>
        <v>3.7193319188239045</v>
      </c>
      <c r="E141" s="334">
        <f>Scenarios!E63</f>
        <v>4.2286791410461264</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0.58336743585196538</v>
      </c>
      <c r="D144" s="333">
        <f>Scenarios!D66</f>
        <v>4.6066230280317111</v>
      </c>
      <c r="E144" s="334">
        <f>Scenarios!E66</f>
        <v>5.1899904638836762</v>
      </c>
      <c r="F144" s="335">
        <f>E24</f>
        <v>0.1174</v>
      </c>
    </row>
    <row r="145" spans="1:6">
      <c r="B145" s="336" t="s">
        <v>314</v>
      </c>
      <c r="C145" s="333">
        <f>Scenarios!C67</f>
        <v>0.63167232993043521</v>
      </c>
      <c r="D145" s="333">
        <f>Scenarios!D67</f>
        <v>5.2097486735729426</v>
      </c>
      <c r="E145" s="334">
        <f>Scenarios!E67</f>
        <v>5.8414210035033776</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20748550</v>
      </c>
      <c r="D4" s="287">
        <v>19532203</v>
      </c>
      <c r="E4" s="287">
        <v>21310933</v>
      </c>
      <c r="F4" s="287">
        <v>22776265</v>
      </c>
      <c r="G4" s="287">
        <v>18592465</v>
      </c>
      <c r="H4" s="287">
        <v>13721509</v>
      </c>
      <c r="I4" s="287">
        <v>10391917</v>
      </c>
      <c r="J4" s="287">
        <v>5887260</v>
      </c>
      <c r="K4" s="287">
        <v>3724381</v>
      </c>
      <c r="L4" s="287"/>
      <c r="M4" s="287"/>
    </row>
    <row r="5" spans="2:13">
      <c r="B5" s="38" t="s">
        <v>40</v>
      </c>
      <c r="C5" s="287">
        <v>6983747</v>
      </c>
      <c r="D5" s="287">
        <v>6868850</v>
      </c>
      <c r="E5" s="287">
        <v>7360333</v>
      </c>
      <c r="F5" s="287">
        <v>6768676</v>
      </c>
      <c r="G5" s="287">
        <v>5112187</v>
      </c>
      <c r="H5" s="287">
        <v>4111918</v>
      </c>
      <c r="I5" s="287">
        <v>3372827</v>
      </c>
      <c r="J5" s="287">
        <v>2096800</v>
      </c>
      <c r="K5" s="287">
        <v>1690421</v>
      </c>
      <c r="L5" s="287"/>
      <c r="M5" s="287"/>
    </row>
    <row r="6" spans="2:13">
      <c r="B6" s="38" t="s">
        <v>51</v>
      </c>
      <c r="C6" s="287">
        <v>8862484</v>
      </c>
      <c r="D6" s="287">
        <v>8471116</v>
      </c>
      <c r="E6" s="287">
        <v>8080385</v>
      </c>
      <c r="F6" s="287">
        <v>7937287</v>
      </c>
      <c r="G6" s="287">
        <v>6424644</v>
      </c>
      <c r="H6" s="287">
        <v>4761211</v>
      </c>
      <c r="I6" s="287">
        <v>4241603</v>
      </c>
      <c r="J6" s="287">
        <v>2499647</v>
      </c>
      <c r="K6" s="287">
        <v>1600378</v>
      </c>
      <c r="L6" s="287"/>
      <c r="M6" s="287"/>
    </row>
    <row r="7" spans="2:13">
      <c r="B7" s="66" t="s">
        <v>58</v>
      </c>
      <c r="C7" s="288">
        <v>7181223</v>
      </c>
      <c r="D7" s="288">
        <v>6709067</v>
      </c>
      <c r="E7" s="288">
        <v>6545373</v>
      </c>
      <c r="F7" s="288">
        <v>6729305</v>
      </c>
      <c r="G7" s="288">
        <v>5263430</v>
      </c>
      <c r="H7" s="288">
        <v>3847985</v>
      </c>
      <c r="I7" s="288">
        <v>3661314</v>
      </c>
      <c r="J7" s="288">
        <v>2139107</v>
      </c>
      <c r="K7" s="288">
        <v>1369520</v>
      </c>
      <c r="L7" s="288"/>
      <c r="M7" s="288"/>
    </row>
    <row r="8" spans="2:13">
      <c r="B8" s="38" t="s">
        <v>46</v>
      </c>
      <c r="C8" s="287"/>
      <c r="D8" s="287"/>
      <c r="E8" s="287"/>
      <c r="F8" s="287"/>
      <c r="G8" s="287"/>
      <c r="H8" s="287"/>
      <c r="I8" s="287"/>
      <c r="J8" s="287"/>
      <c r="K8" s="287"/>
      <c r="L8" s="287"/>
      <c r="M8" s="287"/>
    </row>
    <row r="9" spans="2:13">
      <c r="B9" s="38" t="s">
        <v>134</v>
      </c>
      <c r="C9" s="287">
        <v>-12182</v>
      </c>
      <c r="D9" s="287">
        <v>-7408</v>
      </c>
      <c r="E9" s="287">
        <v>-17253</v>
      </c>
      <c r="F9" s="287">
        <v>-15586</v>
      </c>
      <c r="G9" s="287">
        <v>-5571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44646</v>
      </c>
      <c r="D12" s="287">
        <v>53132</v>
      </c>
      <c r="E12" s="287">
        <v>33640</v>
      </c>
      <c r="F12" s="287">
        <v>29152</v>
      </c>
      <c r="G12" s="287">
        <v>50160</v>
      </c>
      <c r="H12" s="287">
        <v>72693</v>
      </c>
      <c r="I12" s="287">
        <v>58675</v>
      </c>
      <c r="J12" s="287">
        <v>21409</v>
      </c>
      <c r="K12" s="287">
        <v>26773</v>
      </c>
      <c r="L12" s="287"/>
      <c r="M12" s="287"/>
    </row>
    <row r="13" spans="2:13">
      <c r="B13" s="38" t="s">
        <v>64</v>
      </c>
      <c r="C13" s="287">
        <f>218979+91336</f>
        <v>310315</v>
      </c>
      <c r="D13" s="287">
        <f>198911+99510</f>
        <v>298421</v>
      </c>
      <c r="E13" s="287"/>
      <c r="F13" s="287"/>
      <c r="G13" s="287"/>
      <c r="H13" s="287"/>
      <c r="I13" s="287"/>
      <c r="J13" s="287"/>
      <c r="K13" s="287"/>
      <c r="L13" s="287"/>
      <c r="M13" s="287"/>
    </row>
    <row r="14" spans="2:13">
      <c r="B14" s="38" t="s">
        <v>47</v>
      </c>
      <c r="C14" s="287">
        <v>1895606</v>
      </c>
      <c r="D14" s="287">
        <v>1559940</v>
      </c>
      <c r="E14" s="287">
        <v>1715003</v>
      </c>
      <c r="F14" s="287">
        <v>2757433</v>
      </c>
      <c r="G14" s="287">
        <v>2463857</v>
      </c>
      <c r="H14" s="287">
        <v>1748099</v>
      </c>
      <c r="I14" s="287">
        <v>946317</v>
      </c>
      <c r="J14" s="287">
        <v>490835</v>
      </c>
      <c r="K14" s="287">
        <v>188795</v>
      </c>
      <c r="L14" s="287"/>
      <c r="M14" s="287"/>
    </row>
    <row r="15" spans="2:13">
      <c r="B15" s="41" t="s">
        <v>39</v>
      </c>
      <c r="C15" s="289">
        <v>3654120</v>
      </c>
      <c r="D15" s="289">
        <v>3290352</v>
      </c>
      <c r="E15" s="289">
        <v>4948106</v>
      </c>
      <c r="F15" s="289">
        <v>6914896</v>
      </c>
      <c r="G15" s="289">
        <v>7436632</v>
      </c>
      <c r="H15" s="289">
        <v>3934577</v>
      </c>
      <c r="I15" s="289">
        <v>2242254</v>
      </c>
      <c r="J15" s="289">
        <v>1160226</v>
      </c>
      <c r="K15" s="289">
        <v>406152</v>
      </c>
      <c r="L15" s="289"/>
      <c r="M15" s="289"/>
    </row>
    <row r="16" spans="2:13">
      <c r="B16" s="27" t="s">
        <v>41</v>
      </c>
      <c r="C16" s="287">
        <v>83995</v>
      </c>
      <c r="D16" s="287">
        <v>-99657</v>
      </c>
      <c r="E16" s="287">
        <v>6058</v>
      </c>
      <c r="F16" s="287">
        <v>43852</v>
      </c>
      <c r="G16" s="287">
        <v>-241</v>
      </c>
      <c r="H16" s="287">
        <v>0</v>
      </c>
      <c r="I16" s="287">
        <v>0</v>
      </c>
      <c r="J16" s="287">
        <v>0</v>
      </c>
      <c r="K16" s="287">
        <v>-10836</v>
      </c>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4179313</v>
      </c>
      <c r="D22" s="287">
        <v>4145346</v>
      </c>
      <c r="E22" s="287">
        <v>6279079</v>
      </c>
      <c r="F22" s="287">
        <v>6814937</v>
      </c>
      <c r="G22" s="287">
        <v>7747973</v>
      </c>
      <c r="H22" s="287">
        <v>5180535</v>
      </c>
      <c r="I22" s="287">
        <v>3121196</v>
      </c>
      <c r="J22" s="287">
        <v>2205574</v>
      </c>
      <c r="K22" s="287">
        <v>129094</v>
      </c>
      <c r="L22" s="287"/>
      <c r="M22" s="287"/>
    </row>
    <row r="23" spans="2:13">
      <c r="B23" s="26" t="s">
        <v>288</v>
      </c>
      <c r="C23" s="287">
        <v>-1316832</v>
      </c>
      <c r="D23" s="287">
        <v>386697</v>
      </c>
      <c r="E23" s="287">
        <v>-4803708</v>
      </c>
      <c r="F23" s="287">
        <v>-2444226</v>
      </c>
      <c r="G23" s="287">
        <v>-3786486</v>
      </c>
      <c r="H23" s="287">
        <v>-5514896</v>
      </c>
      <c r="I23" s="287">
        <v>-3272449</v>
      </c>
      <c r="J23" s="287">
        <v>-1680076</v>
      </c>
      <c r="K23" s="287">
        <v>947343</v>
      </c>
      <c r="L23" s="287"/>
      <c r="M23" s="287"/>
    </row>
    <row r="24" spans="2:13">
      <c r="B24" s="26" t="s">
        <v>287</v>
      </c>
      <c r="C24" s="287">
        <v>-3031620</v>
      </c>
      <c r="D24" s="287">
        <v>-2705301</v>
      </c>
      <c r="E24" s="287">
        <v>-1975285</v>
      </c>
      <c r="F24" s="287">
        <v>-4245443</v>
      </c>
      <c r="G24" s="287">
        <v>-2542842</v>
      </c>
      <c r="H24" s="287">
        <v>4123021</v>
      </c>
      <c r="I24" s="287">
        <v>-509032</v>
      </c>
      <c r="J24" s="287">
        <v>222174</v>
      </c>
      <c r="K24" s="287">
        <v>-395455</v>
      </c>
      <c r="L24" s="287"/>
      <c r="M24" s="287"/>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546</v>
      </c>
    </row>
    <row r="28" spans="2:13">
      <c r="B28" s="25" t="s">
        <v>22</v>
      </c>
      <c r="C28" s="270">
        <f>BS!C4</f>
        <v>334915</v>
      </c>
      <c r="D28" s="287">
        <v>431184</v>
      </c>
      <c r="E28" s="287">
        <v>430651</v>
      </c>
      <c r="F28" s="287">
        <v>477328</v>
      </c>
      <c r="G28" s="287">
        <v>288808</v>
      </c>
      <c r="H28" s="287">
        <v>314353</v>
      </c>
      <c r="I28" s="287">
        <v>512837</v>
      </c>
      <c r="J28" s="287">
        <v>174705</v>
      </c>
      <c r="K28" s="287">
        <v>93183</v>
      </c>
      <c r="L28" s="287"/>
      <c r="M28" s="287"/>
    </row>
    <row r="29" spans="2:13">
      <c r="B29" s="25" t="s">
        <v>30</v>
      </c>
      <c r="C29" s="270">
        <f>BS!C6</f>
        <v>2050919</v>
      </c>
      <c r="D29" s="287">
        <v>2258059</v>
      </c>
      <c r="E29" s="287">
        <v>1994166</v>
      </c>
      <c r="F29" s="287">
        <v>1721807</v>
      </c>
      <c r="G29" s="287">
        <v>1284472</v>
      </c>
      <c r="H29" s="287">
        <v>686094</v>
      </c>
      <c r="I29" s="287">
        <v>660066</v>
      </c>
      <c r="J29" s="287">
        <v>394658</v>
      </c>
      <c r="K29" s="287">
        <v>293631</v>
      </c>
      <c r="L29" s="287"/>
      <c r="M29" s="287"/>
    </row>
    <row r="30" spans="2:13">
      <c r="B30" s="28" t="s">
        <v>38</v>
      </c>
      <c r="C30" s="271">
        <f>BS!C33+BS!C42</f>
        <v>6749408</v>
      </c>
      <c r="D30" s="289">
        <v>9860332</v>
      </c>
      <c r="E30" s="289">
        <v>10040830</v>
      </c>
      <c r="F30" s="289">
        <v>9078054</v>
      </c>
      <c r="G30" s="289">
        <v>9137313</v>
      </c>
      <c r="H30" s="289">
        <v>9974171</v>
      </c>
      <c r="I30" s="289">
        <v>6069951</v>
      </c>
      <c r="J30" s="289">
        <v>3428545</v>
      </c>
      <c r="K30" s="289">
        <v>2318007</v>
      </c>
      <c r="L30" s="289"/>
      <c r="M30" s="289"/>
    </row>
    <row r="31" spans="2:13">
      <c r="B31" s="28" t="s">
        <v>28</v>
      </c>
      <c r="C31" s="271">
        <f>BS!G27</f>
        <v>27153285</v>
      </c>
      <c r="D31" s="289">
        <v>26334346</v>
      </c>
      <c r="E31" s="289">
        <v>25474943</v>
      </c>
      <c r="F31" s="289">
        <v>22403370</v>
      </c>
      <c r="G31" s="289">
        <v>19185525</v>
      </c>
      <c r="H31" s="289">
        <v>13029578</v>
      </c>
      <c r="I31" s="289">
        <v>5787484</v>
      </c>
      <c r="J31" s="289">
        <v>3585013</v>
      </c>
      <c r="K31" s="289">
        <v>2376940</v>
      </c>
      <c r="L31" s="289"/>
      <c r="M31" s="289"/>
    </row>
    <row r="32" spans="2:13">
      <c r="B32" s="25" t="s">
        <v>143</v>
      </c>
      <c r="C32" s="270">
        <f>BS!G28</f>
        <v>1542743</v>
      </c>
      <c r="D32" s="287">
        <v>1389487</v>
      </c>
      <c r="E32" s="287">
        <v>1488944</v>
      </c>
      <c r="F32" s="287">
        <v>1482070</v>
      </c>
      <c r="G32" s="287">
        <v>1438416</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20748550</v>
      </c>
      <c r="D36" s="270">
        <f t="shared" si="1"/>
        <v>19532203</v>
      </c>
      <c r="E36" s="270">
        <f t="shared" si="1"/>
        <v>21310933</v>
      </c>
      <c r="F36" s="270">
        <f t="shared" si="1"/>
        <v>22776265</v>
      </c>
      <c r="G36" s="270">
        <f t="shared" si="1"/>
        <v>18592465</v>
      </c>
      <c r="H36" s="270">
        <f t="shared" si="1"/>
        <v>13721509</v>
      </c>
      <c r="I36" s="270">
        <f t="shared" si="1"/>
        <v>10391917</v>
      </c>
      <c r="J36" s="270">
        <f t="shared" si="1"/>
        <v>5887260</v>
      </c>
      <c r="K36" s="270">
        <f t="shared" si="1"/>
        <v>3724381</v>
      </c>
      <c r="L36" s="270" t="str">
        <f t="shared" si="1"/>
        <v/>
      </c>
      <c r="M36" s="270" t="str">
        <f t="shared" si="1"/>
        <v/>
      </c>
    </row>
    <row r="37" spans="2:13">
      <c r="B37" s="38" t="s">
        <v>40</v>
      </c>
      <c r="C37" s="270">
        <f t="shared" ref="C37:M37" si="2">IF(C$4="","",-C5)</f>
        <v>-6983747</v>
      </c>
      <c r="D37" s="270">
        <f t="shared" si="2"/>
        <v>-6868850</v>
      </c>
      <c r="E37" s="270">
        <f t="shared" si="2"/>
        <v>-7360333</v>
      </c>
      <c r="F37" s="270">
        <f t="shared" si="2"/>
        <v>-6768676</v>
      </c>
      <c r="G37" s="270">
        <f t="shared" si="2"/>
        <v>-5112187</v>
      </c>
      <c r="H37" s="270">
        <f t="shared" si="2"/>
        <v>-4111918</v>
      </c>
      <c r="I37" s="270">
        <f t="shared" si="2"/>
        <v>-3372827</v>
      </c>
      <c r="J37" s="270">
        <f t="shared" si="2"/>
        <v>-2096800</v>
      </c>
      <c r="K37" s="270">
        <f t="shared" si="2"/>
        <v>-1690421</v>
      </c>
      <c r="L37" s="270" t="str">
        <f t="shared" si="2"/>
        <v/>
      </c>
      <c r="M37" s="270" t="str">
        <f t="shared" si="2"/>
        <v/>
      </c>
    </row>
    <row r="38" spans="2:13">
      <c r="B38" s="30" t="s">
        <v>55</v>
      </c>
      <c r="C38" s="267">
        <f>IF(C36="","",C36+C37)</f>
        <v>13764803</v>
      </c>
      <c r="D38" s="267">
        <f t="shared" ref="D38" si="3">IF(D36="","",D36+D37)</f>
        <v>12663353</v>
      </c>
      <c r="E38" s="267">
        <f t="shared" ref="E38" si="4">IF(E36="","",E36+E37)</f>
        <v>13950600</v>
      </c>
      <c r="F38" s="267">
        <f t="shared" ref="F38" si="5">IF(F36="","",F36+F37)</f>
        <v>16007589</v>
      </c>
      <c r="G38" s="267">
        <f t="shared" ref="G38" si="6">IF(G36="","",G36+G37)</f>
        <v>13480278</v>
      </c>
      <c r="H38" s="267">
        <f t="shared" ref="H38" si="7">IF(H36="","",H36+H37)</f>
        <v>9609591</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c r="B39" s="38" t="s">
        <v>51</v>
      </c>
      <c r="C39" s="270">
        <f t="shared" ref="C39:M39" si="13">IF(C$4="","",-C6)</f>
        <v>-8862484</v>
      </c>
      <c r="D39" s="270">
        <f t="shared" si="13"/>
        <v>-8471116</v>
      </c>
      <c r="E39" s="270">
        <f t="shared" si="13"/>
        <v>-8080385</v>
      </c>
      <c r="F39" s="270">
        <f t="shared" si="13"/>
        <v>-7937287</v>
      </c>
      <c r="G39" s="270">
        <f t="shared" si="13"/>
        <v>-6424644</v>
      </c>
      <c r="H39" s="270">
        <f t="shared" si="13"/>
        <v>-4761211</v>
      </c>
      <c r="I39" s="270">
        <f t="shared" si="13"/>
        <v>-4241603</v>
      </c>
      <c r="J39" s="270">
        <f t="shared" si="13"/>
        <v>-2499647</v>
      </c>
      <c r="K39" s="270">
        <f t="shared" si="13"/>
        <v>-1600378</v>
      </c>
      <c r="L39" s="270" t="str">
        <f t="shared" si="13"/>
        <v/>
      </c>
      <c r="M39" s="270" t="str">
        <f t="shared" si="13"/>
        <v/>
      </c>
    </row>
    <row r="40" spans="2:13">
      <c r="B40" s="66" t="s">
        <v>58</v>
      </c>
      <c r="C40" s="282">
        <f t="shared" ref="C40:M40" si="14">IF(C$4="","",-C7)</f>
        <v>-7181223</v>
      </c>
      <c r="D40" s="282">
        <f t="shared" si="14"/>
        <v>-6709067</v>
      </c>
      <c r="E40" s="282">
        <f t="shared" si="14"/>
        <v>-6545373</v>
      </c>
      <c r="F40" s="282">
        <f t="shared" si="14"/>
        <v>-6729305</v>
      </c>
      <c r="G40" s="282">
        <f t="shared" si="14"/>
        <v>-5263430</v>
      </c>
      <c r="H40" s="282">
        <f t="shared" si="14"/>
        <v>-3847985</v>
      </c>
      <c r="I40" s="282">
        <f t="shared" si="14"/>
        <v>-3661314</v>
      </c>
      <c r="J40" s="282">
        <f t="shared" si="14"/>
        <v>-2139107</v>
      </c>
      <c r="K40" s="282">
        <f t="shared" si="14"/>
        <v>-1369520</v>
      </c>
      <c r="L40" s="282" t="str">
        <f t="shared" si="14"/>
        <v/>
      </c>
      <c r="M40" s="282" t="str">
        <f t="shared" si="14"/>
        <v/>
      </c>
    </row>
    <row r="41" spans="2:13">
      <c r="B41" s="66" t="s">
        <v>61</v>
      </c>
      <c r="C41" s="282">
        <f>IF(C$4="","",C39-C40)</f>
        <v>-1681261</v>
      </c>
      <c r="D41" s="282">
        <f t="shared" ref="D41:M41" si="15">IF(D$4="","",D39-D40)</f>
        <v>-1762049</v>
      </c>
      <c r="E41" s="282">
        <f t="shared" si="15"/>
        <v>-1535012</v>
      </c>
      <c r="F41" s="282">
        <f t="shared" si="15"/>
        <v>-1207982</v>
      </c>
      <c r="G41" s="282">
        <f t="shared" si="15"/>
        <v>-1161214</v>
      </c>
      <c r="H41" s="282">
        <f t="shared" si="15"/>
        <v>-913226</v>
      </c>
      <c r="I41" s="282">
        <f t="shared" si="15"/>
        <v>-580289</v>
      </c>
      <c r="J41" s="282">
        <f t="shared" si="15"/>
        <v>-360540</v>
      </c>
      <c r="K41" s="282">
        <f t="shared" si="15"/>
        <v>-230858</v>
      </c>
      <c r="L41" s="282" t="str">
        <f t="shared" si="15"/>
        <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c r="B43" s="41" t="s">
        <v>127</v>
      </c>
      <c r="C43" s="271">
        <f>IF(C$4="","",C38+C39+C42)</f>
        <v>4902319</v>
      </c>
      <c r="D43" s="271">
        <f t="shared" ref="D43:M43" si="17">IF(D$4="","",D38+D39+D42)</f>
        <v>4192237</v>
      </c>
      <c r="E43" s="271">
        <f t="shared" si="17"/>
        <v>5870215</v>
      </c>
      <c r="F43" s="271">
        <f t="shared" si="17"/>
        <v>8070302</v>
      </c>
      <c r="G43" s="271">
        <f t="shared" si="17"/>
        <v>7055634</v>
      </c>
      <c r="H43" s="271">
        <f t="shared" si="17"/>
        <v>4848380</v>
      </c>
      <c r="I43" s="271">
        <f t="shared" si="17"/>
        <v>2777487</v>
      </c>
      <c r="J43" s="271">
        <f t="shared" si="17"/>
        <v>1290813</v>
      </c>
      <c r="K43" s="271">
        <f t="shared" si="17"/>
        <v>433582</v>
      </c>
      <c r="L43" s="271" t="str">
        <f t="shared" si="17"/>
        <v/>
      </c>
      <c r="M43" s="271" t="str">
        <f t="shared" si="17"/>
        <v/>
      </c>
    </row>
    <row r="44" spans="2:13">
      <c r="B44" s="41" t="s">
        <v>139</v>
      </c>
      <c r="C44" s="290">
        <f t="shared" ref="C44:M44" si="18">IF(C$4="","",C47-C46-C45-C43)</f>
        <v>381738</v>
      </c>
      <c r="D44" s="290">
        <f t="shared" si="18"/>
        <v>412766</v>
      </c>
      <c r="E44" s="290">
        <f t="shared" si="18"/>
        <v>826534</v>
      </c>
      <c r="F44" s="290">
        <f t="shared" si="18"/>
        <v>1631179</v>
      </c>
      <c r="G44" s="290">
        <f t="shared" si="18"/>
        <v>2895015</v>
      </c>
      <c r="H44" s="290">
        <f t="shared" si="18"/>
        <v>906989</v>
      </c>
      <c r="I44" s="290">
        <f t="shared" si="18"/>
        <v>469759</v>
      </c>
      <c r="J44" s="290">
        <f t="shared" si="18"/>
        <v>381657</v>
      </c>
      <c r="K44" s="290">
        <f t="shared" si="18"/>
        <v>188138</v>
      </c>
      <c r="L44" s="290" t="str">
        <f t="shared" si="18"/>
        <v/>
      </c>
      <c r="M44" s="290" t="str">
        <f t="shared" si="18"/>
        <v/>
      </c>
    </row>
    <row r="45" spans="2:13">
      <c r="B45" s="38" t="s">
        <v>65</v>
      </c>
      <c r="C45" s="285">
        <f t="shared" ref="C45:M45" si="19">IF(C$4="","",C51+C52)</f>
        <v>265669</v>
      </c>
      <c r="D45" s="285">
        <f t="shared" si="19"/>
        <v>245289</v>
      </c>
      <c r="E45" s="285">
        <f t="shared" si="19"/>
        <v>-33640</v>
      </c>
      <c r="F45" s="285">
        <f t="shared" si="19"/>
        <v>-29152</v>
      </c>
      <c r="G45" s="285">
        <f t="shared" si="19"/>
        <v>-50160</v>
      </c>
      <c r="H45" s="285">
        <f t="shared" si="19"/>
        <v>-72693</v>
      </c>
      <c r="I45" s="285">
        <f t="shared" si="19"/>
        <v>-58675</v>
      </c>
      <c r="J45" s="285">
        <f t="shared" si="19"/>
        <v>-21409</v>
      </c>
      <c r="K45" s="285">
        <f t="shared" si="19"/>
        <v>-26773</v>
      </c>
      <c r="L45" s="285" t="str">
        <f t="shared" si="19"/>
        <v/>
      </c>
      <c r="M45" s="285" t="str">
        <f t="shared" si="19"/>
        <v/>
      </c>
    </row>
    <row r="46" spans="2:13">
      <c r="B46" s="38" t="s">
        <v>47</v>
      </c>
      <c r="C46" s="270">
        <f>IF(C$4="","",-C14)</f>
        <v>-1895606</v>
      </c>
      <c r="D46" s="270">
        <f t="shared" ref="D46:M46" si="20">IF(D$4="","",-D14)</f>
        <v>-1559940</v>
      </c>
      <c r="E46" s="270">
        <f t="shared" si="20"/>
        <v>-1715003</v>
      </c>
      <c r="F46" s="270">
        <f t="shared" si="20"/>
        <v>-2757433</v>
      </c>
      <c r="G46" s="270">
        <f t="shared" si="20"/>
        <v>-2463857</v>
      </c>
      <c r="H46" s="270">
        <f t="shared" si="20"/>
        <v>-1748099</v>
      </c>
      <c r="I46" s="270">
        <f t="shared" si="20"/>
        <v>-946317</v>
      </c>
      <c r="J46" s="270">
        <f t="shared" si="20"/>
        <v>-490835</v>
      </c>
      <c r="K46" s="270">
        <f t="shared" si="20"/>
        <v>-188795</v>
      </c>
      <c r="L46" s="270" t="str">
        <f t="shared" si="20"/>
        <v/>
      </c>
      <c r="M46" s="270" t="str">
        <f t="shared" si="20"/>
        <v/>
      </c>
    </row>
    <row r="47" spans="2:13">
      <c r="B47" s="41" t="s">
        <v>39</v>
      </c>
      <c r="C47" s="271">
        <f t="shared" ref="C47:M47" si="21">IF(C$4="","",C15)</f>
        <v>3654120</v>
      </c>
      <c r="D47" s="271">
        <f t="shared" si="21"/>
        <v>3290352</v>
      </c>
      <c r="E47" s="271">
        <f t="shared" si="21"/>
        <v>4948106</v>
      </c>
      <c r="F47" s="271">
        <f t="shared" si="21"/>
        <v>6914896</v>
      </c>
      <c r="G47" s="271">
        <f t="shared" si="21"/>
        <v>7436632</v>
      </c>
      <c r="H47" s="271">
        <f t="shared" si="21"/>
        <v>3934577</v>
      </c>
      <c r="I47" s="271">
        <f t="shared" si="21"/>
        <v>2242254</v>
      </c>
      <c r="J47" s="271">
        <f t="shared" si="21"/>
        <v>1160226</v>
      </c>
      <c r="K47" s="271">
        <f t="shared" si="21"/>
        <v>406152</v>
      </c>
      <c r="L47" s="271" t="str">
        <f t="shared" si="21"/>
        <v/>
      </c>
      <c r="M47" s="271" t="str">
        <f t="shared" si="21"/>
        <v/>
      </c>
    </row>
    <row r="48" spans="2:13">
      <c r="B48" s="27" t="s">
        <v>41</v>
      </c>
      <c r="C48" s="270">
        <f t="shared" ref="C48:M48" si="22">IF(C$4="","",MIN(-C16,0))</f>
        <v>-83995</v>
      </c>
      <c r="D48" s="270">
        <f t="shared" si="22"/>
        <v>0</v>
      </c>
      <c r="E48" s="270">
        <f t="shared" si="22"/>
        <v>-6058</v>
      </c>
      <c r="F48" s="270">
        <f t="shared" si="22"/>
        <v>-43852</v>
      </c>
      <c r="G48" s="270">
        <f t="shared" si="22"/>
        <v>0</v>
      </c>
      <c r="H48" s="270">
        <f t="shared" si="22"/>
        <v>0</v>
      </c>
      <c r="I48" s="270">
        <f t="shared" si="22"/>
        <v>0</v>
      </c>
      <c r="J48" s="270">
        <f t="shared" si="22"/>
        <v>0</v>
      </c>
      <c r="K48" s="270">
        <f t="shared" si="22"/>
        <v>0</v>
      </c>
      <c r="L48" s="270" t="str">
        <f t="shared" si="22"/>
        <v/>
      </c>
      <c r="M48" s="270" t="str">
        <f t="shared" si="22"/>
        <v/>
      </c>
    </row>
    <row r="50" spans="2:13">
      <c r="B50" s="16" t="s">
        <v>65</v>
      </c>
    </row>
    <row r="51" spans="2:13">
      <c r="B51" s="38" t="s">
        <v>37</v>
      </c>
      <c r="C51" s="270">
        <f t="shared" ref="C51:M51" si="23">IF(C$4="","",-C12)</f>
        <v>-44646</v>
      </c>
      <c r="D51" s="270">
        <f t="shared" si="23"/>
        <v>-53132</v>
      </c>
      <c r="E51" s="270">
        <f t="shared" si="23"/>
        <v>-33640</v>
      </c>
      <c r="F51" s="270">
        <f t="shared" si="23"/>
        <v>-29152</v>
      </c>
      <c r="G51" s="270">
        <f t="shared" si="23"/>
        <v>-50160</v>
      </c>
      <c r="H51" s="270">
        <f t="shared" si="23"/>
        <v>-72693</v>
      </c>
      <c r="I51" s="270">
        <f t="shared" si="23"/>
        <v>-58675</v>
      </c>
      <c r="J51" s="270">
        <f t="shared" si="23"/>
        <v>-21409</v>
      </c>
      <c r="K51" s="270">
        <f t="shared" si="23"/>
        <v>-26773</v>
      </c>
      <c r="L51" s="270" t="str">
        <f t="shared" si="23"/>
        <v/>
      </c>
      <c r="M51" s="270" t="str">
        <f t="shared" si="23"/>
        <v/>
      </c>
    </row>
    <row r="52" spans="2:13">
      <c r="B52" s="38" t="s">
        <v>64</v>
      </c>
      <c r="C52" s="270">
        <f>IF(C$4="","",C13)</f>
        <v>310315</v>
      </c>
      <c r="D52" s="270">
        <f t="shared" ref="D52:M52" si="24">IF(D$4="","",D13)</f>
        <v>298421</v>
      </c>
      <c r="E52" s="270">
        <f t="shared" si="24"/>
        <v>0</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c r="B54" s="156" t="s">
        <v>139</v>
      </c>
    </row>
    <row r="55" spans="2:13">
      <c r="B55" s="38" t="s">
        <v>134</v>
      </c>
      <c r="C55" s="285">
        <f t="shared" ref="C55:M55" si="25">IF(C$4="","",C9)</f>
        <v>-12182</v>
      </c>
      <c r="D55" s="285">
        <f t="shared" si="25"/>
        <v>-7408</v>
      </c>
      <c r="E55" s="285">
        <f t="shared" si="25"/>
        <v>-17253</v>
      </c>
      <c r="F55" s="285">
        <f t="shared" si="25"/>
        <v>-15586</v>
      </c>
      <c r="G55" s="285">
        <f t="shared" si="25"/>
        <v>-5571</v>
      </c>
      <c r="H55" s="285">
        <f t="shared" si="25"/>
        <v>0</v>
      </c>
      <c r="I55" s="285">
        <f t="shared" si="25"/>
        <v>0</v>
      </c>
      <c r="J55" s="285">
        <f t="shared" si="25"/>
        <v>0</v>
      </c>
      <c r="K55" s="285">
        <f t="shared" si="25"/>
        <v>0</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c r="B58" s="38" t="s">
        <v>135</v>
      </c>
      <c r="C58" s="285">
        <f>IF(C$4="","",C44-C55-C56-C57)</f>
        <v>393920</v>
      </c>
      <c r="D58" s="285">
        <f t="shared" ref="D58:M58" si="28">IF(D$4="","",D44-D55-D56-D57)</f>
        <v>420174</v>
      </c>
      <c r="E58" s="285">
        <f t="shared" si="28"/>
        <v>843787</v>
      </c>
      <c r="F58" s="285">
        <f t="shared" si="28"/>
        <v>1646765</v>
      </c>
      <c r="G58" s="285">
        <f t="shared" si="28"/>
        <v>2900586</v>
      </c>
      <c r="H58" s="285">
        <f t="shared" si="28"/>
        <v>906989</v>
      </c>
      <c r="I58" s="285">
        <f t="shared" si="28"/>
        <v>469759</v>
      </c>
      <c r="J58" s="285">
        <f t="shared" si="28"/>
        <v>381657</v>
      </c>
      <c r="K58" s="285">
        <f t="shared" si="28"/>
        <v>188138</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c r="B64" s="26" t="s">
        <v>305</v>
      </c>
      <c r="C64" s="270">
        <f>IF(C$4="","",C22+C23+C24)</f>
        <v>-169139</v>
      </c>
      <c r="D64" s="270">
        <f t="shared" ref="D64:M64" si="32">IF(D$4="","",D22+D23+D24)</f>
        <v>1826742</v>
      </c>
      <c r="E64" s="270">
        <f t="shared" si="32"/>
        <v>-499914</v>
      </c>
      <c r="F64" s="270">
        <f t="shared" si="32"/>
        <v>125268</v>
      </c>
      <c r="G64" s="270">
        <f t="shared" si="32"/>
        <v>1418645</v>
      </c>
      <c r="H64" s="270">
        <f t="shared" si="32"/>
        <v>3788660</v>
      </c>
      <c r="I64" s="270">
        <f t="shared" si="32"/>
        <v>-660285</v>
      </c>
      <c r="J64" s="270">
        <f t="shared" si="32"/>
        <v>747672</v>
      </c>
      <c r="K64" s="270">
        <f t="shared" si="32"/>
        <v>680982</v>
      </c>
      <c r="L64" s="270" t="str">
        <f t="shared" si="32"/>
        <v/>
      </c>
      <c r="M64" s="270"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5">
        <f t="shared" ref="D76:M76" si="39">IF(D$4="","",D79+D80)</f>
        <v>36194678</v>
      </c>
      <c r="E76" s="285">
        <f t="shared" si="39"/>
        <v>35515773</v>
      </c>
      <c r="F76" s="285">
        <f t="shared" si="39"/>
        <v>31481424</v>
      </c>
      <c r="G76" s="285">
        <f t="shared" si="39"/>
        <v>28322838</v>
      </c>
      <c r="H76" s="285">
        <f t="shared" si="39"/>
        <v>23003749</v>
      </c>
      <c r="I76" s="285">
        <f t="shared" si="39"/>
        <v>11857435</v>
      </c>
      <c r="J76" s="285">
        <f t="shared" si="39"/>
        <v>7013558</v>
      </c>
      <c r="K76" s="285">
        <f t="shared" si="39"/>
        <v>4694947</v>
      </c>
      <c r="L76" s="285" t="str">
        <f t="shared" si="39"/>
        <v/>
      </c>
      <c r="M76" s="285" t="str">
        <f t="shared" si="39"/>
        <v/>
      </c>
    </row>
    <row r="77" spans="2:13">
      <c r="B77" s="90" t="s">
        <v>82</v>
      </c>
      <c r="C77" s="260">
        <f t="shared" ref="C77:H78" si="40">IF(C$4="","",C28)</f>
        <v>334915</v>
      </c>
      <c r="D77" s="282">
        <f t="shared" si="40"/>
        <v>431184</v>
      </c>
      <c r="E77" s="282">
        <f t="shared" si="40"/>
        <v>430651</v>
      </c>
      <c r="F77" s="282">
        <f t="shared" si="40"/>
        <v>477328</v>
      </c>
      <c r="G77" s="282">
        <f t="shared" si="40"/>
        <v>288808</v>
      </c>
      <c r="H77" s="282">
        <f t="shared" si="40"/>
        <v>314353</v>
      </c>
      <c r="I77" s="291"/>
      <c r="J77" s="291"/>
      <c r="K77" s="291"/>
      <c r="L77" s="291"/>
      <c r="M77" s="291"/>
    </row>
    <row r="78" spans="2:13">
      <c r="B78" s="90" t="s">
        <v>83</v>
      </c>
      <c r="C78" s="260">
        <f t="shared" si="40"/>
        <v>2050919</v>
      </c>
      <c r="D78" s="282">
        <f t="shared" si="40"/>
        <v>2258059</v>
      </c>
      <c r="E78" s="282">
        <f t="shared" si="40"/>
        <v>1994166</v>
      </c>
      <c r="F78" s="282">
        <f t="shared" si="40"/>
        <v>1721807</v>
      </c>
      <c r="G78" s="282">
        <f t="shared" si="40"/>
        <v>1284472</v>
      </c>
      <c r="H78" s="282">
        <f t="shared" si="40"/>
        <v>686094</v>
      </c>
      <c r="I78" s="291"/>
      <c r="J78" s="291"/>
      <c r="K78" s="291"/>
      <c r="L78" s="291"/>
      <c r="M78" s="291"/>
    </row>
    <row r="79" spans="2:13">
      <c r="B79" s="25" t="s">
        <v>38</v>
      </c>
      <c r="C79" s="259">
        <f t="shared" ref="C79:M79" si="41">IF(C$4="","",C30)</f>
        <v>6749408</v>
      </c>
      <c r="D79" s="270">
        <f t="shared" si="41"/>
        <v>9860332</v>
      </c>
      <c r="E79" s="270">
        <f t="shared" si="41"/>
        <v>10040830</v>
      </c>
      <c r="F79" s="270">
        <f t="shared" si="41"/>
        <v>9078054</v>
      </c>
      <c r="G79" s="270">
        <f t="shared" si="41"/>
        <v>9137313</v>
      </c>
      <c r="H79" s="270">
        <f t="shared" si="41"/>
        <v>9974171</v>
      </c>
      <c r="I79" s="270">
        <f t="shared" si="41"/>
        <v>6069951</v>
      </c>
      <c r="J79" s="270">
        <f t="shared" si="41"/>
        <v>3428545</v>
      </c>
      <c r="K79" s="270">
        <f t="shared" si="41"/>
        <v>2318007</v>
      </c>
      <c r="L79" s="270" t="str">
        <f t="shared" si="41"/>
        <v/>
      </c>
      <c r="M79" s="270" t="str">
        <f t="shared" si="41"/>
        <v/>
      </c>
    </row>
    <row r="80" spans="2:13">
      <c r="B80" s="25" t="s">
        <v>28</v>
      </c>
      <c r="C80" s="259">
        <f t="shared" ref="C80:M80" si="42">IF(C$4="","",C31)</f>
        <v>27153285</v>
      </c>
      <c r="D80" s="270">
        <f t="shared" si="42"/>
        <v>26334346</v>
      </c>
      <c r="E80" s="270">
        <f t="shared" si="42"/>
        <v>25474943</v>
      </c>
      <c r="F80" s="270">
        <f t="shared" si="42"/>
        <v>22403370</v>
      </c>
      <c r="G80" s="270">
        <f t="shared" si="42"/>
        <v>19185525</v>
      </c>
      <c r="H80" s="270">
        <f t="shared" si="42"/>
        <v>13029578</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87">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3.209077082392505</v>
      </c>
      <c r="D47" s="134">
        <f>D46*H1/Common_Shares*Exchange_Rate</f>
        <v>1.2907792110039855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0.17837624059729351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0.29336210433190779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14573965.500434754</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-1567094.0963488</v>
      </c>
      <c r="D73" s="285">
        <f>(Normalized_FCF!C26+Normalized_FCF!C35-Normalized_FCF!C89)/12</f>
        <v>-1516939.7497826226</v>
      </c>
      <c r="F73" s="1" t="s">
        <v>278</v>
      </c>
    </row>
    <row r="74" spans="2:6" ht="15" customHeight="1">
      <c r="B74" s="227" t="s">
        <v>259</v>
      </c>
      <c r="C74" s="228">
        <f>-$C$66/C73</f>
        <v>11.235984514921489</v>
      </c>
      <c r="D74" s="228">
        <f>-$C$66/D73</f>
        <v>11.607478149691314</v>
      </c>
      <c r="F74" s="223" t="s">
        <v>257</v>
      </c>
    </row>
    <row r="75" spans="2:6" ht="15" customHeight="1">
      <c r="B75" s="77" t="s">
        <v>258</v>
      </c>
      <c r="C75" s="261"/>
      <c r="D75" s="262">
        <f>MAX(-D73*D76,G5)</f>
        <v>3033879.4995652451</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-959852.80173900013</v>
      </c>
      <c r="D86" s="201">
        <f>C86*scaling_factor/Common_Shares</f>
        <v>-0.10588264210198041</v>
      </c>
      <c r="E86" s="214" t="str">
        <f>Market_currency</f>
        <v>HKD</v>
      </c>
    </row>
    <row r="87" spans="2:8" ht="15" customHeight="1">
      <c r="B87" s="212" t="s">
        <v>240</v>
      </c>
      <c r="C87" s="73">
        <f>DCF!F5*Exchange_Rate</f>
        <v>16554611.133840341</v>
      </c>
      <c r="D87" s="201">
        <f>C87*scaling_factor/Common_Shares</f>
        <v>1.8261612224772199</v>
      </c>
      <c r="E87" s="214" t="str">
        <f>Market_currency</f>
        <v>HKD</v>
      </c>
    </row>
    <row r="88" spans="2:8" ht="15" customHeight="1">
      <c r="B88" s="213" t="s">
        <v>159</v>
      </c>
      <c r="C88" s="73">
        <f>DCF!F6*Exchange_Rate</f>
        <v>4865.0725490000004</v>
      </c>
      <c r="D88" s="201">
        <f>C88*scaling_factor/Common_Shares</f>
        <v>5.3667263831773252E-4</v>
      </c>
      <c r="E88" s="214" t="str">
        <f>Market_currency</f>
        <v>HKD</v>
      </c>
    </row>
    <row r="89" spans="2:8" ht="15" customHeight="1">
      <c r="B89" s="77" t="s">
        <v>244</v>
      </c>
      <c r="C89" s="162">
        <f>SUM(C86:C88)</f>
        <v>15599623.404650342</v>
      </c>
      <c r="D89" s="216">
        <f>SUM(D86:D88)</f>
        <v>1.7208152530135572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7"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20748550</v>
      </c>
      <c r="D4" s="54"/>
      <c r="E4" s="235"/>
      <c r="F4" s="54"/>
      <c r="G4" s="270">
        <f>Data!C36</f>
        <v>20748550</v>
      </c>
      <c r="H4" s="270">
        <f>Data!D36</f>
        <v>19532203</v>
      </c>
      <c r="I4" s="270">
        <f>Data!E36</f>
        <v>21310933</v>
      </c>
      <c r="J4" s="270">
        <f>Data!F36</f>
        <v>22776265</v>
      </c>
      <c r="K4" s="270">
        <f>Data!G36</f>
        <v>18592465</v>
      </c>
      <c r="L4" s="270">
        <f>Data!H36</f>
        <v>13721509</v>
      </c>
      <c r="M4" s="270">
        <f>Data!I36</f>
        <v>10391917</v>
      </c>
      <c r="N4" s="270">
        <f>Data!J36</f>
        <v>5887260</v>
      </c>
      <c r="O4" s="270">
        <f>Data!K36</f>
        <v>3724381</v>
      </c>
      <c r="P4" s="270" t="str">
        <f>Data!L36</f>
        <v/>
      </c>
      <c r="Q4" s="270" t="str">
        <f>Data!M36</f>
        <v/>
      </c>
    </row>
    <row r="5" spans="1:17" ht="15.75" customHeight="1">
      <c r="A5" s="10"/>
      <c r="B5" s="2" t="s">
        <v>43</v>
      </c>
      <c r="C5" s="266">
        <f>C26</f>
        <v>-14330038.135364268</v>
      </c>
      <c r="E5" s="237"/>
      <c r="G5" s="270">
        <f t="shared" ref="G5:Q5" si="1">G26</f>
        <v>-14164970</v>
      </c>
      <c r="H5" s="270">
        <f t="shared" si="1"/>
        <v>-13577917</v>
      </c>
      <c r="I5" s="270">
        <f t="shared" si="1"/>
        <v>-13905706</v>
      </c>
      <c r="J5" s="270">
        <f t="shared" si="1"/>
        <v>-13497981</v>
      </c>
      <c r="K5" s="270">
        <f t="shared" si="1"/>
        <v>-10375617</v>
      </c>
      <c r="L5" s="270">
        <f t="shared" si="1"/>
        <v>-7959903</v>
      </c>
      <c r="M5" s="270">
        <f t="shared" si="1"/>
        <v>-7034141</v>
      </c>
      <c r="N5" s="270">
        <f t="shared" si="1"/>
        <v>-4235907</v>
      </c>
      <c r="O5" s="270">
        <f t="shared" si="1"/>
        <v>-3059941</v>
      </c>
      <c r="P5" s="270" t="str">
        <f t="shared" si="1"/>
        <v/>
      </c>
      <c r="Q5" s="270" t="str">
        <f t="shared" si="1"/>
        <v/>
      </c>
    </row>
    <row r="6" spans="1:17" ht="15.75" customHeight="1">
      <c r="A6" s="10"/>
      <c r="B6" s="30" t="s">
        <v>45</v>
      </c>
      <c r="C6" s="267">
        <f>C4+C5</f>
        <v>6418511.864635732</v>
      </c>
      <c r="E6" s="237"/>
      <c r="G6" s="267">
        <f>IF(G4="","",G4+G5)</f>
        <v>6583580</v>
      </c>
      <c r="H6" s="267">
        <f t="shared" ref="H6:Q6" si="2">IF(H4="","",H4+H5)</f>
        <v>5954286</v>
      </c>
      <c r="I6" s="267">
        <f t="shared" si="2"/>
        <v>7405227</v>
      </c>
      <c r="J6" s="267">
        <f t="shared" si="2"/>
        <v>9278284</v>
      </c>
      <c r="K6" s="267">
        <f t="shared" si="2"/>
        <v>8216848</v>
      </c>
      <c r="L6" s="267">
        <f t="shared" si="2"/>
        <v>5761606</v>
      </c>
      <c r="M6" s="267">
        <f t="shared" si="2"/>
        <v>3357776</v>
      </c>
      <c r="N6" s="267">
        <f t="shared" si="2"/>
        <v>1651353</v>
      </c>
      <c r="O6" s="267">
        <f t="shared" si="2"/>
        <v>664440</v>
      </c>
      <c r="P6" s="267" t="str">
        <f t="shared" si="2"/>
        <v/>
      </c>
      <c r="Q6" s="267" t="str">
        <f t="shared" si="2"/>
        <v/>
      </c>
    </row>
    <row r="7" spans="1:17" ht="15.75" customHeight="1">
      <c r="A7" s="10"/>
      <c r="B7" s="8" t="s">
        <v>42</v>
      </c>
      <c r="C7" s="266">
        <f>C35</f>
        <v>-1681261</v>
      </c>
      <c r="E7" s="237"/>
      <c r="G7" s="266">
        <f t="shared" ref="G7:Q7" si="3">G35</f>
        <v>-1681261</v>
      </c>
      <c r="H7" s="266">
        <f t="shared" si="3"/>
        <v>-1762049</v>
      </c>
      <c r="I7" s="266">
        <f t="shared" si="3"/>
        <v>-1535012</v>
      </c>
      <c r="J7" s="266">
        <f t="shared" si="3"/>
        <v>-1207982</v>
      </c>
      <c r="K7" s="266">
        <f t="shared" si="3"/>
        <v>-1161214</v>
      </c>
      <c r="L7" s="266">
        <f t="shared" si="3"/>
        <v>-913226</v>
      </c>
      <c r="M7" s="266">
        <f t="shared" si="3"/>
        <v>-580289</v>
      </c>
      <c r="N7" s="266">
        <f t="shared" si="3"/>
        <v>-360540</v>
      </c>
      <c r="O7" s="266">
        <f t="shared" si="3"/>
        <v>-230858</v>
      </c>
      <c r="P7" s="266" t="str">
        <f t="shared" si="3"/>
        <v/>
      </c>
      <c r="Q7" s="266" t="str">
        <f t="shared" si="3"/>
        <v/>
      </c>
    </row>
    <row r="8" spans="1:17" ht="15.75" customHeight="1">
      <c r="A8" s="10"/>
      <c r="B8" s="28" t="s">
        <v>127</v>
      </c>
      <c r="C8" s="268">
        <f>C6+C7</f>
        <v>4737250.864635732</v>
      </c>
      <c r="D8" s="56"/>
      <c r="E8" s="241"/>
      <c r="F8" s="56"/>
      <c r="G8" s="267">
        <f>IF(G$4="","",G6+G7)</f>
        <v>4902319</v>
      </c>
      <c r="H8" s="267">
        <f t="shared" ref="H8:Q8" si="4">IF(H$4="","",H6+H7)</f>
        <v>4192237</v>
      </c>
      <c r="I8" s="267">
        <f t="shared" si="4"/>
        <v>5870215</v>
      </c>
      <c r="J8" s="267">
        <f t="shared" si="4"/>
        <v>8070302</v>
      </c>
      <c r="K8" s="267">
        <f t="shared" si="4"/>
        <v>7055634</v>
      </c>
      <c r="L8" s="267">
        <f t="shared" si="4"/>
        <v>4848380</v>
      </c>
      <c r="M8" s="267">
        <f t="shared" si="4"/>
        <v>2777487</v>
      </c>
      <c r="N8" s="267">
        <f t="shared" si="4"/>
        <v>1290813</v>
      </c>
      <c r="O8" s="267">
        <f t="shared" si="4"/>
        <v>433582</v>
      </c>
      <c r="P8" s="267" t="str">
        <f t="shared" si="4"/>
        <v/>
      </c>
      <c r="Q8" s="267" t="str">
        <f t="shared" si="4"/>
        <v/>
      </c>
    </row>
    <row r="9" spans="1:17" ht="15.75" customHeight="1">
      <c r="A9" s="10"/>
      <c r="B9" s="26" t="s">
        <v>415</v>
      </c>
      <c r="C9" s="300">
        <f>C61</f>
        <v>-12182</v>
      </c>
      <c r="D9" s="55"/>
      <c r="E9" s="236"/>
      <c r="F9" s="55"/>
      <c r="G9" s="270">
        <f>G59</f>
        <v>-12182</v>
      </c>
      <c r="H9" s="270">
        <f t="shared" ref="H9:Q9" si="5">H59</f>
        <v>-7408</v>
      </c>
      <c r="I9" s="270">
        <f t="shared" si="5"/>
        <v>-17253</v>
      </c>
      <c r="J9" s="270">
        <f t="shared" si="5"/>
        <v>-15586</v>
      </c>
      <c r="K9" s="270">
        <f t="shared" si="5"/>
        <v>-5571</v>
      </c>
      <c r="L9" s="270">
        <f t="shared" si="5"/>
        <v>0</v>
      </c>
      <c r="M9" s="270">
        <f t="shared" si="5"/>
        <v>0</v>
      </c>
      <c r="N9" s="270">
        <f t="shared" si="5"/>
        <v>0</v>
      </c>
      <c r="O9" s="270">
        <f t="shared" si="5"/>
        <v>0</v>
      </c>
      <c r="P9" s="270" t="str">
        <f t="shared" si="5"/>
        <v/>
      </c>
      <c r="Q9" s="270" t="str">
        <f t="shared" si="5"/>
        <v/>
      </c>
    </row>
    <row r="10" spans="1:17" ht="15.75" customHeight="1">
      <c r="A10" s="10"/>
      <c r="B10" s="2" t="s">
        <v>65</v>
      </c>
      <c r="C10" s="266">
        <f>C48</f>
        <v>-26442.723002608527</v>
      </c>
      <c r="E10" s="237"/>
      <c r="G10" s="266">
        <f>G48</f>
        <v>8822.1170187259777</v>
      </c>
      <c r="H10" s="266">
        <f t="shared" ref="H10:Q10" si="6">H48</f>
        <v>-1713.2514740014958</v>
      </c>
      <c r="I10" s="266">
        <f t="shared" si="6"/>
        <v>-33640</v>
      </c>
      <c r="J10" s="266">
        <f t="shared" si="6"/>
        <v>-29152</v>
      </c>
      <c r="K10" s="266">
        <f t="shared" si="6"/>
        <v>-50160</v>
      </c>
      <c r="L10" s="266">
        <f t="shared" si="6"/>
        <v>-72693</v>
      </c>
      <c r="M10" s="266">
        <f t="shared" si="6"/>
        <v>-58675</v>
      </c>
      <c r="N10" s="266">
        <f t="shared" si="6"/>
        <v>-21409</v>
      </c>
      <c r="O10" s="266">
        <f t="shared" si="6"/>
        <v>-26773</v>
      </c>
      <c r="P10" s="266" t="str">
        <f t="shared" si="6"/>
        <v/>
      </c>
      <c r="Q10" s="266" t="str">
        <f t="shared" si="6"/>
        <v/>
      </c>
    </row>
    <row r="11" spans="1:17" ht="15.75" customHeight="1">
      <c r="A11" s="10"/>
      <c r="B11" s="67" t="s">
        <v>137</v>
      </c>
      <c r="C11" s="267">
        <f>SUM(C8:C10)</f>
        <v>4698626.1416331232</v>
      </c>
      <c r="E11" s="237"/>
      <c r="G11" s="267">
        <f t="shared" ref="G11:Q11" si="7">IF(G$4="","",SUM(G8:G10))</f>
        <v>4898959.1170187257</v>
      </c>
      <c r="H11" s="267">
        <f t="shared" si="7"/>
        <v>4183115.7485259986</v>
      </c>
      <c r="I11" s="267">
        <f t="shared" si="7"/>
        <v>5819322</v>
      </c>
      <c r="J11" s="267">
        <f t="shared" si="7"/>
        <v>8025564</v>
      </c>
      <c r="K11" s="267">
        <f t="shared" si="7"/>
        <v>6999903</v>
      </c>
      <c r="L11" s="267">
        <f t="shared" si="7"/>
        <v>4775687</v>
      </c>
      <c r="M11" s="267">
        <f t="shared" si="7"/>
        <v>2718812</v>
      </c>
      <c r="N11" s="267">
        <f t="shared" si="7"/>
        <v>1269404</v>
      </c>
      <c r="O11" s="267">
        <f t="shared" si="7"/>
        <v>406809</v>
      </c>
      <c r="P11" s="267" t="str">
        <f t="shared" si="7"/>
        <v/>
      </c>
      <c r="Q11" s="267" t="str">
        <f t="shared" si="7"/>
        <v/>
      </c>
    </row>
    <row r="12" spans="1:17" ht="15.75" customHeight="1">
      <c r="A12" s="10"/>
      <c r="B12" s="2" t="s">
        <v>60</v>
      </c>
      <c r="C12" s="266">
        <f>-C11*C41</f>
        <v>-1174656.5354082808</v>
      </c>
      <c r="E12" s="237"/>
      <c r="G12" s="266">
        <f>Data!C46</f>
        <v>-1895606</v>
      </c>
      <c r="H12" s="266">
        <f>Data!D46</f>
        <v>-1559940</v>
      </c>
      <c r="I12" s="266">
        <f>Data!E46</f>
        <v>-1715003</v>
      </c>
      <c r="J12" s="266">
        <f>Data!F46</f>
        <v>-2757433</v>
      </c>
      <c r="K12" s="266">
        <f>Data!G46</f>
        <v>-2463857</v>
      </c>
      <c r="L12" s="266">
        <f>Data!H46</f>
        <v>-1748099</v>
      </c>
      <c r="M12" s="266">
        <f>Data!I46</f>
        <v>-946317</v>
      </c>
      <c r="N12" s="266">
        <f>Data!J46</f>
        <v>-490835</v>
      </c>
      <c r="O12" s="266">
        <f>Data!K46</f>
        <v>-188795</v>
      </c>
      <c r="P12" s="266" t="str">
        <f>Data!L46</f>
        <v/>
      </c>
      <c r="Q12" s="266" t="str">
        <f>Data!M46</f>
        <v/>
      </c>
    </row>
    <row r="13" spans="1:17" ht="15.75" customHeight="1">
      <c r="A13" s="10"/>
      <c r="B13" s="38" t="s">
        <v>208</v>
      </c>
      <c r="C13" s="266">
        <f>-C4*C79</f>
        <v>-83995</v>
      </c>
      <c r="D13" s="57"/>
      <c r="E13" s="242"/>
      <c r="F13" s="57"/>
      <c r="G13" s="270">
        <f>Data!C48</f>
        <v>-83995</v>
      </c>
      <c r="H13" s="270">
        <f>Data!D48</f>
        <v>0</v>
      </c>
      <c r="I13" s="270">
        <f>Data!E48</f>
        <v>-6058</v>
      </c>
      <c r="J13" s="270">
        <f>Data!F48</f>
        <v>-43852</v>
      </c>
      <c r="K13" s="270">
        <f>Data!G48</f>
        <v>0</v>
      </c>
      <c r="L13" s="270">
        <f>Data!H48</f>
        <v>0</v>
      </c>
      <c r="M13" s="270">
        <f>Data!I48</f>
        <v>0</v>
      </c>
      <c r="N13" s="270">
        <f>Data!J48</f>
        <v>0</v>
      </c>
      <c r="O13" s="270">
        <f>Data!K48</f>
        <v>0</v>
      </c>
      <c r="P13" s="270" t="str">
        <f>Data!L48</f>
        <v/>
      </c>
      <c r="Q13" s="270" t="str">
        <f>Data!M48</f>
        <v/>
      </c>
    </row>
    <row r="14" spans="1:17" ht="15.75" customHeight="1">
      <c r="A14" s="10"/>
      <c r="B14" s="39" t="s">
        <v>129</v>
      </c>
      <c r="C14" s="269">
        <f>SUM(C11:C13)</f>
        <v>3439974.6062248424</v>
      </c>
      <c r="D14" s="58"/>
      <c r="E14" s="243"/>
      <c r="F14" s="58"/>
      <c r="G14" s="267">
        <f t="shared" ref="G14:Q14" si="8">IF(G$4="","",SUM(G11:G13))</f>
        <v>2919358.1170187257</v>
      </c>
      <c r="H14" s="267">
        <f t="shared" si="8"/>
        <v>2623175.7485259986</v>
      </c>
      <c r="I14" s="267">
        <f t="shared" si="8"/>
        <v>4098261</v>
      </c>
      <c r="J14" s="267">
        <f t="shared" si="8"/>
        <v>5224279</v>
      </c>
      <c r="K14" s="267">
        <f t="shared" si="8"/>
        <v>4536046</v>
      </c>
      <c r="L14" s="267">
        <f t="shared" si="8"/>
        <v>3027588</v>
      </c>
      <c r="M14" s="267">
        <f t="shared" si="8"/>
        <v>1772495</v>
      </c>
      <c r="N14" s="267">
        <f t="shared" si="8"/>
        <v>778569</v>
      </c>
      <c r="O14" s="267">
        <f t="shared" si="8"/>
        <v>218014</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3439974.6062248424</v>
      </c>
      <c r="D19" s="26"/>
      <c r="E19" s="234"/>
      <c r="F19" s="26"/>
      <c r="G19" s="271">
        <f t="shared" ref="G19:Q19" si="9">IF(G$4="","",G14+G17)</f>
        <v>2919358.1170187257</v>
      </c>
      <c r="H19" s="271">
        <f t="shared" si="9"/>
        <v>2623175.7485259986</v>
      </c>
      <c r="I19" s="271">
        <f t="shared" si="9"/>
        <v>4098261</v>
      </c>
      <c r="J19" s="271">
        <f t="shared" si="9"/>
        <v>5224279</v>
      </c>
      <c r="K19" s="271">
        <f t="shared" si="9"/>
        <v>4536046</v>
      </c>
      <c r="L19" s="271">
        <f t="shared" si="9"/>
        <v>3027588</v>
      </c>
      <c r="M19" s="271">
        <f t="shared" si="9"/>
        <v>1772495</v>
      </c>
      <c r="N19" s="271">
        <f t="shared" si="9"/>
        <v>778569</v>
      </c>
      <c r="O19" s="271">
        <f t="shared" si="9"/>
        <v>218014</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-7148815.135364267</v>
      </c>
      <c r="D23" s="55"/>
      <c r="E23" s="236"/>
      <c r="F23" s="55"/>
      <c r="G23" s="270">
        <f>Data!C37</f>
        <v>-6983747</v>
      </c>
      <c r="H23" s="270">
        <f>Data!D37</f>
        <v>-6868850</v>
      </c>
      <c r="I23" s="270">
        <f>Data!E37</f>
        <v>-7360333</v>
      </c>
      <c r="J23" s="270">
        <f>Data!F37</f>
        <v>-6768676</v>
      </c>
      <c r="K23" s="270">
        <f>Data!G37</f>
        <v>-5112187</v>
      </c>
      <c r="L23" s="270">
        <f>Data!H37</f>
        <v>-4111918</v>
      </c>
      <c r="M23" s="270">
        <f>Data!I37</f>
        <v>-3372827</v>
      </c>
      <c r="N23" s="270">
        <f>Data!J37</f>
        <v>-2096800</v>
      </c>
      <c r="O23" s="270">
        <f>Data!K37</f>
        <v>-1690421</v>
      </c>
      <c r="P23" s="270" t="str">
        <f>Data!L37</f>
        <v/>
      </c>
      <c r="Q23" s="270" t="str">
        <f>Data!M37</f>
        <v/>
      </c>
    </row>
    <row r="24" spans="1:17" ht="15.75" customHeight="1">
      <c r="A24" s="10"/>
      <c r="B24" s="65" t="s">
        <v>59</v>
      </c>
      <c r="C24" s="266">
        <f>-C4*C30</f>
        <v>-7181223.0000000009</v>
      </c>
      <c r="D24" s="26"/>
      <c r="E24" s="234"/>
      <c r="F24" s="26"/>
      <c r="G24" s="270">
        <f>Data!C40</f>
        <v>-7181223</v>
      </c>
      <c r="H24" s="270">
        <f>Data!D40</f>
        <v>-6709067</v>
      </c>
      <c r="I24" s="270">
        <f>Data!E40</f>
        <v>-6545373</v>
      </c>
      <c r="J24" s="270">
        <f>Data!F40</f>
        <v>-6729305</v>
      </c>
      <c r="K24" s="270">
        <f>Data!G40</f>
        <v>-5263430</v>
      </c>
      <c r="L24" s="270">
        <f>Data!H40</f>
        <v>-3847985</v>
      </c>
      <c r="M24" s="270">
        <f>Data!I40</f>
        <v>-3661314</v>
      </c>
      <c r="N24" s="270">
        <f>Data!J40</f>
        <v>-2139107</v>
      </c>
      <c r="O24" s="270">
        <f>Data!K40</f>
        <v>-1369520</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c r="A26" s="10"/>
      <c r="B26" s="67" t="s">
        <v>43</v>
      </c>
      <c r="C26" s="267">
        <f>SUM(C23:C25)</f>
        <v>-14330038.135364268</v>
      </c>
      <c r="D26" s="9"/>
      <c r="E26" s="240"/>
      <c r="F26" s="9"/>
      <c r="G26" s="267">
        <f>IF(G$4="","",SUM(G23:G25))</f>
        <v>-14164970</v>
      </c>
      <c r="H26" s="267">
        <f t="shared" ref="H26:Q26" si="10">IF(H$4="","",SUM(H23:H25))</f>
        <v>-13577917</v>
      </c>
      <c r="I26" s="267">
        <f t="shared" si="10"/>
        <v>-13905706</v>
      </c>
      <c r="J26" s="267">
        <f t="shared" si="10"/>
        <v>-13497981</v>
      </c>
      <c r="K26" s="267">
        <f t="shared" si="10"/>
        <v>-10375617</v>
      </c>
      <c r="L26" s="267">
        <f t="shared" si="10"/>
        <v>-7959903</v>
      </c>
      <c r="M26" s="267">
        <f t="shared" si="10"/>
        <v>-7034141</v>
      </c>
      <c r="N26" s="267">
        <f t="shared" si="10"/>
        <v>-4235907</v>
      </c>
      <c r="O26" s="267">
        <f t="shared" si="10"/>
        <v>-3059941</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AVERAGE(G29:I29)</f>
        <v>0.34454528800153589</v>
      </c>
      <c r="D29" s="25"/>
      <c r="E29" s="235"/>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5"/>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0.69065250995198546</v>
      </c>
      <c r="E32" s="237"/>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-1681261</v>
      </c>
      <c r="D35" s="55"/>
      <c r="E35" s="236"/>
      <c r="F35" s="55"/>
      <c r="G35" s="267">
        <f>IF(G4="","",Data!C41)</f>
        <v>-1681261</v>
      </c>
      <c r="H35" s="267">
        <f>IF(H4="","",Data!D41)</f>
        <v>-1762049</v>
      </c>
      <c r="I35" s="267">
        <f>IF(I4="","",Data!E41)</f>
        <v>-1535012</v>
      </c>
      <c r="J35" s="267">
        <f>IF(J4="","",Data!F41)</f>
        <v>-1207982</v>
      </c>
      <c r="K35" s="267">
        <f>IF(K4="","",Data!G41)</f>
        <v>-1161214</v>
      </c>
      <c r="L35" s="267">
        <f>IF(L4="","",Data!H41)</f>
        <v>-913226</v>
      </c>
      <c r="M35" s="267">
        <f>IF(M4="","",Data!I41)</f>
        <v>-580289</v>
      </c>
      <c r="N35" s="267">
        <f>IF(N4="","",Data!J41)</f>
        <v>-360540</v>
      </c>
      <c r="O35" s="267">
        <f>IF(O4="","",Data!K41)</f>
        <v>-230858</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8.1030288863559147E-2</v>
      </c>
      <c r="E38" s="237"/>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0.38694056323408876</v>
      </c>
      <c r="H41" s="6">
        <f t="shared" si="16"/>
        <v>0.37291341999075089</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-44646</v>
      </c>
      <c r="E45" s="237"/>
      <c r="G45" s="266">
        <f>Data!C51</f>
        <v>-44646</v>
      </c>
      <c r="H45" s="266">
        <f>Data!D51</f>
        <v>-53132</v>
      </c>
      <c r="I45" s="266">
        <f>Data!E51</f>
        <v>-33640</v>
      </c>
      <c r="J45" s="266">
        <f>Data!F51</f>
        <v>-29152</v>
      </c>
      <c r="K45" s="266">
        <f>Data!G51</f>
        <v>-50160</v>
      </c>
      <c r="L45" s="266">
        <f>Data!H51</f>
        <v>-72693</v>
      </c>
      <c r="M45" s="266">
        <f>Data!I51</f>
        <v>-58675</v>
      </c>
      <c r="N45" s="266">
        <f>Data!J51</f>
        <v>-21409</v>
      </c>
      <c r="O45" s="266">
        <f>Data!K51</f>
        <v>-26773</v>
      </c>
      <c r="P45" s="266" t="str">
        <f>Data!L51</f>
        <v/>
      </c>
      <c r="Q45" s="266" t="str">
        <f>Data!M51</f>
        <v/>
      </c>
    </row>
    <row r="46" spans="1:17" ht="15.75" customHeight="1">
      <c r="A46" s="10"/>
      <c r="B46" s="2" t="s">
        <v>272</v>
      </c>
      <c r="C46" s="266">
        <f>BS!D75*C51</f>
        <v>18203.276997391473</v>
      </c>
      <c r="E46" s="237"/>
      <c r="G46" s="274">
        <f t="shared" ref="G46:Q46" si="17">IFERROR(IF(G$4="","",($C$46/$C$47)*G47),0)</f>
        <v>53468.117018725978</v>
      </c>
      <c r="H46" s="274">
        <f t="shared" si="17"/>
        <v>51418.748525998504</v>
      </c>
      <c r="I46" s="274">
        <f t="shared" si="17"/>
        <v>0</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c r="A47" s="10"/>
      <c r="B47" s="245" t="s">
        <v>269</v>
      </c>
      <c r="C47" s="278">
        <f>BS!$C$66*C51</f>
        <v>105647.07</v>
      </c>
      <c r="D47" s="246"/>
      <c r="E47" s="247"/>
      <c r="F47" s="246"/>
      <c r="G47" s="278">
        <f>Data!C52</f>
        <v>310315</v>
      </c>
      <c r="H47" s="278">
        <f>Data!D52</f>
        <v>298421</v>
      </c>
      <c r="I47" s="278">
        <f>Data!E52</f>
        <v>0</v>
      </c>
      <c r="J47" s="278">
        <f>Data!F52</f>
        <v>0</v>
      </c>
      <c r="K47" s="278">
        <f>Data!G52</f>
        <v>0</v>
      </c>
      <c r="L47" s="278">
        <f>Data!H52</f>
        <v>0</v>
      </c>
      <c r="M47" s="278">
        <f>Data!I52</f>
        <v>0</v>
      </c>
      <c r="N47" s="278">
        <f>Data!J52</f>
        <v>0</v>
      </c>
      <c r="O47" s="278">
        <f>Data!K52</f>
        <v>0</v>
      </c>
      <c r="P47" s="278" t="str">
        <f>Data!L52</f>
        <v/>
      </c>
      <c r="Q47" s="278" t="str">
        <f>Data!M52</f>
        <v/>
      </c>
    </row>
    <row r="48" spans="1:17" ht="15.75" customHeight="1">
      <c r="A48" s="10"/>
      <c r="B48" s="67" t="s">
        <v>65</v>
      </c>
      <c r="C48" s="267">
        <f>C45+C46</f>
        <v>-26442.723002608527</v>
      </c>
      <c r="E48" s="237"/>
      <c r="G48" s="267">
        <f>IF(G$4="","",(G45+G46))</f>
        <v>8822.1170187259777</v>
      </c>
      <c r="H48" s="267">
        <f t="shared" ref="H48:Q48" si="18">IF(H$4="","",(H45+H46))</f>
        <v>-1713.2514740014958</v>
      </c>
      <c r="I48" s="267">
        <f t="shared" si="18"/>
        <v>-33640</v>
      </c>
      <c r="J48" s="267">
        <f t="shared" si="18"/>
        <v>-29152</v>
      </c>
      <c r="K48" s="267">
        <f t="shared" si="18"/>
        <v>-50160</v>
      </c>
      <c r="L48" s="267">
        <f t="shared" si="18"/>
        <v>-72693</v>
      </c>
      <c r="M48" s="267">
        <f t="shared" si="18"/>
        <v>-58675</v>
      </c>
      <c r="N48" s="267">
        <f t="shared" si="18"/>
        <v>-21409</v>
      </c>
      <c r="O48" s="267">
        <f t="shared" si="18"/>
        <v>-26773</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4"/>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106.10694943859993</v>
      </c>
      <c r="E53" s="237"/>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c r="A57" s="10"/>
      <c r="B57" s="38" t="s">
        <v>134</v>
      </c>
      <c r="C57" s="266">
        <f>BS!$C68*C65</f>
        <v>-12182</v>
      </c>
      <c r="E57" s="237"/>
      <c r="G57" s="266">
        <f>Data!C55</f>
        <v>-12182</v>
      </c>
      <c r="H57" s="266">
        <f>Data!D55</f>
        <v>-7408</v>
      </c>
      <c r="I57" s="266">
        <f>Data!E55</f>
        <v>-17253</v>
      </c>
      <c r="J57" s="266">
        <f>Data!F55</f>
        <v>-15586</v>
      </c>
      <c r="K57" s="266">
        <f>Data!G55</f>
        <v>-5571</v>
      </c>
      <c r="L57" s="266">
        <f>Data!H55</f>
        <v>0</v>
      </c>
      <c r="M57" s="266">
        <f>Data!I55</f>
        <v>0</v>
      </c>
      <c r="N57" s="266">
        <f>Data!J55</f>
        <v>0</v>
      </c>
      <c r="O57" s="266">
        <f>Data!K55</f>
        <v>0</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c r="A59" s="10"/>
      <c r="B59" s="30" t="s">
        <v>163</v>
      </c>
      <c r="C59" s="267">
        <f>SUM(C56:C58)</f>
        <v>-12182</v>
      </c>
      <c r="E59" s="237"/>
      <c r="G59" s="267">
        <f t="shared" ref="G59:Q59" si="20">IF(G4="","",SUM(G56:G58))</f>
        <v>-12182</v>
      </c>
      <c r="H59" s="267">
        <f t="shared" si="20"/>
        <v>-7408</v>
      </c>
      <c r="I59" s="267">
        <f t="shared" si="20"/>
        <v>-17253</v>
      </c>
      <c r="J59" s="267">
        <f t="shared" si="20"/>
        <v>-15586</v>
      </c>
      <c r="K59" s="267">
        <f t="shared" si="20"/>
        <v>-5571</v>
      </c>
      <c r="L59" s="267">
        <f t="shared" si="20"/>
        <v>0</v>
      </c>
      <c r="M59" s="267">
        <f t="shared" si="20"/>
        <v>0</v>
      </c>
      <c r="N59" s="267">
        <f t="shared" si="20"/>
        <v>0</v>
      </c>
      <c r="O59" s="267">
        <f t="shared" si="20"/>
        <v>0</v>
      </c>
      <c r="P59" s="267" t="str">
        <f t="shared" si="20"/>
        <v/>
      </c>
      <c r="Q59" s="267" t="str">
        <f t="shared" si="20"/>
        <v/>
      </c>
    </row>
    <row r="60" spans="1:17" ht="15.75" customHeight="1">
      <c r="A60" s="10"/>
      <c r="B60" s="38" t="s">
        <v>135</v>
      </c>
      <c r="C60" s="279">
        <v>0</v>
      </c>
      <c r="E60" s="235" t="s">
        <v>264</v>
      </c>
      <c r="G60" s="266">
        <f>Data!C58</f>
        <v>393920</v>
      </c>
      <c r="H60" s="266">
        <f>Data!D58</f>
        <v>420174</v>
      </c>
      <c r="I60" s="266">
        <f>Data!E58</f>
        <v>843787</v>
      </c>
      <c r="J60" s="266">
        <f>Data!F58</f>
        <v>1646765</v>
      </c>
      <c r="K60" s="266">
        <f>Data!G58</f>
        <v>2900586</v>
      </c>
      <c r="L60" s="266">
        <f>Data!H58</f>
        <v>906989</v>
      </c>
      <c r="M60" s="266">
        <f>Data!I58</f>
        <v>469759</v>
      </c>
      <c r="N60" s="266">
        <f>Data!J58</f>
        <v>381657</v>
      </c>
      <c r="O60" s="266">
        <f>Data!K58</f>
        <v>188138</v>
      </c>
      <c r="P60" s="266" t="str">
        <f>Data!L58</f>
        <v/>
      </c>
      <c r="Q60" s="266" t="str">
        <f>Data!M58</f>
        <v/>
      </c>
    </row>
    <row r="61" spans="1:17" ht="15.75" customHeight="1">
      <c r="A61" s="10"/>
      <c r="B61" s="30" t="s">
        <v>164</v>
      </c>
      <c r="C61" s="267">
        <f>C59+C60</f>
        <v>-12182</v>
      </c>
      <c r="E61" s="237"/>
      <c r="G61" s="267">
        <f t="shared" ref="G61:Q61" si="21">IF(G4="","",G59+G60)</f>
        <v>381738</v>
      </c>
      <c r="H61" s="267">
        <f t="shared" si="21"/>
        <v>412766</v>
      </c>
      <c r="I61" s="267">
        <f t="shared" si="21"/>
        <v>826534</v>
      </c>
      <c r="J61" s="267">
        <f t="shared" si="21"/>
        <v>1631179</v>
      </c>
      <c r="K61" s="267">
        <f t="shared" si="21"/>
        <v>2895015</v>
      </c>
      <c r="L61" s="267">
        <f t="shared" si="21"/>
        <v>906989</v>
      </c>
      <c r="M61" s="267">
        <f t="shared" si="21"/>
        <v>469759</v>
      </c>
      <c r="N61" s="267">
        <f t="shared" si="21"/>
        <v>381657</v>
      </c>
      <c r="O61" s="267">
        <f t="shared" si="21"/>
        <v>188138</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7"/>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0"/>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0.69065250995198546</v>
      </c>
      <c r="D71" s="26"/>
      <c r="E71" s="234"/>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0.30934749004801454</v>
      </c>
      <c r="D72" s="26"/>
      <c r="E72" s="234"/>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4"/>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0.22831720118445539</v>
      </c>
      <c r="D74" s="26"/>
      <c r="E74" s="234"/>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4"/>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1.2744371535653588E-3</v>
      </c>
      <c r="D76" s="26"/>
      <c r="E76" s="234"/>
      <c r="F76" s="26"/>
      <c r="G76" s="6">
        <f t="shared" ref="G76:Q76" si="28">IF(G$4="","",ABS(G10/G$4))</f>
        <v>4.2519197817322065E-4</v>
      </c>
      <c r="H76" s="6">
        <f t="shared" si="28"/>
        <v>8.7714195577503256E-5</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0.22645563866550306</v>
      </c>
      <c r="D77" s="26"/>
      <c r="E77" s="234"/>
      <c r="F77" s="26"/>
      <c r="G77" s="62">
        <f t="shared" ref="G77:Q77" si="29">IF(G$4="","",G11/G$4)</f>
        <v>0.23611091459493438</v>
      </c>
      <c r="H77" s="62">
        <f t="shared" si="29"/>
        <v>0.21416507643945737</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5.6613909666375764E-2</v>
      </c>
      <c r="D78" s="26"/>
      <c r="E78" s="234"/>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4.0482346959185098E-3</v>
      </c>
      <c r="D79" s="26"/>
      <c r="E79" s="234"/>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0.16579349430320878</v>
      </c>
      <c r="D80" s="26"/>
      <c r="E80" s="234"/>
      <c r="F80" s="26"/>
      <c r="G80" s="62">
        <f t="shared" ref="G80:Q80" si="32">IF(G$4="","",ABS(G14/G$4))</f>
        <v>0.14070178961993612</v>
      </c>
      <c r="H80" s="62">
        <f t="shared" si="32"/>
        <v>0.13430004534183873</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0.16579349430320878</v>
      </c>
      <c r="D85" s="72"/>
      <c r="E85" s="234"/>
      <c r="F85" s="72"/>
      <c r="G85" s="62">
        <f t="shared" ref="G85:Q85" si="35">IF(G$4="","",ABS(G19/G$4))</f>
        <v>0.14070178961993612</v>
      </c>
      <c r="H85" s="62">
        <f t="shared" si="35"/>
        <v>0.13430004534183873</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0.1209*2</f>
        <v>0.24179999999999999</v>
      </c>
      <c r="E88" s="237"/>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0.63720757067819134</v>
      </c>
      <c r="E90" s="237"/>
      <c r="G90" s="152">
        <f t="shared" ref="G90:Q90" si="37">IF(G$4="","",G88/(G19*scaling_factor/Common_Shares))</f>
        <v>1.0135440866046448</v>
      </c>
      <c r="H90" s="152">
        <f t="shared" si="37"/>
        <v>0.97903688275034628</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6.4652406417112299E-2</v>
      </c>
      <c r="E92" s="237"/>
      <c r="G92" s="22">
        <f t="shared" ref="G92:Q92" si="38">IF(G$4="","",(G88*(1-dividend_tax_rate))/Market_Price)</f>
        <v>8.727272727272728E-2</v>
      </c>
      <c r="H92" s="22">
        <f t="shared" si="38"/>
        <v>7.5748663101604274E-2</v>
      </c>
      <c r="I92" s="22">
        <f t="shared" si="38"/>
        <v>7.6256684491978602E-2</v>
      </c>
      <c r="J92" s="22">
        <f t="shared" si="38"/>
        <v>0.12582887700534759</v>
      </c>
      <c r="K92" s="22">
        <f t="shared" si="38"/>
        <v>7.9171122994652413E-2</v>
      </c>
      <c r="L92" s="22">
        <f t="shared" si="38"/>
        <v>0</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-4.0892967383552192E-2</v>
      </c>
      <c r="D96" s="26"/>
      <c r="E96" s="234"/>
      <c r="F96" s="26"/>
      <c r="G96" s="6">
        <f t="shared" ref="G96:Q96" si="40">IF(H5="","",G11/H11-1)</f>
        <v>0.17112683739267043</v>
      </c>
      <c r="H96" s="6">
        <f t="shared" si="40"/>
        <v>-0.28116784936011474</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33902693</v>
      </c>
      <c r="D100" s="25"/>
      <c r="E100" s="238"/>
      <c r="F100" s="25"/>
      <c r="G100" s="270">
        <f t="shared" ref="G100:Q100" si="41">IF(G$4="","",G104+G103)</f>
        <v>33902693</v>
      </c>
      <c r="H100" s="270">
        <f t="shared" si="41"/>
        <v>36194678</v>
      </c>
      <c r="I100" s="270">
        <f t="shared" si="41"/>
        <v>35515773</v>
      </c>
      <c r="J100" s="270">
        <f t="shared" si="41"/>
        <v>31481424</v>
      </c>
      <c r="K100" s="270">
        <f t="shared" si="41"/>
        <v>28322838</v>
      </c>
      <c r="L100" s="270">
        <f t="shared" si="41"/>
        <v>23003749</v>
      </c>
      <c r="M100" s="270">
        <f t="shared" si="41"/>
        <v>11857435</v>
      </c>
      <c r="N100" s="270">
        <f t="shared" si="41"/>
        <v>7013558</v>
      </c>
      <c r="O100" s="270">
        <f t="shared" si="41"/>
        <v>4694947</v>
      </c>
      <c r="P100" s="270" t="str">
        <f t="shared" si="41"/>
        <v/>
      </c>
      <c r="Q100" s="270" t="str">
        <f t="shared" si="41"/>
        <v/>
      </c>
    </row>
    <row r="101" spans="1:17" ht="15.75" customHeight="1">
      <c r="A101" s="10"/>
      <c r="B101" s="90" t="s">
        <v>179</v>
      </c>
      <c r="C101" s="281">
        <f>BS!C4</f>
        <v>334915</v>
      </c>
      <c r="D101" s="86"/>
      <c r="E101" s="239"/>
      <c r="F101" s="86"/>
      <c r="G101" s="282">
        <f>IF(G$4="","",Data!D77)</f>
        <v>431184</v>
      </c>
      <c r="H101" s="282">
        <f>IF(H$4="","",Data!E77)</f>
        <v>430651</v>
      </c>
      <c r="I101" s="282">
        <f>IF(I$4="","",Data!F77)</f>
        <v>477328</v>
      </c>
      <c r="J101" s="282">
        <f>IF(J$4="","",Data!G77)</f>
        <v>288808</v>
      </c>
      <c r="K101" s="282">
        <f>IF(K$4="","",Data!H77)</f>
        <v>314353</v>
      </c>
      <c r="L101" s="282">
        <f>IF(L$4="","",Data!I77)</f>
        <v>0</v>
      </c>
      <c r="M101" s="282">
        <f>IF(M$4="","",Data!J77)</f>
        <v>0</v>
      </c>
      <c r="N101" s="282">
        <f>IF(N$4="","",Data!K77)</f>
        <v>0</v>
      </c>
      <c r="O101" s="282">
        <f>IF(O$4="","",Data!L77)</f>
        <v>0</v>
      </c>
      <c r="P101" s="282" t="str">
        <f>IF(P$4="","",Data!M77)</f>
        <v/>
      </c>
      <c r="Q101" s="282" t="str">
        <f>IF(Q$4="","",Data!N77)</f>
        <v/>
      </c>
    </row>
    <row r="102" spans="1:17" ht="15.75" customHeight="1">
      <c r="A102" s="10"/>
      <c r="B102" s="90" t="s">
        <v>180</v>
      </c>
      <c r="C102" s="281">
        <f>BS!C6+BS!C7</f>
        <v>2050919</v>
      </c>
      <c r="D102" s="86"/>
      <c r="E102" s="239"/>
      <c r="F102" s="86"/>
      <c r="G102" s="282">
        <f>IF(G$4="","",Data!D78)</f>
        <v>2258059</v>
      </c>
      <c r="H102" s="282">
        <f>IF(H$4="","",Data!E78)</f>
        <v>1994166</v>
      </c>
      <c r="I102" s="282">
        <f>IF(I$4="","",Data!F78)</f>
        <v>1721807</v>
      </c>
      <c r="J102" s="282">
        <f>IF(J$4="","",Data!G78)</f>
        <v>1284472</v>
      </c>
      <c r="K102" s="282">
        <f>IF(K$4="","",Data!H78)</f>
        <v>686094</v>
      </c>
      <c r="L102" s="282">
        <f>IF(L$4="","",Data!I78)</f>
        <v>0</v>
      </c>
      <c r="M102" s="282">
        <f>IF(M$4="","",Data!J78)</f>
        <v>0</v>
      </c>
      <c r="N102" s="282">
        <f>IF(N$4="","",Data!K78)</f>
        <v>0</v>
      </c>
      <c r="O102" s="282">
        <f>IF(O$4="","",Data!L78)</f>
        <v>0</v>
      </c>
      <c r="P102" s="282" t="str">
        <f>IF(P$4="","",Data!M78)</f>
        <v/>
      </c>
      <c r="Q102" s="282" t="str">
        <f>IF(Q$4="","",Data!N78)</f>
        <v/>
      </c>
    </row>
    <row r="103" spans="1:17" ht="15.75" customHeight="1">
      <c r="A103" s="10"/>
      <c r="B103" s="25" t="s">
        <v>38</v>
      </c>
      <c r="C103" s="280">
        <f>BS!G30</f>
        <v>6749408</v>
      </c>
      <c r="D103" s="25"/>
      <c r="E103" s="238"/>
      <c r="F103" s="25"/>
      <c r="G103" s="270">
        <f>Data!C79</f>
        <v>6749408</v>
      </c>
      <c r="H103" s="270">
        <f>Data!D79</f>
        <v>9860332</v>
      </c>
      <c r="I103" s="270">
        <f>Data!E79</f>
        <v>10040830</v>
      </c>
      <c r="J103" s="270">
        <f>Data!F79</f>
        <v>9078054</v>
      </c>
      <c r="K103" s="270">
        <f>Data!G79</f>
        <v>9137313</v>
      </c>
      <c r="L103" s="270">
        <f>Data!H79</f>
        <v>9974171</v>
      </c>
      <c r="M103" s="270">
        <f>Data!I79</f>
        <v>6069951</v>
      </c>
      <c r="N103" s="270">
        <f>Data!J79</f>
        <v>3428545</v>
      </c>
      <c r="O103" s="270">
        <f>Data!K79</f>
        <v>2318007</v>
      </c>
      <c r="P103" s="270" t="str">
        <f>Data!L79</f>
        <v/>
      </c>
      <c r="Q103" s="270" t="str">
        <f>Data!M79</f>
        <v/>
      </c>
    </row>
    <row r="104" spans="1:17" ht="15.75" customHeight="1">
      <c r="A104" s="10"/>
      <c r="B104" s="25" t="s">
        <v>28</v>
      </c>
      <c r="C104" s="280">
        <f>BS!G27</f>
        <v>27153285</v>
      </c>
      <c r="D104" s="25"/>
      <c r="E104" s="238"/>
      <c r="F104" s="25"/>
      <c r="G104" s="270">
        <f>Data!C80</f>
        <v>27153285</v>
      </c>
      <c r="H104" s="270">
        <f>Data!D80</f>
        <v>26334346</v>
      </c>
      <c r="I104" s="270">
        <f>Data!E80</f>
        <v>25474943</v>
      </c>
      <c r="J104" s="270">
        <f>Data!F80</f>
        <v>22403370</v>
      </c>
      <c r="K104" s="270">
        <f>Data!G80</f>
        <v>19185525</v>
      </c>
      <c r="L104" s="270">
        <f>Data!H80</f>
        <v>13029578</v>
      </c>
      <c r="M104" s="270">
        <f>Data!I80</f>
        <v>5787484</v>
      </c>
      <c r="N104" s="270">
        <f>Data!J80</f>
        <v>3585013</v>
      </c>
      <c r="O104" s="270">
        <f>Data!K80</f>
        <v>2376940</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8"/>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8"/>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1.1437262596740119</v>
      </c>
      <c r="H112" s="251">
        <f>IF(H$4="","",Data!D$22/Data!D15)</f>
        <v>1.2598487942931333</v>
      </c>
      <c r="I112" s="251">
        <f>IF(I$4="","",Data!E$22/Data!E15)</f>
        <v>1.2689863555873702</v>
      </c>
      <c r="J112" s="251">
        <f>IF(J$4="","",Data!F$22/Data!F15)</f>
        <v>0.9855443957508544</v>
      </c>
      <c r="K112" s="251">
        <f>IF(K$4="","",Data!G$22/Data!G15)</f>
        <v>1.0418658607821389</v>
      </c>
      <c r="L112" s="251">
        <f>IF(L$4="","",Data!H$22/Data!H15)</f>
        <v>1.3166688566521891</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c r="A113" s="10"/>
      <c r="B113" s="2" t="s">
        <v>304</v>
      </c>
      <c r="C113" s="151"/>
      <c r="E113" s="459">
        <f>(Normalized_FCF!E117/Normalized_FCF!C117)^(1/DCF!C15)-1</f>
        <v>0</v>
      </c>
      <c r="G113" s="251">
        <f>IF(G$4="","",Data!C$22/G19)</f>
        <v>1.4315862708436577</v>
      </c>
      <c r="H113" s="251">
        <f>IF(H$4="","",Data!D$22/H19)</f>
        <v>1.580277647172261</v>
      </c>
      <c r="I113" s="251">
        <f>IF(I$4="","",Data!E$22/I19)</f>
        <v>1.5321325313346319</v>
      </c>
      <c r="J113" s="251">
        <f>IF(J$4="","",Data!F$22/J19)</f>
        <v>1.3044741676315526</v>
      </c>
      <c r="K113" s="251">
        <f>IF(K$4="","",Data!G$22/K19)</f>
        <v>1.7080896005022876</v>
      </c>
      <c r="L113" s="251">
        <f>IF(L$4="","",Data!H$22/L19)</f>
        <v>1.7111096357892817</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0.22645563866550306</v>
      </c>
      <c r="E116" s="22">
        <f>E119/E117/E118</f>
        <v>0.22645563866550303</v>
      </c>
      <c r="G116" s="22">
        <f t="shared" ref="G116:Q116" si="44">IF(G4="","",G77)</f>
        <v>0.23611091459493438</v>
      </c>
      <c r="H116" s="22">
        <f t="shared" si="44"/>
        <v>0.21416507643945737</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52">
        <f>G117</f>
        <v>0.61200300518899786</v>
      </c>
      <c r="E117" s="452">
        <f>C117</f>
        <v>0.61200300518899786</v>
      </c>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15">
        <f>C100/C104</f>
        <v>1.2485669045200241</v>
      </c>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62">
        <f>C11/C104</f>
        <v>0.17304079935938224</v>
      </c>
      <c r="D119" s="100"/>
      <c r="E119" s="453">
        <f>C11/C104</f>
        <v>0.17304079935938224</v>
      </c>
      <c r="F119" s="100"/>
      <c r="G119" s="99">
        <f t="shared" ref="G119:Q119" si="47">IF(G$4="","",G11/G104)</f>
        <v>0.1804186534711629</v>
      </c>
      <c r="H119" s="99">
        <f t="shared" si="47"/>
        <v>0.15884638823101963</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0.43103904918717939</v>
      </c>
      <c r="D123" s="26"/>
      <c r="E123" s="234"/>
      <c r="F123" s="26"/>
      <c r="G123" s="159">
        <f t="shared" ref="G123:Q123" si="48">IF(G$4="","",G14*$C$3/Common_Shares*Exchange_Rate)</f>
        <v>0.36580425469407596</v>
      </c>
      <c r="H123" s="159">
        <f t="shared" si="48"/>
        <v>0.32869172302884436</v>
      </c>
      <c r="I123" s="159">
        <f t="shared" si="48"/>
        <v>0.51352429217480011</v>
      </c>
      <c r="J123" s="159">
        <f t="shared" si="48"/>
        <v>0.65461769652998492</v>
      </c>
      <c r="K123" s="159">
        <f t="shared" si="48"/>
        <v>0.5683800547164598</v>
      </c>
      <c r="L123" s="159">
        <f t="shared" si="48"/>
        <v>0.37936578092437712</v>
      </c>
      <c r="M123" s="159">
        <f t="shared" si="48"/>
        <v>0.22209889517977802</v>
      </c>
      <c r="N123" s="159">
        <f t="shared" si="48"/>
        <v>9.7557011287041501E-2</v>
      </c>
      <c r="O123" s="159">
        <f t="shared" si="48"/>
        <v>2.7317802608032252E-2</v>
      </c>
      <c r="P123" s="159" t="str">
        <f t="shared" si="48"/>
        <v/>
      </c>
      <c r="Q123" s="159" t="str">
        <f t="shared" si="48"/>
        <v/>
      </c>
    </row>
    <row r="124" spans="1:17" ht="15.75" customHeight="1">
      <c r="A124" s="10"/>
      <c r="B124" s="26" t="s">
        <v>226</v>
      </c>
      <c r="C124" s="74">
        <f>C19*Exchange_Rate*$C$3/(Market_Price*Common_Shares)</f>
        <v>0.11525108267036881</v>
      </c>
      <c r="D124" s="26"/>
      <c r="E124" s="234"/>
      <c r="F124" s="26"/>
      <c r="G124" s="74">
        <f t="shared" ref="G124" si="49">IF(G$4="","",G123/Market_Price)</f>
        <v>9.7808624249752923E-2</v>
      </c>
      <c r="H124" s="74">
        <f t="shared" ref="H124" si="50">IF(H$4="","",H123/Market_Price)</f>
        <v>8.7885487440867466E-2</v>
      </c>
      <c r="I124" s="74">
        <f t="shared" ref="I124" si="51">IF(I$4="","",I123/Market_Price)</f>
        <v>0.13730596047454546</v>
      </c>
      <c r="J124" s="74">
        <f t="shared" ref="J124" si="52">IF(J$4="","",J123/Market_Price)</f>
        <v>0.17503146966042377</v>
      </c>
      <c r="K124" s="74">
        <f t="shared" ref="K124" si="53">IF(K$4="","",K123/Market_Price)</f>
        <v>0.15197327666215502</v>
      </c>
      <c r="L124" s="74">
        <f t="shared" ref="L124" si="54">IF(L$4="","",L123/Market_Price)</f>
        <v>0.101434700781919</v>
      </c>
      <c r="M124" s="74">
        <f t="shared" ref="M124" si="55">IF(M$4="","",M123/Market_Price)</f>
        <v>5.9384731331491442E-2</v>
      </c>
      <c r="N124" s="74">
        <f t="shared" ref="N124" si="56">IF(N$4="","",N123/Market_Price)</f>
        <v>2.6084762376214304E-2</v>
      </c>
      <c r="O124" s="74">
        <f t="shared" ref="O124" si="57">IF(O$4="","",O123/Market_Price)</f>
        <v>7.3042252962653076E-3</v>
      </c>
      <c r="P124" s="74" t="str">
        <f t="shared" ref="P124" si="58">IF(P$4="","",P123/Market_Price)</f>
        <v/>
      </c>
      <c r="Q124" s="74" t="str">
        <f t="shared" ref="Q124" si="59">IF(Q$4="","",Q123/Market_Price)</f>
        <v/>
      </c>
    </row>
    <row r="125" spans="1:17" ht="15.75" customHeight="1">
      <c r="B125" s="2" t="s">
        <v>306</v>
      </c>
      <c r="C125" s="151"/>
      <c r="G125" s="22">
        <f>IF(G$4="","",(Data!C47*$C$3)/(Market_Price*Common_Shares))</f>
        <v>0.10777830170164684</v>
      </c>
      <c r="H125" s="22">
        <f>IF(H$4="","",(Data!D47*$C$3)/(Market_Price*Common_Shares))</f>
        <v>9.7048961326014774E-2</v>
      </c>
      <c r="I125" s="22">
        <f>IF(I$4="","",(Data!E47*$C$3)/(Market_Price*Common_Shares))</f>
        <v>0.145944430210209</v>
      </c>
      <c r="J125" s="22">
        <f>IF(J$4="","",(Data!F47*$C$3)/(Market_Price*Common_Shares))</f>
        <v>0.20395491864621604</v>
      </c>
      <c r="K125" s="22">
        <f>IF(K$4="","",(Data!G47*$C$3)/(Market_Price*Common_Shares))</f>
        <v>0.21934352657825176</v>
      </c>
      <c r="L125" s="22">
        <f>IF(L$4="","",(Data!H47*$C$3)/(Market_Price*Common_Shares))</f>
        <v>0.11605038339582732</v>
      </c>
      <c r="M125" s="22">
        <f>IF(M$4="","",(Data!I47*$C$3)/(Market_Price*Common_Shares))</f>
        <v>6.6135301551050435E-2</v>
      </c>
      <c r="N125" s="22">
        <f>IF(N$4="","",(Data!J47*$C$3)/(Market_Price*Common_Shares))</f>
        <v>3.42208761261521E-2</v>
      </c>
      <c r="O125" s="22">
        <f>IF(O$4="","",(Data!K47*$C$3)/(Market_Price*Common_Shares))</f>
        <v>1.1979456830297655E-2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3439974.6062248424</v>
      </c>
      <c r="D4" t="str">
        <f>Reporting_currency</f>
        <v>CNY</v>
      </c>
      <c r="E4" s="135" t="s">
        <v>431</v>
      </c>
      <c r="F4" s="275">
        <f>-BS!G31</f>
        <v>-845013</v>
      </c>
      <c r="G4" t="str">
        <f>Reporting_currency</f>
        <v>CNY</v>
      </c>
      <c r="H4" s="308" t="s">
        <v>394</v>
      </c>
      <c r="I4" s="305">
        <f>Normalized_FCF!C4</f>
        <v>20748550</v>
      </c>
      <c r="J4" s="305"/>
    </row>
    <row r="5" spans="2:15">
      <c r="B5" s="187" t="s">
        <v>105</v>
      </c>
      <c r="C5" s="188">
        <f>Equity_Cost</f>
        <v>7.2499999999999995E-2</v>
      </c>
      <c r="E5" s="135" t="s">
        <v>432</v>
      </c>
      <c r="F5" s="275">
        <f>BS!D66</f>
        <v>14573965.500434754</v>
      </c>
      <c r="G5" t="str">
        <f>Reporting_currency</f>
        <v>CNY</v>
      </c>
      <c r="H5" s="308" t="s">
        <v>395</v>
      </c>
      <c r="I5" s="305">
        <f>Normalized_FCF!C7</f>
        <v>-1681261</v>
      </c>
      <c r="J5" s="305"/>
    </row>
    <row r="6" spans="2:15" ht="13.25" customHeight="1">
      <c r="B6" s="136" t="s">
        <v>194</v>
      </c>
      <c r="C6" s="283">
        <f>(C4*(1+Terminal_Growth))/(Equity_Cost-Terminal_Growth)</f>
        <v>47447925.603101276</v>
      </c>
      <c r="D6" t="str">
        <f>Reporting_currency</f>
        <v>CNY</v>
      </c>
      <c r="E6" s="187" t="s">
        <v>433</v>
      </c>
      <c r="F6" s="284">
        <f>BS!H42</f>
        <v>4283</v>
      </c>
      <c r="G6" t="str">
        <f>Reporting_currency</f>
        <v>CNY</v>
      </c>
      <c r="H6" s="308" t="s">
        <v>416</v>
      </c>
      <c r="I6" s="305">
        <f>I7+I8</f>
        <v>-38624.723002608531</v>
      </c>
      <c r="J6" s="305"/>
      <c r="N6" s="135"/>
    </row>
    <row r="7" spans="2:15" ht="12.75" customHeight="1">
      <c r="B7" s="318" t="s">
        <v>430</v>
      </c>
      <c r="C7" s="275">
        <f>F7</f>
        <v>13733235.500434754</v>
      </c>
      <c r="E7" s="140" t="s">
        <v>424</v>
      </c>
      <c r="F7" s="283">
        <f>SUM(F4:F6)</f>
        <v>13733235.500434754</v>
      </c>
      <c r="G7" t="str">
        <f>Reporting_currency</f>
        <v>CNY</v>
      </c>
      <c r="H7" s="312" t="s">
        <v>417</v>
      </c>
      <c r="I7" s="313">
        <f>Normalized_FCF!C9</f>
        <v>-12182</v>
      </c>
      <c r="J7" s="313"/>
      <c r="N7" s="304"/>
      <c r="O7" s="304"/>
    </row>
    <row r="8" spans="2:15" ht="13.15">
      <c r="B8" s="136" t="s">
        <v>426</v>
      </c>
      <c r="C8" s="283">
        <f>C6+C7</f>
        <v>61181161.103536032</v>
      </c>
      <c r="D8" t="str">
        <f>Reporting_currency</f>
        <v>CNY</v>
      </c>
      <c r="E8" s="140" t="s">
        <v>464</v>
      </c>
      <c r="F8" s="108">
        <f>FV_adjustments*scaling_factor/Common_Shares*Exchange_Rate</f>
        <v>1.7208152530135572</v>
      </c>
      <c r="G8" s="294" t="str">
        <f>Market_currency</f>
        <v>HKD</v>
      </c>
      <c r="H8" s="314" t="str">
        <f>Normalized_FCF!B10</f>
        <v>Net Interest Income</v>
      </c>
      <c r="I8" s="313">
        <f>Normalized_FCF!C10</f>
        <v>-26442.723002608527</v>
      </c>
      <c r="J8" s="313"/>
      <c r="N8" s="304"/>
      <c r="O8" s="304"/>
    </row>
    <row r="9" spans="2:15" ht="13.15" thickBot="1">
      <c r="B9" s="189" t="str">
        <f>"*"&amp;Thesis!E15</f>
        <v>*CNY/HKD</v>
      </c>
      <c r="C9" s="190">
        <f>Exchange_Rate</f>
        <v>1.1359030000000001</v>
      </c>
      <c r="D9" t="str">
        <f>Thesis!E15</f>
        <v>CNY/HKD</v>
      </c>
      <c r="F9" s="322"/>
      <c r="H9" s="308" t="str">
        <f>Normalized_FCF!B79</f>
        <v>NCI’s Share of Profits</v>
      </c>
      <c r="I9" s="144">
        <f>Normalized_FCF!C79</f>
        <v>4.0482346959185098E-3</v>
      </c>
      <c r="J9" s="306"/>
      <c r="N9" s="304"/>
      <c r="O9" s="304"/>
    </row>
    <row r="10" spans="2:15" ht="13.5" thickTop="1">
      <c r="B10" s="107" t="s">
        <v>427</v>
      </c>
      <c r="C10" s="283">
        <f>C8*Exchange_Rate</f>
        <v>69495864.440989897</v>
      </c>
      <c r="D10" t="str">
        <f>Market_currency</f>
        <v>HKD</v>
      </c>
      <c r="H10" s="308" t="s">
        <v>397</v>
      </c>
      <c r="I10" s="306">
        <f>Normalized_FCF!C41</f>
        <v>0.25</v>
      </c>
      <c r="N10" s="304"/>
      <c r="O10" s="304"/>
    </row>
    <row r="11" spans="2:15" ht="13.15">
      <c r="B11" s="136" t="s">
        <v>425</v>
      </c>
      <c r="C11" s="108">
        <f>(C10*scaling_factor)/Common_Shares</f>
        <v>7.66618144869879</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1.8613012126595999E-2</v>
      </c>
      <c r="E16" s="308" t="s">
        <v>400</v>
      </c>
      <c r="F16" s="311">
        <f>Scenarios!C41</f>
        <v>1.8613012126595999E-2</v>
      </c>
    </row>
    <row r="17" spans="1:21" ht="13.25" customHeight="1">
      <c r="B17" s="308" t="s">
        <v>549</v>
      </c>
      <c r="C17" s="306">
        <f>Normalized_FCF!C77</f>
        <v>0.22645563866550306</v>
      </c>
      <c r="E17" s="308" t="s">
        <v>550</v>
      </c>
      <c r="F17" s="311">
        <f>Scenarios!C40</f>
        <v>0.22645563866550303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7.9817640585854308</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21134743.012759283</v>
      </c>
      <c r="D21" s="299">
        <f t="shared" ref="D21:D50" si="1">IF(A21="",0,IF(A21="I",$C$16,$F$16))</f>
        <v>1.8613012126595999E-2</v>
      </c>
      <c r="E21" s="299">
        <f>$C$17</f>
        <v>0.22645563866550306</v>
      </c>
      <c r="F21" s="277">
        <f>C21*E21</f>
        <v>4786081.7269856818</v>
      </c>
      <c r="G21" s="299">
        <f t="shared" ref="G21:G50" si="2">IF(A21="",0%,IF(A21="I",$C$18,$F$18))</f>
        <v>0</v>
      </c>
      <c r="H21" s="277">
        <f>(F21*(1-$I$10)+C21*(G21-$I$9))</f>
        <v>3504002.8952856879</v>
      </c>
      <c r="I21" s="299">
        <f>H21/C4-1</f>
        <v>1.8613012126596162E-2</v>
      </c>
      <c r="J21" s="299">
        <f>H21/C21</f>
        <v>0.16579349430320878</v>
      </c>
      <c r="K21" s="119">
        <f t="shared" ref="K21:K50" si="3">IF($C$15&lt;B21,0,1/(1+Equity_Cost)^B21)</f>
        <v>0.93240093240093236</v>
      </c>
      <c r="L21" s="277">
        <f t="shared" ref="L21:L51" si="4">H21*K21</f>
        <v>3267135.5666999421</v>
      </c>
    </row>
    <row r="22" spans="1:21">
      <c r="A22" s="302" t="str">
        <f t="shared" si="0"/>
        <v>I</v>
      </c>
      <c r="B22" s="117">
        <v>2</v>
      </c>
      <c r="C22" s="277">
        <f t="shared" ref="C22:C50" si="5">IF(A22="",0,C21*(1+D22))</f>
        <v>21528124.24074826</v>
      </c>
      <c r="D22" s="299">
        <f t="shared" si="1"/>
        <v>1.8613012126595999E-2</v>
      </c>
      <c r="E22" s="299">
        <f t="shared" ref="E22:E50" si="6">IF($C$15&lt;B22,0,IF(B22&gt;=$F$15,$F$17,$C$17))</f>
        <v>0.22645563866550306</v>
      </c>
      <c r="F22" s="277">
        <f t="shared" ref="F22:F50" si="7">IF(A22="", 0,C22*E22)</f>
        <v>4875165.1242089458</v>
      </c>
      <c r="G22" s="299">
        <f t="shared" si="2"/>
        <v>0</v>
      </c>
      <c r="H22" s="277">
        <f t="shared" ref="H22:H50" si="8">IF(A22="", 0,F22*(1-$I$10)+C22*(G22-$I$9))</f>
        <v>3569222.9436672679</v>
      </c>
      <c r="I22" s="299">
        <f t="shared" ref="I22:I50" si="9">IF(A22="", 0,H22/H21-1)</f>
        <v>1.861301212659594E-2</v>
      </c>
      <c r="J22" s="299">
        <f>IF(A22="", 0,H22/C22)</f>
        <v>0.1657934943032088</v>
      </c>
      <c r="K22" s="119">
        <f t="shared" si="3"/>
        <v>0.86937149874212816</v>
      </c>
      <c r="L22" s="277">
        <f t="shared" si="4"/>
        <v>3102980.699880803</v>
      </c>
    </row>
    <row r="23" spans="1:21">
      <c r="A23" s="302" t="str">
        <f t="shared" si="0"/>
        <v>I</v>
      </c>
      <c r="B23" s="117">
        <v>3</v>
      </c>
      <c r="C23" s="277">
        <f t="shared" si="5"/>
        <v>21928827.47830417</v>
      </c>
      <c r="D23" s="299">
        <f t="shared" si="1"/>
        <v>1.8613012126595999E-2</v>
      </c>
      <c r="E23" s="299">
        <f t="shared" si="6"/>
        <v>0.22645563866550306</v>
      </c>
      <c r="F23" s="277">
        <f t="shared" si="7"/>
        <v>4965906.6317850035</v>
      </c>
      <c r="G23" s="299">
        <f t="shared" si="2"/>
        <v>0</v>
      </c>
      <c r="H23" s="277">
        <f t="shared" si="8"/>
        <v>3635656.9336002707</v>
      </c>
      <c r="I23" s="299">
        <f t="shared" si="9"/>
        <v>1.8613012126595718E-2</v>
      </c>
      <c r="J23" s="299">
        <f t="shared" ref="J23:J50" si="10">IF(A23="", 0,H23/C23)</f>
        <v>0.16579349430320878</v>
      </c>
      <c r="K23" s="119">
        <f t="shared" si="3"/>
        <v>0.81060279602995633</v>
      </c>
      <c r="L23" s="277">
        <f t="shared" si="4"/>
        <v>2947073.6757820765</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21928827.47830417</v>
      </c>
      <c r="D51" s="301">
        <f>Terminal_Growth</f>
        <v>0</v>
      </c>
      <c r="E51" s="301">
        <f>F17</f>
        <v>0.22645563866550303</v>
      </c>
      <c r="F51" s="277">
        <f>C51*E51</f>
        <v>4965906.6317850035</v>
      </c>
      <c r="G51" s="299">
        <f>F18</f>
        <v>0</v>
      </c>
      <c r="H51" s="277">
        <f>(F51*(1-$I$10)+C51*(G51-$I$9))/Equity_Cost</f>
        <v>50146992.187589943</v>
      </c>
      <c r="I51" s="415">
        <f>(F51*(1-$I$10)+C51*(G51-$I$9))/VLOOKUP(C15,B21:H50,COLUMN(H20)-1,FALSE)-1</f>
        <v>0</v>
      </c>
      <c r="J51" s="454"/>
      <c r="K51" s="119">
        <f>1/(1+Equity_Cost)^C15</f>
        <v>0.81060279602995633</v>
      </c>
      <c r="L51" s="277">
        <f t="shared" si="4"/>
        <v>40649292.079752788</v>
      </c>
    </row>
    <row r="52" spans="1:21" ht="13.15">
      <c r="G52" s="111"/>
      <c r="H52" s="111"/>
      <c r="I52" s="111"/>
      <c r="J52" s="468" t="s">
        <v>420</v>
      </c>
      <c r="K52" s="468"/>
      <c r="L52" s="317">
        <f>SUM(L21:L51)</f>
        <v>49966482.022115611</v>
      </c>
    </row>
    <row r="53" spans="1:21">
      <c r="C53" s="111"/>
    </row>
    <row r="54" spans="1:21" ht="13.15">
      <c r="B54" s="115" t="s">
        <v>108</v>
      </c>
      <c r="C54" s="128"/>
      <c r="D54" s="128"/>
      <c r="E54" s="113"/>
      <c r="F54" s="113"/>
      <c r="G54" s="113"/>
      <c r="H54" s="113"/>
      <c r="I54" s="113"/>
      <c r="J54" s="113"/>
      <c r="K54" s="113"/>
      <c r="L54" s="113"/>
    </row>
    <row r="55" spans="1:21" ht="13.15">
      <c r="A55" s="125">
        <f>L52</f>
        <v>49966482.022115611</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33213547.922170885</v>
      </c>
      <c r="C56" s="118">
        <v>40330736.76263608</v>
      </c>
      <c r="D56" s="118">
        <v>45075529.322946213</v>
      </c>
      <c r="E56" s="118">
        <v>48396884.115163296</v>
      </c>
      <c r="F56" s="118">
        <v>49820321.883256331</v>
      </c>
      <c r="G56" s="295"/>
      <c r="H56" s="295"/>
      <c r="I56" s="295"/>
      <c r="J56" s="295"/>
      <c r="K56" s="295"/>
      <c r="L56" s="295"/>
    </row>
    <row r="57" spans="1:21" ht="13.15">
      <c r="A57" s="131">
        <v>2</v>
      </c>
      <c r="B57" s="118">
        <v>23923045.006878335</v>
      </c>
      <c r="C57" s="118">
        <v>34690074.278351314</v>
      </c>
      <c r="D57" s="118">
        <v>42974106.044487193</v>
      </c>
      <c r="E57" s="118">
        <v>49299390.112648867</v>
      </c>
      <c r="F57" s="118">
        <v>52142947.612079479</v>
      </c>
      <c r="G57" s="295"/>
      <c r="H57" s="295"/>
      <c r="I57" s="295"/>
      <c r="J57" s="295"/>
      <c r="K57" s="295"/>
      <c r="L57" s="295"/>
    </row>
    <row r="58" spans="1:21" ht="13.15">
      <c r="A58" s="131">
        <v>3</v>
      </c>
      <c r="B58" s="118">
        <v>17859313.500393685</v>
      </c>
      <c r="C58" s="118">
        <v>30219619.162601151</v>
      </c>
      <c r="D58" s="118">
        <v>41112705.47149317</v>
      </c>
      <c r="E58" s="118">
        <v>50157717.494872913</v>
      </c>
      <c r="F58" s="118">
        <v>54416846.927011229</v>
      </c>
      <c r="G58" s="295"/>
      <c r="H58" s="295"/>
      <c r="I58" s="295"/>
      <c r="J58" s="295"/>
      <c r="K58" s="295"/>
      <c r="L58" s="295"/>
    </row>
    <row r="59" spans="1:21" ht="13.15">
      <c r="A59" s="131">
        <v>4</v>
      </c>
      <c r="B59" s="118">
        <v>13901633.263061041</v>
      </c>
      <c r="C59" s="118">
        <v>26676601.122146472</v>
      </c>
      <c r="D59" s="118">
        <v>39463912.423153475</v>
      </c>
      <c r="E59" s="118">
        <v>50974028.851393655</v>
      </c>
      <c r="F59" s="118">
        <v>56643042.060510829</v>
      </c>
      <c r="G59" s="295"/>
      <c r="H59" s="295"/>
      <c r="I59" s="295"/>
      <c r="J59" s="295"/>
      <c r="K59" s="295"/>
      <c r="L59" s="295"/>
    </row>
    <row r="60" spans="1:21" ht="13.15">
      <c r="A60" s="131">
        <v>5</v>
      </c>
      <c r="B60" s="118">
        <v>11318531.942657452</v>
      </c>
      <c r="C60" s="118">
        <v>23868614.796378203</v>
      </c>
      <c r="D60" s="118">
        <v>38003443.056325778</v>
      </c>
      <c r="E60" s="118">
        <v>51750380.910742074</v>
      </c>
      <c r="F60" s="118">
        <v>58822533.799601361</v>
      </c>
      <c r="G60" s="295"/>
      <c r="H60" s="295"/>
      <c r="I60" s="295"/>
      <c r="J60" s="295"/>
      <c r="K60" s="295"/>
      <c r="L60" s="295"/>
    </row>
    <row r="61" spans="1:21" ht="13.15">
      <c r="A61" s="131">
        <v>6</v>
      </c>
      <c r="B61" s="118">
        <v>9632591.6869161837</v>
      </c>
      <c r="C61" s="118">
        <v>21643171.088310104</v>
      </c>
      <c r="D61" s="118">
        <v>36709787.206921294</v>
      </c>
      <c r="E61" s="118">
        <v>52488729.72243008</v>
      </c>
      <c r="F61" s="118">
        <v>60956301.935773909</v>
      </c>
      <c r="G61" s="295"/>
      <c r="H61" s="295"/>
      <c r="I61" s="295"/>
      <c r="J61" s="295"/>
      <c r="K61" s="295"/>
      <c r="L61" s="295"/>
    </row>
    <row r="62" spans="1:21" ht="13.15">
      <c r="A62" s="131">
        <v>7</v>
      </c>
      <c r="B62" s="118">
        <v>8532211.1004183851</v>
      </c>
      <c r="C62" s="118">
        <v>19879416.168162897</v>
      </c>
      <c r="D62" s="118">
        <v>35563891.582740173</v>
      </c>
      <c r="E62" s="118">
        <v>53190935.585294195</v>
      </c>
      <c r="F62" s="118">
        <v>63045305.705453344</v>
      </c>
      <c r="G62" s="295"/>
      <c r="H62" s="295"/>
      <c r="I62" s="295"/>
      <c r="J62" s="295"/>
      <c r="K62" s="295"/>
      <c r="L62" s="295"/>
    </row>
    <row r="63" spans="1:21" ht="13.15">
      <c r="A63" s="131">
        <v>8</v>
      </c>
      <c r="B63" s="118">
        <v>7814013.981025883</v>
      </c>
      <c r="C63" s="118">
        <v>18481568.445901699</v>
      </c>
      <c r="D63" s="118">
        <v>34548879.141740561</v>
      </c>
      <c r="E63" s="118">
        <v>53858767.734591529</v>
      </c>
      <c r="F63" s="118">
        <v>65090484.221223392</v>
      </c>
      <c r="G63" s="295"/>
      <c r="H63" s="295"/>
      <c r="I63" s="295"/>
      <c r="J63" s="295"/>
      <c r="K63" s="295"/>
      <c r="L63" s="295"/>
    </row>
    <row r="64" spans="1:21" ht="13.15">
      <c r="A64" s="131">
        <v>9</v>
      </c>
      <c r="B64" s="118">
        <v>7345260.6163874194</v>
      </c>
      <c r="C64" s="118">
        <v>17373717.104249477</v>
      </c>
      <c r="D64" s="118">
        <v>33649800.522673324</v>
      </c>
      <c r="E64" s="118">
        <v>54493908.799657531</v>
      </c>
      <c r="F64" s="118">
        <v>67092756.894005254</v>
      </c>
      <c r="G64" s="295"/>
      <c r="H64" s="295"/>
      <c r="I64" s="295"/>
      <c r="J64" s="295"/>
      <c r="K64" s="295"/>
      <c r="L64" s="295"/>
    </row>
    <row r="65" spans="1:21" ht="13.15">
      <c r="A65" s="131">
        <v>10</v>
      </c>
      <c r="B65" s="118">
        <v>7039314.3644089354</v>
      </c>
      <c r="C65" s="118">
        <v>16495699.723919041</v>
      </c>
      <c r="D65" s="118">
        <v>32853413.867089279</v>
      </c>
      <c r="E65" s="118">
        <v>55097959.043356664</v>
      </c>
      <c r="F65" s="118">
        <v>69053023.846379131</v>
      </c>
      <c r="G65" s="295"/>
      <c r="H65" s="295"/>
      <c r="I65" s="295"/>
      <c r="J65" s="295"/>
      <c r="K65" s="295"/>
      <c r="L65" s="295"/>
    </row>
    <row r="66" spans="1:21" ht="13.15">
      <c r="A66" s="131">
        <v>15</v>
      </c>
      <c r="B66" s="118">
        <v>6532477.6526143597</v>
      </c>
      <c r="C66" s="277">
        <v>14190294.060824087</v>
      </c>
      <c r="D66" s="118">
        <v>30045128.657324843</v>
      </c>
      <c r="E66" s="118">
        <v>57702583.275956586</v>
      </c>
      <c r="F66" s="118">
        <v>78254477.187815785</v>
      </c>
      <c r="G66" s="295"/>
      <c r="H66" s="295"/>
      <c r="I66" s="295"/>
      <c r="J66" s="295"/>
      <c r="K66" s="295"/>
      <c r="L66" s="295"/>
      <c r="M66" s="275"/>
      <c r="N66" s="275"/>
      <c r="O66" s="275"/>
      <c r="P66" s="275"/>
      <c r="Q66" s="275"/>
      <c r="R66" s="275"/>
      <c r="S66" s="275"/>
      <c r="T66" s="275"/>
      <c r="U66" s="275"/>
    </row>
    <row r="67" spans="1:21" ht="13.15">
      <c r="A67" s="132">
        <v>20</v>
      </c>
      <c r="B67" s="118">
        <v>6472447.1802849118</v>
      </c>
      <c r="C67" s="277">
        <v>13469426.504478076</v>
      </c>
      <c r="D67" s="118">
        <v>28513784.750407912</v>
      </c>
      <c r="E67" s="118">
        <v>59729143.11243996</v>
      </c>
      <c r="F67" s="118">
        <v>86530399.768992946</v>
      </c>
      <c r="G67" s="295"/>
      <c r="H67" s="295"/>
      <c r="I67" s="295"/>
      <c r="J67" s="295"/>
      <c r="K67" s="295"/>
      <c r="L67" s="295"/>
      <c r="M67" s="275"/>
      <c r="N67" s="275"/>
      <c r="O67" s="275"/>
      <c r="P67" s="275"/>
      <c r="Q67" s="275"/>
      <c r="R67" s="275"/>
      <c r="S67" s="275"/>
      <c r="T67" s="275"/>
      <c r="U67" s="275"/>
    </row>
    <row r="68" spans="1:21" ht="13.15">
      <c r="A68" s="132">
        <v>25</v>
      </c>
      <c r="B68" s="118">
        <v>6465337.0844212221</v>
      </c>
      <c r="C68" s="277">
        <v>13244021.473983508</v>
      </c>
      <c r="D68" s="118">
        <v>27678750.561893873</v>
      </c>
      <c r="E68" s="118">
        <v>61305932.854101852</v>
      </c>
      <c r="F68" s="118">
        <v>93973886.360530019</v>
      </c>
      <c r="G68" s="295"/>
      <c r="H68" s="295"/>
      <c r="I68" s="295"/>
      <c r="J68" s="295"/>
      <c r="K68" s="295"/>
      <c r="L68" s="295"/>
      <c r="M68" s="275"/>
      <c r="N68" s="275"/>
      <c r="O68" s="275"/>
      <c r="P68" s="275"/>
      <c r="Q68" s="275"/>
      <c r="R68" s="275"/>
      <c r="S68" s="275"/>
      <c r="T68" s="275"/>
      <c r="U68" s="275"/>
    </row>
    <row r="69" spans="1:21" ht="13.15">
      <c r="A69" s="132">
        <v>30</v>
      </c>
      <c r="B69" s="118">
        <v>6464494.9543957673</v>
      </c>
      <c r="C69" s="277">
        <v>13173540.527344998</v>
      </c>
      <c r="D69" s="118">
        <v>27223410.587092828</v>
      </c>
      <c r="E69" s="118">
        <v>62532773.455919206</v>
      </c>
      <c r="F69" s="118">
        <v>100668667.7694822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7.66618144869879</v>
      </c>
      <c r="C73" s="119">
        <f>C11</f>
        <v>7.66618144869879</v>
      </c>
      <c r="D73" s="119">
        <f>C11</f>
        <v>7.66618144869879</v>
      </c>
      <c r="E73" s="119">
        <f>C11</f>
        <v>7.66618144869879</v>
      </c>
      <c r="F73" s="119">
        <f>C11</f>
        <v>7.66618144869879</v>
      </c>
      <c r="G73" s="296"/>
      <c r="H73" s="296"/>
      <c r="I73" s="296"/>
      <c r="J73" s="296"/>
      <c r="K73" s="296"/>
      <c r="L73" s="296"/>
    </row>
    <row r="74" spans="1:21" ht="13.15">
      <c r="A74" s="131">
        <v>1</v>
      </c>
      <c r="B74" s="119">
        <f t="shared" ref="B74:F87" si="11">(B56+FV_adjustments)/Common_Shares*scaling_factor*Exchange_Rate</f>
        <v>5.8825715899932192</v>
      </c>
      <c r="C74" s="119">
        <f t="shared" si="11"/>
        <v>6.7743765193460055</v>
      </c>
      <c r="D74" s="119">
        <f t="shared" si="11"/>
        <v>7.3689131389145297</v>
      </c>
      <c r="E74" s="119">
        <f t="shared" si="11"/>
        <v>7.785088772612494</v>
      </c>
      <c r="F74" s="119">
        <f t="shared" si="11"/>
        <v>7.9634497584830504</v>
      </c>
      <c r="G74" s="296"/>
      <c r="H74" s="296"/>
      <c r="I74" s="296"/>
      <c r="J74" s="296"/>
      <c r="K74" s="296"/>
      <c r="L74" s="296"/>
    </row>
    <row r="75" spans="1:21" ht="13.15">
      <c r="A75" s="131">
        <v>2</v>
      </c>
      <c r="B75" s="119">
        <f t="shared" si="11"/>
        <v>4.7184439432856209</v>
      </c>
      <c r="C75" s="119">
        <f t="shared" si="11"/>
        <v>6.0675847338449627</v>
      </c>
      <c r="D75" s="119">
        <f t="shared" si="11"/>
        <v>7.1055985521592397</v>
      </c>
      <c r="E75" s="119">
        <f t="shared" si="11"/>
        <v>7.8981754582926618</v>
      </c>
      <c r="F75" s="119">
        <f t="shared" si="11"/>
        <v>8.2544816701599508</v>
      </c>
      <c r="G75" s="296"/>
      <c r="H75" s="296"/>
      <c r="I75" s="296"/>
      <c r="J75" s="296"/>
      <c r="K75" s="296"/>
      <c r="L75" s="296"/>
    </row>
    <row r="76" spans="1:21" ht="13.15">
      <c r="A76" s="131">
        <v>3</v>
      </c>
      <c r="B76" s="119">
        <f t="shared" si="11"/>
        <v>3.9586403510289148</v>
      </c>
      <c r="C76" s="119">
        <f t="shared" si="11"/>
        <v>5.5074234120026464</v>
      </c>
      <c r="D76" s="119">
        <f t="shared" si="11"/>
        <v>6.8723595242641098</v>
      </c>
      <c r="E76" s="119">
        <f t="shared" si="11"/>
        <v>8.0057264320863872</v>
      </c>
      <c r="F76" s="119">
        <f t="shared" si="11"/>
        <v>8.5394080172562177</v>
      </c>
      <c r="G76" s="296"/>
      <c r="H76" s="296"/>
      <c r="I76" s="296"/>
      <c r="J76" s="296"/>
      <c r="K76" s="296"/>
      <c r="L76" s="296"/>
    </row>
    <row r="77" spans="1:21" ht="13.15">
      <c r="A77" s="131">
        <v>4</v>
      </c>
      <c r="B77" s="119">
        <f t="shared" si="11"/>
        <v>3.4627312465257027</v>
      </c>
      <c r="C77" s="119">
        <f t="shared" si="11"/>
        <v>5.0634727140390376</v>
      </c>
      <c r="D77" s="119">
        <f t="shared" si="11"/>
        <v>6.665760851536489</v>
      </c>
      <c r="E77" s="119">
        <f t="shared" si="11"/>
        <v>8.1080126728972015</v>
      </c>
      <c r="F77" s="119">
        <f t="shared" si="11"/>
        <v>8.818356888539272</v>
      </c>
      <c r="G77" s="296"/>
      <c r="H77" s="296"/>
      <c r="I77" s="296"/>
      <c r="J77" s="296"/>
      <c r="K77" s="296"/>
      <c r="L77" s="296"/>
    </row>
    <row r="78" spans="1:21" ht="13.15">
      <c r="A78" s="131">
        <v>5</v>
      </c>
      <c r="B78" s="119">
        <f t="shared" si="11"/>
        <v>3.1390609685282671</v>
      </c>
      <c r="C78" s="119">
        <f t="shared" si="11"/>
        <v>4.7116236760259227</v>
      </c>
      <c r="D78" s="119">
        <f t="shared" si="11"/>
        <v>6.4827596962066627</v>
      </c>
      <c r="E78" s="119">
        <f t="shared" si="11"/>
        <v>8.2052918949270701</v>
      </c>
      <c r="F78" s="119">
        <f t="shared" si="11"/>
        <v>9.0914536855996086</v>
      </c>
      <c r="G78" s="296"/>
      <c r="H78" s="296"/>
      <c r="I78" s="296"/>
      <c r="J78" s="296"/>
      <c r="K78" s="296"/>
      <c r="L78" s="296"/>
    </row>
    <row r="79" spans="1:21" ht="13.15">
      <c r="A79" s="131">
        <v>6</v>
      </c>
      <c r="B79" s="119">
        <f t="shared" si="11"/>
        <v>2.927807640231574</v>
      </c>
      <c r="C79" s="119">
        <f t="shared" si="11"/>
        <v>4.4327689605842906</v>
      </c>
      <c r="D79" s="119">
        <f t="shared" si="11"/>
        <v>6.3206607707396829</v>
      </c>
      <c r="E79" s="119">
        <f t="shared" si="11"/>
        <v>8.2978091969974326</v>
      </c>
      <c r="F79" s="119">
        <f t="shared" si="11"/>
        <v>9.3588211792251101</v>
      </c>
      <c r="G79" s="296"/>
      <c r="H79" s="296"/>
      <c r="I79" s="296"/>
      <c r="J79" s="296"/>
      <c r="K79" s="296"/>
      <c r="L79" s="296"/>
    </row>
    <row r="80" spans="1:21" ht="13.15">
      <c r="A80" s="131">
        <f t="shared" ref="A80" si="12">A62</f>
        <v>7</v>
      </c>
      <c r="B80" s="119">
        <f t="shared" si="11"/>
        <v>2.7899266800379272</v>
      </c>
      <c r="C80" s="119">
        <f t="shared" si="11"/>
        <v>4.2117652234044449</v>
      </c>
      <c r="D80" s="119">
        <f t="shared" si="11"/>
        <v>6.1770766409554136</v>
      </c>
      <c r="E80" s="119">
        <f t="shared" si="11"/>
        <v>8.3857976800853287</v>
      </c>
      <c r="F80" s="119">
        <f t="shared" si="11"/>
        <v>9.6205795645927399</v>
      </c>
      <c r="G80" s="296"/>
      <c r="H80" s="296"/>
      <c r="I80" s="296"/>
      <c r="J80" s="296"/>
      <c r="K80" s="296"/>
      <c r="L80" s="296"/>
    </row>
    <row r="81" spans="1:12" ht="13.15">
      <c r="A81" s="131">
        <v>8</v>
      </c>
      <c r="B81" s="119">
        <f t="shared" si="11"/>
        <v>2.6999344449465035</v>
      </c>
      <c r="C81" s="119">
        <f t="shared" si="11"/>
        <v>4.0366107463854508</v>
      </c>
      <c r="D81" s="119">
        <f t="shared" si="11"/>
        <v>6.0498925632910225</v>
      </c>
      <c r="E81" s="119">
        <f t="shared" si="11"/>
        <v>8.4694790346304618</v>
      </c>
      <c r="F81" s="119">
        <f t="shared" si="11"/>
        <v>9.8768465153023026</v>
      </c>
      <c r="G81" s="296"/>
      <c r="H81" s="296"/>
      <c r="I81" s="296"/>
      <c r="J81" s="296"/>
      <c r="K81" s="296"/>
      <c r="L81" s="296"/>
    </row>
    <row r="82" spans="1:12" ht="13.15">
      <c r="A82" s="131">
        <f t="shared" ref="A82" si="13">A64</f>
        <v>9</v>
      </c>
      <c r="B82" s="119">
        <f t="shared" si="11"/>
        <v>2.6411982542108423</v>
      </c>
      <c r="C82" s="119">
        <f t="shared" si="11"/>
        <v>3.8977936783517508</v>
      </c>
      <c r="D82" s="119">
        <f t="shared" si="11"/>
        <v>5.937235338320237</v>
      </c>
      <c r="E82" s="119">
        <f t="shared" si="11"/>
        <v>8.5490640990929645</v>
      </c>
      <c r="F82" s="119">
        <f t="shared" si="11"/>
        <v>10.127737236276698</v>
      </c>
      <c r="G82" s="296"/>
      <c r="H82" s="296"/>
      <c r="I82" s="296"/>
      <c r="J82" s="296"/>
      <c r="K82" s="296"/>
      <c r="L82" s="296"/>
    </row>
    <row r="83" spans="1:12" ht="13.15">
      <c r="A83" s="131">
        <f t="shared" ref="A83:A87" si="14">A65</f>
        <v>10</v>
      </c>
      <c r="B83" s="119">
        <f t="shared" si="11"/>
        <v>2.6028622789055151</v>
      </c>
      <c r="C83" s="119">
        <f t="shared" si="11"/>
        <v>3.7877754892341327</v>
      </c>
      <c r="D83" s="119">
        <f t="shared" si="11"/>
        <v>5.8374457217959961</v>
      </c>
      <c r="E83" s="119">
        <f t="shared" si="11"/>
        <v>8.6247533911691932</v>
      </c>
      <c r="F83" s="119">
        <f t="shared" si="11"/>
        <v>10.373364515552336</v>
      </c>
      <c r="G83" s="296"/>
      <c r="H83" s="296"/>
      <c r="I83" s="296"/>
      <c r="J83" s="296"/>
      <c r="K83" s="296"/>
      <c r="L83" s="296"/>
    </row>
    <row r="84" spans="1:12" ht="13.15">
      <c r="A84" s="131">
        <f t="shared" si="14"/>
        <v>15</v>
      </c>
      <c r="B84" s="119">
        <f t="shared" si="11"/>
        <v>2.5393541315053101</v>
      </c>
      <c r="C84" s="119">
        <f t="shared" si="11"/>
        <v>3.498901303008167</v>
      </c>
      <c r="D84" s="119">
        <f t="shared" si="11"/>
        <v>5.4855592327292326</v>
      </c>
      <c r="E84" s="119">
        <f t="shared" si="11"/>
        <v>8.9511205540773666</v>
      </c>
      <c r="F84" s="119">
        <f t="shared" si="11"/>
        <v>11.526333985808305</v>
      </c>
      <c r="G84" s="296"/>
      <c r="H84" s="296"/>
      <c r="I84" s="296"/>
      <c r="J84" s="296"/>
      <c r="K84" s="296"/>
      <c r="L84" s="296"/>
    </row>
    <row r="85" spans="1:12" ht="13.15">
      <c r="A85" s="132">
        <f t="shared" si="14"/>
        <v>20</v>
      </c>
      <c r="B85" s="119">
        <f t="shared" si="11"/>
        <v>2.5318321347823343</v>
      </c>
      <c r="C85" s="119">
        <f t="shared" si="11"/>
        <v>3.4085744542241669</v>
      </c>
      <c r="D85" s="119">
        <f t="shared" si="11"/>
        <v>5.2936772867341606</v>
      </c>
      <c r="E85" s="119">
        <f t="shared" si="11"/>
        <v>9.205054528897417</v>
      </c>
      <c r="F85" s="119">
        <f t="shared" si="11"/>
        <v>12.563331699129259</v>
      </c>
      <c r="G85" s="296"/>
      <c r="H85" s="296"/>
      <c r="I85" s="296"/>
      <c r="J85" s="296"/>
      <c r="K85" s="296"/>
      <c r="L85" s="296"/>
    </row>
    <row r="86" spans="1:12" ht="13.15">
      <c r="A86" s="132">
        <f t="shared" si="14"/>
        <v>25</v>
      </c>
      <c r="B86" s="119">
        <f t="shared" si="11"/>
        <v>2.5309412186240676</v>
      </c>
      <c r="C86" s="119">
        <f t="shared" si="11"/>
        <v>3.3803305335130744</v>
      </c>
      <c r="D86" s="119">
        <f t="shared" si="11"/>
        <v>5.1890450193899307</v>
      </c>
      <c r="E86" s="119">
        <f t="shared" si="11"/>
        <v>9.4026309731491153</v>
      </c>
      <c r="F86" s="119">
        <f t="shared" si="11"/>
        <v>13.496022707152344</v>
      </c>
      <c r="G86" s="296"/>
      <c r="H86" s="296"/>
      <c r="I86" s="296"/>
      <c r="J86" s="296"/>
      <c r="K86" s="296"/>
      <c r="L86" s="296"/>
    </row>
    <row r="87" spans="1:12" ht="13.15">
      <c r="A87" s="132">
        <f t="shared" si="14"/>
        <v>30</v>
      </c>
      <c r="B87" s="119">
        <f t="shared" si="11"/>
        <v>2.5308356972272499</v>
      </c>
      <c r="C87" s="119">
        <f t="shared" si="11"/>
        <v>3.371499061277814</v>
      </c>
      <c r="D87" s="119">
        <f t="shared" si="11"/>
        <v>5.1319895662944344</v>
      </c>
      <c r="E87" s="119">
        <f t="shared" si="11"/>
        <v>9.5563577493743406</v>
      </c>
      <c r="F87" s="119">
        <f t="shared" si="11"/>
        <v>14.334898729030204</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3</v>
      </c>
      <c r="E90" s="127">
        <f>INDEX(B$73:F$87, MATCH(D90, A$73:A$87, 0), MATCH(C90, B$72:F$72, 0))</f>
        <v>8.5394080172562177</v>
      </c>
      <c r="F90" s="130">
        <f>Scenarios!F29</f>
        <v>0.05</v>
      </c>
      <c r="G90" s="297"/>
      <c r="H90" s="297"/>
      <c r="I90" s="297"/>
      <c r="J90" s="297"/>
      <c r="K90" s="297"/>
      <c r="L90" s="297"/>
    </row>
    <row r="91" spans="1:12">
      <c r="B91" s="120" t="str">
        <f>Scenarios!B22</f>
        <v>Optimistic</v>
      </c>
      <c r="C91" s="130">
        <f>Scenarios!C22</f>
        <v>0.02</v>
      </c>
      <c r="D91" s="133">
        <f>Scenarios!D22</f>
        <v>3</v>
      </c>
      <c r="E91" s="127">
        <f>INDEX(B$73:F$87, MATCH(D91, A$73:A$87, 0), MATCH(C91, B$72:F$72, 0))</f>
        <v>8.0057264320863872</v>
      </c>
      <c r="F91" s="130">
        <f>Scenarios!F22*(1-F$90-F$94)</f>
        <v>0.15999999999999995</v>
      </c>
      <c r="G91" s="297"/>
      <c r="H91" s="297"/>
      <c r="I91" s="297"/>
      <c r="J91" s="297"/>
      <c r="K91" s="297"/>
      <c r="L91" s="297"/>
    </row>
    <row r="92" spans="1:12">
      <c r="B92" s="120" t="str">
        <f>Scenarios!B23</f>
        <v>Base</v>
      </c>
      <c r="C92" s="130">
        <f>Scenarios!C23</f>
        <v>-0.05</v>
      </c>
      <c r="D92" s="133">
        <f>Scenarios!D23</f>
        <v>3</v>
      </c>
      <c r="E92" s="127">
        <f>INDEX(B$73:F$87, MATCH(D92, A$73:A$87, 0), MATCH(C92, B$72:F$72, 0))</f>
        <v>6.8723595242641098</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5.5074234120026464</v>
      </c>
      <c r="F93" s="130">
        <f>Scenarios!F24*(1-F$90-F$94)</f>
        <v>0.19999999999999998</v>
      </c>
      <c r="G93" s="297"/>
      <c r="H93" s="297"/>
      <c r="I93" s="297"/>
      <c r="J93" s="297"/>
      <c r="K93" s="297"/>
      <c r="L93" s="297"/>
    </row>
    <row r="94" spans="1:12">
      <c r="B94" s="120" t="str">
        <f>Scenarios!B30</f>
        <v>Devil's advocate</v>
      </c>
      <c r="C94" s="130">
        <f>Scenarios!C30</f>
        <v>-0.3</v>
      </c>
      <c r="D94" s="133">
        <f>Scenarios!D30</f>
        <v>3</v>
      </c>
      <c r="E94" s="127">
        <f>INDEX(B$73:F$87, MATCH(D94, A$73:A$87, 0), MATCH(C94, B$72:F$72, 0))</f>
        <v>3.9586403510289148</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7"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4902319</v>
      </c>
      <c r="D7" s="469"/>
      <c r="E7" s="469"/>
      <c r="F7" s="469"/>
      <c r="G7" s="469"/>
    </row>
    <row r="8" spans="2:7">
      <c r="B8" s="97" t="s">
        <v>63</v>
      </c>
      <c r="C8" s="447">
        <f>Normalized_FCF!G19</f>
        <v>2919358.1170187257</v>
      </c>
      <c r="D8" s="469"/>
      <c r="E8" s="469"/>
      <c r="F8" s="469"/>
      <c r="G8" s="469"/>
    </row>
    <row r="9" spans="2:7">
      <c r="B9" s="97" t="s">
        <v>54</v>
      </c>
      <c r="C9" s="447">
        <f>Normalized_FCF!C19</f>
        <v>3439974.6062248424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-1.328292424848343E-2</v>
      </c>
      <c r="D12" s="469"/>
      <c r="E12" s="469"/>
      <c r="F12" s="469"/>
      <c r="G12" s="469"/>
    </row>
    <row r="13" spans="2:7">
      <c r="B13" s="135" t="s">
        <v>127</v>
      </c>
      <c r="C13" s="249">
        <f ca="1">(Normalized_FCF!G8/OFFSET(Normalized_FCF!G8, 0, $C$4))^(1/$C$4) - 1</f>
        <v>-8.6152390653333799E-2</v>
      </c>
      <c r="D13" s="469"/>
      <c r="E13" s="469"/>
      <c r="F13" s="469"/>
      <c r="G13" s="469"/>
    </row>
    <row r="14" spans="2:7">
      <c r="B14" s="97" t="s">
        <v>63</v>
      </c>
      <c r="C14" s="249">
        <f ca="1">(Normalized_FCF!G19/OFFSET(Normalized_FCF!G19, 0, $C$4))^(1/$C$4) - 1</f>
        <v>-0.15599721456083171</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8.0057264320863872</v>
      </c>
      <c r="F22" s="328">
        <f>1-F23-F24</f>
        <v>0.19999999999999996</v>
      </c>
      <c r="G22" s="328">
        <f>F22*(1-F$29-F$30)</f>
        <v>0.15999999999999995</v>
      </c>
    </row>
    <row r="23" spans="2:7">
      <c r="B23" s="302" t="s">
        <v>437</v>
      </c>
      <c r="C23" s="324">
        <v>-0.05</v>
      </c>
      <c r="D23" s="325">
        <f>C18</f>
        <v>3</v>
      </c>
      <c r="E23" s="326">
        <f>DCF!E92</f>
        <v>6.8723595242641098</v>
      </c>
      <c r="F23" s="327">
        <v>0.55000000000000004</v>
      </c>
      <c r="G23" s="328">
        <f t="shared" ref="G23:G24" si="0">F23*(1-F$29-F$30)</f>
        <v>0.44</v>
      </c>
    </row>
    <row r="24" spans="2:7">
      <c r="B24" s="302" t="s">
        <v>446</v>
      </c>
      <c r="C24" s="324">
        <v>-0.15</v>
      </c>
      <c r="D24" s="325">
        <f>C18</f>
        <v>3</v>
      </c>
      <c r="E24" s="326">
        <f>DCF!E93</f>
        <v>5.5074234120026464</v>
      </c>
      <c r="F24" s="327">
        <v>0.25</v>
      </c>
      <c r="G24" s="328">
        <f t="shared" si="0"/>
        <v>0.19999999999999998</v>
      </c>
    </row>
    <row r="25" spans="2:7">
      <c r="B25" s="141" t="s">
        <v>451</v>
      </c>
      <c r="C25" s="441">
        <f>E23*F23+E24*F24+E22*F22</f>
        <v>6.7577988777631992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3</v>
      </c>
      <c r="E29" s="326">
        <f>DCF!E90</f>
        <v>8.5394080172562177</v>
      </c>
      <c r="F29" s="327">
        <v>0.05</v>
      </c>
      <c r="G29" s="328">
        <f>F29</f>
        <v>0.05</v>
      </c>
    </row>
    <row r="30" spans="2:7">
      <c r="B30" s="315" t="s">
        <v>447</v>
      </c>
      <c r="C30" s="324">
        <v>-0.3</v>
      </c>
      <c r="D30" s="325">
        <f>C18</f>
        <v>3</v>
      </c>
      <c r="E30" s="326">
        <f>DCF!E94</f>
        <v>3.9586403510289148</v>
      </c>
      <c r="F30" s="327">
        <v>0.15</v>
      </c>
      <c r="G30" s="328">
        <f>F30</f>
        <v>0.15</v>
      </c>
    </row>
    <row r="31" spans="2:7">
      <c r="E31" s="329"/>
      <c r="F31" s="329"/>
    </row>
    <row r="32" spans="2:7" ht="13.15">
      <c r="B32" s="145" t="s">
        <v>456</v>
      </c>
    </row>
    <row r="33" spans="2:7">
      <c r="B33" s="97" t="s">
        <v>458</v>
      </c>
      <c r="C33" s="155">
        <f>Normalized_FCF!C88*(1-dividend_tax_rate)</f>
        <v>0.24179999999999999</v>
      </c>
      <c r="D33" t="str">
        <f>Market_currency</f>
        <v>HKD</v>
      </c>
      <c r="E33" s="97" t="s">
        <v>455</v>
      </c>
      <c r="F33" s="219">
        <f>Holding_Period</f>
        <v>3</v>
      </c>
    </row>
    <row r="34" spans="2:7">
      <c r="B34" s="97" t="s">
        <v>233</v>
      </c>
      <c r="C34" s="146">
        <f>Market_Price</f>
        <v>3.74</v>
      </c>
      <c r="D34" t="str">
        <f>Market_currency</f>
        <v>HKD</v>
      </c>
      <c r="E34" s="97" t="s">
        <v>454</v>
      </c>
      <c r="F34" s="330">
        <f>RATE(Holding_Period,$C$33,-C34,$C$36)</f>
        <v>0.25264215752963443</v>
      </c>
    </row>
    <row r="35" spans="2:7">
      <c r="B35" s="97" t="s">
        <v>434</v>
      </c>
      <c r="C35" s="320">
        <f>DCF!C11</f>
        <v>7.66618144869879</v>
      </c>
      <c r="D35" s="97" t="str">
        <f>Market_currency</f>
        <v>HKD</v>
      </c>
      <c r="E35" s="97" t="s">
        <v>454</v>
      </c>
      <c r="F35" s="330">
        <f>RATE(Holding_Period,$C$33,-C35,$C$36)</f>
        <v>-2.3633167375182375E-2</v>
      </c>
    </row>
    <row r="36" spans="2:7">
      <c r="B36" s="97" t="s">
        <v>435</v>
      </c>
      <c r="C36" s="321">
        <f>E22*G22+E23*G23+E24*G24+E30*G30+E29*G29</f>
        <v>6.4270055557277068</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0.22645563866550303</v>
      </c>
      <c r="E40" s="97" t="s">
        <v>401</v>
      </c>
    </row>
    <row r="41" spans="2:7">
      <c r="B41" s="97" t="s">
        <v>400</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7.9817640585854308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0.26774759070808296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0.43913609467455633</v>
      </c>
      <c r="D62" s="119">
        <f>C36/(1+F62)^Holding_Period</f>
        <v>2.9253552825342308</v>
      </c>
      <c r="E62" s="332">
        <f>C62+D62</f>
        <v>3.364491377208787</v>
      </c>
      <c r="F62" s="301">
        <f>Thesis!E22</f>
        <v>0.3</v>
      </c>
      <c r="G62" s="440">
        <f>(1-E62/C36)</f>
        <v>0.47650716215572997</v>
      </c>
    </row>
    <row r="63" spans="2:7" ht="13.15">
      <c r="B63" s="302" t="s">
        <v>313</v>
      </c>
      <c r="C63" s="119">
        <f>PV(F63, Holding_Period, -C58, 0)</f>
        <v>0.50934722222222217</v>
      </c>
      <c r="D63" s="119">
        <f>C36/(1+F63)^Holding_Period</f>
        <v>3.7193319188239045</v>
      </c>
      <c r="E63" s="332">
        <f>C63+D63</f>
        <v>4.2286791410461264</v>
      </c>
      <c r="F63" s="301">
        <f>Thesis!E23</f>
        <v>0.2</v>
      </c>
      <c r="G63" s="440">
        <f>(1-E63/C36)</f>
        <v>0.34204520217388734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0.58336743585196538</v>
      </c>
      <c r="D66" s="119">
        <f>C36/(1+F66)^Holding_Period</f>
        <v>4.6066230280317111</v>
      </c>
      <c r="E66" s="332">
        <f>C66+D66</f>
        <v>5.1899904638836762</v>
      </c>
      <c r="F66" s="301">
        <f>Thesis!E24</f>
        <v>0.1174</v>
      </c>
      <c r="G66" s="440">
        <f>(1-E66/C36)</f>
        <v>0.1924714520810723</v>
      </c>
    </row>
    <row r="67" spans="2:7" ht="13.15">
      <c r="B67" s="302" t="s">
        <v>314</v>
      </c>
      <c r="C67" s="119">
        <f>PV(F67, Holding_Period, -C58, 0)</f>
        <v>0.63167232993043521</v>
      </c>
      <c r="D67" s="119">
        <f>C36/(1+F67)^Holding_Period</f>
        <v>5.2097486735729426</v>
      </c>
      <c r="E67" s="332">
        <f>C67+D67</f>
        <v>5.8414210035033776</v>
      </c>
      <c r="F67" s="301">
        <f>Thesis!E25</f>
        <v>7.2499999999999995E-2</v>
      </c>
      <c r="G67" s="440">
        <f>(1-E67/C36)</f>
        <v>9.1113123700734988E-2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中国飞鹤</v>
      </c>
      <c r="D4" s="349"/>
      <c r="E4" s="434" t="s">
        <v>539</v>
      </c>
      <c r="F4" s="437" t="str">
        <f>Thesis!F4</f>
        <v>INT</v>
      </c>
    </row>
    <row r="5" spans="1:10">
      <c r="B5" s="343" t="s">
        <v>364</v>
      </c>
      <c r="C5" s="355" t="str">
        <f>Thesis!C5</f>
        <v>6186.HK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3.74</v>
      </c>
    </row>
    <row r="9" spans="1:10">
      <c r="B9" s="351" t="s">
        <v>361</v>
      </c>
      <c r="C9" s="353">
        <f>Common_Shares</f>
        <v>9065251704</v>
      </c>
    </row>
    <row r="10" spans="1:10">
      <c r="B10" s="351" t="s">
        <v>367</v>
      </c>
      <c r="C10" s="357">
        <f>投资主题!C8*Common_Shares/1000000</f>
        <v>33904.041372960004</v>
      </c>
      <c r="D10" s="343" t="s">
        <v>528</v>
      </c>
      <c r="E10" s="360">
        <f>Scenarios!F34</f>
        <v>0.25264215752963443</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1.1359030000000001</v>
      </c>
    </row>
    <row r="17" spans="1:6">
      <c r="B17" s="343" t="s">
        <v>534</v>
      </c>
      <c r="C17" s="424">
        <f>Terminal_Growth</f>
        <v>0</v>
      </c>
      <c r="D17" s="351" t="s">
        <v>339</v>
      </c>
      <c r="E17" s="344" t="str">
        <f>Reporting_currency</f>
        <v>CNY</v>
      </c>
    </row>
    <row r="18" spans="1:6">
      <c r="B18" s="343" t="str">
        <f>"预期股权价值 ("&amp;C7&amp;") :"</f>
        <v>预期股权价值 (HKD) :</v>
      </c>
      <c r="C18" s="359">
        <f>C125</f>
        <v>6.4270055557277068</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3.364491377208787</v>
      </c>
      <c r="D22" s="365" t="s">
        <v>440</v>
      </c>
      <c r="E22" s="366">
        <f>Thesis!E22</f>
        <v>0.3</v>
      </c>
    </row>
    <row r="23" spans="1:6">
      <c r="B23" s="343" t="s">
        <v>341</v>
      </c>
      <c r="C23" s="367">
        <f>E141</f>
        <v>4.2286791410461264</v>
      </c>
      <c r="D23" s="365" t="s">
        <v>441</v>
      </c>
      <c r="E23" s="368">
        <f>Thesis!E23</f>
        <v>0.2</v>
      </c>
    </row>
    <row r="24" spans="1:6">
      <c r="B24" s="343" t="s">
        <v>343</v>
      </c>
      <c r="C24" s="367">
        <f>E144</f>
        <v>5.1899904638836762</v>
      </c>
      <c r="D24" s="365" t="s">
        <v>443</v>
      </c>
      <c r="E24" s="368">
        <f>Thesis!E24</f>
        <v>0.1174</v>
      </c>
    </row>
    <row r="25" spans="1:6">
      <c r="B25" s="343" t="s">
        <v>342</v>
      </c>
      <c r="C25" s="367">
        <f>E145</f>
        <v>5.8414210035033776</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4737250.864635732</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-12182</v>
      </c>
      <c r="D41" s="343" t="str">
        <f>Reporting_currency</f>
        <v>CNY</v>
      </c>
    </row>
    <row r="43" spans="2:6">
      <c r="B43" s="470" t="s">
        <v>503</v>
      </c>
      <c r="C43" s="470"/>
      <c r="D43" s="470"/>
      <c r="E43" s="470"/>
      <c r="F43" s="470"/>
    </row>
    <row r="44" spans="2:6">
      <c r="B44" s="372" t="s">
        <v>267</v>
      </c>
      <c r="C44" s="376">
        <f>Normalized_FCF!C46</f>
        <v>18203.276997391473</v>
      </c>
      <c r="D44" s="343" t="str">
        <f>Reporting_currency</f>
        <v>CNY</v>
      </c>
      <c r="E44" s="371"/>
      <c r="F44" s="371"/>
    </row>
    <row r="45" spans="2:6">
      <c r="B45" s="372" t="s">
        <v>268</v>
      </c>
      <c r="C45" s="376">
        <f>Normalized_FCF!C45</f>
        <v>-44646</v>
      </c>
      <c r="D45" s="343" t="str">
        <f>Reporting_currency</f>
        <v>CNY</v>
      </c>
      <c r="E45" s="371"/>
      <c r="F45" s="371"/>
    </row>
    <row r="46" spans="2:6">
      <c r="B46" s="372" t="s">
        <v>203</v>
      </c>
      <c r="C46" s="373">
        <f>Normalized_FCF!C10</f>
        <v>-26442.723002608527</v>
      </c>
      <c r="D46" s="343" t="str">
        <f>Reporting_currency</f>
        <v>CNY</v>
      </c>
    </row>
    <row r="48" spans="2:6">
      <c r="B48" s="343" t="s">
        <v>504</v>
      </c>
    </row>
    <row r="49" spans="2:6">
      <c r="B49" s="372" t="s">
        <v>223</v>
      </c>
      <c r="C49" s="373">
        <f>Normalized_FCF!C13</f>
        <v>-83995</v>
      </c>
      <c r="D49" s="343" t="str">
        <f>Reporting_currency</f>
        <v>CNY</v>
      </c>
    </row>
    <row r="51" spans="2:6">
      <c r="B51" s="470" t="s">
        <v>505</v>
      </c>
      <c r="C51" s="470"/>
      <c r="D51" s="470"/>
      <c r="E51" s="470"/>
      <c r="F51" s="470"/>
    </row>
    <row r="52" spans="2:6">
      <c r="B52" s="372" t="s">
        <v>496</v>
      </c>
      <c r="C52" s="373">
        <f>Normalized_FCF!C12</f>
        <v>-1174656.5354082808</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2919358.1170187257</v>
      </c>
      <c r="D60" s="343" t="str">
        <f>Reporting_currency</f>
        <v>CNY</v>
      </c>
    </row>
    <row r="61" spans="2:6">
      <c r="B61" s="372" t="s">
        <v>213</v>
      </c>
      <c r="C61" s="373">
        <f>Normalized_FCF!C19</f>
        <v>3439974.6062248424</v>
      </c>
      <c r="D61" s="343" t="str">
        <f>Reporting_currency</f>
        <v>CNY</v>
      </c>
    </row>
    <row r="62" spans="2:6">
      <c r="B62" s="377" t="s">
        <v>302</v>
      </c>
      <c r="C62" s="378">
        <f>Normalized_FCF!C124</f>
        <v>0.11525108267036881</v>
      </c>
      <c r="F62" s="379"/>
    </row>
    <row r="63" spans="2:6">
      <c r="B63" s="377" t="s">
        <v>332</v>
      </c>
      <c r="C63" s="378">
        <f>Normalized_FCF!C92</f>
        <v>6.4652406417112299E-2</v>
      </c>
      <c r="E63" s="372" t="s">
        <v>373</v>
      </c>
      <c r="F63" s="380">
        <f>Normalized_FCF!C90</f>
        <v>0.63720757067819134</v>
      </c>
    </row>
    <row r="65" spans="1:6">
      <c r="B65" s="369" t="s">
        <v>376</v>
      </c>
      <c r="C65" s="381" t="s">
        <v>327</v>
      </c>
      <c r="D65" s="381" t="s">
        <v>374</v>
      </c>
    </row>
    <row r="66" spans="1:6">
      <c r="B66" s="372" t="s">
        <v>326</v>
      </c>
      <c r="C66" s="378">
        <f>Normalized_FCF!E119</f>
        <v>0.17304079935938224</v>
      </c>
      <c r="D66" s="378">
        <f>Normalized_FCF!G119</f>
        <v>0.1804186534711629</v>
      </c>
    </row>
    <row r="67" spans="1:6">
      <c r="B67" s="382" t="str">
        <f>Normalized_FCF!B116</f>
        <v>Pre-tax Profit/Sales</v>
      </c>
      <c r="C67" s="383">
        <f>Normalized_FCF!E116</f>
        <v>0.22645563866550303</v>
      </c>
      <c r="D67" s="383">
        <f>Normalized_FCF!G116</f>
        <v>0.23611091459493438</v>
      </c>
    </row>
    <row r="68" spans="1:6">
      <c r="B68" s="382" t="str">
        <f>Normalized_FCF!B117</f>
        <v>Sales/Total Assets</v>
      </c>
      <c r="C68" s="384">
        <f>Normalized_FCF!E117</f>
        <v>0.61200300518899786</v>
      </c>
      <c r="D68" s="384">
        <f>Normalized_FCF!G117</f>
        <v>0.61200300518899786</v>
      </c>
    </row>
    <row r="69" spans="1:6">
      <c r="B69" s="382" t="str">
        <f>Normalized_FCF!B118</f>
        <v>Total Assets/Equity</v>
      </c>
      <c r="C69" s="384">
        <f>Normalized_FCF!E118</f>
        <v>1.2485669045200241</v>
      </c>
      <c r="D69" s="384">
        <f>Normalized_FCF!G118</f>
        <v>1.2485669045200241</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-845013</v>
      </c>
      <c r="D78" s="343" t="str">
        <f>Reporting_currency</f>
        <v>CNY</v>
      </c>
    </row>
    <row r="79" spans="1:6">
      <c r="B79" s="372" t="s">
        <v>234</v>
      </c>
      <c r="C79" s="387">
        <f>C78*scaling_factor*Exchange_Rate/Common_Shares</f>
        <v>-0.10588264210198041</v>
      </c>
      <c r="D79" s="343" t="str">
        <f>Market_currency</f>
        <v>HKD</v>
      </c>
    </row>
    <row r="80" spans="1:6">
      <c r="B80" s="382" t="s">
        <v>309</v>
      </c>
      <c r="C80" s="388">
        <f>IF(BS!G31/BS!G27&gt;300%,"nm",BS!G31/BS!G27)</f>
        <v>3.1120102042901991E-2</v>
      </c>
    </row>
    <row r="81" spans="1:6">
      <c r="B81" s="382" t="s">
        <v>311</v>
      </c>
      <c r="C81" s="389">
        <f>IF(BS!C50&gt;30,"nm",BS!C50)</f>
        <v>0.17837624059729351</v>
      </c>
    </row>
    <row r="83" spans="1:6">
      <c r="B83" s="343" t="s">
        <v>511</v>
      </c>
    </row>
    <row r="84" spans="1:6">
      <c r="B84" s="343" t="s">
        <v>224</v>
      </c>
      <c r="C84" s="373">
        <f>DCF!F5</f>
        <v>14573965.500434754</v>
      </c>
      <c r="D84" s="343" t="str">
        <f>Reporting_currency</f>
        <v>CNY</v>
      </c>
    </row>
    <row r="85" spans="1:6">
      <c r="B85" s="382" t="s">
        <v>481</v>
      </c>
      <c r="C85" s="390">
        <f>BS!C66</f>
        <v>17607845</v>
      </c>
      <c r="D85" s="391" t="str">
        <f>Reporting_currency</f>
        <v>CNY</v>
      </c>
    </row>
    <row r="86" spans="1:6">
      <c r="B86" s="372" t="s">
        <v>235</v>
      </c>
      <c r="C86" s="387">
        <f>C84*scaling_factor*Exchange_Rate/Common_Shares</f>
        <v>1.8261612224772199</v>
      </c>
      <c r="D86" s="343" t="str">
        <f>Market_currency</f>
        <v>HKD</v>
      </c>
    </row>
    <row r="88" spans="1:6">
      <c r="B88" s="343" t="s">
        <v>512</v>
      </c>
    </row>
    <row r="89" spans="1:6">
      <c r="B89" s="343" t="s">
        <v>217</v>
      </c>
      <c r="C89" s="373">
        <f>DCF!F6</f>
        <v>4283</v>
      </c>
      <c r="D89" s="343" t="str">
        <f>Reporting_currency</f>
        <v>CNY</v>
      </c>
    </row>
    <row r="90" spans="1:6">
      <c r="B90" s="372" t="s">
        <v>236</v>
      </c>
      <c r="C90" s="387">
        <f>C89*scaling_factor*Exchange_Rate/Common_Shares</f>
        <v>5.3667263831773252E-4</v>
      </c>
      <c r="D90" s="343" t="str">
        <f>Market_currency</f>
        <v>HKD</v>
      </c>
    </row>
    <row r="92" spans="1:6">
      <c r="B92" s="372" t="s">
        <v>480</v>
      </c>
      <c r="C92" s="387">
        <f>DCF!F8</f>
        <v>1.7208152530135572</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1.2907792110039855</v>
      </c>
      <c r="D111" s="343" t="str">
        <f>Market_currency</f>
        <v>HKD</v>
      </c>
    </row>
    <row r="112" spans="1:6">
      <c r="A112" s="385"/>
      <c r="B112" s="372" t="s">
        <v>377</v>
      </c>
      <c r="C112" s="394">
        <f>DCF!C11</f>
        <v>7.66618144869879</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3</v>
      </c>
      <c r="E118" s="398" t="str">
        <f>ROUND(DCF!E90,2)&amp;" "&amp;Market_currency</f>
        <v>8.54 HKD</v>
      </c>
      <c r="F118" s="399">
        <f>DCF!F90</f>
        <v>0.05</v>
      </c>
    </row>
    <row r="119" spans="1:6">
      <c r="A119" s="385"/>
      <c r="B119" s="400" t="str">
        <f>DCF!B91</f>
        <v>Optimistic</v>
      </c>
      <c r="C119" s="401">
        <f>DCF!C91</f>
        <v>0.02</v>
      </c>
      <c r="D119" s="402">
        <f>DCF!D91</f>
        <v>3</v>
      </c>
      <c r="E119" s="398" t="str">
        <f>ROUND(DCF!E91,2)&amp;" "&amp;Market_currency</f>
        <v>8.01 HKD</v>
      </c>
      <c r="F119" s="403">
        <f>DCF!F91</f>
        <v>0.15999999999999995</v>
      </c>
    </row>
    <row r="120" spans="1:6">
      <c r="B120" s="400" t="str">
        <f>DCF!B92</f>
        <v>Base</v>
      </c>
      <c r="C120" s="401">
        <f>DCF!C92</f>
        <v>-0.05</v>
      </c>
      <c r="D120" s="402">
        <f>DCF!D92</f>
        <v>3</v>
      </c>
      <c r="E120" s="398" t="str">
        <f>ROUND(DCF!E92,2)&amp;" "&amp;Market_currency</f>
        <v>6.87 HKD</v>
      </c>
      <c r="F120" s="403">
        <f>DCF!F92</f>
        <v>0.44</v>
      </c>
    </row>
    <row r="121" spans="1:6">
      <c r="B121" s="400" t="str">
        <f>DCF!B93</f>
        <v>Pessimistic</v>
      </c>
      <c r="C121" s="401">
        <f>DCF!C93</f>
        <v>-0.15</v>
      </c>
      <c r="D121" s="402">
        <f>DCF!D93</f>
        <v>3</v>
      </c>
      <c r="E121" s="398" t="str">
        <f>ROUND(DCF!E93,2)&amp;" "&amp;Market_currency</f>
        <v>5.51 HKD</v>
      </c>
      <c r="F121" s="403">
        <f>DCF!F93</f>
        <v>0.19999999999999998</v>
      </c>
    </row>
    <row r="122" spans="1:6">
      <c r="B122" s="400" t="str">
        <f>DCF!B94</f>
        <v>Devil's advocate</v>
      </c>
      <c r="C122" s="401">
        <f>DCF!C94</f>
        <v>-0.3</v>
      </c>
      <c r="D122" s="402">
        <f>DCF!D94</f>
        <v>3</v>
      </c>
      <c r="E122" s="398" t="str">
        <f>ROUND(DCF!E94,2)&amp;" "&amp;Market_currency</f>
        <v>3.96 HKD</v>
      </c>
      <c r="F122" s="403">
        <f>DCF!F94</f>
        <v>0.15</v>
      </c>
    </row>
    <row r="124" spans="1:6">
      <c r="B124" s="470" t="s">
        <v>518</v>
      </c>
      <c r="C124" s="470"/>
      <c r="D124" s="470"/>
      <c r="E124" s="470"/>
      <c r="F124" s="470"/>
    </row>
    <row r="125" spans="1:6">
      <c r="B125" s="372" t="s">
        <v>218</v>
      </c>
      <c r="C125" s="404">
        <f>Scenarios!C36</f>
        <v>6.4270055557277068</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0.24179999999999999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0.43913609467455633</v>
      </c>
      <c r="D140" s="409">
        <f>Scenarios!D62</f>
        <v>2.9253552825342308</v>
      </c>
      <c r="E140" s="410">
        <f>Scenarios!E62</f>
        <v>3.364491377208787</v>
      </c>
      <c r="F140" s="411">
        <f>E22</f>
        <v>0.3</v>
      </c>
    </row>
    <row r="141" spans="1:6">
      <c r="B141" s="408" t="s">
        <v>313</v>
      </c>
      <c r="C141" s="409">
        <f>Scenarios!C63</f>
        <v>0.50934722222222217</v>
      </c>
      <c r="D141" s="409">
        <f>Scenarios!D63</f>
        <v>3.7193319188239045</v>
      </c>
      <c r="E141" s="410">
        <f>Scenarios!E63</f>
        <v>4.2286791410461264</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0.58336743585196538</v>
      </c>
      <c r="D144" s="409">
        <f>Scenarios!D66</f>
        <v>4.6066230280317111</v>
      </c>
      <c r="E144" s="410">
        <f>Scenarios!E66</f>
        <v>5.1899904638836762</v>
      </c>
      <c r="F144" s="411">
        <f>E24</f>
        <v>0.1174</v>
      </c>
    </row>
    <row r="145" spans="1:6">
      <c r="B145" s="408" t="s">
        <v>314</v>
      </c>
      <c r="C145" s="409">
        <f>Scenarios!C67</f>
        <v>0.63167232993043521</v>
      </c>
      <c r="D145" s="409">
        <f>Scenarios!D67</f>
        <v>5.2097486735729426</v>
      </c>
      <c r="E145" s="410">
        <f>Scenarios!E67</f>
        <v>5.8414210035033776</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2026-03-24T09:56:46Z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