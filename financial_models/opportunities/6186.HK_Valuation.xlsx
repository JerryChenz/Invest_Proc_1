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88ADD3B-5E1B-4CBF-B470-E9073E0DEDAB}" xr6:coauthVersionLast="47" xr6:coauthVersionMax="47" xr10:uidLastSave="{00000000-0000-0000-0000-000000000000}"/>
  <bookViews>
    <workbookView xWindow="368" yWindow="368" windowWidth="12689"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C52" i="2" s="1"/>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<sst xmlns="http://schemas.openxmlformats.org/spreadsheetml/2006/main" count="768" uniqueCount="558">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</sst>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3.9</v>
      </c>
      <c r="E8" s="32"/>
    </row>
    <row r="9" spans="1:9">
      <c r="B9" s="4" t="s">
        <v>346</v>
      </c>
      <c r="C9" s="48">
        <v>9065251704</v>
      </c>
    </row>
    <row r="10" spans="1:9">
      <c r="B10" s="4" t="s">
        <v>352</v>
      </c>
      <c r="C10" s="33">
        <f>Thesis!C8*Common_Shares/1000000</f>
        <v>35354.481645599997</v>
      </c>
      <c r="D10" s="1" t="s">
        <v>527</v>
      </c>
      <c r="E10" s="303">
        <f>Scenarios!F34</f>
        <v>0.24573344075446082</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1.1396112205505371</v>
      </c>
    </row>
    <row r="17" spans="1:6">
      <c r="B17" s="1" t="s">
        <v>531</v>
      </c>
      <c r="C17" s="456">
        <v>0</v>
      </c>
      <c r="D17" s="4" t="s">
        <v>274</v>
      </c>
      <c r="E17" s="224" t="s">
        <v>557</v>
      </c>
    </row>
    <row r="18" spans="1:6">
      <c r="B18" s="1" t="str">
        <f>"Expected Equity Value ("&amp;C7&amp;") :"</f>
        <v>Expected Equity Value (HKD) :</v>
      </c>
      <c r="C18" s="252">
        <f>C125</f>
        <v>6.6211992749639004</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3.4937020166167456</v>
      </c>
      <c r="D22" s="38" t="s">
        <v>406</v>
      </c>
      <c r="E22" s="79">
        <v>0.29465259038036606</v>
      </c>
    </row>
    <row r="23" spans="1:6">
      <c r="B23" s="1" t="s">
        <v>313</v>
      </c>
      <c r="C23" s="256">
        <f>E141</f>
        <v>4.3332675912519178</v>
      </c>
      <c r="D23" s="38" t="s">
        <v>407</v>
      </c>
      <c r="E23" s="443">
        <v>0.20075184365903009</v>
      </c>
    </row>
    <row r="24" spans="1:6">
      <c r="B24" s="1" t="s">
        <v>315</v>
      </c>
      <c r="C24" s="256">
        <f>E144</f>
        <v>5.3291808304044164</v>
      </c>
      <c r="D24" s="38" t="s">
        <v>408</v>
      </c>
      <c r="E24" s="443">
        <v>0.1174</v>
      </c>
    </row>
    <row r="25" spans="1:6">
      <c r="B25" s="1" t="s">
        <v>314</v>
      </c>
      <c r="C25" s="256">
        <f>E145</f>
        <v>5.9988349752876919</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4902319</v>
      </c>
      <c r="D34" s="1" t="str">
        <f>Reporting_currency</f>
        <v>CNY</v>
      </c>
    </row>
    <row r="35" spans="2:6">
      <c r="B35" s="44"/>
      <c r="C35" s="73"/>
    </row>
    <row r="36" spans="2:6" ht="24.5" customHeight="1">
      <c r="B36" s="462" t="s">
        <v>198</v>
      </c>
      <c r="C36" s="462"/>
      <c r="D36" s="462"/>
      <c r="E36" s="462"/>
      <c r="F36" s="462"/>
    </row>
    <row r="37" spans="2:6">
      <c r="B37" s="44" t="s">
        <v>199</v>
      </c>
      <c r="C37" s="285">
        <f>Normalized_FCF!C15</f>
        <v>0</v>
      </c>
      <c r="D37" s="1" t="str">
        <f>Reporting_currency</f>
        <v>CNY</v>
      </c>
    </row>
    <row r="38" spans="2:6">
      <c r="B38" s="49" t="s">
        <v>200</v>
      </c>
      <c r="C38" s="285">
        <f>Normalized_FCF!C16</f>
        <v>0</v>
      </c>
      <c r="D38" s="1" t="str">
        <f>Reporting_currency</f>
        <v>CNY</v>
      </c>
    </row>
    <row r="40" spans="2:6">
      <c r="B40" s="462" t="s">
        <v>201</v>
      </c>
      <c r="C40" s="462"/>
      <c r="D40" s="462"/>
      <c r="E40" s="462"/>
      <c r="F40" s="462"/>
    </row>
    <row r="41" spans="2:6">
      <c r="B41" s="44" t="s">
        <v>202</v>
      </c>
      <c r="C41" s="285">
        <f>Normalized_FCF!C9</f>
        <v>-12182</v>
      </c>
      <c r="D41" s="1" t="str">
        <f>Reporting_currency</f>
        <v>CNY</v>
      </c>
    </row>
    <row r="43" spans="2:6">
      <c r="B43" s="462" t="s">
        <v>205</v>
      </c>
      <c r="C43" s="462"/>
      <c r="D43" s="462"/>
      <c r="E43" s="462"/>
      <c r="F43" s="462"/>
    </row>
    <row r="44" spans="2:6">
      <c r="B44" s="44" t="s">
        <v>267</v>
      </c>
      <c r="C44" s="286">
        <f>Normalized_FCF!C46</f>
        <v>18038.208862027197</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-26607.791137972803</v>
      </c>
      <c r="D46" s="1" t="str">
        <f>Reporting_currency</f>
        <v>CNY</v>
      </c>
    </row>
    <row r="48" spans="2:6">
      <c r="B48" s="1" t="s">
        <v>211</v>
      </c>
    </row>
    <row r="49" spans="2:6">
      <c r="B49" s="44" t="s">
        <v>223</v>
      </c>
      <c r="C49" s="285">
        <f>Normalized_FCF!C13</f>
        <v>-83995</v>
      </c>
      <c r="D49" s="1" t="str">
        <f>Reporting_currency</f>
        <v>CNY</v>
      </c>
    </row>
    <row r="51" spans="2:6">
      <c r="B51" s="462" t="s">
        <v>206</v>
      </c>
      <c r="C51" s="462"/>
      <c r="D51" s="462"/>
      <c r="E51" s="462"/>
      <c r="F51" s="462"/>
    </row>
    <row r="52" spans="2:6">
      <c r="B52" s="44" t="s">
        <v>204</v>
      </c>
      <c r="C52" s="285">
        <f>Normalized_FCF!C12</f>
        <v>-1215882.3022155068</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2918873.2657263465</v>
      </c>
      <c r="D60" s="1" t="str">
        <f>Reporting_currency</f>
        <v>CNY</v>
      </c>
    </row>
    <row r="61" spans="2:6">
      <c r="B61" s="44" t="s">
        <v>213</v>
      </c>
      <c r="C61" s="285">
        <f>Normalized_FCF!C19</f>
        <v>3563651.9066465204</v>
      </c>
      <c r="D61" s="1" t="str">
        <f>Reporting_currency</f>
        <v>CNY</v>
      </c>
    </row>
    <row r="62" spans="2:6">
      <c r="B62" s="204" t="s">
        <v>302</v>
      </c>
      <c r="C62" s="89">
        <f>Normalized_FCF!C124</f>
        <v>0.11487023737642944</v>
      </c>
      <c r="F62" s="257"/>
    </row>
    <row r="63" spans="2:6">
      <c r="B63" s="204" t="s">
        <v>332</v>
      </c>
      <c r="C63" s="89">
        <f>Normalized_FCF!C92</f>
        <v>6.2E-2</v>
      </c>
      <c r="E63" s="44" t="s">
        <v>322</v>
      </c>
      <c r="F63" s="258">
        <f>Normalized_FCF!C90</f>
        <v>0.61509314586505237</v>
      </c>
    </row>
    <row r="65" spans="1:6">
      <c r="B65" s="192" t="s">
        <v>325</v>
      </c>
      <c r="C65" s="264" t="s">
        <v>327</v>
      </c>
      <c r="D65" s="264" t="s">
        <v>328</v>
      </c>
    </row>
    <row r="66" spans="1:6">
      <c r="B66" s="44" t="s">
        <v>326</v>
      </c>
      <c r="C66" s="89">
        <f>Normalized_FCF!E119</f>
        <v>0.17911384235321903</v>
      </c>
      <c r="D66" s="89">
        <f>Normalized_FCF!G119</f>
        <v>0.18040079738883699</v>
      </c>
    </row>
    <row r="67" spans="1:6">
      <c r="B67" s="229" t="str">
        <f>Normalized_FCF!B116</f>
        <v>Pre-tax Profit/Sales</v>
      </c>
      <c r="C67" s="263">
        <f>Normalized_FCF!E116</f>
        <v>0.23440332981639808</v>
      </c>
      <c r="D67" s="263">
        <f>Normalized_FCF!G116</f>
        <v>0.23608754663464901</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-845013</v>
      </c>
      <c r="D78" s="1" t="str">
        <f>Reporting_currency</f>
        <v>CNY</v>
      </c>
    </row>
    <row r="79" spans="1:6">
      <c r="A79" s="191"/>
      <c r="B79" s="44" t="s">
        <v>234</v>
      </c>
      <c r="C79" s="201">
        <f>C78*scaling_factor*Exchange_Rate/Common_Shares</f>
        <v>-0.10622830206536436</v>
      </c>
      <c r="D79" s="1" t="str">
        <f>Market_currency</f>
        <v>HKD</v>
      </c>
    </row>
    <row r="80" spans="1:6">
      <c r="A80" s="191"/>
      <c r="B80" s="229" t="s">
        <v>309</v>
      </c>
      <c r="C80" s="337">
        <f>IF(BS!G31/BS!G27&gt;300%,"nm",BS!G31/BS!G27)</f>
        <v>3.1120102042901991E-2</v>
      </c>
    </row>
    <row r="81" spans="1:6">
      <c r="A81" s="191"/>
      <c r="B81" s="229" t="s">
        <v>311</v>
      </c>
      <c r="C81" s="338">
        <f>IF(BS!C50&gt;30,"nm",BS!C50)</f>
        <v>0.1723700558857961</v>
      </c>
    </row>
    <row r="82" spans="1:6">
      <c r="A82" s="191"/>
    </row>
    <row r="83" spans="1:6">
      <c r="A83" s="191"/>
      <c r="B83" s="1" t="s">
        <v>466</v>
      </c>
    </row>
    <row r="84" spans="1:6">
      <c r="A84" s="191"/>
      <c r="B84" s="1" t="s">
        <v>224</v>
      </c>
      <c r="C84" s="285">
        <f>DCF!F5</f>
        <v>14601476.8563288</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1.8355813390971767</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5.3842463695346167E-4</v>
      </c>
      <c r="D90" s="1" t="str">
        <f>Market_currency</f>
        <v>HKD</v>
      </c>
    </row>
    <row r="91" spans="1:6">
      <c r="A91" s="191"/>
    </row>
    <row r="92" spans="1:6">
      <c r="A92" s="191"/>
      <c r="B92" s="44" t="s">
        <v>469</v>
      </c>
      <c r="C92" s="216">
        <f>DCF!F8</f>
        <v>1.7298914616687657</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1.2949930338360855</v>
      </c>
      <c r="D111" s="1" t="str">
        <f>Market_currency</f>
        <v>HKD</v>
      </c>
    </row>
    <row r="112" spans="2:6">
      <c r="B112" s="44" t="s">
        <v>323</v>
      </c>
      <c r="C112" s="216">
        <f>DCF!C11</f>
        <v>7.9091180239870402</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8.82 HKD</v>
      </c>
      <c r="E118" s="208">
        <f>DCF!F90</f>
        <v>0.05</v>
      </c>
      <c r="F118" s="208">
        <f>RATE(Holding_Period,Scenarios!C$58,-DCF!E90,C$18)</f>
        <v>-6.0841269021110922E-2</v>
      </c>
    </row>
    <row r="119" spans="2:6">
      <c r="B119" s="205" t="str">
        <f>DCF!B91&amp;" ("&amp;DCF!D91&amp;"yrs)"</f>
        <v>Optimistic (3yrs)</v>
      </c>
      <c r="C119" s="198">
        <f>DCF!C91</f>
        <v>0.02</v>
      </c>
      <c r="D119" s="207" t="str">
        <f>ROUND(DCF!E91,2)&amp;" "&amp;Market_currency</f>
        <v>8.26 HKD</v>
      </c>
      <c r="E119" s="199">
        <f>DCF!F91</f>
        <v>0.15999999999999995</v>
      </c>
      <c r="F119" s="208">
        <f>RATE(Holding_Period,Scenarios!C$58,-DCF!E91,C$18)</f>
        <v>-3.962680853966636E-2</v>
      </c>
    </row>
    <row r="120" spans="2:6">
      <c r="B120" s="205" t="str">
        <f>DCF!B92&amp;" ("&amp;DCF!D92&amp;"yrs)"</f>
        <v>Base (3yrs)</v>
      </c>
      <c r="C120" s="198">
        <f>DCF!C92</f>
        <v>-0.05</v>
      </c>
      <c r="D120" s="207" t="str">
        <f>ROUND(DCF!E92,2)&amp;" "&amp;Market_currency</f>
        <v>7.08 HKD</v>
      </c>
      <c r="E120" s="199">
        <f>DCF!F92</f>
        <v>0.44</v>
      </c>
      <c r="F120" s="208">
        <f>RATE(Holding_Period,Scenarios!C$58,-DCF!E92,C$18)</f>
        <v>1.2625661856595548E-2</v>
      </c>
    </row>
    <row r="121" spans="2:6">
      <c r="B121" s="205" t="str">
        <f>DCF!B93&amp;" ("&amp;DCF!D93&amp;"yrs)"</f>
        <v>Pessimistic (3yrs)</v>
      </c>
      <c r="C121" s="198">
        <f>DCF!C93</f>
        <v>-0.15</v>
      </c>
      <c r="D121" s="207" t="str">
        <f>ROUND(DCF!E93,2)&amp;" "&amp;Market_currency</f>
        <v>5.67 HKD</v>
      </c>
      <c r="E121" s="199">
        <f>DCF!F93</f>
        <v>0.19999999999999998</v>
      </c>
      <c r="F121" s="208">
        <f>RATE(Holding_Period,Scenarios!C$58,-DCF!E93,C$18)</f>
        <v>9.3945686193548497E-2</v>
      </c>
    </row>
    <row r="122" spans="2:6">
      <c r="B122" s="205" t="str">
        <f>DCF!B94&amp;" ("&amp;DCF!D94&amp;"yrs)"</f>
        <v>Devil's advocate (3yrs)</v>
      </c>
      <c r="C122" s="198">
        <f>DCF!C94</f>
        <v>-0.3</v>
      </c>
      <c r="D122" s="207" t="str">
        <f>ROUND(DCF!E94,2)&amp;" "&amp;Market_currency</f>
        <v>4.06 HKD</v>
      </c>
      <c r="E122" s="199">
        <f>DCF!F94</f>
        <v>0.15</v>
      </c>
      <c r="F122" s="208">
        <f>RATE(Holding_Period,Scenarios!C$58,-DCF!E94,C$18)</f>
        <v>0.22880580384618471</v>
      </c>
    </row>
    <row r="124" spans="2:6">
      <c r="B124" s="462" t="s">
        <v>357</v>
      </c>
      <c r="C124" s="462"/>
      <c r="D124" s="462"/>
      <c r="E124" s="462"/>
      <c r="F124" s="462"/>
    </row>
    <row r="125" spans="2:6">
      <c r="B125" s="193" t="s">
        <v>218</v>
      </c>
      <c r="C125" s="197">
        <f>Scenarios!C36</f>
        <v>6.6211992749639004</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0.44245811110342687</v>
      </c>
      <c r="D140" s="333">
        <f>Scenarios!D62</f>
        <v>3.0512439055133189</v>
      </c>
      <c r="E140" s="334">
        <f>Scenarios!E62</f>
        <v>3.4937020166167456</v>
      </c>
      <c r="F140" s="335">
        <f>E22</f>
        <v>0.29465259038036606</v>
      </c>
    </row>
    <row r="141" spans="1:6">
      <c r="B141" s="336" t="s">
        <v>313</v>
      </c>
      <c r="C141" s="333">
        <f>Scenarios!C63</f>
        <v>0.50874815444966315</v>
      </c>
      <c r="D141" s="333">
        <f>Scenarios!D63</f>
        <v>3.8245194368022544</v>
      </c>
      <c r="E141" s="334">
        <f>Scenarios!E63</f>
        <v>4.3332675912519178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4.7458133945524512</v>
      </c>
      <c r="E144" s="334">
        <f>Scenarios!E66</f>
        <v>5.3291808304044164</v>
      </c>
      <c r="F144" s="335">
        <f>E24</f>
        <v>0.1174</v>
      </c>
    </row>
    <row r="145" spans="1:6">
      <c r="B145" s="336" t="s">
        <v>314</v>
      </c>
      <c r="C145" s="333">
        <f>Scenarios!C67</f>
        <v>0.63167232993043521</v>
      </c>
      <c r="D145" s="333">
        <f>Scenarios!D67</f>
        <v>5.367162645357257</v>
      </c>
      <c r="E145" s="334">
        <f>Scenarios!E67</f>
        <v>5.9988349752876919</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3.2195532987465292</v>
      </c>
      <c r="D47" s="134">
        <f>D46*H1/Common_Shares*Exchange_Rate</f>
        <v>1.2949930338360855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1"/>
      <c r="D75" s="262">
        <f>MAX(-D73*D76,G5)</f>
        <v>3006368.1436711997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-962986.29631107103</v>
      </c>
      <c r="D86" s="201">
        <f>C86*scaling_factor/Common_Shares</f>
        <v>-0.10622830206536436</v>
      </c>
      <c r="E86" s="214" t="str">
        <f>Market_currency</f>
        <v>HKD</v>
      </c>
    </row>
    <row r="87" spans="2:8" ht="15" customHeight="1">
      <c r="B87" s="212" t="s">
        <v>240</v>
      </c>
      <c r="C87" s="73">
        <f>DCF!F5*Exchange_Rate</f>
        <v>16640006.862081284</v>
      </c>
      <c r="D87" s="201">
        <f>C87*scaling_factor/Common_Shares</f>
        <v>1.8355813390971767</v>
      </c>
      <c r="E87" s="214" t="str">
        <f>Market_currency</f>
        <v>HKD</v>
      </c>
    </row>
    <row r="88" spans="2:8" ht="15" customHeight="1">
      <c r="B88" s="213" t="s">
        <v>159</v>
      </c>
      <c r="C88" s="73">
        <f>DCF!F6*Exchange_Rate</f>
        <v>4880.9548576179504</v>
      </c>
      <c r="D88" s="201">
        <f>C88*scaling_factor/Common_Shares</f>
        <v>5.3842463695346167E-4</v>
      </c>
      <c r="E88" s="214" t="str">
        <f>Market_currency</f>
        <v>HKD</v>
      </c>
    </row>
    <row r="89" spans="2:8" ht="15" customHeight="1">
      <c r="B89" s="77" t="s">
        <v>244</v>
      </c>
      <c r="C89" s="162">
        <f>SUM(C86:C88)</f>
        <v>15681901.52062783</v>
      </c>
      <c r="D89" s="216">
        <f>SUM(D86:D88)</f>
        <v>1.729891461668766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-14164970</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6583580</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4902319</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-26607.791137972803</v>
      </c>
      <c r="E10" s="237"/>
      <c r="G10" s="266">
        <f>G48</f>
        <v>8337.2657263468718</v>
      </c>
      <c r="H10" s="266">
        <f t="shared" ref="H10:Q10" si="6">H48</f>
        <v>-2179.5190006214325</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4863529.2088620272</v>
      </c>
      <c r="E11" s="237"/>
      <c r="G11" s="267">
        <f t="shared" ref="G11:Q11" si="7">IF(G$4="","",SUM(G8:G10))</f>
        <v>4898474.2657263465</v>
      </c>
      <c r="H11" s="267">
        <f t="shared" si="7"/>
        <v>4182649.4809993785</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-1215882.3022155068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3563651.9066465204</v>
      </c>
      <c r="D14" s="58"/>
      <c r="E14" s="243"/>
      <c r="F14" s="58"/>
      <c r="G14" s="267">
        <f t="shared" ref="G14:Q14" si="8">IF(G$4="","",SUM(G11:G13))</f>
        <v>2918873.2657263465</v>
      </c>
      <c r="H14" s="267">
        <f t="shared" si="8"/>
        <v>2622709.4809993785</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3563651.9066465204</v>
      </c>
      <c r="D19" s="26"/>
      <c r="E19" s="234"/>
      <c r="F19" s="26"/>
      <c r="G19" s="271">
        <f t="shared" ref="G19:Q19" si="9">IF(G$4="","",G14+G17)</f>
        <v>2918873.2657263465</v>
      </c>
      <c r="H19" s="271">
        <f t="shared" si="9"/>
        <v>2622709.4809993785</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-6983747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-14164970</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0.33658964120384316</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18038.208862027197</v>
      </c>
      <c r="E46" s="237"/>
      <c r="G46" s="274">
        <f t="shared" ref="G46:Q46" si="17">IFERROR(IF(G$4="","",($C$46/$C$47)*G47),0)</f>
        <v>52983.265726346872</v>
      </c>
      <c r="H46" s="274">
        <f t="shared" si="17"/>
        <v>50952.480999378568</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-26607.791137972803</v>
      </c>
      <c r="E48" s="237"/>
      <c r="G48" s="267">
        <f>IF(G$4="","",(G45+G46))</f>
        <v>8337.2657263468718</v>
      </c>
      <c r="H48" s="267">
        <f t="shared" ref="H48:Q48" si="18">IF(H$4="","",(H45+H46))</f>
        <v>-2179.5190006214325</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4"/>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4"/>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4"/>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4"/>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7"/>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6.2E-2</v>
      </c>
      <c r="E92" s="237"/>
      <c r="G92" s="22">
        <f t="shared" ref="G92:Q92" si="38">IF(G$4="","",(G88*(1-dividend_tax_rate))/Market_Price)</f>
        <v>8.3692307692307705E-2</v>
      </c>
      <c r="H92" s="22">
        <f t="shared" si="38"/>
        <v>7.2641025641025647E-2</v>
      </c>
      <c r="I92" s="22">
        <f t="shared" si="38"/>
        <v>7.3128205128205129E-2</v>
      </c>
      <c r="J92" s="22">
        <f t="shared" si="38"/>
        <v>0.12066666666666667</v>
      </c>
      <c r="K92" s="22">
        <f t="shared" si="38"/>
        <v>7.5923076923076926E-2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4"/>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1.4318240702924112</v>
      </c>
      <c r="H113" s="251">
        <f>IF(H$4="","",Data!D$22/H19)</f>
        <v>1.5805585902790971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2">
        <f>E119/E117/E118</f>
        <v>0.23440332981639808</v>
      </c>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0.17911384235321903</v>
      </c>
      <c r="D119" s="100"/>
      <c r="E119" s="453">
        <f>C11/C104</f>
        <v>0.17911384235321903</v>
      </c>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0.44799392576807479</v>
      </c>
      <c r="D123" s="26"/>
      <c r="E123" s="234"/>
      <c r="F123" s="26"/>
      <c r="G123" s="159">
        <f t="shared" ref="G123:Q123" si="48">IF(G$4="","",G14*$C$3/Common_Shares*Exchange_Rate)</f>
        <v>0.36693749204106313</v>
      </c>
      <c r="H123" s="159">
        <f t="shared" si="48"/>
        <v>0.32970614058872111</v>
      </c>
      <c r="I123" s="159">
        <f t="shared" si="48"/>
        <v>0.51520072170570419</v>
      </c>
      <c r="J123" s="159">
        <f t="shared" si="48"/>
        <v>0.65675473357893854</v>
      </c>
      <c r="K123" s="159">
        <f t="shared" si="48"/>
        <v>0.57023556403320153</v>
      </c>
      <c r="L123" s="159">
        <f t="shared" si="48"/>
        <v>0.38060424229387285</v>
      </c>
      <c r="M123" s="159">
        <f t="shared" si="48"/>
        <v>0.22282394977278219</v>
      </c>
      <c r="N123" s="159">
        <f t="shared" si="48"/>
        <v>9.7875491750693391E-2</v>
      </c>
      <c r="O123" s="159">
        <f t="shared" si="48"/>
        <v>2.7406983142837266E-2</v>
      </c>
      <c r="P123" s="159" t="str">
        <f t="shared" si="48"/>
        <v/>
      </c>
      <c r="Q123" s="159" t="str">
        <f t="shared" si="48"/>
        <v/>
      </c>
    </row>
    <row r="124" spans="1:17" ht="15.75" customHeight="1">
      <c r="A124" s="10"/>
      <c r="B124" s="26" t="s">
        <v>226</v>
      </c>
      <c r="C124" s="74">
        <f>C19*Exchange_Rate*$C$3/(Market_Price*Common_Shares)</f>
        <v>0.11487023737642944</v>
      </c>
      <c r="D124" s="26"/>
      <c r="E124" s="234"/>
      <c r="F124" s="26"/>
      <c r="G124" s="74">
        <f t="shared" ref="G124" si="49">IF(G$4="","",G123/Market_Price)</f>
        <v>9.4086536420785419E-2</v>
      </c>
      <c r="H124" s="74">
        <f t="shared" ref="H124" si="50">IF(H$4="","",H123/Market_Price)</f>
        <v>8.4540036048390027E-2</v>
      </c>
      <c r="I124" s="74">
        <f t="shared" ref="I124" si="51">IF(I$4="","",I123/Market_Price)</f>
        <v>0.13210274915530876</v>
      </c>
      <c r="J124" s="74">
        <f t="shared" ref="J124" si="52">IF(J$4="","",J123/Market_Price)</f>
        <v>0.16839864963562526</v>
      </c>
      <c r="K124" s="74">
        <f t="shared" ref="K124" si="53">IF(K$4="","",K123/Market_Price)</f>
        <v>0.14621424718800038</v>
      </c>
      <c r="L124" s="74">
        <f t="shared" ref="L124" si="54">IF(L$4="","",L123/Market_Price)</f>
        <v>9.7590831357403304E-2</v>
      </c>
      <c r="M124" s="74">
        <f t="shared" ref="M124" si="55">IF(M$4="","",M123/Market_Price)</f>
        <v>5.7134346095585181E-2</v>
      </c>
      <c r="N124" s="74">
        <f t="shared" ref="N124" si="56">IF(N$4="","",N123/Market_Price)</f>
        <v>2.509627993607523E-2</v>
      </c>
      <c r="O124" s="74">
        <f t="shared" ref="O124" si="57">IF(O$4="","",O123/Market_Price)</f>
        <v>7.0274315750864782E-3</v>
      </c>
      <c r="P124" s="74" t="str">
        <f t="shared" ref="P124" si="58">IF(P$4="","",P123/Market_Price)</f>
        <v/>
      </c>
      <c r="Q124" s="74" t="str">
        <f t="shared" ref="Q124" si="59">IF(Q$4="","",Q123/Market_Price)</f>
        <v/>
      </c>
    </row>
    <row r="125" spans="1:17" ht="15.75" customHeight="1">
      <c r="B125" s="2" t="s">
        <v>306</v>
      </c>
      <c r="C125" s="151"/>
      <c r="G125" s="22">
        <f>IF(G$4="","",(Data!C47*$C$3)/(Market_Price*Common_Shares))</f>
        <v>0.10335662778568186</v>
      </c>
      <c r="H125" s="22">
        <f>IF(H$4="","",(Data!D47*$C$3)/(Market_Price*Common_Shares))</f>
        <v>9.3067465476742384E-2</v>
      </c>
      <c r="I125" s="22">
        <f>IF(I$4="","",(Data!E47*$C$3)/(Market_Price*Common_Shares))</f>
        <v>0.13995696640671326</v>
      </c>
      <c r="J125" s="22">
        <f>IF(J$4="","",(Data!F47*$C$3)/(Market_Price*Common_Shares))</f>
        <v>0.19558753736842258</v>
      </c>
      <c r="K125" s="22">
        <f>IF(K$4="","",(Data!G47*$C$3)/(Market_Price*Common_Shares))</f>
        <v>0.21034481779555428</v>
      </c>
      <c r="L125" s="22">
        <f>IF(L$4="","",(Data!H47*$C$3)/(Market_Price*Common_Shares))</f>
        <v>0.11128934202574212</v>
      </c>
      <c r="M125" s="22">
        <f>IF(M$4="","",(Data!I47*$C$3)/(Market_Price*Common_Shares))</f>
        <v>6.3422058410494531E-2</v>
      </c>
      <c r="N125" s="22">
        <f>IF(N$4="","",(Data!J47*$C$3)/(Market_Price*Common_Shares))</f>
        <v>3.2816942746617658E-2</v>
      </c>
      <c r="O125" s="22">
        <f>IF(O$4="","",(Data!K47*$C$3)/(Market_Price*Common_Shares))</f>
        <v>1.1487991934695702E-2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3563651.9066465204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14601476.8563288</v>
      </c>
      <c r="G5" t="str">
        <f>Reporting_currency</f>
        <v>CNY</v>
      </c>
      <c r="H5" s="308" t="s">
        <v>395</v>
      </c>
      <c r="I5" s="305">
        <f>Normalized_FCF!C7</f>
        <v>-1681261</v>
      </c>
      <c r="J5" s="305"/>
    </row>
    <row r="6" spans="2:15" ht="13.25" customHeight="1">
      <c r="B6" s="136" t="s">
        <v>194</v>
      </c>
      <c r="C6" s="283">
        <f>(C4*(1+Terminal_Growth))/(Equity_Cost-Terminal_Growth)</f>
        <v>49153819.402020976</v>
      </c>
      <c r="D6" t="str">
        <f>Reporting_currency</f>
        <v>CNY</v>
      </c>
      <c r="E6" s="187" t="s">
        <v>433</v>
      </c>
      <c r="F6" s="284">
        <f>BS!H42</f>
        <v>4283</v>
      </c>
      <c r="G6" t="str">
        <f>Reporting_currency</f>
        <v>CNY</v>
      </c>
      <c r="H6" s="308" t="s">
        <v>416</v>
      </c>
      <c r="I6" s="305">
        <f>I7+I8</f>
        <v>-38789.791137972803</v>
      </c>
      <c r="J6" s="305"/>
      <c r="N6" s="135"/>
    </row>
    <row r="7" spans="2:15" ht="12.75" customHeight="1">
      <c r="B7" s="318" t="s">
        <v>430</v>
      </c>
      <c r="C7" s="275">
        <f>F7</f>
        <v>13760746.8563288</v>
      </c>
      <c r="E7" s="140" t="s">
        <v>424</v>
      </c>
      <c r="F7" s="283">
        <f>SUM(F4:F6)</f>
        <v>13760746.8563288</v>
      </c>
      <c r="G7" t="str">
        <f>Reporting_currency</f>
        <v>CNY</v>
      </c>
      <c r="H7" s="312" t="s">
        <v>417</v>
      </c>
      <c r="I7" s="313">
        <f>Normalized_FCF!C9</f>
        <v>-12182</v>
      </c>
      <c r="J7" s="313"/>
      <c r="N7" s="304"/>
      <c r="O7" s="304"/>
    </row>
    <row r="8" spans="2:15" ht="13.15">
      <c r="B8" s="136" t="s">
        <v>426</v>
      </c>
      <c r="C8" s="283">
        <f>C6+C7</f>
        <v>62914566.258349776</v>
      </c>
      <c r="D8" t="str">
        <f>Reporting_currency</f>
        <v>CNY</v>
      </c>
      <c r="E8" s="140" t="s">
        <v>464</v>
      </c>
      <c r="F8" s="108">
        <f>FV_adjustments*scaling_factor/Common_Shares*Exchange_Rate</f>
        <v>1.7298914616687657</v>
      </c>
      <c r="G8" s="294" t="str">
        <f>Market_currency</f>
        <v>HKD</v>
      </c>
      <c r="H8" s="314" t="str">
        <f>Normalized_FCF!B10</f>
        <v>Net Interest Income</v>
      </c>
      <c r="I8" s="313">
        <f>Normalized_FCF!C10</f>
        <v>-26607.791137972803</v>
      </c>
      <c r="J8" s="313"/>
      <c r="N8" s="304"/>
      <c r="O8" s="304"/>
    </row>
    <row r="9" spans="2:15" ht="13.15" thickBot="1">
      <c r="B9" s="189" t="str">
        <f>"*"&amp;Thesis!E15</f>
        <v>*CNY/HKD</v>
      </c>
      <c r="C9" s="190">
        <f>Exchange_Rate</f>
        <v>1.1396112205505371</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71698145.644085631</v>
      </c>
      <c r="D10" t="str">
        <f>Market_currency</f>
        <v>HKD</v>
      </c>
      <c r="H10" s="308" t="s">
        <v>397</v>
      </c>
      <c r="I10" s="306">
        <f>Normalized_FCF!C41</f>
        <v>0.25</v>
      </c>
      <c r="N10" s="304"/>
      <c r="O10" s="304"/>
    </row>
    <row r="11" spans="2:15" ht="13.15">
      <c r="B11" s="136" t="s">
        <v>425</v>
      </c>
      <c r="C11" s="108">
        <f>(C10*scaling_factor)/Common_Shares</f>
        <v>7.9091180239870402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0.23440332981639811</v>
      </c>
      <c r="E17" s="308" t="s">
        <v>550</v>
      </c>
      <c r="F17" s="311">
        <f>Scenarios!C40</f>
        <v>0.23440332981639808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8.2371140433125571</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0.23440332981639811</v>
      </c>
      <c r="F21" s="277">
        <f>C21*E21</f>
        <v>4954054.1370046297</v>
      </c>
      <c r="G21" s="299">
        <f t="shared" ref="G21:G50" si="2">IF(A21="",0%,IF(A21="I",$C$18,$F$18))</f>
        <v>0</v>
      </c>
      <c r="H21" s="277">
        <f>(F21*(1-$I$10)+C21*(G21-$I$9))</f>
        <v>3629982.202799899</v>
      </c>
      <c r="I21" s="299">
        <f>H21/C4-1</f>
        <v>1.861301212659594E-2</v>
      </c>
      <c r="J21" s="299">
        <f>H21/C21</f>
        <v>0.17175426266638008</v>
      </c>
      <c r="K21" s="119">
        <f t="shared" ref="K21:K50" si="3">IF($C$15&lt;B21,0,1/(1+Equity_Cost)^B21)</f>
        <v>0.93240093240093236</v>
      </c>
      <c r="L21" s="277">
        <f t="shared" ref="L21:L51" si="4">H21*K21</f>
        <v>3384598.7904894161</v>
      </c>
    </row>
    <row r="22" spans="1:21">
      <c r="A22" s="302" t="str">
        <f t="shared" si="0"/>
        <v>I</v>
      </c>
      <c r="B22" s="117">
        <v>2</v>
      </c>
      <c r="C22" s="277">
        <f t="shared" ref="C22:C50" si="5">IF(A22="",0,C21*(1+D22))</f>
        <v>21528124.24074826</v>
      </c>
      <c r="D22" s="299">
        <f t="shared" si="1"/>
        <v>1.8613012126595999E-2</v>
      </c>
      <c r="E22" s="299">
        <f t="shared" ref="E22:E50" si="6">IF($C$15&lt;B22,0,IF(B22&gt;=$F$15,$F$17,$C$17))</f>
        <v>0.23440332981639811</v>
      </c>
      <c r="F22" s="277">
        <f t="shared" ref="F22:F50" si="7">IF(A22="", 0,C22*E22)</f>
        <v>5046264.0067325095</v>
      </c>
      <c r="G22" s="299">
        <f t="shared" si="2"/>
        <v>0</v>
      </c>
      <c r="H22" s="277">
        <f t="shared" ref="H22:H50" si="8">IF(A22="", 0,F22*(1-$I$10)+C22*(G22-$I$9))</f>
        <v>3697547.1055599409</v>
      </c>
      <c r="I22" s="299">
        <f t="shared" ref="I22:I50" si="9">IF(A22="", 0,H22/H21-1)</f>
        <v>1.861301212659594E-2</v>
      </c>
      <c r="J22" s="299">
        <f>IF(A22="", 0,H22/C22)</f>
        <v>0.17175426266638008</v>
      </c>
      <c r="K22" s="119">
        <f t="shared" si="3"/>
        <v>0.86937149874212816</v>
      </c>
      <c r="L22" s="277">
        <f t="shared" si="4"/>
        <v>3214542.0688302638</v>
      </c>
    </row>
    <row r="23" spans="1:21">
      <c r="A23" s="302" t="str">
        <f t="shared" si="0"/>
        <v>I</v>
      </c>
      <c r="B23" s="117">
        <v>3</v>
      </c>
      <c r="C23" s="277">
        <f t="shared" si="5"/>
        <v>21928827.47830417</v>
      </c>
      <c r="D23" s="299">
        <f t="shared" si="1"/>
        <v>1.8613012126595999E-2</v>
      </c>
      <c r="E23" s="299">
        <f t="shared" si="6"/>
        <v>0.23440332981639811</v>
      </c>
      <c r="F23" s="277">
        <f t="shared" si="7"/>
        <v>5140190.1798838256</v>
      </c>
      <c r="G23" s="299">
        <f t="shared" si="2"/>
        <v>0</v>
      </c>
      <c r="H23" s="277">
        <f t="shared" si="8"/>
        <v>3766369.594674387</v>
      </c>
      <c r="I23" s="299">
        <f t="shared" si="9"/>
        <v>1.8613012126595718E-2</v>
      </c>
      <c r="J23" s="299">
        <f t="shared" ref="J23:J50" si="10">IF(A23="", 0,H23/C23)</f>
        <v>0.17175426266638005</v>
      </c>
      <c r="K23" s="119">
        <f t="shared" si="3"/>
        <v>0.81060279602995633</v>
      </c>
      <c r="L23" s="277">
        <f t="shared" si="4"/>
        <v>3053029.7243252713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0.23440332981639808</v>
      </c>
      <c r="F51" s="277">
        <f>C51*E51</f>
        <v>5140190.1798838256</v>
      </c>
      <c r="G51" s="299">
        <f>F18</f>
        <v>0</v>
      </c>
      <c r="H51" s="277">
        <f>(F51*(1-$I$10)+C51*(G51-$I$9))/Equity_Cost</f>
        <v>51949925.443784654</v>
      </c>
      <c r="I51" s="415">
        <f>(F51*(1-$I$10)+C51*(G51-$I$9))/VLOOKUP(C15,B21:H50,COLUMN(H20)-1,FALSE)-1</f>
        <v>0</v>
      </c>
      <c r="J51" s="454"/>
      <c r="K51" s="119">
        <f>1/(1+Equity_Cost)^C15</f>
        <v>0.81060279602995633</v>
      </c>
      <c r="L51" s="277">
        <f t="shared" si="4"/>
        <v>42110754.818279609</v>
      </c>
    </row>
    <row r="52" spans="1:21" ht="13.15">
      <c r="G52" s="111"/>
      <c r="H52" s="111"/>
      <c r="I52" s="111"/>
      <c r="J52" s="460" t="s">
        <v>420</v>
      </c>
      <c r="K52" s="460"/>
      <c r="L52" s="317">
        <f>SUM(L21:L51)</f>
        <v>51762925.401924558</v>
      </c>
    </row>
    <row r="53" spans="1:21">
      <c r="C53" s="111"/>
    </row>
    <row r="54" spans="1:21" ht="13.15">
      <c r="B54" s="115" t="s">
        <v>108</v>
      </c>
      <c r="C54" s="128"/>
      <c r="D54" s="128"/>
      <c r="E54" s="113"/>
      <c r="F54" s="113"/>
      <c r="G54" s="113"/>
      <c r="H54" s="113"/>
      <c r="I54" s="113"/>
      <c r="J54" s="113"/>
      <c r="K54" s="113"/>
      <c r="L54" s="113"/>
    </row>
    <row r="55" spans="1:21" ht="13.15">
      <c r="A55" s="125">
        <f>L52</f>
        <v>51762925.401924558</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34407673.581414677</v>
      </c>
      <c r="C56" s="118">
        <v>41780746.491717815</v>
      </c>
      <c r="D56" s="118">
        <v>46696128.431919917</v>
      </c>
      <c r="E56" s="118">
        <v>50136895.790061392</v>
      </c>
      <c r="F56" s="118">
        <v>51611510.37212202</v>
      </c>
      <c r="G56" s="295"/>
      <c r="H56" s="295"/>
      <c r="I56" s="295"/>
      <c r="J56" s="295"/>
      <c r="K56" s="295"/>
      <c r="L56" s="295"/>
    </row>
    <row r="57" spans="1:21" ht="13.15">
      <c r="A57" s="131">
        <v>2</v>
      </c>
      <c r="B57" s="118">
        <v>24783149.502697285</v>
      </c>
      <c r="C57" s="118">
        <v>35937285.44392512</v>
      </c>
      <c r="D57" s="118">
        <v>44519152.747448124</v>
      </c>
      <c r="E57" s="118">
        <v>51071849.557708226</v>
      </c>
      <c r="F57" s="118">
        <v>54017641.391801372</v>
      </c>
      <c r="G57" s="295"/>
      <c r="H57" s="295"/>
      <c r="I57" s="295"/>
      <c r="J57" s="295"/>
      <c r="K57" s="295"/>
      <c r="L57" s="295"/>
    </row>
    <row r="58" spans="1:21" ht="13.15">
      <c r="A58" s="131">
        <v>3</v>
      </c>
      <c r="B58" s="118">
        <v>18501408.845259361</v>
      </c>
      <c r="C58" s="118">
        <v>31306104.193926238</v>
      </c>
      <c r="D58" s="118">
        <v>42590829.297333255</v>
      </c>
      <c r="E58" s="118">
        <v>51961036.357708015</v>
      </c>
      <c r="F58" s="118">
        <v>56373294.138340592</v>
      </c>
      <c r="G58" s="295"/>
      <c r="H58" s="295"/>
      <c r="I58" s="295"/>
      <c r="J58" s="295"/>
      <c r="K58" s="295"/>
      <c r="L58" s="295"/>
    </row>
    <row r="59" spans="1:21" ht="13.15">
      <c r="A59" s="131">
        <v>4</v>
      </c>
      <c r="B59" s="118">
        <v>14401438.252992181</v>
      </c>
      <c r="C59" s="118">
        <v>27635704.135652069</v>
      </c>
      <c r="D59" s="118">
        <v>40882757.243618451</v>
      </c>
      <c r="E59" s="118">
        <v>52806696.531134382</v>
      </c>
      <c r="F59" s="118">
        <v>58679527.596490875</v>
      </c>
      <c r="G59" s="295"/>
      <c r="H59" s="295"/>
      <c r="I59" s="295"/>
      <c r="J59" s="295"/>
      <c r="K59" s="295"/>
      <c r="L59" s="295"/>
    </row>
    <row r="60" spans="1:21" ht="13.15">
      <c r="A60" s="131">
        <v>5</v>
      </c>
      <c r="B60" s="118">
        <v>11725466.770859757</v>
      </c>
      <c r="C60" s="118">
        <v>24726762.364525687</v>
      </c>
      <c r="D60" s="118">
        <v>39369779.666901365</v>
      </c>
      <c r="E60" s="118">
        <v>53610960.752015404</v>
      </c>
      <c r="F60" s="118">
        <v>60937378.534540109</v>
      </c>
      <c r="G60" s="295"/>
      <c r="H60" s="295"/>
      <c r="I60" s="295"/>
      <c r="J60" s="295"/>
      <c r="K60" s="295"/>
      <c r="L60" s="295"/>
    </row>
    <row r="61" spans="1:21" ht="13.15">
      <c r="A61" s="131">
        <v>6</v>
      </c>
      <c r="B61" s="118">
        <v>9978911.957346756</v>
      </c>
      <c r="C61" s="118">
        <v>22421307.347782172</v>
      </c>
      <c r="D61" s="118">
        <v>38029613.048830301</v>
      </c>
      <c r="E61" s="118">
        <v>54375855.395650506</v>
      </c>
      <c r="F61" s="118">
        <v>63147861.970392503</v>
      </c>
      <c r="G61" s="295"/>
      <c r="H61" s="295"/>
      <c r="I61" s="295"/>
      <c r="J61" s="295"/>
      <c r="K61" s="295"/>
      <c r="L61" s="295"/>
    </row>
    <row r="62" spans="1:21" ht="13.15">
      <c r="A62" s="131">
        <v>7</v>
      </c>
      <c r="B62" s="118">
        <v>8838969.4217205532</v>
      </c>
      <c r="C62" s="118">
        <v>20594140.201645117</v>
      </c>
      <c r="D62" s="118">
        <v>36842519.074781328</v>
      </c>
      <c r="E62" s="118">
        <v>55103307.644142628</v>
      </c>
      <c r="F62" s="118">
        <v>65311971.627870381</v>
      </c>
      <c r="G62" s="295"/>
      <c r="H62" s="295"/>
      <c r="I62" s="295"/>
      <c r="J62" s="295"/>
      <c r="K62" s="295"/>
      <c r="L62" s="295"/>
    </row>
    <row r="63" spans="1:21" ht="13.15">
      <c r="A63" s="131">
        <v>8</v>
      </c>
      <c r="B63" s="118">
        <v>8094950.9835496042</v>
      </c>
      <c r="C63" s="118">
        <v>19146035.703541156</v>
      </c>
      <c r="D63" s="118">
        <v>35791013.922943078</v>
      </c>
      <c r="E63" s="118">
        <v>55795150.342009261</v>
      </c>
      <c r="F63" s="118">
        <v>67430680.383443132</v>
      </c>
      <c r="G63" s="295"/>
      <c r="H63" s="295"/>
      <c r="I63" s="295"/>
      <c r="J63" s="295"/>
      <c r="K63" s="295"/>
      <c r="L63" s="295"/>
    </row>
    <row r="64" spans="1:21" ht="13.15">
      <c r="A64" s="131">
        <v>9</v>
      </c>
      <c r="B64" s="118">
        <v>7609344.5437177503</v>
      </c>
      <c r="C64" s="118">
        <v>17998353.816931956</v>
      </c>
      <c r="D64" s="118">
        <v>34859610.758144632</v>
      </c>
      <c r="E64" s="118">
        <v>56453126.614106208</v>
      </c>
      <c r="F64" s="118">
        <v>69504940.703584254</v>
      </c>
      <c r="G64" s="295"/>
      <c r="H64" s="295"/>
      <c r="I64" s="295"/>
      <c r="J64" s="295"/>
      <c r="K64" s="295"/>
      <c r="L64" s="295"/>
    </row>
    <row r="65" spans="1:21" ht="13.15">
      <c r="A65" s="131">
        <v>10</v>
      </c>
      <c r="B65" s="118">
        <v>7292398.6156223677</v>
      </c>
      <c r="C65" s="118">
        <v>17088769.104933992</v>
      </c>
      <c r="D65" s="118">
        <v>34034591.637810342</v>
      </c>
      <c r="E65" s="118">
        <v>57078894.257499091</v>
      </c>
      <c r="F65" s="118">
        <v>71535685.072953224</v>
      </c>
      <c r="G65" s="295"/>
      <c r="H65" s="295"/>
      <c r="I65" s="295"/>
      <c r="J65" s="295"/>
      <c r="K65" s="295"/>
      <c r="L65" s="295"/>
    </row>
    <row r="66" spans="1:21" ht="13.15">
      <c r="A66" s="131">
        <v>15</v>
      </c>
      <c r="B66" s="118">
        <v>6767339.6192342024</v>
      </c>
      <c r="C66" s="277">
        <v>14700477.263472347</v>
      </c>
      <c r="D66" s="118">
        <v>31125340.236920752</v>
      </c>
      <c r="E66" s="118">
        <v>59777162.464423105</v>
      </c>
      <c r="F66" s="118">
        <v>81067957.981245309</v>
      </c>
      <c r="G66" s="295"/>
      <c r="H66" s="295"/>
      <c r="I66" s="295"/>
      <c r="J66" s="295"/>
      <c r="K66" s="295"/>
      <c r="L66" s="295"/>
      <c r="M66" s="275"/>
      <c r="N66" s="275"/>
      <c r="O66" s="275"/>
      <c r="P66" s="275"/>
      <c r="Q66" s="275"/>
      <c r="R66" s="275"/>
      <c r="S66" s="275"/>
      <c r="T66" s="275"/>
      <c r="U66" s="275"/>
    </row>
    <row r="67" spans="1:21" ht="13.15">
      <c r="A67" s="132">
        <v>20</v>
      </c>
      <c r="B67" s="118">
        <v>6705150.8731932826</v>
      </c>
      <c r="C67" s="277">
        <v>13953692.378210854</v>
      </c>
      <c r="D67" s="118">
        <v>29538939.969970819</v>
      </c>
      <c r="E67" s="118">
        <v>61876583.143909708</v>
      </c>
      <c r="F67" s="118">
        <v>89641424.55053407</v>
      </c>
      <c r="G67" s="295"/>
      <c r="H67" s="295"/>
      <c r="I67" s="295"/>
      <c r="J67" s="295"/>
      <c r="K67" s="295"/>
      <c r="L67" s="295"/>
      <c r="M67" s="275"/>
      <c r="N67" s="275"/>
      <c r="O67" s="275"/>
      <c r="P67" s="275"/>
      <c r="Q67" s="275"/>
      <c r="R67" s="275"/>
      <c r="S67" s="275"/>
      <c r="T67" s="275"/>
      <c r="U67" s="275"/>
    </row>
    <row r="68" spans="1:21" ht="13.15">
      <c r="A68" s="132">
        <v>25</v>
      </c>
      <c r="B68" s="118">
        <v>6697785.1482733293</v>
      </c>
      <c r="C68" s="277">
        <v>13720183.367639635</v>
      </c>
      <c r="D68" s="118">
        <v>28673883.823152684</v>
      </c>
      <c r="E68" s="118">
        <v>63510063.158292934</v>
      </c>
      <c r="F68" s="118">
        <v>97352526.584842265</v>
      </c>
      <c r="G68" s="295"/>
      <c r="H68" s="295"/>
      <c r="I68" s="295"/>
      <c r="J68" s="295"/>
      <c r="K68" s="295"/>
      <c r="L68" s="295"/>
      <c r="M68" s="275"/>
      <c r="N68" s="275"/>
      <c r="O68" s="275"/>
      <c r="P68" s="275"/>
      <c r="Q68" s="275"/>
      <c r="R68" s="275"/>
      <c r="S68" s="275"/>
      <c r="T68" s="275"/>
      <c r="U68" s="275"/>
    </row>
    <row r="69" spans="1:21" ht="13.15">
      <c r="A69" s="132">
        <v>30</v>
      </c>
      <c r="B69" s="118">
        <v>6696912.7411731649</v>
      </c>
      <c r="C69" s="277">
        <v>13647168.421710651</v>
      </c>
      <c r="D69" s="118">
        <v>28202173.024347425</v>
      </c>
      <c r="E69" s="118">
        <v>64781012.322250813</v>
      </c>
      <c r="F69" s="118">
        <v>104288005.26233649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7.9091180239870402</v>
      </c>
      <c r="C73" s="119">
        <f>C11</f>
        <v>7.9091180239870402</v>
      </c>
      <c r="D73" s="119">
        <f>C11</f>
        <v>7.9091180239870402</v>
      </c>
      <c r="E73" s="119">
        <f>C11</f>
        <v>7.9091180239870402</v>
      </c>
      <c r="F73" s="119">
        <f>C11</f>
        <v>7.9091180239870402</v>
      </c>
      <c r="G73" s="296"/>
      <c r="H73" s="296"/>
      <c r="I73" s="296"/>
      <c r="J73" s="296"/>
      <c r="K73" s="296"/>
      <c r="L73" s="296"/>
    </row>
    <row r="74" spans="1:21" ht="13.15">
      <c r="A74" s="131">
        <v>1</v>
      </c>
      <c r="B74" s="119">
        <f t="shared" ref="B74:F87" si="11">(B56+FV_adjustments)/Common_Shares*scaling_factor*Exchange_Rate</f>
        <v>6.0553500552915569</v>
      </c>
      <c r="C74" s="119">
        <f t="shared" si="11"/>
        <v>6.9822340396392972</v>
      </c>
      <c r="D74" s="119">
        <f t="shared" si="11"/>
        <v>7.6001566958711253</v>
      </c>
      <c r="E74" s="119">
        <f t="shared" si="11"/>
        <v>8.0327025552334064</v>
      </c>
      <c r="F74" s="119">
        <f t="shared" si="11"/>
        <v>8.2180793521029525</v>
      </c>
      <c r="G74" s="296"/>
      <c r="H74" s="296"/>
      <c r="I74" s="296"/>
      <c r="J74" s="296"/>
      <c r="K74" s="296"/>
      <c r="L74" s="296"/>
    </row>
    <row r="75" spans="1:21" ht="13.15">
      <c r="A75" s="131">
        <v>2</v>
      </c>
      <c r="B75" s="119">
        <f t="shared" si="11"/>
        <v>4.8454315675649031</v>
      </c>
      <c r="C75" s="119">
        <f t="shared" si="11"/>
        <v>6.2476406720909718</v>
      </c>
      <c r="D75" s="119">
        <f t="shared" si="11"/>
        <v>7.3264846569805711</v>
      </c>
      <c r="E75" s="119">
        <f t="shared" si="11"/>
        <v>8.1502374940411375</v>
      </c>
      <c r="F75" s="119">
        <f t="shared" si="11"/>
        <v>8.5205589740346177</v>
      </c>
      <c r="G75" s="296"/>
      <c r="H75" s="296"/>
      <c r="I75" s="296"/>
      <c r="J75" s="296"/>
      <c r="K75" s="296"/>
      <c r="L75" s="296"/>
    </row>
    <row r="76" spans="1:21" ht="13.15">
      <c r="A76" s="131">
        <v>3</v>
      </c>
      <c r="B76" s="119">
        <f t="shared" si="11"/>
        <v>4.0557411793050804</v>
      </c>
      <c r="C76" s="119">
        <f t="shared" si="11"/>
        <v>5.6654454623790107</v>
      </c>
      <c r="D76" s="119">
        <f t="shared" si="11"/>
        <v>7.0840711959586367</v>
      </c>
      <c r="E76" s="119">
        <f t="shared" si="11"/>
        <v>8.2620189743058337</v>
      </c>
      <c r="F76" s="119">
        <f t="shared" si="11"/>
        <v>8.8166928696320497</v>
      </c>
      <c r="G76" s="296"/>
      <c r="H76" s="296"/>
      <c r="I76" s="296"/>
      <c r="J76" s="296"/>
      <c r="K76" s="296"/>
      <c r="L76" s="296"/>
    </row>
    <row r="77" spans="1:21" ht="13.15">
      <c r="A77" s="131">
        <v>4</v>
      </c>
      <c r="B77" s="119">
        <f t="shared" si="11"/>
        <v>3.5403255412800227</v>
      </c>
      <c r="C77" s="119">
        <f t="shared" si="11"/>
        <v>5.2040320094604411</v>
      </c>
      <c r="D77" s="119">
        <f t="shared" si="11"/>
        <v>6.8693459857294172</v>
      </c>
      <c r="E77" s="119">
        <f t="shared" si="11"/>
        <v>8.3683286338582725</v>
      </c>
      <c r="F77" s="119">
        <f t="shared" si="11"/>
        <v>9.1066141660211439</v>
      </c>
      <c r="G77" s="296"/>
      <c r="H77" s="296"/>
      <c r="I77" s="296"/>
      <c r="J77" s="296"/>
      <c r="K77" s="296"/>
      <c r="L77" s="296"/>
    </row>
    <row r="78" spans="1:21" ht="13.15">
      <c r="A78" s="131">
        <v>5</v>
      </c>
      <c r="B78" s="119">
        <f t="shared" si="11"/>
        <v>3.2039237262520119</v>
      </c>
      <c r="C78" s="119">
        <f t="shared" si="11"/>
        <v>4.8383430257953757</v>
      </c>
      <c r="D78" s="119">
        <f t="shared" si="11"/>
        <v>6.6791464988130915</v>
      </c>
      <c r="E78" s="119">
        <f t="shared" si="11"/>
        <v>8.4694343240619894</v>
      </c>
      <c r="F78" s="119">
        <f t="shared" si="11"/>
        <v>9.390453197451027</v>
      </c>
      <c r="G78" s="296"/>
      <c r="H78" s="296"/>
      <c r="I78" s="296"/>
      <c r="J78" s="296"/>
      <c r="K78" s="296"/>
      <c r="L78" s="296"/>
    </row>
    <row r="79" spans="1:21" ht="13.15">
      <c r="A79" s="131">
        <v>6</v>
      </c>
      <c r="B79" s="119">
        <f t="shared" si="11"/>
        <v>2.9843607700565751</v>
      </c>
      <c r="C79" s="119">
        <f t="shared" si="11"/>
        <v>4.5485195888580252</v>
      </c>
      <c r="D79" s="119">
        <f t="shared" si="11"/>
        <v>6.5106714288172798</v>
      </c>
      <c r="E79" s="119">
        <f t="shared" si="11"/>
        <v>8.565590784675317</v>
      </c>
      <c r="F79" s="119">
        <f t="shared" si="11"/>
        <v>9.6683375638858795</v>
      </c>
      <c r="G79" s="296"/>
      <c r="H79" s="296"/>
      <c r="I79" s="296"/>
      <c r="J79" s="296"/>
      <c r="K79" s="296"/>
      <c r="L79" s="296"/>
    </row>
    <row r="80" spans="1:21" ht="13.15">
      <c r="A80" s="131">
        <f t="shared" ref="A80" si="12">A62</f>
        <v>7</v>
      </c>
      <c r="B80" s="119">
        <f t="shared" si="11"/>
        <v>2.8410562765024432</v>
      </c>
      <c r="C80" s="119">
        <f t="shared" si="11"/>
        <v>4.3188226924508033</v>
      </c>
      <c r="D80" s="119">
        <f t="shared" si="11"/>
        <v>6.3614394320843912</v>
      </c>
      <c r="E80" s="119">
        <f t="shared" si="11"/>
        <v>8.6570402856781996</v>
      </c>
      <c r="F80" s="119">
        <f t="shared" si="11"/>
        <v>9.9403921883675537</v>
      </c>
      <c r="G80" s="296"/>
      <c r="H80" s="296"/>
      <c r="I80" s="296"/>
      <c r="J80" s="296"/>
      <c r="K80" s="296"/>
      <c r="L80" s="296"/>
    </row>
    <row r="81" spans="1:12" ht="13.15">
      <c r="A81" s="131">
        <v>8</v>
      </c>
      <c r="B81" s="119">
        <f t="shared" si="11"/>
        <v>2.7475242061174612</v>
      </c>
      <c r="C81" s="119">
        <f t="shared" si="11"/>
        <v>4.1367785321280612</v>
      </c>
      <c r="D81" s="119">
        <f t="shared" si="11"/>
        <v>6.2292525818314841</v>
      </c>
      <c r="E81" s="119">
        <f t="shared" si="11"/>
        <v>8.7440132376809423</v>
      </c>
      <c r="F81" s="119">
        <f t="shared" si="11"/>
        <v>10.206739373174786</v>
      </c>
      <c r="G81" s="296"/>
      <c r="H81" s="296"/>
      <c r="I81" s="296"/>
      <c r="J81" s="296"/>
      <c r="K81" s="296"/>
      <c r="L81" s="296"/>
    </row>
    <row r="82" spans="1:12" ht="13.15">
      <c r="A82" s="131">
        <f t="shared" ref="A82" si="13">A64</f>
        <v>9</v>
      </c>
      <c r="B82" s="119">
        <f t="shared" si="11"/>
        <v>2.6864776333720197</v>
      </c>
      <c r="C82" s="119">
        <f t="shared" si="11"/>
        <v>3.9925011090284528</v>
      </c>
      <c r="D82" s="119">
        <f t="shared" si="11"/>
        <v>6.1121639965258785</v>
      </c>
      <c r="E82" s="119">
        <f t="shared" si="11"/>
        <v>8.8267287724527836</v>
      </c>
      <c r="F82" s="119">
        <f t="shared" si="11"/>
        <v>10.467498854804241</v>
      </c>
      <c r="G82" s="296"/>
      <c r="H82" s="296"/>
      <c r="I82" s="296"/>
      <c r="J82" s="296"/>
      <c r="K82" s="296"/>
      <c r="L82" s="296"/>
    </row>
    <row r="83" spans="1:12" ht="13.15">
      <c r="A83" s="131">
        <f t="shared" ref="A83:A87" si="14">A65</f>
        <v>10</v>
      </c>
      <c r="B83" s="119">
        <f t="shared" si="11"/>
        <v>2.6466337164286071</v>
      </c>
      <c r="C83" s="119">
        <f t="shared" si="11"/>
        <v>3.8781553657793468</v>
      </c>
      <c r="D83" s="119">
        <f t="shared" si="11"/>
        <v>6.008449165719048</v>
      </c>
      <c r="E83" s="119">
        <f t="shared" si="11"/>
        <v>8.9053952950329904</v>
      </c>
      <c r="F83" s="119">
        <f t="shared" si="11"/>
        <v>10.722787857798119</v>
      </c>
      <c r="G83" s="296"/>
      <c r="H83" s="296"/>
      <c r="I83" s="296"/>
      <c r="J83" s="296"/>
      <c r="K83" s="296"/>
      <c r="L83" s="296"/>
    </row>
    <row r="84" spans="1:12" ht="13.15">
      <c r="A84" s="131">
        <f t="shared" si="14"/>
        <v>15</v>
      </c>
      <c r="B84" s="119">
        <f t="shared" si="11"/>
        <v>2.5806274825949753</v>
      </c>
      <c r="C84" s="119">
        <f t="shared" si="11"/>
        <v>3.577918343206874</v>
      </c>
      <c r="D84" s="119">
        <f t="shared" si="11"/>
        <v>5.6427212578669987</v>
      </c>
      <c r="E84" s="119">
        <f t="shared" si="11"/>
        <v>9.2446000766617864</v>
      </c>
      <c r="F84" s="119">
        <f t="shared" si="11"/>
        <v>11.921109263352282</v>
      </c>
      <c r="G84" s="296"/>
      <c r="H84" s="296"/>
      <c r="I84" s="296"/>
      <c r="J84" s="296"/>
      <c r="K84" s="296"/>
      <c r="L84" s="296"/>
    </row>
    <row r="85" spans="1:12" ht="13.15">
      <c r="A85" s="132">
        <f t="shared" si="14"/>
        <v>20</v>
      </c>
      <c r="B85" s="119">
        <f t="shared" si="11"/>
        <v>2.5728096089060486</v>
      </c>
      <c r="C85" s="119">
        <f t="shared" si="11"/>
        <v>3.4840384971342027</v>
      </c>
      <c r="D85" s="119">
        <f t="shared" si="11"/>
        <v>5.4432916552997819</v>
      </c>
      <c r="E85" s="119">
        <f t="shared" si="11"/>
        <v>9.508522518213308</v>
      </c>
      <c r="F85" s="119">
        <f t="shared" si="11"/>
        <v>12.998897174863357</v>
      </c>
      <c r="G85" s="296"/>
      <c r="H85" s="296"/>
      <c r="I85" s="296"/>
      <c r="J85" s="296"/>
      <c r="K85" s="296"/>
      <c r="L85" s="296"/>
    </row>
    <row r="86" spans="1:12" ht="13.15">
      <c r="A86" s="132">
        <f t="shared" si="14"/>
        <v>25</v>
      </c>
      <c r="B86" s="119">
        <f t="shared" si="11"/>
        <v>2.5718836486525056</v>
      </c>
      <c r="C86" s="119">
        <f t="shared" si="11"/>
        <v>3.4546836047124954</v>
      </c>
      <c r="D86" s="119">
        <f t="shared" si="11"/>
        <v>5.3345436885019959</v>
      </c>
      <c r="E86" s="119">
        <f t="shared" si="11"/>
        <v>9.7138706115392548</v>
      </c>
      <c r="F86" s="119">
        <f t="shared" si="11"/>
        <v>13.968275487572553</v>
      </c>
      <c r="G86" s="296"/>
      <c r="H86" s="296"/>
      <c r="I86" s="296"/>
      <c r="J86" s="296"/>
      <c r="K86" s="296"/>
      <c r="L86" s="296"/>
    </row>
    <row r="87" spans="1:12" ht="13.15">
      <c r="A87" s="132">
        <f t="shared" si="14"/>
        <v>30</v>
      </c>
      <c r="B87" s="119">
        <f t="shared" si="11"/>
        <v>2.5717739765824179</v>
      </c>
      <c r="C87" s="119">
        <f t="shared" si="11"/>
        <v>3.4455047474269502</v>
      </c>
      <c r="D87" s="119">
        <f t="shared" si="11"/>
        <v>5.2752439650385936</v>
      </c>
      <c r="E87" s="119">
        <f t="shared" si="11"/>
        <v>9.873644214665644</v>
      </c>
      <c r="F87" s="119">
        <f t="shared" si="11"/>
        <v>14.840148611324203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8.8166928696320497</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8.2620189743058337</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7.0840711959586367</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5.6654454623790107</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4.0557411793050804</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2918873.2657263465</v>
      </c>
      <c r="D8" s="469"/>
      <c r="E8" s="469"/>
      <c r="F8" s="469"/>
      <c r="G8" s="469"/>
    </row>
    <row r="9" spans="2:7">
      <c r="B9" s="97" t="s">
        <v>54</v>
      </c>
      <c r="C9" s="447">
        <f>Normalized_FCF!C19</f>
        <v>3563651.9066465204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-0.15606730408344105</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8.2620189743058337</v>
      </c>
      <c r="F22" s="328">
        <f>1-F23-F24</f>
        <v>0.19999999999999996</v>
      </c>
      <c r="G22" s="328">
        <f>F22*(1-F$29-F$30)</f>
        <v>0.15999999999999995</v>
      </c>
    </row>
    <row r="23" spans="2:7">
      <c r="B23" s="302" t="s">
        <v>437</v>
      </c>
      <c r="C23" s="324">
        <v>-0.05</v>
      </c>
      <c r="D23" s="325">
        <f>C18</f>
        <v>3</v>
      </c>
      <c r="E23" s="326">
        <f>DCF!E92</f>
        <v>7.0840711959586367</v>
      </c>
      <c r="F23" s="327">
        <v>0.55000000000000004</v>
      </c>
      <c r="G23" s="328">
        <f t="shared" ref="G23:G24" si="0">F23*(1-F$29-F$30)</f>
        <v>0.44</v>
      </c>
    </row>
    <row r="24" spans="2:7">
      <c r="B24" s="302" t="s">
        <v>446</v>
      </c>
      <c r="C24" s="324">
        <v>-0.15</v>
      </c>
      <c r="D24" s="325">
        <f>C18</f>
        <v>3</v>
      </c>
      <c r="E24" s="326">
        <f>DCF!E93</f>
        <v>5.6654454623790107</v>
      </c>
      <c r="F24" s="327">
        <v>0.25</v>
      </c>
      <c r="G24" s="328">
        <f t="shared" si="0"/>
        <v>0.19999999999999998</v>
      </c>
    </row>
    <row r="25" spans="2:7">
      <c r="B25" s="141" t="s">
        <v>451</v>
      </c>
      <c r="C25" s="441">
        <f>E23*F23+E24*F24+E22*F22</f>
        <v>6.96500431823317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8.8166928696320497</v>
      </c>
      <c r="F29" s="327">
        <v>0.05</v>
      </c>
      <c r="G29" s="328">
        <f>F29</f>
        <v>0.05</v>
      </c>
    </row>
    <row r="30" spans="2:7">
      <c r="B30" s="315" t="s">
        <v>447</v>
      </c>
      <c r="C30" s="324">
        <v>-0.3</v>
      </c>
      <c r="D30" s="325">
        <f>C18</f>
        <v>3</v>
      </c>
      <c r="E30" s="326">
        <f>DCF!E94</f>
        <v>4.0557411793050804</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3.9</v>
      </c>
      <c r="D34" t="str">
        <f>Market_currency</f>
        <v>HKD</v>
      </c>
      <c r="E34" s="97" t="s">
        <v>454</v>
      </c>
      <c r="F34" s="330">
        <f>RATE(Holding_Period,$C$33,-C34,$C$36)</f>
        <v>0.24573344075446082</v>
      </c>
    </row>
    <row r="35" spans="2:7">
      <c r="B35" s="97" t="s">
        <v>434</v>
      </c>
      <c r="C35" s="320">
        <f>DCF!C11</f>
        <v>7.9091180239870402</v>
      </c>
      <c r="D35" s="97" t="str">
        <f>Market_currency</f>
        <v>HKD</v>
      </c>
      <c r="E35" s="97" t="s">
        <v>454</v>
      </c>
      <c r="F35" s="330">
        <f>RATE(Holding_Period,$C$33,-C35,$C$36)</f>
        <v>-2.5092708468495067E-2</v>
      </c>
    </row>
    <row r="36" spans="2:7">
      <c r="B36" s="97" t="s">
        <v>435</v>
      </c>
      <c r="C36" s="321">
        <f>E22*G22+E23*G23+E24*G24+E30*G30+E29*G29</f>
        <v>6.6211992749639004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0.23440332981639808</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8.2371140433125571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0.26126557891254487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0.44245811110342687</v>
      </c>
      <c r="D62" s="119">
        <f>C36/(1+F62)^Holding_Period</f>
        <v>3.0512439055133189</v>
      </c>
      <c r="E62" s="332">
        <f>C62+D62</f>
        <v>3.4937020166167456</v>
      </c>
      <c r="F62" s="301">
        <f>Thesis!E22</f>
        <v>0.29465259038036606</v>
      </c>
      <c r="G62" s="440">
        <f>(1-E62/C36)</f>
        <v>0.47234604011585291</v>
      </c>
    </row>
    <row r="63" spans="2:7" ht="13.15">
      <c r="B63" s="302" t="s">
        <v>313</v>
      </c>
      <c r="C63" s="119">
        <f>PV(F63, Holding_Period, -C58, 0)</f>
        <v>0.50874815444966315</v>
      </c>
      <c r="D63" s="119">
        <f>C36/(1+F63)^Holding_Period</f>
        <v>3.8245194368022544</v>
      </c>
      <c r="E63" s="332">
        <f>C63+D63</f>
        <v>4.3332675912519178</v>
      </c>
      <c r="F63" s="301">
        <f>Thesis!E23</f>
        <v>0.20075184365903009</v>
      </c>
      <c r="G63" s="440">
        <f>(1-E63/C36)</f>
        <v>0.34554641669872665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4.7458133945524512</v>
      </c>
      <c r="E66" s="332">
        <f>C66+D66</f>
        <v>5.3291808304044164</v>
      </c>
      <c r="F66" s="301">
        <f>Thesis!E24</f>
        <v>0.1174</v>
      </c>
      <c r="G66" s="440">
        <f>(1-E66/C36)</f>
        <v>0.19513359905128791</v>
      </c>
    </row>
    <row r="67" spans="2:7" ht="13.15">
      <c r="B67" s="302" t="s">
        <v>314</v>
      </c>
      <c r="C67" s="119">
        <f>PV(F67, Holding_Period, -C58, 0)</f>
        <v>0.63167232993043521</v>
      </c>
      <c r="D67" s="119">
        <f>C36/(1+F67)^Holding_Period</f>
        <v>5.367162645357257</v>
      </c>
      <c r="E67" s="332">
        <f>C67+D67</f>
        <v>5.9988349752876919</v>
      </c>
      <c r="F67" s="301">
        <f>Thesis!E25</f>
        <v>7.2499999999999995E-2</v>
      </c>
      <c r="G67" s="440">
        <f>(1-E67/C36)</f>
        <v>9.3995705888130332E-2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3.9</v>
      </c>
    </row>
    <row r="9" spans="1:10">
      <c r="B9" s="351" t="s">
        <v>361</v>
      </c>
      <c r="C9" s="353">
        <f>Common_Shares</f>
        <v>9065251704</v>
      </c>
    </row>
    <row r="10" spans="1:10">
      <c r="B10" s="351" t="s">
        <v>367</v>
      </c>
      <c r="C10" s="357">
        <f>投资主题!C8*Common_Shares/1000000</f>
        <v>35354.481645599997</v>
      </c>
      <c r="D10" s="343" t="s">
        <v>528</v>
      </c>
      <c r="E10" s="360">
        <f>Scenarios!F34</f>
        <v>0.24573344075446082</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1.1396112205505371</v>
      </c>
    </row>
    <row r="17" spans="1:6">
      <c r="B17" s="343" t="s">
        <v>534</v>
      </c>
      <c r="C17" s="424">
        <f>Terminal_Growth</f>
        <v>0</v>
      </c>
      <c r="D17" s="351" t="s">
        <v>339</v>
      </c>
      <c r="E17" s="344" t="str">
        <f>Reporting_currency</f>
        <v>CNY</v>
      </c>
    </row>
    <row r="18" spans="1:6">
      <c r="B18" s="343" t="str">
        <f>"预期股权价值 ("&amp;C7&amp;") :"</f>
        <v>预期股权价值 (HKD) :</v>
      </c>
      <c r="C18" s="359">
        <f>C125</f>
        <v>6.6211992749639004</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3.4937020166167456</v>
      </c>
      <c r="D22" s="365" t="s">
        <v>440</v>
      </c>
      <c r="E22" s="366">
        <f>Thesis!E22</f>
        <v>0.29465259038036606</v>
      </c>
    </row>
    <row r="23" spans="1:6">
      <c r="B23" s="343" t="s">
        <v>341</v>
      </c>
      <c r="C23" s="367">
        <f>E141</f>
        <v>4.3332675912519178</v>
      </c>
      <c r="D23" s="365" t="s">
        <v>441</v>
      </c>
      <c r="E23" s="368">
        <f>Thesis!E23</f>
        <v>0.20075184365903009</v>
      </c>
    </row>
    <row r="24" spans="1:6">
      <c r="B24" s="343" t="s">
        <v>343</v>
      </c>
      <c r="C24" s="367">
        <f>E144</f>
        <v>5.3291808304044164</v>
      </c>
      <c r="D24" s="365" t="s">
        <v>443</v>
      </c>
      <c r="E24" s="368">
        <f>Thesis!E24</f>
        <v>0.1174</v>
      </c>
    </row>
    <row r="25" spans="1:6">
      <c r="B25" s="343" t="s">
        <v>342</v>
      </c>
      <c r="C25" s="367">
        <f>E145</f>
        <v>5.9988349752876919</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4902319</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18038.208862027197</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-26607.791137972803</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-1215882.3022155068</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2918873.2657263465</v>
      </c>
      <c r="D60" s="343" t="str">
        <f>Reporting_currency</f>
        <v>CNY</v>
      </c>
    </row>
    <row r="61" spans="2:6">
      <c r="B61" s="372" t="s">
        <v>213</v>
      </c>
      <c r="C61" s="373">
        <f>Normalized_FCF!C19</f>
        <v>3563651.9066465204</v>
      </c>
      <c r="D61" s="343" t="str">
        <f>Reporting_currency</f>
        <v>CNY</v>
      </c>
    </row>
    <row r="62" spans="2:6">
      <c r="B62" s="377" t="s">
        <v>302</v>
      </c>
      <c r="C62" s="378">
        <f>Normalized_FCF!C124</f>
        <v>0.11487023737642944</v>
      </c>
      <c r="F62" s="379"/>
    </row>
    <row r="63" spans="2:6">
      <c r="B63" s="377" t="s">
        <v>332</v>
      </c>
      <c r="C63" s="378">
        <f>Normalized_FCF!C92</f>
        <v>6.2E-2</v>
      </c>
      <c r="E63" s="372" t="s">
        <v>373</v>
      </c>
      <c r="F63" s="380">
        <f>Normalized_FCF!C90</f>
        <v>0.61509314586505237</v>
      </c>
    </row>
    <row r="65" spans="1:6">
      <c r="B65" s="369" t="s">
        <v>376</v>
      </c>
      <c r="C65" s="381" t="s">
        <v>327</v>
      </c>
      <c r="D65" s="381" t="s">
        <v>374</v>
      </c>
    </row>
    <row r="66" spans="1:6">
      <c r="B66" s="372" t="s">
        <v>326</v>
      </c>
      <c r="C66" s="378">
        <f>Normalized_FCF!E119</f>
        <v>0.17911384235321903</v>
      </c>
      <c r="D66" s="378">
        <f>Normalized_FCF!G119</f>
        <v>0.18040079738883699</v>
      </c>
    </row>
    <row r="67" spans="1:6">
      <c r="B67" s="382" t="str">
        <f>Normalized_FCF!B116</f>
        <v>Pre-tax Profit/Sales</v>
      </c>
      <c r="C67" s="383">
        <f>Normalized_FCF!E116</f>
        <v>0.23440332981639808</v>
      </c>
      <c r="D67" s="383">
        <f>Normalized_FCF!G116</f>
        <v>0.23608754663464901</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-845013</v>
      </c>
      <c r="D78" s="343" t="str">
        <f>Reporting_currency</f>
        <v>CNY</v>
      </c>
    </row>
    <row r="79" spans="1:6">
      <c r="B79" s="372" t="s">
        <v>234</v>
      </c>
      <c r="C79" s="387">
        <f>C78*scaling_factor*Exchange_Rate/Common_Shares</f>
        <v>-0.10622830206536436</v>
      </c>
      <c r="D79" s="343" t="str">
        <f>Market_currency</f>
        <v>HKD</v>
      </c>
    </row>
    <row r="80" spans="1:6">
      <c r="B80" s="382" t="s">
        <v>309</v>
      </c>
      <c r="C80" s="388">
        <f>IF(BS!G31/BS!G27&gt;300%,"nm",BS!G31/BS!G27)</f>
        <v>3.1120102042901991E-2</v>
      </c>
    </row>
    <row r="81" spans="1:6">
      <c r="B81" s="382" t="s">
        <v>311</v>
      </c>
      <c r="C81" s="389">
        <f>IF(BS!C50&gt;30,"nm",BS!C50)</f>
        <v>0.1723700558857961</v>
      </c>
    </row>
    <row r="83" spans="1:6">
      <c r="B83" s="343" t="s">
        <v>511</v>
      </c>
    </row>
    <row r="84" spans="1:6">
      <c r="B84" s="343" t="s">
        <v>224</v>
      </c>
      <c r="C84" s="373">
        <f>DCF!F5</f>
        <v>14601476.8563288</v>
      </c>
      <c r="D84" s="343" t="str">
        <f>Reporting_currency</f>
        <v>CNY</v>
      </c>
    </row>
    <row r="85" spans="1:6">
      <c r="B85" s="382" t="s">
        <v>481</v>
      </c>
      <c r="C85" s="390">
        <f>BS!C66</f>
        <v>17607845</v>
      </c>
      <c r="D85" s="391" t="str">
        <f>Reporting_currency</f>
        <v>CNY</v>
      </c>
    </row>
    <row r="86" spans="1:6">
      <c r="B86" s="372" t="s">
        <v>235</v>
      </c>
      <c r="C86" s="387">
        <f>C84*scaling_factor*Exchange_Rate/Common_Shares</f>
        <v>1.8355813390971767</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5.3842463695346167E-4</v>
      </c>
      <c r="D90" s="343" t="str">
        <f>Market_currency</f>
        <v>HKD</v>
      </c>
    </row>
    <row r="92" spans="1:6">
      <c r="B92" s="372" t="s">
        <v>480</v>
      </c>
      <c r="C92" s="387">
        <f>DCF!F8</f>
        <v>1.7298914616687657</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1.2949930338360855</v>
      </c>
      <c r="D111" s="343" t="str">
        <f>Market_currency</f>
        <v>HKD</v>
      </c>
    </row>
    <row r="112" spans="1:6">
      <c r="A112" s="385"/>
      <c r="B112" s="372" t="s">
        <v>377</v>
      </c>
      <c r="C112" s="394">
        <f>DCF!C11</f>
        <v>7.9091180239870402</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8.82 HKD</v>
      </c>
      <c r="F118" s="399">
        <f>DCF!F90</f>
        <v>0.05</v>
      </c>
    </row>
    <row r="119" spans="1:6">
      <c r="A119" s="385"/>
      <c r="B119" s="400" t="str">
        <f>DCF!B91</f>
        <v>Optimistic</v>
      </c>
      <c r="C119" s="401">
        <f>DCF!C91</f>
        <v>0.02</v>
      </c>
      <c r="D119" s="402">
        <f>DCF!D91</f>
        <v>3</v>
      </c>
      <c r="E119" s="398" t="str">
        <f>ROUND(DCF!E91,2)&amp;" "&amp;Market_currency</f>
        <v>8.26 HKD</v>
      </c>
      <c r="F119" s="403">
        <f>DCF!F91</f>
        <v>0.15999999999999995</v>
      </c>
    </row>
    <row r="120" spans="1:6">
      <c r="B120" s="400" t="str">
        <f>DCF!B92</f>
        <v>Base</v>
      </c>
      <c r="C120" s="401">
        <f>DCF!C92</f>
        <v>-0.05</v>
      </c>
      <c r="D120" s="402">
        <f>DCF!D92</f>
        <v>3</v>
      </c>
      <c r="E120" s="398" t="str">
        <f>ROUND(DCF!E92,2)&amp;" "&amp;Market_currency</f>
        <v>7.08 HKD</v>
      </c>
      <c r="F120" s="403">
        <f>DCF!F92</f>
        <v>0.44</v>
      </c>
    </row>
    <row r="121" spans="1:6">
      <c r="B121" s="400" t="str">
        <f>DCF!B93</f>
        <v>Pessimistic</v>
      </c>
      <c r="C121" s="401">
        <f>DCF!C93</f>
        <v>-0.15</v>
      </c>
      <c r="D121" s="402">
        <f>DCF!D93</f>
        <v>3</v>
      </c>
      <c r="E121" s="398" t="str">
        <f>ROUND(DCF!E93,2)&amp;" "&amp;Market_currency</f>
        <v>5.67 HKD</v>
      </c>
      <c r="F121" s="403">
        <f>DCF!F93</f>
        <v>0.19999999999999998</v>
      </c>
    </row>
    <row r="122" spans="1:6">
      <c r="B122" s="400" t="str">
        <f>DCF!B94</f>
        <v>Devil's advocate</v>
      </c>
      <c r="C122" s="401">
        <f>DCF!C94</f>
        <v>-0.3</v>
      </c>
      <c r="D122" s="402">
        <f>DCF!D94</f>
        <v>3</v>
      </c>
      <c r="E122" s="398" t="str">
        <f>ROUND(DCF!E94,2)&amp;" "&amp;Market_currency</f>
        <v>4.06 HKD</v>
      </c>
      <c r="F122" s="403">
        <f>DCF!F94</f>
        <v>0.15</v>
      </c>
    </row>
    <row r="124" spans="1:6">
      <c r="B124" s="470" t="s">
        <v>518</v>
      </c>
      <c r="C124" s="470"/>
      <c r="D124" s="470"/>
      <c r="E124" s="470"/>
      <c r="F124" s="470"/>
    </row>
    <row r="125" spans="1:6">
      <c r="B125" s="372" t="s">
        <v>218</v>
      </c>
      <c r="C125" s="404">
        <f>Scenarios!C36</f>
        <v>6.6211992749639004</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0.44245811110342687</v>
      </c>
      <c r="D140" s="409">
        <f>Scenarios!D62</f>
        <v>3.0512439055133189</v>
      </c>
      <c r="E140" s="410">
        <f>Scenarios!E62</f>
        <v>3.4937020166167456</v>
      </c>
      <c r="F140" s="411">
        <f>E22</f>
        <v>0.29465259038036606</v>
      </c>
    </row>
    <row r="141" spans="1:6">
      <c r="B141" s="408" t="s">
        <v>313</v>
      </c>
      <c r="C141" s="409">
        <f>Scenarios!C63</f>
        <v>0.50874815444966315</v>
      </c>
      <c r="D141" s="409">
        <f>Scenarios!D63</f>
        <v>3.8245194368022544</v>
      </c>
      <c r="E141" s="410">
        <f>Scenarios!E63</f>
        <v>4.3332675912519178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4.7458133945524512</v>
      </c>
      <c r="E144" s="410">
        <f>Scenarios!E66</f>
        <v>5.3291808304044164</v>
      </c>
      <c r="F144" s="411">
        <f>E24</f>
        <v>0.1174</v>
      </c>
    </row>
    <row r="145" spans="1:6">
      <c r="B145" s="408" t="s">
        <v>314</v>
      </c>
      <c r="C145" s="409">
        <f>Scenarios!C67</f>
        <v>0.63167232993043521</v>
      </c>
      <c r="D145" s="409">
        <f>Scenarios!D67</f>
        <v>5.367162645357257</v>
      </c>
      <c r="E145" s="410">
        <f>Scenarios!E67</f>
        <v>5.9988349752876919</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2026-03-11T10:01:11Z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