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E5364B7-38C4-4313-AFCC-DBA155D54DB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<sst xmlns="http://schemas.openxmlformats.org/spreadsheetml/2006/main" count="766" uniqueCount="556">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</sst>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3" sqref="B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4.1399999999999997</v>
      </c>
      <c r="E8" s="32"/>
    </row>
    <row r="9" spans="1:9">
      <c r="B9" s="4" t="s">
        <v>346</v>
      </c>
      <c r="C9" s="48">
        <v>9065251704</v>
      </c>
    </row>
    <row r="10" spans="1:9">
      <c r="B10" s="4" t="s">
        <v>352</v>
      </c>
      <c r="C10" s="33">
        <f>Thesis!C8*Common_Shares/1000000</f>
        <v>37530.142054559998</v>
      </c>
      <c r="D10" s="1" t="s">
        <v>530</v>
      </c>
      <c r="E10" s="307">
        <f>Scenarios!F34</f>
        <v>0.20452742481236513</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1.0948992599999998</v>
      </c>
    </row>
    <row r="17" spans="1:6">
      <c r="B17" s="1" t="s">
        <v>534</v>
      </c>
      <c r="C17" s="420">
        <v>0</v>
      </c>
      <c r="D17" s="4" t="s">
        <v>274</v>
      </c>
      <c r="E17" s="224" t="s">
        <v>555</v>
      </c>
    </row>
    <row r="18" spans="1:6">
      <c r="B18" s="1" t="str">
        <f>"Expected Equity Value ("&amp;C7&amp;") :"</f>
        <v>Expected Equity Value (HKD) :</v>
      </c>
      <c r="C18" s="255">
        <f>C125</f>
        <v>6.3513189245461659</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3.3693331915394484</v>
      </c>
      <c r="D22" s="38" t="s">
        <v>408</v>
      </c>
      <c r="E22" s="79">
        <v>0.29465259038036606</v>
      </c>
    </row>
    <row r="23" spans="1:6">
      <c r="B23" s="1" t="s">
        <v>313</v>
      </c>
      <c r="C23" s="259">
        <f>E141</f>
        <v>4.1773800242236234</v>
      </c>
      <c r="D23" s="38" t="s">
        <v>409</v>
      </c>
      <c r="E23" s="448">
        <v>0.20075184365903009</v>
      </c>
    </row>
    <row r="24" spans="1:6">
      <c r="B24" s="1" t="s">
        <v>315</v>
      </c>
      <c r="C24" s="259">
        <f>E144</f>
        <v>5.1357412843720285</v>
      </c>
      <c r="D24" s="38" t="s">
        <v>410</v>
      </c>
      <c r="E24" s="448">
        <v>0.1174</v>
      </c>
    </row>
    <row r="25" spans="1:6">
      <c r="B25" s="1" t="s">
        <v>314</v>
      </c>
      <c r="C25" s="259">
        <f>E145</f>
        <v>5.7800692086455321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4902319</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-12182</v>
      </c>
      <c r="D41" s="1" t="str">
        <f>Reporting_currency</f>
        <v>CNY</v>
      </c>
    </row>
    <row r="43" spans="2:6">
      <c r="B43" s="459" t="s">
        <v>205</v>
      </c>
      <c r="C43" s="459"/>
      <c r="D43" s="459"/>
      <c r="E43" s="459"/>
      <c r="F43" s="459"/>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9" t="s">
        <v>206</v>
      </c>
      <c r="C51" s="459"/>
      <c r="D51" s="459"/>
      <c r="E51" s="459"/>
      <c r="F51" s="459"/>
    </row>
    <row r="52" spans="2:6">
      <c r="B52" s="44" t="s">
        <v>204</v>
      </c>
      <c r="C52" s="289">
        <f>Normalized_FCF!C12</f>
        <v>-1215882.3022155068</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0.10396549604881608</v>
      </c>
      <c r="F62" s="260"/>
    </row>
    <row r="63" spans="2:6">
      <c r="B63" s="204" t="s">
        <v>332</v>
      </c>
      <c r="C63" s="89">
        <f>Normalized_FCF!C92</f>
        <v>5.8405797101449275E-2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-845013</v>
      </c>
      <c r="D78" s="1" t="str">
        <f>Reporting_currency</f>
        <v>CNY</v>
      </c>
    </row>
    <row r="79" spans="1:6">
      <c r="A79" s="191"/>
      <c r="B79" s="44" t="s">
        <v>234</v>
      </c>
      <c r="C79" s="201">
        <f>C78*scaling_factor*Exchange_Rate/Common_Shares</f>
        <v>-0.10206049854987898</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1.7635634097007229</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5.1729987028499157E-4</v>
      </c>
      <c r="D90" s="1" t="str">
        <f>Market_currency</f>
        <v>HKD</v>
      </c>
    </row>
    <row r="91" spans="1:6">
      <c r="A91" s="191"/>
    </row>
    <row r="92" spans="1:6">
      <c r="A92" s="191"/>
      <c r="B92" s="44" t="s">
        <v>472</v>
      </c>
      <c r="C92" s="216">
        <f>DCF!F8</f>
        <v>1.6620202110211286</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1.2441847613323032</v>
      </c>
      <c r="D111" s="1" t="str">
        <f>Market_currency</f>
        <v>HKD</v>
      </c>
    </row>
    <row r="112" spans="2:6">
      <c r="B112" s="44" t="s">
        <v>323</v>
      </c>
      <c r="C112" s="216">
        <f>DCF!C11</f>
        <v>7.5988085371190408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8.48 HKD</v>
      </c>
      <c r="E118" s="208">
        <f>DCF!F90</f>
        <v>0.05</v>
      </c>
      <c r="F118" s="208">
        <f>RATE(Holding_Period,Scenarios!C$58,-DCF!E90,C$18)</f>
        <v>-6.0346251149301956E-2</v>
      </c>
    </row>
    <row r="119" spans="2:6">
      <c r="B119" s="205" t="str">
        <f>DCF!B91&amp;" ("&amp;DCF!D91&amp;"yrs)"</f>
        <v>Optimistic (3yrs)</v>
      </c>
      <c r="C119" s="198">
        <f>DCF!C91</f>
        <v>0.02</v>
      </c>
      <c r="D119" s="207" t="str">
        <f>ROUND(DCF!E91,2)&amp;" "&amp;Market_currency</f>
        <v>7.94 HKD</v>
      </c>
      <c r="E119" s="199">
        <f>DCF!F91</f>
        <v>0.15999999999999995</v>
      </c>
      <c r="F119" s="208">
        <f>RATE(Holding_Period,Scenarios!C$58,-DCF!E91,C$18)</f>
        <v>-3.893160984224097E-2</v>
      </c>
    </row>
    <row r="120" spans="2:6">
      <c r="B120" s="205" t="str">
        <f>DCF!B92&amp;" ("&amp;DCF!D92&amp;"yrs)"</f>
        <v>Base (3yrs)</v>
      </c>
      <c r="C120" s="198">
        <f>DCF!C92</f>
        <v>-0.05</v>
      </c>
      <c r="D120" s="207" t="str">
        <f>ROUND(DCF!E92,2)&amp;" "&amp;Market_currency</f>
        <v>6.8 HKD</v>
      </c>
      <c r="E120" s="199">
        <f>DCF!F92</f>
        <v>0.44</v>
      </c>
      <c r="F120" s="208">
        <f>RATE(Holding_Period,Scenarios!C$58,-DCF!E92,C$18)</f>
        <v>1.3884311053355478E-2</v>
      </c>
    </row>
    <row r="121" spans="2:6">
      <c r="B121" s="205" t="str">
        <f>DCF!B93&amp;" ("&amp;DCF!D93&amp;"yrs)"</f>
        <v>Pessimistic (3yrs)</v>
      </c>
      <c r="C121" s="198">
        <f>DCF!C93</f>
        <v>-0.15</v>
      </c>
      <c r="D121" s="207" t="str">
        <f>ROUND(DCF!E93,2)&amp;" "&amp;Market_currency</f>
        <v>5.43 HKD</v>
      </c>
      <c r="E121" s="199">
        <f>DCF!F93</f>
        <v>0.19999999999999998</v>
      </c>
      <c r="F121" s="208">
        <f>RATE(Holding_Period,Scenarios!C$58,-DCF!E93,C$18)</f>
        <v>9.6300707050652301E-2</v>
      </c>
    </row>
    <row r="122" spans="2:6">
      <c r="B122" s="205" t="str">
        <f>DCF!B94&amp;" ("&amp;DCF!D94&amp;"yrs)"</f>
        <v>Devil's advocate (3yrs)</v>
      </c>
      <c r="C122" s="198">
        <f>DCF!C94</f>
        <v>-0.3</v>
      </c>
      <c r="D122" s="207" t="str">
        <f>ROUND(DCF!E94,2)&amp;" "&amp;Market_currency</f>
        <v>3.87 HKD</v>
      </c>
      <c r="E122" s="199">
        <f>DCF!F94</f>
        <v>0.15</v>
      </c>
      <c r="F122" s="208">
        <f>RATE(Holding_Period,Scenarios!C$58,-DCF!E94,C$18)</f>
        <v>0.23366923775772797</v>
      </c>
    </row>
    <row r="124" spans="2:6">
      <c r="B124" s="459" t="s">
        <v>357</v>
      </c>
      <c r="C124" s="459"/>
      <c r="D124" s="459"/>
      <c r="E124" s="459"/>
      <c r="F124" s="459"/>
    </row>
    <row r="125" spans="2:6">
      <c r="B125" s="193" t="s">
        <v>218</v>
      </c>
      <c r="C125" s="197">
        <f>Scenarios!C36</f>
        <v>6.3513189245461659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2.9268750804360217</v>
      </c>
      <c r="E140" s="338">
        <f>Scenarios!E62</f>
        <v>3.3693331915394484</v>
      </c>
      <c r="F140" s="339">
        <f>E22</f>
        <v>0.29465259038036606</v>
      </c>
    </row>
    <row r="141" spans="1:6">
      <c r="B141" s="340" t="s">
        <v>313</v>
      </c>
      <c r="C141" s="337">
        <f>Scenarios!C63</f>
        <v>0.50874815444966315</v>
      </c>
      <c r="D141" s="337">
        <f>Scenarios!D63</f>
        <v>3.6686318697739599</v>
      </c>
      <c r="E141" s="338">
        <f>Scenarios!E63</f>
        <v>4.1773800242236234</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4.5523738485200633</v>
      </c>
      <c r="E144" s="338">
        <f>Scenarios!E66</f>
        <v>5.1357412843720285</v>
      </c>
      <c r="F144" s="339">
        <f>E24</f>
        <v>0.1174</v>
      </c>
    </row>
    <row r="145" spans="1:6">
      <c r="B145" s="340" t="s">
        <v>314</v>
      </c>
      <c r="C145" s="337">
        <f>Scenarios!C67</f>
        <v>0.63167232993043521</v>
      </c>
      <c r="D145" s="337">
        <f>Scenarios!D67</f>
        <v>5.1483968787150971</v>
      </c>
      <c r="E145" s="338">
        <f>Scenarios!E67</f>
        <v>5.7800692086455321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3.0932360622293555</v>
      </c>
      <c r="D47" s="134">
        <f>D46*H1/Common_Shares*Exchange_Rate</f>
        <v>1.2441847613323032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925204.10839037981</v>
      </c>
      <c r="D86" s="201">
        <f>C86*scaling_factor/Common_Shares</f>
        <v>0.10206049854987896</v>
      </c>
      <c r="E86" s="214" t="str">
        <f>Market_currency</f>
        <v>HKD</v>
      </c>
    </row>
    <row r="87" spans="2:8" ht="15" customHeight="1">
      <c r="B87" s="212" t="s">
        <v>240</v>
      </c>
      <c r="C87" s="73">
        <f>DCF!F5*Exchange_Rate</f>
        <v>15987146.204901528</v>
      </c>
      <c r="D87" s="201">
        <f>C87*scaling_factor/Common_Shares</f>
        <v>1.7635634097007229</v>
      </c>
      <c r="E87" s="214" t="str">
        <f>Market_currency</f>
        <v>HKD</v>
      </c>
    </row>
    <row r="88" spans="2:8" ht="15" customHeight="1">
      <c r="B88" s="213" t="s">
        <v>159</v>
      </c>
      <c r="C88" s="73">
        <f>DCF!F6*Exchange_Rate</f>
        <v>4689.4535305799991</v>
      </c>
      <c r="D88" s="201">
        <f>C88*scaling_factor/Common_Shares</f>
        <v>5.1729987028499157E-4</v>
      </c>
      <c r="E88" s="214" t="str">
        <f>Market_currency</f>
        <v>HKD</v>
      </c>
    </row>
    <row r="89" spans="2:8" ht="15" customHeight="1">
      <c r="B89" s="77" t="s">
        <v>244</v>
      </c>
      <c r="C89" s="162">
        <f>SUM(C86:C88)</f>
        <v>16917039.766822487</v>
      </c>
      <c r="D89" s="216">
        <f>SUM(D86:D88)</f>
        <v>1.8661412081208868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5.8405797101449275E-2</v>
      </c>
      <c r="E92" s="238"/>
      <c r="G92" s="22">
        <f t="shared" ref="G92:Q92" si="38">IF(G$4="","",(G88*(1-dividend_tax_rate))/Market_Price)</f>
        <v>7.8840579710144937E-2</v>
      </c>
      <c r="H92" s="22">
        <f t="shared" si="38"/>
        <v>6.8429951690821264E-2</v>
      </c>
      <c r="I92" s="22">
        <f t="shared" si="38"/>
        <v>6.8888888888888902E-2</v>
      </c>
      <c r="J92" s="22">
        <f t="shared" si="38"/>
        <v>0.11367149758454108</v>
      </c>
      <c r="K92" s="22">
        <f t="shared" si="38"/>
        <v>7.1521739130434789E-2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0.43041715364209854</v>
      </c>
      <c r="D123" s="26"/>
      <c r="E123" s="235"/>
      <c r="F123" s="26"/>
      <c r="G123" s="159">
        <f t="shared" ref="G123:Q123" si="48">IF(G$4="","",G14*$C$3/Common_Shares*Exchange_Rate)</f>
        <v>0.35254092032186995</v>
      </c>
      <c r="H123" s="159">
        <f t="shared" si="48"/>
        <v>0.31677031854218918</v>
      </c>
      <c r="I123" s="159">
        <f t="shared" si="48"/>
        <v>0.49498713137848238</v>
      </c>
      <c r="J123" s="159">
        <f t="shared" si="48"/>
        <v>0.63098735676689366</v>
      </c>
      <c r="K123" s="159">
        <f t="shared" si="48"/>
        <v>0.5478627147809374</v>
      </c>
      <c r="L123" s="159">
        <f t="shared" si="48"/>
        <v>0.36567146385159871</v>
      </c>
      <c r="M123" s="159">
        <f t="shared" si="48"/>
        <v>0.21408158617342896</v>
      </c>
      <c r="N123" s="159">
        <f t="shared" si="48"/>
        <v>9.4035405722137672E-2</v>
      </c>
      <c r="O123" s="159">
        <f t="shared" si="48"/>
        <v>2.6331686649617596E-2</v>
      </c>
      <c r="P123" s="159" t="str">
        <f t="shared" si="48"/>
        <v/>
      </c>
      <c r="Q123" s="159" t="str">
        <f t="shared" si="48"/>
        <v/>
      </c>
    </row>
    <row r="124" spans="1:17" ht="15.75" customHeight="1">
      <c r="A124" s="10"/>
      <c r="B124" s="26" t="s">
        <v>226</v>
      </c>
      <c r="C124" s="74">
        <f>C19*Exchange_Rate*$C$3/(Market_Price*Common_Shares)</f>
        <v>0.10396549604881608</v>
      </c>
      <c r="D124" s="26"/>
      <c r="E124" s="235"/>
      <c r="F124" s="26"/>
      <c r="G124" s="74">
        <f t="shared" ref="G124" si="49">IF(G$4="","",G123/Market_Price)</f>
        <v>8.5154811671949271E-2</v>
      </c>
      <c r="H124" s="74">
        <f t="shared" ref="H124" si="50">IF(H$4="","",H123/Market_Price)</f>
        <v>7.6514569696180965E-2</v>
      </c>
      <c r="I124" s="74">
        <f t="shared" ref="I124" si="51">IF(I$4="","",I123/Market_Price)</f>
        <v>0.11956210902861894</v>
      </c>
      <c r="J124" s="74">
        <f t="shared" ref="J124" si="52">IF(J$4="","",J123/Market_Price)</f>
        <v>0.15241240501615791</v>
      </c>
      <c r="K124" s="74">
        <f t="shared" ref="K124" si="53">IF(K$4="","",K123/Market_Price)</f>
        <v>0.13233398907752111</v>
      </c>
      <c r="L124" s="74">
        <f t="shared" ref="L124" si="54">IF(L$4="","",L123/Market_Price)</f>
        <v>8.8326440543864432E-2</v>
      </c>
      <c r="M124" s="74">
        <f t="shared" ref="M124" si="55">IF(M$4="","",M123/Market_Price)</f>
        <v>5.1710528061214726E-2</v>
      </c>
      <c r="N124" s="74">
        <f t="shared" ref="N124" si="56">IF(N$4="","",N123/Market_Price)</f>
        <v>2.2713866116458377E-2</v>
      </c>
      <c r="O124" s="74">
        <f t="shared" ref="O124" si="57">IF(O$4="","",O123/Market_Price)</f>
        <v>6.3603107849317872E-3</v>
      </c>
      <c r="P124" s="74" t="str">
        <f t="shared" ref="P124" si="58">IF(P$4="","",P123/Market_Price)</f>
        <v/>
      </c>
      <c r="Q124" s="74" t="str">
        <f t="shared" ref="Q124" si="59">IF(Q$4="","",Q123/Market_Price)</f>
        <v/>
      </c>
    </row>
    <row r="125" spans="1:17" ht="15.75" customHeight="1">
      <c r="B125" s="2" t="s">
        <v>306</v>
      </c>
      <c r="C125" s="151"/>
      <c r="G125" s="22">
        <f>IF(G$4="","",(Data!C47*$C$3)/(Market_Price*Common_Shares))</f>
        <v>9.7364939218395952E-2</v>
      </c>
      <c r="H125" s="22">
        <f>IF(H$4="","",(Data!D47*$C$3)/(Market_Price*Common_Shares))</f>
        <v>8.7672250086786307E-2</v>
      </c>
      <c r="I125" s="22">
        <f>IF(I$4="","",(Data!E47*$C$3)/(Market_Price*Common_Shares))</f>
        <v>0.13184351907878786</v>
      </c>
      <c r="J125" s="22">
        <f>IF(J$4="","",(Data!F47*$C$3)/(Market_Price*Common_Shares))</f>
        <v>0.18424912940503577</v>
      </c>
      <c r="K125" s="22">
        <f>IF(K$4="","",(Data!G47*$C$3)/(Market_Price*Common_Shares))</f>
        <v>0.19815091531465259</v>
      </c>
      <c r="L125" s="22">
        <f>IF(L$4="","",(Data!H47*$C$3)/(Market_Price*Common_Shares))</f>
        <v>0.1048377859662788</v>
      </c>
      <c r="M125" s="22">
        <f>IF(M$4="","",(Data!I47*$C$3)/(Market_Price*Common_Shares))</f>
        <v>5.974541734321949E-2</v>
      </c>
      <c r="N125" s="22">
        <f>IF(N$4="","",(Data!J47*$C$3)/(Market_Price*Common_Shares))</f>
        <v>3.091451128304562E-2</v>
      </c>
      <c r="O125" s="22">
        <f>IF(O$4="","",(Data!K47*$C$3)/(Market_Price*Common_Shares))</f>
        <v>1.0822021387756821E-2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1.6620202110211286</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1.0948992599999998</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68885112.039488122</v>
      </c>
      <c r="D10" t="str">
        <f>Market_currency</f>
        <v>HKD</v>
      </c>
      <c r="H10" s="312" t="s">
        <v>398</v>
      </c>
      <c r="I10" s="310">
        <f>Normalized_FCF!C41</f>
        <v>0.25</v>
      </c>
      <c r="N10" s="308"/>
      <c r="O10" s="308"/>
    </row>
    <row r="11" spans="2:15" ht="13.15">
      <c r="B11" s="136" t="s">
        <v>428</v>
      </c>
      <c r="C11" s="108">
        <f>(C10*scaling_factor)/Common_Shares</f>
        <v>7.5988085371190408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7.9165084132829557</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7.5988085371190408</v>
      </c>
      <c r="C73" s="119">
        <f>C11</f>
        <v>7.5988085371190408</v>
      </c>
      <c r="D73" s="119">
        <f>C11</f>
        <v>7.5988085371190408</v>
      </c>
      <c r="E73" s="119">
        <f>C11</f>
        <v>7.5988085371190408</v>
      </c>
      <c r="F73" s="119">
        <f>C11</f>
        <v>7.5988085371190408</v>
      </c>
      <c r="G73" s="300"/>
      <c r="H73" s="300"/>
      <c r="I73" s="300"/>
      <c r="J73" s="300"/>
      <c r="K73" s="300"/>
      <c r="L73" s="300"/>
    </row>
    <row r="74" spans="1:21" ht="13.15">
      <c r="A74" s="131">
        <v>1</v>
      </c>
      <c r="B74" s="119">
        <f t="shared" ref="B74:F87" si="11">(B56+FV_adjustments)/Common_Shares*scaling_factor*Exchange_Rate</f>
        <v>5.8032323124371965</v>
      </c>
      <c r="C74" s="119">
        <f t="shared" si="11"/>
        <v>6.7010204247781182</v>
      </c>
      <c r="D74" s="119">
        <f t="shared" si="11"/>
        <v>7.2995458330053999</v>
      </c>
      <c r="E74" s="119">
        <f t="shared" si="11"/>
        <v>7.718513618764498</v>
      </c>
      <c r="F74" s="119">
        <f t="shared" si="11"/>
        <v>7.8980712412326817</v>
      </c>
      <c r="G74" s="300"/>
      <c r="H74" s="300"/>
      <c r="I74" s="300"/>
      <c r="J74" s="300"/>
      <c r="K74" s="300"/>
      <c r="L74" s="300"/>
    </row>
    <row r="75" spans="1:21" ht="13.15">
      <c r="A75" s="131">
        <v>2</v>
      </c>
      <c r="B75" s="119">
        <f t="shared" si="11"/>
        <v>4.6312944501739866</v>
      </c>
      <c r="C75" s="119">
        <f t="shared" si="11"/>
        <v>5.9894867226897421</v>
      </c>
      <c r="D75" s="119">
        <f t="shared" si="11"/>
        <v>7.0344646498744359</v>
      </c>
      <c r="E75" s="119">
        <f t="shared" si="11"/>
        <v>7.8323590110986379</v>
      </c>
      <c r="F75" s="119">
        <f t="shared" si="11"/>
        <v>8.1910557067984833</v>
      </c>
      <c r="G75" s="300"/>
      <c r="H75" s="300"/>
      <c r="I75" s="300"/>
      <c r="J75" s="300"/>
      <c r="K75" s="300"/>
      <c r="L75" s="300"/>
    </row>
    <row r="76" spans="1:21" ht="13.15">
      <c r="A76" s="131">
        <v>3</v>
      </c>
      <c r="B76" s="119">
        <f t="shared" si="11"/>
        <v>3.8663932813308661</v>
      </c>
      <c r="C76" s="119">
        <f t="shared" si="11"/>
        <v>5.4255672385171358</v>
      </c>
      <c r="D76" s="119">
        <f t="shared" si="11"/>
        <v>6.7996608046768454</v>
      </c>
      <c r="E76" s="119">
        <f t="shared" si="11"/>
        <v>7.9406315520597799</v>
      </c>
      <c r="F76" s="119">
        <f t="shared" si="11"/>
        <v>8.4778936451146514</v>
      </c>
      <c r="G76" s="300"/>
      <c r="H76" s="300"/>
      <c r="I76" s="300"/>
      <c r="J76" s="300"/>
      <c r="K76" s="300"/>
      <c r="L76" s="300"/>
    </row>
    <row r="77" spans="1:21" ht="13.15">
      <c r="A77" s="131">
        <v>4</v>
      </c>
      <c r="B77" s="119">
        <f t="shared" si="11"/>
        <v>3.3671570872141436</v>
      </c>
      <c r="C77" s="119">
        <f t="shared" si="11"/>
        <v>4.9786380436017819</v>
      </c>
      <c r="D77" s="119">
        <f t="shared" si="11"/>
        <v>6.5916760466929647</v>
      </c>
      <c r="E77" s="119">
        <f t="shared" si="11"/>
        <v>8.0436040385682759</v>
      </c>
      <c r="F77" s="119">
        <f t="shared" si="11"/>
        <v>8.7587140043053111</v>
      </c>
      <c r="G77" s="300"/>
      <c r="H77" s="300"/>
      <c r="I77" s="300"/>
      <c r="J77" s="300"/>
      <c r="K77" s="300"/>
      <c r="L77" s="300"/>
    </row>
    <row r="78" spans="1:21" ht="13.15">
      <c r="A78" s="131">
        <v>5</v>
      </c>
      <c r="B78" s="119">
        <f t="shared" si="11"/>
        <v>3.0413152821962366</v>
      </c>
      <c r="C78" s="119">
        <f t="shared" si="11"/>
        <v>4.6244284252539511</v>
      </c>
      <c r="D78" s="119">
        <f t="shared" si="11"/>
        <v>6.4074471235370822</v>
      </c>
      <c r="E78" s="119">
        <f t="shared" si="11"/>
        <v>8.1415359138490846</v>
      </c>
      <c r="F78" s="119">
        <f t="shared" si="11"/>
        <v>9.0336430272891697</v>
      </c>
      <c r="G78" s="300"/>
      <c r="H78" s="300"/>
      <c r="I78" s="300"/>
      <c r="J78" s="300"/>
      <c r="K78" s="300"/>
      <c r="L78" s="300"/>
    </row>
    <row r="79" spans="1:21" ht="13.15">
      <c r="A79" s="131">
        <v>6</v>
      </c>
      <c r="B79" s="119">
        <f t="shared" si="11"/>
        <v>2.828644640226508</v>
      </c>
      <c r="C79" s="119">
        <f t="shared" si="11"/>
        <v>4.3437028536029896</v>
      </c>
      <c r="D79" s="119">
        <f t="shared" si="11"/>
        <v>6.2442606647976033</v>
      </c>
      <c r="E79" s="119">
        <f t="shared" si="11"/>
        <v>8.234673921109156</v>
      </c>
      <c r="F79" s="119">
        <f t="shared" si="11"/>
        <v>9.3028043085321066</v>
      </c>
      <c r="G79" s="300"/>
      <c r="H79" s="300"/>
      <c r="I79" s="300"/>
      <c r="J79" s="300"/>
      <c r="K79" s="300"/>
      <c r="L79" s="300"/>
    </row>
    <row r="80" spans="1:21" ht="13.15">
      <c r="A80" s="131">
        <f t="shared" ref="A80" si="12">A62</f>
        <v>7</v>
      </c>
      <c r="B80" s="119">
        <f t="shared" si="11"/>
        <v>2.6898386268196912</v>
      </c>
      <c r="C80" s="119">
        <f t="shared" si="11"/>
        <v>4.1212163865602678</v>
      </c>
      <c r="D80" s="119">
        <f t="shared" si="11"/>
        <v>6.0997132188279028</v>
      </c>
      <c r="E80" s="119">
        <f t="shared" si="11"/>
        <v>8.3232527252166353</v>
      </c>
      <c r="F80" s="119">
        <f t="shared" si="11"/>
        <v>9.5663188496091145</v>
      </c>
      <c r="G80" s="300"/>
      <c r="H80" s="300"/>
      <c r="I80" s="300"/>
      <c r="J80" s="300"/>
      <c r="K80" s="300"/>
      <c r="L80" s="300"/>
    </row>
    <row r="81" spans="1:12" ht="13.15">
      <c r="A81" s="131">
        <v>8</v>
      </c>
      <c r="B81" s="119">
        <f t="shared" si="11"/>
        <v>2.5992426273933309</v>
      </c>
      <c r="C81" s="119">
        <f t="shared" si="11"/>
        <v>3.9448867856406284</v>
      </c>
      <c r="D81" s="119">
        <f t="shared" si="11"/>
        <v>5.9716758540994972</v>
      </c>
      <c r="E81" s="119">
        <f t="shared" si="11"/>
        <v>8.4074955039482209</v>
      </c>
      <c r="F81" s="119">
        <f t="shared" si="11"/>
        <v>9.8243051136005839</v>
      </c>
      <c r="G81" s="300"/>
      <c r="H81" s="300"/>
      <c r="I81" s="300"/>
      <c r="J81" s="300"/>
      <c r="K81" s="300"/>
      <c r="L81" s="300"/>
    </row>
    <row r="82" spans="1:12" ht="13.15">
      <c r="A82" s="131">
        <f t="shared" ref="A82" si="13">A64</f>
        <v>9</v>
      </c>
      <c r="B82" s="119">
        <f t="shared" si="11"/>
        <v>2.5401123713574778</v>
      </c>
      <c r="C82" s="119">
        <f t="shared" si="11"/>
        <v>3.8051383839793766</v>
      </c>
      <c r="D82" s="119">
        <f t="shared" si="11"/>
        <v>5.8582628037573174</v>
      </c>
      <c r="E82" s="119">
        <f t="shared" si="11"/>
        <v>8.4876145102943479</v>
      </c>
      <c r="F82" s="119">
        <f t="shared" si="11"/>
        <v>10.076879078347478</v>
      </c>
      <c r="G82" s="300"/>
      <c r="H82" s="300"/>
      <c r="I82" s="300"/>
      <c r="J82" s="300"/>
      <c r="K82" s="300"/>
      <c r="L82" s="300"/>
    </row>
    <row r="83" spans="1:12" ht="13.15">
      <c r="A83" s="131">
        <f t="shared" ref="A83:A87" si="14">A65</f>
        <v>10</v>
      </c>
      <c r="B83" s="119">
        <f t="shared" si="11"/>
        <v>2.5015191972548232</v>
      </c>
      <c r="C83" s="119">
        <f t="shared" si="11"/>
        <v>3.6943820749704592</v>
      </c>
      <c r="D83" s="119">
        <f t="shared" si="11"/>
        <v>5.7578036915661119</v>
      </c>
      <c r="E83" s="119">
        <f t="shared" si="11"/>
        <v>8.5638116072389163</v>
      </c>
      <c r="F83" s="119">
        <f t="shared" si="11"/>
        <v>10.324154288589193</v>
      </c>
      <c r="G83" s="300"/>
      <c r="H83" s="300"/>
      <c r="I83" s="300"/>
      <c r="J83" s="300"/>
      <c r="K83" s="300"/>
      <c r="L83" s="300"/>
    </row>
    <row r="84" spans="1:12" ht="13.15">
      <c r="A84" s="131">
        <f t="shared" si="14"/>
        <v>15</v>
      </c>
      <c r="B84" s="119">
        <f t="shared" si="11"/>
        <v>2.4375849691562204</v>
      </c>
      <c r="C84" s="119">
        <f t="shared" si="11"/>
        <v>3.4035698111898043</v>
      </c>
      <c r="D84" s="119">
        <f t="shared" si="11"/>
        <v>5.4035563709028382</v>
      </c>
      <c r="E84" s="119">
        <f t="shared" si="11"/>
        <v>8.8923683907611117</v>
      </c>
      <c r="F84" s="119">
        <f t="shared" si="11"/>
        <v>11.484859113397743</v>
      </c>
      <c r="G84" s="300"/>
      <c r="H84" s="300"/>
      <c r="I84" s="300"/>
      <c r="J84" s="300"/>
      <c r="K84" s="300"/>
      <c r="L84" s="300"/>
    </row>
    <row r="85" spans="1:12" ht="13.15">
      <c r="A85" s="132">
        <f t="shared" si="14"/>
        <v>20</v>
      </c>
      <c r="B85" s="119">
        <f t="shared" si="11"/>
        <v>2.4300125068198035</v>
      </c>
      <c r="C85" s="119">
        <f t="shared" si="11"/>
        <v>3.3126369531236977</v>
      </c>
      <c r="D85" s="119">
        <f t="shared" si="11"/>
        <v>5.2103870752226262</v>
      </c>
      <c r="E85" s="119">
        <f t="shared" si="11"/>
        <v>9.1480060267611432</v>
      </c>
      <c r="F85" s="119">
        <f t="shared" si="11"/>
        <v>12.528814118468118</v>
      </c>
      <c r="G85" s="300"/>
      <c r="H85" s="300"/>
      <c r="I85" s="300"/>
      <c r="J85" s="300"/>
      <c r="K85" s="300"/>
      <c r="L85" s="300"/>
    </row>
    <row r="86" spans="1:12" ht="13.15">
      <c r="A86" s="132">
        <f t="shared" si="14"/>
        <v>25</v>
      </c>
      <c r="B86" s="119">
        <f t="shared" si="11"/>
        <v>2.4291156134413772</v>
      </c>
      <c r="C86" s="119">
        <f t="shared" si="11"/>
        <v>3.2842035419306015</v>
      </c>
      <c r="D86" s="119">
        <f t="shared" si="11"/>
        <v>5.1050528225210838</v>
      </c>
      <c r="E86" s="119">
        <f t="shared" si="11"/>
        <v>9.3469080254936436</v>
      </c>
      <c r="F86" s="119">
        <f t="shared" si="11"/>
        <v>13.467762617102343</v>
      </c>
      <c r="G86" s="300"/>
      <c r="H86" s="300"/>
      <c r="I86" s="300"/>
      <c r="J86" s="300"/>
      <c r="K86" s="300"/>
      <c r="L86" s="300"/>
    </row>
    <row r="87" spans="1:12" ht="13.15">
      <c r="A87" s="132">
        <f t="shared" si="14"/>
        <v>30</v>
      </c>
      <c r="B87" s="119">
        <f t="shared" si="11"/>
        <v>2.4290093840939697</v>
      </c>
      <c r="C87" s="119">
        <f t="shared" si="11"/>
        <v>3.2753128187171288</v>
      </c>
      <c r="D87" s="119">
        <f t="shared" si="11"/>
        <v>5.047614580314308</v>
      </c>
      <c r="E87" s="119">
        <f t="shared" si="11"/>
        <v>9.5016661656439343</v>
      </c>
      <c r="F87" s="119">
        <f t="shared" si="11"/>
        <v>14.312266718146459</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8.4778936451146514</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7.9406315520597799</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6.7996608046768454</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5.4255672385171358</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3.8663932813308661</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H31" sqref="H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7.9406315520597799</v>
      </c>
      <c r="F22" s="332">
        <f>1-F23-F24</f>
        <v>0.19999999999999996</v>
      </c>
      <c r="G22" s="332">
        <f>F22*(1-F$29-F$30)</f>
        <v>0.15999999999999995</v>
      </c>
    </row>
    <row r="23" spans="2:7">
      <c r="B23" s="306" t="s">
        <v>440</v>
      </c>
      <c r="C23" s="328">
        <v>-0.05</v>
      </c>
      <c r="D23" s="329">
        <f>C18</f>
        <v>3</v>
      </c>
      <c r="E23" s="330">
        <f>DCF!E92</f>
        <v>6.7996608046768454</v>
      </c>
      <c r="F23" s="331">
        <v>0.55000000000000004</v>
      </c>
      <c r="G23" s="332">
        <f t="shared" ref="G23:G24" si="0">F23*(1-F$29-F$30)</f>
        <v>0.44</v>
      </c>
    </row>
    <row r="24" spans="2:7">
      <c r="B24" s="306" t="s">
        <v>449</v>
      </c>
      <c r="C24" s="328">
        <v>-0.15</v>
      </c>
      <c r="D24" s="329">
        <f>C18</f>
        <v>3</v>
      </c>
      <c r="E24" s="330">
        <f>DCF!E93</f>
        <v>5.4255672385171358</v>
      </c>
      <c r="F24" s="331">
        <v>0.25</v>
      </c>
      <c r="G24" s="332">
        <f t="shared" si="0"/>
        <v>0.19999999999999998</v>
      </c>
    </row>
    <row r="25" spans="2:7">
      <c r="B25" s="141" t="s">
        <v>454</v>
      </c>
      <c r="C25" s="446">
        <f>E23*F23+E24*F24+E22*F22</f>
        <v>6.6843315626135054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8.4778936451146514</v>
      </c>
      <c r="F29" s="331">
        <v>0.05</v>
      </c>
      <c r="G29" s="332">
        <f>F29</f>
        <v>0.05</v>
      </c>
    </row>
    <row r="30" spans="2:7">
      <c r="B30" s="319" t="s">
        <v>450</v>
      </c>
      <c r="C30" s="328">
        <v>-0.3</v>
      </c>
      <c r="D30" s="329">
        <f>C18</f>
        <v>3</v>
      </c>
      <c r="E30" s="330">
        <f>DCF!E94</f>
        <v>3.8663932813308661</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4.1399999999999997</v>
      </c>
      <c r="D34" t="str">
        <f>Market_currency</f>
        <v>HKD</v>
      </c>
      <c r="E34" s="97" t="s">
        <v>457</v>
      </c>
      <c r="F34" s="334">
        <f>RATE(Holding_Period,$C$33,-C34,$C$36)</f>
        <v>0.20452742481236513</v>
      </c>
    </row>
    <row r="35" spans="2:7">
      <c r="B35" s="97" t="s">
        <v>437</v>
      </c>
      <c r="C35" s="324">
        <f>DCF!C11</f>
        <v>7.5988085371190408</v>
      </c>
      <c r="D35" s="97" t="str">
        <f>Market_currency</f>
        <v>HKD</v>
      </c>
      <c r="E35" s="97" t="s">
        <v>457</v>
      </c>
      <c r="F35" s="334">
        <f>RATE(Holding_Period,$C$33,-C35,$C$36)</f>
        <v>-2.4251067533528303E-2</v>
      </c>
    </row>
    <row r="36" spans="2:7">
      <c r="B36" s="97" t="s">
        <v>438</v>
      </c>
      <c r="C36" s="325">
        <f>E22*G22+E23*G23+E24*G24+E30*G30+E29*G29</f>
        <v>6.3513189245461659</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7.9165084132829557</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0.2938194775432777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2.9268750804360217</v>
      </c>
      <c r="E62" s="336">
        <f>C62+D62</f>
        <v>3.3693331915394484</v>
      </c>
      <c r="F62" s="305">
        <f>Thesis!E22</f>
        <v>0.29465259038036606</v>
      </c>
      <c r="G62" s="445">
        <f>(1-E62/C36)</f>
        <v>0.46950653375035734</v>
      </c>
    </row>
    <row r="63" spans="2:7" ht="13.15">
      <c r="B63" s="306" t="s">
        <v>313</v>
      </c>
      <c r="C63" s="119">
        <f>PV(F63, Holding_Period, -C58, 0)</f>
        <v>0.50874815444966315</v>
      </c>
      <c r="D63" s="119">
        <f>C36/(1+F63)^Holding_Period</f>
        <v>3.6686318697739599</v>
      </c>
      <c r="E63" s="336">
        <f>C63+D63</f>
        <v>4.1773800242236234</v>
      </c>
      <c r="F63" s="305">
        <f>Thesis!E23</f>
        <v>0.20075184365903009</v>
      </c>
      <c r="G63" s="445">
        <f>(1-E63/C36)</f>
        <v>0.342281489270023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4.5523738485200633</v>
      </c>
      <c r="E66" s="336">
        <f>C66+D66</f>
        <v>5.1357412843720285</v>
      </c>
      <c r="F66" s="305">
        <f>Thesis!E24</f>
        <v>0.1174</v>
      </c>
      <c r="G66" s="445">
        <f>(1-E66/C36)</f>
        <v>0.19138979708234327</v>
      </c>
    </row>
    <row r="67" spans="2:7" ht="13.15">
      <c r="B67" s="306" t="s">
        <v>314</v>
      </c>
      <c r="C67" s="119">
        <f>PV(F67, Holding_Period, -C58, 0)</f>
        <v>0.63167232993043521</v>
      </c>
      <c r="D67" s="119">
        <f>C36/(1+F67)^Holding_Period</f>
        <v>5.1483968787150971</v>
      </c>
      <c r="E67" s="336">
        <f>C67+D67</f>
        <v>5.7800692086455321</v>
      </c>
      <c r="F67" s="305">
        <f>Thesis!E25</f>
        <v>7.2499999999999995E-2</v>
      </c>
      <c r="G67" s="445">
        <f>(1-E67/C36)</f>
        <v>8.9941903829282577E-2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4.1399999999999997</v>
      </c>
    </row>
    <row r="9" spans="1:10">
      <c r="B9" s="355" t="s">
        <v>361</v>
      </c>
      <c r="C9" s="357">
        <f>Common_Shares</f>
        <v>9065251704</v>
      </c>
    </row>
    <row r="10" spans="1:10">
      <c r="B10" s="355" t="s">
        <v>367</v>
      </c>
      <c r="C10" s="361">
        <f>投资主题!C8*Common_Shares/1000000</f>
        <v>37530.142054559998</v>
      </c>
      <c r="D10" s="347" t="s">
        <v>531</v>
      </c>
      <c r="E10" s="364">
        <f>Scenarios!F34</f>
        <v>0.20452742481236513</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1.0948992599999998</v>
      </c>
    </row>
    <row r="17" spans="1:6">
      <c r="B17" s="347" t="s">
        <v>537</v>
      </c>
      <c r="C17" s="429">
        <f>Terminal_Growth</f>
        <v>0</v>
      </c>
      <c r="D17" s="355" t="s">
        <v>339</v>
      </c>
      <c r="E17" s="348" t="str">
        <f>Reporting_currency</f>
        <v>CNY</v>
      </c>
    </row>
    <row r="18" spans="1:6">
      <c r="B18" s="347" t="str">
        <f>"预期股权价值 ("&amp;C7&amp;") :"</f>
        <v>预期股权价值 (HKD) :</v>
      </c>
      <c r="C18" s="363">
        <f>C125</f>
        <v>6.3513189245461659</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3.3693331915394484</v>
      </c>
      <c r="D22" s="369" t="s">
        <v>443</v>
      </c>
      <c r="E22" s="370">
        <f>Thesis!E22</f>
        <v>0.29465259038036606</v>
      </c>
    </row>
    <row r="23" spans="1:6">
      <c r="B23" s="347" t="s">
        <v>341</v>
      </c>
      <c r="C23" s="371">
        <f>E141</f>
        <v>4.1773800242236234</v>
      </c>
      <c r="D23" s="369" t="s">
        <v>444</v>
      </c>
      <c r="E23" s="372">
        <f>Thesis!E23</f>
        <v>0.20075184365903009</v>
      </c>
    </row>
    <row r="24" spans="1:6">
      <c r="B24" s="347" t="s">
        <v>343</v>
      </c>
      <c r="C24" s="371">
        <f>E144</f>
        <v>5.1357412843720285</v>
      </c>
      <c r="D24" s="369" t="s">
        <v>446</v>
      </c>
      <c r="E24" s="372">
        <f>Thesis!E24</f>
        <v>0.1174</v>
      </c>
    </row>
    <row r="25" spans="1:6">
      <c r="B25" s="347" t="s">
        <v>342</v>
      </c>
      <c r="C25" s="371">
        <f>E145</f>
        <v>5.7800692086455321</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0.10396549604881608</v>
      </c>
      <c r="F62" s="383"/>
    </row>
    <row r="63" spans="2:6">
      <c r="B63" s="381" t="s">
        <v>332</v>
      </c>
      <c r="C63" s="382">
        <f>Normalized_FCF!C92</f>
        <v>5.8405797101449275E-2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-845013</v>
      </c>
      <c r="D78" s="347" t="str">
        <f>Reporting_currency</f>
        <v>CNY</v>
      </c>
    </row>
    <row r="79" spans="1:6">
      <c r="B79" s="376" t="s">
        <v>234</v>
      </c>
      <c r="C79" s="391">
        <f>C78*scaling_factor*Exchange_Rate/Common_Shares</f>
        <v>-0.10206049854987898</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1.7635634097007229</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5.1729987028499157E-4</v>
      </c>
      <c r="D90" s="347" t="str">
        <f>Market_currency</f>
        <v>HKD</v>
      </c>
    </row>
    <row r="92" spans="1:6">
      <c r="B92" s="376" t="s">
        <v>483</v>
      </c>
      <c r="C92" s="391">
        <f>DCF!F8</f>
        <v>1.6620202110211286</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1.2441847613323032</v>
      </c>
      <c r="D111" s="347" t="str">
        <f>Market_currency</f>
        <v>HKD</v>
      </c>
    </row>
    <row r="112" spans="1:6">
      <c r="A112" s="389"/>
      <c r="B112" s="376" t="s">
        <v>377</v>
      </c>
      <c r="C112" s="398">
        <f>DCF!C11</f>
        <v>7.5988085371190408</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8.48 HKD</v>
      </c>
      <c r="F118" s="403">
        <f>DCF!F90</f>
        <v>0.05</v>
      </c>
    </row>
    <row r="119" spans="1:6">
      <c r="A119" s="389"/>
      <c r="B119" s="404" t="str">
        <f>DCF!B91</f>
        <v>Optimistic</v>
      </c>
      <c r="C119" s="405">
        <f>DCF!C91</f>
        <v>0.02</v>
      </c>
      <c r="D119" s="406">
        <f>DCF!D91</f>
        <v>3</v>
      </c>
      <c r="E119" s="402" t="str">
        <f>ROUND(DCF!E91,2)&amp;" "&amp;Market_currency</f>
        <v>7.94 HKD</v>
      </c>
      <c r="F119" s="407">
        <f>DCF!F91</f>
        <v>0.15999999999999995</v>
      </c>
    </row>
    <row r="120" spans="1:6">
      <c r="B120" s="404" t="str">
        <f>DCF!B92</f>
        <v>Base</v>
      </c>
      <c r="C120" s="405">
        <f>DCF!C92</f>
        <v>-0.05</v>
      </c>
      <c r="D120" s="406">
        <f>DCF!D92</f>
        <v>3</v>
      </c>
      <c r="E120" s="402" t="str">
        <f>ROUND(DCF!E92,2)&amp;" "&amp;Market_currency</f>
        <v>6.8 HKD</v>
      </c>
      <c r="F120" s="407">
        <f>DCF!F92</f>
        <v>0.44</v>
      </c>
    </row>
    <row r="121" spans="1:6">
      <c r="B121" s="404" t="str">
        <f>DCF!B93</f>
        <v>Pessimistic</v>
      </c>
      <c r="C121" s="405">
        <f>DCF!C93</f>
        <v>-0.15</v>
      </c>
      <c r="D121" s="406">
        <f>DCF!D93</f>
        <v>3</v>
      </c>
      <c r="E121" s="402" t="str">
        <f>ROUND(DCF!E93,2)&amp;" "&amp;Market_currency</f>
        <v>5.43 HKD</v>
      </c>
      <c r="F121" s="407">
        <f>DCF!F93</f>
        <v>0.19999999999999998</v>
      </c>
    </row>
    <row r="122" spans="1:6">
      <c r="B122" s="404" t="str">
        <f>DCF!B94</f>
        <v>Devil's advocate</v>
      </c>
      <c r="C122" s="405">
        <f>DCF!C94</f>
        <v>-0.3</v>
      </c>
      <c r="D122" s="406">
        <f>DCF!D94</f>
        <v>3</v>
      </c>
      <c r="E122" s="402" t="str">
        <f>ROUND(DCF!E94,2)&amp;" "&amp;Market_currency</f>
        <v>3.87 HKD</v>
      </c>
      <c r="F122" s="407">
        <f>DCF!F94</f>
        <v>0.15</v>
      </c>
    </row>
    <row r="124" spans="1:6">
      <c r="B124" s="466" t="s">
        <v>521</v>
      </c>
      <c r="C124" s="466"/>
      <c r="D124" s="466"/>
      <c r="E124" s="466"/>
      <c r="F124" s="466"/>
    </row>
    <row r="125" spans="1:6">
      <c r="B125" s="376" t="s">
        <v>218</v>
      </c>
      <c r="C125" s="408">
        <f>Scenarios!C36</f>
        <v>6.3513189245461659</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2.9268750804360217</v>
      </c>
      <c r="E140" s="414">
        <f>Scenarios!E62</f>
        <v>3.3693331915394484</v>
      </c>
      <c r="F140" s="415">
        <f>E22</f>
        <v>0.29465259038036606</v>
      </c>
    </row>
    <row r="141" spans="1:6">
      <c r="B141" s="412" t="s">
        <v>313</v>
      </c>
      <c r="C141" s="413">
        <f>Scenarios!C63</f>
        <v>0.50874815444966315</v>
      </c>
      <c r="D141" s="413">
        <f>Scenarios!D63</f>
        <v>3.6686318697739599</v>
      </c>
      <c r="E141" s="414">
        <f>Scenarios!E63</f>
        <v>4.1773800242236234</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4.5523738485200633</v>
      </c>
      <c r="E144" s="414">
        <f>Scenarios!E66</f>
        <v>5.1357412843720285</v>
      </c>
      <c r="F144" s="415">
        <f>E24</f>
        <v>0.1174</v>
      </c>
    </row>
    <row r="145" spans="1:6">
      <c r="B145" s="412" t="s">
        <v>314</v>
      </c>
      <c r="C145" s="413">
        <f>Scenarios!C67</f>
        <v>0.63167232993043521</v>
      </c>
      <c r="D145" s="413">
        <f>Scenarios!D67</f>
        <v>5.1483968787150971</v>
      </c>
      <c r="E145" s="414">
        <f>Scenarios!E67</f>
        <v>5.7800692086455321</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2025-11-24T01:51:01Z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