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7149A18-6DCB-4BE9-BD1F-CDB9897642DD}"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<sst xmlns="http://schemas.openxmlformats.org/spreadsheetml/2006/main" count="768" uniqueCount="558">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</sst>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3.82</v>
      </c>
      <c r="E8" s="32"/>
    </row>
    <row r="9" spans="1:9">
      <c r="B9" s="4" t="s">
        <v>346</v>
      </c>
      <c r="C9" s="48">
        <v>9065251704</v>
      </c>
    </row>
    <row r="10" spans="1:9">
      <c r="B10" s="4" t="s">
        <v>352</v>
      </c>
      <c r="C10" s="33">
        <f>Thesis!C8*Common_Shares/1000000</f>
        <v>34629.261509279997</v>
      </c>
      <c r="D10" s="1" t="s">
        <v>527</v>
      </c>
      <c r="E10" s="303">
        <f>Scenarios!F34</f>
        <v>0.25302913176306496</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1.1343930029869078</v>
      </c>
    </row>
    <row r="17" spans="1:6">
      <c r="B17" s="1" t="s">
        <v>531</v>
      </c>
      <c r="C17" s="456">
        <v>0</v>
      </c>
      <c r="D17" s="4" t="s">
        <v>274</v>
      </c>
      <c r="E17" s="224" t="s">
        <v>557</v>
      </c>
    </row>
    <row r="18" spans="1:6">
      <c r="B18" s="1" t="str">
        <f>"Expected Equity Value ("&amp;C7&amp;") :"</f>
        <v>Expected Equity Value (HKD) :</v>
      </c>
      <c r="C18" s="252">
        <f>C125</f>
        <v>6.5908811649577395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3.4797305373512337</v>
      </c>
      <c r="D22" s="38" t="s">
        <v>406</v>
      </c>
      <c r="E22" s="79">
        <v>0.29465259038036606</v>
      </c>
    </row>
    <row r="23" spans="1:6">
      <c r="B23" s="1" t="s">
        <v>313</v>
      </c>
      <c r="C23" s="256">
        <f>E141</f>
        <v>4.3157553255443881</v>
      </c>
      <c r="D23" s="38" t="s">
        <v>407</v>
      </c>
      <c r="E23" s="443">
        <v>0.20075184365903009</v>
      </c>
    </row>
    <row r="24" spans="1:6">
      <c r="B24" s="1" t="s">
        <v>315</v>
      </c>
      <c r="C24" s="256">
        <f>E144</f>
        <v>5.3074500099609345</v>
      </c>
      <c r="D24" s="38" t="s">
        <v>408</v>
      </c>
      <c r="E24" s="443">
        <v>0.1174</v>
      </c>
    </row>
    <row r="25" spans="1:6">
      <c r="B25" s="1" t="s">
        <v>314</v>
      </c>
      <c r="C25" s="256">
        <f>E145</f>
        <v>5.9742590305463548</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4902319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-12182</v>
      </c>
      <c r="D41" s="1" t="str">
        <f>Reporting_currency</f>
        <v>CNY</v>
      </c>
    </row>
    <row r="43" spans="2:6">
      <c r="B43" s="461" t="s">
        <v>205</v>
      </c>
      <c r="C43" s="461"/>
      <c r="D43" s="461"/>
      <c r="E43" s="461"/>
      <c r="F43" s="461"/>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1" t="s">
        <v>206</v>
      </c>
      <c r="C51" s="461"/>
      <c r="D51" s="461"/>
      <c r="E51" s="461"/>
      <c r="F51" s="461"/>
    </row>
    <row r="52" spans="2:6">
      <c r="B52" s="44" t="s">
        <v>204</v>
      </c>
      <c r="C52" s="285">
        <f>Normalized_FCF!C12</f>
        <v>-1215882.3022155068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0.11673889686897969</v>
      </c>
      <c r="F62" s="257"/>
    </row>
    <row r="63" spans="2:6">
      <c r="B63" s="204" t="s">
        <v>332</v>
      </c>
      <c r="C63" s="89">
        <f>Normalized_FCF!C92</f>
        <v>6.3298429319371727E-2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-845013</v>
      </c>
      <c r="D78" s="1" t="str">
        <f>Reporting_currency</f>
        <v>CNY</v>
      </c>
    </row>
    <row r="79" spans="1:6">
      <c r="A79" s="191"/>
      <c r="B79" s="44" t="s">
        <v>234</v>
      </c>
      <c r="C79" s="201">
        <f>C78*scaling_factor*Exchange_Rate/Common_Shares</f>
        <v>-0.10574188846957315</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1.82717631235611</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5.3595921993529298E-4</v>
      </c>
      <c r="D90" s="1" t="str">
        <f>Market_currency</f>
        <v>HKD</v>
      </c>
    </row>
    <row r="91" spans="1:6">
      <c r="A91" s="191"/>
    </row>
    <row r="92" spans="1:6">
      <c r="A92" s="191"/>
      <c r="B92" s="44" t="s">
        <v>469</v>
      </c>
      <c r="C92" s="216">
        <f>DCF!F8</f>
        <v>1.7219703831064721</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1.2890633314322459</v>
      </c>
      <c r="D111" s="1" t="str">
        <f>Market_currency</f>
        <v>HKD</v>
      </c>
    </row>
    <row r="112" spans="2:6">
      <c r="B112" s="44" t="s">
        <v>323</v>
      </c>
      <c r="C112" s="216">
        <f>DCF!C11</f>
        <v>7.8729026043409878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8.78 HKD</v>
      </c>
      <c r="E118" s="208">
        <f>DCF!F90</f>
        <v>0.05</v>
      </c>
      <c r="F118" s="208">
        <f>RATE(Holding_Period,Scenarios!C$58,-DCF!E90,C$18)</f>
        <v>-6.0702628648064437E-2</v>
      </c>
    </row>
    <row r="119" spans="2:6">
      <c r="B119" s="205" t="str">
        <f>DCF!B91&amp;" ("&amp;DCF!D91&amp;"yrs)"</f>
        <v>Optimistic (3yrs)</v>
      </c>
      <c r="C119" s="198">
        <f>DCF!C91</f>
        <v>0.02</v>
      </c>
      <c r="D119" s="207" t="str">
        <f>ROUND(DCF!E91,2)&amp;" "&amp;Market_currency</f>
        <v>8.22 HKD</v>
      </c>
      <c r="E119" s="199">
        <f>DCF!F91</f>
        <v>0.15999999999999995</v>
      </c>
      <c r="F119" s="208">
        <f>RATE(Holding_Period,Scenarios!C$58,-DCF!E91,C$18)</f>
        <v>-3.9482081210474723E-2</v>
      </c>
    </row>
    <row r="120" spans="2:6">
      <c r="B120" s="205" t="str">
        <f>DCF!B92&amp;" ("&amp;DCF!D92&amp;"yrs)"</f>
        <v>Base (3yrs)</v>
      </c>
      <c r="C120" s="198">
        <f>DCF!C92</f>
        <v>-0.05</v>
      </c>
      <c r="D120" s="207" t="str">
        <f>ROUND(DCF!E92,2)&amp;" "&amp;Market_currency</f>
        <v>7.05 HKD</v>
      </c>
      <c r="E120" s="199">
        <f>DCF!F92</f>
        <v>0.44</v>
      </c>
      <c r="F120" s="208">
        <f>RATE(Holding_Period,Scenarios!C$58,-DCF!E92,C$18)</f>
        <v>1.2786109457329628E-2</v>
      </c>
    </row>
    <row r="121" spans="2:6">
      <c r="B121" s="205" t="str">
        <f>DCF!B93&amp;" ("&amp;DCF!D93&amp;"yrs)"</f>
        <v>Pessimistic (3yrs)</v>
      </c>
      <c r="C121" s="198">
        <f>DCF!C93</f>
        <v>-0.15</v>
      </c>
      <c r="D121" s="207" t="str">
        <f>ROUND(DCF!E93,2)&amp;" "&amp;Market_currency</f>
        <v>5.64 HKD</v>
      </c>
      <c r="E121" s="199">
        <f>DCF!F93</f>
        <v>0.19999999999999998</v>
      </c>
      <c r="F121" s="208">
        <f>RATE(Holding_Period,Scenarios!C$58,-DCF!E93,C$18)</f>
        <v>9.4132725446523291E-2</v>
      </c>
    </row>
    <row r="122" spans="2:6">
      <c r="B122" s="205" t="str">
        <f>DCF!B94&amp;" ("&amp;DCF!D94&amp;"yrs)"</f>
        <v>Devil's advocate (3yrs)</v>
      </c>
      <c r="C122" s="198">
        <f>DCF!C94</f>
        <v>-0.3</v>
      </c>
      <c r="D122" s="207" t="str">
        <f>ROUND(DCF!E94,2)&amp;" "&amp;Market_currency</f>
        <v>4.04 HKD</v>
      </c>
      <c r="E122" s="199">
        <f>DCF!F94</f>
        <v>0.15</v>
      </c>
      <c r="F122" s="208">
        <f>RATE(Holding_Period,Scenarios!C$58,-DCF!E94,C$18)</f>
        <v>0.22904295299390554</v>
      </c>
    </row>
    <row r="124" spans="2:6">
      <c r="B124" s="461" t="s">
        <v>357</v>
      </c>
      <c r="C124" s="461"/>
      <c r="D124" s="461"/>
      <c r="E124" s="461"/>
      <c r="F124" s="461"/>
    </row>
    <row r="125" spans="2:6">
      <c r="B125" s="193" t="s">
        <v>218</v>
      </c>
      <c r="C125" s="197">
        <f>Scenarios!C36</f>
        <v>6.5908811649577395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3.037272426247807</v>
      </c>
      <c r="E140" s="334">
        <f>Scenarios!E62</f>
        <v>3.4797305373512337</v>
      </c>
      <c r="F140" s="335">
        <f>E22</f>
        <v>0.29465259038036606</v>
      </c>
    </row>
    <row r="141" spans="1:6">
      <c r="B141" s="336" t="s">
        <v>313</v>
      </c>
      <c r="C141" s="333">
        <f>Scenarios!C63</f>
        <v>0.50874815444966315</v>
      </c>
      <c r="D141" s="333">
        <f>Scenarios!D63</f>
        <v>3.8070071710947246</v>
      </c>
      <c r="E141" s="334">
        <f>Scenarios!E63</f>
        <v>4.3157553255443881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4.7240825741089694</v>
      </c>
      <c r="E144" s="334">
        <f>Scenarios!E66</f>
        <v>5.3074500099609345</v>
      </c>
      <c r="F144" s="335">
        <f>E24</f>
        <v>0.1174</v>
      </c>
    </row>
    <row r="145" spans="1:6">
      <c r="B145" s="336" t="s">
        <v>314</v>
      </c>
      <c r="C145" s="333">
        <f>Scenarios!C67</f>
        <v>0.63167232993043521</v>
      </c>
      <c r="D145" s="333">
        <f>Scenarios!D67</f>
        <v>5.3425867006159198</v>
      </c>
      <c r="E145" s="334">
        <f>Scenarios!E67</f>
        <v>5.9742590305463548</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3.2048111399579877</v>
      </c>
      <c r="D47" s="134">
        <f>D46*H1/Common_Shares*Exchange_Rate</f>
        <v>1.2890633314322459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-958576.83463297598</v>
      </c>
      <c r="D86" s="201">
        <f>C86*scaling_factor/Common_Shares</f>
        <v>-0.10574188846957315</v>
      </c>
      <c r="E86" s="214" t="str">
        <f>Market_currency</f>
        <v>HKD</v>
      </c>
    </row>
    <row r="87" spans="2:8" ht="15" customHeight="1">
      <c r="B87" s="212" t="s">
        <v>240</v>
      </c>
      <c r="C87" s="73">
        <f>DCF!F5*Exchange_Rate</f>
        <v>16563813.179094663</v>
      </c>
      <c r="D87" s="201">
        <f>C87*scaling_factor/Common_Shares</f>
        <v>1.8271763123561102</v>
      </c>
      <c r="E87" s="214" t="str">
        <f>Market_currency</f>
        <v>HKD</v>
      </c>
    </row>
    <row r="88" spans="2:8" ht="15" customHeight="1">
      <c r="B88" s="213" t="s">
        <v>159</v>
      </c>
      <c r="C88" s="73">
        <f>DCF!F6*Exchange_Rate</f>
        <v>4858.6052317929261</v>
      </c>
      <c r="D88" s="201">
        <f>C88*scaling_factor/Common_Shares</f>
        <v>5.3595921993529298E-4</v>
      </c>
      <c r="E88" s="214" t="str">
        <f>Market_currency</f>
        <v>HKD</v>
      </c>
    </row>
    <row r="89" spans="2:8" ht="15" customHeight="1">
      <c r="B89" s="77" t="s">
        <v>244</v>
      </c>
      <c r="C89" s="162">
        <f>SUM(C86:C88)</f>
        <v>15610094.949693481</v>
      </c>
      <c r="D89" s="216">
        <f>SUM(D86:D88)</f>
        <v>1.7219703831064723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6.3298429319371727E-2</v>
      </c>
      <c r="E92" s="237"/>
      <c r="G92" s="22">
        <f t="shared" ref="G92:Q92" si="38">IF(G$4="","",(G88*(1-dividend_tax_rate))/Market_Price)</f>
        <v>8.5445026178010475E-2</v>
      </c>
      <c r="H92" s="22">
        <f t="shared" si="38"/>
        <v>7.4162303664921464E-2</v>
      </c>
      <c r="I92" s="22">
        <f t="shared" si="38"/>
        <v>7.465968586387435E-2</v>
      </c>
      <c r="J92" s="22">
        <f t="shared" si="38"/>
        <v>0.12319371727748692</v>
      </c>
      <c r="K92" s="22">
        <f t="shared" si="38"/>
        <v>7.7513089005235611E-2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0.44594258603950243</v>
      </c>
      <c r="D123" s="26"/>
      <c r="E123" s="234"/>
      <c r="F123" s="26"/>
      <c r="G123" s="159">
        <f t="shared" ref="G123:Q123" si="48">IF(G$4="","",G14*$C$3/Common_Shares*Exchange_Rate)</f>
        <v>0.36525730529737899</v>
      </c>
      <c r="H123" s="159">
        <f t="shared" si="48"/>
        <v>0.32819643417075045</v>
      </c>
      <c r="I123" s="159">
        <f t="shared" si="48"/>
        <v>0.51284164572758206</v>
      </c>
      <c r="J123" s="159">
        <f t="shared" si="48"/>
        <v>0.65374748950836625</v>
      </c>
      <c r="K123" s="159">
        <f t="shared" si="48"/>
        <v>0.56762448651660191</v>
      </c>
      <c r="L123" s="159">
        <f t="shared" si="48"/>
        <v>0.37886147624689565</v>
      </c>
      <c r="M123" s="159">
        <f t="shared" si="48"/>
        <v>0.22180365107149363</v>
      </c>
      <c r="N123" s="159">
        <f t="shared" si="48"/>
        <v>9.7427325217324584E-2</v>
      </c>
      <c r="O123" s="159">
        <f t="shared" si="48"/>
        <v>2.7281488063267096E-2</v>
      </c>
      <c r="P123" s="159" t="str">
        <f t="shared" si="48"/>
        <v/>
      </c>
      <c r="Q123" s="159" t="str">
        <f t="shared" si="48"/>
        <v/>
      </c>
    </row>
    <row r="124" spans="1:17" ht="15.75" customHeight="1">
      <c r="A124" s="10"/>
      <c r="B124" s="26" t="s">
        <v>226</v>
      </c>
      <c r="C124" s="74">
        <f>C19*Exchange_Rate*$C$3/(Market_Price*Common_Shares)</f>
        <v>0.11673889686897969</v>
      </c>
      <c r="D124" s="26"/>
      <c r="E124" s="234"/>
      <c r="F124" s="26"/>
      <c r="G124" s="74">
        <f t="shared" ref="G124" si="49">IF(G$4="","",G123/Market_Price)</f>
        <v>9.5617095627586121E-2</v>
      </c>
      <c r="H124" s="74">
        <f t="shared" ref="H124" si="50">IF(H$4="","",H123/Market_Price)</f>
        <v>8.5915296903337823E-2</v>
      </c>
      <c r="I124" s="74">
        <f t="shared" ref="I124" si="51">IF(I$4="","",I123/Market_Price)</f>
        <v>0.13425173971926233</v>
      </c>
      <c r="J124" s="74">
        <f t="shared" ref="J124" si="52">IF(J$4="","",J123/Market_Price)</f>
        <v>0.17113808625873464</v>
      </c>
      <c r="K124" s="74">
        <f t="shared" ref="K124" si="53">IF(K$4="","",K123/Market_Price)</f>
        <v>0.14859279751743507</v>
      </c>
      <c r="L124" s="74">
        <f t="shared" ref="L124" si="54">IF(L$4="","",L123/Market_Price)</f>
        <v>9.9178396923271114E-2</v>
      </c>
      <c r="M124" s="74">
        <f t="shared" ref="M124" si="55">IF(M$4="","",M123/Market_Price)</f>
        <v>5.8063783003008809E-2</v>
      </c>
      <c r="N124" s="74">
        <f t="shared" ref="N124" si="56">IF(N$4="","",N123/Market_Price)</f>
        <v>2.5504535397205388E-2</v>
      </c>
      <c r="O124" s="74">
        <f t="shared" ref="O124" si="57">IF(O$4="","",O123/Market_Price)</f>
        <v>7.1417508019023818E-3</v>
      </c>
      <c r="P124" s="74" t="str">
        <f t="shared" ref="P124" si="58">IF(P$4="","",P123/Market_Price)</f>
        <v/>
      </c>
      <c r="Q124" s="74" t="str">
        <f t="shared" ref="Q124" si="59">IF(Q$4="","",Q123/Market_Price)</f>
        <v/>
      </c>
    </row>
    <row r="125" spans="1:17" ht="15.75" customHeight="1">
      <c r="B125" s="2" t="s">
        <v>306</v>
      </c>
      <c r="C125" s="151"/>
      <c r="G125" s="22">
        <f>IF(G$4="","",(Data!C47*$C$3)/(Market_Price*Common_Shares))</f>
        <v>0.1055211644932354</v>
      </c>
      <c r="H125" s="22">
        <f>IF(H$4="","",(Data!D47*$C$3)/(Market_Price*Common_Shares))</f>
        <v>9.5016522345365256E-2</v>
      </c>
      <c r="I125" s="22">
        <f>IF(I$4="","",(Data!E47*$C$3)/(Market_Price*Common_Shares))</f>
        <v>0.14288800235240359</v>
      </c>
      <c r="J125" s="22">
        <f>IF(J$4="","",(Data!F47*$C$3)/(Market_Price*Common_Shares))</f>
        <v>0.19968361144943667</v>
      </c>
      <c r="K125" s="22">
        <f>IF(K$4="","",(Data!G47*$C$3)/(Market_Price*Common_Shares))</f>
        <v>0.21474994486980672</v>
      </c>
      <c r="L125" s="22">
        <f>IF(L$4="","",(Data!H47*$C$3)/(Market_Price*Common_Shares))</f>
        <v>0.11362000887444874</v>
      </c>
      <c r="M125" s="22">
        <f>IF(M$4="","",(Data!I47*$C$3)/(Market_Price*Common_Shares))</f>
        <v>6.4750269057834736E-2</v>
      </c>
      <c r="N125" s="22">
        <f>IF(N$4="","",(Data!J47*$C$3)/(Market_Price*Common_Shares))</f>
        <v>3.3504208563300747E-2</v>
      </c>
      <c r="O125" s="22">
        <f>IF(O$4="","",(Data!K47*$C$3)/(Market_Price*Common_Shares))</f>
        <v>1.1728578153223361E-2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1.7219703831064721</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1.1343930029869078</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71369843.749428183</v>
      </c>
      <c r="D10" t="str">
        <f>Market_currency</f>
        <v>HKD</v>
      </c>
      <c r="H10" s="308" t="s">
        <v>397</v>
      </c>
      <c r="I10" s="306">
        <f>Normalized_FCF!C41</f>
        <v>0.25</v>
      </c>
      <c r="N10" s="304"/>
      <c r="O10" s="304"/>
    </row>
    <row r="11" spans="2:15" ht="13.15">
      <c r="B11" s="136" t="s">
        <v>425</v>
      </c>
      <c r="C11" s="108">
        <f>(C10*scaling_factor)/Common_Shares</f>
        <v>7.8729026043409878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8.1993967478004368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7.8729026043409878</v>
      </c>
      <c r="C73" s="119">
        <f>C11</f>
        <v>7.8729026043409878</v>
      </c>
      <c r="D73" s="119">
        <f>C11</f>
        <v>7.8729026043409878</v>
      </c>
      <c r="E73" s="119">
        <f>C11</f>
        <v>7.8729026043409878</v>
      </c>
      <c r="F73" s="119">
        <f>C11</f>
        <v>7.8729026043409878</v>
      </c>
      <c r="G73" s="296"/>
      <c r="H73" s="296"/>
      <c r="I73" s="296"/>
      <c r="J73" s="296"/>
      <c r="K73" s="296"/>
      <c r="L73" s="296"/>
    </row>
    <row r="74" spans="1:21" ht="13.15">
      <c r="A74" s="131">
        <v>1</v>
      </c>
      <c r="B74" s="119">
        <f t="shared" ref="B74:F87" si="11">(B56+FV_adjustments)/Common_Shares*scaling_factor*Exchange_Rate</f>
        <v>6.0276229379706336</v>
      </c>
      <c r="C74" s="119">
        <f t="shared" si="11"/>
        <v>6.9502627711558098</v>
      </c>
      <c r="D74" s="119">
        <f t="shared" si="11"/>
        <v>7.5653559932792618</v>
      </c>
      <c r="E74" s="119">
        <f t="shared" si="11"/>
        <v>7.9959212487656792</v>
      </c>
      <c r="F74" s="119">
        <f t="shared" si="11"/>
        <v>8.1804492154027137</v>
      </c>
      <c r="G74" s="296"/>
      <c r="H74" s="296"/>
      <c r="I74" s="296"/>
      <c r="J74" s="296"/>
      <c r="K74" s="296"/>
      <c r="L74" s="296"/>
    </row>
    <row r="75" spans="1:21" ht="13.15">
      <c r="A75" s="131">
        <v>2</v>
      </c>
      <c r="B75" s="119">
        <f t="shared" si="11"/>
        <v>4.823244600945694</v>
      </c>
      <c r="C75" s="119">
        <f t="shared" si="11"/>
        <v>6.2190330665335258</v>
      </c>
      <c r="D75" s="119">
        <f t="shared" si="11"/>
        <v>7.2929370837140963</v>
      </c>
      <c r="E75" s="119">
        <f t="shared" si="11"/>
        <v>8.1129180015052444</v>
      </c>
      <c r="F75" s="119">
        <f t="shared" si="11"/>
        <v>8.4815437996589491</v>
      </c>
      <c r="G75" s="296"/>
      <c r="H75" s="296"/>
      <c r="I75" s="296"/>
      <c r="J75" s="296"/>
      <c r="K75" s="296"/>
      <c r="L75" s="296"/>
    </row>
    <row r="76" spans="1:21" ht="13.15">
      <c r="A76" s="131">
        <v>3</v>
      </c>
      <c r="B76" s="119">
        <f t="shared" si="11"/>
        <v>4.0371701618618161</v>
      </c>
      <c r="C76" s="119">
        <f t="shared" si="11"/>
        <v>5.6395036969028087</v>
      </c>
      <c r="D76" s="119">
        <f t="shared" si="11"/>
        <v>7.051633620696002</v>
      </c>
      <c r="E76" s="119">
        <f t="shared" si="11"/>
        <v>8.2241876404743426</v>
      </c>
      <c r="F76" s="119">
        <f t="shared" si="11"/>
        <v>8.7763217143154026</v>
      </c>
      <c r="G76" s="296"/>
      <c r="H76" s="296"/>
      <c r="I76" s="296"/>
      <c r="J76" s="296"/>
      <c r="K76" s="296"/>
      <c r="L76" s="296"/>
    </row>
    <row r="77" spans="1:21" ht="13.15">
      <c r="A77" s="131">
        <v>4</v>
      </c>
      <c r="B77" s="119">
        <f t="shared" si="11"/>
        <v>3.5241145839049732</v>
      </c>
      <c r="C77" s="119">
        <f t="shared" si="11"/>
        <v>5.180203030995016</v>
      </c>
      <c r="D77" s="119">
        <f t="shared" si="11"/>
        <v>6.8378916254818387</v>
      </c>
      <c r="E77" s="119">
        <f t="shared" si="11"/>
        <v>8.3300105138994969</v>
      </c>
      <c r="F77" s="119">
        <f t="shared" si="11"/>
        <v>9.0649154769161271</v>
      </c>
      <c r="G77" s="296"/>
      <c r="H77" s="296"/>
      <c r="I77" s="296"/>
      <c r="J77" s="296"/>
      <c r="K77" s="296"/>
      <c r="L77" s="296"/>
    </row>
    <row r="78" spans="1:21" ht="13.15">
      <c r="A78" s="131">
        <v>5</v>
      </c>
      <c r="B78" s="119">
        <f t="shared" si="11"/>
        <v>3.1892531344226511</v>
      </c>
      <c r="C78" s="119">
        <f t="shared" si="11"/>
        <v>4.8161885172219412</v>
      </c>
      <c r="D78" s="119">
        <f t="shared" si="11"/>
        <v>6.648563051632463</v>
      </c>
      <c r="E78" s="119">
        <f t="shared" si="11"/>
        <v>8.4306532466674771</v>
      </c>
      <c r="F78" s="119">
        <f t="shared" si="11"/>
        <v>9.3474548249168343</v>
      </c>
      <c r="G78" s="296"/>
      <c r="H78" s="296"/>
      <c r="I78" s="296"/>
      <c r="J78" s="296"/>
      <c r="K78" s="296"/>
      <c r="L78" s="296"/>
    </row>
    <row r="79" spans="1:21" ht="13.15">
      <c r="A79" s="131">
        <v>6</v>
      </c>
      <c r="B79" s="119">
        <f t="shared" si="11"/>
        <v>2.9706955450169406</v>
      </c>
      <c r="C79" s="119">
        <f t="shared" si="11"/>
        <v>4.5276921659798752</v>
      </c>
      <c r="D79" s="119">
        <f t="shared" si="11"/>
        <v>6.4808594197845322</v>
      </c>
      <c r="E79" s="119">
        <f t="shared" si="11"/>
        <v>8.526369412097166</v>
      </c>
      <c r="F79" s="119">
        <f t="shared" si="11"/>
        <v>9.6240667740084405</v>
      </c>
      <c r="G79" s="296"/>
      <c r="H79" s="296"/>
      <c r="I79" s="296"/>
      <c r="J79" s="296"/>
      <c r="K79" s="296"/>
      <c r="L79" s="296"/>
    </row>
    <row r="80" spans="1:21" ht="13.15">
      <c r="A80" s="131">
        <f t="shared" ref="A80" si="12">A62</f>
        <v>7</v>
      </c>
      <c r="B80" s="119">
        <f t="shared" si="11"/>
        <v>2.828047234915311</v>
      </c>
      <c r="C80" s="119">
        <f t="shared" si="11"/>
        <v>4.2990470391213629</v>
      </c>
      <c r="D80" s="119">
        <f t="shared" si="11"/>
        <v>6.3323107482175987</v>
      </c>
      <c r="E80" s="119">
        <f t="shared" si="11"/>
        <v>8.6174001708274979</v>
      </c>
      <c r="F80" s="119">
        <f t="shared" si="11"/>
        <v>9.8948756752170031</v>
      </c>
      <c r="G80" s="296"/>
      <c r="H80" s="296"/>
      <c r="I80" s="296"/>
      <c r="J80" s="296"/>
      <c r="K80" s="296"/>
      <c r="L80" s="296"/>
    </row>
    <row r="81" spans="1:12" ht="13.15">
      <c r="A81" s="131">
        <v>8</v>
      </c>
      <c r="B81" s="119">
        <f t="shared" si="11"/>
        <v>2.7349434427743864</v>
      </c>
      <c r="C81" s="119">
        <f t="shared" si="11"/>
        <v>4.1178364490703263</v>
      </c>
      <c r="D81" s="119">
        <f t="shared" si="11"/>
        <v>6.2007291743354678</v>
      </c>
      <c r="E81" s="119">
        <f t="shared" si="11"/>
        <v>8.7039748784311701</v>
      </c>
      <c r="F81" s="119">
        <f t="shared" si="11"/>
        <v>10.160003270805806</v>
      </c>
      <c r="G81" s="296"/>
      <c r="H81" s="296"/>
      <c r="I81" s="296"/>
      <c r="J81" s="296"/>
      <c r="K81" s="296"/>
      <c r="L81" s="296"/>
    </row>
    <row r="82" spans="1:12" ht="13.15">
      <c r="A82" s="131">
        <f t="shared" ref="A82" si="13">A64</f>
        <v>9</v>
      </c>
      <c r="B82" s="119">
        <f t="shared" si="11"/>
        <v>2.6741763989528051</v>
      </c>
      <c r="C82" s="119">
        <f t="shared" si="11"/>
        <v>3.9742196644144934</v>
      </c>
      <c r="D82" s="119">
        <f t="shared" si="11"/>
        <v>6.0841767312697108</v>
      </c>
      <c r="E82" s="119">
        <f t="shared" si="11"/>
        <v>8.786311663285014</v>
      </c>
      <c r="F82" s="119">
        <f t="shared" si="11"/>
        <v>10.419568749004632</v>
      </c>
      <c r="G82" s="296"/>
      <c r="H82" s="296"/>
      <c r="I82" s="296"/>
      <c r="J82" s="296"/>
      <c r="K82" s="296"/>
      <c r="L82" s="296"/>
    </row>
    <row r="83" spans="1:12" ht="13.15">
      <c r="A83" s="131">
        <f t="shared" ref="A83:A87" si="14">A65</f>
        <v>10</v>
      </c>
      <c r="B83" s="119">
        <f t="shared" si="11"/>
        <v>2.6345149251298614</v>
      </c>
      <c r="C83" s="119">
        <f t="shared" si="11"/>
        <v>3.8603975040811997</v>
      </c>
      <c r="D83" s="119">
        <f t="shared" si="11"/>
        <v>5.9809368050109963</v>
      </c>
      <c r="E83" s="119">
        <f t="shared" si="11"/>
        <v>8.8646179761530011</v>
      </c>
      <c r="F83" s="119">
        <f t="shared" si="11"/>
        <v>10.6736887975909</v>
      </c>
      <c r="G83" s="296"/>
      <c r="H83" s="296"/>
      <c r="I83" s="296"/>
      <c r="J83" s="296"/>
      <c r="K83" s="296"/>
      <c r="L83" s="296"/>
    </row>
    <row r="84" spans="1:12" ht="13.15">
      <c r="A84" s="131">
        <f t="shared" si="14"/>
        <v>15</v>
      </c>
      <c r="B84" s="119">
        <f t="shared" si="11"/>
        <v>2.5688109302374476</v>
      </c>
      <c r="C84" s="119">
        <f t="shared" si="11"/>
        <v>3.5615352504441211</v>
      </c>
      <c r="D84" s="119">
        <f t="shared" si="11"/>
        <v>5.6168835452826649</v>
      </c>
      <c r="E84" s="119">
        <f t="shared" si="11"/>
        <v>9.2022695576050673</v>
      </c>
      <c r="F84" s="119">
        <f t="shared" si="11"/>
        <v>11.86652315484949</v>
      </c>
      <c r="G84" s="296"/>
      <c r="H84" s="296"/>
      <c r="I84" s="296"/>
      <c r="J84" s="296"/>
      <c r="K84" s="296"/>
      <c r="L84" s="296"/>
    </row>
    <row r="85" spans="1:12" ht="13.15">
      <c r="A85" s="132">
        <f t="shared" si="14"/>
        <v>20</v>
      </c>
      <c r="B85" s="119">
        <f t="shared" si="11"/>
        <v>2.5610288541653379</v>
      </c>
      <c r="C85" s="119">
        <f t="shared" si="11"/>
        <v>3.4680852750613949</v>
      </c>
      <c r="D85" s="119">
        <f t="shared" si="11"/>
        <v>5.4183671199780603</v>
      </c>
      <c r="E85" s="119">
        <f t="shared" si="11"/>
        <v>9.4649835127051531</v>
      </c>
      <c r="F85" s="119">
        <f t="shared" si="11"/>
        <v>12.939375934353885</v>
      </c>
      <c r="G85" s="296"/>
      <c r="H85" s="296"/>
      <c r="I85" s="296"/>
      <c r="J85" s="296"/>
      <c r="K85" s="296"/>
      <c r="L85" s="296"/>
    </row>
    <row r="86" spans="1:12" ht="13.15">
      <c r="A86" s="132">
        <f t="shared" si="14"/>
        <v>25</v>
      </c>
      <c r="B86" s="119">
        <f t="shared" si="11"/>
        <v>2.5601071338332444</v>
      </c>
      <c r="C86" s="119">
        <f t="shared" si="11"/>
        <v>3.4388647970895025</v>
      </c>
      <c r="D86" s="119">
        <f t="shared" si="11"/>
        <v>5.3101171041833179</v>
      </c>
      <c r="E86" s="119">
        <f t="shared" si="11"/>
        <v>9.6693913283224138</v>
      </c>
      <c r="F86" s="119">
        <f t="shared" si="11"/>
        <v>13.904315516690859</v>
      </c>
      <c r="G86" s="296"/>
      <c r="H86" s="296"/>
      <c r="I86" s="296"/>
      <c r="J86" s="296"/>
      <c r="K86" s="296"/>
      <c r="L86" s="296"/>
    </row>
    <row r="87" spans="1:12" ht="13.15">
      <c r="A87" s="132">
        <f t="shared" si="14"/>
        <v>30</v>
      </c>
      <c r="B87" s="119">
        <f t="shared" si="11"/>
        <v>2.5599979639455785</v>
      </c>
      <c r="C87" s="119">
        <f t="shared" si="11"/>
        <v>3.4297279692903628</v>
      </c>
      <c r="D87" s="119">
        <f t="shared" si="11"/>
        <v>5.2510889109162804</v>
      </c>
      <c r="E87" s="119">
        <f t="shared" si="11"/>
        <v>9.8284333368426751</v>
      </c>
      <c r="F87" s="119">
        <f t="shared" si="11"/>
        <v>14.772196381007385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8.7763217143154026</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8.2241876404743426</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7.051633620696002</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5.6395036969028087</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4.0371701618618161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8.2241876404743426</v>
      </c>
      <c r="F22" s="328">
        <f>1-F23-F24</f>
        <v>0.19999999999999996</v>
      </c>
      <c r="G22" s="328">
        <f>F22*(1-F$29-F$30)</f>
        <v>0.15999999999999995</v>
      </c>
    </row>
    <row r="23" spans="2:7">
      <c r="B23" s="302" t="s">
        <v>437</v>
      </c>
      <c r="C23" s="324">
        <v>-0.05</v>
      </c>
      <c r="D23" s="325">
        <f>C18</f>
        <v>3</v>
      </c>
      <c r="E23" s="326">
        <f>DCF!E92</f>
        <v>7.051633620696002</v>
      </c>
      <c r="F23" s="327">
        <v>0.55000000000000004</v>
      </c>
      <c r="G23" s="328">
        <f t="shared" ref="G23:G24" si="0">F23*(1-F$29-F$30)</f>
        <v>0.44</v>
      </c>
    </row>
    <row r="24" spans="2:7">
      <c r="B24" s="302" t="s">
        <v>446</v>
      </c>
      <c r="C24" s="324">
        <v>-0.15</v>
      </c>
      <c r="D24" s="325">
        <f>C18</f>
        <v>3</v>
      </c>
      <c r="E24" s="326">
        <f>DCF!E93</f>
        <v>5.6395036969028087</v>
      </c>
      <c r="F24" s="327">
        <v>0.25</v>
      </c>
      <c r="G24" s="328">
        <f t="shared" si="0"/>
        <v>0.19999999999999998</v>
      </c>
    </row>
    <row r="25" spans="2:7">
      <c r="B25" s="141" t="s">
        <v>451</v>
      </c>
      <c r="C25" s="441">
        <f>E23*F23+E24*F24+E22*F22</f>
        <v>6.9331119437033717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8.7763217143154026</v>
      </c>
      <c r="F29" s="327">
        <v>0.05</v>
      </c>
      <c r="G29" s="328">
        <f>F29</f>
        <v>0.05</v>
      </c>
    </row>
    <row r="30" spans="2:7">
      <c r="B30" s="315" t="s">
        <v>447</v>
      </c>
      <c r="C30" s="324">
        <v>-0.3</v>
      </c>
      <c r="D30" s="325">
        <f>C18</f>
        <v>3</v>
      </c>
      <c r="E30" s="326">
        <f>DCF!E94</f>
        <v>4.0371701618618161</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3.82</v>
      </c>
      <c r="D34" t="str">
        <f>Market_currency</f>
        <v>HKD</v>
      </c>
      <c r="E34" s="97" t="s">
        <v>454</v>
      </c>
      <c r="F34" s="330">
        <f>RATE(Holding_Period,$C$33,-C34,$C$36)</f>
        <v>0.25302913176306496</v>
      </c>
    </row>
    <row r="35" spans="2:7">
      <c r="B35" s="97" t="s">
        <v>434</v>
      </c>
      <c r="C35" s="320">
        <f>DCF!C11</f>
        <v>7.8729026043409878</v>
      </c>
      <c r="D35" s="97" t="str">
        <f>Market_currency</f>
        <v>HKD</v>
      </c>
      <c r="E35" s="97" t="s">
        <v>454</v>
      </c>
      <c r="F35" s="330">
        <f>RATE(Holding_Period,$C$33,-C35,$C$36)</f>
        <v>-2.4943713239884983E-2</v>
      </c>
    </row>
    <row r="36" spans="2:7">
      <c r="B36" s="97" t="s">
        <v>435</v>
      </c>
      <c r="C36" s="321">
        <f>E22*G22+E23*G23+E24*G24+E30*G30+E29*G29</f>
        <v>6.5908811649577395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8.1993967478004368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3.037272426247807</v>
      </c>
      <c r="E62" s="332">
        <f>C62+D62</f>
        <v>3.4797305373512337</v>
      </c>
      <c r="F62" s="301">
        <f>Thesis!E22</f>
        <v>0.29465259038036606</v>
      </c>
      <c r="G62" s="440">
        <f>(1-E62/C36)</f>
        <v>0.47203864699424514</v>
      </c>
    </row>
    <row r="63" spans="2:7" ht="13.15">
      <c r="B63" s="302" t="s">
        <v>313</v>
      </c>
      <c r="C63" s="119">
        <f>PV(F63, Holding_Period, -C58, 0)</f>
        <v>0.50874815444966315</v>
      </c>
      <c r="D63" s="119">
        <f>C36/(1+F63)^Holding_Period</f>
        <v>3.8070071710947246</v>
      </c>
      <c r="E63" s="332">
        <f>C63+D63</f>
        <v>4.3157553255443881</v>
      </c>
      <c r="F63" s="301">
        <f>Thesis!E23</f>
        <v>0.20075184365903009</v>
      </c>
      <c r="G63" s="440">
        <f>(1-E63/C36)</f>
        <v>0.34519296926633924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4.7240825741089694</v>
      </c>
      <c r="E66" s="332">
        <f>C66+D66</f>
        <v>5.3074500099609345</v>
      </c>
      <c r="F66" s="301">
        <f>Thesis!E24</f>
        <v>0.1174</v>
      </c>
      <c r="G66" s="440">
        <f>(1-E66/C36)</f>
        <v>0.19472831065753771</v>
      </c>
    </row>
    <row r="67" spans="2:7" ht="13.15">
      <c r="B67" s="302" t="s">
        <v>314</v>
      </c>
      <c r="C67" s="119">
        <f>PV(F67, Holding_Period, -C58, 0)</f>
        <v>0.63167232993043521</v>
      </c>
      <c r="D67" s="119">
        <f>C36/(1+F67)^Holding_Period</f>
        <v>5.3425867006159198</v>
      </c>
      <c r="E67" s="332">
        <f>C67+D67</f>
        <v>5.9742590305463548</v>
      </c>
      <c r="F67" s="301">
        <f>Thesis!E25</f>
        <v>7.2499999999999995E-2</v>
      </c>
      <c r="G67" s="440">
        <f>(1-E67/C36)</f>
        <v>9.3556858176995883E-2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3.82</v>
      </c>
    </row>
    <row r="9" spans="1:10">
      <c r="B9" s="351" t="s">
        <v>361</v>
      </c>
      <c r="C9" s="353">
        <f>Common_Shares</f>
        <v>9065251704</v>
      </c>
    </row>
    <row r="10" spans="1:10">
      <c r="B10" s="351" t="s">
        <v>367</v>
      </c>
      <c r="C10" s="357">
        <f>投资主题!C8*Common_Shares/1000000</f>
        <v>34629.261509279997</v>
      </c>
      <c r="D10" s="343" t="s">
        <v>528</v>
      </c>
      <c r="E10" s="360">
        <f>Scenarios!F34</f>
        <v>0.25302913176306496</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1.1343930029869078</v>
      </c>
    </row>
    <row r="17" spans="1:6">
      <c r="B17" s="343" t="s">
        <v>534</v>
      </c>
      <c r="C17" s="424">
        <f>Terminal_Growth</f>
        <v>0</v>
      </c>
      <c r="D17" s="351" t="s">
        <v>339</v>
      </c>
      <c r="E17" s="344" t="str">
        <f>Reporting_currency</f>
        <v>CNY</v>
      </c>
    </row>
    <row r="18" spans="1:6">
      <c r="B18" s="343" t="str">
        <f>"预期股权价值 ("&amp;C7&amp;") :"</f>
        <v>预期股权价值 (HKD) :</v>
      </c>
      <c r="C18" s="359">
        <f>C125</f>
        <v>6.5908811649577395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3.4797305373512337</v>
      </c>
      <c r="D22" s="365" t="s">
        <v>440</v>
      </c>
      <c r="E22" s="366">
        <f>Thesis!E22</f>
        <v>0.29465259038036606</v>
      </c>
    </row>
    <row r="23" spans="1:6">
      <c r="B23" s="343" t="s">
        <v>341</v>
      </c>
      <c r="C23" s="367">
        <f>E141</f>
        <v>4.3157553255443881</v>
      </c>
      <c r="D23" s="365" t="s">
        <v>441</v>
      </c>
      <c r="E23" s="368">
        <f>Thesis!E23</f>
        <v>0.20075184365903009</v>
      </c>
    </row>
    <row r="24" spans="1:6">
      <c r="B24" s="343" t="s">
        <v>343</v>
      </c>
      <c r="C24" s="367">
        <f>E144</f>
        <v>5.3074500099609345</v>
      </c>
      <c r="D24" s="365" t="s">
        <v>443</v>
      </c>
      <c r="E24" s="368">
        <f>Thesis!E24</f>
        <v>0.1174</v>
      </c>
    </row>
    <row r="25" spans="1:6">
      <c r="B25" s="343" t="s">
        <v>342</v>
      </c>
      <c r="C25" s="367">
        <f>E145</f>
        <v>5.9742590305463548</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0.11673889686897969</v>
      </c>
      <c r="F62" s="379"/>
    </row>
    <row r="63" spans="2:6">
      <c r="B63" s="377" t="s">
        <v>332</v>
      </c>
      <c r="C63" s="378">
        <f>Normalized_FCF!C92</f>
        <v>6.3298429319371727E-2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-0.10574188846957315</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1.82717631235611</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5.3595921993529298E-4</v>
      </c>
      <c r="D90" s="343" t="str">
        <f>Market_currency</f>
        <v>HKD</v>
      </c>
    </row>
    <row r="92" spans="1:6">
      <c r="B92" s="372" t="s">
        <v>480</v>
      </c>
      <c r="C92" s="387">
        <f>DCF!F8</f>
        <v>1.7219703831064721</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1.2890633314322459</v>
      </c>
      <c r="D111" s="343" t="str">
        <f>Market_currency</f>
        <v>HKD</v>
      </c>
    </row>
    <row r="112" spans="1:6">
      <c r="A112" s="385"/>
      <c r="B112" s="372" t="s">
        <v>377</v>
      </c>
      <c r="C112" s="394">
        <f>DCF!C11</f>
        <v>7.8729026043409878</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8.78 HKD</v>
      </c>
      <c r="F118" s="399">
        <f>DCF!F90</f>
        <v>0.05</v>
      </c>
    </row>
    <row r="119" spans="1:6">
      <c r="A119" s="385"/>
      <c r="B119" s="400" t="str">
        <f>DCF!B91</f>
        <v>Optimistic</v>
      </c>
      <c r="C119" s="401">
        <f>DCF!C91</f>
        <v>0.02</v>
      </c>
      <c r="D119" s="402">
        <f>DCF!D91</f>
        <v>3</v>
      </c>
      <c r="E119" s="398" t="str">
        <f>ROUND(DCF!E91,2)&amp;" "&amp;Market_currency</f>
        <v>8.22 HKD</v>
      </c>
      <c r="F119" s="403">
        <f>DCF!F91</f>
        <v>0.15999999999999995</v>
      </c>
    </row>
    <row r="120" spans="1:6">
      <c r="B120" s="400" t="str">
        <f>DCF!B92</f>
        <v>Base</v>
      </c>
      <c r="C120" s="401">
        <f>DCF!C92</f>
        <v>-0.05</v>
      </c>
      <c r="D120" s="402">
        <f>DCF!D92</f>
        <v>3</v>
      </c>
      <c r="E120" s="398" t="str">
        <f>ROUND(DCF!E92,2)&amp;" "&amp;Market_currency</f>
        <v>7.05 HKD</v>
      </c>
      <c r="F120" s="403">
        <f>DCF!F92</f>
        <v>0.44</v>
      </c>
    </row>
    <row r="121" spans="1:6">
      <c r="B121" s="400" t="str">
        <f>DCF!B93</f>
        <v>Pessimistic</v>
      </c>
      <c r="C121" s="401">
        <f>DCF!C93</f>
        <v>-0.15</v>
      </c>
      <c r="D121" s="402">
        <f>DCF!D93</f>
        <v>3</v>
      </c>
      <c r="E121" s="398" t="str">
        <f>ROUND(DCF!E93,2)&amp;" "&amp;Market_currency</f>
        <v>5.64 HKD</v>
      </c>
      <c r="F121" s="403">
        <f>DCF!F93</f>
        <v>0.19999999999999998</v>
      </c>
    </row>
    <row r="122" spans="1:6">
      <c r="B122" s="400" t="str">
        <f>DCF!B94</f>
        <v>Devil's advocate</v>
      </c>
      <c r="C122" s="401">
        <f>DCF!C94</f>
        <v>-0.3</v>
      </c>
      <c r="D122" s="402">
        <f>DCF!D94</f>
        <v>3</v>
      </c>
      <c r="E122" s="398" t="str">
        <f>ROUND(DCF!E94,2)&amp;" "&amp;Market_currency</f>
        <v>4.04 HKD</v>
      </c>
      <c r="F122" s="403">
        <f>DCF!F94</f>
        <v>0.15</v>
      </c>
    </row>
    <row r="124" spans="1:6">
      <c r="B124" s="470" t="s">
        <v>518</v>
      </c>
      <c r="C124" s="470"/>
      <c r="D124" s="470"/>
      <c r="E124" s="470"/>
      <c r="F124" s="470"/>
    </row>
    <row r="125" spans="1:6">
      <c r="B125" s="372" t="s">
        <v>218</v>
      </c>
      <c r="C125" s="404">
        <f>Scenarios!C36</f>
        <v>6.5908811649577395</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3.037272426247807</v>
      </c>
      <c r="E140" s="410">
        <f>Scenarios!E62</f>
        <v>3.4797305373512337</v>
      </c>
      <c r="F140" s="411">
        <f>E22</f>
        <v>0.29465259038036606</v>
      </c>
    </row>
    <row r="141" spans="1:6">
      <c r="B141" s="408" t="s">
        <v>313</v>
      </c>
      <c r="C141" s="409">
        <f>Scenarios!C63</f>
        <v>0.50874815444966315</v>
      </c>
      <c r="D141" s="409">
        <f>Scenarios!D63</f>
        <v>3.8070071710947246</v>
      </c>
      <c r="E141" s="410">
        <f>Scenarios!E63</f>
        <v>4.3157553255443881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4.7240825741089694</v>
      </c>
      <c r="E144" s="410">
        <f>Scenarios!E66</f>
        <v>5.3074500099609345</v>
      </c>
      <c r="F144" s="411">
        <f>E24</f>
        <v>0.1174</v>
      </c>
    </row>
    <row r="145" spans="1:6">
      <c r="B145" s="408" t="s">
        <v>314</v>
      </c>
      <c r="C145" s="409">
        <f>Scenarios!C67</f>
        <v>0.63167232993043521</v>
      </c>
      <c r="D145" s="409">
        <f>Scenarios!D67</f>
        <v>5.3425867006159198</v>
      </c>
      <c r="E145" s="410">
        <f>Scenarios!E67</f>
        <v>5.9742590305463548</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