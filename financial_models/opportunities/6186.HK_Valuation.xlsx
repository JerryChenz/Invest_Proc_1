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EB81A6A-11CE-4EEB-9C79-BABAF287E5B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<sst xmlns="http://schemas.openxmlformats.org/spreadsheetml/2006/main" count="766" uniqueCount="556">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</sst>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3.93</v>
      </c>
      <c r="E8" s="32"/>
    </row>
    <row r="9" spans="1:9">
      <c r="B9" s="4" t="s">
        <v>346</v>
      </c>
      <c r="C9" s="48">
        <v>9065251704</v>
      </c>
    </row>
    <row r="10" spans="1:9">
      <c r="B10" s="4" t="s">
        <v>352</v>
      </c>
      <c r="C10" s="33">
        <f>Thesis!C8*Common_Shares/1000000</f>
        <v>35626.439196719999</v>
      </c>
      <c r="D10" s="1" t="s">
        <v>530</v>
      </c>
      <c r="E10" s="307">
        <f>Scenarios!F34</f>
        <v>0.21151245374364994</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1.0914415199999998</v>
      </c>
    </row>
    <row r="17" spans="1:6">
      <c r="B17" s="1" t="s">
        <v>534</v>
      </c>
      <c r="C17" s="420">
        <v>0</v>
      </c>
      <c r="D17" s="4" t="s">
        <v>274</v>
      </c>
      <c r="E17" s="224" t="s">
        <v>555</v>
      </c>
    </row>
    <row r="18" spans="1:6">
      <c r="B18" s="1" t="str">
        <f>"Expected Equity Value ("&amp;C7&amp;") :"</f>
        <v>Expected Equity Value (HKD) :</v>
      </c>
      <c r="C18" s="255">
        <f>C125</f>
        <v>6.0987262930314925</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3.2529310572008892</v>
      </c>
      <c r="D22" s="38" t="s">
        <v>408</v>
      </c>
      <c r="E22" s="79">
        <v>0.29465259038036606</v>
      </c>
    </row>
    <row r="23" spans="1:6">
      <c r="B23" s="1" t="s">
        <v>313</v>
      </c>
      <c r="C23" s="259">
        <f>E141</f>
        <v>4.0314781432043176</v>
      </c>
      <c r="D23" s="38" t="s">
        <v>409</v>
      </c>
      <c r="E23" s="448">
        <v>0.20075184365903009</v>
      </c>
    </row>
    <row r="24" spans="1:6">
      <c r="B24" s="1" t="s">
        <v>315</v>
      </c>
      <c r="C24" s="259">
        <f>E144</f>
        <v>4.9546928905349281</v>
      </c>
      <c r="D24" s="38" t="s">
        <v>410</v>
      </c>
      <c r="E24" s="448">
        <v>0.1174</v>
      </c>
    </row>
    <row r="25" spans="1:6">
      <c r="B25" s="1" t="s">
        <v>314</v>
      </c>
      <c r="C25" s="259">
        <f>E145</f>
        <v>5.5753169152831736</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4902319</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-12182</v>
      </c>
      <c r="D41" s="1" t="str">
        <f>Reporting_currency</f>
        <v>CNY</v>
      </c>
    </row>
    <row r="43" spans="2:6">
      <c r="B43" s="457" t="s">
        <v>205</v>
      </c>
      <c r="C43" s="457"/>
      <c r="D43" s="457"/>
      <c r="E43" s="457"/>
      <c r="F43" s="457"/>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7" t="s">
        <v>206</v>
      </c>
      <c r="C51" s="457"/>
      <c r="D51" s="457"/>
      <c r="E51" s="457"/>
      <c r="F51" s="457"/>
    </row>
    <row r="52" spans="2:6">
      <c r="B52" s="44" t="s">
        <v>204</v>
      </c>
      <c r="C52" s="289">
        <f>Normalized_FCF!C12</f>
        <v>-1215882.3022155068</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0.10917503240400375</v>
      </c>
      <c r="F62" s="260"/>
    </row>
    <row r="63" spans="2:6">
      <c r="B63" s="204" t="s">
        <v>332</v>
      </c>
      <c r="C63" s="89">
        <f>Normalized_FCF!C92</f>
        <v>6.1526717557251906E-2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-845013</v>
      </c>
      <c r="D78" s="1" t="str">
        <f>Reporting_currency</f>
        <v>CNY</v>
      </c>
    </row>
    <row r="79" spans="1:6">
      <c r="A79" s="191"/>
      <c r="B79" s="44" t="s">
        <v>234</v>
      </c>
      <c r="C79" s="201">
        <f>C78*scaling_factor*Exchange_Rate/Common_Shares</f>
        <v>-0.10173818700839903</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1.7579939989183475</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5.1566621455169685E-4</v>
      </c>
      <c r="D90" s="1" t="str">
        <f>Market_currency</f>
        <v>HKD</v>
      </c>
    </row>
    <row r="91" spans="1:6">
      <c r="A91" s="191"/>
    </row>
    <row r="92" spans="1:6">
      <c r="A92" s="191"/>
      <c r="B92" s="44" t="s">
        <v>472</v>
      </c>
      <c r="C92" s="216">
        <f>DCF!F8</f>
        <v>1.6567714781245002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1.2402555711558032</v>
      </c>
      <c r="D111" s="1" t="str">
        <f>Market_currency</f>
        <v>HKD</v>
      </c>
    </row>
    <row r="112" spans="2:6">
      <c r="B112" s="44" t="s">
        <v>323</v>
      </c>
      <c r="C112" s="216">
        <f>DCF!C11</f>
        <v>7.5748111656794634</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0.05</v>
      </c>
      <c r="D118" s="207" t="str">
        <f>ROUND(DCF!E90,2)&amp;" "&amp;Market_currency</f>
        <v>9.01 HKD</v>
      </c>
      <c r="E118" s="208">
        <f>DCF!F90</f>
        <v>0.05</v>
      </c>
      <c r="F118" s="208">
        <f>RATE(Holding_Period,Scenarios!C$58,-DCF!E90,C$18)</f>
        <v>-9.1163100162497374E-2</v>
      </c>
    </row>
    <row r="119" spans="2:6">
      <c r="B119" s="205" t="str">
        <f>DCF!B91&amp;" ("&amp;DCF!D91&amp;"yrs)"</f>
        <v>Optimistic (5yrs)</v>
      </c>
      <c r="C119" s="198">
        <f>DCF!C91</f>
        <v>0.02</v>
      </c>
      <c r="D119" s="207" t="str">
        <f>ROUND(DCF!E91,2)&amp;" "&amp;Market_currency</f>
        <v>8.12 HKD</v>
      </c>
      <c r="E119" s="199">
        <f>DCF!F91</f>
        <v>0.16999999999999996</v>
      </c>
      <c r="F119" s="208">
        <f>RATE(Holding_Period,Scenarios!C$58,-DCF!E91,C$18)</f>
        <v>-5.8053859155239369E-2</v>
      </c>
    </row>
    <row r="120" spans="2:6">
      <c r="B120" s="205" t="str">
        <f>DCF!B92&amp;" ("&amp;DCF!D92&amp;"yrs)"</f>
        <v>Base (5yrs)</v>
      </c>
      <c r="C120" s="198">
        <f>DCF!C92</f>
        <v>-0.05</v>
      </c>
      <c r="D120" s="207" t="str">
        <f>ROUND(DCF!E92,2)&amp;" "&amp;Market_currency</f>
        <v>6.39 HKD</v>
      </c>
      <c r="E120" s="199">
        <f>DCF!F92</f>
        <v>0.46750000000000003</v>
      </c>
      <c r="F120" s="208">
        <f>RATE(Holding_Period,Scenarios!C$58,-DCF!E92,C$18)</f>
        <v>2.3144642877135413E-2</v>
      </c>
    </row>
    <row r="121" spans="2:6">
      <c r="B121" s="205" t="str">
        <f>DCF!B93&amp;" ("&amp;DCF!D93&amp;"yrs)"</f>
        <v>Pessimistic (5yrs)</v>
      </c>
      <c r="C121" s="198">
        <f>DCF!C93</f>
        <v>-0.15</v>
      </c>
      <c r="D121" s="207" t="str">
        <f>ROUND(DCF!E93,2)&amp;" "&amp;Market_currency</f>
        <v>4.61 HKD</v>
      </c>
      <c r="E121" s="199">
        <f>DCF!F93</f>
        <v>0.21249999999999999</v>
      </c>
      <c r="F121" s="208">
        <f>RATE(Holding_Period,Scenarios!C$58,-DCF!E93,C$18)</f>
        <v>0.14583449254984052</v>
      </c>
    </row>
    <row r="122" spans="2:6">
      <c r="B122" s="205" t="str">
        <f>DCF!B94&amp;" ("&amp;DCF!D94&amp;"yrs)"</f>
        <v>Devil's advocate (5yrs)</v>
      </c>
      <c r="C122" s="198">
        <f>DCF!C94</f>
        <v>-0.3</v>
      </c>
      <c r="D122" s="207" t="str">
        <f>ROUND(DCF!E94,2)&amp;" "&amp;Market_currency</f>
        <v>3.03 HKD</v>
      </c>
      <c r="E122" s="199">
        <f>DCF!F94</f>
        <v>0.1</v>
      </c>
      <c r="F122" s="208">
        <f>RATE(Holding_Period,Scenarios!C$58,-DCF!E94,C$18)</f>
        <v>0.32718693436786978</v>
      </c>
    </row>
    <row r="124" spans="2:6">
      <c r="B124" s="457" t="s">
        <v>357</v>
      </c>
      <c r="C124" s="457"/>
      <c r="D124" s="457"/>
      <c r="E124" s="457"/>
      <c r="F124" s="457"/>
    </row>
    <row r="125" spans="2:6">
      <c r="B125" s="193" t="s">
        <v>218</v>
      </c>
      <c r="C125" s="197">
        <f>Scenarios!C36</f>
        <v>6.0987262930314925</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2.8104729460974625</v>
      </c>
      <c r="E140" s="338">
        <f>Scenarios!E62</f>
        <v>3.2529310572008892</v>
      </c>
      <c r="F140" s="339">
        <f>E22</f>
        <v>0.29465259038036606</v>
      </c>
    </row>
    <row r="141" spans="1:6">
      <c r="B141" s="340" t="s">
        <v>313</v>
      </c>
      <c r="C141" s="337">
        <f>Scenarios!C63</f>
        <v>0.50874815444966315</v>
      </c>
      <c r="D141" s="337">
        <f>Scenarios!D63</f>
        <v>3.5227299887546542</v>
      </c>
      <c r="E141" s="338">
        <f>Scenarios!E63</f>
        <v>4.0314781432043176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4.371325454682963</v>
      </c>
      <c r="E144" s="338">
        <f>Scenarios!E66</f>
        <v>4.9546928905349281</v>
      </c>
      <c r="F144" s="339">
        <f>E24</f>
        <v>0.1174</v>
      </c>
    </row>
    <row r="145" spans="1:6">
      <c r="B145" s="340" t="s">
        <v>314</v>
      </c>
      <c r="C145" s="337">
        <f>Scenarios!C67</f>
        <v>0.63167232993043521</v>
      </c>
      <c r="D145" s="337">
        <f>Scenarios!D67</f>
        <v>4.9436445853527387</v>
      </c>
      <c r="E145" s="338">
        <f>Scenarios!E67</f>
        <v>5.5753169152831736</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3.083467486751633</v>
      </c>
      <c r="D47" s="134">
        <f>D46*H1/Common_Shares*Exchange_Rate</f>
        <v>1.2402555711558032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922282.2731397599</v>
      </c>
      <c r="D86" s="201">
        <f>C86*scaling_factor/Common_Shares</f>
        <v>0.10173818700839903</v>
      </c>
      <c r="E86" s="214" t="str">
        <f>Market_currency</f>
        <v>HKD</v>
      </c>
    </row>
    <row r="87" spans="2:8" ht="15" customHeight="1">
      <c r="B87" s="212" t="s">
        <v>240</v>
      </c>
      <c r="C87" s="73">
        <f>DCF!F5*Exchange_Rate</f>
        <v>15936658.094316324</v>
      </c>
      <c r="D87" s="201">
        <f>C87*scaling_factor/Common_Shares</f>
        <v>1.7579939989183475</v>
      </c>
      <c r="E87" s="214" t="str">
        <f>Market_currency</f>
        <v>HKD</v>
      </c>
    </row>
    <row r="88" spans="2:8" ht="15" customHeight="1">
      <c r="B88" s="213" t="s">
        <v>159</v>
      </c>
      <c r="C88" s="73">
        <f>DCF!F6*Exchange_Rate</f>
        <v>4674.6440301599996</v>
      </c>
      <c r="D88" s="201">
        <f>C88*scaling_factor/Common_Shares</f>
        <v>5.1566621455169685E-4</v>
      </c>
      <c r="E88" s="214" t="str">
        <f>Market_currency</f>
        <v>HKD</v>
      </c>
    </row>
    <row r="89" spans="2:8" ht="15" customHeight="1">
      <c r="B89" s="77" t="s">
        <v>244</v>
      </c>
      <c r="C89" s="162">
        <f>SUM(C86:C88)</f>
        <v>16863615.011486247</v>
      </c>
      <c r="D89" s="216">
        <f>SUM(D86:D88)</f>
        <v>1.8602478521412984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6.1526717557251906E-2</v>
      </c>
      <c r="E92" s="238"/>
      <c r="G92" s="22">
        <f t="shared" ref="G92:Q92" si="38">IF(G$4="","",(G88*(1-dividend_tax_rate))/Market_Price)</f>
        <v>8.3053435114503818E-2</v>
      </c>
      <c r="H92" s="22">
        <f t="shared" si="38"/>
        <v>7.2086513994910936E-2</v>
      </c>
      <c r="I92" s="22">
        <f t="shared" si="38"/>
        <v>7.2569974554707373E-2</v>
      </c>
      <c r="J92" s="22">
        <f t="shared" si="38"/>
        <v>0.11974554707379134</v>
      </c>
      <c r="K92" s="22">
        <f t="shared" si="38"/>
        <v>7.5343511450381678E-2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0.42905787734773476</v>
      </c>
      <c r="D123" s="26"/>
      <c r="E123" s="235"/>
      <c r="F123" s="26"/>
      <c r="G123" s="159">
        <f t="shared" ref="G123:Q123" si="48">IF(G$4="","",G14*$C$3/Common_Shares*Exchange_Rate)</f>
        <v>0.35142758059613688</v>
      </c>
      <c r="H123" s="159">
        <f t="shared" si="48"/>
        <v>0.31576994394952018</v>
      </c>
      <c r="I123" s="159">
        <f t="shared" si="48"/>
        <v>0.4934239402556273</v>
      </c>
      <c r="J123" s="159">
        <f t="shared" si="48"/>
        <v>0.6289946709530525</v>
      </c>
      <c r="K123" s="159">
        <f t="shared" si="48"/>
        <v>0.54613254024103808</v>
      </c>
      <c r="L123" s="159">
        <f t="shared" si="48"/>
        <v>0.3645166572921183</v>
      </c>
      <c r="M123" s="159">
        <f t="shared" si="48"/>
        <v>0.21340550711226006</v>
      </c>
      <c r="N123" s="159">
        <f t="shared" si="48"/>
        <v>9.3738437776628547E-2</v>
      </c>
      <c r="O123" s="159">
        <f t="shared" si="48"/>
        <v>2.6248530025513337E-2</v>
      </c>
      <c r="P123" s="159" t="str">
        <f t="shared" si="48"/>
        <v/>
      </c>
      <c r="Q123" s="159" t="str">
        <f t="shared" si="48"/>
        <v/>
      </c>
    </row>
    <row r="124" spans="1:17" ht="15.75" customHeight="1">
      <c r="A124" s="10"/>
      <c r="B124" s="26" t="s">
        <v>226</v>
      </c>
      <c r="C124" s="74">
        <f>C19*Exchange_Rate*$C$3/(Market_Price*Common_Shares)</f>
        <v>0.10917503240400375</v>
      </c>
      <c r="D124" s="26"/>
      <c r="E124" s="235"/>
      <c r="F124" s="26"/>
      <c r="G124" s="74">
        <f t="shared" ref="G124" si="49">IF(G$4="","",G123/Market_Price)</f>
        <v>8.9421776233113703E-2</v>
      </c>
      <c r="H124" s="74">
        <f t="shared" ref="H124" si="50">IF(H$4="","",H123/Market_Price)</f>
        <v>8.0348586246697246E-2</v>
      </c>
      <c r="I124" s="74">
        <f t="shared" ref="I124" si="51">IF(I$4="","",I123/Market_Price)</f>
        <v>0.12555316545944714</v>
      </c>
      <c r="J124" s="74">
        <f t="shared" ref="J124" si="52">IF(J$4="","",J123/Market_Price)</f>
        <v>0.16004953459365204</v>
      </c>
      <c r="K124" s="74">
        <f t="shared" ref="K124" si="53">IF(K$4="","",K123/Market_Price)</f>
        <v>0.1389650229620962</v>
      </c>
      <c r="L124" s="74">
        <f t="shared" ref="L124" si="54">IF(L$4="","",L123/Market_Price)</f>
        <v>9.275233009977564E-2</v>
      </c>
      <c r="M124" s="74">
        <f t="shared" ref="M124" si="55">IF(M$4="","",M123/Market_Price)</f>
        <v>5.4301655753755736E-2</v>
      </c>
      <c r="N124" s="74">
        <f t="shared" ref="N124" si="56">IF(N$4="","",N123/Market_Price)</f>
        <v>2.3852019790490724E-2</v>
      </c>
      <c r="O124" s="74">
        <f t="shared" ref="O124" si="57">IF(O$4="","",O123/Market_Price)</f>
        <v>6.6790152736675157E-3</v>
      </c>
      <c r="P124" s="74" t="str">
        <f t="shared" ref="P124" si="58">IF(P$4="","",P123/Market_Price)</f>
        <v/>
      </c>
      <c r="Q124" s="74" t="str">
        <f t="shared" ref="Q124" si="59">IF(Q$4="","",Q123/Market_Price)</f>
        <v/>
      </c>
    </row>
    <row r="125" spans="1:17" ht="15.75" customHeight="1">
      <c r="B125" s="2" t="s">
        <v>306</v>
      </c>
      <c r="C125" s="151"/>
      <c r="G125" s="22">
        <f>IF(G$4="","",(Data!C47*$C$3)/(Market_Price*Common_Shares))</f>
        <v>0.1025676458941881</v>
      </c>
      <c r="H125" s="22">
        <f>IF(H$4="","",(Data!D47*$C$3)/(Market_Price*Common_Shares))</f>
        <v>9.2357026808980974E-2</v>
      </c>
      <c r="I125" s="22">
        <f>IF(I$4="","",(Data!E47*$C$3)/(Market_Price*Common_Shares))</f>
        <v>0.13888859261734904</v>
      </c>
      <c r="J125" s="22">
        <f>IF(J$4="","",(Data!F47*$C$3)/(Market_Price*Common_Shares))</f>
        <v>0.19409450273202239</v>
      </c>
      <c r="K125" s="22">
        <f>IF(K$4="","",(Data!G47*$C$3)/(Market_Price*Common_Shares))</f>
        <v>0.20873913216352713</v>
      </c>
      <c r="L125" s="22">
        <f>IF(L$4="","",(Data!H47*$C$3)/(Market_Price*Common_Shares))</f>
        <v>0.11043980506371354</v>
      </c>
      <c r="M125" s="22">
        <f>IF(M$4="","",(Data!I47*$C$3)/(Market_Price*Common_Shares))</f>
        <v>6.2937920560032737E-2</v>
      </c>
      <c r="N125" s="22">
        <f>IF(N$4="","",(Data!J47*$C$3)/(Market_Price*Common_Shares))</f>
        <v>3.2566431733284697E-2</v>
      </c>
      <c r="O125" s="22">
        <f>IF(O$4="","",(Data!K47*$C$3)/(Market_Price*Common_Shares))</f>
        <v>1.140029733977436E-2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1.6567714781245002</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1.0914415199999998</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68667569.827153981</v>
      </c>
      <c r="D10" t="str">
        <f>Market_currency</f>
        <v>HKD</v>
      </c>
      <c r="H10" s="312" t="s">
        <v>398</v>
      </c>
      <c r="I10" s="310">
        <f>Normalized_FCF!C41</f>
        <v>0.25</v>
      </c>
      <c r="N10" s="308"/>
      <c r="O10" s="308"/>
    </row>
    <row r="11" spans="2:15" ht="13.15">
      <c r="B11" s="136" t="s">
        <v>428</v>
      </c>
      <c r="C11" s="108">
        <f>(C10*scaling_factor)/Common_Shares</f>
        <v>7.5748111656794634</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8.0770067094375442</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I</v>
      </c>
      <c r="B24" s="117">
        <v>4</v>
      </c>
      <c r="C24" s="281">
        <f t="shared" si="5"/>
        <v>22336989.010079876</v>
      </c>
      <c r="D24" s="303">
        <f t="shared" si="1"/>
        <v>1.8613012126595999E-2</v>
      </c>
      <c r="E24" s="303">
        <f t="shared" si="6"/>
        <v>0.68269686315429268</v>
      </c>
      <c r="F24" s="281">
        <f t="shared" si="7"/>
        <v>-1809972.6718289186</v>
      </c>
      <c r="G24" s="281">
        <f t="shared" si="8"/>
        <v>5238834.2176195439</v>
      </c>
      <c r="H24" s="303">
        <f t="shared" si="2"/>
        <v>0</v>
      </c>
      <c r="I24" s="281">
        <f t="shared" si="9"/>
        <v>3838700.2893017023</v>
      </c>
      <c r="J24" s="303">
        <f t="shared" si="10"/>
        <v>1.8756720358476642E-2</v>
      </c>
      <c r="K24" s="119">
        <f t="shared" si="3"/>
        <v>0.75580680282513402</v>
      </c>
      <c r="L24" s="281">
        <f t="shared" si="4"/>
        <v>2901315.7926610368</v>
      </c>
      <c r="N24" s="279"/>
      <c r="O24" s="279"/>
      <c r="P24" s="279"/>
      <c r="Q24" s="279"/>
      <c r="R24" s="279"/>
      <c r="S24" s="279"/>
      <c r="T24" s="279"/>
      <c r="U24" s="279"/>
    </row>
    <row r="25" spans="1:21">
      <c r="A25" s="306" t="str">
        <f t="shared" si="0"/>
        <v>I</v>
      </c>
      <c r="B25" s="117">
        <v>5</v>
      </c>
      <c r="C25" s="281">
        <f t="shared" si="5"/>
        <v>22752747.657396134</v>
      </c>
      <c r="D25" s="303">
        <f t="shared" si="1"/>
        <v>1.8613012126595999E-2</v>
      </c>
      <c r="E25" s="303">
        <f t="shared" si="6"/>
        <v>0.68269686315429268</v>
      </c>
      <c r="F25" s="281">
        <f t="shared" si="7"/>
        <v>-1843661.7151184776</v>
      </c>
      <c r="G25" s="281">
        <f t="shared" si="8"/>
        <v>5337066.6972941626</v>
      </c>
      <c r="H25" s="303">
        <f t="shared" si="2"/>
        <v>0</v>
      </c>
      <c r="I25" s="281">
        <f t="shared" si="9"/>
        <v>3910691.5604764721</v>
      </c>
      <c r="J25" s="303">
        <f t="shared" si="10"/>
        <v>1.8754074491151629E-2</v>
      </c>
      <c r="K25" s="119">
        <f t="shared" si="3"/>
        <v>0.70471496766912267</v>
      </c>
      <c r="L25" s="281">
        <f t="shared" si="4"/>
        <v>2755922.8766050879</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22752747.657396134</v>
      </c>
      <c r="D51" s="305">
        <f>Terminal_Growth</f>
        <v>0</v>
      </c>
      <c r="E51" s="305">
        <f>F17</f>
        <v>0.68269686315429268</v>
      </c>
      <c r="F51" s="281">
        <f>VLOOKUP(C15,B21:F50,5,FALSE)*(1+Terminal_Growth)</f>
        <v>-1843661.7151184776</v>
      </c>
      <c r="G51" s="281">
        <f>C51*(1-E51)+F51+$I$6</f>
        <v>5337066.6972941626</v>
      </c>
      <c r="H51" s="303">
        <f>F18</f>
        <v>0</v>
      </c>
      <c r="I51" s="281">
        <f>(G51*(1-$I$10)+C51*(H51-$I$9))/Equity_Cost</f>
        <v>53940573.247951344</v>
      </c>
      <c r="J51" s="419">
        <f>(G51*(1-$I$10)+C51*(H51-$I$9))/VLOOKUP(C15,B21:I50,8,FALSE)-1</f>
        <v>0</v>
      </c>
      <c r="K51" s="119">
        <f>1/(1+Equity_Cost)^C15</f>
        <v>0.70471496766912267</v>
      </c>
      <c r="L51" s="281">
        <f>I51*K51</f>
        <v>38012729.332483977</v>
      </c>
    </row>
    <row r="52" spans="1:21" ht="13.15">
      <c r="G52" s="111"/>
      <c r="H52" s="111"/>
      <c r="I52" s="111"/>
      <c r="J52" s="464" t="s">
        <v>423</v>
      </c>
      <c r="K52" s="464"/>
      <c r="L52" s="321">
        <f>SUM(L21:L51)</f>
        <v>53324935.238620415</v>
      </c>
    </row>
    <row r="53" spans="1:21">
      <c r="C53" s="111"/>
    </row>
    <row r="54" spans="1:21" ht="13.15">
      <c r="B54" s="115" t="s">
        <v>108</v>
      </c>
      <c r="C54" s="128"/>
      <c r="D54" s="128"/>
      <c r="E54" s="113"/>
      <c r="F54" s="113"/>
      <c r="G54" s="113"/>
      <c r="H54" s="113"/>
      <c r="I54" s="113"/>
      <c r="J54" s="113"/>
      <c r="K54" s="113"/>
      <c r="L54" s="113"/>
    </row>
    <row r="55" spans="1:21" ht="13.15">
      <c r="A55" s="125">
        <f>L52</f>
        <v>53324935.238620415</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7.5748111656794634</v>
      </c>
      <c r="C73" s="119">
        <f>C11</f>
        <v>7.5748111656794634</v>
      </c>
      <c r="D73" s="119">
        <f>C11</f>
        <v>7.5748111656794634</v>
      </c>
      <c r="E73" s="119">
        <f>C11</f>
        <v>7.5748111656794634</v>
      </c>
      <c r="F73" s="119">
        <f>C11</f>
        <v>7.5748111656794634</v>
      </c>
      <c r="G73" s="300"/>
      <c r="H73" s="300"/>
      <c r="I73" s="300"/>
      <c r="J73" s="300"/>
      <c r="K73" s="300"/>
      <c r="L73" s="300"/>
    </row>
    <row r="74" spans="1:21" ht="13.15">
      <c r="A74" s="131">
        <v>1</v>
      </c>
      <c r="B74" s="119">
        <f t="shared" ref="B74:F87" si="11">(B56+FV_adjustments)/Common_Shares*scaling_factor*Exchange_Rate</f>
        <v>5.7849054496571384</v>
      </c>
      <c r="C74" s="119">
        <f t="shared" si="11"/>
        <v>6.6798583076683018</v>
      </c>
      <c r="D74" s="119">
        <f t="shared" si="11"/>
        <v>7.2764935463424099</v>
      </c>
      <c r="E74" s="119">
        <f t="shared" si="11"/>
        <v>7.6941382134142868</v>
      </c>
      <c r="F74" s="119">
        <f t="shared" si="11"/>
        <v>7.8731287850165188</v>
      </c>
      <c r="G74" s="300"/>
      <c r="H74" s="300"/>
      <c r="I74" s="300"/>
      <c r="J74" s="300"/>
      <c r="K74" s="300"/>
      <c r="L74" s="300"/>
    </row>
    <row r="75" spans="1:21" ht="13.15">
      <c r="A75" s="131">
        <v>2</v>
      </c>
      <c r="B75" s="119">
        <f t="shared" si="11"/>
        <v>4.6166686186868553</v>
      </c>
      <c r="C75" s="119">
        <f t="shared" si="11"/>
        <v>5.970571660293488</v>
      </c>
      <c r="D75" s="119">
        <f t="shared" si="11"/>
        <v>7.0122495012419881</v>
      </c>
      <c r="E75" s="119">
        <f t="shared" si="11"/>
        <v>7.8076240769942569</v>
      </c>
      <c r="F75" s="119">
        <f t="shared" si="11"/>
        <v>8.1651879927590887</v>
      </c>
      <c r="G75" s="300"/>
      <c r="H75" s="300"/>
      <c r="I75" s="300"/>
      <c r="J75" s="300"/>
      <c r="K75" s="300"/>
      <c r="L75" s="300"/>
    </row>
    <row r="76" spans="1:21" ht="13.15">
      <c r="A76" s="131">
        <v>3</v>
      </c>
      <c r="B76" s="119">
        <f t="shared" si="11"/>
        <v>3.8541830413635938</v>
      </c>
      <c r="C76" s="119">
        <f t="shared" si="11"/>
        <v>5.4084330586444507</v>
      </c>
      <c r="D76" s="119">
        <f t="shared" si="11"/>
        <v>6.7781871769106132</v>
      </c>
      <c r="E76" s="119">
        <f t="shared" si="11"/>
        <v>7.9155546885108734</v>
      </c>
      <c r="F76" s="119">
        <f t="shared" si="11"/>
        <v>8.4511200842553098</v>
      </c>
      <c r="G76" s="300"/>
      <c r="H76" s="300"/>
      <c r="I76" s="300"/>
      <c r="J76" s="300"/>
      <c r="K76" s="300"/>
      <c r="L76" s="300"/>
    </row>
    <row r="77" spans="1:21" ht="13.15">
      <c r="A77" s="131">
        <v>4</v>
      </c>
      <c r="B77" s="119">
        <f t="shared" si="11"/>
        <v>3.3565234570966629</v>
      </c>
      <c r="C77" s="119">
        <f t="shared" si="11"/>
        <v>4.9629152857757486</v>
      </c>
      <c r="D77" s="119">
        <f t="shared" si="11"/>
        <v>6.5708592439364333</v>
      </c>
      <c r="E77" s="119">
        <f t="shared" si="11"/>
        <v>8.0182019833798215</v>
      </c>
      <c r="F77" s="119">
        <f t="shared" si="11"/>
        <v>8.7310536004054615</v>
      </c>
      <c r="G77" s="300"/>
      <c r="H77" s="300"/>
      <c r="I77" s="300"/>
      <c r="J77" s="300"/>
      <c r="K77" s="300"/>
      <c r="L77" s="300"/>
    </row>
    <row r="78" spans="1:21" ht="13.15">
      <c r="A78" s="131">
        <v>5</v>
      </c>
      <c r="B78" s="119">
        <f t="shared" si="11"/>
        <v>3.0317106748245397</v>
      </c>
      <c r="C78" s="119">
        <f t="shared" si="11"/>
        <v>4.6098242769753801</v>
      </c>
      <c r="D78" s="119">
        <f t="shared" si="11"/>
        <v>6.387212123819447</v>
      </c>
      <c r="E78" s="119">
        <f t="shared" si="11"/>
        <v>8.1158245854929465</v>
      </c>
      <c r="F78" s="119">
        <f t="shared" si="11"/>
        <v>9.0051143854475644</v>
      </c>
      <c r="G78" s="300"/>
      <c r="H78" s="300"/>
      <c r="I78" s="300"/>
      <c r="J78" s="300"/>
      <c r="K78" s="300"/>
      <c r="L78" s="300"/>
    </row>
    <row r="79" spans="1:21" ht="13.15">
      <c r="A79" s="131">
        <v>6</v>
      </c>
      <c r="B79" s="119">
        <f t="shared" si="11"/>
        <v>2.8197116560921529</v>
      </c>
      <c r="C79" s="119">
        <f t="shared" si="11"/>
        <v>4.3299852490217088</v>
      </c>
      <c r="D79" s="119">
        <f t="shared" si="11"/>
        <v>6.2245410150911118</v>
      </c>
      <c r="E79" s="119">
        <f t="shared" si="11"/>
        <v>8.2086684588313066</v>
      </c>
      <c r="F79" s="119">
        <f t="shared" si="11"/>
        <v>9.2734256435307412</v>
      </c>
      <c r="G79" s="300"/>
      <c r="H79" s="300"/>
      <c r="I79" s="300"/>
      <c r="J79" s="300"/>
      <c r="K79" s="300"/>
      <c r="L79" s="300"/>
    </row>
    <row r="80" spans="1:21" ht="13.15">
      <c r="A80" s="131">
        <f t="shared" ref="A80" si="12">A62</f>
        <v>7</v>
      </c>
      <c r="B80" s="119">
        <f t="shared" si="11"/>
        <v>2.6813439981782401</v>
      </c>
      <c r="C80" s="119">
        <f t="shared" si="11"/>
        <v>4.1082014040234593</v>
      </c>
      <c r="D80" s="119">
        <f t="shared" si="11"/>
        <v>6.0804500563107693</v>
      </c>
      <c r="E80" s="119">
        <f t="shared" si="11"/>
        <v>8.2969675271810743</v>
      </c>
      <c r="F80" s="119">
        <f t="shared" si="11"/>
        <v>9.5361079941016875</v>
      </c>
      <c r="G80" s="300"/>
      <c r="H80" s="300"/>
      <c r="I80" s="300"/>
      <c r="J80" s="300"/>
      <c r="K80" s="300"/>
      <c r="L80" s="300"/>
    </row>
    <row r="81" spans="1:12" ht="13.15">
      <c r="A81" s="131">
        <v>8</v>
      </c>
      <c r="B81" s="119">
        <f t="shared" si="11"/>
        <v>2.5910341049010941</v>
      </c>
      <c r="C81" s="119">
        <f t="shared" si="11"/>
        <v>3.9324286597358022</v>
      </c>
      <c r="D81" s="119">
        <f t="shared" si="11"/>
        <v>5.9528170392093003</v>
      </c>
      <c r="E81" s="119">
        <f t="shared" si="11"/>
        <v>8.3809442635137152</v>
      </c>
      <c r="F81" s="119">
        <f t="shared" si="11"/>
        <v>9.7932795261291847</v>
      </c>
      <c r="G81" s="300"/>
      <c r="H81" s="300"/>
      <c r="I81" s="300"/>
      <c r="J81" s="300"/>
      <c r="K81" s="300"/>
      <c r="L81" s="300"/>
    </row>
    <row r="82" spans="1:12" ht="13.15">
      <c r="A82" s="131">
        <f t="shared" ref="A82" si="13">A64</f>
        <v>9</v>
      </c>
      <c r="B82" s="119">
        <f t="shared" si="11"/>
        <v>2.5320905848134467</v>
      </c>
      <c r="C82" s="119">
        <f t="shared" si="11"/>
        <v>3.7931215896709936</v>
      </c>
      <c r="D82" s="119">
        <f t="shared" si="11"/>
        <v>5.8397621522662719</v>
      </c>
      <c r="E82" s="119">
        <f t="shared" si="11"/>
        <v>8.4608102505153937</v>
      </c>
      <c r="F82" s="119">
        <f t="shared" si="11"/>
        <v>10.045055851191067</v>
      </c>
      <c r="G82" s="300"/>
      <c r="H82" s="300"/>
      <c r="I82" s="300"/>
      <c r="J82" s="300"/>
      <c r="K82" s="300"/>
      <c r="L82" s="300"/>
    </row>
    <row r="83" spans="1:12" ht="13.15">
      <c r="A83" s="131">
        <f t="shared" ref="A83:A87" si="14">A65</f>
        <v>10</v>
      </c>
      <c r="B83" s="119">
        <f t="shared" si="11"/>
        <v>2.4936192896513454</v>
      </c>
      <c r="C83" s="119">
        <f t="shared" si="11"/>
        <v>3.6827150539552944</v>
      </c>
      <c r="D83" s="119">
        <f t="shared" si="11"/>
        <v>5.739620294368021</v>
      </c>
      <c r="E83" s="119">
        <f t="shared" si="11"/>
        <v>8.536766713677828</v>
      </c>
      <c r="F83" s="119">
        <f t="shared" si="11"/>
        <v>10.29155015544746</v>
      </c>
      <c r="G83" s="300"/>
      <c r="H83" s="300"/>
      <c r="I83" s="300"/>
      <c r="J83" s="300"/>
      <c r="K83" s="300"/>
      <c r="L83" s="300"/>
    </row>
    <row r="84" spans="1:12" ht="13.15">
      <c r="A84" s="131">
        <f t="shared" si="14"/>
        <v>15</v>
      </c>
      <c r="B84" s="119">
        <f t="shared" si="11"/>
        <v>2.4298869686559277</v>
      </c>
      <c r="C84" s="119">
        <f t="shared" si="11"/>
        <v>3.3928211880891337</v>
      </c>
      <c r="D84" s="119">
        <f t="shared" si="11"/>
        <v>5.3864917023177803</v>
      </c>
      <c r="E84" s="119">
        <f t="shared" si="11"/>
        <v>8.8642859004327601</v>
      </c>
      <c r="F84" s="119">
        <f t="shared" si="11"/>
        <v>11.448589423389221</v>
      </c>
      <c r="G84" s="300"/>
      <c r="H84" s="300"/>
      <c r="I84" s="300"/>
      <c r="J84" s="300"/>
      <c r="K84" s="300"/>
      <c r="L84" s="300"/>
    </row>
    <row r="85" spans="1:12" ht="13.15">
      <c r="A85" s="132">
        <f t="shared" si="14"/>
        <v>20</v>
      </c>
      <c r="B85" s="119">
        <f t="shared" si="11"/>
        <v>2.4223384204884906</v>
      </c>
      <c r="C85" s="119">
        <f t="shared" si="11"/>
        <v>3.3021754999866357</v>
      </c>
      <c r="D85" s="119">
        <f t="shared" si="11"/>
        <v>5.1939324437659566</v>
      </c>
      <c r="E85" s="119">
        <f t="shared" si="11"/>
        <v>9.1191162215392705</v>
      </c>
      <c r="F85" s="119">
        <f t="shared" si="11"/>
        <v>12.489247572656414</v>
      </c>
      <c r="G85" s="300"/>
      <c r="H85" s="300"/>
      <c r="I85" s="300"/>
      <c r="J85" s="300"/>
      <c r="K85" s="300"/>
      <c r="L85" s="300"/>
    </row>
    <row r="86" spans="1:12" ht="13.15">
      <c r="A86" s="132">
        <f t="shared" si="14"/>
        <v>25</v>
      </c>
      <c r="B86" s="119">
        <f t="shared" si="11"/>
        <v>2.4214443595387842</v>
      </c>
      <c r="C86" s="119">
        <f t="shared" si="11"/>
        <v>3.2738318827561534</v>
      </c>
      <c r="D86" s="119">
        <f t="shared" si="11"/>
        <v>5.0889308412654346</v>
      </c>
      <c r="E86" s="119">
        <f t="shared" si="11"/>
        <v>9.3173900790151052</v>
      </c>
      <c r="F86" s="119">
        <f t="shared" si="11"/>
        <v>13.42523083065136</v>
      </c>
      <c r="G86" s="300"/>
      <c r="H86" s="300"/>
      <c r="I86" s="300"/>
      <c r="J86" s="300"/>
      <c r="K86" s="300"/>
      <c r="L86" s="300"/>
    </row>
    <row r="87" spans="1:12" ht="13.15">
      <c r="A87" s="132">
        <f t="shared" si="14"/>
        <v>30</v>
      </c>
      <c r="B87" s="119">
        <f t="shared" si="11"/>
        <v>2.4213384656683266</v>
      </c>
      <c r="C87" s="119">
        <f t="shared" si="11"/>
        <v>3.2649692368374672</v>
      </c>
      <c r="D87" s="119">
        <f t="shared" si="11"/>
        <v>5.031673991552803</v>
      </c>
      <c r="E87" s="119">
        <f t="shared" si="11"/>
        <v>9.4716594861549073</v>
      </c>
      <c r="F87" s="119">
        <f t="shared" si="11"/>
        <v>14.267067950616006</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5</v>
      </c>
      <c r="E90" s="127">
        <f>INDEX(B$73:F$87, MATCH(D90, A$73:A$87, 0), MATCH(C90, B$72:F$72, 0))</f>
        <v>9.0051143854475644</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8.1158245854929465</v>
      </c>
      <c r="F91" s="130">
        <f>Scenarios!F22*(1-F$90-F$94)</f>
        <v>0.16999999999999996</v>
      </c>
      <c r="G91" s="301"/>
      <c r="H91" s="301"/>
      <c r="I91" s="301"/>
      <c r="J91" s="301"/>
      <c r="K91" s="301"/>
      <c r="L91" s="301"/>
    </row>
    <row r="92" spans="1:12">
      <c r="B92" s="120" t="str">
        <f>Scenarios!B23</f>
        <v>Base</v>
      </c>
      <c r="C92" s="130">
        <f>Scenarios!C23</f>
        <v>-0.05</v>
      </c>
      <c r="D92" s="133">
        <f>Scenarios!D23</f>
        <v>5</v>
      </c>
      <c r="E92" s="127">
        <f>INDEX(B$73:F$87, MATCH(D92, A$73:A$87, 0), MATCH(C92, B$72:F$72, 0))</f>
        <v>6.387212123819447</v>
      </c>
      <c r="F92" s="130">
        <f>Scenarios!F23*(1-F$90-F$94)</f>
        <v>0.46750000000000003</v>
      </c>
      <c r="G92" s="301"/>
      <c r="H92" s="301"/>
      <c r="I92" s="301"/>
      <c r="J92" s="301"/>
      <c r="K92" s="301"/>
      <c r="L92" s="301"/>
    </row>
    <row r="93" spans="1:12">
      <c r="B93" s="120" t="str">
        <f>Scenarios!B24</f>
        <v>Pessimistic</v>
      </c>
      <c r="C93" s="130">
        <f>Scenarios!C24</f>
        <v>-0.15</v>
      </c>
      <c r="D93" s="133">
        <f>Scenarios!D24</f>
        <v>5</v>
      </c>
      <c r="E93" s="127">
        <f>INDEX(B$73:F$87, MATCH(D93, A$73:A$87, 0), MATCH(C93, B$72:F$72, 0))</f>
        <v>4.6098242769753801</v>
      </c>
      <c r="F93" s="130">
        <f>Scenarios!F24*(1-F$90-F$94)</f>
        <v>0.21249999999999999</v>
      </c>
      <c r="G93" s="301"/>
      <c r="H93" s="301"/>
      <c r="I93" s="301"/>
      <c r="J93" s="301"/>
      <c r="K93" s="301"/>
      <c r="L93" s="301"/>
    </row>
    <row r="94" spans="1:12">
      <c r="B94" s="120" t="str">
        <f>Scenarios!B30</f>
        <v>Devil's advocate</v>
      </c>
      <c r="C94" s="130">
        <f>Scenarios!C30</f>
        <v>-0.3</v>
      </c>
      <c r="D94" s="133">
        <f>Scenarios!D30</f>
        <v>5</v>
      </c>
      <c r="E94" s="127">
        <f>INDEX(B$73:F$87, MATCH(D94, A$73:A$87, 0), MATCH(C94, B$72:F$72, 0))</f>
        <v>3.0317106748245397</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8.1158245854929465</v>
      </c>
      <c r="F22" s="332">
        <f>1-F23-F24</f>
        <v>0.19999999999999996</v>
      </c>
      <c r="G22" s="332">
        <f>F22*(1-F$29-F$30)</f>
        <v>0.16999999999999996</v>
      </c>
    </row>
    <row r="23" spans="2:7">
      <c r="B23" s="306" t="s">
        <v>440</v>
      </c>
      <c r="C23" s="328">
        <v>-0.05</v>
      </c>
      <c r="D23" s="329">
        <f>C18</f>
        <v>5</v>
      </c>
      <c r="E23" s="330">
        <f>DCF!E92</f>
        <v>6.387212123819447</v>
      </c>
      <c r="F23" s="331">
        <v>0.55000000000000004</v>
      </c>
      <c r="G23" s="332">
        <f t="shared" ref="G23:G24" si="0">F23*(1-F$29-F$30)</f>
        <v>0.46750000000000003</v>
      </c>
    </row>
    <row r="24" spans="2:7">
      <c r="B24" s="306" t="s">
        <v>449</v>
      </c>
      <c r="C24" s="328">
        <v>-0.15</v>
      </c>
      <c r="D24" s="329">
        <f>C18</f>
        <v>5</v>
      </c>
      <c r="E24" s="330">
        <f>DCF!E93</f>
        <v>4.6098242769753801</v>
      </c>
      <c r="F24" s="331">
        <v>0.25</v>
      </c>
      <c r="G24" s="332">
        <f t="shared" si="0"/>
        <v>0.21249999999999999</v>
      </c>
    </row>
    <row r="25" spans="2:7">
      <c r="B25" s="141" t="s">
        <v>454</v>
      </c>
      <c r="C25" s="446">
        <f>E23*F23+E24*F24+E22*F22</f>
        <v>6.2885876544431305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5</v>
      </c>
      <c r="E29" s="330">
        <f>DCF!E90</f>
        <v>9.0051143854475644</v>
      </c>
      <c r="F29" s="331">
        <v>0.05</v>
      </c>
      <c r="G29" s="332">
        <f>F29</f>
        <v>0.05</v>
      </c>
    </row>
    <row r="30" spans="2:7">
      <c r="B30" s="319" t="s">
        <v>450</v>
      </c>
      <c r="C30" s="328">
        <v>-0.3</v>
      </c>
      <c r="D30" s="329">
        <f>C18</f>
        <v>5</v>
      </c>
      <c r="E30" s="330">
        <f>DCF!E94</f>
        <v>3.0317106748245397</v>
      </c>
      <c r="F30" s="331">
        <v>0.1</v>
      </c>
      <c r="G30" s="332">
        <f>F30</f>
        <v>0.1</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3.93</v>
      </c>
      <c r="D34" t="str">
        <f>Market_currency</f>
        <v>HKD</v>
      </c>
      <c r="E34" s="97" t="s">
        <v>457</v>
      </c>
      <c r="F34" s="334">
        <f>RATE(Holding_Period,$C$33,-C34,$C$36)</f>
        <v>0.21151245374364994</v>
      </c>
    </row>
    <row r="35" spans="2:7">
      <c r="B35" s="97" t="s">
        <v>437</v>
      </c>
      <c r="C35" s="324">
        <f>DCF!C11</f>
        <v>7.5748111656794634</v>
      </c>
      <c r="D35" s="97" t="str">
        <f>Market_currency</f>
        <v>HKD</v>
      </c>
      <c r="E35" s="97" t="s">
        <v>457</v>
      </c>
      <c r="F35" s="334">
        <f>RATE(Holding_Period,$C$33,-C35,$C$36)</f>
        <v>-3.5388128352455681E-2</v>
      </c>
    </row>
    <row r="36" spans="2:7">
      <c r="B36" s="97" t="s">
        <v>438</v>
      </c>
      <c r="C36" s="325">
        <f>E22*G22+E23*G23+E24*G24+E30*G30+E29*G29</f>
        <v>6.0987262930314925</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8.0770067094375442</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0.3050223543015611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2.8104729460974625</v>
      </c>
      <c r="E62" s="336">
        <f>C62+D62</f>
        <v>3.2529310572008892</v>
      </c>
      <c r="F62" s="305">
        <f>Thesis!E22</f>
        <v>0.29465259038036606</v>
      </c>
      <c r="G62" s="445">
        <f>(1-E62/C36)</f>
        <v>0.466621241730795</v>
      </c>
    </row>
    <row r="63" spans="2:7" ht="13.15">
      <c r="B63" s="306" t="s">
        <v>313</v>
      </c>
      <c r="C63" s="119">
        <f>PV(F63, Holding_Period, -C58, 0)</f>
        <v>0.50874815444966315</v>
      </c>
      <c r="D63" s="119">
        <f>C36/(1+F63)^Holding_Period</f>
        <v>3.5227299887546542</v>
      </c>
      <c r="E63" s="336">
        <f>C63+D63</f>
        <v>4.0314781432043176</v>
      </c>
      <c r="F63" s="305">
        <f>Thesis!E23</f>
        <v>0.20075184365903009</v>
      </c>
      <c r="G63" s="445">
        <f>(1-E63/C36)</f>
        <v>0.33896391648027346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4.371325454682963</v>
      </c>
      <c r="E66" s="336">
        <f>C66+D66</f>
        <v>4.9546928905349281</v>
      </c>
      <c r="F66" s="305">
        <f>Thesis!E24</f>
        <v>0.1174</v>
      </c>
      <c r="G66" s="445">
        <f>(1-E66/C36)</f>
        <v>0.18758562813414925</v>
      </c>
    </row>
    <row r="67" spans="2:7" ht="13.15">
      <c r="B67" s="306" t="s">
        <v>314</v>
      </c>
      <c r="C67" s="119">
        <f>PV(F67, Holding_Period, -C58, 0)</f>
        <v>0.63167232993043521</v>
      </c>
      <c r="D67" s="119">
        <f>C36/(1+F67)^Holding_Period</f>
        <v>4.9436445853527387</v>
      </c>
      <c r="E67" s="336">
        <f>C67+D67</f>
        <v>5.5753169152831736</v>
      </c>
      <c r="F67" s="305">
        <f>Thesis!E25</f>
        <v>7.2499999999999995E-2</v>
      </c>
      <c r="G67" s="445">
        <f>(1-E67/C36)</f>
        <v>8.582273619105929E-2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3.93</v>
      </c>
    </row>
    <row r="9" spans="1:10">
      <c r="B9" s="355" t="s">
        <v>361</v>
      </c>
      <c r="C9" s="357">
        <f>Common_Shares</f>
        <v>9065251704</v>
      </c>
    </row>
    <row r="10" spans="1:10">
      <c r="B10" s="355" t="s">
        <v>367</v>
      </c>
      <c r="C10" s="361">
        <f>投资主题!C8*Common_Shares/1000000</f>
        <v>35626.439196719999</v>
      </c>
      <c r="D10" s="347" t="s">
        <v>531</v>
      </c>
      <c r="E10" s="364">
        <f>Scenarios!F34</f>
        <v>0.21151245374364994</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1.0914415199999998</v>
      </c>
    </row>
    <row r="17" spans="1:6">
      <c r="B17" s="347" t="s">
        <v>537</v>
      </c>
      <c r="C17" s="429">
        <f>Terminal_Growth</f>
        <v>0</v>
      </c>
      <c r="D17" s="355" t="s">
        <v>339</v>
      </c>
      <c r="E17" s="348" t="str">
        <f>Reporting_currency</f>
        <v>CNY</v>
      </c>
    </row>
    <row r="18" spans="1:6">
      <c r="B18" s="347" t="str">
        <f>"预期股权价值 ("&amp;C7&amp;") :"</f>
        <v>预期股权价值 (HKD) :</v>
      </c>
      <c r="C18" s="363">
        <f>C125</f>
        <v>6.0987262930314925</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3.2529310572008892</v>
      </c>
      <c r="D22" s="369" t="s">
        <v>443</v>
      </c>
      <c r="E22" s="370">
        <f>Thesis!E22</f>
        <v>0.29465259038036606</v>
      </c>
    </row>
    <row r="23" spans="1:6">
      <c r="B23" s="347" t="s">
        <v>341</v>
      </c>
      <c r="C23" s="371">
        <f>E141</f>
        <v>4.0314781432043176</v>
      </c>
      <c r="D23" s="369" t="s">
        <v>444</v>
      </c>
      <c r="E23" s="372">
        <f>Thesis!E23</f>
        <v>0.20075184365903009</v>
      </c>
    </row>
    <row r="24" spans="1:6">
      <c r="B24" s="347" t="s">
        <v>343</v>
      </c>
      <c r="C24" s="371">
        <f>E144</f>
        <v>4.9546928905349281</v>
      </c>
      <c r="D24" s="369" t="s">
        <v>446</v>
      </c>
      <c r="E24" s="372">
        <f>Thesis!E24</f>
        <v>0.1174</v>
      </c>
    </row>
    <row r="25" spans="1:6">
      <c r="B25" s="347" t="s">
        <v>342</v>
      </c>
      <c r="C25" s="371">
        <f>E145</f>
        <v>5.5753169152831736</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0.10917503240400375</v>
      </c>
      <c r="F62" s="383"/>
    </row>
    <row r="63" spans="2:6">
      <c r="B63" s="381" t="s">
        <v>332</v>
      </c>
      <c r="C63" s="382">
        <f>Normalized_FCF!C92</f>
        <v>6.1526717557251906E-2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-845013</v>
      </c>
      <c r="D78" s="347" t="str">
        <f>Reporting_currency</f>
        <v>CNY</v>
      </c>
    </row>
    <row r="79" spans="1:6">
      <c r="B79" s="376" t="s">
        <v>234</v>
      </c>
      <c r="C79" s="391">
        <f>C78*scaling_factor*Exchange_Rate/Common_Shares</f>
        <v>-0.10173818700839903</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1.7579939989183475</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5.1566621455169685E-4</v>
      </c>
      <c r="D90" s="347" t="str">
        <f>Market_currency</f>
        <v>HKD</v>
      </c>
    </row>
    <row r="92" spans="1:6">
      <c r="B92" s="376" t="s">
        <v>483</v>
      </c>
      <c r="C92" s="391">
        <f>DCF!F8</f>
        <v>1.6567714781245002</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1.2402555711558032</v>
      </c>
      <c r="D111" s="347" t="str">
        <f>Market_currency</f>
        <v>HKD</v>
      </c>
    </row>
    <row r="112" spans="1:6">
      <c r="A112" s="389"/>
      <c r="B112" s="376" t="s">
        <v>377</v>
      </c>
      <c r="C112" s="398">
        <f>DCF!C11</f>
        <v>7.5748111656794634</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5</v>
      </c>
      <c r="E118" s="402" t="str">
        <f>ROUND(DCF!E90,2)&amp;" "&amp;Market_currency</f>
        <v>9.01 HKD</v>
      </c>
      <c r="F118" s="403">
        <f>DCF!F90</f>
        <v>0.05</v>
      </c>
    </row>
    <row r="119" spans="1:6">
      <c r="A119" s="389"/>
      <c r="B119" s="404" t="str">
        <f>DCF!B91</f>
        <v>Optimistic</v>
      </c>
      <c r="C119" s="405">
        <f>DCF!C91</f>
        <v>0.02</v>
      </c>
      <c r="D119" s="406">
        <f>DCF!D91</f>
        <v>5</v>
      </c>
      <c r="E119" s="402" t="str">
        <f>ROUND(DCF!E91,2)&amp;" "&amp;Market_currency</f>
        <v>8.12 HKD</v>
      </c>
      <c r="F119" s="407">
        <f>DCF!F91</f>
        <v>0.16999999999999996</v>
      </c>
    </row>
    <row r="120" spans="1:6">
      <c r="B120" s="404" t="str">
        <f>DCF!B92</f>
        <v>Base</v>
      </c>
      <c r="C120" s="405">
        <f>DCF!C92</f>
        <v>-0.05</v>
      </c>
      <c r="D120" s="406">
        <f>DCF!D92</f>
        <v>5</v>
      </c>
      <c r="E120" s="402" t="str">
        <f>ROUND(DCF!E92,2)&amp;" "&amp;Market_currency</f>
        <v>6.39 HKD</v>
      </c>
      <c r="F120" s="407">
        <f>DCF!F92</f>
        <v>0.46750000000000003</v>
      </c>
    </row>
    <row r="121" spans="1:6">
      <c r="B121" s="404" t="str">
        <f>DCF!B93</f>
        <v>Pessimistic</v>
      </c>
      <c r="C121" s="405">
        <f>DCF!C93</f>
        <v>-0.15</v>
      </c>
      <c r="D121" s="406">
        <f>DCF!D93</f>
        <v>5</v>
      </c>
      <c r="E121" s="402" t="str">
        <f>ROUND(DCF!E93,2)&amp;" "&amp;Market_currency</f>
        <v>4.61 HKD</v>
      </c>
      <c r="F121" s="407">
        <f>DCF!F93</f>
        <v>0.21249999999999999</v>
      </c>
    </row>
    <row r="122" spans="1:6">
      <c r="B122" s="404" t="str">
        <f>DCF!B94</f>
        <v>Devil's advocate</v>
      </c>
      <c r="C122" s="405">
        <f>DCF!C94</f>
        <v>-0.3</v>
      </c>
      <c r="D122" s="406">
        <f>DCF!D94</f>
        <v>5</v>
      </c>
      <c r="E122" s="402" t="str">
        <f>ROUND(DCF!E94,2)&amp;" "&amp;Market_currency</f>
        <v>3.03 HKD</v>
      </c>
      <c r="F122" s="407">
        <f>DCF!F94</f>
        <v>0.1</v>
      </c>
    </row>
    <row r="124" spans="1:6">
      <c r="B124" s="466" t="s">
        <v>521</v>
      </c>
      <c r="C124" s="466"/>
      <c r="D124" s="466"/>
      <c r="E124" s="466"/>
      <c r="F124" s="466"/>
    </row>
    <row r="125" spans="1:6">
      <c r="B125" s="376" t="s">
        <v>218</v>
      </c>
      <c r="C125" s="408">
        <f>Scenarios!C36</f>
        <v>6.0987262930314925</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2.8104729460974625</v>
      </c>
      <c r="E140" s="414">
        <f>Scenarios!E62</f>
        <v>3.2529310572008892</v>
      </c>
      <c r="F140" s="415">
        <f>E22</f>
        <v>0.29465259038036606</v>
      </c>
    </row>
    <row r="141" spans="1:6">
      <c r="B141" s="412" t="s">
        <v>313</v>
      </c>
      <c r="C141" s="413">
        <f>Scenarios!C63</f>
        <v>0.50874815444966315</v>
      </c>
      <c r="D141" s="413">
        <f>Scenarios!D63</f>
        <v>3.5227299887546542</v>
      </c>
      <c r="E141" s="414">
        <f>Scenarios!E63</f>
        <v>4.0314781432043176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4.371325454682963</v>
      </c>
      <c r="E144" s="414">
        <f>Scenarios!E66</f>
        <v>4.9546928905349281</v>
      </c>
      <c r="F144" s="415">
        <f>E24</f>
        <v>0.1174</v>
      </c>
    </row>
    <row r="145" spans="1:6">
      <c r="B145" s="412" t="s">
        <v>314</v>
      </c>
      <c r="C145" s="413">
        <f>Scenarios!C67</f>
        <v>0.63167232993043521</v>
      </c>
      <c r="D145" s="413">
        <f>Scenarios!D67</f>
        <v>4.9436445853527387</v>
      </c>
      <c r="E145" s="414">
        <f>Scenarios!E67</f>
        <v>5.5753169152831736</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2025-10-16T01:45:09Z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