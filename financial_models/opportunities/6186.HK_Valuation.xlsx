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BB8800-2936-4314-A6BD-FDB0BED73E6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19" i="6" l="1"/>
  <c r="F120" i="6"/>
  <c r="F121" i="6"/>
  <c r="F122" i="6"/>
  <c r="F118" i="6"/>
  <c r="B122" i="6" l="1"/>
  <c r="B119" i="6"/>
  <c r="B120" i="6"/>
  <c r="B121" i="6"/>
  <c r="B118" i="6"/>
  <c r="C4" i="2"/>
  <c r="E83" i="2"/>
  <c r="E84" i="2"/>
  <c r="C88" i="2"/>
  <c r="C79" i="2"/>
  <c r="C64" i="2"/>
  <c r="C65" i="2"/>
  <c r="C66" i="2"/>
  <c r="C52" i="2"/>
  <c r="C35" i="2"/>
  <c r="C29" i="2"/>
  <c r="C30"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F55" i="8"/>
  <c r="F68" i="8" s="1"/>
  <c r="C118" i="6"/>
  <c r="C89" i="6"/>
  <c r="C90" i="6" s="1"/>
  <c r="G65" i="2"/>
  <c r="C57" i="2" l="1"/>
  <c r="D118" i="12"/>
  <c r="E119" i="6"/>
  <c r="F119" i="12"/>
  <c r="C85" i="8"/>
  <c r="C121" i="12" s="1"/>
  <c r="D24" i="9"/>
  <c r="D86" i="8"/>
  <c r="D23" i="9"/>
  <c r="C84" i="8"/>
  <c r="C120" i="12" s="1"/>
  <c r="C86" i="8"/>
  <c r="C122" i="12" s="1"/>
  <c r="D83" i="8"/>
  <c r="C83" i="8"/>
  <c r="C119" i="12" s="1"/>
  <c r="C15" i="8"/>
  <c r="B51" i="8" s="1"/>
  <c r="Q95" i="2"/>
  <c r="A79" i="8"/>
  <c r="A78" i="8"/>
  <c r="D122" i="12" l="1"/>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<sst xmlns="http://schemas.openxmlformats.org/spreadsheetml/2006/main" count="766" uniqueCount="556">
  <si>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</si>
  <si>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</si>
  <si>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</si>
  <si>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</si>
  <si>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</si>
  <si>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</si>
  <si>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</si>
  <si>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</si>
  <si>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</si>
  <si>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</si>
  <si>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</si>
  <si>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</si>
  <si>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</si>
  <si>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</si>
  <si>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</si>
  <si>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</si>
  <si>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</si>
  <si>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</si>
  <si>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</si>
  <si>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</si>
  <si>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</si>
  <si>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</si>
  <si>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</si>
  <si>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</si>
  <si>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</si>
  <si>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</si>
  <si>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</si>
  <si>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</si>
  <si>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</si>
  <si>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</si>
  <si>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</si>
  <si>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</si>
  <si>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</si>
  <si>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</si>
  <si>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</si>
  <si>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</si>
  <si>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</si>
  <si>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</si>
  <si>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</si>
  <si>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</si>
  <si>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</si>
  <si>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</si>
  <si>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</si>
  <si>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</si>
  <si>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</si>
  <si>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</si>
  <si>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</si>
  <si>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</si>
  <si>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</si>
  <si>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</si>
  <si>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</si>
  <si>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</si>
  <si>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</si>
  <si>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</si>
  <si>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</si>
  <si>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</si>
  <si>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</si>
  <si>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</si>
  <si>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</si>
  <si>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</si>
  <si>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</si>
  <si>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</si>
  <si>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</si>
  <si>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</si>
  <si>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</si>
  <si>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</si>
  <si>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</si>
  <si>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</si>
  <si>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</si>
  <si>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</si>
  <si>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</si>
  <si>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</si>
  <si>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</si>
  <si>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</si>
  <si>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</si>
  <si>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</si>
  <si>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</si>
  <si>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</si>
  <si>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</si>
  <si>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</si>
  <si>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</si>
  <si>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</si>
  <si>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</si>
  <si>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</si>
  <si>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</si>
  <si>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</si>
  <si>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</si>
  <si>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</si>
  <si>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</si>
  <si>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</si>
  <si>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</si>
  <si>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</si>
  <si>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</si>
  <si>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</si>
  <si>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</si>
  <si>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</si>
  <si>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</si>
  <si>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</si>
  <si>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</si>
  <si>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</si>
  <si>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</si>
  <si>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</si>
  <si>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</si>
  <si>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</si>
  <si>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</si>
  <si>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</si>
  <si>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</si>
  <si>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</si>
  <si>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</si>
  <si>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</si>
  <si>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</si>
  <si>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</si>
  <si>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</si>
  <si>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</si>
  <si>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</si>
  <si>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</si>
  <si>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</si>
  <si>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</si>
  <si>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</si>
  <si>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</si>
  <si>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</si>
  <si>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</si>
  <si>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</si>
  <si>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</si>
  <si>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</si>
  <si>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</si>
  <si>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</si>
  <si>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</si>
  <si>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</si>
  <si>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</si>
  <si>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</si>
  <si>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</si>
  <si>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</si>
  <si>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</si>
  <si>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</si>
  <si>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</si>
  <si>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</si>
  <si>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</si>
  <si>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</si>
  <si>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</si>
  <si>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</si>
  <si>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</si>
  <si>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</si>
  <si>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</si>
  <si>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</si>
  <si>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</si>
  <si>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</si>
  <si>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</si>
  <si>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</si>
  <si>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</si>
  <si>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</si>
  <si>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</si>
  <si>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</si>
  <si>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</si>
  <si>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</si>
  <si>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</si>
  <si>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</si>
  <si>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</si>
  <si>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</si>
  <si>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</si>
  <si>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</si>
  <si>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</si>
  <si>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</si>
  <si>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</si>
  <si>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</si>
  <si>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</si>
  <si>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</si>
  <si>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</si>
  <si>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</si>
  <si>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</si>
  <si>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</si>
  <si>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</si>
  <si>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</si>
  <si>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</si>
  <si>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</si>
  <si>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</si>
  <si>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</si>
  <si>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</si>
  <si>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</si>
  <si>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</si>
  <si>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</si>
  <si>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</si>
  <si>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</si>
  <si>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</si>
  <si>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</si>
  <si>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</si>
  <si>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</si>
  <si>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</si>
  <si>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</si>
  <si>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</si>
  <si>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</si>
  <si>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</si>
  <si>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</si>
  <si>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</si>
  <si>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</si>
  <si>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</si>
  <si>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</si>
  <si>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</si>
  <si>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</si>
  <si>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</si>
  <si>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</si>
  <si>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</si>
  <si>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</si>
  <si>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</si>
  <si>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</si>
  <si>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</si>
  <si>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</si>
  <si>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</si>
  <si>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</si>
  <si>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</si>
  <si>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</si>
  <si>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</si>
  <si>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</si>
  <si>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</si>
  <si>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</si>
  <si>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</si>
  <si>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</si>
  <si>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</si>
  <si>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</si>
  <si>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</si>
  <si>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</si>
  <si>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</si>
  <si>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</si>
  <si>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</si>
  <si>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</si>
  <si>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</si>
  <si>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</si>
  <si>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</si>
  <si>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</si>
  <si>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</si>
  <si>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</si>
  <si>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</si>
  <si>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</si>
  <si>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</si>
  <si>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</si>
  <si>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</si>
  <si>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</si>
  <si>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</si>
  <si>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</si>
  <si>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</si>
  <si>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</si>
  <si>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</si>
  <si>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</si>
  <si>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</si>
  <si>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</si>
  <si>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</si>
  <si>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</si>
  <si>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</si>
  <si>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</si>
  <si>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</si>
  <si>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</si>
  <si>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</si>
  <si>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</si>
  <si>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</si>
  <si>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</si>
  <si>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</si>
  <si>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</si>
  <si>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</si>
  <si>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</si>
  <si>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</si>
  <si>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</si>
  <si>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</si>
  <si>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</si>
  <si>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</si>
  <si>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</si>
  <si>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</si>
  <si>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</si>
  <si>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</si>
  <si>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</si>
  <si>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</si>
  <si>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</si>
  <si>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</si>
  <si>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</si>
  <si>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</si>
  <si>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</si>
  <si>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</si>
  <si>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</si>
  <si>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</si>
  <si>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</si>
  <si>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</si>
  <si>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</si>
  <si>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</si>
  <si>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</si>
  <si>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</si>
  <si>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</si>
  <si>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</si>
  <si>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</si>
  <si>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</si>
  <si>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</si>
  <si>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</si>
  <si>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</si>
  <si>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</si>
  <si>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</si>
  <si>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</si>
  <si>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</si>
  <si>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</si>
  <si>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</si>
  <si>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</si>
  <si>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</si>
  <si>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</si>
  <si>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</si>
  <si>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</si>
  <si>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</si>
  <si>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</si>
  <si>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</si>
  <si>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</si>
  <si>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</si>
  <si>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</si>
  <si>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</si>
  <si>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</si>
  <si>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</si>
  <si>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</si>
  <si>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</si>
  <si>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</si>
  <si>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</si>
  <si>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</si>
  <si>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</si>
  <si>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</si>
  <si>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</si>
  <si>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</si>
  <si>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</si>
  <si>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</si>
  <si>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</si>
  <si>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</si>
  <si>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</si>
  <si>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</si>
  <si>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</si>
  <si>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</si>
  <si>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</si>
  <si>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</si>
  <si>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</si>
  <si>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</si>
  <si>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</si>
  <si>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</si>
  <si>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</si>
  <si>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</si>
  <si>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</si>
  <si>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</si>
  <si>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</si>
  <si>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</si>
  <si>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</si>
  <si>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</si>
  <si>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</si>
  <si>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</si>
  <si>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</si>
  <si>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</si>
  <si>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</si>
  <si>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</si>
  <si>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</si>
  <si>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</si>
  <si>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</si>
  <si>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</si>
  <si>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</si>
  <si>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</si>
  <si>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</si>
  <si>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</si>
  <si>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</si>
  <si>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</si>
  <si>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</si>
  <si>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</si>
  <si>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</si>
  <si>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</si>
  <si>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</si>
  <si>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</si>
  <si>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</si>
  <si>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</si>
  <si>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</si>
  <si>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</si>
  <si>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</si>
  <si>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</si>
  <si>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</si>
  <si>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</si>
  <si>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</si>
  <si>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</si>
  <si>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</si>
  <si>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</si>
  <si>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</si>
  <si>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</si>
  <si>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</si>
  <si>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</si>
  <si>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</si>
  <si>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</si>
  <si>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</si>
  <si>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</si>
  <si>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</si>
  <si>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</si>
  <si>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</si>
  <si>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</si>
  <si>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</si>
  <si>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</si>
  <si>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</si>
  <si>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</si>
  <si>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</si>
  <si>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</si>
  <si>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</si>
  <si>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</si>
  <si>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</si>
  <si>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</si>
  <si>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</si>
  <si>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</si>
  <si>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</si>
  <si>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</si>
  <si>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</si>
  <si>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</si>
  <si>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</si>
  <si>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</si>
  <si>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</si>
  <si>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</si>
  <si>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</si>
  <si>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</si>
  <si>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</si>
  <si>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</si>
  <si>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</si>
  <si>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</si>
  <si>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</si>
  <si>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</si>
  <si>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</si>
  <si>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</si>
  <si>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</si>
  <si>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</si>
  <si>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</si>
  <si>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</si>
  <si>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</si>
  <si>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</si>
  <si>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</si>
  <si>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</si>
  <si>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</si>
  <si>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</si>
  <si>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</si>
  <si>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</si>
  <si>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</si>
  <si>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</si>
  <si>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</si>
  <si>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</si>
  <si>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</si>
  <si>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</si>
  <si>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</si>
  <si>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</si>
  <si>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</si>
  <si>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</si>
  <si>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</si>
  <si>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</si>
  <si>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</si>
  <si>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</si>
  <si>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</si>
  <si>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</si>
  <si>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</si>
  <si>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</si>
  <si>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</si>
  <si>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</si>
  <si>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</si>
  <si>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</si>
  <si>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</si>
  <si>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</si>
  <si>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</si>
  <si>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</si>
  <si>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</si>
  <si>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</si>
  <si>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</si>
  <si>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</si>
  <si>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</si>
  <si>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</si>
  <si>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</si>
  <si>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</si>
  <si>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</si>
  <si>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</si>
  <si>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</si>
  <si>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</si>
  <si>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</si>
  <si>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</si>
  <si>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</si>
  <si>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</si>
  <si>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</si>
  <si>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</si>
  <si>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</si>
  <si>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</si>
  <si>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</si>
  <si>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</si>
  <si>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</si>
  <si>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</si>
  <si>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</si>
  <si>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</si>
  <si>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</si>
  <si>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</si>
  <si>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</si>
  <si>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</si>
  <si>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</si>
  <si>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</si>
  <si>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</si>
  <si>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</si>
  <si>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</si>
  <si>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</si>
  <si>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</si>
  <si>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</si>
  <si>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</si>
  <si>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</si>
  <si>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</si>
  <si>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</si>
  <si>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</si>
  <si>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</si>
  <si>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</si>
  <si>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</si>
  <si>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</si>
  <si>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</si>
  <si>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</si>
  <si>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</si>
  <si>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</si>
  <si>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</si>
  <si>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</si>
  <si>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</si>
  <si>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</si>
  <si>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</si>
  <si>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</si>
  <si>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</si>
  <si>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</si>
  <si>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</si>
  <si>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</si>
  <si>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</si>
  <si>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</si>
  <si>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</si>
  <si>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</si>
  <si>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</si>
  <si>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</si>
  <si>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</si>
  <si>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</si>
  <si>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</si>
  <si>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</si>
  <si>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</si>
  <si>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</si>
  <si>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</si>
  <si>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</si>
  <si>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</si>
  <si>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</si>
  <si>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</si>
  <si>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</si>
  <si>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</si>
  <si>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</si>
  <si>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</si>
  <si>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</si>
  <si>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</si>
  <si>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</si>
  <si>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</si>
  <si>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</si>
  <si>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</si>
  <si>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</si>
  <si>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</si>
  <si>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</si>
  <si>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</si>
  <si>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</si>
  <si>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</si>
  <si>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</si>
  <si>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</si>
  <si>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</si>
  <si>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</si>
  <si>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</si>
  <si>
    <t>Implied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</si>
</sst>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89" zoomScaleNormal="100" workbookViewId="0">
      <selection activeCell="E120" sqref="E1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551</v>
      </c>
      <c r="E4" s="435" t="s">
        <v>540</v>
      </c>
      <c r="F4" s="436" t="s">
        <v>324</v>
      </c>
    </row>
    <row r="5" spans="1:9">
      <c r="B5" s="1" t="s">
        <v>349</v>
      </c>
      <c r="C5" s="46" t="s">
        <v>552</v>
      </c>
      <c r="E5" s="438" t="s">
        <v>542</v>
      </c>
      <c r="F5" s="437" t="s">
        <v>550</v>
      </c>
    </row>
    <row r="6" spans="1:9">
      <c r="B6" s="2" t="s">
        <v>53</v>
      </c>
      <c r="C6" s="45" t="s">
        <v>404</v>
      </c>
      <c r="D6" s="45"/>
      <c r="E6" s="45"/>
    </row>
    <row r="7" spans="1:9">
      <c r="B7" s="1" t="s">
        <v>351</v>
      </c>
      <c r="C7" s="45" t="s">
        <v>308</v>
      </c>
      <c r="D7" s="45"/>
      <c r="E7" s="45"/>
    </row>
    <row r="8" spans="1:9">
      <c r="B8" s="4" t="s">
        <v>350</v>
      </c>
      <c r="C8" s="47">
        <v>3.95</v>
      </c>
      <c r="E8" s="32"/>
    </row>
    <row r="9" spans="1:9">
      <c r="B9" s="4" t="s">
        <v>346</v>
      </c>
      <c r="C9" s="48">
        <v>9065251704</v>
      </c>
    </row>
    <row r="10" spans="1:9">
      <c r="B10" s="4" t="s">
        <v>352</v>
      </c>
      <c r="C10" s="33">
        <f>Thesis!C8*Common_Shares/1000000</f>
        <v>35807.744230800003</v>
      </c>
      <c r="D10" s="1" t="s">
        <v>531</v>
      </c>
      <c r="E10" s="307">
        <f>Scenarios!F34</f>
        <v>0.20967048786502251</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1.09235412</v>
      </c>
    </row>
    <row r="17" spans="1:6">
      <c r="B17" s="1" t="s">
        <v>535</v>
      </c>
      <c r="C17" s="420">
        <v>0</v>
      </c>
      <c r="D17" s="4" t="s">
        <v>274</v>
      </c>
      <c r="E17" s="224" t="s">
        <v>546</v>
      </c>
    </row>
    <row r="18" spans="1:6">
      <c r="B18" s="1" t="str">
        <f>"Expected Equity Value ("&amp;C7&amp;") :"</f>
        <v>Expected Equity Value (HKD) :</v>
      </c>
      <c r="C18" s="255">
        <f>C125</f>
        <v>6.1038256936984379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407</v>
      </c>
      <c r="C21" s="257" t="str">
        <f>C138&amp;" ("&amp;Market_currency&amp;")"</f>
        <v xml:space="preserve"> (HKD)</v>
      </c>
      <c r="D21" s="31" t="s">
        <v>316</v>
      </c>
      <c r="E21" s="447">
        <v>3</v>
      </c>
    </row>
    <row r="22" spans="1:6">
      <c r="B22" s="1" t="s">
        <v>312</v>
      </c>
      <c r="C22" s="258">
        <f>E140</f>
        <v>3.2552810114252879</v>
      </c>
      <c r="D22" s="38" t="s">
        <v>409</v>
      </c>
      <c r="E22" s="79">
        <v>0.29465259038036606</v>
      </c>
    </row>
    <row r="23" spans="1:6">
      <c r="B23" s="1" t="s">
        <v>313</v>
      </c>
      <c r="C23" s="259">
        <f>E141</f>
        <v>4.034423645394611</v>
      </c>
      <c r="D23" s="38" t="s">
        <v>410</v>
      </c>
      <c r="E23" s="448">
        <v>0.20075184365903009</v>
      </c>
    </row>
    <row r="24" spans="1:6">
      <c r="B24" s="1" t="s">
        <v>315</v>
      </c>
      <c r="C24" s="259">
        <f>E144</f>
        <v>4.9583479389611078</v>
      </c>
      <c r="D24" s="38" t="s">
        <v>411</v>
      </c>
      <c r="E24" s="448">
        <v>0.1174</v>
      </c>
    </row>
    <row r="25" spans="1:6">
      <c r="B25" s="1" t="s">
        <v>314</v>
      </c>
      <c r="C25" s="259">
        <f>E145</f>
        <v>5.5794505037218762</v>
      </c>
      <c r="D25" s="38" t="s">
        <v>412</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0.10871307104352078</v>
      </c>
      <c r="F62" s="260"/>
    </row>
    <row r="63" spans="2:6">
      <c r="B63" s="204" t="s">
        <v>332</v>
      </c>
      <c r="C63" s="89">
        <f>Normalized_FCF!C92</f>
        <v>6.1215189873417716E-2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481</v>
      </c>
      <c r="B71" s="34"/>
      <c r="C71" s="34"/>
      <c r="D71" s="34"/>
      <c r="E71" s="34"/>
      <c r="F71" s="34"/>
    </row>
    <row r="72" spans="1:6">
      <c r="A72" s="191"/>
    </row>
    <row r="73" spans="1:6">
      <c r="A73" s="191"/>
      <c r="B73" s="458" t="s">
        <v>482</v>
      </c>
      <c r="C73" s="458"/>
      <c r="D73" s="458"/>
      <c r="E73" s="458"/>
      <c r="F73" s="458"/>
    </row>
    <row r="74" spans="1:6">
      <c r="A74" s="191"/>
      <c r="B74" s="1" t="s">
        <v>469</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-0.10182325457066646</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470</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1.7594639313829044</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5.160973846865841E-4</v>
      </c>
      <c r="D90" s="1" t="str">
        <f>Market_currency</f>
        <v>HKD</v>
      </c>
    </row>
    <row r="91" spans="1:6">
      <c r="A91" s="191"/>
    </row>
    <row r="92" spans="1:6">
      <c r="A92" s="191"/>
      <c r="B92" s="44" t="s">
        <v>473</v>
      </c>
      <c r="C92" s="216">
        <f>DCF!F8</f>
        <v>1.6581567741969243</v>
      </c>
      <c r="D92" s="44" t="str">
        <f>Market_currency</f>
        <v>HKD</v>
      </c>
    </row>
    <row r="94" spans="1:6" ht="13.9">
      <c r="A94" s="200" t="s">
        <v>474</v>
      </c>
      <c r="B94" s="34"/>
      <c r="C94" s="34"/>
      <c r="D94" s="34"/>
      <c r="E94" s="34"/>
      <c r="F94" s="34"/>
    </row>
    <row r="95" spans="1:6">
      <c r="A95" s="191"/>
    </row>
    <row r="96" spans="1:6" ht="11.75" customHeight="1">
      <c r="B96" s="458" t="s">
        <v>489</v>
      </c>
      <c r="C96" s="458"/>
      <c r="D96" s="458"/>
      <c r="E96" s="458"/>
      <c r="F96" s="458"/>
    </row>
    <row r="97" spans="2:6">
      <c r="B97" s="462" t="s">
        <v>488</v>
      </c>
      <c r="C97" s="462"/>
      <c r="D97" s="462"/>
      <c r="E97" s="462"/>
      <c r="F97" s="462"/>
    </row>
    <row r="98" spans="2:6">
      <c r="B98" s="462" t="s">
        <v>487</v>
      </c>
      <c r="C98" s="462"/>
      <c r="D98" s="462"/>
      <c r="E98" s="462"/>
      <c r="F98" s="462"/>
    </row>
    <row r="100" spans="2:6">
      <c r="B100" s="192" t="s">
        <v>195</v>
      </c>
    </row>
    <row r="101" spans="2:6">
      <c r="B101" s="49" t="s">
        <v>471</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491</v>
      </c>
    </row>
    <row r="111" spans="2:6">
      <c r="B111" s="49" t="s">
        <v>472</v>
      </c>
      <c r="C111" s="216">
        <f>BS!D47</f>
        <v>1.2412926008211553</v>
      </c>
      <c r="D111" s="1" t="str">
        <f>Market_currency</f>
        <v>HKD</v>
      </c>
    </row>
    <row r="112" spans="2:6">
      <c r="B112" s="44" t="s">
        <v>323</v>
      </c>
      <c r="C112" s="216">
        <f>DCF!C11</f>
        <v>7.5811447827749525</v>
      </c>
      <c r="D112" s="1" t="str">
        <f>Market_currency</f>
        <v>HKD</v>
      </c>
    </row>
    <row r="114" spans="2:6" ht="24.5" customHeight="1">
      <c r="B114" s="458" t="s">
        <v>495</v>
      </c>
      <c r="C114" s="458"/>
      <c r="D114" s="458"/>
      <c r="E114" s="458"/>
      <c r="F114" s="458"/>
    </row>
    <row r="116" spans="2:6">
      <c r="B116" s="192" t="s">
        <v>492</v>
      </c>
    </row>
    <row r="117" spans="2:6" ht="12.4">
      <c r="B117" s="346" t="s">
        <v>101</v>
      </c>
      <c r="C117" s="346" t="s">
        <v>110</v>
      </c>
      <c r="D117" s="346" t="s">
        <v>219</v>
      </c>
      <c r="E117" s="346" t="s">
        <v>124</v>
      </c>
      <c r="F117" s="346" t="s">
        <v>555</v>
      </c>
    </row>
    <row r="118" spans="2:6">
      <c r="B118" s="205" t="str">
        <f>DCF!B82&amp;" ("&amp;DCF!D82&amp;"yrs)"</f>
        <v>Snowball Scenario (5yrs)</v>
      </c>
      <c r="C118" s="206">
        <f>DCF!C82</f>
        <v>0.05</v>
      </c>
      <c r="D118" s="207" t="str">
        <f>ROUND(DCF!E82,2)&amp;" "&amp;Market_currency</f>
        <v>9.01 HKD</v>
      </c>
      <c r="E118" s="208">
        <f>DCF!F82</f>
        <v>0.05</v>
      </c>
      <c r="F118" s="208">
        <f>RATE(Holding_Period,Scenarios!C$58,-DCF!E82,C$18)</f>
        <v>-9.1188638213080694E-2</v>
      </c>
    </row>
    <row r="119" spans="2:6">
      <c r="B119" s="205" t="str">
        <f>DCF!B83&amp;" ("&amp;DCF!D83&amp;"yrs)"</f>
        <v>Optimistic (5yrs)</v>
      </c>
      <c r="C119" s="198">
        <f>DCF!C83</f>
        <v>0.02</v>
      </c>
      <c r="D119" s="207" t="str">
        <f>ROUND(DCF!E83,2)&amp;" "&amp;Market_currency</f>
        <v>8.12 HKD</v>
      </c>
      <c r="E119" s="199">
        <f>DCF!F83</f>
        <v>0.16999999999999996</v>
      </c>
      <c r="F119" s="208">
        <f>RATE(Holding_Period,Scenarios!C$58,-DCF!E83,C$18)</f>
        <v>-5.8081198189490701E-2</v>
      </c>
    </row>
    <row r="120" spans="2:6">
      <c r="B120" s="205" t="str">
        <f>DCF!B84&amp;" ("&amp;DCF!D84&amp;"yrs)"</f>
        <v>Base (5yrs)</v>
      </c>
      <c r="C120" s="198">
        <f>DCF!C84</f>
        <v>-0.05</v>
      </c>
      <c r="D120" s="207" t="str">
        <f>ROUND(DCF!E84,2)&amp;" "&amp;Market_currency</f>
        <v>6.39 HKD</v>
      </c>
      <c r="E120" s="199">
        <f>DCF!F84</f>
        <v>0.46750000000000003</v>
      </c>
      <c r="F120" s="208">
        <f>RATE(Holding_Period,Scenarios!C$58,-DCF!E84,C$18)</f>
        <v>2.3112547017982255E-2</v>
      </c>
    </row>
    <row r="121" spans="2:6">
      <c r="B121" s="205" t="str">
        <f>DCF!B85&amp;" ("&amp;DCF!D85&amp;"yrs)"</f>
        <v>Pessimistic (5yrs)</v>
      </c>
      <c r="C121" s="198">
        <f>DCF!C85</f>
        <v>-0.15</v>
      </c>
      <c r="D121" s="207" t="str">
        <f>ROUND(DCF!E85,2)&amp;" "&amp;Market_currency</f>
        <v>4.61 HKD</v>
      </c>
      <c r="E121" s="199">
        <f>DCF!F85</f>
        <v>0.21249999999999999</v>
      </c>
      <c r="F121" s="208">
        <f>RATE(Holding_Period,Scenarios!C$58,-DCF!E85,C$18)</f>
        <v>0.14579424753803166</v>
      </c>
    </row>
    <row r="122" spans="2:6">
      <c r="B122" s="205" t="str">
        <f>DCF!B86&amp;" ("&amp;DCF!D86&amp;"yrs)"</f>
        <v>Devil's advocate (5yrs)</v>
      </c>
      <c r="C122" s="198">
        <f>DCF!C86</f>
        <v>-0.3</v>
      </c>
      <c r="D122" s="207" t="str">
        <f>ROUND(DCF!E86,2)&amp;" "&amp;Market_currency</f>
        <v>3.03 HKD</v>
      </c>
      <c r="E122" s="199">
        <f>DCF!F86</f>
        <v>0.1</v>
      </c>
      <c r="F122" s="208">
        <f>RATE(Holding_Period,Scenarios!C$58,-DCF!E86,C$18)</f>
        <v>0.32713236945852026</v>
      </c>
    </row>
    <row r="124" spans="2:6">
      <c r="B124" s="459" t="s">
        <v>357</v>
      </c>
      <c r="C124" s="459"/>
      <c r="D124" s="459"/>
      <c r="E124" s="459"/>
      <c r="F124" s="459"/>
    </row>
    <row r="125" spans="2:6">
      <c r="B125" s="193" t="s">
        <v>218</v>
      </c>
      <c r="C125" s="197">
        <f>Scenarios!C36</f>
        <v>6.1038256936984379</v>
      </c>
      <c r="D125" s="194" t="str">
        <f>Market_currency</f>
        <v>HKD</v>
      </c>
    </row>
    <row r="127" spans="2:6" ht="24.5" customHeight="1">
      <c r="B127" s="461" t="s">
        <v>358</v>
      </c>
      <c r="C127" s="461"/>
      <c r="D127" s="461"/>
      <c r="E127" s="461"/>
      <c r="F127" s="461"/>
    </row>
    <row r="129" spans="1:6" ht="13.9">
      <c r="A129" s="200" t="s">
        <v>478</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498</v>
      </c>
      <c r="C138" s="214"/>
      <c r="D138" s="215"/>
    </row>
    <row r="139" spans="1:6" ht="12.4">
      <c r="B139" s="344" t="s">
        <v>466</v>
      </c>
      <c r="C139" s="344" t="str">
        <f>"PV("&amp;Holding_Period&amp;" yrs of Dividends)"</f>
        <v>PV(3 yrs of Dividends)</v>
      </c>
      <c r="D139" s="344" t="s">
        <v>475</v>
      </c>
      <c r="E139" s="345" t="str">
        <f>"Buy below ("&amp;Market_currency&amp;")"</f>
        <v>Buy below (HKD)</v>
      </c>
      <c r="F139" s="345" t="s">
        <v>476</v>
      </c>
    </row>
    <row r="140" spans="1:6">
      <c r="B140" s="340" t="s">
        <v>312</v>
      </c>
      <c r="C140" s="337">
        <f>Scenarios!C62</f>
        <v>0.44245811110342687</v>
      </c>
      <c r="D140" s="337">
        <f>Scenarios!D62</f>
        <v>2.8128229003218612</v>
      </c>
      <c r="E140" s="338">
        <f>Scenarios!E62</f>
        <v>3.2552810114252879</v>
      </c>
      <c r="F140" s="339">
        <f>E22</f>
        <v>0.29465259038036606</v>
      </c>
    </row>
    <row r="141" spans="1:6">
      <c r="B141" s="340" t="s">
        <v>313</v>
      </c>
      <c r="C141" s="337">
        <f>Scenarios!C63</f>
        <v>0.50874815444966315</v>
      </c>
      <c r="D141" s="337">
        <f>Scenarios!D63</f>
        <v>3.5256754909449475</v>
      </c>
      <c r="E141" s="338">
        <f>Scenarios!E63</f>
        <v>4.034423645394611</v>
      </c>
      <c r="F141" s="339">
        <f>Scenarios!F63</f>
        <v>0.20075184365903009</v>
      </c>
    </row>
    <row r="142" spans="1:6">
      <c r="B142" s="194"/>
      <c r="C142" s="194"/>
      <c r="D142" s="194"/>
      <c r="E142" s="194"/>
      <c r="F142" s="194"/>
    </row>
    <row r="143" spans="1:6" ht="12.4">
      <c r="B143" s="344" t="s">
        <v>467</v>
      </c>
      <c r="C143" s="344" t="str">
        <f>"PV("&amp;Holding_Period&amp;" yrs of Dividends)"</f>
        <v>PV(3 yrs of Dividends)</v>
      </c>
      <c r="D143" s="344" t="s">
        <v>475</v>
      </c>
      <c r="E143" s="345" t="str">
        <f>"Sell above ("&amp;Market_currency&amp;")"</f>
        <v>Sell above (HKD)</v>
      </c>
      <c r="F143" s="345" t="s">
        <v>476</v>
      </c>
    </row>
    <row r="144" spans="1:6">
      <c r="B144" s="340" t="s">
        <v>315</v>
      </c>
      <c r="C144" s="337">
        <f>Scenarios!C66</f>
        <v>0.58336743585196538</v>
      </c>
      <c r="D144" s="337">
        <f>Scenarios!D66</f>
        <v>4.3749805031091427</v>
      </c>
      <c r="E144" s="338">
        <f>Scenarios!E66</f>
        <v>4.9583479389611078</v>
      </c>
      <c r="F144" s="339">
        <f>E24</f>
        <v>0.1174</v>
      </c>
    </row>
    <row r="145" spans="1:6">
      <c r="B145" s="340" t="s">
        <v>314</v>
      </c>
      <c r="C145" s="337">
        <f>Scenarios!C67</f>
        <v>0.63167232993043521</v>
      </c>
      <c r="D145" s="337">
        <f>Scenarios!D67</f>
        <v>4.9477781737914412</v>
      </c>
      <c r="E145" s="338">
        <f>Scenarios!E67</f>
        <v>5.5794505037218762</v>
      </c>
      <c r="F145" s="339">
        <f>Scenarios!F67</f>
        <v>7.2499999999999995E-2</v>
      </c>
    </row>
    <row r="147" spans="1:6" ht="13.9">
      <c r="A147" s="200" t="s">
        <v>479</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442</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4" activePane="bottomRight" state="frozen"/>
      <selection pane="topRight" activeCell="C1" sqref="C1"/>
      <selection pane="bottomLeft" activeCell="A2" sqref="A2"/>
      <selection pane="bottomRight" activeCell="E70" sqref="C70:E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4" sqref="G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405</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3.0860457031533781</v>
      </c>
      <c r="D47" s="134">
        <f>D46*H1/Common_Shares*Exchange_Rate</f>
        <v>1.2412926008211553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923053.43200356001</v>
      </c>
      <c r="D86" s="201">
        <f>C86*scaling_factor/Common_Shares</f>
        <v>0.10182325457066647</v>
      </c>
      <c r="E86" s="214" t="str">
        <f>Market_currency</f>
        <v>HKD</v>
      </c>
    </row>
    <row r="87" spans="2:8" ht="15" customHeight="1">
      <c r="B87" s="212" t="s">
        <v>240</v>
      </c>
      <c r="C87" s="73">
        <f>DCF!F5*Exchange_Rate</f>
        <v>15949983.402095413</v>
      </c>
      <c r="D87" s="201">
        <f>C87*scaling_factor/Common_Shares</f>
        <v>1.7594639313829044</v>
      </c>
      <c r="E87" s="214" t="str">
        <f>Market_currency</f>
        <v>HKD</v>
      </c>
    </row>
    <row r="88" spans="2:8" ht="15" customHeight="1">
      <c r="B88" s="213" t="s">
        <v>159</v>
      </c>
      <c r="C88" s="73">
        <f>DCF!F6*Exchange_Rate</f>
        <v>4678.5526959600002</v>
      </c>
      <c r="D88" s="201">
        <f>C88*scaling_factor/Common_Shares</f>
        <v>5.160973846865841E-4</v>
      </c>
      <c r="E88" s="214" t="str">
        <f>Market_currency</f>
        <v>HKD</v>
      </c>
    </row>
    <row r="89" spans="2:8" ht="15" customHeight="1">
      <c r="B89" s="77" t="s">
        <v>244</v>
      </c>
      <c r="C89" s="162">
        <f>SUM(C86:C88)</f>
        <v>16877715.386794932</v>
      </c>
      <c r="D89" s="216">
        <f>SUM(D86:D88)</f>
        <v>1.8618032833382574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413</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418</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406</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6.1215189873417716E-2</v>
      </c>
      <c r="E92" s="238"/>
      <c r="G92" s="22">
        <f t="shared" ref="G92:Q92" si="38">IF(G$4="","",(G88*(1-dividend_tax_rate))/Market_Price)</f>
        <v>8.263291139240507E-2</v>
      </c>
      <c r="H92" s="22">
        <f t="shared" si="38"/>
        <v>7.1721518987341762E-2</v>
      </c>
      <c r="I92" s="22">
        <f t="shared" si="38"/>
        <v>7.2202531645569626E-2</v>
      </c>
      <c r="J92" s="22">
        <f t="shared" si="38"/>
        <v>0.11913924050632911</v>
      </c>
      <c r="K92" s="22">
        <f t="shared" si="38"/>
        <v>7.4962025316455697E-2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0.4294166306219071</v>
      </c>
      <c r="D123" s="26"/>
      <c r="E123" s="235"/>
      <c r="F123" s="26"/>
      <c r="G123" s="159">
        <f t="shared" ref="G123:Q123" si="48">IF(G$4="","",G14*$C$3/Common_Shares*Exchange_Rate)</f>
        <v>0.35172142392550931</v>
      </c>
      <c r="H123" s="159">
        <f t="shared" si="48"/>
        <v>0.31603397243438891</v>
      </c>
      <c r="I123" s="159">
        <f t="shared" si="48"/>
        <v>0.49383651269274453</v>
      </c>
      <c r="J123" s="159">
        <f t="shared" si="48"/>
        <v>0.62952059976022479</v>
      </c>
      <c r="K123" s="159">
        <f t="shared" si="48"/>
        <v>0.5465891845477564</v>
      </c>
      <c r="L123" s="159">
        <f t="shared" si="48"/>
        <v>0.36482144494711322</v>
      </c>
      <c r="M123" s="159">
        <f t="shared" si="48"/>
        <v>0.21358394440113165</v>
      </c>
      <c r="N123" s="159">
        <f t="shared" si="48"/>
        <v>9.3816816413273205E-2</v>
      </c>
      <c r="O123" s="159">
        <f t="shared" si="48"/>
        <v>2.6270477521611241E-2</v>
      </c>
      <c r="P123" s="159" t="str">
        <f t="shared" si="48"/>
        <v/>
      </c>
      <c r="Q123" s="159" t="str">
        <f t="shared" si="48"/>
        <v/>
      </c>
    </row>
    <row r="124" spans="1:17" ht="15.75" customHeight="1">
      <c r="A124" s="10"/>
      <c r="B124" s="26" t="s">
        <v>226</v>
      </c>
      <c r="C124" s="74">
        <f>C19*Exchange_Rate*$C$3/(Market_Price*Common_Shares)</f>
        <v>0.10871307104352078</v>
      </c>
      <c r="D124" s="26"/>
      <c r="E124" s="235"/>
      <c r="F124" s="26"/>
      <c r="G124" s="74">
        <f t="shared" ref="G124" si="49">IF(G$4="","",G123/Market_Price)</f>
        <v>8.9043398462154255E-2</v>
      </c>
      <c r="H124" s="74">
        <f t="shared" ref="H124" si="50">IF(H$4="","",H123/Market_Price)</f>
        <v>8.0008600616300982E-2</v>
      </c>
      <c r="I124" s="74">
        <f t="shared" ref="I124" si="51">IF(I$4="","",I123/Market_Price)</f>
        <v>0.12502190194753027</v>
      </c>
      <c r="J124" s="74">
        <f t="shared" ref="J124" si="52">IF(J$4="","",J123/Market_Price)</f>
        <v>0.15937230373676575</v>
      </c>
      <c r="K124" s="74">
        <f t="shared" ref="K124" si="53">IF(K$4="","",K123/Market_Price)</f>
        <v>0.13837700874626743</v>
      </c>
      <c r="L124" s="74">
        <f t="shared" ref="L124" si="54">IF(L$4="","",L123/Market_Price)</f>
        <v>9.2359859480281817E-2</v>
      </c>
      <c r="M124" s="74">
        <f t="shared" ref="M124" si="55">IF(M$4="","",M123/Market_Price)</f>
        <v>5.4071884658514341E-2</v>
      </c>
      <c r="N124" s="74">
        <f t="shared" ref="N124" si="56">IF(N$4="","",N123/Market_Price)</f>
        <v>2.3751092762853976E-2</v>
      </c>
      <c r="O124" s="74">
        <f t="shared" ref="O124" si="57">IF(O$4="","",O123/Market_Price)</f>
        <v>6.650753802939554E-3</v>
      </c>
      <c r="P124" s="74" t="str">
        <f t="shared" ref="P124" si="58">IF(P$4="","",P123/Market_Price)</f>
        <v/>
      </c>
      <c r="Q124" s="74" t="str">
        <f t="shared" ref="Q124" si="59">IF(Q$4="","",Q123/Market_Price)</f>
        <v/>
      </c>
    </row>
    <row r="125" spans="1:17" ht="15.75" customHeight="1">
      <c r="B125" s="2" t="s">
        <v>306</v>
      </c>
      <c r="C125" s="151"/>
      <c r="G125" s="22">
        <f>IF(G$4="","",(Data!C47*$C$3)/(Market_Price*Common_Shares))</f>
        <v>0.10204831604155928</v>
      </c>
      <c r="H125" s="22">
        <f>IF(H$4="","",(Data!D47*$C$3)/(Market_Price*Common_Shares))</f>
        <v>9.1889396293492465E-2</v>
      </c>
      <c r="I125" s="22">
        <f>IF(I$4="","",(Data!E47*$C$3)/(Market_Price*Common_Shares))</f>
        <v>0.13818535923700803</v>
      </c>
      <c r="J125" s="22">
        <f>IF(J$4="","",(Data!F47*$C$3)/(Market_Price*Common_Shares))</f>
        <v>0.19311174575616405</v>
      </c>
      <c r="K125" s="22">
        <f>IF(K$4="","",(Data!G47*$C$3)/(Market_Price*Common_Shares))</f>
        <v>0.2076822251652308</v>
      </c>
      <c r="L125" s="22">
        <f>IF(L$4="","",(Data!H47*$C$3)/(Market_Price*Common_Shares))</f>
        <v>0.10988061617731498</v>
      </c>
      <c r="M125" s="22">
        <f>IF(M$4="","",(Data!I47*$C$3)/(Market_Price*Common_Shares))</f>
        <v>6.2619247544538903E-2</v>
      </c>
      <c r="N125" s="22">
        <f>IF(N$4="","",(Data!J47*$C$3)/(Market_Price*Common_Shares))</f>
        <v>3.2401538408052877E-2</v>
      </c>
      <c r="O125" s="22">
        <f>IF(O$4="","",(Data!K47*$C$3)/(Market_Price*Common_Shares))</f>
        <v>1.1342574315269173E-2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58" zoomScaleNormal="100" workbookViewId="0">
      <selection activeCell="B84" sqref="B84:F8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79">
        <f>Normalized_FCF!C19</f>
        <v>3563651.9066465204</v>
      </c>
      <c r="D4" t="str">
        <f>Reporting_currency</f>
        <v>CNY</v>
      </c>
      <c r="E4" s="135" t="s">
        <v>435</v>
      </c>
      <c r="F4" s="279">
        <f>-BS!G31</f>
        <v>-845013</v>
      </c>
      <c r="G4" t="str">
        <f>Reporting_currency</f>
        <v>CNY</v>
      </c>
      <c r="H4" s="312" t="s">
        <v>394</v>
      </c>
      <c r="I4" s="309">
        <f>Normalized_FCF!C4</f>
        <v>20748550</v>
      </c>
      <c r="J4" s="309"/>
    </row>
    <row r="5" spans="2:15">
      <c r="B5" s="187" t="s">
        <v>105</v>
      </c>
      <c r="C5" s="188">
        <f>Equity_Cost</f>
        <v>7.2499999999999995E-2</v>
      </c>
      <c r="E5" s="135" t="s">
        <v>436</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437</v>
      </c>
      <c r="F6" s="288">
        <f>BS!H42</f>
        <v>4283</v>
      </c>
      <c r="G6" t="str">
        <f>Reporting_currency</f>
        <v>CNY</v>
      </c>
      <c r="H6" s="312" t="s">
        <v>419</v>
      </c>
      <c r="I6" s="309">
        <f>I7+I8</f>
        <v>-38789.791137972803</v>
      </c>
      <c r="J6" s="309"/>
      <c r="N6" s="135"/>
    </row>
    <row r="7" spans="2:15" ht="12.75" customHeight="1">
      <c r="B7" s="322" t="s">
        <v>434</v>
      </c>
      <c r="C7" s="279">
        <f>F7</f>
        <v>13760746.8563288</v>
      </c>
      <c r="E7" s="140" t="s">
        <v>428</v>
      </c>
      <c r="F7" s="287">
        <f>SUM(F4:F6)</f>
        <v>13760746.8563288</v>
      </c>
      <c r="G7" t="str">
        <f>Reporting_currency</f>
        <v>CNY</v>
      </c>
      <c r="H7" s="316" t="s">
        <v>420</v>
      </c>
      <c r="I7" s="317">
        <f>Normalized_FCF!C9</f>
        <v>-12182</v>
      </c>
      <c r="J7" s="317"/>
      <c r="N7" s="308"/>
      <c r="O7" s="308"/>
    </row>
    <row r="8" spans="2:15" ht="13.15">
      <c r="B8" s="136" t="s">
        <v>430</v>
      </c>
      <c r="C8" s="287">
        <f>C6+C7</f>
        <v>62914566.258349776</v>
      </c>
      <c r="D8" t="str">
        <f>Reporting_currency</f>
        <v>CNY</v>
      </c>
      <c r="E8" s="140" t="s">
        <v>468</v>
      </c>
      <c r="F8" s="108">
        <f>FV_adjustments*scaling_factor/Common_Shares*Exchange_Rate</f>
        <v>1.6581567741969243</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1.09235412</v>
      </c>
      <c r="D9" t="str">
        <f>Thesis!E15</f>
        <v>CNY/HKD</v>
      </c>
      <c r="F9" s="326"/>
      <c r="H9" s="312" t="str">
        <f>Normalized_FCF!B79</f>
        <v>NCI’s Share of Profits</v>
      </c>
      <c r="I9" s="144">
        <f>Normalized_FCF!C79</f>
        <v>4.0482346959185098E-3</v>
      </c>
      <c r="J9" s="310"/>
      <c r="N9" s="308"/>
      <c r="O9" s="308"/>
    </row>
    <row r="10" spans="2:15" ht="13.5" thickTop="1">
      <c r="B10" s="107" t="s">
        <v>431</v>
      </c>
      <c r="C10" s="287">
        <f>C8*Exchange_Rate</f>
        <v>68724985.660321355</v>
      </c>
      <c r="D10" t="str">
        <f>Market_currency</f>
        <v>HKD</v>
      </c>
      <c r="H10" s="312" t="s">
        <v>398</v>
      </c>
      <c r="I10" s="310">
        <f>Normalized_FCF!C41</f>
        <v>0.25</v>
      </c>
      <c r="N10" s="308"/>
      <c r="O10" s="308"/>
    </row>
    <row r="11" spans="2:15" ht="13.15">
      <c r="B11" s="136" t="s">
        <v>429</v>
      </c>
      <c r="C11" s="108">
        <f>(C10*scaling_factor)/Common_Shares</f>
        <v>7.5811447827749525</v>
      </c>
      <c r="D11" t="str">
        <f>Market_currency</f>
        <v>HKD</v>
      </c>
      <c r="E11" s="311"/>
      <c r="I11" s="311"/>
      <c r="J11" s="311"/>
    </row>
    <row r="13" spans="2:15" ht="13.9">
      <c r="B13" s="34" t="s">
        <v>432</v>
      </c>
      <c r="C13" s="35"/>
      <c r="D13" s="35"/>
      <c r="E13" s="35"/>
      <c r="F13" s="35"/>
      <c r="G13" s="35"/>
      <c r="H13" s="35"/>
      <c r="I13" s="35"/>
      <c r="J13" s="35"/>
      <c r="K13" s="35"/>
      <c r="L13" s="35"/>
    </row>
    <row r="14" spans="2:15" ht="13.15">
      <c r="B14" s="106" t="s">
        <v>400</v>
      </c>
      <c r="C14" s="313" t="s">
        <v>408</v>
      </c>
      <c r="E14" s="106" t="s">
        <v>400</v>
      </c>
      <c r="F14" s="313" t="str">
        <f>IF(F17=C17,"I","II")</f>
        <v>I</v>
      </c>
      <c r="H14" s="106" t="s">
        <v>416</v>
      </c>
    </row>
    <row r="15" spans="2:15">
      <c r="B15" s="139" t="s">
        <v>425</v>
      </c>
      <c r="C15" s="148">
        <f>Scenarios!C45</f>
        <v>5</v>
      </c>
      <c r="E15" s="312" t="str">
        <f>IF(F14="II","Change year","Terminal Year")</f>
        <v>Terminal Year</v>
      </c>
      <c r="F15" s="314">
        <f>IF(F14="II",_xlfn.CEILING.MATH(C15/2),C15+1)</f>
        <v>6</v>
      </c>
      <c r="H15" s="97" t="s">
        <v>433</v>
      </c>
      <c r="I15" s="126">
        <f>Terminal_Growth</f>
        <v>0</v>
      </c>
      <c r="J15" s="126"/>
    </row>
    <row r="16" spans="2:15" ht="13.25" customHeight="1">
      <c r="B16" s="114" t="s">
        <v>426</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415</v>
      </c>
    </row>
    <row r="18" spans="1:21" ht="13.25" customHeight="1">
      <c r="B18" s="312" t="s">
        <v>427</v>
      </c>
      <c r="C18" s="310">
        <f>Normalized_FCF!C81-Normalized_FCF!C82</f>
        <v>0</v>
      </c>
      <c r="E18" s="312" t="s">
        <v>427</v>
      </c>
      <c r="F18" s="144">
        <f>IF(F14="II",C18/2,C18)</f>
        <v>0</v>
      </c>
      <c r="H18" s="140" t="s">
        <v>97</v>
      </c>
      <c r="I18" s="129">
        <f>(L52+FV_adjustments)*Exchange_Rate/Common_Shares*scaling_factor</f>
        <v>8.0837602332754823</v>
      </c>
      <c r="J18" t="str">
        <f>Market_currency</f>
        <v>HKD</v>
      </c>
    </row>
    <row r="19" spans="1:21">
      <c r="L19" s="279"/>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I</v>
      </c>
      <c r="B24" s="117">
        <v>4</v>
      </c>
      <c r="C24" s="281">
        <f t="shared" si="5"/>
        <v>22336989.010079876</v>
      </c>
      <c r="D24" s="303">
        <f t="shared" si="1"/>
        <v>1.8613012126595999E-2</v>
      </c>
      <c r="E24" s="303">
        <f t="shared" si="6"/>
        <v>0.68269686315429268</v>
      </c>
      <c r="F24" s="281">
        <f t="shared" si="7"/>
        <v>-1809972.6718289186</v>
      </c>
      <c r="G24" s="281">
        <f t="shared" si="8"/>
        <v>5238834.2176195439</v>
      </c>
      <c r="H24" s="303">
        <f t="shared" si="2"/>
        <v>0</v>
      </c>
      <c r="I24" s="281">
        <f t="shared" si="9"/>
        <v>3838700.2893017023</v>
      </c>
      <c r="J24" s="303">
        <f t="shared" si="10"/>
        <v>1.8756720358476642E-2</v>
      </c>
      <c r="K24" s="119">
        <f t="shared" si="3"/>
        <v>0.75580680282513402</v>
      </c>
      <c r="L24" s="281">
        <f t="shared" si="4"/>
        <v>2901315.7926610368</v>
      </c>
      <c r="N24" s="279"/>
      <c r="O24" s="279"/>
      <c r="P24" s="279"/>
      <c r="Q24" s="279"/>
      <c r="R24" s="279"/>
      <c r="S24" s="279"/>
      <c r="T24" s="279"/>
      <c r="U24" s="279"/>
    </row>
    <row r="25" spans="1:21">
      <c r="A25" s="306" t="str">
        <f t="shared" si="0"/>
        <v>I</v>
      </c>
      <c r="B25" s="117">
        <v>5</v>
      </c>
      <c r="C25" s="281">
        <f t="shared" si="5"/>
        <v>22752747.657396134</v>
      </c>
      <c r="D25" s="303">
        <f t="shared" si="1"/>
        <v>1.8613012126595999E-2</v>
      </c>
      <c r="E25" s="303">
        <f t="shared" si="6"/>
        <v>0.68269686315429268</v>
      </c>
      <c r="F25" s="281">
        <f t="shared" si="7"/>
        <v>-1843661.7151184776</v>
      </c>
      <c r="G25" s="281">
        <f t="shared" si="8"/>
        <v>5337066.6972941626</v>
      </c>
      <c r="H25" s="303">
        <f t="shared" si="2"/>
        <v>0</v>
      </c>
      <c r="I25" s="281">
        <f t="shared" si="9"/>
        <v>3910691.5604764721</v>
      </c>
      <c r="J25" s="303">
        <f t="shared" si="10"/>
        <v>1.8754074491151629E-2</v>
      </c>
      <c r="K25" s="119">
        <f t="shared" si="3"/>
        <v>0.70471496766912267</v>
      </c>
      <c r="L25" s="281">
        <f t="shared" si="4"/>
        <v>2755922.8766050879</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421</v>
      </c>
      <c r="B51" s="320">
        <f>C15+1</f>
        <v>6</v>
      </c>
      <c r="C51" s="281">
        <f>VLOOKUP(C15,B21:C50,2,FALSE)*(1+Terminal_Growth)</f>
        <v>22752747.657396134</v>
      </c>
      <c r="D51" s="305">
        <f>Terminal_Growth</f>
        <v>0</v>
      </c>
      <c r="E51" s="305">
        <f>F17</f>
        <v>0.68269686315429268</v>
      </c>
      <c r="F51" s="281">
        <f>VLOOKUP(C15,B21:F50,5,FALSE)*(1+Terminal_Growth)</f>
        <v>-1843661.7151184776</v>
      </c>
      <c r="G51" s="281">
        <f>C51*(1-E51)+F51+$I$6</f>
        <v>5337066.6972941626</v>
      </c>
      <c r="H51" s="303">
        <f>F18</f>
        <v>0</v>
      </c>
      <c r="I51" s="281">
        <f>(G51*(1-$I$10)+C51*(H51-$I$9))/Equity_Cost</f>
        <v>53940573.247951344</v>
      </c>
      <c r="J51" s="419">
        <f>(G51*(1-$I$10)+C51*(H51-$I$9))/VLOOKUP(C15,B21:I50,8,FALSE)-1</f>
        <v>0</v>
      </c>
      <c r="K51" s="119">
        <f>1/(1+Equity_Cost)^C15</f>
        <v>0.70471496766912267</v>
      </c>
      <c r="L51" s="281">
        <f>I51*K51</f>
        <v>38012729.332483977</v>
      </c>
    </row>
    <row r="52" spans="1:21" ht="13.15">
      <c r="G52" s="111"/>
      <c r="H52" s="111"/>
      <c r="I52" s="111"/>
      <c r="J52" s="464" t="s">
        <v>424</v>
      </c>
      <c r="K52" s="464"/>
      <c r="L52" s="321">
        <f>SUM(L21:L51)</f>
        <v>53324935.238620415</v>
      </c>
    </row>
    <row r="53" spans="1:21">
      <c r="C53" s="111"/>
    </row>
    <row r="54" spans="1:21" ht="13.15">
      <c r="B54" s="115" t="s">
        <v>108</v>
      </c>
      <c r="C54" s="128"/>
      <c r="D54" s="128"/>
      <c r="E54" s="113"/>
      <c r="F54" s="113"/>
      <c r="G54" s="113"/>
      <c r="H54" s="113"/>
      <c r="I54" s="113"/>
      <c r="J54" s="113"/>
      <c r="K54" s="113"/>
      <c r="L54" s="113"/>
    </row>
    <row r="55" spans="1:21" ht="13.15">
      <c r="A55" s="125">
        <f>L52</f>
        <v>53324935.238620415</v>
      </c>
      <c r="B55" s="123">
        <f>C86</f>
        <v>-0.3</v>
      </c>
      <c r="C55" s="123">
        <f>C85</f>
        <v>-0.15</v>
      </c>
      <c r="D55" s="123">
        <f>C84</f>
        <v>-0.05</v>
      </c>
      <c r="E55" s="123">
        <f>C83</f>
        <v>0.02</v>
      </c>
      <c r="F55" s="123">
        <f>C82</f>
        <v>0.05</v>
      </c>
      <c r="G55" s="123"/>
      <c r="H55" s="123"/>
      <c r="I55" s="123"/>
      <c r="J55" s="123"/>
      <c r="K55" s="123"/>
      <c r="L55" s="123"/>
    </row>
    <row r="56" spans="1:21" ht="13.15">
      <c r="A56" s="131">
        <v>5</v>
      </c>
      <c r="B56" s="118">
        <f t="dataTable" ref="B56:F65" dt2D="1" dtr="1" r1="C16" r2="C15"/>
        <v>11419915.467190061</v>
      </c>
      <c r="C56" s="118">
        <v>24527348.85583692</v>
      </c>
      <c r="D56" s="118">
        <v>39289906.365351558</v>
      </c>
      <c r="E56" s="118">
        <v>53647347.214533597</v>
      </c>
      <c r="F56" s="118">
        <v>61033575.176970296</v>
      </c>
      <c r="G56" s="299"/>
      <c r="H56" s="299"/>
      <c r="I56" s="299"/>
      <c r="J56" s="299"/>
      <c r="K56" s="299"/>
      <c r="L56" s="299"/>
    </row>
    <row r="57" spans="1:21" ht="13.15">
      <c r="A57" s="131">
        <v>6</v>
      </c>
      <c r="B57" s="118">
        <v>9659102.4226120021</v>
      </c>
      <c r="C57" s="118">
        <v>22203072.952348541</v>
      </c>
      <c r="D57" s="118">
        <v>37938799.119961888</v>
      </c>
      <c r="E57" s="118">
        <v>54418486.176689364</v>
      </c>
      <c r="F57" s="118">
        <v>63262104.1865144</v>
      </c>
      <c r="G57" s="299"/>
      <c r="H57" s="299"/>
      <c r="I57" s="299"/>
      <c r="J57" s="299"/>
      <c r="K57" s="299"/>
      <c r="L57" s="299"/>
    </row>
    <row r="58" spans="1:21" ht="13.15">
      <c r="A58" s="131">
        <v>7</v>
      </c>
      <c r="B58" s="118">
        <v>8509853.8154281881</v>
      </c>
      <c r="C58" s="118">
        <v>20360989.485714391</v>
      </c>
      <c r="D58" s="118">
        <v>36742014.147355668</v>
      </c>
      <c r="E58" s="118">
        <v>55151877.077760585</v>
      </c>
      <c r="F58" s="118">
        <v>65443880.839214943</v>
      </c>
      <c r="G58" s="299"/>
      <c r="H58" s="299"/>
      <c r="I58" s="299"/>
      <c r="J58" s="299"/>
      <c r="K58" s="299"/>
      <c r="L58" s="299"/>
    </row>
    <row r="59" spans="1:21" ht="13.15">
      <c r="A59" s="131">
        <v>8</v>
      </c>
      <c r="B59" s="118">
        <v>7759761.484399124</v>
      </c>
      <c r="C59" s="118">
        <v>18901063.195141871</v>
      </c>
      <c r="D59" s="118">
        <v>35681924.894231275</v>
      </c>
      <c r="E59" s="118">
        <v>55849367.7249332</v>
      </c>
      <c r="F59" s="118">
        <v>67579885.953746915</v>
      </c>
      <c r="G59" s="299"/>
      <c r="H59" s="299"/>
      <c r="I59" s="299"/>
      <c r="J59" s="299"/>
      <c r="K59" s="299"/>
      <c r="L59" s="299"/>
    </row>
    <row r="60" spans="1:21" ht="13.15">
      <c r="A60" s="131">
        <v>9</v>
      </c>
      <c r="B60" s="118">
        <v>7270190.7322123228</v>
      </c>
      <c r="C60" s="118">
        <v>17744012.055760387</v>
      </c>
      <c r="D60" s="118">
        <v>34742918.096591942</v>
      </c>
      <c r="E60" s="118">
        <v>56512715.473293178</v>
      </c>
      <c r="F60" s="118">
        <v>69671079.772169828</v>
      </c>
      <c r="G60" s="299"/>
      <c r="H60" s="299"/>
      <c r="I60" s="299"/>
      <c r="J60" s="299"/>
      <c r="K60" s="299"/>
      <c r="L60" s="299"/>
    </row>
    <row r="61" spans="1:21" ht="13.15">
      <c r="A61" s="131">
        <v>10</v>
      </c>
      <c r="B61" s="118">
        <v>6950657.3741416829</v>
      </c>
      <c r="C61" s="118">
        <v>16827001.828744762</v>
      </c>
      <c r="D61" s="118">
        <v>33911163.823624715</v>
      </c>
      <c r="E61" s="118">
        <v>57143591.653551623</v>
      </c>
      <c r="F61" s="118">
        <v>71718402.391604856</v>
      </c>
      <c r="G61" s="299"/>
      <c r="H61" s="299"/>
      <c r="I61" s="299"/>
      <c r="J61" s="299"/>
      <c r="K61" s="299"/>
      <c r="L61" s="299"/>
    </row>
    <row r="62" spans="1:21" ht="13.15">
      <c r="A62" s="131">
        <v>15</v>
      </c>
      <c r="B62" s="118">
        <v>6421311.9892386161</v>
      </c>
      <c r="C62" s="281">
        <v>14419212.851170991</v>
      </c>
      <c r="D62" s="118">
        <v>30978162.364403542</v>
      </c>
      <c r="E62" s="118">
        <v>59863887.52961728</v>
      </c>
      <c r="F62" s="118">
        <v>81328493.269679546</v>
      </c>
      <c r="G62" s="299"/>
      <c r="H62" s="299"/>
      <c r="I62" s="299"/>
      <c r="J62" s="299"/>
      <c r="K62" s="299"/>
      <c r="L62" s="299"/>
      <c r="M62" s="279"/>
      <c r="N62" s="279"/>
      <c r="O62" s="279"/>
      <c r="P62" s="279"/>
      <c r="Q62" s="279"/>
      <c r="R62" s="279"/>
      <c r="S62" s="279"/>
      <c r="T62" s="279"/>
      <c r="U62" s="279"/>
    </row>
    <row r="63" spans="1:21" ht="13.15">
      <c r="A63" s="132">
        <v>20</v>
      </c>
      <c r="B63" s="118">
        <v>6358615.5571498051</v>
      </c>
      <c r="C63" s="281">
        <v>13666331.488794912</v>
      </c>
      <c r="D63" s="118">
        <v>29378811.309197303</v>
      </c>
      <c r="E63" s="118">
        <v>61980447.107304662</v>
      </c>
      <c r="F63" s="118">
        <v>89971950.466475472</v>
      </c>
      <c r="G63" s="299"/>
      <c r="H63" s="299"/>
      <c r="I63" s="299"/>
      <c r="J63" s="299"/>
      <c r="K63" s="299"/>
      <c r="L63" s="299"/>
      <c r="M63" s="279"/>
      <c r="N63" s="279"/>
      <c r="O63" s="279"/>
      <c r="P63" s="279"/>
      <c r="Q63" s="279"/>
      <c r="R63" s="279"/>
      <c r="S63" s="279"/>
      <c r="T63" s="279"/>
      <c r="U63" s="279"/>
    </row>
    <row r="64" spans="1:21" ht="13.15">
      <c r="A64" s="132">
        <v>25</v>
      </c>
      <c r="B64" s="118">
        <v>6351189.7011609282</v>
      </c>
      <c r="C64" s="281">
        <v>13430916.196552634</v>
      </c>
      <c r="D64" s="118">
        <v>28506693.162188768</v>
      </c>
      <c r="E64" s="118">
        <v>63627262.251684964</v>
      </c>
      <c r="F64" s="118">
        <v>97746003.101429433</v>
      </c>
      <c r="G64" s="299"/>
      <c r="H64" s="299"/>
      <c r="I64" s="299"/>
      <c r="J64" s="299"/>
      <c r="K64" s="299"/>
      <c r="L64" s="299"/>
      <c r="M64" s="279"/>
      <c r="N64" s="279"/>
      <c r="O64" s="279"/>
      <c r="P64" s="279"/>
      <c r="Q64" s="279"/>
      <c r="R64" s="279"/>
      <c r="S64" s="279"/>
      <c r="T64" s="279"/>
      <c r="U64" s="279"/>
    </row>
    <row r="65" spans="1:21" ht="13.15">
      <c r="A65" s="132">
        <v>30</v>
      </c>
      <c r="B65" s="118">
        <v>6350310.1720500933</v>
      </c>
      <c r="C65" s="281">
        <v>13357305.183462057</v>
      </c>
      <c r="D65" s="118">
        <v>28031131.489930686</v>
      </c>
      <c r="E65" s="118">
        <v>64908586.977126196</v>
      </c>
      <c r="F65" s="118">
        <v>104738100.47578071</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-0.3</v>
      </c>
      <c r="C68" s="124">
        <f>C55</f>
        <v>-0.15</v>
      </c>
      <c r="D68" s="124">
        <f>D55</f>
        <v>-0.05</v>
      </c>
      <c r="E68" s="124">
        <f>E55</f>
        <v>0.02</v>
      </c>
      <c r="F68" s="124">
        <f>F55</f>
        <v>0.05</v>
      </c>
      <c r="G68" s="124"/>
      <c r="H68" s="124"/>
      <c r="I68" s="124"/>
      <c r="J68" s="124"/>
      <c r="K68" s="124"/>
      <c r="L68" s="124"/>
    </row>
    <row r="69" spans="1:21" ht="13.15">
      <c r="A69" s="131">
        <v>0</v>
      </c>
      <c r="B69" s="119">
        <f>C11</f>
        <v>7.5811447827749525</v>
      </c>
      <c r="C69" s="119">
        <f>C11</f>
        <v>7.5811447827749525</v>
      </c>
      <c r="D69" s="119">
        <f>C11</f>
        <v>7.5811447827749525</v>
      </c>
      <c r="E69" s="119">
        <f>C11</f>
        <v>7.5811447827749525</v>
      </c>
      <c r="F69" s="119">
        <f>C11</f>
        <v>7.5811447827749525</v>
      </c>
      <c r="G69" s="300"/>
      <c r="H69" s="300"/>
      <c r="I69" s="300"/>
      <c r="J69" s="300"/>
      <c r="K69" s="300"/>
      <c r="L69" s="300"/>
    </row>
    <row r="70" spans="1:21" ht="13.15">
      <c r="A70" s="131">
        <f>A56</f>
        <v>5</v>
      </c>
      <c r="B70" s="119">
        <f t="shared" ref="B70:F74" si="11">(B56+FV_adjustments)/Common_Shares*scaling_factor*Exchange_Rate</f>
        <v>3.0342456151865718</v>
      </c>
      <c r="C70" s="119">
        <f t="shared" si="11"/>
        <v>4.6136787442629803</v>
      </c>
      <c r="D70" s="119">
        <f t="shared" si="11"/>
        <v>6.3925527395807</v>
      </c>
      <c r="E70" s="119">
        <f t="shared" si="11"/>
        <v>8.1226105665840098</v>
      </c>
      <c r="F70" s="119">
        <f t="shared" si="11"/>
        <v>9.0126439390127988</v>
      </c>
      <c r="G70" s="300"/>
      <c r="H70" s="300"/>
      <c r="I70" s="300"/>
      <c r="J70" s="300"/>
      <c r="K70" s="300"/>
      <c r="L70" s="300"/>
    </row>
    <row r="71" spans="1:21" ht="13.15">
      <c r="A71" s="131">
        <v>6</v>
      </c>
      <c r="B71" s="119">
        <f t="shared" si="11"/>
        <v>2.8220693351891972</v>
      </c>
      <c r="C71" s="119">
        <f t="shared" si="11"/>
        <v>4.3336057311692615</v>
      </c>
      <c r="D71" s="119">
        <f t="shared" si="11"/>
        <v>6.2297456147203913</v>
      </c>
      <c r="E71" s="119">
        <f t="shared" si="11"/>
        <v>8.2155320705761952</v>
      </c>
      <c r="F71" s="119">
        <f t="shared" si="11"/>
        <v>9.281179543384475</v>
      </c>
      <c r="G71" s="300"/>
      <c r="H71" s="300"/>
      <c r="I71" s="300"/>
      <c r="J71" s="300"/>
      <c r="K71" s="300"/>
      <c r="L71" s="300"/>
    </row>
    <row r="72" spans="1:21" ht="13.15">
      <c r="A72" s="131">
        <f t="shared" ref="A72" si="12">A58</f>
        <v>7</v>
      </c>
      <c r="B72" s="119">
        <f t="shared" si="11"/>
        <v>2.6835859822771573</v>
      </c>
      <c r="C72" s="119">
        <f t="shared" si="11"/>
        <v>4.1116364434026762</v>
      </c>
      <c r="D72" s="119">
        <f t="shared" si="11"/>
        <v>6.0855341754501895</v>
      </c>
      <c r="E72" s="119">
        <f t="shared" si="11"/>
        <v>8.3039049694778502</v>
      </c>
      <c r="F72" s="119">
        <f t="shared" si="11"/>
        <v>9.5440815336784297</v>
      </c>
      <c r="G72" s="300"/>
      <c r="H72" s="300"/>
      <c r="I72" s="300"/>
      <c r="J72" s="300"/>
      <c r="K72" s="300"/>
      <c r="L72" s="300"/>
    </row>
    <row r="73" spans="1:21" ht="13.15">
      <c r="A73" s="131">
        <v>8</v>
      </c>
      <c r="B73" s="119">
        <f t="shared" si="11"/>
        <v>2.5932005771131217</v>
      </c>
      <c r="C73" s="119">
        <f t="shared" si="11"/>
        <v>3.9357167281564318</v>
      </c>
      <c r="D73" s="119">
        <f t="shared" si="11"/>
        <v>5.9577944390336928</v>
      </c>
      <c r="E73" s="119">
        <f t="shared" si="11"/>
        <v>8.3879519222794219</v>
      </c>
      <c r="F73" s="119">
        <f t="shared" si="11"/>
        <v>9.8014680976025748</v>
      </c>
      <c r="G73" s="300"/>
      <c r="H73" s="300"/>
      <c r="I73" s="300"/>
      <c r="J73" s="300"/>
      <c r="K73" s="300"/>
      <c r="L73" s="300"/>
    </row>
    <row r="74" spans="1:21" ht="13.15">
      <c r="A74" s="131">
        <f t="shared" ref="A74" si="13">A60</f>
        <v>9</v>
      </c>
      <c r="B74" s="119">
        <f t="shared" si="11"/>
        <v>2.5342077718778544</v>
      </c>
      <c r="C74" s="119">
        <f t="shared" si="11"/>
        <v>3.7962931776116231</v>
      </c>
      <c r="D74" s="119">
        <f t="shared" si="11"/>
        <v>5.84464502216127</v>
      </c>
      <c r="E74" s="119">
        <f t="shared" si="11"/>
        <v>8.4678846885802201</v>
      </c>
      <c r="F74" s="119">
        <f t="shared" si="11"/>
        <v>10.053454943402439</v>
      </c>
      <c r="G74" s="300"/>
      <c r="H74" s="300"/>
      <c r="I74" s="300"/>
      <c r="J74" s="300"/>
      <c r="K74" s="300"/>
      <c r="L74" s="300"/>
    </row>
    <row r="75" spans="1:21" ht="13.15">
      <c r="A75" s="131">
        <f t="shared" ref="A75:A79" si="14">A61</f>
        <v>10</v>
      </c>
      <c r="B75" s="119">
        <f t="shared" ref="B75:F79" si="15">(B61+FV_adjustments)/Common_Shares*scaling_factor*Exchange_Rate</f>
        <v>2.4957043092534366</v>
      </c>
      <c r="C75" s="119">
        <f t="shared" si="15"/>
        <v>3.6857943263639896</v>
      </c>
      <c r="D75" s="119">
        <f t="shared" si="15"/>
        <v>5.7444194314584269</v>
      </c>
      <c r="E75" s="119">
        <f t="shared" si="15"/>
        <v>8.543904662125037</v>
      </c>
      <c r="F75" s="119">
        <f t="shared" si="15"/>
        <v>10.300155351877832</v>
      </c>
      <c r="G75" s="300"/>
      <c r="H75" s="300"/>
      <c r="I75" s="300"/>
      <c r="J75" s="300"/>
      <c r="K75" s="300"/>
      <c r="L75" s="300"/>
    </row>
    <row r="76" spans="1:21" ht="13.15">
      <c r="A76" s="131">
        <f t="shared" si="14"/>
        <v>15</v>
      </c>
      <c r="B76" s="119">
        <f t="shared" si="15"/>
        <v>2.4319186989932486</v>
      </c>
      <c r="C76" s="119">
        <f t="shared" si="15"/>
        <v>3.3956580680863784</v>
      </c>
      <c r="D76" s="119">
        <f t="shared" si="15"/>
        <v>5.3909955737918436</v>
      </c>
      <c r="E76" s="119">
        <f t="shared" si="15"/>
        <v>8.8716977013991887</v>
      </c>
      <c r="F76" s="119">
        <f t="shared" si="15"/>
        <v>11.458162068846017</v>
      </c>
      <c r="G76" s="300"/>
      <c r="H76" s="300"/>
      <c r="I76" s="300"/>
      <c r="J76" s="300"/>
      <c r="K76" s="300"/>
      <c r="L76" s="300"/>
    </row>
    <row r="77" spans="1:21" ht="13.15">
      <c r="A77" s="132">
        <f t="shared" si="14"/>
        <v>20</v>
      </c>
      <c r="B77" s="119">
        <f t="shared" si="15"/>
        <v>2.4243638391683096</v>
      </c>
      <c r="C77" s="119">
        <f t="shared" si="15"/>
        <v>3.3049365873248635</v>
      </c>
      <c r="D77" s="119">
        <f t="shared" si="15"/>
        <v>5.1982753083732893</v>
      </c>
      <c r="E77" s="119">
        <f t="shared" si="15"/>
        <v>9.1267410968177707</v>
      </c>
      <c r="F77" s="119">
        <f t="shared" si="15"/>
        <v>12.499690356008477</v>
      </c>
      <c r="G77" s="300"/>
      <c r="H77" s="300"/>
      <c r="I77" s="300"/>
      <c r="J77" s="300"/>
      <c r="K77" s="300"/>
      <c r="L77" s="300"/>
    </row>
    <row r="78" spans="1:21" ht="13.15">
      <c r="A78" s="132">
        <f t="shared" si="14"/>
        <v>25</v>
      </c>
      <c r="B78" s="119">
        <f t="shared" si="15"/>
        <v>2.4234690306567712</v>
      </c>
      <c r="C78" s="119">
        <f t="shared" si="15"/>
        <v>3.2765692708080612</v>
      </c>
      <c r="D78" s="119">
        <f t="shared" si="15"/>
        <v>5.0931859096320284</v>
      </c>
      <c r="E78" s="119">
        <f t="shared" si="15"/>
        <v>9.3251807393760107</v>
      </c>
      <c r="F78" s="119">
        <f t="shared" si="15"/>
        <v>13.436456228834906</v>
      </c>
      <c r="G78" s="300"/>
      <c r="H78" s="300"/>
      <c r="I78" s="300"/>
      <c r="J78" s="300"/>
      <c r="K78" s="300"/>
      <c r="L78" s="300"/>
    </row>
    <row r="79" spans="1:21" ht="13.15">
      <c r="A79" s="132">
        <f t="shared" si="14"/>
        <v>30</v>
      </c>
      <c r="B79" s="119">
        <f t="shared" si="15"/>
        <v>2.4233630482440098</v>
      </c>
      <c r="C79" s="119">
        <f t="shared" si="15"/>
        <v>3.2676992144596655</v>
      </c>
      <c r="D79" s="119">
        <f t="shared" si="15"/>
        <v>5.0358811850675709</v>
      </c>
      <c r="E79" s="119">
        <f t="shared" si="15"/>
        <v>9.4795791376329515</v>
      </c>
      <c r="F79" s="119">
        <f t="shared" si="15"/>
        <v>14.27899724409912</v>
      </c>
      <c r="G79" s="300"/>
      <c r="H79" s="300"/>
      <c r="I79" s="300"/>
      <c r="J79" s="300"/>
      <c r="K79" s="300"/>
      <c r="L79" s="300"/>
    </row>
    <row r="81" spans="2:12" ht="13.15">
      <c r="B81" s="153" t="s">
        <v>101</v>
      </c>
      <c r="C81" s="153" t="s">
        <v>110</v>
      </c>
      <c r="D81" s="153" t="s">
        <v>99</v>
      </c>
      <c r="E81" s="154" t="s">
        <v>100</v>
      </c>
      <c r="F81" s="154" t="s">
        <v>461</v>
      </c>
      <c r="G81" s="327"/>
      <c r="H81" s="327"/>
      <c r="I81" s="327"/>
      <c r="J81" s="327"/>
      <c r="K81" s="327"/>
      <c r="L81" s="327"/>
    </row>
    <row r="82" spans="2:12">
      <c r="B82" s="120" t="str">
        <f>Scenarios!B29</f>
        <v>Snowball Scenario</v>
      </c>
      <c r="C82" s="130">
        <f>Scenarios!C29</f>
        <v>0.05</v>
      </c>
      <c r="D82" s="133">
        <f>Scenarios!D29</f>
        <v>5</v>
      </c>
      <c r="E82" s="127">
        <f>INDEX(B$69:F$79, MATCH(D82, A$69:A$79, 0), MATCH(C82, B$68:F$68, 0))</f>
        <v>9.0126439390127988</v>
      </c>
      <c r="F82" s="130">
        <f>Scenarios!F29</f>
        <v>0.05</v>
      </c>
      <c r="G82" s="301"/>
      <c r="H82" s="301"/>
      <c r="I82" s="301"/>
      <c r="J82" s="301"/>
      <c r="K82" s="301"/>
      <c r="L82" s="301"/>
    </row>
    <row r="83" spans="2:12">
      <c r="B83" s="120" t="str">
        <f>Scenarios!B22</f>
        <v>Optimistic</v>
      </c>
      <c r="C83" s="130">
        <f>Scenarios!C22</f>
        <v>0.02</v>
      </c>
      <c r="D83" s="133">
        <f>Scenarios!D22</f>
        <v>5</v>
      </c>
      <c r="E83" s="127">
        <f>INDEX(B$69:F$79, MATCH(D83, A$69:A$79, 0), MATCH(C83, B$68:F$68, 0))</f>
        <v>8.1226105665840098</v>
      </c>
      <c r="F83" s="130">
        <f>Scenarios!F22*(1-F$82-F$86)</f>
        <v>0.16999999999999996</v>
      </c>
      <c r="G83" s="301"/>
      <c r="H83" s="301"/>
      <c r="I83" s="301"/>
      <c r="J83" s="301"/>
      <c r="K83" s="301"/>
      <c r="L83" s="301"/>
    </row>
    <row r="84" spans="2:12">
      <c r="B84" s="120" t="str">
        <f>Scenarios!B23</f>
        <v>Base</v>
      </c>
      <c r="C84" s="130">
        <f>Scenarios!C23</f>
        <v>-0.05</v>
      </c>
      <c r="D84" s="133">
        <f>Scenarios!D23</f>
        <v>5</v>
      </c>
      <c r="E84" s="127">
        <f>INDEX(B$69:F$79, MATCH(D84, A$69:A$79, 0), MATCH(C84, B$68:F$68, 0))</f>
        <v>6.3925527395807</v>
      </c>
      <c r="F84" s="130">
        <f>Scenarios!F23*(1-F$82-F$86)</f>
        <v>0.46750000000000003</v>
      </c>
      <c r="G84" s="301"/>
      <c r="H84" s="301"/>
      <c r="I84" s="301"/>
      <c r="J84" s="301"/>
      <c r="K84" s="301"/>
      <c r="L84" s="301"/>
    </row>
    <row r="85" spans="2:12">
      <c r="B85" s="120" t="str">
        <f>Scenarios!B24</f>
        <v>Pessimistic</v>
      </c>
      <c r="C85" s="130">
        <f>Scenarios!C24</f>
        <v>-0.15</v>
      </c>
      <c r="D85" s="133">
        <f>Scenarios!D24</f>
        <v>5</v>
      </c>
      <c r="E85" s="127">
        <f>INDEX(B$69:F$79, MATCH(D85, A$69:A$79, 0), MATCH(C85, B$68:F$68, 0))</f>
        <v>4.6136787442629803</v>
      </c>
      <c r="F85" s="130">
        <f>Scenarios!F24*(1-F$82-F$86)</f>
        <v>0.21249999999999999</v>
      </c>
      <c r="G85" s="301"/>
      <c r="H85" s="301"/>
      <c r="I85" s="301"/>
      <c r="J85" s="301"/>
      <c r="K85" s="301"/>
      <c r="L85" s="301"/>
    </row>
    <row r="86" spans="2:12">
      <c r="B86" s="120" t="str">
        <f>Scenarios!B30</f>
        <v>Devil's advocate</v>
      </c>
      <c r="C86" s="130">
        <f>Scenarios!C30</f>
        <v>-0.3</v>
      </c>
      <c r="D86" s="133">
        <f>Scenarios!D30</f>
        <v>5</v>
      </c>
      <c r="E86" s="127">
        <f>INDEX(B$69:F$79, MATCH(D86, A$69:A$79, 0), MATCH(C86, B$68:F$68, 0))</f>
        <v>3.0342456151865718</v>
      </c>
      <c r="F86" s="130">
        <f>Scenarios!F30</f>
        <v>0.1</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F34" sqref="F3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457</v>
      </c>
      <c r="C16" s="35"/>
      <c r="D16" s="35"/>
      <c r="E16" s="35"/>
      <c r="F16" s="35"/>
      <c r="G16" s="35"/>
    </row>
    <row r="17" spans="2:7" ht="13.15">
      <c r="B17" s="106" t="s">
        <v>126</v>
      </c>
      <c r="E17" s="222" t="s">
        <v>251</v>
      </c>
    </row>
    <row r="18" spans="2:7" ht="12.75" customHeight="1">
      <c r="B18" s="139" t="s">
        <v>111</v>
      </c>
      <c r="C18" s="137">
        <v>5</v>
      </c>
      <c r="E18" s="455" t="s">
        <v>549</v>
      </c>
      <c r="F18" s="323"/>
    </row>
    <row r="19" spans="2:7">
      <c r="E19" s="323"/>
      <c r="F19" s="323"/>
    </row>
    <row r="20" spans="2:7" ht="13.15">
      <c r="B20" s="106" t="s">
        <v>454</v>
      </c>
      <c r="E20" s="323"/>
      <c r="F20" s="323"/>
    </row>
    <row r="21" spans="2:7" ht="13.15">
      <c r="B21" s="153" t="s">
        <v>440</v>
      </c>
      <c r="C21" s="153" t="s">
        <v>379</v>
      </c>
      <c r="D21" s="153" t="s">
        <v>452</v>
      </c>
      <c r="E21" s="154" t="str">
        <f>"Value per share ("&amp;Market_currency&amp;")"</f>
        <v>Value per share (HKD)</v>
      </c>
      <c r="F21" s="154" t="s">
        <v>453</v>
      </c>
      <c r="G21" s="154" t="s">
        <v>461</v>
      </c>
    </row>
    <row r="22" spans="2:7">
      <c r="B22" s="306" t="s">
        <v>449</v>
      </c>
      <c r="C22" s="328">
        <v>0.02</v>
      </c>
      <c r="D22" s="329">
        <f>C18</f>
        <v>5</v>
      </c>
      <c r="E22" s="330">
        <f>DCF!E83</f>
        <v>8.1226105665840098</v>
      </c>
      <c r="F22" s="332">
        <f>1-F23-F24</f>
        <v>0.19999999999999996</v>
      </c>
      <c r="G22" s="332">
        <f>F22*(1-F$29-F$30)</f>
        <v>0.16999999999999996</v>
      </c>
    </row>
    <row r="23" spans="2:7">
      <c r="B23" s="306" t="s">
        <v>441</v>
      </c>
      <c r="C23" s="328">
        <v>-0.05</v>
      </c>
      <c r="D23" s="329">
        <f>C18</f>
        <v>5</v>
      </c>
      <c r="E23" s="330">
        <f>DCF!E84</f>
        <v>6.3925527395807</v>
      </c>
      <c r="F23" s="331">
        <v>0.55000000000000004</v>
      </c>
      <c r="G23" s="332">
        <f t="shared" ref="G23:G24" si="0">F23*(1-F$29-F$30)</f>
        <v>0.46750000000000003</v>
      </c>
    </row>
    <row r="24" spans="2:7">
      <c r="B24" s="306" t="s">
        <v>450</v>
      </c>
      <c r="C24" s="328">
        <v>-0.15</v>
      </c>
      <c r="D24" s="329">
        <f>C18</f>
        <v>5</v>
      </c>
      <c r="E24" s="330">
        <f>DCF!E85</f>
        <v>4.6136787442629803</v>
      </c>
      <c r="F24" s="331">
        <v>0.25</v>
      </c>
      <c r="G24" s="332">
        <f t="shared" si="0"/>
        <v>0.21249999999999999</v>
      </c>
    </row>
    <row r="25" spans="2:7">
      <c r="B25" s="141" t="s">
        <v>455</v>
      </c>
      <c r="C25" s="446">
        <f>E23*F23+E24*F24+E22*F22</f>
        <v>6.293845806151932</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6" t="s">
        <v>448</v>
      </c>
      <c r="C29" s="328">
        <v>0.05</v>
      </c>
      <c r="D29" s="329">
        <f>C18</f>
        <v>5</v>
      </c>
      <c r="E29" s="330">
        <f>DCF!E82</f>
        <v>9.0126439390127988</v>
      </c>
      <c r="F29" s="331">
        <v>0.05</v>
      </c>
      <c r="G29" s="332">
        <f>F29</f>
        <v>0.05</v>
      </c>
    </row>
    <row r="30" spans="2:7">
      <c r="B30" s="319" t="s">
        <v>451</v>
      </c>
      <c r="C30" s="328">
        <v>-0.3</v>
      </c>
      <c r="D30" s="329">
        <f>C18</f>
        <v>5</v>
      </c>
      <c r="E30" s="330">
        <f>DCF!E86</f>
        <v>3.0342456151865718</v>
      </c>
      <c r="F30" s="331">
        <v>0.1</v>
      </c>
      <c r="G30" s="332">
        <f>F30</f>
        <v>0.1</v>
      </c>
    </row>
    <row r="31" spans="2:7">
      <c r="E31" s="333"/>
      <c r="F31" s="333"/>
    </row>
    <row r="32" spans="2:7" ht="13.15">
      <c r="B32" s="145" t="s">
        <v>460</v>
      </c>
    </row>
    <row r="33" spans="2:7">
      <c r="B33" s="97" t="s">
        <v>462</v>
      </c>
      <c r="C33" s="155">
        <f>Normalized_FCF!C88*(1-dividend_tax_rate)</f>
        <v>0.24179999999999999</v>
      </c>
      <c r="D33" t="str">
        <f>Market_currency</f>
        <v>HKD</v>
      </c>
      <c r="E33" s="97" t="s">
        <v>459</v>
      </c>
      <c r="F33" s="219">
        <f>Holding_Period</f>
        <v>3</v>
      </c>
    </row>
    <row r="34" spans="2:7">
      <c r="B34" s="97" t="s">
        <v>233</v>
      </c>
      <c r="C34" s="146">
        <f>Market_Price</f>
        <v>3.95</v>
      </c>
      <c r="D34" t="str">
        <f>Market_currency</f>
        <v>HKD</v>
      </c>
      <c r="E34" s="97" t="s">
        <v>458</v>
      </c>
      <c r="F34" s="334">
        <f>RATE(Holding_Period,$C$33,-C34,$C$36)</f>
        <v>0.20967048786502251</v>
      </c>
    </row>
    <row r="35" spans="2:7">
      <c r="B35" s="97" t="s">
        <v>438</v>
      </c>
      <c r="C35" s="324">
        <f>DCF!C11</f>
        <v>7.5811447827749525</v>
      </c>
      <c r="D35" s="97" t="str">
        <f>Market_currency</f>
        <v>HKD</v>
      </c>
      <c r="E35" s="97" t="s">
        <v>458</v>
      </c>
      <c r="F35" s="334">
        <f>RATE(Holding_Period,$C$33,-C35,$C$36)</f>
        <v>-3.5416746028471155E-2</v>
      </c>
    </row>
    <row r="36" spans="2:7">
      <c r="B36" s="97" t="s">
        <v>439</v>
      </c>
      <c r="C36" s="325">
        <f>E22*G22+E23*G23+E24*G24+E30*G30+E29*G29</f>
        <v>6.1038256936984379</v>
      </c>
      <c r="D36" t="str">
        <f>Market_currency</f>
        <v>HKD</v>
      </c>
      <c r="E36" s="97" t="s">
        <v>464</v>
      </c>
      <c r="F36" s="335" t="s">
        <v>463</v>
      </c>
    </row>
    <row r="38" spans="2:7" ht="13.9">
      <c r="B38" s="34" t="s">
        <v>414</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8.0837602332754823</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0.30502235430156116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477</v>
      </c>
      <c r="E60" s="417"/>
    </row>
    <row r="61" spans="2:7" ht="13.15">
      <c r="B61" s="153" t="s">
        <v>466</v>
      </c>
      <c r="C61" s="153" t="s">
        <v>103</v>
      </c>
      <c r="D61" s="153" t="s">
        <v>104</v>
      </c>
      <c r="E61" s="154" t="str">
        <f>"Buy below ("&amp;Market_currency&amp;")"</f>
        <v>Buy below (HKD)</v>
      </c>
      <c r="F61" s="154" t="s">
        <v>458</v>
      </c>
      <c r="G61" s="154" t="s">
        <v>465</v>
      </c>
    </row>
    <row r="62" spans="2:7" ht="13.15">
      <c r="B62" s="306" t="s">
        <v>312</v>
      </c>
      <c r="C62" s="119">
        <f>PV(F62, Holding_Period, -C58, 0)</f>
        <v>0.44245811110342687</v>
      </c>
      <c r="D62" s="119">
        <f>C36/(1+F62)^Holding_Period</f>
        <v>2.8128229003218612</v>
      </c>
      <c r="E62" s="336">
        <f>C62+D62</f>
        <v>3.2552810114252879</v>
      </c>
      <c r="F62" s="305">
        <f>Thesis!E22</f>
        <v>0.29465259038036606</v>
      </c>
      <c r="G62" s="445">
        <f>(1-E62/C36)</f>
        <v>0.46668185253290806</v>
      </c>
    </row>
    <row r="63" spans="2:7" ht="13.15">
      <c r="B63" s="306" t="s">
        <v>313</v>
      </c>
      <c r="C63" s="119">
        <f>PV(F63, Holding_Period, -C58, 0)</f>
        <v>0.50874815444966315</v>
      </c>
      <c r="D63" s="119">
        <f>C36/(1+F63)^Holding_Period</f>
        <v>3.5256754909449475</v>
      </c>
      <c r="E63" s="336">
        <f>C63+D63</f>
        <v>4.034423645394611</v>
      </c>
      <c r="F63" s="305">
        <f>Thesis!E23</f>
        <v>0.20075184365903009</v>
      </c>
      <c r="G63" s="445">
        <f>(1-E63/C36)</f>
        <v>0.33903360812551842</v>
      </c>
    </row>
    <row r="65" spans="2:7" ht="13.15">
      <c r="B65" s="153" t="s">
        <v>467</v>
      </c>
      <c r="C65" s="153" t="s">
        <v>103</v>
      </c>
      <c r="D65" s="153" t="s">
        <v>104</v>
      </c>
      <c r="E65" s="154" t="str">
        <f>"Sell above ("&amp;Market_currency&amp;")"</f>
        <v>Sell above (HKD)</v>
      </c>
      <c r="F65" s="154" t="s">
        <v>458</v>
      </c>
      <c r="G65" s="154" t="s">
        <v>465</v>
      </c>
    </row>
    <row r="66" spans="2:7" ht="13.15">
      <c r="B66" s="306" t="s">
        <v>315</v>
      </c>
      <c r="C66" s="119">
        <f>PV(F66, Holding_Period, -C58, 0)</f>
        <v>0.58336743585196538</v>
      </c>
      <c r="D66" s="119">
        <f>C36/(1+F66)^Holding_Period</f>
        <v>4.3749805031091427</v>
      </c>
      <c r="E66" s="336">
        <f>C66+D66</f>
        <v>4.9583479389611078</v>
      </c>
      <c r="F66" s="305">
        <f>Thesis!E24</f>
        <v>0.1174</v>
      </c>
      <c r="G66" s="445">
        <f>(1-E66/C47)</f>
        <v>0.38662852486014165</v>
      </c>
    </row>
    <row r="67" spans="2:7" ht="13.15">
      <c r="B67" s="306" t="s">
        <v>314</v>
      </c>
      <c r="C67" s="119">
        <f>PV(F67, Holding_Period, -C58, 0)</f>
        <v>0.63167232993043521</v>
      </c>
      <c r="D67" s="119">
        <f>C36/(1+F67)^Holding_Period</f>
        <v>4.9477781737914412</v>
      </c>
      <c r="E67" s="336">
        <f>C67+D67</f>
        <v>5.5794505037218762</v>
      </c>
      <c r="F67" s="305">
        <f>Thesis!E25</f>
        <v>7.2499999999999995E-2</v>
      </c>
      <c r="G67" s="445">
        <f>(1-E67/C36)</f>
        <v>8.5909266792779548E-2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中国飞鹤</v>
      </c>
      <c r="D4" s="353"/>
      <c r="E4" s="439" t="s">
        <v>543</v>
      </c>
      <c r="F4" s="442" t="str">
        <f>Thesis!F4</f>
        <v>INT</v>
      </c>
    </row>
    <row r="5" spans="1:10">
      <c r="B5" s="347" t="s">
        <v>364</v>
      </c>
      <c r="C5" s="359" t="str">
        <f>Thesis!C5</f>
        <v>6186.HK</v>
      </c>
      <c r="E5" s="443" t="s">
        <v>544</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3.95</v>
      </c>
    </row>
    <row r="9" spans="1:10">
      <c r="B9" s="355" t="s">
        <v>361</v>
      </c>
      <c r="C9" s="357">
        <f>Common_Shares</f>
        <v>9065251704</v>
      </c>
    </row>
    <row r="10" spans="1:10">
      <c r="B10" s="355" t="s">
        <v>367</v>
      </c>
      <c r="C10" s="361">
        <f>投资主题!C8*Common_Shares/1000000</f>
        <v>35807.744230800003</v>
      </c>
      <c r="D10" s="347" t="s">
        <v>532</v>
      </c>
      <c r="E10" s="364">
        <f>Scenarios!F34</f>
        <v>0.20967048786502251</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1.09235412</v>
      </c>
    </row>
    <row r="17" spans="1:6">
      <c r="B17" s="347" t="s">
        <v>538</v>
      </c>
      <c r="C17" s="429">
        <f>Terminal_Growth</f>
        <v>0</v>
      </c>
      <c r="D17" s="355" t="s">
        <v>339</v>
      </c>
      <c r="E17" s="348" t="str">
        <f>Reporting_currency</f>
        <v>CNY</v>
      </c>
    </row>
    <row r="18" spans="1:6">
      <c r="B18" s="347" t="str">
        <f>"预期股权价值 ("&amp;C7&amp;") :"</f>
        <v>预期股权价值 (HKD) :</v>
      </c>
      <c r="C18" s="363">
        <f>C125</f>
        <v>6.1038256936984379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497</v>
      </c>
      <c r="C21" s="365" t="str">
        <f>C138&amp;" ("&amp;Market_currency&amp;")"</f>
        <v xml:space="preserve"> (HKD)</v>
      </c>
      <c r="D21" s="366" t="s">
        <v>344</v>
      </c>
      <c r="E21" s="367">
        <f>Holding_Period</f>
        <v>3</v>
      </c>
    </row>
    <row r="22" spans="1:6">
      <c r="B22" s="347" t="s">
        <v>340</v>
      </c>
      <c r="C22" s="368">
        <f>E140</f>
        <v>3.2552810114252879</v>
      </c>
      <c r="D22" s="369" t="s">
        <v>444</v>
      </c>
      <c r="E22" s="370">
        <f>Thesis!E22</f>
        <v>0.29465259038036606</v>
      </c>
    </row>
    <row r="23" spans="1:6">
      <c r="B23" s="347" t="s">
        <v>341</v>
      </c>
      <c r="C23" s="371">
        <f>E141</f>
        <v>4.034423645394611</v>
      </c>
      <c r="D23" s="369" t="s">
        <v>445</v>
      </c>
      <c r="E23" s="372">
        <f>Thesis!E23</f>
        <v>0.20075184365903009</v>
      </c>
    </row>
    <row r="24" spans="1:6">
      <c r="B24" s="347" t="s">
        <v>343</v>
      </c>
      <c r="C24" s="371">
        <f>E144</f>
        <v>4.9583479389611078</v>
      </c>
      <c r="D24" s="369" t="s">
        <v>447</v>
      </c>
      <c r="E24" s="372">
        <f>Thesis!E24</f>
        <v>0.1174</v>
      </c>
    </row>
    <row r="25" spans="1:6">
      <c r="B25" s="347" t="s">
        <v>342</v>
      </c>
      <c r="C25" s="371">
        <f>E145</f>
        <v>5.5794505037218762</v>
      </c>
      <c r="D25" s="369" t="s">
        <v>446</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-12182</v>
      </c>
      <c r="D41" s="347" t="str">
        <f>Reporting_currency</f>
        <v>CNY</v>
      </c>
    </row>
    <row r="43" spans="2:6">
      <c r="B43" s="466" t="s">
        <v>507</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508</v>
      </c>
    </row>
    <row r="49" spans="2:6">
      <c r="B49" s="376" t="s">
        <v>223</v>
      </c>
      <c r="C49" s="377">
        <f>Normalized_FCF!C13</f>
        <v>-83995</v>
      </c>
      <c r="D49" s="347" t="str">
        <f>Reporting_currency</f>
        <v>CNY</v>
      </c>
    </row>
    <row r="51" spans="2:6">
      <c r="B51" s="466" t="s">
        <v>509</v>
      </c>
      <c r="C51" s="466"/>
      <c r="D51" s="466"/>
      <c r="E51" s="466"/>
      <c r="F51" s="466"/>
    </row>
    <row r="52" spans="2:6">
      <c r="B52" s="376" t="s">
        <v>500</v>
      </c>
      <c r="C52" s="377">
        <f>Normalized_FCF!C12</f>
        <v>-1215882.3022155068</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0.10871307104352078</v>
      </c>
      <c r="F62" s="383"/>
    </row>
    <row r="63" spans="2:6">
      <c r="B63" s="381" t="s">
        <v>332</v>
      </c>
      <c r="C63" s="382">
        <f>Normalized_FCF!C92</f>
        <v>6.1215189873417716E-2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480</v>
      </c>
      <c r="B71" s="349"/>
      <c r="C71" s="349"/>
      <c r="D71" s="349"/>
      <c r="E71" s="349"/>
      <c r="F71" s="349"/>
    </row>
    <row r="72" spans="1:6">
      <c r="A72" s="389"/>
    </row>
    <row r="73" spans="1:6">
      <c r="A73" s="390"/>
      <c r="B73" s="470" t="s">
        <v>513</v>
      </c>
      <c r="C73" s="470"/>
      <c r="D73" s="470"/>
      <c r="E73" s="470"/>
      <c r="F73" s="470"/>
    </row>
    <row r="74" spans="1:6">
      <c r="B74" s="473" t="s">
        <v>483</v>
      </c>
      <c r="C74" s="473"/>
      <c r="D74" s="473"/>
      <c r="E74" s="473"/>
      <c r="F74" s="473"/>
    </row>
    <row r="76" spans="1:6">
      <c r="B76" s="373" t="s">
        <v>371</v>
      </c>
    </row>
    <row r="77" spans="1:6">
      <c r="B77" s="470" t="s">
        <v>514</v>
      </c>
      <c r="C77" s="470"/>
      <c r="D77" s="470"/>
      <c r="E77" s="470"/>
      <c r="F77" s="470"/>
    </row>
    <row r="78" spans="1:6">
      <c r="B78" s="347" t="s">
        <v>215</v>
      </c>
      <c r="C78" s="377">
        <f>DCF!F4</f>
        <v>-845013</v>
      </c>
      <c r="D78" s="347" t="str">
        <f>Reporting_currency</f>
        <v>CNY</v>
      </c>
    </row>
    <row r="79" spans="1:6">
      <c r="B79" s="376" t="s">
        <v>234</v>
      </c>
      <c r="C79" s="391">
        <f>C78*scaling_factor*Exchange_Rate/Common_Shares</f>
        <v>-0.10182325457066646</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515</v>
      </c>
    </row>
    <row r="84" spans="1:6">
      <c r="B84" s="347" t="s">
        <v>224</v>
      </c>
      <c r="C84" s="377">
        <f>DCF!F5</f>
        <v>14601476.8563288</v>
      </c>
      <c r="D84" s="347" t="str">
        <f>Reporting_currency</f>
        <v>CNY</v>
      </c>
    </row>
    <row r="85" spans="1:6">
      <c r="B85" s="386" t="s">
        <v>485</v>
      </c>
      <c r="C85" s="394">
        <f>BS!C66</f>
        <v>17607845</v>
      </c>
      <c r="D85" s="395" t="str">
        <f>Reporting_currency</f>
        <v>CNY</v>
      </c>
    </row>
    <row r="86" spans="1:6">
      <c r="B86" s="376" t="s">
        <v>235</v>
      </c>
      <c r="C86" s="391">
        <f>C84*scaling_factor*Exchange_Rate/Common_Shares</f>
        <v>1.7594639313829044</v>
      </c>
      <c r="D86" s="347" t="str">
        <f>Market_currency</f>
        <v>HKD</v>
      </c>
    </row>
    <row r="88" spans="1:6">
      <c r="B88" s="347" t="s">
        <v>516</v>
      </c>
    </row>
    <row r="89" spans="1:6">
      <c r="B89" s="347" t="s">
        <v>217</v>
      </c>
      <c r="C89" s="377">
        <f>DCF!F6</f>
        <v>4283</v>
      </c>
      <c r="D89" s="347" t="str">
        <f>Reporting_currency</f>
        <v>CNY</v>
      </c>
    </row>
    <row r="90" spans="1:6">
      <c r="B90" s="376" t="s">
        <v>236</v>
      </c>
      <c r="C90" s="391">
        <f>C89*scaling_factor*Exchange_Rate/Common_Shares</f>
        <v>5.160973846865841E-4</v>
      </c>
      <c r="D90" s="347" t="str">
        <f>Market_currency</f>
        <v>HKD</v>
      </c>
    </row>
    <row r="92" spans="1:6">
      <c r="B92" s="376" t="s">
        <v>484</v>
      </c>
      <c r="C92" s="391">
        <f>DCF!F8</f>
        <v>1.6581567741969243</v>
      </c>
      <c r="D92" s="347" t="str">
        <f>Market_currency</f>
        <v>HKD</v>
      </c>
    </row>
    <row r="94" spans="1:6" ht="13.9">
      <c r="A94" s="349" t="s">
        <v>486</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493</v>
      </c>
    </row>
    <row r="111" spans="1:6">
      <c r="A111" s="389"/>
      <c r="B111" s="379" t="s">
        <v>490</v>
      </c>
      <c r="C111" s="398">
        <f>BS!D47</f>
        <v>1.2412926008211553</v>
      </c>
      <c r="D111" s="347" t="str">
        <f>Market_currency</f>
        <v>HKD</v>
      </c>
    </row>
    <row r="112" spans="1:6">
      <c r="A112" s="389"/>
      <c r="B112" s="376" t="s">
        <v>377</v>
      </c>
      <c r="C112" s="398">
        <f>DCF!C11</f>
        <v>7.5811447827749525</v>
      </c>
      <c r="D112" s="347" t="str">
        <f>Market_currency</f>
        <v>HKD</v>
      </c>
    </row>
    <row r="113" spans="1:6">
      <c r="A113" s="389"/>
    </row>
    <row r="114" spans="1:6">
      <c r="A114" s="389"/>
      <c r="B114" s="470" t="s">
        <v>521</v>
      </c>
      <c r="C114" s="470"/>
      <c r="D114" s="470"/>
      <c r="E114" s="470"/>
      <c r="F114" s="470"/>
    </row>
    <row r="115" spans="1:6">
      <c r="A115" s="389"/>
    </row>
    <row r="116" spans="1:6">
      <c r="A116" s="389"/>
      <c r="B116" s="373" t="s">
        <v>494</v>
      </c>
    </row>
    <row r="117" spans="1:6">
      <c r="A117" s="389"/>
      <c r="B117" s="346" t="s">
        <v>378</v>
      </c>
      <c r="C117" s="346" t="s">
        <v>379</v>
      </c>
      <c r="D117" s="346" t="s">
        <v>99</v>
      </c>
      <c r="E117" s="346" t="s">
        <v>380</v>
      </c>
      <c r="F117" s="346" t="s">
        <v>381</v>
      </c>
    </row>
    <row r="118" spans="1:6">
      <c r="A118" s="389"/>
      <c r="B118" s="399" t="str">
        <f>DCF!B82</f>
        <v>Snowball Scenario</v>
      </c>
      <c r="C118" s="400">
        <f>DCF!C82</f>
        <v>0.05</v>
      </c>
      <c r="D118" s="401">
        <f>DCF!D82</f>
        <v>5</v>
      </c>
      <c r="E118" s="402" t="str">
        <f>ROUND(DCF!E82,2)&amp;" "&amp;Market_currency</f>
        <v>9.01 HKD</v>
      </c>
      <c r="F118" s="403">
        <f>DCF!F82</f>
        <v>0.05</v>
      </c>
    </row>
    <row r="119" spans="1:6">
      <c r="A119" s="389"/>
      <c r="B119" s="404" t="str">
        <f>DCF!B83</f>
        <v>Optimistic</v>
      </c>
      <c r="C119" s="405">
        <f>DCF!C83</f>
        <v>0.02</v>
      </c>
      <c r="D119" s="406">
        <f>DCF!D83</f>
        <v>5</v>
      </c>
      <c r="E119" s="402" t="str">
        <f>ROUND(DCF!E83,2)&amp;" "&amp;Market_currency</f>
        <v>8.12 HKD</v>
      </c>
      <c r="F119" s="407">
        <f>DCF!F83</f>
        <v>0.16999999999999996</v>
      </c>
    </row>
    <row r="120" spans="1:6">
      <c r="B120" s="404" t="str">
        <f>DCF!B84</f>
        <v>Base</v>
      </c>
      <c r="C120" s="405">
        <f>DCF!C84</f>
        <v>-0.05</v>
      </c>
      <c r="D120" s="406">
        <f>DCF!D84</f>
        <v>5</v>
      </c>
      <c r="E120" s="402" t="str">
        <f>ROUND(DCF!E84,2)&amp;" "&amp;Market_currency</f>
        <v>6.39 HKD</v>
      </c>
      <c r="F120" s="407">
        <f>DCF!F84</f>
        <v>0.46750000000000003</v>
      </c>
    </row>
    <row r="121" spans="1:6">
      <c r="B121" s="404" t="str">
        <f>DCF!B85</f>
        <v>Pessimistic</v>
      </c>
      <c r="C121" s="405">
        <f>DCF!C85</f>
        <v>-0.15</v>
      </c>
      <c r="D121" s="406">
        <f>DCF!D85</f>
        <v>5</v>
      </c>
      <c r="E121" s="402" t="str">
        <f>ROUND(DCF!E85,2)&amp;" "&amp;Market_currency</f>
        <v>4.61 HKD</v>
      </c>
      <c r="F121" s="407">
        <f>DCF!F85</f>
        <v>0.21249999999999999</v>
      </c>
    </row>
    <row r="122" spans="1:6">
      <c r="B122" s="404" t="str">
        <f>DCF!B86</f>
        <v>Devil's advocate</v>
      </c>
      <c r="C122" s="405">
        <f>DCF!C86</f>
        <v>-0.3</v>
      </c>
      <c r="D122" s="406">
        <f>DCF!D86</f>
        <v>5</v>
      </c>
      <c r="E122" s="402" t="str">
        <f>ROUND(DCF!E86,2)&amp;" "&amp;Market_currency</f>
        <v>3.03 HKD</v>
      </c>
      <c r="F122" s="407">
        <f>DCF!F86</f>
        <v>0.1</v>
      </c>
    </row>
    <row r="124" spans="1:6">
      <c r="B124" s="466" t="s">
        <v>522</v>
      </c>
      <c r="C124" s="466"/>
      <c r="D124" s="466"/>
      <c r="E124" s="466"/>
      <c r="F124" s="466"/>
    </row>
    <row r="125" spans="1:6">
      <c r="B125" s="376" t="s">
        <v>218</v>
      </c>
      <c r="C125" s="408">
        <f>Scenarios!C36</f>
        <v>6.1038256936984379</v>
      </c>
      <c r="D125" s="347" t="str">
        <f>Market_currency</f>
        <v>HKD</v>
      </c>
    </row>
    <row r="127" spans="1:6">
      <c r="B127" s="468" t="s">
        <v>523</v>
      </c>
      <c r="C127" s="468"/>
      <c r="D127" s="468"/>
      <c r="E127" s="468"/>
      <c r="F127" s="468"/>
    </row>
    <row r="129" spans="1:6" ht="13.9">
      <c r="A129" s="349" t="s">
        <v>496</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497</v>
      </c>
      <c r="C138" s="411"/>
      <c r="D138" s="411"/>
    </row>
    <row r="139" spans="1:6">
      <c r="B139" s="344" t="s">
        <v>466</v>
      </c>
      <c r="C139" s="344" t="str">
        <f>"PV("&amp;Holding_Period&amp;" yrs of Dividends)"</f>
        <v>PV(3 yrs of Dividends)</v>
      </c>
      <c r="D139" s="344" t="s">
        <v>475</v>
      </c>
      <c r="E139" s="345" t="str">
        <f>"Buy below ("&amp;Market_currency&amp;")"</f>
        <v>Buy below (HKD)</v>
      </c>
      <c r="F139" s="345" t="s">
        <v>499</v>
      </c>
    </row>
    <row r="140" spans="1:6">
      <c r="B140" s="412" t="s">
        <v>312</v>
      </c>
      <c r="C140" s="413">
        <f>Scenarios!C62</f>
        <v>0.44245811110342687</v>
      </c>
      <c r="D140" s="413">
        <f>Scenarios!D62</f>
        <v>2.8128229003218612</v>
      </c>
      <c r="E140" s="414">
        <f>Scenarios!E62</f>
        <v>3.2552810114252879</v>
      </c>
      <c r="F140" s="415">
        <f>E22</f>
        <v>0.29465259038036606</v>
      </c>
    </row>
    <row r="141" spans="1:6">
      <c r="B141" s="412" t="s">
        <v>313</v>
      </c>
      <c r="C141" s="413">
        <f>Scenarios!C63</f>
        <v>0.50874815444966315</v>
      </c>
      <c r="D141" s="413">
        <f>Scenarios!D63</f>
        <v>3.5256754909449475</v>
      </c>
      <c r="E141" s="414">
        <f>Scenarios!E63</f>
        <v>4.034423645394611</v>
      </c>
      <c r="F141" s="415">
        <f>Scenarios!F63</f>
        <v>0.20075184365903009</v>
      </c>
    </row>
    <row r="143" spans="1:6">
      <c r="B143" s="344" t="s">
        <v>467</v>
      </c>
      <c r="C143" s="344" t="str">
        <f>"PV("&amp;Holding_Period&amp;" yrs of Dividends)"</f>
        <v>PV(3 yrs of Dividends)</v>
      </c>
      <c r="D143" s="344" t="s">
        <v>475</v>
      </c>
      <c r="E143" s="345" t="str">
        <f>"Sell above ("&amp;Market_currency&amp;")"</f>
        <v>Sell above (HKD)</v>
      </c>
      <c r="F143" s="345" t="s">
        <v>499</v>
      </c>
    </row>
    <row r="144" spans="1:6">
      <c r="B144" s="412" t="s">
        <v>315</v>
      </c>
      <c r="C144" s="413">
        <f>Scenarios!C66</f>
        <v>0.58336743585196538</v>
      </c>
      <c r="D144" s="413">
        <f>Scenarios!D66</f>
        <v>4.3749805031091427</v>
      </c>
      <c r="E144" s="414">
        <f>Scenarios!E66</f>
        <v>4.9583479389611078</v>
      </c>
      <c r="F144" s="415">
        <f>E24</f>
        <v>0.1174</v>
      </c>
    </row>
    <row r="145" spans="1:6">
      <c r="B145" s="412" t="s">
        <v>314</v>
      </c>
      <c r="C145" s="413">
        <f>Scenarios!C67</f>
        <v>0.63167232993043521</v>
      </c>
      <c r="D145" s="413">
        <f>Scenarios!D67</f>
        <v>4.9477781737914412</v>
      </c>
      <c r="E145" s="414">
        <f>Scenarios!E67</f>
        <v>5.5794505037218762</v>
      </c>
      <c r="F145" s="415">
        <f>Scenarios!F67</f>
        <v>7.2499999999999995E-2</v>
      </c>
    </row>
    <row r="147" spans="1:6" ht="13.9">
      <c r="A147" s="349" t="s">
        <v>479</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443</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