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2CAD844F-ACA2-4A02-8F89-C2DB4D4D8D3B}"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E119" i="2" l="1"/>
  <c r="G4" i="3"/>
  <c r="C4" i="3"/>
  <c r="G15" i="3"/>
  <c r="G17" i="3"/>
  <c r="G19" i="3"/>
  <c r="C19" i="3"/>
  <c r="D25" i="4"/>
  <c r="C25" i="4"/>
  <c r="D6" i="4"/>
  <c r="C6" i="4"/>
  <c r="H5" i="4"/>
  <c r="G5" i="4"/>
  <c r="E83" i="2"/>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C80" i="6"/>
  <c r="C80" i="12"/>
  <c r="D68" i="6"/>
  <c r="D68" i="12"/>
  <c r="O77" i="2"/>
  <c r="O116" i="2" s="1"/>
  <c r="O14" i="2"/>
  <c r="P77" i="2"/>
  <c r="P116" i="2" s="1"/>
  <c r="P14" i="2"/>
  <c r="O96" i="2"/>
  <c r="G52" i="2"/>
  <c r="B74" i="8" l="1"/>
  <c r="E79" i="8"/>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<sst xmlns="http://schemas.openxmlformats.org/spreadsheetml/2006/main" count="768" uniqueCount="558">
  <si>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</si>
  <si>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</si>
  <si>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</si>
  <si>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</si>
  <si>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</si>
  <si>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</si>
  <si>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</si>
  <si>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</si>
  <si>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</si>
  <si>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</si>
  <si>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</si>
  <si>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</si>
  <si>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</si>
  <si>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</si>
  <si>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</si>
  <si>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</si>
  <si>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</si>
  <si>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</si>
  <si>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</si>
  <si>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</si>
  <si>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</si>
  <si>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</si>
  <si>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</si>
  <si>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</si>
  <si>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</si>
  <si>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</si>
  <si>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</si>
  <si>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</si>
  <si>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</si>
  <si>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</si>
  <si>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</si>
  <si>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</si>
  <si>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</si>
  <si>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</si>
  <si>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</si>
  <si>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</si>
  <si>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</si>
  <si>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</si>
  <si>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</si>
  <si>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</si>
  <si>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</si>
  <si>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</si>
  <si>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</si>
  <si>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</si>
  <si>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</si>
  <si>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</si>
  <si>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</si>
  <si>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</si>
  <si>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</si>
  <si>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</si>
  <si>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</si>
  <si>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</si>
  <si>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</si>
  <si>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</si>
  <si>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</si>
  <si>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</si>
  <si>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</si>
  <si>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</si>
  <si>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</si>
  <si>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</si>
  <si>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</si>
  <si>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</si>
  <si>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</si>
  <si>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</si>
  <si>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</si>
  <si>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</si>
  <si>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</si>
  <si>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</si>
  <si>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</si>
  <si>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</si>
  <si>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</si>
  <si>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</si>
  <si>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</si>
  <si>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</si>
  <si>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</si>
  <si>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</si>
  <si>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</si>
  <si>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</si>
  <si>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</si>
  <si>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</si>
  <si>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</si>
  <si>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</si>
  <si>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</si>
  <si>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</si>
  <si>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</si>
  <si>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</si>
  <si>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</si>
  <si>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</si>
  <si>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</si>
  <si>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</si>
  <si>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</si>
  <si>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</si>
  <si>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</si>
  <si>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</si>
  <si>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</si>
  <si>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</si>
  <si>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</si>
  <si>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</si>
  <si>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</si>
  <si>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</si>
  <si>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</si>
  <si>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</si>
  <si>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</si>
  <si>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</si>
  <si>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</si>
  <si>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</si>
  <si>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</si>
  <si>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</si>
  <si>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</si>
  <si>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</si>
  <si>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</si>
  <si>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</si>
  <si>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</si>
  <si>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</si>
  <si>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</si>
  <si>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</si>
  <si>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</si>
  <si>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</si>
  <si>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</si>
  <si>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</si>
  <si>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</si>
  <si>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</si>
  <si>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</si>
  <si>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</si>
  <si>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</si>
  <si>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</si>
  <si>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</si>
  <si>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</si>
  <si>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</si>
  <si>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</si>
  <si>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</si>
  <si>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</si>
  <si>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</si>
  <si>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</si>
  <si>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</si>
  <si>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</si>
  <si>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</si>
  <si>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</si>
  <si>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</si>
  <si>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</si>
  <si>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</si>
  <si>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</si>
  <si>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</si>
  <si>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</si>
  <si>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</si>
  <si>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</si>
  <si>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</si>
  <si>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</si>
  <si>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</si>
  <si>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</si>
  <si>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</si>
  <si>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</si>
  <si>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</si>
  <si>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</si>
  <si>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</si>
  <si>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</si>
  <si>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</si>
  <si>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</si>
  <si>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</si>
  <si>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</si>
  <si>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</si>
  <si>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</si>
  <si>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</si>
  <si>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</si>
  <si>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</si>
  <si>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</si>
  <si>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</si>
  <si>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</si>
  <si>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</si>
  <si>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</si>
  <si>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</si>
  <si>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</si>
  <si>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</si>
  <si>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</si>
  <si>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</si>
  <si>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</si>
  <si>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</si>
  <si>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</si>
  <si>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</si>
  <si>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</si>
  <si>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</si>
  <si>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</si>
  <si>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</si>
  <si>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</si>
  <si>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</si>
  <si>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</si>
  <si>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</si>
  <si>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</si>
  <si>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</si>
  <si>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</si>
  <si>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</si>
  <si>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</si>
  <si>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</si>
  <si>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</si>
  <si>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</si>
  <si>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</si>
  <si>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</si>
  <si>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</si>
  <si>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</si>
  <si>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</si>
  <si>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</si>
  <si>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</si>
  <si>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</si>
  <si>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</si>
  <si>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</si>
  <si>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</si>
  <si>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</si>
  <si>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</si>
  <si>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</si>
  <si>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</si>
  <si>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</si>
  <si>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</si>
  <si>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</si>
  <si>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</si>
  <si>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</si>
  <si>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</si>
  <si>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</si>
  <si>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</si>
  <si>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</si>
  <si>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</si>
  <si>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</si>
  <si>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</si>
  <si>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</si>
  <si>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</si>
  <si>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</si>
  <si>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</si>
  <si>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</si>
  <si>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</si>
  <si>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</si>
  <si>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</si>
  <si>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</si>
  <si>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</si>
  <si>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</si>
  <si>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</si>
  <si>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</si>
  <si>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</si>
  <si>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</si>
  <si>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</si>
  <si>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</si>
  <si>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</si>
  <si>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</si>
  <si>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</si>
  <si>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</si>
  <si>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</si>
  <si>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</si>
  <si>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</si>
  <si>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</si>
  <si>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</si>
  <si>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</si>
  <si>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</si>
  <si>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</si>
  <si>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</si>
  <si>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</si>
  <si>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</si>
  <si>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</si>
  <si>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</si>
  <si>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</si>
  <si>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</si>
  <si>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</si>
  <si>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</si>
  <si>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</si>
  <si>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</si>
  <si>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</si>
  <si>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</si>
  <si>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</si>
  <si>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</si>
  <si>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</si>
  <si>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</si>
  <si>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</si>
  <si>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</si>
  <si>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</si>
  <si>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</si>
  <si>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</si>
  <si>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</si>
  <si>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</si>
  <si>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</si>
  <si>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</si>
  <si>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</si>
  <si>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</si>
  <si>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</si>
  <si>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</si>
  <si>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</si>
  <si>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</si>
  <si>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</si>
  <si>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</si>
  <si>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</si>
  <si>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</si>
  <si>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</si>
  <si>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</si>
  <si>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</si>
  <si>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</si>
  <si>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</si>
  <si>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</si>
  <si>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</si>
  <si>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</si>
  <si>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</si>
  <si>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</si>
  <si>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</si>
  <si>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</si>
  <si>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</si>
  <si>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</si>
  <si>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</si>
  <si>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</si>
  <si>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</si>
  <si>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</si>
  <si>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</si>
  <si>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</si>
  <si>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</si>
  <si>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</si>
  <si>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</si>
  <si>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</si>
  <si>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</si>
  <si>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</si>
  <si>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</si>
  <si>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</si>
  <si>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</si>
  <si>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</si>
  <si>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</si>
  <si>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</si>
  <si>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</si>
  <si>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</si>
  <si>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</si>
  <si>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</si>
  <si>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INT</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</si>
  <si>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</si>
  <si>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</si>
  <si>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</si>
  <si>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</si>
  <si>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</si>
  <si>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</si>
  <si>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</si>
  <si>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</si>
  <si>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</si>
  <si>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</si>
  <si>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</si>
  <si>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</si>
  <si>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</si>
  <si>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</si>
  <si>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</si>
  <si>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</si>
  <si>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</si>
  <si>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</si>
  <si>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</si>
  <si>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</si>
  <si>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</si>
  <si>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</si>
  <si>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</si>
  <si>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</si>
  <si>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</si>
  <si>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</si>
  <si>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</si>
  <si>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</si>
  <si>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</si>
  <si>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</si>
  <si>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</si>
  <si>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</si>
  <si>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</si>
  <si>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</si>
  <si>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</si>
  <si>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</si>
  <si>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</si>
  <si>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</si>
  <si>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</si>
  <si>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</si>
  <si>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</si>
  <si>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</si>
  <si>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</si>
  <si>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</si>
  <si>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</si>
  <si>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</si>
  <si>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</si>
  <si>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</si>
  <si>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</si>
  <si>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</si>
  <si>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</si>
  <si>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</si>
  <si>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</si>
  <si>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</si>
  <si>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</si>
  <si>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</si>
  <si>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</si>
  <si>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</si>
  <si>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</si>
  <si>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</si>
  <si>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</si>
  <si>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</si>
  <si>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</si>
  <si>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</si>
  <si>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</si>
  <si>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</si>
  <si>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</si>
  <si>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</si>
  <si>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</si>
  <si>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</si>
  <si>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</si>
  <si>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</si>
  <si>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</si>
  <si>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</si>
  <si>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</si>
  <si>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</si>
  <si>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</si>
  <si>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</si>
  <si>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</si>
  <si>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</si>
  <si>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</si>
  <si>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</si>
  <si>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</si>
  <si>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</si>
  <si>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</si>
  <si>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</si>
  <si>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</si>
  <si>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</si>
  <si>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</si>
  <si>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</si>
  <si>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</si>
  <si>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</si>
  <si>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</si>
  <si>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</si>
  <si>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</si>
  <si>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</si>
  <si>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</si>
  <si>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</si>
  <si>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</si>
  <si>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</si>
  <si>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</si>
  <si>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</si>
  <si>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</si>
  <si>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</si>
  <si>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</si>
  <si>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</si>
  <si>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</si>
  <si>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</si>
  <si>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</si>
  <si>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</si>
  <si>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</si>
  <si>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</si>
  <si>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</si>
  <si>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</si>
  <si>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</si>
  <si>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</si>
  <si>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</si>
  <si>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</si>
  <si>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</si>
  <si>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</si>
  <si>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</si>
  <si>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</si>
  <si>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</si>
  <si>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</si>
  <si>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</si>
  <si>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</si>
  <si>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</si>
  <si>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</si>
  <si>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</si>
  <si>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</si>
  <si>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</si>
  <si>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</si>
  <si>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</si>
  <si>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</si>
  <si>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</si>
  <si>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</si>
  <si>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</si>
  <si>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</si>
  <si>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</si>
  <si>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</si>
  <si>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</si>
  <si>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</si>
  <si>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</si>
  <si>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</si>
  <si>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</si>
  <si>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</si>
  <si>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</si>
  <si>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</si>
  <si>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</si>
  <si>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</si>
  <si>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</si>
  <si>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</si>
  <si>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</si>
  <si>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</si>
  <si>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</si>
  <si>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</si>
  <si>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</si>
  <si>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</si>
  <si>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</si>
  <si>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</si>
  <si>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</si>
  <si>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</si>
  <si>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</si>
  <si>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</si>
  <si>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</si>
  <si>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</si>
  <si>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</si>
  <si>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</si>
  <si>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</si>
  <si>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</si>
  <si>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</si>
  <si>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</si>
  <si>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t>Y</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</si>
  <si>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</si>
  <si>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</si>
  <si>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</si>
  <si>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</si>
  <si>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</si>
  <si>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</si>
  <si>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</si>
  <si>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</si>
  <si>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</si>
  <si>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</si>
  <si>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</si>
  <si>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</si>
  <si>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</si>
  <si>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</si>
  <si>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</si>
  <si>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</si>
  <si>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</si>
  <si>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</si>
  <si>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</si>
  <si>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</si>
  <si>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</si>
  <si>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</si>
  <si>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</si>
  <si>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</si>
  <si>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</si>
  <si>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</si>
  <si>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</si>
  <si>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</si>
  <si>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</si>
  <si>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</si>
  <si>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</si>
  <si>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</si>
  <si>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</si>
  <si>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</si>
  <si>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</si>
  <si>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</si>
  <si>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</si>
  <si>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</si>
  <si>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</si>
  <si>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</si>
  <si>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</si>
  <si>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</si>
  <si>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</si>
  <si>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</si>
  <si>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</si>
  <si>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</si>
  <si>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</si>
  <si>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</si>
  <si>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</si>
  <si>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</si>
  <si>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</si>
  <si>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</si>
  <si>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</si>
  <si>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</si>
  <si>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</si>
  <si>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</si>
  <si>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</si>
  <si>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</si>
  <si>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Biological/Mineral assets</t>
  </si>
  <si>
    <t>3998.HK</t>
  </si>
  <si>
    <t>波司登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</si>
</sst>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61" fillId="0" borderId="0" xfId="0" applyFont="1" applyAlignment="1">
      <alignment horizontal="left" wrapText="1"/>
    </xf>
    <xf numFmtId="0" fontId="65" fillId="0" borderId="0" xfId="0" applyFont="1" applyAlignment="1">
      <alignment horizontal="left" wrapText="1"/>
    </xf>
    <xf numFmtId="0" fontId="54" fillId="0" borderId="0" xfId="0" applyFont="1" applyAlignment="1">
      <alignment horizontal="left"/>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2"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F4" sqref="F4"/>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224</v>
      </c>
      <c r="B2" s="34"/>
      <c r="C2" s="34"/>
      <c r="D2" s="34"/>
      <c r="E2" s="34"/>
      <c r="F2" s="34"/>
      <c r="G2" s="21"/>
      <c r="H2" s="21"/>
      <c r="I2" s="21"/>
    </row>
    <row r="3" spans="1:9">
      <c r="E3" s="428" t="s">
        <v>537</v>
      </c>
      <c r="F3" s="429">
        <v>46130</v>
      </c>
    </row>
    <row r="4" spans="1:9" ht="12.4">
      <c r="B4" s="421" t="s">
        <v>532</v>
      </c>
      <c r="C4" s="420" t="s">
        <v>557</v>
      </c>
      <c r="E4" s="430" t="s">
        <v>536</v>
      </c>
      <c r="F4" s="431" t="s">
        <v>323</v>
      </c>
    </row>
    <row r="5" spans="1:9">
      <c r="B5" s="1" t="s">
        <v>348</v>
      </c>
      <c r="C5" s="46" t="s">
        <v>556</v>
      </c>
      <c r="E5" s="433" t="s">
        <v>538</v>
      </c>
      <c r="F5" s="432" t="s">
        <v>496</v>
      </c>
    </row>
    <row r="6" spans="1:9">
      <c r="B6" s="2" t="s">
        <v>52</v>
      </c>
      <c r="C6" s="45" t="s">
        <v>548</v>
      </c>
      <c r="D6" s="45"/>
      <c r="E6" s="45"/>
    </row>
    <row r="7" spans="1:9">
      <c r="B7" s="1" t="s">
        <v>350</v>
      </c>
      <c r="C7" s="45" t="s">
        <v>307</v>
      </c>
      <c r="D7" s="45"/>
      <c r="E7" s="45"/>
    </row>
    <row r="8" spans="1:9">
      <c r="B8" s="4" t="s">
        <v>349</v>
      </c>
      <c r="C8" s="47">
        <v>4.17</v>
      </c>
      <c r="E8" s="32"/>
    </row>
    <row r="9" spans="1:9">
      <c r="B9" s="4" t="s">
        <v>345</v>
      </c>
      <c r="C9" s="48">
        <v>11684471872</v>
      </c>
    </row>
    <row r="10" spans="1:9">
      <c r="B10" s="4" t="s">
        <v>351</v>
      </c>
      <c r="C10" s="33">
        <f>Thesis!C8*Common_Shares/1000000</f>
        <v>48724.247706239999</v>
      </c>
      <c r="D10" s="1" t="s">
        <v>527</v>
      </c>
      <c r="E10" s="303">
        <f>Scenarios!F34</f>
        <v>0.15311413376648342</v>
      </c>
    </row>
    <row r="11" spans="1:9">
      <c r="D11" s="5"/>
      <c r="E11" s="5"/>
    </row>
    <row r="12" spans="1:9" ht="24.5" customHeight="1">
      <c r="B12" s="460" t="s">
        <v>354</v>
      </c>
      <c r="C12" s="460"/>
      <c r="D12" s="460"/>
      <c r="E12" s="460"/>
      <c r="F12" s="460"/>
    </row>
    <row r="14" spans="1:9">
      <c r="B14" s="42" t="str">
        <f>Scenarios!B39&amp;" Valuation Conclusion"</f>
        <v>1-stage DCF Valuation Conclusion</v>
      </c>
      <c r="C14" s="43"/>
    </row>
    <row r="15" spans="1:9">
      <c r="B15" s="1" t="s">
        <v>318</v>
      </c>
      <c r="C15" s="417" t="s">
        <v>545</v>
      </c>
      <c r="D15" s="4" t="s">
        <v>352</v>
      </c>
      <c r="E15" s="253" t="str">
        <f>IF(E17=C7,C7,E17&amp;"/"&amp;C7)</f>
        <v>HKD</v>
      </c>
    </row>
    <row r="16" spans="1:9">
      <c r="B16" s="1" t="s">
        <v>319</v>
      </c>
      <c r="C16" s="417" t="s">
        <v>545</v>
      </c>
      <c r="D16" s="4" t="s">
        <v>353</v>
      </c>
      <c r="E16" s="416">
        <v>1</v>
      </c>
    </row>
    <row r="17" spans="1:6">
      <c r="B17" s="1" t="s">
        <v>531</v>
      </c>
      <c r="C17" s="456">
        <v>0.02</v>
      </c>
      <c r="D17" s="4" t="s">
        <v>273</v>
      </c>
      <c r="E17" s="224" t="s">
        <v>307</v>
      </c>
    </row>
    <row r="18" spans="1:6">
      <c r="B18" s="1" t="str">
        <f>"Expected Equity Value ("&amp;C7&amp;") :"</f>
        <v>Expected Equity Value (HKD) :</v>
      </c>
      <c r="C18" s="252">
        <f>C125</f>
        <v>5.4881856537930034</v>
      </c>
      <c r="D18" s="2" t="s">
        <v>346</v>
      </c>
      <c r="E18" s="418">
        <v>6</v>
      </c>
    </row>
    <row r="19" spans="1:6">
      <c r="B19" s="2" t="s">
        <v>274</v>
      </c>
      <c r="C19" s="31" t="str">
        <f>IF(Terminal_Growth&lt;2%, "Lower than Inflation rate", IF(Terminal_Growth&lt;5%, "Low growth", IF(Terminal_Growth&lt;8%, "Medium growth", "High growth")))</f>
        <v>Low growth</v>
      </c>
      <c r="D19" s="1" t="s">
        <v>347</v>
      </c>
      <c r="E19" s="419">
        <f>EOMONTH(EDATE(BS!C1,E18+2),0)</f>
        <v>46173</v>
      </c>
    </row>
    <row r="20" spans="1:6">
      <c r="D20" s="5"/>
      <c r="E20" s="5"/>
    </row>
    <row r="21" spans="1:6">
      <c r="B21" s="42" t="s">
        <v>403</v>
      </c>
      <c r="C21" s="254" t="str">
        <f>C138&amp;" ("&amp;Market_currency&amp;")"</f>
        <v xml:space="preserve"> (HKD)</v>
      </c>
      <c r="D21" s="31" t="s">
        <v>315</v>
      </c>
      <c r="E21" s="442">
        <v>3</v>
      </c>
    </row>
    <row r="22" spans="1:6">
      <c r="B22" s="1" t="s">
        <v>311</v>
      </c>
      <c r="C22" s="255">
        <f>E140</f>
        <v>3.0048792225964673</v>
      </c>
      <c r="D22" s="38" t="s">
        <v>405</v>
      </c>
      <c r="E22" s="79">
        <v>0.29465259038036601</v>
      </c>
    </row>
    <row r="23" spans="1:6">
      <c r="B23" s="1" t="s">
        <v>312</v>
      </c>
      <c r="C23" s="256">
        <f>E141</f>
        <v>3.7171121620548737</v>
      </c>
      <c r="D23" s="38" t="s">
        <v>406</v>
      </c>
      <c r="E23" s="443">
        <v>0.20075184365903001</v>
      </c>
    </row>
    <row r="24" spans="1:6">
      <c r="B24" s="1" t="s">
        <v>314</v>
      </c>
      <c r="C24" s="256">
        <f>E144</f>
        <v>4.5609909188949231</v>
      </c>
      <c r="D24" s="38" t="s">
        <v>407</v>
      </c>
      <c r="E24" s="443">
        <v>0.1174</v>
      </c>
    </row>
    <row r="25" spans="1:6">
      <c r="B25" s="1" t="s">
        <v>313</v>
      </c>
      <c r="C25" s="256">
        <f>E145</f>
        <v>5.1279561951610866</v>
      </c>
      <c r="D25" s="38" t="s">
        <v>408</v>
      </c>
      <c r="E25" s="444">
        <v>7.2499999999999995E-2</v>
      </c>
    </row>
    <row r="26" spans="1:6">
      <c r="D26" s="5"/>
      <c r="E26" s="5"/>
    </row>
    <row r="27" spans="1:6" ht="13.9">
      <c r="A27" s="200" t="s">
        <v>279</v>
      </c>
      <c r="B27" s="34"/>
      <c r="C27" s="34"/>
      <c r="D27" s="34"/>
      <c r="E27" s="34"/>
      <c r="F27" s="34"/>
    </row>
    <row r="29" spans="1:6">
      <c r="B29" s="460" t="s">
        <v>355</v>
      </c>
      <c r="C29" s="460"/>
      <c r="D29" s="460"/>
      <c r="E29" s="460"/>
      <c r="F29" s="460"/>
    </row>
    <row r="30" spans="1:6" ht="24.5" customHeight="1">
      <c r="B30" s="462" t="s">
        <v>265</v>
      </c>
      <c r="C30" s="462"/>
      <c r="D30" s="462"/>
      <c r="E30" s="462"/>
      <c r="F30" s="462"/>
    </row>
    <row r="32" spans="1:6">
      <c r="B32" s="192" t="s">
        <v>194</v>
      </c>
      <c r="C32" s="105">
        <f>scaling_factor</f>
        <v>1000</v>
      </c>
    </row>
    <row r="33" spans="2:6" ht="24.5" customHeight="1">
      <c r="B33" s="461" t="s">
        <v>195</v>
      </c>
      <c r="C33" s="461"/>
      <c r="D33" s="461"/>
      <c r="E33" s="461"/>
      <c r="F33" s="461"/>
    </row>
    <row r="34" spans="2:6">
      <c r="B34" s="44" t="s">
        <v>196</v>
      </c>
      <c r="C34" s="285">
        <f>Normalized_FCF!C8</f>
        <v>4706113.0788310617</v>
      </c>
      <c r="D34" s="1" t="str">
        <f>Reporting_currency</f>
        <v>HKD</v>
      </c>
    </row>
    <row r="35" spans="2:6">
      <c r="B35" s="44"/>
      <c r="C35" s="73"/>
    </row>
    <row r="36" spans="2:6" ht="24.5" customHeight="1">
      <c r="B36" s="461" t="s">
        <v>197</v>
      </c>
      <c r="C36" s="461"/>
      <c r="D36" s="461"/>
      <c r="E36" s="461"/>
      <c r="F36" s="461"/>
    </row>
    <row r="37" spans="2:6">
      <c r="B37" s="44" t="s">
        <v>198</v>
      </c>
      <c r="C37" s="285">
        <f>Normalized_FCF!C15</f>
        <v>0</v>
      </c>
      <c r="D37" s="1" t="str">
        <f>Reporting_currency</f>
        <v>HKD</v>
      </c>
    </row>
    <row r="38" spans="2:6">
      <c r="B38" s="49" t="s">
        <v>199</v>
      </c>
      <c r="C38" s="285">
        <f>Normalized_FCF!C16</f>
        <v>0</v>
      </c>
      <c r="D38" s="1" t="str">
        <f>Reporting_currency</f>
        <v>HKD</v>
      </c>
    </row>
    <row r="40" spans="2:6">
      <c r="B40" s="461" t="s">
        <v>200</v>
      </c>
      <c r="C40" s="461"/>
      <c r="D40" s="461"/>
      <c r="E40" s="461"/>
      <c r="F40" s="461"/>
    </row>
    <row r="41" spans="2:6">
      <c r="B41" s="44" t="s">
        <v>201</v>
      </c>
      <c r="C41" s="285">
        <f>Normalized_FCF!C9</f>
        <v>0</v>
      </c>
      <c r="D41" s="1" t="str">
        <f>Reporting_currency</f>
        <v>HKD</v>
      </c>
    </row>
    <row r="43" spans="2:6">
      <c r="B43" s="461" t="s">
        <v>204</v>
      </c>
      <c r="C43" s="461"/>
      <c r="D43" s="461"/>
      <c r="E43" s="461"/>
      <c r="F43" s="461"/>
    </row>
    <row r="44" spans="2:6">
      <c r="B44" s="44" t="s">
        <v>266</v>
      </c>
      <c r="C44" s="286">
        <f>Normalized_FCF!C46</f>
        <v>24233.649607888936</v>
      </c>
      <c r="D44" s="1" t="str">
        <f>Reporting_currency</f>
        <v>HKD</v>
      </c>
      <c r="E44" s="244"/>
      <c r="F44" s="244"/>
    </row>
    <row r="45" spans="2:6">
      <c r="B45" s="44" t="s">
        <v>267</v>
      </c>
      <c r="C45" s="286">
        <f>Normalized_FCF!C45</f>
        <v>-116377.98</v>
      </c>
      <c r="D45" s="1" t="str">
        <f>Reporting_currency</f>
        <v>HKD</v>
      </c>
      <c r="E45" s="244"/>
      <c r="F45" s="244"/>
    </row>
    <row r="46" spans="2:6">
      <c r="B46" s="44" t="s">
        <v>202</v>
      </c>
      <c r="C46" s="285">
        <f>Normalized_FCF!C10</f>
        <v>-92144.330392111064</v>
      </c>
      <c r="D46" s="1" t="str">
        <f>Reporting_currency</f>
        <v>HKD</v>
      </c>
    </row>
    <row r="48" spans="2:6">
      <c r="B48" s="1" t="s">
        <v>210</v>
      </c>
    </row>
    <row r="49" spans="2:6">
      <c r="B49" s="44" t="s">
        <v>222</v>
      </c>
      <c r="C49" s="285">
        <f>Normalized_FCF!C13</f>
        <v>-51397.011966813414</v>
      </c>
      <c r="D49" s="1" t="str">
        <f>Reporting_currency</f>
        <v>HKD</v>
      </c>
    </row>
    <row r="51" spans="2:6">
      <c r="B51" s="461" t="s">
        <v>205</v>
      </c>
      <c r="C51" s="461"/>
      <c r="D51" s="461"/>
      <c r="E51" s="461"/>
      <c r="F51" s="461"/>
    </row>
    <row r="52" spans="2:6">
      <c r="B52" s="44" t="s">
        <v>203</v>
      </c>
      <c r="C52" s="285">
        <f>Normalized_FCF!C12</f>
        <v>-1153492.1871097377</v>
      </c>
      <c r="D52" s="1" t="str">
        <f>Reporting_currency</f>
        <v>HKD</v>
      </c>
    </row>
    <row r="54" spans="2:6">
      <c r="B54" s="461" t="s">
        <v>264</v>
      </c>
      <c r="C54" s="464"/>
      <c r="D54" s="464"/>
      <c r="E54" s="464"/>
      <c r="F54" s="464"/>
    </row>
    <row r="55" spans="2:6">
      <c r="B55" s="44" t="s">
        <v>206</v>
      </c>
      <c r="C55" s="285">
        <f>Normalized_FCF!C17</f>
        <v>0</v>
      </c>
      <c r="D55" s="1" t="str">
        <f>Reporting_currency</f>
        <v>HKD</v>
      </c>
    </row>
    <row r="57" spans="2:6" ht="24.5" customHeight="1">
      <c r="B57" s="460" t="s">
        <v>269</v>
      </c>
      <c r="C57" s="460"/>
      <c r="D57" s="460"/>
      <c r="E57" s="460"/>
      <c r="F57" s="460"/>
    </row>
    <row r="58" spans="2:6" ht="24.5" customHeight="1">
      <c r="B58" s="460" t="s">
        <v>281</v>
      </c>
      <c r="C58" s="460"/>
      <c r="D58" s="460"/>
      <c r="E58" s="460"/>
      <c r="F58" s="460"/>
    </row>
    <row r="60" spans="2:6">
      <c r="B60" s="44" t="s">
        <v>226</v>
      </c>
      <c r="C60" s="285">
        <f>Normalized_FCF!G19</f>
        <v>3037006.2064955495</v>
      </c>
      <c r="D60" s="1" t="str">
        <f>Reporting_currency</f>
        <v>HKD</v>
      </c>
    </row>
    <row r="61" spans="2:6">
      <c r="B61" s="44" t="s">
        <v>212</v>
      </c>
      <c r="C61" s="285">
        <f>Normalized_FCF!C19</f>
        <v>3409079.5493623996</v>
      </c>
      <c r="D61" s="1" t="str">
        <f>Reporting_currency</f>
        <v>HKD</v>
      </c>
    </row>
    <row r="62" spans="2:6">
      <c r="B62" s="204" t="s">
        <v>301</v>
      </c>
      <c r="C62" s="89">
        <f>Normalized_FCF!C124</f>
        <v>6.9966797023031449E-2</v>
      </c>
      <c r="F62" s="257"/>
    </row>
    <row r="63" spans="2:6">
      <c r="B63" s="204" t="s">
        <v>331</v>
      </c>
      <c r="C63" s="89">
        <f>Normalized_FCF!C92</f>
        <v>6.235011990407674E-2</v>
      </c>
      <c r="E63" s="44" t="s">
        <v>321</v>
      </c>
      <c r="F63" s="258">
        <f>Normalized_FCF!C90</f>
        <v>0.89113869087865394</v>
      </c>
    </row>
    <row r="65" spans="1:6">
      <c r="B65" s="192" t="s">
        <v>324</v>
      </c>
      <c r="C65" s="264" t="s">
        <v>326</v>
      </c>
      <c r="D65" s="264" t="s">
        <v>327</v>
      </c>
    </row>
    <row r="66" spans="1:6">
      <c r="B66" s="44" t="s">
        <v>325</v>
      </c>
      <c r="C66" s="89">
        <f>Normalized_FCF!E119</f>
        <v>0.28568079100302196</v>
      </c>
      <c r="D66" s="89">
        <f>Normalized_FCF!G119</f>
        <v>0.28929432815741635</v>
      </c>
    </row>
    <row r="67" spans="1:6">
      <c r="B67" s="229" t="str">
        <f>Normalized_FCF!B116</f>
        <v>Pre-tax Profit/Sales</v>
      </c>
      <c r="C67" s="263">
        <f>Normalized_FCF!E116</f>
        <v>0.17813313161397862</v>
      </c>
      <c r="D67" s="263">
        <f>Normalized_FCF!G116</f>
        <v>0.18038631317111356</v>
      </c>
    </row>
    <row r="68" spans="1:6">
      <c r="B68" s="229" t="str">
        <f>Normalized_FCF!B117</f>
        <v>Sales/Total Assets</v>
      </c>
      <c r="C68" s="265">
        <f>Normalized_FCF!E117</f>
        <v>0.91428215624568043</v>
      </c>
      <c r="D68" s="265">
        <f>Normalized_FCF!G117</f>
        <v>0.91428215624568043</v>
      </c>
    </row>
    <row r="69" spans="1:6">
      <c r="B69" s="229" t="str">
        <f>Normalized_FCF!B118</f>
        <v>Total Assets/Equity</v>
      </c>
      <c r="C69" s="265">
        <f>Normalized_FCF!E118</f>
        <v>1.7541070452059788</v>
      </c>
      <c r="D69" s="265">
        <f>Normalized_FCF!G118</f>
        <v>1.7541070452059788</v>
      </c>
    </row>
    <row r="71" spans="1:6" ht="13.9">
      <c r="A71" s="200" t="s">
        <v>476</v>
      </c>
      <c r="B71" s="34"/>
      <c r="C71" s="34"/>
      <c r="D71" s="34"/>
      <c r="E71" s="34"/>
      <c r="F71" s="34"/>
    </row>
    <row r="72" spans="1:6">
      <c r="A72" s="191"/>
    </row>
    <row r="73" spans="1:6">
      <c r="A73" s="191"/>
      <c r="B73" s="460" t="s">
        <v>477</v>
      </c>
      <c r="C73" s="460"/>
      <c r="D73" s="460"/>
      <c r="E73" s="460"/>
      <c r="F73" s="460"/>
    </row>
    <row r="74" spans="1:6">
      <c r="A74" s="191"/>
      <c r="B74" s="1" t="s">
        <v>464</v>
      </c>
    </row>
    <row r="75" spans="1:6">
      <c r="A75" s="191"/>
    </row>
    <row r="76" spans="1:6">
      <c r="A76" s="191"/>
      <c r="B76" s="192" t="s">
        <v>194</v>
      </c>
    </row>
    <row r="77" spans="1:6">
      <c r="A77" s="191"/>
      <c r="B77" s="460" t="s">
        <v>270</v>
      </c>
      <c r="C77" s="460"/>
      <c r="D77" s="460"/>
      <c r="E77" s="460"/>
      <c r="F77" s="460"/>
    </row>
    <row r="78" spans="1:6">
      <c r="A78" s="191"/>
      <c r="B78" s="1" t="s">
        <v>214</v>
      </c>
      <c r="C78" s="285">
        <f>DCF!F4</f>
        <v>-1939633</v>
      </c>
      <c r="D78" s="1" t="str">
        <f>Reporting_currency</f>
        <v>HKD</v>
      </c>
    </row>
    <row r="79" spans="1:6">
      <c r="A79" s="191"/>
      <c r="B79" s="44" t="s">
        <v>233</v>
      </c>
      <c r="C79" s="201">
        <f>C78*scaling_factor*Exchange_Rate/Common_Shares</f>
        <v>-0.16600091311341383</v>
      </c>
      <c r="D79" s="1" t="str">
        <f>Market_currency</f>
        <v>HKD</v>
      </c>
    </row>
    <row r="80" spans="1:6">
      <c r="A80" s="191"/>
      <c r="B80" s="229" t="s">
        <v>308</v>
      </c>
      <c r="C80" s="337">
        <f>IF(BS!G31/BS!G27&gt;300%,"nm",BS!G31/BS!G27)</f>
        <v>0.1200952845385091</v>
      </c>
    </row>
    <row r="81" spans="1:6">
      <c r="A81" s="191"/>
      <c r="B81" s="229" t="s">
        <v>310</v>
      </c>
      <c r="C81" s="338">
        <f>IF(BS!C50&gt;30,"nm",BS!C50)</f>
        <v>0.41215180500545473</v>
      </c>
    </row>
    <row r="82" spans="1:6">
      <c r="A82" s="191"/>
    </row>
    <row r="83" spans="1:6">
      <c r="A83" s="191"/>
      <c r="B83" s="1" t="s">
        <v>465</v>
      </c>
    </row>
    <row r="84" spans="1:6">
      <c r="A84" s="191"/>
      <c r="B84" s="1" t="s">
        <v>223</v>
      </c>
      <c r="C84" s="285">
        <f>DCF!F5</f>
        <v>3796000.3986851773</v>
      </c>
      <c r="D84" s="1" t="str">
        <f>Reporting_currency</f>
        <v>HKD</v>
      </c>
    </row>
    <row r="85" spans="1:6">
      <c r="A85" s="191"/>
      <c r="B85" s="229" t="s">
        <v>221</v>
      </c>
      <c r="C85" s="291">
        <f>BS!C66</f>
        <v>7834942</v>
      </c>
      <c r="D85" s="339" t="str">
        <f>Reporting_currency</f>
        <v>HKD</v>
      </c>
    </row>
    <row r="86" spans="1:6">
      <c r="A86" s="191"/>
      <c r="B86" s="44" t="s">
        <v>234</v>
      </c>
      <c r="C86" s="201">
        <f>C84*scaling_factor*Exchange_Rate/Common_Shares</f>
        <v>0.32487565037335536</v>
      </c>
      <c r="D86" s="1" t="str">
        <f>Market_currency</f>
        <v>HKD</v>
      </c>
    </row>
    <row r="87" spans="1:6">
      <c r="A87" s="191"/>
    </row>
    <row r="88" spans="1:6">
      <c r="A88" s="191"/>
      <c r="B88" s="1" t="s">
        <v>215</v>
      </c>
    </row>
    <row r="89" spans="1:6">
      <c r="A89" s="191"/>
      <c r="B89" s="1" t="s">
        <v>216</v>
      </c>
      <c r="C89" s="285">
        <f>DCF!F6</f>
        <v>2176734.1</v>
      </c>
      <c r="D89" s="1" t="str">
        <f>Reporting_currency</f>
        <v>HKD</v>
      </c>
    </row>
    <row r="90" spans="1:6">
      <c r="A90" s="191"/>
      <c r="B90" s="44" t="s">
        <v>235</v>
      </c>
      <c r="C90" s="201">
        <f>C89*scaling_factor*Exchange_Rate/Common_Shares</f>
        <v>0.18629289572053326</v>
      </c>
      <c r="D90" s="1" t="str">
        <f>Market_currency</f>
        <v>HKD</v>
      </c>
    </row>
    <row r="91" spans="1:6">
      <c r="A91" s="191"/>
    </row>
    <row r="92" spans="1:6">
      <c r="A92" s="191"/>
      <c r="B92" s="44" t="s">
        <v>468</v>
      </c>
      <c r="C92" s="216">
        <f>DCF!F8</f>
        <v>0.34516763298047481</v>
      </c>
      <c r="D92" s="44" t="str">
        <f>Market_currency</f>
        <v>HKD</v>
      </c>
    </row>
    <row r="94" spans="1:6" ht="13.9">
      <c r="A94" s="200" t="s">
        <v>469</v>
      </c>
      <c r="B94" s="34"/>
      <c r="C94" s="34"/>
      <c r="D94" s="34"/>
      <c r="E94" s="34"/>
      <c r="F94" s="34"/>
    </row>
    <row r="95" spans="1:6">
      <c r="A95" s="191"/>
    </row>
    <row r="96" spans="1:6" ht="11.75" customHeight="1">
      <c r="B96" s="460" t="s">
        <v>484</v>
      </c>
      <c r="C96" s="460"/>
      <c r="D96" s="460"/>
      <c r="E96" s="460"/>
      <c r="F96" s="460"/>
    </row>
    <row r="97" spans="2:6">
      <c r="B97" s="462" t="s">
        <v>483</v>
      </c>
      <c r="C97" s="462"/>
      <c r="D97" s="462"/>
      <c r="E97" s="462"/>
      <c r="F97" s="462"/>
    </row>
    <row r="98" spans="2:6">
      <c r="B98" s="462" t="s">
        <v>482</v>
      </c>
      <c r="C98" s="462"/>
      <c r="D98" s="462"/>
      <c r="E98" s="462"/>
      <c r="F98" s="462"/>
    </row>
    <row r="100" spans="2:6">
      <c r="B100" s="192" t="s">
        <v>194</v>
      </c>
    </row>
    <row r="101" spans="2:6">
      <c r="B101" s="49" t="s">
        <v>466</v>
      </c>
      <c r="C101" s="211">
        <f>E25+C103</f>
        <v>7.2499999999999995E-2</v>
      </c>
    </row>
    <row r="102" spans="2:6">
      <c r="B102" s="229" t="s">
        <v>317</v>
      </c>
      <c r="C102" s="263">
        <f>E25</f>
        <v>7.2499999999999995E-2</v>
      </c>
    </row>
    <row r="103" spans="2:6">
      <c r="B103" s="229" t="s">
        <v>316</v>
      </c>
      <c r="C103" s="263">
        <f>IF(C15="Y",1%,0)+IF(C16="Y",1%,0)</f>
        <v>0</v>
      </c>
    </row>
    <row r="104" spans="2:6">
      <c r="B104" s="44" t="s">
        <v>213</v>
      </c>
      <c r="C104" s="211">
        <f>Terminal_Growth</f>
        <v>0.02</v>
      </c>
    </row>
    <row r="106" spans="2:6">
      <c r="B106" s="250" t="s">
        <v>280</v>
      </c>
      <c r="C106" s="116"/>
    </row>
    <row r="107" spans="2:6">
      <c r="B107" s="460" t="s">
        <v>282</v>
      </c>
      <c r="C107" s="460"/>
      <c r="D107" s="460"/>
      <c r="E107" s="460"/>
      <c r="F107" s="460"/>
    </row>
    <row r="108" spans="2:6">
      <c r="B108" s="460" t="s">
        <v>283</v>
      </c>
      <c r="C108" s="460"/>
      <c r="D108" s="460"/>
      <c r="E108" s="460"/>
      <c r="F108" s="460"/>
    </row>
    <row r="110" spans="2:6">
      <c r="B110" s="192" t="s">
        <v>486</v>
      </c>
    </row>
    <row r="111" spans="2:6">
      <c r="B111" s="49" t="s">
        <v>467</v>
      </c>
      <c r="C111" s="216">
        <f>BS!D47</f>
        <v>0.26857934054514021</v>
      </c>
      <c r="D111" s="1" t="str">
        <f>Market_currency</f>
        <v>HKD</v>
      </c>
    </row>
    <row r="112" spans="2:6">
      <c r="B112" s="44" t="s">
        <v>322</v>
      </c>
      <c r="C112" s="216">
        <f>DCF!C11</f>
        <v>6.013677622652132</v>
      </c>
      <c r="D112" s="1" t="str">
        <f>Market_currency</f>
        <v>HKD</v>
      </c>
    </row>
    <row r="114" spans="2:6" ht="24.5" customHeight="1">
      <c r="B114" s="460" t="s">
        <v>490</v>
      </c>
      <c r="C114" s="460"/>
      <c r="D114" s="460"/>
      <c r="E114" s="460"/>
      <c r="F114" s="460"/>
    </row>
    <row r="116" spans="2:6">
      <c r="B116" s="192" t="s">
        <v>487</v>
      </c>
    </row>
    <row r="117" spans="2:6" ht="12.4">
      <c r="B117" s="342" t="s">
        <v>100</v>
      </c>
      <c r="C117" s="342" t="s">
        <v>109</v>
      </c>
      <c r="D117" s="342" t="s">
        <v>218</v>
      </c>
      <c r="E117" s="342" t="s">
        <v>123</v>
      </c>
      <c r="F117" s="342" t="s">
        <v>544</v>
      </c>
    </row>
    <row r="118" spans="2:6">
      <c r="B118" s="205" t="str">
        <f>DCF!B90&amp;" ("&amp;DCF!D90&amp;"yrs)"</f>
        <v>Snowball Scenario (15yrs)</v>
      </c>
      <c r="C118" s="206">
        <f>DCF!C90</f>
        <v>0.05</v>
      </c>
      <c r="D118" s="207" t="str">
        <f>ROUND(DCF!E90,2)&amp;" "&amp;Market_currency</f>
        <v>7.04 HKD</v>
      </c>
      <c r="E118" s="208">
        <f>DCF!F90</f>
        <v>0.15</v>
      </c>
      <c r="F118" s="208">
        <f>RATE(Holding_Period,Scenarios!C$58,-DCF!E90,C$18)</f>
        <v>-3.9568348311507712E-2</v>
      </c>
    </row>
    <row r="119" spans="2:6">
      <c r="B119" s="205" t="str">
        <f>DCF!B91&amp;" ("&amp;DCF!D91&amp;"yrs)"</f>
        <v>Optimistic (15yrs)</v>
      </c>
      <c r="C119" s="198">
        <f>DCF!C91</f>
        <v>0.03</v>
      </c>
      <c r="D119" s="207" t="str">
        <f>ROUND(DCF!E91,2)&amp;" "&amp;Market_currency</f>
        <v>5.8 HKD</v>
      </c>
      <c r="E119" s="199">
        <f>DCF!F91</f>
        <v>0.15999999999999995</v>
      </c>
      <c r="F119" s="208">
        <f>RATE(Holding_Period,Scenarios!C$58,-DCF!E91,C$18)</f>
        <v>2.7463721594877342E-2</v>
      </c>
    </row>
    <row r="120" spans="2:6">
      <c r="B120" s="205" t="str">
        <f>DCF!B92&amp;" ("&amp;DCF!D92&amp;"yrs)"</f>
        <v>Base (15yrs)</v>
      </c>
      <c r="C120" s="198">
        <f>DCF!C92</f>
        <v>0.02</v>
      </c>
      <c r="D120" s="207" t="str">
        <f>ROUND(DCF!E92,2)&amp;" "&amp;Market_currency</f>
        <v>5.28 HKD</v>
      </c>
      <c r="E120" s="199">
        <f>DCF!F92</f>
        <v>0.44</v>
      </c>
      <c r="F120" s="208">
        <f>RATE(Holding_Period,Scenarios!C$58,-DCF!E92,C$18)</f>
        <v>6.1809960254123615E-2</v>
      </c>
    </row>
    <row r="121" spans="2:6">
      <c r="B121" s="205" t="str">
        <f>DCF!B93&amp;" ("&amp;DCF!D93&amp;"yrs)"</f>
        <v>Pessimistic (15yrs)</v>
      </c>
      <c r="C121" s="198">
        <f>DCF!C93</f>
        <v>0.01</v>
      </c>
      <c r="D121" s="207" t="str">
        <f>ROUND(DCF!E93,2)&amp;" "&amp;Market_currency</f>
        <v>4.81 HKD</v>
      </c>
      <c r="E121" s="199">
        <f>DCF!F93</f>
        <v>0.19999999999999998</v>
      </c>
      <c r="F121" s="208">
        <f>RATE(Holding_Period,Scenarios!C$58,-DCF!E93,C$18)</f>
        <v>9.6611949725556187E-2</v>
      </c>
    </row>
    <row r="122" spans="2:6">
      <c r="B122" s="205" t="str">
        <f>DCF!B94&amp;" ("&amp;DCF!D94&amp;"yrs)"</f>
        <v>Devil's advocate (15yrs)</v>
      </c>
      <c r="C122" s="198">
        <f>DCF!C94</f>
        <v>0</v>
      </c>
      <c r="D122" s="207" t="str">
        <f>ROUND(DCF!E94,2)&amp;" "&amp;Market_currency</f>
        <v>4.4 HKD</v>
      </c>
      <c r="E122" s="199">
        <f>DCF!F94</f>
        <v>0.05</v>
      </c>
      <c r="F122" s="208">
        <f>RATE(Holding_Period,Scenarios!C$58,-DCF!E94,C$18)</f>
        <v>0.13178775460874073</v>
      </c>
    </row>
    <row r="124" spans="2:6">
      <c r="B124" s="461" t="s">
        <v>356</v>
      </c>
      <c r="C124" s="461"/>
      <c r="D124" s="461"/>
      <c r="E124" s="461"/>
      <c r="F124" s="461"/>
    </row>
    <row r="125" spans="2:6">
      <c r="B125" s="193" t="s">
        <v>217</v>
      </c>
      <c r="C125" s="197">
        <f>Scenarios!C36</f>
        <v>5.4881856537930034</v>
      </c>
      <c r="D125" s="194" t="str">
        <f>Market_currency</f>
        <v>HKD</v>
      </c>
    </row>
    <row r="127" spans="2:6" ht="24.5" customHeight="1">
      <c r="B127" s="465" t="s">
        <v>357</v>
      </c>
      <c r="C127" s="465"/>
      <c r="D127" s="465"/>
      <c r="E127" s="465"/>
      <c r="F127" s="465"/>
    </row>
    <row r="129" spans="1:6" ht="13.9">
      <c r="A129" s="200" t="s">
        <v>473</v>
      </c>
      <c r="B129" s="34"/>
      <c r="C129" s="34"/>
      <c r="D129" s="34"/>
      <c r="E129" s="34"/>
      <c r="F129" s="34"/>
    </row>
    <row r="131" spans="1:6">
      <c r="B131" s="463" t="s">
        <v>284</v>
      </c>
      <c r="C131" s="463"/>
      <c r="D131" s="463"/>
      <c r="E131" s="463"/>
      <c r="F131" s="463"/>
    </row>
    <row r="132" spans="1:6">
      <c r="B132" s="460" t="s">
        <v>358</v>
      </c>
      <c r="C132" s="460"/>
      <c r="D132" s="460"/>
      <c r="E132" s="460"/>
      <c r="F132" s="460"/>
    </row>
    <row r="134" spans="1:6">
      <c r="B134" s="192" t="s">
        <v>194</v>
      </c>
    </row>
    <row r="135" spans="1:6">
      <c r="B135" s="1" t="s">
        <v>220</v>
      </c>
      <c r="C135" s="202">
        <f>E21</f>
        <v>3</v>
      </c>
    </row>
    <row r="136" spans="1:6">
      <c r="B136" s="194" t="s">
        <v>219</v>
      </c>
      <c r="C136" s="195">
        <f>Scenarios!C58</f>
        <v>0.26</v>
      </c>
      <c r="D136" s="194" t="str">
        <f>Market_currency</f>
        <v>HKD</v>
      </c>
    </row>
    <row r="138" spans="1:6">
      <c r="B138" s="192" t="s">
        <v>493</v>
      </c>
      <c r="C138" s="214"/>
      <c r="D138" s="215"/>
    </row>
    <row r="139" spans="1:6" ht="12.4">
      <c r="B139" s="340" t="s">
        <v>461</v>
      </c>
      <c r="C139" s="340" t="str">
        <f>"PV("&amp;Holding_Period&amp;" yrs of Dividends)"</f>
        <v>PV(3 yrs of Dividends)</v>
      </c>
      <c r="D139" s="340" t="s">
        <v>470</v>
      </c>
      <c r="E139" s="341" t="str">
        <f>"Buy below ("&amp;Market_currency&amp;")"</f>
        <v>Buy below (HKD)</v>
      </c>
      <c r="F139" s="341" t="s">
        <v>471</v>
      </c>
    </row>
    <row r="140" spans="1:6">
      <c r="B140" s="336" t="s">
        <v>311</v>
      </c>
      <c r="C140" s="333">
        <f>Scenarios!C62</f>
        <v>0.47576140978863113</v>
      </c>
      <c r="D140" s="333">
        <f>Scenarios!D62</f>
        <v>2.5291178128078364</v>
      </c>
      <c r="E140" s="334">
        <f>Scenarios!E62</f>
        <v>3.0048792225964673</v>
      </c>
      <c r="F140" s="335">
        <f>E22</f>
        <v>0.29465259038036601</v>
      </c>
    </row>
    <row r="141" spans="1:6">
      <c r="B141" s="336" t="s">
        <v>312</v>
      </c>
      <c r="C141" s="333">
        <f>Scenarios!C63</f>
        <v>0.54704102628996054</v>
      </c>
      <c r="D141" s="333">
        <f>Scenarios!D63</f>
        <v>3.1700711357649132</v>
      </c>
      <c r="E141" s="334">
        <f>Scenarios!E63</f>
        <v>3.7171121620548737</v>
      </c>
      <c r="F141" s="335">
        <f>Scenarios!F63</f>
        <v>0.20075184365903001</v>
      </c>
    </row>
    <row r="142" spans="1:6">
      <c r="B142" s="194"/>
      <c r="C142" s="194"/>
      <c r="D142" s="194"/>
      <c r="E142" s="194"/>
      <c r="F142" s="194"/>
    </row>
    <row r="143" spans="1:6" ht="12.4">
      <c r="B143" s="340" t="s">
        <v>462</v>
      </c>
      <c r="C143" s="340" t="str">
        <f>"PV("&amp;Holding_Period&amp;" yrs of Dividends)"</f>
        <v>PV(3 yrs of Dividends)</v>
      </c>
      <c r="D143" s="340" t="s">
        <v>470</v>
      </c>
      <c r="E143" s="341" t="str">
        <f>"Sell above ("&amp;Market_currency&amp;")"</f>
        <v>Sell above (HKD)</v>
      </c>
      <c r="F143" s="341" t="s">
        <v>471</v>
      </c>
    </row>
    <row r="144" spans="1:6">
      <c r="B144" s="336" t="s">
        <v>314</v>
      </c>
      <c r="C144" s="333">
        <f>Scenarios!C66</f>
        <v>0.62727681274404878</v>
      </c>
      <c r="D144" s="333">
        <f>Scenarios!D66</f>
        <v>3.9337141061508745</v>
      </c>
      <c r="E144" s="334">
        <f>Scenarios!E66</f>
        <v>4.5609909188949231</v>
      </c>
      <c r="F144" s="335">
        <f>E24</f>
        <v>0.1174</v>
      </c>
    </row>
    <row r="145" spans="1:6">
      <c r="B145" s="336" t="s">
        <v>313</v>
      </c>
      <c r="C145" s="333">
        <f>Scenarios!C67</f>
        <v>0.67921755906498427</v>
      </c>
      <c r="D145" s="333">
        <f>Scenarios!D67</f>
        <v>4.4487386360961025</v>
      </c>
      <c r="E145" s="334">
        <f>Scenarios!E67</f>
        <v>5.1279561951610866</v>
      </c>
      <c r="F145" s="335">
        <f>Scenarios!F67</f>
        <v>7.2499999999999995E-2</v>
      </c>
    </row>
    <row r="147" spans="1:6" ht="13.9">
      <c r="A147" s="200" t="s">
        <v>474</v>
      </c>
      <c r="B147" s="34"/>
      <c r="C147" s="34"/>
      <c r="D147" s="34"/>
      <c r="E147" s="34"/>
      <c r="F147" s="34"/>
    </row>
    <row r="149" spans="1:6">
      <c r="B149" s="467" t="s">
        <v>359</v>
      </c>
      <c r="C149" s="460"/>
      <c r="D149" s="460"/>
      <c r="E149" s="460"/>
      <c r="F149" s="460"/>
    </row>
    <row r="151" spans="1:6">
      <c r="B151" s="192" t="s">
        <v>288</v>
      </c>
    </row>
    <row r="152" spans="1:6">
      <c r="B152" s="464" t="s">
        <v>292</v>
      </c>
      <c r="C152" s="464"/>
      <c r="D152" s="464"/>
      <c r="E152" s="464"/>
      <c r="F152" s="464"/>
    </row>
    <row r="153" spans="1:6">
      <c r="B153" s="196" t="s">
        <v>289</v>
      </c>
    </row>
    <row r="154" spans="1:6">
      <c r="B154" s="196" t="s">
        <v>290</v>
      </c>
    </row>
    <row r="155" spans="1:6">
      <c r="B155" s="196" t="s">
        <v>291</v>
      </c>
    </row>
    <row r="157" spans="1:6">
      <c r="B157" s="1" t="s">
        <v>295</v>
      </c>
    </row>
    <row r="158" spans="1:6" ht="34.25" customHeight="1">
      <c r="B158" s="461" t="s">
        <v>437</v>
      </c>
      <c r="C158" s="461"/>
      <c r="D158" s="461"/>
      <c r="E158" s="461"/>
      <c r="F158" s="461"/>
    </row>
    <row r="160" spans="1:6">
      <c r="B160" s="1" t="s">
        <v>296</v>
      </c>
    </row>
    <row r="161" spans="2:6" ht="24.5" customHeight="1">
      <c r="B161" s="466" t="s">
        <v>293</v>
      </c>
      <c r="C161" s="466"/>
      <c r="D161" s="466"/>
      <c r="E161" s="466"/>
      <c r="F161" s="466"/>
    </row>
    <row r="162" spans="2:6" ht="24.5" customHeight="1">
      <c r="B162" s="466" t="s">
        <v>294</v>
      </c>
      <c r="C162" s="466"/>
      <c r="D162" s="466"/>
      <c r="E162" s="466"/>
      <c r="F162" s="466"/>
    </row>
    <row r="164" spans="2:6">
      <c r="B164" s="1" t="s">
        <v>300</v>
      </c>
    </row>
    <row r="165" spans="2:6">
      <c r="B165" s="196" t="s">
        <v>297</v>
      </c>
    </row>
    <row r="166" spans="2:6">
      <c r="B166" s="196" t="s">
        <v>298</v>
      </c>
    </row>
    <row r="167" spans="2:6">
      <c r="B167" s="196" t="s">
        <v>299</v>
      </c>
    </row>
  </sheetData>
  <mergeCells count="28">
    <mergeCell ref="B161:F161"/>
    <mergeCell ref="B162:F162"/>
    <mergeCell ref="B149:F149"/>
    <mergeCell ref="B158:F158"/>
    <mergeCell ref="B152:F152"/>
    <mergeCell ref="B107:F107"/>
    <mergeCell ref="B127:F127"/>
    <mergeCell ref="B57:F57"/>
    <mergeCell ref="B77:F77"/>
    <mergeCell ref="B73:F73"/>
    <mergeCell ref="B97:F97"/>
    <mergeCell ref="B114:F114"/>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26" sqref="D2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HKD</v>
      </c>
      <c r="C1" s="101">
        <v>45747</v>
      </c>
      <c r="D1" s="36">
        <f>EOMONTH(EDATE(C1,-12),0)</f>
        <v>45382</v>
      </c>
      <c r="E1" s="36">
        <f t="shared" ref="E1:M1" si="0">EOMONTH(EDATE(D1,-12),0)</f>
        <v>45016</v>
      </c>
      <c r="F1" s="36">
        <f t="shared" si="0"/>
        <v>44651</v>
      </c>
      <c r="G1" s="36">
        <f t="shared" si="0"/>
        <v>44286</v>
      </c>
      <c r="H1" s="36">
        <f t="shared" si="0"/>
        <v>43921</v>
      </c>
      <c r="I1" s="36">
        <f t="shared" si="0"/>
        <v>43555</v>
      </c>
      <c r="J1" s="36">
        <f t="shared" si="0"/>
        <v>43190</v>
      </c>
      <c r="K1" s="36">
        <f t="shared" si="0"/>
        <v>42825</v>
      </c>
      <c r="L1" s="36">
        <f t="shared" si="0"/>
        <v>42460</v>
      </c>
      <c r="M1" s="36">
        <f t="shared" si="0"/>
        <v>42094</v>
      </c>
    </row>
    <row r="2" spans="2:13" ht="13.9">
      <c r="B2" s="34" t="s">
        <v>92</v>
      </c>
      <c r="C2" s="35"/>
      <c r="D2" s="35"/>
      <c r="E2" s="35"/>
      <c r="F2" s="35"/>
      <c r="G2" s="35"/>
      <c r="H2" s="35"/>
      <c r="I2" s="35"/>
      <c r="J2" s="35"/>
      <c r="K2" s="35"/>
      <c r="L2" s="35"/>
      <c r="M2" s="35"/>
    </row>
    <row r="3" spans="2:13">
      <c r="B3" s="16" t="s">
        <v>24</v>
      </c>
      <c r="C3" s="103">
        <v>1000</v>
      </c>
    </row>
    <row r="4" spans="2:13">
      <c r="B4" s="31" t="s">
        <v>0</v>
      </c>
      <c r="C4" s="287">
        <v>25901800</v>
      </c>
      <c r="D4" s="287">
        <v>23214200</v>
      </c>
      <c r="E4" s="287">
        <v>16774220</v>
      </c>
      <c r="F4" s="287">
        <v>16213608</v>
      </c>
      <c r="G4" s="287">
        <v>13516513</v>
      </c>
      <c r="H4" s="287">
        <v>12190535</v>
      </c>
      <c r="I4" s="287"/>
      <c r="J4" s="287"/>
      <c r="K4" s="287"/>
      <c r="L4" s="287"/>
      <c r="M4" s="287"/>
    </row>
    <row r="5" spans="2:13">
      <c r="B5" s="38" t="s">
        <v>39</v>
      </c>
      <c r="C5" s="287">
        <v>11059800</v>
      </c>
      <c r="D5" s="287">
        <v>9392200</v>
      </c>
      <c r="E5" s="287">
        <v>6798344</v>
      </c>
      <c r="F5" s="287">
        <v>6476429</v>
      </c>
      <c r="G5" s="287">
        <f>5592247</f>
        <v>5592247</v>
      </c>
      <c r="H5" s="287">
        <f>5481889</f>
        <v>5481889</v>
      </c>
      <c r="I5" s="287"/>
      <c r="J5" s="287"/>
      <c r="K5" s="287"/>
      <c r="L5" s="287"/>
      <c r="M5" s="287"/>
    </row>
    <row r="6" spans="2:13">
      <c r="B6" s="38" t="s">
        <v>50</v>
      </c>
      <c r="C6" s="287">
        <f>1652317+17955+C7</f>
        <v>10194071</v>
      </c>
      <c r="D6" s="287">
        <f>1507860+19111+D7</f>
        <v>9582060</v>
      </c>
      <c r="E6" s="287"/>
      <c r="F6" s="287"/>
      <c r="G6" s="287"/>
      <c r="H6" s="287"/>
      <c r="I6" s="287"/>
      <c r="J6" s="287"/>
      <c r="K6" s="287"/>
      <c r="L6" s="287"/>
      <c r="M6" s="287"/>
    </row>
    <row r="7" spans="2:13">
      <c r="B7" s="66" t="s">
        <v>57</v>
      </c>
      <c r="C7" s="288">
        <v>8523799</v>
      </c>
      <c r="D7" s="288">
        <v>8055089</v>
      </c>
      <c r="E7" s="288">
        <v>6122253</v>
      </c>
      <c r="F7" s="288">
        <v>6171437</v>
      </c>
      <c r="G7" s="288">
        <v>4807358</v>
      </c>
      <c r="H7" s="288">
        <v>4276441</v>
      </c>
      <c r="I7" s="288"/>
      <c r="J7" s="288"/>
      <c r="K7" s="288"/>
      <c r="L7" s="288"/>
      <c r="M7" s="288"/>
    </row>
    <row r="8" spans="2:13">
      <c r="B8" s="38" t="s">
        <v>45</v>
      </c>
      <c r="C8" s="287"/>
      <c r="D8" s="287"/>
      <c r="E8" s="287"/>
      <c r="F8" s="287"/>
      <c r="G8" s="287"/>
      <c r="H8" s="287"/>
      <c r="I8" s="287"/>
      <c r="J8" s="287"/>
      <c r="K8" s="287"/>
      <c r="L8" s="287"/>
      <c r="M8" s="287"/>
    </row>
    <row r="9" spans="2:13">
      <c r="B9" s="38" t="s">
        <v>133</v>
      </c>
      <c r="C9" s="287"/>
      <c r="D9" s="287"/>
      <c r="E9" s="287"/>
      <c r="F9" s="287"/>
      <c r="G9" s="287"/>
      <c r="H9" s="287"/>
      <c r="I9" s="287"/>
      <c r="J9" s="287"/>
      <c r="K9" s="287"/>
      <c r="L9" s="287"/>
      <c r="M9" s="287"/>
    </row>
    <row r="10" spans="2:13">
      <c r="B10" s="38" t="s">
        <v>137</v>
      </c>
      <c r="C10" s="287"/>
      <c r="D10" s="287"/>
      <c r="E10" s="287"/>
      <c r="F10" s="287"/>
      <c r="G10" s="287"/>
      <c r="H10" s="287"/>
      <c r="I10" s="287"/>
      <c r="J10" s="287"/>
      <c r="K10" s="287"/>
      <c r="L10" s="287"/>
      <c r="M10" s="287"/>
    </row>
    <row r="11" spans="2:13">
      <c r="B11" s="38" t="s">
        <v>132</v>
      </c>
      <c r="C11" s="287"/>
      <c r="D11" s="287"/>
      <c r="E11" s="287"/>
      <c r="F11" s="287"/>
      <c r="G11" s="287"/>
      <c r="H11" s="287"/>
      <c r="I11" s="287"/>
      <c r="J11" s="287"/>
      <c r="K11" s="287"/>
      <c r="L11" s="287"/>
      <c r="M11" s="287"/>
    </row>
    <row r="12" spans="2:13">
      <c r="B12" s="38" t="s">
        <v>36</v>
      </c>
      <c r="C12" s="287">
        <v>167028</v>
      </c>
      <c r="D12" s="287">
        <v>216363</v>
      </c>
      <c r="E12" s="287">
        <v>195541</v>
      </c>
      <c r="F12" s="287">
        <v>214352</v>
      </c>
      <c r="G12" s="287">
        <v>192284</v>
      </c>
      <c r="H12" s="287">
        <v>168091</v>
      </c>
      <c r="I12" s="287"/>
      <c r="J12" s="287"/>
      <c r="K12" s="287"/>
      <c r="L12" s="287"/>
      <c r="M12" s="287"/>
    </row>
    <row r="13" spans="2:13">
      <c r="B13" s="38" t="s">
        <v>63</v>
      </c>
      <c r="C13" s="287">
        <v>371344</v>
      </c>
      <c r="D13" s="287">
        <v>374212</v>
      </c>
      <c r="E13" s="287">
        <v>291556</v>
      </c>
      <c r="F13" s="287">
        <v>285412</v>
      </c>
      <c r="G13" s="287">
        <v>196488</v>
      </c>
      <c r="H13" s="287">
        <v>160547</v>
      </c>
      <c r="I13" s="287"/>
      <c r="J13" s="287"/>
      <c r="K13" s="287"/>
      <c r="L13" s="287"/>
      <c r="M13" s="287"/>
    </row>
    <row r="14" spans="2:13">
      <c r="B14" s="38" t="s">
        <v>46</v>
      </c>
      <c r="C14" s="287">
        <v>1596494</v>
      </c>
      <c r="D14" s="287">
        <v>1421074</v>
      </c>
      <c r="E14" s="287">
        <v>763222</v>
      </c>
      <c r="F14" s="287">
        <v>573313</v>
      </c>
      <c r="G14" s="287">
        <v>514640</v>
      </c>
      <c r="H14" s="287">
        <v>379728</v>
      </c>
      <c r="I14" s="287"/>
      <c r="J14" s="287"/>
      <c r="K14" s="287"/>
      <c r="L14" s="287"/>
      <c r="M14" s="287"/>
    </row>
    <row r="15" spans="2:13">
      <c r="B15" s="41" t="s">
        <v>38</v>
      </c>
      <c r="C15" s="289">
        <v>3552743</v>
      </c>
      <c r="D15" s="289">
        <v>3120136</v>
      </c>
      <c r="E15" s="289">
        <v>2138574</v>
      </c>
      <c r="F15" s="289">
        <v>2062323</v>
      </c>
      <c r="G15" s="289">
        <v>1709566</v>
      </c>
      <c r="H15" s="289">
        <v>1203184</v>
      </c>
      <c r="I15" s="289"/>
      <c r="J15" s="289"/>
      <c r="K15" s="289"/>
      <c r="L15" s="289"/>
      <c r="M15" s="289"/>
    </row>
    <row r="16" spans="2:13">
      <c r="B16" s="27" t="s">
        <v>40</v>
      </c>
      <c r="C16" s="287">
        <v>38830</v>
      </c>
      <c r="D16" s="287">
        <v>46064</v>
      </c>
      <c r="E16" s="287"/>
      <c r="F16" s="287"/>
      <c r="G16" s="287"/>
      <c r="H16" s="287"/>
      <c r="I16" s="287"/>
      <c r="J16" s="287"/>
      <c r="K16" s="287"/>
      <c r="L16" s="287"/>
      <c r="M16" s="287"/>
    </row>
    <row r="18" spans="2:13">
      <c r="B18" s="16" t="s">
        <v>47</v>
      </c>
      <c r="C18" s="9"/>
    </row>
    <row r="19" spans="2:13">
      <c r="B19" s="26" t="s">
        <v>43</v>
      </c>
      <c r="C19" s="287"/>
      <c r="D19" s="287"/>
      <c r="E19" s="287"/>
      <c r="F19" s="287"/>
      <c r="G19" s="287"/>
      <c r="H19" s="287"/>
      <c r="I19" s="287"/>
      <c r="J19" s="287"/>
      <c r="K19" s="287"/>
      <c r="L19" s="287"/>
      <c r="M19" s="287"/>
    </row>
    <row r="20" spans="2:13">
      <c r="B20" s="26" t="s">
        <v>49</v>
      </c>
      <c r="C20" s="287"/>
      <c r="D20" s="287"/>
      <c r="E20" s="287"/>
      <c r="F20" s="287"/>
      <c r="G20" s="287"/>
      <c r="H20" s="287"/>
      <c r="I20" s="287"/>
      <c r="J20" s="287"/>
      <c r="K20" s="287"/>
      <c r="L20" s="287"/>
      <c r="M20" s="287"/>
    </row>
    <row r="21" spans="2:13">
      <c r="B21" s="26" t="s">
        <v>48</v>
      </c>
      <c r="C21" s="287"/>
      <c r="D21" s="287"/>
      <c r="E21" s="287"/>
      <c r="F21" s="287"/>
      <c r="G21" s="287"/>
      <c r="H21" s="287"/>
      <c r="I21" s="287"/>
      <c r="J21" s="287"/>
      <c r="K21" s="287"/>
      <c r="L21" s="287"/>
      <c r="M21" s="287"/>
    </row>
    <row r="22" spans="2:13">
      <c r="B22" s="26" t="s">
        <v>285</v>
      </c>
      <c r="C22" s="287">
        <v>3981840</v>
      </c>
      <c r="D22" s="287">
        <v>7338782</v>
      </c>
      <c r="E22" s="287"/>
      <c r="F22" s="287"/>
      <c r="G22" s="287"/>
      <c r="H22" s="287"/>
      <c r="I22" s="287"/>
      <c r="J22" s="287"/>
      <c r="K22" s="287"/>
      <c r="L22" s="287"/>
      <c r="M22" s="287"/>
    </row>
    <row r="23" spans="2:13">
      <c r="B23" s="26" t="s">
        <v>287</v>
      </c>
      <c r="C23" s="287">
        <v>-3098121</v>
      </c>
      <c r="D23" s="287">
        <v>-2426490</v>
      </c>
      <c r="E23" s="287"/>
      <c r="F23" s="287"/>
      <c r="G23" s="287"/>
      <c r="H23" s="287"/>
      <c r="I23" s="287"/>
      <c r="J23" s="287"/>
      <c r="K23" s="287"/>
      <c r="L23" s="287"/>
      <c r="M23" s="287"/>
    </row>
    <row r="24" spans="2:13">
      <c r="B24" s="26" t="s">
        <v>286</v>
      </c>
      <c r="C24" s="287">
        <v>-2941360</v>
      </c>
      <c r="D24" s="287">
        <v>-2379555</v>
      </c>
      <c r="E24" s="287"/>
      <c r="F24" s="287"/>
      <c r="G24" s="287"/>
      <c r="H24" s="287"/>
      <c r="I24" s="287"/>
      <c r="J24" s="287"/>
      <c r="K24" s="287"/>
      <c r="L24" s="287"/>
      <c r="M24" s="287"/>
    </row>
    <row r="25" spans="2:13">
      <c r="B25" s="23" t="str">
        <f>"Dividend per share ("&amp;Market_currency&amp;")"</f>
        <v>Dividend per share (HKD)</v>
      </c>
      <c r="C25" s="37">
        <f>0.2+0.06</f>
        <v>0.26</v>
      </c>
      <c r="D25" s="37">
        <f>0.2+0.05</f>
        <v>0.25</v>
      </c>
      <c r="E25" s="37"/>
      <c r="F25" s="37"/>
      <c r="G25" s="37"/>
      <c r="H25" s="37"/>
      <c r="I25" s="37"/>
      <c r="J25" s="37"/>
      <c r="K25" s="37"/>
      <c r="L25" s="37"/>
      <c r="M25" s="37"/>
    </row>
    <row r="27" spans="2:13">
      <c r="B27" s="16" t="s">
        <v>25</v>
      </c>
      <c r="C27" s="94" t="s">
        <v>546</v>
      </c>
    </row>
    <row r="28" spans="2:13">
      <c r="B28" s="25" t="s">
        <v>21</v>
      </c>
      <c r="C28" s="270">
        <f>BS!C4</f>
        <v>5046560</v>
      </c>
      <c r="D28" s="287">
        <v>715301</v>
      </c>
      <c r="E28" s="287"/>
      <c r="F28" s="287"/>
      <c r="G28" s="287"/>
      <c r="H28" s="287"/>
      <c r="I28" s="287"/>
      <c r="J28" s="287"/>
      <c r="K28" s="287"/>
      <c r="L28" s="287"/>
      <c r="M28" s="287"/>
    </row>
    <row r="29" spans="2:13">
      <c r="B29" s="25" t="s">
        <v>29</v>
      </c>
      <c r="C29" s="270">
        <f>BS!C6</f>
        <v>4735220</v>
      </c>
      <c r="D29" s="287">
        <v>3950.6289999999999</v>
      </c>
      <c r="E29" s="287">
        <v>3197.4969999999998</v>
      </c>
      <c r="F29" s="287">
        <v>2689.2829999999999</v>
      </c>
      <c r="G29" s="287">
        <v>2688.1860000000001</v>
      </c>
      <c r="H29" s="287"/>
      <c r="I29" s="287"/>
      <c r="J29" s="287"/>
      <c r="K29" s="287"/>
      <c r="L29" s="287"/>
      <c r="M29" s="287"/>
    </row>
    <row r="30" spans="2:13">
      <c r="B30" s="28" t="s">
        <v>37</v>
      </c>
      <c r="C30" s="271">
        <f>BS!C33+BS!C42</f>
        <v>12179420</v>
      </c>
      <c r="D30" s="289">
        <v>2524058</v>
      </c>
      <c r="E30" s="289"/>
      <c r="F30" s="289"/>
      <c r="G30" s="289"/>
      <c r="H30" s="289"/>
      <c r="I30" s="289"/>
      <c r="J30" s="289"/>
      <c r="K30" s="289"/>
      <c r="L30" s="289"/>
      <c r="M30" s="289"/>
    </row>
    <row r="31" spans="2:13">
      <c r="B31" s="28" t="s">
        <v>27</v>
      </c>
      <c r="C31" s="271">
        <f>BS!G27</f>
        <v>16150784</v>
      </c>
      <c r="D31" s="289">
        <v>3112637</v>
      </c>
      <c r="E31" s="289"/>
      <c r="F31" s="289"/>
      <c r="G31" s="289"/>
      <c r="H31" s="289"/>
      <c r="I31" s="289"/>
      <c r="J31" s="289"/>
      <c r="K31" s="289"/>
      <c r="L31" s="289"/>
      <c r="M31" s="289"/>
    </row>
    <row r="32" spans="2:13">
      <c r="B32" s="25" t="s">
        <v>142</v>
      </c>
      <c r="C32" s="270">
        <f>BS!G28</f>
        <v>133020</v>
      </c>
      <c r="D32" s="287">
        <v>111.179</v>
      </c>
      <c r="E32" s="287">
        <v>84.049000000000007</v>
      </c>
      <c r="F32" s="287">
        <v>57.258000000000003</v>
      </c>
      <c r="G32" s="287">
        <v>33.337000000000003</v>
      </c>
      <c r="H32" s="287"/>
      <c r="I32" s="287"/>
      <c r="J32" s="287"/>
      <c r="K32" s="287"/>
      <c r="L32" s="287"/>
      <c r="M32" s="287"/>
    </row>
    <row r="34" spans="2:13" ht="13.9">
      <c r="B34" s="34" t="s">
        <v>77</v>
      </c>
      <c r="C34" s="35"/>
      <c r="D34" s="35"/>
      <c r="E34" s="35"/>
      <c r="F34" s="35"/>
      <c r="G34" s="35"/>
      <c r="H34" s="35"/>
      <c r="I34" s="35"/>
      <c r="J34" s="35"/>
      <c r="K34" s="35"/>
      <c r="L34" s="35"/>
      <c r="M34" s="35"/>
    </row>
    <row r="35" spans="2:13">
      <c r="B35" s="16" t="s">
        <v>24</v>
      </c>
    </row>
    <row r="36" spans="2:13">
      <c r="B36" s="31" t="s">
        <v>0</v>
      </c>
      <c r="C36" s="270">
        <f t="shared" ref="C36:M36" si="1">IF(C$4="","",C4)</f>
        <v>25901800</v>
      </c>
      <c r="D36" s="270">
        <f t="shared" si="1"/>
        <v>23214200</v>
      </c>
      <c r="E36" s="270">
        <f t="shared" si="1"/>
        <v>16774220</v>
      </c>
      <c r="F36" s="270">
        <f t="shared" si="1"/>
        <v>16213608</v>
      </c>
      <c r="G36" s="270">
        <f t="shared" si="1"/>
        <v>13516513</v>
      </c>
      <c r="H36" s="270">
        <f t="shared" si="1"/>
        <v>12190535</v>
      </c>
      <c r="I36" s="270" t="str">
        <f t="shared" si="1"/>
        <v/>
      </c>
      <c r="J36" s="270" t="str">
        <f t="shared" si="1"/>
        <v/>
      </c>
      <c r="K36" s="270" t="str">
        <f t="shared" si="1"/>
        <v/>
      </c>
      <c r="L36" s="270" t="str">
        <f t="shared" si="1"/>
        <v/>
      </c>
      <c r="M36" s="270" t="str">
        <f t="shared" si="1"/>
        <v/>
      </c>
    </row>
    <row r="37" spans="2:13">
      <c r="B37" s="38" t="s">
        <v>39</v>
      </c>
      <c r="C37" s="270">
        <f t="shared" ref="C37:M37" si="2">IF(C$4="","",-C5)</f>
        <v>-11059800</v>
      </c>
      <c r="D37" s="270">
        <f t="shared" si="2"/>
        <v>-9392200</v>
      </c>
      <c r="E37" s="270">
        <f t="shared" si="2"/>
        <v>-6798344</v>
      </c>
      <c r="F37" s="270">
        <f t="shared" si="2"/>
        <v>-6476429</v>
      </c>
      <c r="G37" s="270">
        <f t="shared" si="2"/>
        <v>-5592247</v>
      </c>
      <c r="H37" s="270">
        <f t="shared" si="2"/>
        <v>-5481889</v>
      </c>
      <c r="I37" s="270" t="str">
        <f t="shared" si="2"/>
        <v/>
      </c>
      <c r="J37" s="270" t="str">
        <f t="shared" si="2"/>
        <v/>
      </c>
      <c r="K37" s="270" t="str">
        <f t="shared" si="2"/>
        <v/>
      </c>
      <c r="L37" s="270" t="str">
        <f t="shared" si="2"/>
        <v/>
      </c>
      <c r="M37" s="270" t="str">
        <f t="shared" si="2"/>
        <v/>
      </c>
    </row>
    <row r="38" spans="2:13">
      <c r="B38" s="30" t="s">
        <v>54</v>
      </c>
      <c r="C38" s="267">
        <f>IF(C36="","",C36+C37)</f>
        <v>14842000</v>
      </c>
      <c r="D38" s="267">
        <f t="shared" ref="D38" si="3">IF(D36="","",D36+D37)</f>
        <v>13822000</v>
      </c>
      <c r="E38" s="267">
        <f t="shared" ref="E38" si="4">IF(E36="","",E36+E37)</f>
        <v>9975876</v>
      </c>
      <c r="F38" s="267">
        <f t="shared" ref="F38" si="5">IF(F36="","",F36+F37)</f>
        <v>9737179</v>
      </c>
      <c r="G38" s="267">
        <f t="shared" ref="G38" si="6">IF(G36="","",G36+G37)</f>
        <v>7924266</v>
      </c>
      <c r="H38" s="267">
        <f t="shared" ref="H38" si="7">IF(H36="","",H36+H37)</f>
        <v>6708646</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50</v>
      </c>
      <c r="C39" s="270">
        <f t="shared" ref="C39:M39" si="13">IF(C$4="","",-C6)</f>
        <v>-10194071</v>
      </c>
      <c r="D39" s="270">
        <f t="shared" si="13"/>
        <v>-9582060</v>
      </c>
      <c r="E39" s="270">
        <f t="shared" si="13"/>
        <v>0</v>
      </c>
      <c r="F39" s="270">
        <f t="shared" si="13"/>
        <v>0</v>
      </c>
      <c r="G39" s="270">
        <f t="shared" si="13"/>
        <v>0</v>
      </c>
      <c r="H39" s="270">
        <f t="shared" si="13"/>
        <v>0</v>
      </c>
      <c r="I39" s="270" t="str">
        <f t="shared" si="13"/>
        <v/>
      </c>
      <c r="J39" s="270" t="str">
        <f t="shared" si="13"/>
        <v/>
      </c>
      <c r="K39" s="270" t="str">
        <f t="shared" si="13"/>
        <v/>
      </c>
      <c r="L39" s="270" t="str">
        <f t="shared" si="13"/>
        <v/>
      </c>
      <c r="M39" s="270" t="str">
        <f t="shared" si="13"/>
        <v/>
      </c>
    </row>
    <row r="40" spans="2:13">
      <c r="B40" s="66" t="s">
        <v>57</v>
      </c>
      <c r="C40" s="282">
        <f t="shared" ref="C40:M40" si="14">IF(C$4="","",-C7)</f>
        <v>-8523799</v>
      </c>
      <c r="D40" s="282">
        <f t="shared" si="14"/>
        <v>-8055089</v>
      </c>
      <c r="E40" s="282">
        <f t="shared" si="14"/>
        <v>-6122253</v>
      </c>
      <c r="F40" s="282">
        <f t="shared" si="14"/>
        <v>-6171437</v>
      </c>
      <c r="G40" s="282">
        <f t="shared" si="14"/>
        <v>-4807358</v>
      </c>
      <c r="H40" s="282">
        <f t="shared" si="14"/>
        <v>-4276441</v>
      </c>
      <c r="I40" s="282" t="str">
        <f t="shared" si="14"/>
        <v/>
      </c>
      <c r="J40" s="282" t="str">
        <f t="shared" si="14"/>
        <v/>
      </c>
      <c r="K40" s="282" t="str">
        <f t="shared" si="14"/>
        <v/>
      </c>
      <c r="L40" s="282" t="str">
        <f t="shared" si="14"/>
        <v/>
      </c>
      <c r="M40" s="282" t="str">
        <f t="shared" si="14"/>
        <v/>
      </c>
    </row>
    <row r="41" spans="2:13">
      <c r="B41" s="66" t="s">
        <v>60</v>
      </c>
      <c r="C41" s="282">
        <f>IF(C$4="","",C39-C40)</f>
        <v>-1670272</v>
      </c>
      <c r="D41" s="282">
        <f t="shared" ref="D41:M41" si="15">IF(D$4="","",D39-D40)</f>
        <v>-1526971</v>
      </c>
      <c r="E41" s="282">
        <f t="shared" si="15"/>
        <v>6122253</v>
      </c>
      <c r="F41" s="282">
        <f t="shared" si="15"/>
        <v>6171437</v>
      </c>
      <c r="G41" s="282">
        <f t="shared" si="15"/>
        <v>4807358</v>
      </c>
      <c r="H41" s="282">
        <f t="shared" si="15"/>
        <v>4276441</v>
      </c>
      <c r="I41" s="282" t="str">
        <f t="shared" si="15"/>
        <v/>
      </c>
      <c r="J41" s="282" t="str">
        <f t="shared" si="15"/>
        <v/>
      </c>
      <c r="K41" s="282" t="str">
        <f t="shared" si="15"/>
        <v/>
      </c>
      <c r="L41" s="282" t="str">
        <f t="shared" si="15"/>
        <v/>
      </c>
      <c r="M41" s="282" t="str">
        <f t="shared" si="15"/>
        <v/>
      </c>
    </row>
    <row r="42" spans="2:13">
      <c r="B42" s="38" t="s">
        <v>45</v>
      </c>
      <c r="C42" s="270">
        <f t="shared" ref="C42:M42" si="16">IF(C$4="","",-C8)</f>
        <v>0</v>
      </c>
      <c r="D42" s="270">
        <f t="shared" si="16"/>
        <v>0</v>
      </c>
      <c r="E42" s="270">
        <f t="shared" si="16"/>
        <v>0</v>
      </c>
      <c r="F42" s="270">
        <f t="shared" si="16"/>
        <v>0</v>
      </c>
      <c r="G42" s="270">
        <f t="shared" si="16"/>
        <v>0</v>
      </c>
      <c r="H42" s="270">
        <f t="shared" si="16"/>
        <v>0</v>
      </c>
      <c r="I42" s="270" t="str">
        <f t="shared" si="16"/>
        <v/>
      </c>
      <c r="J42" s="270" t="str">
        <f t="shared" si="16"/>
        <v/>
      </c>
      <c r="K42" s="270" t="str">
        <f t="shared" si="16"/>
        <v/>
      </c>
      <c r="L42" s="270" t="str">
        <f t="shared" si="16"/>
        <v/>
      </c>
      <c r="M42" s="270" t="str">
        <f t="shared" si="16"/>
        <v/>
      </c>
    </row>
    <row r="43" spans="2:13">
      <c r="B43" s="41" t="s">
        <v>126</v>
      </c>
      <c r="C43" s="271">
        <f>IF(C$4="","",C38+C39+C42)</f>
        <v>4647929</v>
      </c>
      <c r="D43" s="271">
        <f t="shared" ref="D43:M43" si="17">IF(D$4="","",D38+D39+D42)</f>
        <v>4239940</v>
      </c>
      <c r="E43" s="271">
        <f t="shared" si="17"/>
        <v>9975876</v>
      </c>
      <c r="F43" s="271">
        <f t="shared" si="17"/>
        <v>9737179</v>
      </c>
      <c r="G43" s="271">
        <f t="shared" si="17"/>
        <v>7924266</v>
      </c>
      <c r="H43" s="271">
        <f t="shared" si="17"/>
        <v>6708646</v>
      </c>
      <c r="I43" s="271" t="str">
        <f t="shared" si="17"/>
        <v/>
      </c>
      <c r="J43" s="271" t="str">
        <f t="shared" si="17"/>
        <v/>
      </c>
      <c r="K43" s="271" t="str">
        <f t="shared" si="17"/>
        <v/>
      </c>
      <c r="L43" s="271" t="str">
        <f t="shared" si="17"/>
        <v/>
      </c>
      <c r="M43" s="271" t="str">
        <f t="shared" si="17"/>
        <v/>
      </c>
    </row>
    <row r="44" spans="2:13">
      <c r="B44" s="41" t="s">
        <v>138</v>
      </c>
      <c r="C44" s="290">
        <f t="shared" ref="C44:M44" si="18">IF(C$4="","",C47-C46-C45-C43)</f>
        <v>296992</v>
      </c>
      <c r="D44" s="290">
        <f t="shared" si="18"/>
        <v>143421</v>
      </c>
      <c r="E44" s="290">
        <f t="shared" si="18"/>
        <v>-7170095</v>
      </c>
      <c r="F44" s="290">
        <f t="shared" si="18"/>
        <v>-7172603</v>
      </c>
      <c r="G44" s="290">
        <f t="shared" si="18"/>
        <v>-5704264</v>
      </c>
      <c r="H44" s="290">
        <f t="shared" si="18"/>
        <v>-5118190</v>
      </c>
      <c r="I44" s="290" t="str">
        <f t="shared" si="18"/>
        <v/>
      </c>
      <c r="J44" s="290" t="str">
        <f t="shared" si="18"/>
        <v/>
      </c>
      <c r="K44" s="290" t="str">
        <f t="shared" si="18"/>
        <v/>
      </c>
      <c r="L44" s="290" t="str">
        <f t="shared" si="18"/>
        <v/>
      </c>
      <c r="M44" s="290" t="str">
        <f t="shared" si="18"/>
        <v/>
      </c>
    </row>
    <row r="45" spans="2:13">
      <c r="B45" s="38" t="s">
        <v>64</v>
      </c>
      <c r="C45" s="285">
        <f t="shared" ref="C45:M45" si="19">IF(C$4="","",C51+C52)</f>
        <v>204316</v>
      </c>
      <c r="D45" s="285">
        <f t="shared" si="19"/>
        <v>157849</v>
      </c>
      <c r="E45" s="285">
        <f t="shared" si="19"/>
        <v>96015</v>
      </c>
      <c r="F45" s="285">
        <f t="shared" si="19"/>
        <v>71060</v>
      </c>
      <c r="G45" s="285">
        <f t="shared" si="19"/>
        <v>4204</v>
      </c>
      <c r="H45" s="285">
        <f t="shared" si="19"/>
        <v>-7544</v>
      </c>
      <c r="I45" s="285" t="str">
        <f t="shared" si="19"/>
        <v/>
      </c>
      <c r="J45" s="285" t="str">
        <f t="shared" si="19"/>
        <v/>
      </c>
      <c r="K45" s="285" t="str">
        <f t="shared" si="19"/>
        <v/>
      </c>
      <c r="L45" s="285" t="str">
        <f t="shared" si="19"/>
        <v/>
      </c>
      <c r="M45" s="285" t="str">
        <f t="shared" si="19"/>
        <v/>
      </c>
    </row>
    <row r="46" spans="2:13">
      <c r="B46" s="38" t="s">
        <v>46</v>
      </c>
      <c r="C46" s="270">
        <f>IF(C$4="","",-C14)</f>
        <v>-1596494</v>
      </c>
      <c r="D46" s="270">
        <f t="shared" ref="D46:M46" si="20">IF(D$4="","",-D14)</f>
        <v>-1421074</v>
      </c>
      <c r="E46" s="270">
        <f t="shared" si="20"/>
        <v>-763222</v>
      </c>
      <c r="F46" s="270">
        <f t="shared" si="20"/>
        <v>-573313</v>
      </c>
      <c r="G46" s="270">
        <f t="shared" si="20"/>
        <v>-514640</v>
      </c>
      <c r="H46" s="270">
        <f t="shared" si="20"/>
        <v>-379728</v>
      </c>
      <c r="I46" s="270" t="str">
        <f t="shared" si="20"/>
        <v/>
      </c>
      <c r="J46" s="270" t="str">
        <f t="shared" si="20"/>
        <v/>
      </c>
      <c r="K46" s="270" t="str">
        <f t="shared" si="20"/>
        <v/>
      </c>
      <c r="L46" s="270" t="str">
        <f t="shared" si="20"/>
        <v/>
      </c>
      <c r="M46" s="270" t="str">
        <f t="shared" si="20"/>
        <v/>
      </c>
    </row>
    <row r="47" spans="2:13">
      <c r="B47" s="41" t="s">
        <v>38</v>
      </c>
      <c r="C47" s="271">
        <f t="shared" ref="C47:M47" si="21">IF(C$4="","",C15)</f>
        <v>3552743</v>
      </c>
      <c r="D47" s="271">
        <f t="shared" si="21"/>
        <v>3120136</v>
      </c>
      <c r="E47" s="271">
        <f t="shared" si="21"/>
        <v>2138574</v>
      </c>
      <c r="F47" s="271">
        <f t="shared" si="21"/>
        <v>2062323</v>
      </c>
      <c r="G47" s="271">
        <f t="shared" si="21"/>
        <v>1709566</v>
      </c>
      <c r="H47" s="271">
        <f t="shared" si="21"/>
        <v>1203184</v>
      </c>
      <c r="I47" s="271" t="str">
        <f t="shared" si="21"/>
        <v/>
      </c>
      <c r="J47" s="271" t="str">
        <f t="shared" si="21"/>
        <v/>
      </c>
      <c r="K47" s="271" t="str">
        <f t="shared" si="21"/>
        <v/>
      </c>
      <c r="L47" s="271" t="str">
        <f t="shared" si="21"/>
        <v/>
      </c>
      <c r="M47" s="271" t="str">
        <f t="shared" si="21"/>
        <v/>
      </c>
    </row>
    <row r="48" spans="2:13">
      <c r="B48" s="27" t="s">
        <v>40</v>
      </c>
      <c r="C48" s="270">
        <f t="shared" ref="C48:M48" si="22">IF(C$4="","",MIN(-C16,0))</f>
        <v>-38830</v>
      </c>
      <c r="D48" s="270">
        <f t="shared" si="22"/>
        <v>-46064</v>
      </c>
      <c r="E48" s="270">
        <f t="shared" si="22"/>
        <v>0</v>
      </c>
      <c r="F48" s="270">
        <f t="shared" si="22"/>
        <v>0</v>
      </c>
      <c r="G48" s="270">
        <f t="shared" si="22"/>
        <v>0</v>
      </c>
      <c r="H48" s="270">
        <f t="shared" si="22"/>
        <v>0</v>
      </c>
      <c r="I48" s="270" t="str">
        <f t="shared" si="22"/>
        <v/>
      </c>
      <c r="J48" s="270" t="str">
        <f t="shared" si="22"/>
        <v/>
      </c>
      <c r="K48" s="270" t="str">
        <f t="shared" si="22"/>
        <v/>
      </c>
      <c r="L48" s="270" t="str">
        <f t="shared" si="22"/>
        <v/>
      </c>
      <c r="M48" s="270" t="str">
        <f t="shared" si="22"/>
        <v/>
      </c>
    </row>
    <row r="50" spans="2:13">
      <c r="B50" s="16" t="s">
        <v>64</v>
      </c>
    </row>
    <row r="51" spans="2:13">
      <c r="B51" s="38" t="s">
        <v>36</v>
      </c>
      <c r="C51" s="270">
        <f t="shared" ref="C51:M51" si="23">IF(C$4="","",-C12)</f>
        <v>-167028</v>
      </c>
      <c r="D51" s="270">
        <f t="shared" si="23"/>
        <v>-216363</v>
      </c>
      <c r="E51" s="270">
        <f t="shared" si="23"/>
        <v>-195541</v>
      </c>
      <c r="F51" s="270">
        <f t="shared" si="23"/>
        <v>-214352</v>
      </c>
      <c r="G51" s="270">
        <f t="shared" si="23"/>
        <v>-192284</v>
      </c>
      <c r="H51" s="270">
        <f t="shared" si="23"/>
        <v>-168091</v>
      </c>
      <c r="I51" s="270" t="str">
        <f t="shared" si="23"/>
        <v/>
      </c>
      <c r="J51" s="270" t="str">
        <f t="shared" si="23"/>
        <v/>
      </c>
      <c r="K51" s="270" t="str">
        <f t="shared" si="23"/>
        <v/>
      </c>
      <c r="L51" s="270" t="str">
        <f t="shared" si="23"/>
        <v/>
      </c>
      <c r="M51" s="270" t="str">
        <f t="shared" si="23"/>
        <v/>
      </c>
    </row>
    <row r="52" spans="2:13">
      <c r="B52" s="38" t="s">
        <v>63</v>
      </c>
      <c r="C52" s="270">
        <f>IF(C$4="","",C13)</f>
        <v>371344</v>
      </c>
      <c r="D52" s="270">
        <f t="shared" ref="D52:M52" si="24">IF(D$4="","",D13)</f>
        <v>374212</v>
      </c>
      <c r="E52" s="270">
        <f t="shared" si="24"/>
        <v>291556</v>
      </c>
      <c r="F52" s="270">
        <f t="shared" si="24"/>
        <v>285412</v>
      </c>
      <c r="G52" s="270">
        <f t="shared" si="24"/>
        <v>196488</v>
      </c>
      <c r="H52" s="270">
        <f t="shared" si="24"/>
        <v>160547</v>
      </c>
      <c r="I52" s="270" t="str">
        <f t="shared" si="24"/>
        <v/>
      </c>
      <c r="J52" s="270" t="str">
        <f t="shared" si="24"/>
        <v/>
      </c>
      <c r="K52" s="270" t="str">
        <f t="shared" si="24"/>
        <v/>
      </c>
      <c r="L52" s="270" t="str">
        <f t="shared" si="24"/>
        <v/>
      </c>
      <c r="M52" s="270" t="str">
        <f t="shared" si="24"/>
        <v/>
      </c>
    </row>
    <row r="54" spans="2:13">
      <c r="B54" s="156" t="s">
        <v>138</v>
      </c>
    </row>
    <row r="55" spans="2:13">
      <c r="B55" s="38" t="s">
        <v>133</v>
      </c>
      <c r="C55" s="285">
        <f t="shared" ref="C55:M55" si="25">IF(C$4="","",C9)</f>
        <v>0</v>
      </c>
      <c r="D55" s="285">
        <f t="shared" si="25"/>
        <v>0</v>
      </c>
      <c r="E55" s="285">
        <f t="shared" si="25"/>
        <v>0</v>
      </c>
      <c r="F55" s="285">
        <f t="shared" si="25"/>
        <v>0</v>
      </c>
      <c r="G55" s="285">
        <f t="shared" si="25"/>
        <v>0</v>
      </c>
      <c r="H55" s="285">
        <f t="shared" si="25"/>
        <v>0</v>
      </c>
      <c r="I55" s="285" t="str">
        <f t="shared" si="25"/>
        <v/>
      </c>
      <c r="J55" s="285" t="str">
        <f t="shared" si="25"/>
        <v/>
      </c>
      <c r="K55" s="285" t="str">
        <f t="shared" si="25"/>
        <v/>
      </c>
      <c r="L55" s="285" t="str">
        <f t="shared" si="25"/>
        <v/>
      </c>
      <c r="M55" s="285" t="str">
        <f t="shared" si="25"/>
        <v/>
      </c>
    </row>
    <row r="56" spans="2:13">
      <c r="B56" s="38" t="s">
        <v>137</v>
      </c>
      <c r="C56" s="285">
        <f t="shared" ref="C56:M56" si="26">IF(C$4="","",C10)</f>
        <v>0</v>
      </c>
      <c r="D56" s="285">
        <f t="shared" si="26"/>
        <v>0</v>
      </c>
      <c r="E56" s="285">
        <f t="shared" si="26"/>
        <v>0</v>
      </c>
      <c r="F56" s="285">
        <f t="shared" si="26"/>
        <v>0</v>
      </c>
      <c r="G56" s="285">
        <f t="shared" si="26"/>
        <v>0</v>
      </c>
      <c r="H56" s="285">
        <f t="shared" si="26"/>
        <v>0</v>
      </c>
      <c r="I56" s="285" t="str">
        <f t="shared" si="26"/>
        <v/>
      </c>
      <c r="J56" s="285" t="str">
        <f t="shared" si="26"/>
        <v/>
      </c>
      <c r="K56" s="285" t="str">
        <f t="shared" si="26"/>
        <v/>
      </c>
      <c r="L56" s="285" t="str">
        <f t="shared" si="26"/>
        <v/>
      </c>
      <c r="M56" s="285" t="str">
        <f t="shared" si="26"/>
        <v/>
      </c>
    </row>
    <row r="57" spans="2:13">
      <c r="B57" s="38" t="s">
        <v>132</v>
      </c>
      <c r="C57" s="285">
        <f t="shared" ref="C57:M57" si="27">IF(C$4="","",C11)</f>
        <v>0</v>
      </c>
      <c r="D57" s="285">
        <f t="shared" si="27"/>
        <v>0</v>
      </c>
      <c r="E57" s="285">
        <f t="shared" si="27"/>
        <v>0</v>
      </c>
      <c r="F57" s="285">
        <f t="shared" si="27"/>
        <v>0</v>
      </c>
      <c r="G57" s="285">
        <f t="shared" si="27"/>
        <v>0</v>
      </c>
      <c r="H57" s="285">
        <f t="shared" si="27"/>
        <v>0</v>
      </c>
      <c r="I57" s="285" t="str">
        <f t="shared" si="27"/>
        <v/>
      </c>
      <c r="J57" s="285" t="str">
        <f t="shared" si="27"/>
        <v/>
      </c>
      <c r="K57" s="285" t="str">
        <f t="shared" si="27"/>
        <v/>
      </c>
      <c r="L57" s="285" t="str">
        <f t="shared" si="27"/>
        <v/>
      </c>
      <c r="M57" s="285" t="str">
        <f t="shared" si="27"/>
        <v/>
      </c>
    </row>
    <row r="58" spans="2:13">
      <c r="B58" s="38" t="s">
        <v>134</v>
      </c>
      <c r="C58" s="285">
        <f>IF(C$4="","",C44-C55-C56-C57)</f>
        <v>296992</v>
      </c>
      <c r="D58" s="285">
        <f t="shared" ref="D58:M58" si="28">IF(D$4="","",D44-D55-D56-D57)</f>
        <v>143421</v>
      </c>
      <c r="E58" s="285">
        <f t="shared" si="28"/>
        <v>-7170095</v>
      </c>
      <c r="F58" s="285">
        <f t="shared" si="28"/>
        <v>-7172603</v>
      </c>
      <c r="G58" s="285">
        <f t="shared" si="28"/>
        <v>-5704264</v>
      </c>
      <c r="H58" s="285">
        <f t="shared" si="28"/>
        <v>-5118190</v>
      </c>
      <c r="I58" s="285" t="str">
        <f t="shared" si="28"/>
        <v/>
      </c>
      <c r="J58" s="285" t="str">
        <f t="shared" si="28"/>
        <v/>
      </c>
      <c r="K58" s="285" t="str">
        <f t="shared" si="28"/>
        <v/>
      </c>
      <c r="L58" s="285" t="str">
        <f t="shared" si="28"/>
        <v/>
      </c>
      <c r="M58" s="285" t="str">
        <f t="shared" si="28"/>
        <v/>
      </c>
    </row>
    <row r="60" spans="2:13">
      <c r="B60" s="16" t="s">
        <v>47</v>
      </c>
      <c r="C60" s="9"/>
    </row>
    <row r="61" spans="2:13">
      <c r="B61" s="26" t="s">
        <v>43</v>
      </c>
      <c r="C61" s="270">
        <f>IF(C$4="","",-C19)</f>
        <v>0</v>
      </c>
      <c r="D61" s="270">
        <f t="shared" ref="D61:M61" si="29">IF(D$4="","",-D19)</f>
        <v>0</v>
      </c>
      <c r="E61" s="270">
        <f t="shared" si="29"/>
        <v>0</v>
      </c>
      <c r="F61" s="270">
        <f t="shared" si="29"/>
        <v>0</v>
      </c>
      <c r="G61" s="270">
        <f t="shared" si="29"/>
        <v>0</v>
      </c>
      <c r="H61" s="270">
        <f t="shared" si="29"/>
        <v>0</v>
      </c>
      <c r="I61" s="270" t="str">
        <f t="shared" si="29"/>
        <v/>
      </c>
      <c r="J61" s="270" t="str">
        <f t="shared" si="29"/>
        <v/>
      </c>
      <c r="K61" s="270" t="str">
        <f t="shared" si="29"/>
        <v/>
      </c>
      <c r="L61" s="270" t="str">
        <f t="shared" si="29"/>
        <v/>
      </c>
      <c r="M61" s="270" t="str">
        <f t="shared" si="29"/>
        <v/>
      </c>
    </row>
    <row r="62" spans="2:13">
      <c r="B62" s="26" t="s">
        <v>49</v>
      </c>
      <c r="C62" s="270">
        <f>IF(C$4="","",IF(C20=0,C61,-C20))</f>
        <v>0</v>
      </c>
      <c r="D62" s="270">
        <f t="shared" ref="D62:M62" si="30">IF(D$4="","",IF(D20=0,D61,-D20))</f>
        <v>0</v>
      </c>
      <c r="E62" s="270">
        <f t="shared" si="30"/>
        <v>0</v>
      </c>
      <c r="F62" s="270">
        <f t="shared" si="30"/>
        <v>0</v>
      </c>
      <c r="G62" s="270">
        <f t="shared" si="30"/>
        <v>0</v>
      </c>
      <c r="H62" s="270">
        <f t="shared" si="30"/>
        <v>0</v>
      </c>
      <c r="I62" s="270" t="str">
        <f t="shared" si="30"/>
        <v/>
      </c>
      <c r="J62" s="270" t="str">
        <f t="shared" si="30"/>
        <v/>
      </c>
      <c r="K62" s="270" t="str">
        <f t="shared" si="30"/>
        <v/>
      </c>
      <c r="L62" s="270" t="str">
        <f t="shared" si="30"/>
        <v/>
      </c>
      <c r="M62" s="270" t="str">
        <f t="shared" si="30"/>
        <v/>
      </c>
    </row>
    <row r="63" spans="2:13">
      <c r="B63" s="26" t="s">
        <v>48</v>
      </c>
      <c r="C63" s="270">
        <f>IF(C$4="","",-C21)</f>
        <v>0</v>
      </c>
      <c r="D63" s="270">
        <f t="shared" ref="D63:M63" si="31">IF(D$4="","",-D21)</f>
        <v>0</v>
      </c>
      <c r="E63" s="270">
        <f t="shared" si="31"/>
        <v>0</v>
      </c>
      <c r="F63" s="270">
        <f t="shared" si="31"/>
        <v>0</v>
      </c>
      <c r="G63" s="270">
        <f t="shared" si="31"/>
        <v>0</v>
      </c>
      <c r="H63" s="270">
        <f t="shared" si="31"/>
        <v>0</v>
      </c>
      <c r="I63" s="270" t="str">
        <f t="shared" si="31"/>
        <v/>
      </c>
      <c r="J63" s="270" t="str">
        <f t="shared" si="31"/>
        <v/>
      </c>
      <c r="K63" s="270" t="str">
        <f t="shared" si="31"/>
        <v/>
      </c>
      <c r="L63" s="270" t="str">
        <f t="shared" si="31"/>
        <v/>
      </c>
      <c r="M63" s="270" t="str">
        <f t="shared" si="31"/>
        <v/>
      </c>
    </row>
    <row r="64" spans="2:13">
      <c r="B64" s="26" t="s">
        <v>304</v>
      </c>
      <c r="C64" s="270">
        <f>IF(C$4="","",C22+C23+C24)</f>
        <v>-2057641</v>
      </c>
      <c r="D64" s="270">
        <f t="shared" ref="D64:M64" si="32">IF(D$4="","",D22+D23+D24)</f>
        <v>2532737</v>
      </c>
      <c r="E64" s="270">
        <f t="shared" si="32"/>
        <v>0</v>
      </c>
      <c r="F64" s="270">
        <f t="shared" si="32"/>
        <v>0</v>
      </c>
      <c r="G64" s="270">
        <f t="shared" si="32"/>
        <v>0</v>
      </c>
      <c r="H64" s="270">
        <f t="shared" si="32"/>
        <v>0</v>
      </c>
      <c r="I64" s="270" t="str">
        <f t="shared" si="32"/>
        <v/>
      </c>
      <c r="J64" s="270" t="str">
        <f t="shared" si="32"/>
        <v/>
      </c>
      <c r="K64" s="270" t="str">
        <f t="shared" si="32"/>
        <v/>
      </c>
      <c r="L64" s="270" t="str">
        <f t="shared" si="32"/>
        <v/>
      </c>
      <c r="M64" s="270" t="str">
        <f t="shared" si="32"/>
        <v/>
      </c>
    </row>
    <row r="65" spans="2:13">
      <c r="B65" s="23" t="s">
        <v>33</v>
      </c>
      <c r="C65" s="70">
        <f>IF(C$4="","",C25)</f>
        <v>0.26</v>
      </c>
      <c r="D65" s="70">
        <f t="shared" ref="D65:M65" si="33">IF(D$4="","",D25)</f>
        <v>0.25</v>
      </c>
      <c r="E65" s="70">
        <f t="shared" si="33"/>
        <v>0</v>
      </c>
      <c r="F65" s="70">
        <f t="shared" si="33"/>
        <v>0</v>
      </c>
      <c r="G65" s="70">
        <f t="shared" si="33"/>
        <v>0</v>
      </c>
      <c r="H65" s="70">
        <f t="shared" si="33"/>
        <v>0</v>
      </c>
      <c r="I65" s="70" t="str">
        <f t="shared" si="33"/>
        <v/>
      </c>
      <c r="J65" s="70" t="str">
        <f t="shared" si="33"/>
        <v/>
      </c>
      <c r="K65" s="70" t="str">
        <f t="shared" si="33"/>
        <v/>
      </c>
      <c r="L65" s="70" t="str">
        <f t="shared" si="33"/>
        <v/>
      </c>
      <c r="M65" s="70" t="str">
        <f t="shared" si="33"/>
        <v/>
      </c>
    </row>
    <row r="67" spans="2:13">
      <c r="B67" s="88" t="s">
        <v>80</v>
      </c>
    </row>
    <row r="68" spans="2:13">
      <c r="B68" s="1" t="str">
        <f>B36</f>
        <v>Sales</v>
      </c>
      <c r="C68" s="89">
        <f t="shared" ref="C68:M68" si="34">IF(D$36="","",C36/D36-1)</f>
        <v>0.11577396593464351</v>
      </c>
      <c r="D68" s="89">
        <f t="shared" si="34"/>
        <v>0.38392127920105978</v>
      </c>
      <c r="E68" s="89">
        <f t="shared" si="34"/>
        <v>3.4576634639248649E-2</v>
      </c>
      <c r="F68" s="89">
        <f t="shared" si="34"/>
        <v>0.19954073953837059</v>
      </c>
      <c r="G68" s="89">
        <f t="shared" si="34"/>
        <v>0.10877110807688095</v>
      </c>
      <c r="H68" s="89" t="str">
        <f t="shared" si="34"/>
        <v/>
      </c>
      <c r="I68" s="89" t="str">
        <f t="shared" si="34"/>
        <v/>
      </c>
      <c r="J68" s="89" t="str">
        <f t="shared" si="34"/>
        <v/>
      </c>
      <c r="K68" s="89" t="str">
        <f t="shared" si="34"/>
        <v/>
      </c>
      <c r="L68" s="89" t="str">
        <f t="shared" si="34"/>
        <v/>
      </c>
      <c r="M68" s="89" t="str">
        <f t="shared" si="34"/>
        <v/>
      </c>
    </row>
    <row r="69" spans="2:13">
      <c r="B69" s="30" t="s">
        <v>54</v>
      </c>
      <c r="C69" s="89">
        <f>IF(D$36="","",C38/D38-1)</f>
        <v>7.3795398639849408E-2</v>
      </c>
      <c r="D69" s="89">
        <f t="shared" ref="D69:M69" si="35">IF(E$36="","",D38/E38-1)</f>
        <v>0.38554248268522984</v>
      </c>
      <c r="E69" s="89">
        <f t="shared" si="35"/>
        <v>2.4513978843359041E-2</v>
      </c>
      <c r="F69" s="89">
        <f t="shared" si="35"/>
        <v>0.22877992737750086</v>
      </c>
      <c r="G69" s="89">
        <f t="shared" si="35"/>
        <v>0.18120198919424269</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9.6225182431826761E-2</v>
      </c>
      <c r="D70" s="98">
        <f t="shared" ref="D70:M70" si="36">IF(E$36="","",D43/E43-1)</f>
        <v>-0.57498068340063568</v>
      </c>
      <c r="E70" s="98">
        <f t="shared" si="36"/>
        <v>2.4513978843359041E-2</v>
      </c>
      <c r="F70" s="98">
        <f t="shared" si="36"/>
        <v>0.22877992737750086</v>
      </c>
      <c r="G70" s="98">
        <f t="shared" si="36"/>
        <v>0.18120198919424269</v>
      </c>
      <c r="H70" s="98" t="str">
        <f t="shared" si="36"/>
        <v/>
      </c>
      <c r="I70" s="98" t="str">
        <f t="shared" si="36"/>
        <v/>
      </c>
      <c r="J70" s="98" t="str">
        <f t="shared" si="36"/>
        <v/>
      </c>
      <c r="K70" s="98" t="str">
        <f t="shared" si="36"/>
        <v/>
      </c>
      <c r="L70" s="98" t="str">
        <f t="shared" si="36"/>
        <v/>
      </c>
      <c r="M70" s="98" t="str">
        <f t="shared" si="36"/>
        <v/>
      </c>
    </row>
    <row r="71" spans="2:13">
      <c r="B71" s="41" t="s">
        <v>138</v>
      </c>
      <c r="C71" s="98">
        <f>IF(D$36="","",C44/D44-1)</f>
        <v>1.0707706681727225</v>
      </c>
      <c r="D71" s="98">
        <f t="shared" ref="D71:M71" si="37">IF(E$36="","",D44/E44-1)</f>
        <v>-1.0200026638419715</v>
      </c>
      <c r="E71" s="98">
        <f t="shared" si="37"/>
        <v>-3.4966385285783996E-4</v>
      </c>
      <c r="F71" s="98">
        <f t="shared" si="37"/>
        <v>0.2574107720119545</v>
      </c>
      <c r="G71" s="98">
        <f t="shared" si="37"/>
        <v>0.11450805851287282</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0.13865004602363484</v>
      </c>
      <c r="D72" s="98">
        <f t="shared" ref="D72:M72" si="38">IF(E$36="","",D47/E47-1)</f>
        <v>0.45897967524153938</v>
      </c>
      <c r="E72" s="98">
        <f t="shared" si="38"/>
        <v>3.6973354804266778E-2</v>
      </c>
      <c r="F72" s="98">
        <f t="shared" si="38"/>
        <v>0.20634301337298466</v>
      </c>
      <c r="G72" s="98">
        <f t="shared" si="38"/>
        <v>0.42086829612095911</v>
      </c>
      <c r="H72" s="98" t="str">
        <f t="shared" si="38"/>
        <v/>
      </c>
      <c r="I72" s="98" t="str">
        <f t="shared" si="38"/>
        <v/>
      </c>
      <c r="J72" s="98" t="str">
        <f t="shared" si="38"/>
        <v/>
      </c>
      <c r="K72" s="98" t="str">
        <f t="shared" si="38"/>
        <v/>
      </c>
      <c r="L72" s="98" t="str">
        <f t="shared" si="38"/>
        <v/>
      </c>
      <c r="M72" s="98" t="str">
        <f t="shared" si="38"/>
        <v/>
      </c>
    </row>
    <row r="74" spans="2:13" ht="13.9">
      <c r="B74" s="34" t="s">
        <v>78</v>
      </c>
      <c r="C74" s="35"/>
      <c r="D74" s="35"/>
      <c r="E74" s="35"/>
      <c r="F74" s="35"/>
      <c r="G74" s="35"/>
      <c r="H74" s="35"/>
      <c r="I74" s="35"/>
      <c r="J74" s="35"/>
      <c r="K74" s="35"/>
      <c r="L74" s="35"/>
      <c r="M74" s="35"/>
    </row>
    <row r="75" spans="2:13">
      <c r="B75" s="16" t="s">
        <v>25</v>
      </c>
      <c r="C75" s="9"/>
    </row>
    <row r="76" spans="2:13">
      <c r="B76" s="25" t="s">
        <v>1</v>
      </c>
      <c r="C76" s="73">
        <f>IF(C$4="","",C79+C80)</f>
        <v>28330204</v>
      </c>
      <c r="D76" s="285">
        <f t="shared" ref="D76:M76" si="39">IF(D$4="","",D79+D80)</f>
        <v>5636695</v>
      </c>
      <c r="E76" s="285">
        <f t="shared" si="39"/>
        <v>0</v>
      </c>
      <c r="F76" s="285">
        <f t="shared" si="39"/>
        <v>0</v>
      </c>
      <c r="G76" s="285">
        <f t="shared" si="39"/>
        <v>0</v>
      </c>
      <c r="H76" s="285">
        <f t="shared" si="39"/>
        <v>0</v>
      </c>
      <c r="I76" s="285" t="str">
        <f t="shared" si="39"/>
        <v/>
      </c>
      <c r="J76" s="285" t="str">
        <f t="shared" si="39"/>
        <v/>
      </c>
      <c r="K76" s="285" t="str">
        <f t="shared" si="39"/>
        <v/>
      </c>
      <c r="L76" s="285" t="str">
        <f t="shared" si="39"/>
        <v/>
      </c>
      <c r="M76" s="285" t="str">
        <f t="shared" si="39"/>
        <v/>
      </c>
    </row>
    <row r="77" spans="2:13">
      <c r="B77" s="90" t="s">
        <v>81</v>
      </c>
      <c r="C77" s="260">
        <f t="shared" ref="C77:H78" si="40">IF(C$4="","",C28)</f>
        <v>5046560</v>
      </c>
      <c r="D77" s="282">
        <f t="shared" si="40"/>
        <v>715301</v>
      </c>
      <c r="E77" s="282">
        <f t="shared" si="40"/>
        <v>0</v>
      </c>
      <c r="F77" s="282">
        <f t="shared" si="40"/>
        <v>0</v>
      </c>
      <c r="G77" s="282">
        <f t="shared" si="40"/>
        <v>0</v>
      </c>
      <c r="H77" s="282">
        <f t="shared" si="40"/>
        <v>0</v>
      </c>
      <c r="I77" s="291"/>
      <c r="J77" s="291"/>
      <c r="K77" s="291"/>
      <c r="L77" s="291"/>
      <c r="M77" s="291"/>
    </row>
    <row r="78" spans="2:13">
      <c r="B78" s="90" t="s">
        <v>82</v>
      </c>
      <c r="C78" s="260">
        <f t="shared" si="40"/>
        <v>4735220</v>
      </c>
      <c r="D78" s="282">
        <f t="shared" si="40"/>
        <v>3950.6289999999999</v>
      </c>
      <c r="E78" s="282">
        <f t="shared" si="40"/>
        <v>3197.4969999999998</v>
      </c>
      <c r="F78" s="282">
        <f t="shared" si="40"/>
        <v>2689.2829999999999</v>
      </c>
      <c r="G78" s="282">
        <f t="shared" si="40"/>
        <v>2688.1860000000001</v>
      </c>
      <c r="H78" s="282">
        <f t="shared" si="40"/>
        <v>0</v>
      </c>
      <c r="I78" s="291"/>
      <c r="J78" s="291"/>
      <c r="K78" s="291"/>
      <c r="L78" s="291"/>
      <c r="M78" s="291"/>
    </row>
    <row r="79" spans="2:13">
      <c r="B79" s="25" t="s">
        <v>37</v>
      </c>
      <c r="C79" s="259">
        <f t="shared" ref="C79:M79" si="41">IF(C$4="","",C30)</f>
        <v>12179420</v>
      </c>
      <c r="D79" s="270">
        <f t="shared" si="41"/>
        <v>2524058</v>
      </c>
      <c r="E79" s="270">
        <f t="shared" si="41"/>
        <v>0</v>
      </c>
      <c r="F79" s="270">
        <f t="shared" si="41"/>
        <v>0</v>
      </c>
      <c r="G79" s="270">
        <f t="shared" si="41"/>
        <v>0</v>
      </c>
      <c r="H79" s="270">
        <f t="shared" si="41"/>
        <v>0</v>
      </c>
      <c r="I79" s="270" t="str">
        <f t="shared" si="41"/>
        <v/>
      </c>
      <c r="J79" s="270" t="str">
        <f t="shared" si="41"/>
        <v/>
      </c>
      <c r="K79" s="270" t="str">
        <f t="shared" si="41"/>
        <v/>
      </c>
      <c r="L79" s="270" t="str">
        <f t="shared" si="41"/>
        <v/>
      </c>
      <c r="M79" s="270" t="str">
        <f t="shared" si="41"/>
        <v/>
      </c>
    </row>
    <row r="80" spans="2:13">
      <c r="B80" s="25" t="s">
        <v>27</v>
      </c>
      <c r="C80" s="259">
        <f t="shared" ref="C80:M80" si="42">IF(C$4="","",C31)</f>
        <v>16150784</v>
      </c>
      <c r="D80" s="270">
        <f t="shared" si="42"/>
        <v>3112637</v>
      </c>
      <c r="E80" s="270">
        <f t="shared" si="42"/>
        <v>0</v>
      </c>
      <c r="F80" s="270">
        <f t="shared" si="42"/>
        <v>0</v>
      </c>
      <c r="G80" s="270">
        <f t="shared" si="42"/>
        <v>0</v>
      </c>
      <c r="H80" s="270">
        <f t="shared" si="42"/>
        <v>0</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B19" zoomScaleNormal="100" workbookViewId="0">
      <selection activeCell="G29" sqref="G29"/>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34</v>
      </c>
      <c r="C1" s="96">
        <v>45930</v>
      </c>
      <c r="F1" s="83" t="str">
        <f>IF(MONTH(C1)=MONTH(Normalized_FCF!G1),"FY","Quarter")&amp;" Report"</f>
        <v>Quarter Report</v>
      </c>
      <c r="H1" s="104">
        <f>scaling_factor</f>
        <v>1000</v>
      </c>
    </row>
    <row r="2" spans="2:8" ht="15" customHeight="1">
      <c r="B2" s="76" t="s">
        <v>130</v>
      </c>
      <c r="C2" s="35"/>
      <c r="D2" s="35"/>
      <c r="E2" s="35"/>
      <c r="F2" s="35"/>
      <c r="G2" s="35"/>
      <c r="H2" s="35"/>
    </row>
    <row r="3" spans="2:8" ht="15" customHeight="1">
      <c r="B3" s="16" t="s">
        <v>153</v>
      </c>
      <c r="C3" s="164" t="s">
        <v>112</v>
      </c>
      <c r="D3" s="165" t="s">
        <v>32</v>
      </c>
      <c r="F3" s="16" t="s">
        <v>154</v>
      </c>
      <c r="G3" s="164" t="s">
        <v>112</v>
      </c>
      <c r="H3" s="165" t="s">
        <v>32</v>
      </c>
    </row>
    <row r="4" spans="2:8" ht="15" customHeight="1">
      <c r="B4" s="4" t="s">
        <v>21</v>
      </c>
      <c r="C4" s="18">
        <f>4596134+450426</f>
        <v>5046560</v>
      </c>
      <c r="D4" s="231">
        <v>0.6</v>
      </c>
      <c r="E4" s="24"/>
      <c r="F4" s="4" t="s">
        <v>73</v>
      </c>
      <c r="G4" s="18">
        <f>1963602+3034004</f>
        <v>4997606</v>
      </c>
      <c r="H4" s="231">
        <v>0.9</v>
      </c>
    </row>
    <row r="5" spans="2:8" ht="15" customHeight="1">
      <c r="B5" s="1" t="s">
        <v>30</v>
      </c>
      <c r="C5" s="18">
        <v>0</v>
      </c>
      <c r="D5" s="231">
        <v>0.6</v>
      </c>
      <c r="E5" s="24"/>
      <c r="F5" s="1" t="s">
        <v>26</v>
      </c>
      <c r="G5" s="18">
        <v>687086</v>
      </c>
      <c r="H5" s="231">
        <v>0.7</v>
      </c>
    </row>
    <row r="6" spans="2:8" ht="15" customHeight="1">
      <c r="B6" s="4" t="s">
        <v>8</v>
      </c>
      <c r="C6" s="18">
        <v>4735220</v>
      </c>
      <c r="D6" s="231">
        <v>0.5</v>
      </c>
      <c r="E6" s="24"/>
      <c r="F6" s="4" t="s">
        <v>146</v>
      </c>
      <c r="G6" s="18">
        <v>0</v>
      </c>
      <c r="H6" s="231">
        <v>0.6</v>
      </c>
    </row>
    <row r="7" spans="2:8" ht="15" customHeight="1">
      <c r="B7" s="1" t="s">
        <v>65</v>
      </c>
      <c r="C7" s="18">
        <v>0</v>
      </c>
      <c r="D7" s="231">
        <v>0.6</v>
      </c>
      <c r="E7" s="24"/>
      <c r="F7" s="4" t="s">
        <v>147</v>
      </c>
      <c r="G7" s="18">
        <v>3436292</v>
      </c>
      <c r="H7" s="231">
        <v>0.6</v>
      </c>
    </row>
    <row r="8" spans="2:8" ht="15" customHeight="1">
      <c r="B8" s="1" t="s">
        <v>143</v>
      </c>
      <c r="C8" s="18">
        <v>0</v>
      </c>
      <c r="D8" s="231">
        <v>0.6</v>
      </c>
      <c r="E8" s="24"/>
      <c r="F8" s="1" t="s">
        <v>148</v>
      </c>
      <c r="G8" s="18">
        <v>0</v>
      </c>
      <c r="H8" s="231">
        <v>0.6</v>
      </c>
    </row>
    <row r="9" spans="2:8" ht="15" customHeight="1">
      <c r="B9" s="4" t="s">
        <v>22</v>
      </c>
      <c r="C9" s="18">
        <v>1308395</v>
      </c>
      <c r="D9" s="231">
        <v>0.1</v>
      </c>
      <c r="E9" s="24"/>
      <c r="F9" s="4" t="s">
        <v>149</v>
      </c>
      <c r="G9" s="18">
        <v>0</v>
      </c>
      <c r="H9" s="231">
        <v>0.6</v>
      </c>
    </row>
    <row r="10" spans="2:8" ht="15" customHeight="1">
      <c r="B10" s="4" t="s">
        <v>9</v>
      </c>
      <c r="C10" s="18">
        <v>0</v>
      </c>
      <c r="D10" s="231">
        <v>0.9</v>
      </c>
      <c r="F10" s="1" t="s">
        <v>401</v>
      </c>
      <c r="G10" s="18">
        <v>0</v>
      </c>
      <c r="H10" s="231">
        <v>0.6</v>
      </c>
    </row>
    <row r="11" spans="2:8" ht="15" customHeight="1">
      <c r="B11" s="4" t="s">
        <v>10</v>
      </c>
      <c r="C11" s="18">
        <v>0</v>
      </c>
      <c r="D11" s="231">
        <v>0.05</v>
      </c>
      <c r="H11" s="232"/>
    </row>
    <row r="12" spans="2:8" ht="15" customHeight="1">
      <c r="B12" s="77" t="s">
        <v>68</v>
      </c>
      <c r="C12" s="78">
        <f>SUM(C4:C11)</f>
        <v>11090175</v>
      </c>
      <c r="D12" s="19">
        <f>C4*D4+C5*D5+C9*D9+C6*D6+C8*D8+C7*D7+C10*D10+C11*D11</f>
        <v>5526385.5</v>
      </c>
      <c r="F12" s="77" t="s">
        <v>66</v>
      </c>
      <c r="G12" s="78">
        <f>SUM(G4:G10)</f>
        <v>9120984</v>
      </c>
      <c r="H12" s="19">
        <f>G4*H4+G5*H5+G6*H6+G7*H7+G8*H8+G9*H9+G10*H10</f>
        <v>7040580.8000000007</v>
      </c>
    </row>
    <row r="13" spans="2:8" ht="15" customHeight="1">
      <c r="F13" s="77"/>
      <c r="G13" s="78"/>
      <c r="H13" s="19"/>
    </row>
    <row r="14" spans="2:8" ht="15" customHeight="1">
      <c r="B14" s="16" t="s">
        <v>152</v>
      </c>
      <c r="C14" s="164" t="s">
        <v>112</v>
      </c>
      <c r="D14" s="165" t="s">
        <v>32</v>
      </c>
      <c r="F14" s="16" t="s">
        <v>155</v>
      </c>
      <c r="G14" s="164" t="s">
        <v>112</v>
      </c>
      <c r="H14" s="165" t="s">
        <v>32</v>
      </c>
    </row>
    <row r="15" spans="2:8" ht="15" customHeight="1">
      <c r="B15" s="4" t="s">
        <v>328</v>
      </c>
      <c r="C15" s="18">
        <v>85023</v>
      </c>
      <c r="D15" s="231">
        <v>0.4</v>
      </c>
      <c r="F15" s="4" t="s">
        <v>74</v>
      </c>
      <c r="G15" s="18">
        <f>400250+1750000</f>
        <v>2150250</v>
      </c>
      <c r="H15" s="231">
        <v>0.8</v>
      </c>
    </row>
    <row r="16" spans="2:8" ht="15" customHeight="1">
      <c r="B16" s="1" t="s">
        <v>31</v>
      </c>
      <c r="C16" s="18">
        <v>0</v>
      </c>
      <c r="D16" s="231">
        <v>0.5</v>
      </c>
      <c r="F16" s="4" t="s">
        <v>146</v>
      </c>
      <c r="G16" s="18">
        <v>0</v>
      </c>
      <c r="H16" s="231">
        <v>0.6</v>
      </c>
    </row>
    <row r="17" spans="2:8" ht="15" customHeight="1">
      <c r="B17" s="1" t="s">
        <v>65</v>
      </c>
      <c r="C17" s="18">
        <v>0</v>
      </c>
      <c r="D17" s="231">
        <v>0.6</v>
      </c>
      <c r="F17" s="4" t="s">
        <v>147</v>
      </c>
      <c r="G17" s="18">
        <f>102921+3754</f>
        <v>106675</v>
      </c>
      <c r="H17" s="231">
        <v>0.6</v>
      </c>
    </row>
    <row r="18" spans="2:8" ht="15" customHeight="1">
      <c r="B18" s="4" t="s">
        <v>143</v>
      </c>
      <c r="C18" s="18">
        <v>0</v>
      </c>
      <c r="D18" s="231">
        <v>0.6</v>
      </c>
      <c r="F18" s="4" t="s">
        <v>150</v>
      </c>
      <c r="G18" s="18">
        <v>0</v>
      </c>
      <c r="H18" s="231">
        <v>0.1</v>
      </c>
    </row>
    <row r="19" spans="2:8" ht="15" customHeight="1">
      <c r="B19" s="4" t="s">
        <v>23</v>
      </c>
      <c r="C19" s="18">
        <f>1976077+1558066</f>
        <v>3534143</v>
      </c>
      <c r="D19" s="231">
        <v>0.1</v>
      </c>
      <c r="F19" s="4" t="s">
        <v>151</v>
      </c>
      <c r="G19" s="18">
        <f>306843+171487</f>
        <v>478330</v>
      </c>
      <c r="H19" s="231">
        <v>0.1</v>
      </c>
    </row>
    <row r="20" spans="2:8" ht="15" customHeight="1">
      <c r="B20" s="4" t="s">
        <v>555</v>
      </c>
      <c r="C20" s="18">
        <v>0</v>
      </c>
      <c r="D20" s="231">
        <v>0.05</v>
      </c>
      <c r="F20" s="4" t="s">
        <v>148</v>
      </c>
      <c r="G20" s="18">
        <v>0</v>
      </c>
      <c r="H20" s="231">
        <v>0.2</v>
      </c>
    </row>
    <row r="21" spans="2:8" ht="15" customHeight="1">
      <c r="B21" s="4" t="s">
        <v>16</v>
      </c>
      <c r="C21" s="18">
        <v>1057617</v>
      </c>
      <c r="D21" s="231">
        <v>0.05</v>
      </c>
      <c r="F21" s="1" t="s">
        <v>149</v>
      </c>
      <c r="G21" s="18">
        <v>31209</v>
      </c>
      <c r="H21" s="231">
        <v>0.1</v>
      </c>
    </row>
    <row r="22" spans="2:8" ht="15" customHeight="1">
      <c r="B22" s="4" t="s">
        <v>17</v>
      </c>
      <c r="C22" s="18">
        <v>675798</v>
      </c>
      <c r="D22" s="231">
        <v>0.9</v>
      </c>
      <c r="H22" s="232"/>
    </row>
    <row r="23" spans="2:8" ht="15" customHeight="1">
      <c r="B23" s="4" t="s">
        <v>18</v>
      </c>
      <c r="C23" s="18">
        <v>0</v>
      </c>
      <c r="D23" s="231">
        <v>0</v>
      </c>
      <c r="H23" s="232"/>
    </row>
    <row r="24" spans="2:8" ht="15" customHeight="1">
      <c r="B24" s="77" t="s">
        <v>69</v>
      </c>
      <c r="C24" s="78">
        <f>SUM(C15:C23)</f>
        <v>5352581</v>
      </c>
      <c r="D24" s="19">
        <f>C15*D15+C16*D16+C18*D18+C17*D17+C19*D19+C20*D20+C21*D21+C22*D22+C23*D23</f>
        <v>1048522.5500000002</v>
      </c>
      <c r="F24" s="77" t="s">
        <v>67</v>
      </c>
      <c r="G24" s="78">
        <f>SUM(G15:G21)</f>
        <v>2766464</v>
      </c>
      <c r="H24" s="19">
        <f>G15*H15+G16*H16+G17*H17+G18*H18+G19*H19+G20*H20+G21*H21</f>
        <v>1835158.9</v>
      </c>
    </row>
    <row r="26" spans="2:8" ht="15" customHeight="1">
      <c r="B26" s="16" t="s">
        <v>168</v>
      </c>
      <c r="C26" s="164" t="s">
        <v>112</v>
      </c>
      <c r="F26" s="166" t="s">
        <v>164</v>
      </c>
      <c r="G26" s="167" t="s">
        <v>112</v>
      </c>
      <c r="H26" s="168" t="s">
        <v>32</v>
      </c>
    </row>
    <row r="27" spans="2:8" ht="15" customHeight="1">
      <c r="B27" s="4" t="s">
        <v>3</v>
      </c>
      <c r="C27" s="18">
        <v>977689</v>
      </c>
      <c r="F27" s="169" t="s">
        <v>27</v>
      </c>
      <c r="G27" s="82">
        <f>G32-G30</f>
        <v>16150784</v>
      </c>
      <c r="H27" s="170">
        <f>H32-G30</f>
        <v>3271227.75</v>
      </c>
    </row>
    <row r="28" spans="2:8" ht="15" customHeight="1">
      <c r="B28" s="4" t="s">
        <v>4</v>
      </c>
      <c r="C28" s="18">
        <v>418706</v>
      </c>
      <c r="F28" s="171" t="s">
        <v>208</v>
      </c>
      <c r="G28" s="287">
        <v>133020</v>
      </c>
      <c r="H28" s="170"/>
    </row>
    <row r="29" spans="2:8" ht="15" customHeight="1">
      <c r="B29" s="4" t="s">
        <v>5</v>
      </c>
      <c r="C29" s="18">
        <v>0</v>
      </c>
      <c r="F29" s="172" t="s">
        <v>71</v>
      </c>
      <c r="G29" s="14">
        <f>G27-G28</f>
        <v>16017764</v>
      </c>
      <c r="H29" s="170">
        <f>H27-G28</f>
        <v>3138207.75</v>
      </c>
    </row>
    <row r="30" spans="2:8" ht="15" customHeight="1">
      <c r="B30" s="2" t="s">
        <v>6</v>
      </c>
      <c r="C30" s="18">
        <v>3661</v>
      </c>
      <c r="F30" s="169" t="s">
        <v>20</v>
      </c>
      <c r="G30" s="82">
        <f>C33+C42</f>
        <v>12179420</v>
      </c>
      <c r="H30" s="170"/>
    </row>
    <row r="31" spans="2:8" ht="15" customHeight="1">
      <c r="B31" s="77" t="s">
        <v>171</v>
      </c>
      <c r="C31" s="78">
        <f>SUM(C27:C30)</f>
        <v>1400056</v>
      </c>
      <c r="F31" s="172" t="s">
        <v>72</v>
      </c>
      <c r="G31" s="173">
        <f>C31+C40</f>
        <v>1939633</v>
      </c>
      <c r="H31" s="170"/>
    </row>
    <row r="32" spans="2:8" ht="15" customHeight="1">
      <c r="B32" s="4" t="s">
        <v>7</v>
      </c>
      <c r="C32" s="20">
        <f>C33-C31</f>
        <v>10038992</v>
      </c>
      <c r="F32" s="174" t="s">
        <v>70</v>
      </c>
      <c r="G32" s="175">
        <f>G35+G40</f>
        <v>28330204</v>
      </c>
      <c r="H32" s="170">
        <f>H35+H40</f>
        <v>15450647.75</v>
      </c>
    </row>
    <row r="33" spans="2:8" ht="15" customHeight="1">
      <c r="B33" s="80" t="s">
        <v>2</v>
      </c>
      <c r="C33" s="81">
        <v>11439048</v>
      </c>
      <c r="F33" s="176"/>
      <c r="G33" s="2"/>
      <c r="H33" s="177"/>
    </row>
    <row r="34" spans="2:8" ht="15" customHeight="1">
      <c r="B34" s="80"/>
      <c r="C34" s="81"/>
      <c r="F34" s="178" t="s">
        <v>170</v>
      </c>
      <c r="G34" s="179" t="s">
        <v>112</v>
      </c>
      <c r="H34" s="180" t="s">
        <v>32</v>
      </c>
    </row>
    <row r="35" spans="2:8" ht="15" customHeight="1">
      <c r="B35" s="16" t="s">
        <v>169</v>
      </c>
      <c r="C35" s="164" t="s">
        <v>112</v>
      </c>
      <c r="F35" s="181" t="s">
        <v>28</v>
      </c>
      <c r="G35" s="175">
        <f>C12+C24</f>
        <v>16442756</v>
      </c>
      <c r="H35" s="182">
        <f>D12+D24</f>
        <v>6574908.0499999998</v>
      </c>
    </row>
    <row r="36" spans="2:8" ht="15" customHeight="1">
      <c r="B36" s="4" t="s">
        <v>11</v>
      </c>
      <c r="C36" s="18">
        <v>0</v>
      </c>
      <c r="F36" s="172" t="s">
        <v>165</v>
      </c>
      <c r="G36" s="173">
        <f>C4+C15</f>
        <v>5131583</v>
      </c>
      <c r="H36" s="177"/>
    </row>
    <row r="37" spans="2:8" ht="15" customHeight="1">
      <c r="B37" s="4" t="s">
        <v>12</v>
      </c>
      <c r="C37" s="18">
        <v>539577</v>
      </c>
      <c r="F37" s="172" t="s">
        <v>166</v>
      </c>
      <c r="G37" s="173">
        <f>C6</f>
        <v>4735220</v>
      </c>
      <c r="H37" s="177"/>
    </row>
    <row r="38" spans="2:8" ht="15" customHeight="1">
      <c r="B38" s="4" t="s">
        <v>13</v>
      </c>
      <c r="C38" s="18">
        <v>0</v>
      </c>
      <c r="F38" s="172" t="s">
        <v>167</v>
      </c>
      <c r="G38" s="173">
        <f>C7+C17</f>
        <v>0</v>
      </c>
      <c r="H38" s="177"/>
    </row>
    <row r="39" spans="2:8" ht="15" customHeight="1">
      <c r="B39" s="2" t="s">
        <v>14</v>
      </c>
      <c r="C39" s="18">
        <v>0</v>
      </c>
      <c r="F39" s="172" t="s">
        <v>75</v>
      </c>
      <c r="G39" s="173">
        <f>C7+C17+C19+C20</f>
        <v>3534143</v>
      </c>
      <c r="H39" s="170">
        <f>C7*D7+C17*D17+C19*D19+C20*D20</f>
        <v>353414.30000000005</v>
      </c>
    </row>
    <row r="40" spans="2:8" ht="15" customHeight="1">
      <c r="B40" s="77" t="s">
        <v>172</v>
      </c>
      <c r="C40" s="78">
        <f>SUM(C36:C39)</f>
        <v>539577</v>
      </c>
      <c r="F40" s="181" t="s">
        <v>114</v>
      </c>
      <c r="G40" s="175">
        <f>G12+G24</f>
        <v>11887448</v>
      </c>
      <c r="H40" s="182">
        <f>H12+H24</f>
        <v>8875739.7000000011</v>
      </c>
    </row>
    <row r="41" spans="2:8" ht="15" customHeight="1">
      <c r="B41" s="4" t="s">
        <v>15</v>
      </c>
      <c r="C41" s="20">
        <f>C42-C40</f>
        <v>200795</v>
      </c>
      <c r="F41" s="172" t="s">
        <v>159</v>
      </c>
      <c r="G41" s="173">
        <f>C70</f>
        <v>7834942</v>
      </c>
      <c r="H41" s="182">
        <f>H40-H42</f>
        <v>6699005.6000000015</v>
      </c>
    </row>
    <row r="42" spans="2:8" ht="15" customHeight="1">
      <c r="B42" s="80" t="s">
        <v>19</v>
      </c>
      <c r="C42" s="81">
        <v>740372</v>
      </c>
      <c r="F42" s="183" t="s">
        <v>160</v>
      </c>
      <c r="G42" s="184">
        <f>C82</f>
        <v>4052506</v>
      </c>
      <c r="H42" s="185">
        <f>D82</f>
        <v>2176734.1</v>
      </c>
    </row>
    <row r="44" spans="2:8" ht="15" customHeight="1">
      <c r="B44" s="76" t="s">
        <v>91</v>
      </c>
      <c r="C44" s="35"/>
      <c r="D44" s="35"/>
      <c r="E44" s="35"/>
      <c r="F44" s="35"/>
      <c r="G44" s="35"/>
      <c r="H44" s="35"/>
    </row>
    <row r="45" spans="2:8" ht="15" customHeight="1">
      <c r="B45" s="16" t="s">
        <v>227</v>
      </c>
      <c r="C45" s="209" t="s">
        <v>112</v>
      </c>
      <c r="D45" s="164" t="s">
        <v>309</v>
      </c>
      <c r="F45" s="226" t="s">
        <v>55</v>
      </c>
    </row>
    <row r="46" spans="2:8" ht="15" customHeight="1">
      <c r="B46" s="1" t="s">
        <v>229</v>
      </c>
      <c r="C46" s="73">
        <f>G29</f>
        <v>16017764</v>
      </c>
      <c r="D46" s="73">
        <f>H29</f>
        <v>3138207.75</v>
      </c>
      <c r="F46" s="223"/>
    </row>
    <row r="47" spans="2:8" ht="15" customHeight="1">
      <c r="B47" s="1" t="str">
        <f>"Equity per share ("&amp;Market_currency&amp;")"</f>
        <v>Equity per share (HKD)</v>
      </c>
      <c r="C47" s="134">
        <f>C46*H1/Common_Shares*Exchange_Rate</f>
        <v>1.3708590491269061</v>
      </c>
      <c r="D47" s="134">
        <f>D46*H1/Common_Shares*Exchange_Rate</f>
        <v>0.26857934054514021</v>
      </c>
      <c r="F47" s="223"/>
    </row>
    <row r="48" spans="2:8" ht="15" customHeight="1">
      <c r="F48" s="223"/>
    </row>
    <row r="49" spans="2:8" ht="15" customHeight="1">
      <c r="B49" s="143" t="s">
        <v>119</v>
      </c>
      <c r="C49" s="210" t="s">
        <v>53</v>
      </c>
      <c r="D49" s="179" t="s">
        <v>90</v>
      </c>
      <c r="E49" s="2"/>
      <c r="F49" s="223"/>
    </row>
    <row r="50" spans="2:8" ht="15" customHeight="1">
      <c r="B50" s="8" t="s">
        <v>89</v>
      </c>
      <c r="C50" s="92">
        <f>G31/Normalized_FCF!C8</f>
        <v>0.41215180500545473</v>
      </c>
      <c r="D50" s="92">
        <f>G31/Normalized_FCF!G8</f>
        <v>0.4173112368971213</v>
      </c>
      <c r="F50" s="223"/>
    </row>
    <row r="51" spans="2:8" ht="15" customHeight="1">
      <c r="B51" s="1" t="s">
        <v>145</v>
      </c>
      <c r="C51" s="163"/>
      <c r="D51" s="89">
        <f>G29/G32</f>
        <v>0.56539529330604188</v>
      </c>
      <c r="F51" s="223"/>
    </row>
    <row r="52" spans="2:8" ht="15" customHeight="1">
      <c r="F52" s="223"/>
    </row>
    <row r="53" spans="2:8" ht="15" customHeight="1">
      <c r="B53" s="143" t="s">
        <v>118</v>
      </c>
      <c r="C53" s="210" t="s">
        <v>53</v>
      </c>
      <c r="D53" s="179" t="s">
        <v>90</v>
      </c>
      <c r="F53" s="223"/>
    </row>
    <row r="54" spans="2:8" ht="15" customHeight="1">
      <c r="B54" s="1" t="s">
        <v>115</v>
      </c>
      <c r="C54" s="89">
        <f>Normalized_FCF!C8/G35</f>
        <v>0.28621193909531112</v>
      </c>
      <c r="D54" s="89">
        <f>Normalized_FCF!G8/G35</f>
        <v>0.28267335475877647</v>
      </c>
      <c r="F54" s="223"/>
    </row>
    <row r="55" spans="2:8" ht="15" customHeight="1">
      <c r="B55" s="1" t="s">
        <v>117</v>
      </c>
      <c r="C55" s="89">
        <f>Normalized_FCF!C9/G40</f>
        <v>0</v>
      </c>
      <c r="D55" s="89">
        <f>Normalized_FCF!G9/G40</f>
        <v>0</v>
      </c>
      <c r="F55" s="223"/>
    </row>
    <row r="56" spans="2:8" ht="15" customHeight="1">
      <c r="F56" s="223"/>
    </row>
    <row r="57" spans="2:8" ht="15" customHeight="1">
      <c r="B57" s="143" t="s">
        <v>144</v>
      </c>
      <c r="C57" s="210" t="s">
        <v>53</v>
      </c>
      <c r="D57" s="179" t="s">
        <v>90</v>
      </c>
      <c r="F57" s="223"/>
    </row>
    <row r="58" spans="2:8" ht="15" customHeight="1">
      <c r="B58" s="2" t="s">
        <v>85</v>
      </c>
      <c r="C58" s="95"/>
      <c r="D58" s="22">
        <f>Normalized_FCF!G15/BS!$G$39</f>
        <v>0</v>
      </c>
      <c r="F58" s="5"/>
    </row>
    <row r="59" spans="2:8" ht="15" customHeight="1">
      <c r="B59" s="1" t="s">
        <v>88</v>
      </c>
      <c r="C59" s="95"/>
      <c r="D59" s="89">
        <f>G39/G32</f>
        <v>0.12474823689938837</v>
      </c>
      <c r="F59" s="223"/>
    </row>
    <row r="60" spans="2:8" ht="15" customHeight="1">
      <c r="F60" s="223"/>
    </row>
    <row r="61" spans="2:8" ht="15" customHeight="1">
      <c r="B61" s="143" t="s">
        <v>230</v>
      </c>
      <c r="C61" s="210" t="s">
        <v>113</v>
      </c>
      <c r="D61" s="179" t="s">
        <v>90</v>
      </c>
      <c r="F61" s="223"/>
    </row>
    <row r="62" spans="2:8" ht="15" customHeight="1">
      <c r="B62" s="1" t="s">
        <v>209</v>
      </c>
      <c r="C62" s="89">
        <f>IF(G28&lt;=0,0,G28/G29)</f>
        <v>8.3045298956833172E-3</v>
      </c>
      <c r="D62" s="89">
        <f>G28/G29</f>
        <v>8.3045298956833172E-3</v>
      </c>
      <c r="F62" s="223" t="s">
        <v>228</v>
      </c>
    </row>
    <row r="64" spans="2:8" ht="15" customHeight="1">
      <c r="B64" s="76" t="s">
        <v>161</v>
      </c>
      <c r="C64" s="35"/>
      <c r="D64" s="35"/>
      <c r="E64" s="35"/>
      <c r="F64" s="35"/>
      <c r="G64" s="35"/>
      <c r="H64" s="35"/>
    </row>
    <row r="65" spans="2:6" ht="15" customHeight="1">
      <c r="B65" s="16" t="s">
        <v>157</v>
      </c>
      <c r="C65" s="209" t="s">
        <v>112</v>
      </c>
      <c r="D65" s="165" t="s">
        <v>237</v>
      </c>
      <c r="F65" s="226" t="s">
        <v>55</v>
      </c>
    </row>
    <row r="66" spans="2:6" ht="15" customHeight="1">
      <c r="B66" s="102" t="s">
        <v>156</v>
      </c>
      <c r="C66" s="19">
        <f>G4+G5+G15</f>
        <v>7834942</v>
      </c>
      <c r="D66" s="73">
        <f>C66-D75</f>
        <v>3796000.3986851773</v>
      </c>
      <c r="F66" s="5" t="s">
        <v>192</v>
      </c>
    </row>
    <row r="67" spans="2:6" ht="15" customHeight="1">
      <c r="B67" s="102" t="s">
        <v>146</v>
      </c>
      <c r="C67" s="19">
        <f>G6+G16</f>
        <v>0</v>
      </c>
      <c r="F67" s="223"/>
    </row>
    <row r="68" spans="2:6" ht="15" customHeight="1">
      <c r="B68" s="102" t="s">
        <v>150</v>
      </c>
      <c r="C68" s="19">
        <f>G18</f>
        <v>0</v>
      </c>
      <c r="F68" s="223"/>
    </row>
    <row r="69" spans="2:6" ht="15" customHeight="1">
      <c r="B69" s="102" t="s">
        <v>148</v>
      </c>
      <c r="C69" s="19">
        <f>G8+G20</f>
        <v>0</v>
      </c>
      <c r="F69" s="223"/>
    </row>
    <row r="70" spans="2:6" ht="15" customHeight="1">
      <c r="B70" s="77" t="s">
        <v>157</v>
      </c>
      <c r="C70" s="78">
        <f>SUM(C66:C69)</f>
        <v>7834942</v>
      </c>
      <c r="F70" s="223"/>
    </row>
    <row r="71" spans="2:6" ht="15" customHeight="1">
      <c r="F71" s="223"/>
    </row>
    <row r="72" spans="2:6" ht="15" customHeight="1">
      <c r="B72" s="225" t="s">
        <v>255</v>
      </c>
      <c r="C72" s="209" t="s">
        <v>90</v>
      </c>
      <c r="D72" s="164" t="s">
        <v>53</v>
      </c>
      <c r="F72" s="223"/>
    </row>
    <row r="73" spans="2:6" ht="15" customHeight="1">
      <c r="B73" s="102" t="s">
        <v>254</v>
      </c>
      <c r="C73" s="285">
        <f>(Normalized_FCF!G26+Normalized_FCF!G35-Normalized_FCF!G89)/12</f>
        <v>-2024319.4738933332</v>
      </c>
      <c r="D73" s="285">
        <f>(Normalized_FCF!C26+Normalized_FCF!C35-Normalized_FCF!C89)/12</f>
        <v>-2019470.8006574113</v>
      </c>
      <c r="F73" s="1" t="s">
        <v>277</v>
      </c>
    </row>
    <row r="74" spans="2:6" ht="15" customHeight="1">
      <c r="B74" s="227" t="s">
        <v>258</v>
      </c>
      <c r="C74" s="228">
        <f>-$C$66/C73</f>
        <v>3.870407858563556</v>
      </c>
      <c r="D74" s="228">
        <f>-$C$66/D73</f>
        <v>3.8797005618746461</v>
      </c>
      <c r="F74" s="223" t="s">
        <v>256</v>
      </c>
    </row>
    <row r="75" spans="2:6" ht="15" customHeight="1">
      <c r="B75" s="77" t="s">
        <v>257</v>
      </c>
      <c r="C75" s="261"/>
      <c r="D75" s="262">
        <f>MAX(-D73*D76,G5)</f>
        <v>4038941.6013148227</v>
      </c>
      <c r="F75" s="223" t="s">
        <v>278</v>
      </c>
    </row>
    <row r="76" spans="2:6" ht="15" customHeight="1">
      <c r="B76" s="229" t="s">
        <v>259</v>
      </c>
      <c r="C76" s="230"/>
      <c r="D76" s="248">
        <f>IF(D74&lt;=3,1,IF(D74&gt;18,6,2))</f>
        <v>2</v>
      </c>
      <c r="F76" s="223" t="s">
        <v>260</v>
      </c>
    </row>
    <row r="77" spans="2:6" ht="15" customHeight="1">
      <c r="F77" s="223"/>
    </row>
    <row r="78" spans="2:6" ht="15" customHeight="1">
      <c r="B78" s="16" t="s">
        <v>158</v>
      </c>
      <c r="C78" s="209" t="s">
        <v>112</v>
      </c>
      <c r="D78" s="165" t="s">
        <v>32</v>
      </c>
      <c r="F78" s="223"/>
    </row>
    <row r="79" spans="2:6" ht="15" customHeight="1">
      <c r="B79" s="102" t="s">
        <v>147</v>
      </c>
      <c r="C79" s="19">
        <f>G7+G17</f>
        <v>3542967</v>
      </c>
      <c r="D79" s="73">
        <f>G7*H7+G17*H17</f>
        <v>2125780.2000000002</v>
      </c>
      <c r="F79" s="223"/>
    </row>
    <row r="80" spans="2:6" ht="15" customHeight="1">
      <c r="B80" s="102" t="s">
        <v>151</v>
      </c>
      <c r="C80" s="19">
        <f>G19</f>
        <v>478330</v>
      </c>
      <c r="D80" s="73">
        <f>G19*H19</f>
        <v>47833</v>
      </c>
      <c r="F80" s="223"/>
    </row>
    <row r="81" spans="2:8" ht="15" customHeight="1">
      <c r="B81" s="102" t="s">
        <v>149</v>
      </c>
      <c r="C81" s="19">
        <f>G9+G21</f>
        <v>31209</v>
      </c>
      <c r="D81" s="73">
        <f>G9*H9+G21*H21</f>
        <v>3120.9</v>
      </c>
      <c r="F81" s="223"/>
    </row>
    <row r="82" spans="2:8" ht="15" customHeight="1">
      <c r="B82" s="77" t="s">
        <v>158</v>
      </c>
      <c r="C82" s="78">
        <f>SUM(C79:C81)</f>
        <v>4052506</v>
      </c>
      <c r="D82" s="78">
        <f>SUM(D79:D81)</f>
        <v>2176734.1</v>
      </c>
      <c r="F82" s="223"/>
    </row>
    <row r="84" spans="2:8" ht="15" customHeight="1">
      <c r="B84" s="76" t="s">
        <v>240</v>
      </c>
      <c r="C84" s="35"/>
      <c r="D84" s="35"/>
      <c r="E84" s="35"/>
      <c r="F84" s="35"/>
      <c r="G84" s="35"/>
      <c r="H84" s="35"/>
    </row>
    <row r="85" spans="2:8" ht="15" customHeight="1">
      <c r="B85" s="16" t="s">
        <v>241</v>
      </c>
      <c r="D85" s="215" t="s">
        <v>242</v>
      </c>
    </row>
    <row r="86" spans="2:8" ht="15" customHeight="1">
      <c r="B86" s="212" t="s">
        <v>238</v>
      </c>
      <c r="C86" s="73">
        <f>DCF!F4*Exchange_Rate</f>
        <v>-1939633</v>
      </c>
      <c r="D86" s="201">
        <f>C86*scaling_factor/Common_Shares</f>
        <v>-0.16600091311341383</v>
      </c>
      <c r="E86" s="214" t="str">
        <f>Market_currency</f>
        <v>HKD</v>
      </c>
    </row>
    <row r="87" spans="2:8" ht="15" customHeight="1">
      <c r="B87" s="212" t="s">
        <v>239</v>
      </c>
      <c r="C87" s="73">
        <f>DCF!F5*Exchange_Rate</f>
        <v>3796000.3986851773</v>
      </c>
      <c r="D87" s="201">
        <f>C87*scaling_factor/Common_Shares</f>
        <v>0.32487565037335536</v>
      </c>
      <c r="E87" s="214" t="str">
        <f>Market_currency</f>
        <v>HKD</v>
      </c>
    </row>
    <row r="88" spans="2:8" ht="15" customHeight="1">
      <c r="B88" s="213" t="s">
        <v>158</v>
      </c>
      <c r="C88" s="73">
        <f>DCF!F6*Exchange_Rate</f>
        <v>2176734.1</v>
      </c>
      <c r="D88" s="201">
        <f>C88*scaling_factor/Common_Shares</f>
        <v>0.18629289572053326</v>
      </c>
      <c r="E88" s="214" t="str">
        <f>Market_currency</f>
        <v>HKD</v>
      </c>
    </row>
    <row r="89" spans="2:8" ht="15" customHeight="1">
      <c r="B89" s="77" t="s">
        <v>243</v>
      </c>
      <c r="C89" s="162">
        <f>SUM(C86:C88)</f>
        <v>4033101.4986851774</v>
      </c>
      <c r="D89" s="216">
        <f>SUM(D86:D88)</f>
        <v>0.34516763298047481</v>
      </c>
      <c r="E89" s="214" t="str">
        <f>Market_currency</f>
        <v>HKD</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11" activePane="bottomRight" state="frozen"/>
      <selection activeCell="C17" sqref="C17"/>
      <selection pane="topRight" activeCell="C17" sqref="C17"/>
      <selection pane="bottomLeft" activeCell="C17" sqref="C17"/>
      <selection pane="bottomRight" activeCell="E120" sqref="E120"/>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HKD</v>
      </c>
      <c r="C1" s="50" t="s">
        <v>53</v>
      </c>
      <c r="D1" s="50"/>
      <c r="E1" s="50"/>
      <c r="F1" s="50"/>
      <c r="G1" s="36">
        <f>Data!C1</f>
        <v>45747</v>
      </c>
      <c r="H1" s="36">
        <f>EOMONTH(EDATE(G1,-12),0)</f>
        <v>45382</v>
      </c>
      <c r="I1" s="36">
        <f t="shared" ref="I1:Q1" si="0">EOMONTH(EDATE(H1,-12),0)</f>
        <v>45016</v>
      </c>
      <c r="J1" s="36">
        <f t="shared" si="0"/>
        <v>44651</v>
      </c>
      <c r="K1" s="36">
        <f t="shared" si="0"/>
        <v>44286</v>
      </c>
      <c r="L1" s="36">
        <f t="shared" si="0"/>
        <v>43921</v>
      </c>
      <c r="M1" s="36">
        <f t="shared" si="0"/>
        <v>43555</v>
      </c>
      <c r="N1" s="36">
        <f t="shared" si="0"/>
        <v>43190</v>
      </c>
      <c r="O1" s="36">
        <f t="shared" si="0"/>
        <v>42825</v>
      </c>
      <c r="P1" s="36">
        <f t="shared" si="0"/>
        <v>42460</v>
      </c>
      <c r="Q1" s="36">
        <f t="shared" si="0"/>
        <v>42094</v>
      </c>
    </row>
    <row r="2" spans="1:17" ht="15.75" customHeight="1">
      <c r="A2" s="3"/>
      <c r="B2" s="51" t="s">
        <v>94</v>
      </c>
      <c r="C2" s="51"/>
      <c r="D2" s="53"/>
      <c r="E2" s="63" t="s">
        <v>55</v>
      </c>
      <c r="F2" s="53"/>
      <c r="G2" s="35"/>
      <c r="H2" s="35"/>
      <c r="I2" s="35"/>
      <c r="J2" s="35"/>
      <c r="K2" s="35"/>
      <c r="L2" s="35"/>
      <c r="M2" s="35"/>
      <c r="N2" s="35"/>
      <c r="O2" s="35"/>
      <c r="P2" s="35"/>
      <c r="Q2" s="35"/>
    </row>
    <row r="3" spans="1:17" ht="15.75" customHeight="1">
      <c r="A3" s="10"/>
      <c r="B3" s="16" t="s">
        <v>392</v>
      </c>
      <c r="C3" s="104">
        <f>scaling_factor</f>
        <v>1000</v>
      </c>
      <c r="D3" s="9"/>
      <c r="E3" s="237"/>
      <c r="F3" s="9"/>
      <c r="G3" s="16" t="s">
        <v>409</v>
      </c>
      <c r="H3" s="104">
        <f>scaling_factor</f>
        <v>1000</v>
      </c>
    </row>
    <row r="4" spans="1:17" ht="15.75" customHeight="1">
      <c r="A4" s="10"/>
      <c r="B4" s="25" t="s">
        <v>0</v>
      </c>
      <c r="C4" s="458">
        <f>C100*C117</f>
        <v>25901800</v>
      </c>
      <c r="D4" s="54"/>
      <c r="E4" s="235"/>
      <c r="F4" s="54"/>
      <c r="G4" s="270">
        <f>Data!C36</f>
        <v>25901800</v>
      </c>
      <c r="H4" s="270">
        <f>Data!D36</f>
        <v>23214200</v>
      </c>
      <c r="I4" s="270">
        <f>Data!E36</f>
        <v>16774220</v>
      </c>
      <c r="J4" s="270">
        <f>Data!F36</f>
        <v>16213608</v>
      </c>
      <c r="K4" s="270">
        <f>Data!G36</f>
        <v>13516513</v>
      </c>
      <c r="L4" s="270">
        <f>Data!H36</f>
        <v>12190535</v>
      </c>
      <c r="M4" s="270" t="str">
        <f>Data!I36</f>
        <v/>
      </c>
      <c r="N4" s="270" t="str">
        <f>Data!J36</f>
        <v/>
      </c>
      <c r="O4" s="270" t="str">
        <f>Data!K36</f>
        <v/>
      </c>
      <c r="P4" s="270" t="str">
        <f>Data!L36</f>
        <v/>
      </c>
      <c r="Q4" s="270" t="str">
        <f>Data!M36</f>
        <v/>
      </c>
    </row>
    <row r="5" spans="1:17" ht="15.75" customHeight="1">
      <c r="A5" s="10"/>
      <c r="B5" s="2" t="s">
        <v>42</v>
      </c>
      <c r="C5" s="266">
        <f>C26</f>
        <v>-19525414.921168938</v>
      </c>
      <c r="E5" s="237"/>
      <c r="G5" s="270">
        <f t="shared" ref="G5:Q5" si="1">G26</f>
        <v>-19583599</v>
      </c>
      <c r="H5" s="270">
        <f t="shared" si="1"/>
        <v>-17447289</v>
      </c>
      <c r="I5" s="270">
        <f t="shared" si="1"/>
        <v>-12920597</v>
      </c>
      <c r="J5" s="270">
        <f t="shared" si="1"/>
        <v>-12647866</v>
      </c>
      <c r="K5" s="270">
        <f t="shared" si="1"/>
        <v>-10399605</v>
      </c>
      <c r="L5" s="270">
        <f t="shared" si="1"/>
        <v>-9758330</v>
      </c>
      <c r="M5" s="270" t="str">
        <f t="shared" si="1"/>
        <v/>
      </c>
      <c r="N5" s="270" t="str">
        <f t="shared" si="1"/>
        <v/>
      </c>
      <c r="O5" s="270" t="str">
        <f t="shared" si="1"/>
        <v/>
      </c>
      <c r="P5" s="270" t="str">
        <f t="shared" si="1"/>
        <v/>
      </c>
      <c r="Q5" s="270" t="str">
        <f t="shared" si="1"/>
        <v/>
      </c>
    </row>
    <row r="6" spans="1:17" ht="15.75" customHeight="1">
      <c r="A6" s="10"/>
      <c r="B6" s="30" t="s">
        <v>44</v>
      </c>
      <c r="C6" s="267">
        <f>C4+C5</f>
        <v>6376385.0788310617</v>
      </c>
      <c r="E6" s="237"/>
      <c r="G6" s="267">
        <f>IF(G4="","",G4+G5)</f>
        <v>6318201</v>
      </c>
      <c r="H6" s="267">
        <f t="shared" ref="H6:Q6" si="2">IF(H4="","",H4+H5)</f>
        <v>5766911</v>
      </c>
      <c r="I6" s="267">
        <f t="shared" si="2"/>
        <v>3853623</v>
      </c>
      <c r="J6" s="267">
        <f t="shared" si="2"/>
        <v>3565742</v>
      </c>
      <c r="K6" s="267">
        <f t="shared" si="2"/>
        <v>3116908</v>
      </c>
      <c r="L6" s="267">
        <f t="shared" si="2"/>
        <v>2432205</v>
      </c>
      <c r="M6" s="267" t="str">
        <f t="shared" si="2"/>
        <v/>
      </c>
      <c r="N6" s="267" t="str">
        <f t="shared" si="2"/>
        <v/>
      </c>
      <c r="O6" s="267" t="str">
        <f t="shared" si="2"/>
        <v/>
      </c>
      <c r="P6" s="267" t="str">
        <f t="shared" si="2"/>
        <v/>
      </c>
      <c r="Q6" s="267" t="str">
        <f t="shared" si="2"/>
        <v/>
      </c>
    </row>
    <row r="7" spans="1:17" ht="15.75" customHeight="1">
      <c r="A7" s="10"/>
      <c r="B7" s="8" t="s">
        <v>41</v>
      </c>
      <c r="C7" s="266">
        <f>C35</f>
        <v>-1670272</v>
      </c>
      <c r="E7" s="237"/>
      <c r="G7" s="266">
        <f t="shared" ref="G7:Q7" si="3">G35</f>
        <v>-1670272</v>
      </c>
      <c r="H7" s="266">
        <f t="shared" si="3"/>
        <v>-1526971</v>
      </c>
      <c r="I7" s="266">
        <f t="shared" si="3"/>
        <v>6122253</v>
      </c>
      <c r="J7" s="266">
        <f t="shared" si="3"/>
        <v>6171437</v>
      </c>
      <c r="K7" s="266">
        <f t="shared" si="3"/>
        <v>4807358</v>
      </c>
      <c r="L7" s="266">
        <f t="shared" si="3"/>
        <v>4276441</v>
      </c>
      <c r="M7" s="266" t="str">
        <f t="shared" si="3"/>
        <v/>
      </c>
      <c r="N7" s="266" t="str">
        <f t="shared" si="3"/>
        <v/>
      </c>
      <c r="O7" s="266" t="str">
        <f t="shared" si="3"/>
        <v/>
      </c>
      <c r="P7" s="266" t="str">
        <f t="shared" si="3"/>
        <v/>
      </c>
      <c r="Q7" s="266" t="str">
        <f t="shared" si="3"/>
        <v/>
      </c>
    </row>
    <row r="8" spans="1:17" ht="15.75" customHeight="1">
      <c r="A8" s="10"/>
      <c r="B8" s="28" t="s">
        <v>126</v>
      </c>
      <c r="C8" s="268">
        <f>C6+C7</f>
        <v>4706113.0788310617</v>
      </c>
      <c r="D8" s="56"/>
      <c r="E8" s="241"/>
      <c r="F8" s="56"/>
      <c r="G8" s="267">
        <f>IF(G$4="","",G6+G7)</f>
        <v>4647929</v>
      </c>
      <c r="H8" s="267">
        <f t="shared" ref="H8:Q8" si="4">IF(H$4="","",H6+H7)</f>
        <v>4239940</v>
      </c>
      <c r="I8" s="267">
        <f t="shared" si="4"/>
        <v>9975876</v>
      </c>
      <c r="J8" s="267">
        <f t="shared" si="4"/>
        <v>9737179</v>
      </c>
      <c r="K8" s="267">
        <f t="shared" si="4"/>
        <v>7924266</v>
      </c>
      <c r="L8" s="267">
        <f t="shared" si="4"/>
        <v>6708646</v>
      </c>
      <c r="M8" s="267" t="str">
        <f t="shared" si="4"/>
        <v/>
      </c>
      <c r="N8" s="267" t="str">
        <f t="shared" si="4"/>
        <v/>
      </c>
      <c r="O8" s="267" t="str">
        <f t="shared" si="4"/>
        <v/>
      </c>
      <c r="P8" s="267" t="str">
        <f t="shared" si="4"/>
        <v/>
      </c>
      <c r="Q8" s="267" t="str">
        <f t="shared" si="4"/>
        <v/>
      </c>
    </row>
    <row r="9" spans="1:17" ht="15.75" customHeight="1">
      <c r="A9" s="10"/>
      <c r="B9" s="26" t="s">
        <v>414</v>
      </c>
      <c r="C9" s="300">
        <f>C61</f>
        <v>0</v>
      </c>
      <c r="D9" s="55"/>
      <c r="E9" s="236"/>
      <c r="F9" s="55"/>
      <c r="G9" s="270">
        <f>G59</f>
        <v>0</v>
      </c>
      <c r="H9" s="270">
        <f t="shared" ref="H9:Q9" si="5">H59</f>
        <v>0</v>
      </c>
      <c r="I9" s="270">
        <f t="shared" si="5"/>
        <v>0</v>
      </c>
      <c r="J9" s="270">
        <f t="shared" si="5"/>
        <v>0</v>
      </c>
      <c r="K9" s="270">
        <f t="shared" si="5"/>
        <v>0</v>
      </c>
      <c r="L9" s="270">
        <f t="shared" si="5"/>
        <v>0</v>
      </c>
      <c r="M9" s="270" t="str">
        <f t="shared" si="5"/>
        <v/>
      </c>
      <c r="N9" s="270" t="str">
        <f t="shared" si="5"/>
        <v/>
      </c>
      <c r="O9" s="270" t="str">
        <f t="shared" si="5"/>
        <v/>
      </c>
      <c r="P9" s="270" t="str">
        <f t="shared" si="5"/>
        <v/>
      </c>
      <c r="Q9" s="270" t="str">
        <f t="shared" si="5"/>
        <v/>
      </c>
    </row>
    <row r="10" spans="1:17" ht="15.75" customHeight="1">
      <c r="A10" s="10"/>
      <c r="B10" s="2" t="s">
        <v>64</v>
      </c>
      <c r="C10" s="266">
        <f>C48</f>
        <v>-92144.330392111064</v>
      </c>
      <c r="E10" s="237"/>
      <c r="G10" s="266">
        <f>G48</f>
        <v>24401.20649554921</v>
      </c>
      <c r="H10" s="266">
        <f t="shared" ref="H10:Q10" si="6">H48</f>
        <v>-23455.328888813441</v>
      </c>
      <c r="I10" s="266">
        <f t="shared" si="6"/>
        <v>-45242.802832370129</v>
      </c>
      <c r="J10" s="266">
        <f t="shared" si="6"/>
        <v>-67221.057573819155</v>
      </c>
      <c r="K10" s="266">
        <f t="shared" si="6"/>
        <v>-90993.708717799469</v>
      </c>
      <c r="L10" s="266">
        <f t="shared" si="6"/>
        <v>-85328.427250094406</v>
      </c>
      <c r="M10" s="266" t="str">
        <f t="shared" si="6"/>
        <v/>
      </c>
      <c r="N10" s="266" t="str">
        <f t="shared" si="6"/>
        <v/>
      </c>
      <c r="O10" s="266" t="str">
        <f t="shared" si="6"/>
        <v/>
      </c>
      <c r="P10" s="266" t="str">
        <f t="shared" si="6"/>
        <v/>
      </c>
      <c r="Q10" s="266" t="str">
        <f t="shared" si="6"/>
        <v/>
      </c>
    </row>
    <row r="11" spans="1:17" ht="15.75" customHeight="1">
      <c r="A11" s="10"/>
      <c r="B11" s="67" t="s">
        <v>136</v>
      </c>
      <c r="C11" s="267">
        <f>SUM(C8:C10)</f>
        <v>4613968.7484389506</v>
      </c>
      <c r="E11" s="237"/>
      <c r="G11" s="267">
        <f t="shared" ref="G11:Q11" si="7">IF(G$4="","",SUM(G8:G10))</f>
        <v>4672330.2064955495</v>
      </c>
      <c r="H11" s="267">
        <f t="shared" si="7"/>
        <v>4216484.671111187</v>
      </c>
      <c r="I11" s="267">
        <f t="shared" si="7"/>
        <v>9930633.1971676294</v>
      </c>
      <c r="J11" s="267">
        <f t="shared" si="7"/>
        <v>9669957.9424261805</v>
      </c>
      <c r="K11" s="267">
        <f t="shared" si="7"/>
        <v>7833272.2912822003</v>
      </c>
      <c r="L11" s="267">
        <f t="shared" si="7"/>
        <v>6623317.5727499053</v>
      </c>
      <c r="M11" s="267" t="str">
        <f t="shared" si="7"/>
        <v/>
      </c>
      <c r="N11" s="267" t="str">
        <f t="shared" si="7"/>
        <v/>
      </c>
      <c r="O11" s="267" t="str">
        <f t="shared" si="7"/>
        <v/>
      </c>
      <c r="P11" s="267" t="str">
        <f t="shared" si="7"/>
        <v/>
      </c>
      <c r="Q11" s="267" t="str">
        <f t="shared" si="7"/>
        <v/>
      </c>
    </row>
    <row r="12" spans="1:17" ht="15.75" customHeight="1">
      <c r="A12" s="10"/>
      <c r="B12" s="2" t="s">
        <v>59</v>
      </c>
      <c r="C12" s="266">
        <f>-C11*C41</f>
        <v>-1153492.1871097377</v>
      </c>
      <c r="E12" s="237"/>
      <c r="G12" s="266">
        <f>Data!C46</f>
        <v>-1596494</v>
      </c>
      <c r="H12" s="266">
        <f>Data!D46</f>
        <v>-1421074</v>
      </c>
      <c r="I12" s="266">
        <f>Data!E46</f>
        <v>-763222</v>
      </c>
      <c r="J12" s="266">
        <f>Data!F46</f>
        <v>-573313</v>
      </c>
      <c r="K12" s="266">
        <f>Data!G46</f>
        <v>-514640</v>
      </c>
      <c r="L12" s="266">
        <f>Data!H46</f>
        <v>-379728</v>
      </c>
      <c r="M12" s="266" t="str">
        <f>Data!I46</f>
        <v/>
      </c>
      <c r="N12" s="266" t="str">
        <f>Data!J46</f>
        <v/>
      </c>
      <c r="O12" s="266" t="str">
        <f>Data!K46</f>
        <v/>
      </c>
      <c r="P12" s="266" t="str">
        <f>Data!L46</f>
        <v/>
      </c>
      <c r="Q12" s="266" t="str">
        <f>Data!M46</f>
        <v/>
      </c>
    </row>
    <row r="13" spans="1:17" ht="15.75" customHeight="1">
      <c r="A13" s="10"/>
      <c r="B13" s="38" t="s">
        <v>207</v>
      </c>
      <c r="C13" s="266">
        <f>-C4*C79</f>
        <v>-51397.011966813414</v>
      </c>
      <c r="D13" s="57"/>
      <c r="E13" s="242"/>
      <c r="F13" s="57"/>
      <c r="G13" s="270">
        <f>Data!C48</f>
        <v>-38830</v>
      </c>
      <c r="H13" s="270">
        <f>Data!D48</f>
        <v>-46064</v>
      </c>
      <c r="I13" s="270">
        <f>Data!E48</f>
        <v>0</v>
      </c>
      <c r="J13" s="270">
        <f>Data!F48</f>
        <v>0</v>
      </c>
      <c r="K13" s="270">
        <f>Data!G48</f>
        <v>0</v>
      </c>
      <c r="L13" s="270">
        <f>Data!H48</f>
        <v>0</v>
      </c>
      <c r="M13" s="270" t="str">
        <f>Data!I48</f>
        <v/>
      </c>
      <c r="N13" s="270" t="str">
        <f>Data!J48</f>
        <v/>
      </c>
      <c r="O13" s="270" t="str">
        <f>Data!K48</f>
        <v/>
      </c>
      <c r="P13" s="270" t="str">
        <f>Data!L48</f>
        <v/>
      </c>
      <c r="Q13" s="270" t="str">
        <f>Data!M48</f>
        <v/>
      </c>
    </row>
    <row r="14" spans="1:17" ht="15.75" customHeight="1">
      <c r="A14" s="10"/>
      <c r="B14" s="39" t="s">
        <v>128</v>
      </c>
      <c r="C14" s="269">
        <f>SUM(C11:C13)</f>
        <v>3409079.5493623996</v>
      </c>
      <c r="D14" s="58"/>
      <c r="E14" s="243"/>
      <c r="F14" s="58"/>
      <c r="G14" s="267">
        <f t="shared" ref="G14:Q14" si="8">IF(G$4="","",SUM(G11:G13))</f>
        <v>3037006.2064955495</v>
      </c>
      <c r="H14" s="267">
        <f t="shared" si="8"/>
        <v>2749346.671111187</v>
      </c>
      <c r="I14" s="267">
        <f t="shared" si="8"/>
        <v>9167411.1971676294</v>
      </c>
      <c r="J14" s="267">
        <f t="shared" si="8"/>
        <v>9096644.9424261805</v>
      </c>
      <c r="K14" s="267">
        <f t="shared" si="8"/>
        <v>7318632.2912822003</v>
      </c>
      <c r="L14" s="267">
        <f t="shared" si="8"/>
        <v>6243589.5727499053</v>
      </c>
      <c r="M14" s="267" t="str">
        <f t="shared" si="8"/>
        <v/>
      </c>
      <c r="N14" s="267" t="str">
        <f t="shared" si="8"/>
        <v/>
      </c>
      <c r="O14" s="267" t="str">
        <f t="shared" si="8"/>
        <v/>
      </c>
      <c r="P14" s="267" t="str">
        <f t="shared" si="8"/>
        <v/>
      </c>
      <c r="Q14" s="267" t="str">
        <f t="shared" si="8"/>
        <v/>
      </c>
    </row>
    <row r="15" spans="1:17" ht="15.75" customHeight="1">
      <c r="A15" s="10"/>
      <c r="B15" s="2" t="s">
        <v>61</v>
      </c>
      <c r="C15" s="266">
        <f>BS!$G$39*BS!D58</f>
        <v>0</v>
      </c>
      <c r="E15" s="237"/>
      <c r="G15" s="266">
        <f>IF(Data!C61="","",-Data!C61)</f>
        <v>0</v>
      </c>
      <c r="H15" s="266">
        <f>IF(Data!D61="","",-Data!D61)</f>
        <v>0</v>
      </c>
      <c r="I15" s="266">
        <f>IF(Data!E61="","",-Data!E61)</f>
        <v>0</v>
      </c>
      <c r="J15" s="266">
        <f>IF(Data!F61="","",-Data!F61)</f>
        <v>0</v>
      </c>
      <c r="K15" s="266">
        <f>IF(Data!G61="","",-Data!G61)</f>
        <v>0</v>
      </c>
      <c r="L15" s="266">
        <f>IF(Data!H61="","",-Data!H61)</f>
        <v>0</v>
      </c>
      <c r="M15" s="266" t="str">
        <f>IF(Data!I61="","",-Data!I61)</f>
        <v/>
      </c>
      <c r="N15" s="266" t="str">
        <f>IF(Data!J61="","",-Data!J61)</f>
        <v/>
      </c>
      <c r="O15" s="266" t="str">
        <f>IF(Data!K61="","",-Data!K61)</f>
        <v/>
      </c>
      <c r="P15" s="266" t="str">
        <f>IF(Data!L61="","",-Data!L61)</f>
        <v/>
      </c>
      <c r="Q15" s="266" t="str">
        <f>IF(Data!M61="","",-Data!M61)</f>
        <v/>
      </c>
    </row>
    <row r="16" spans="1:17" ht="15.75" customHeight="1">
      <c r="A16" s="10"/>
      <c r="B16" s="2" t="s">
        <v>397</v>
      </c>
      <c r="C16" s="266">
        <f>-C4*C82</f>
        <v>0</v>
      </c>
      <c r="E16" s="237"/>
      <c r="G16" s="266">
        <f>Data!C62</f>
        <v>0</v>
      </c>
      <c r="H16" s="266">
        <f>Data!D62</f>
        <v>0</v>
      </c>
      <c r="I16" s="266">
        <f>Data!E62</f>
        <v>0</v>
      </c>
      <c r="J16" s="266">
        <f>Data!F62</f>
        <v>0</v>
      </c>
      <c r="K16" s="266">
        <f>Data!G62</f>
        <v>0</v>
      </c>
      <c r="L16" s="266">
        <f>Data!H62</f>
        <v>0</v>
      </c>
      <c r="M16" s="266" t="str">
        <f>Data!I62</f>
        <v/>
      </c>
      <c r="N16" s="266" t="str">
        <f>Data!J62</f>
        <v/>
      </c>
      <c r="O16" s="266" t="str">
        <f>Data!K62</f>
        <v/>
      </c>
      <c r="P16" s="266" t="str">
        <f>Data!L62</f>
        <v/>
      </c>
      <c r="Q16" s="266" t="str">
        <f>Data!M62</f>
        <v/>
      </c>
    </row>
    <row r="17" spans="1:17" ht="15.75" customHeight="1">
      <c r="A17" s="10"/>
      <c r="B17" s="26" t="s">
        <v>48</v>
      </c>
      <c r="C17" s="266">
        <f>-C4*C83</f>
        <v>0</v>
      </c>
      <c r="D17" s="55"/>
      <c r="E17" s="236" t="s">
        <v>261</v>
      </c>
      <c r="F17" s="55"/>
      <c r="G17" s="272"/>
      <c r="H17" s="272"/>
      <c r="I17" s="272"/>
      <c r="J17" s="272"/>
      <c r="K17" s="272"/>
      <c r="L17" s="272"/>
      <c r="M17" s="272"/>
      <c r="N17" s="272"/>
      <c r="O17" s="272"/>
      <c r="P17" s="272"/>
      <c r="Q17" s="272"/>
    </row>
    <row r="18" spans="1:17" ht="15.75" customHeight="1">
      <c r="A18" s="10"/>
      <c r="B18" s="26" t="s">
        <v>93</v>
      </c>
      <c r="C18" s="266">
        <v>0</v>
      </c>
      <c r="D18" s="55"/>
      <c r="E18" s="236" t="s">
        <v>262</v>
      </c>
      <c r="F18" s="55"/>
      <c r="G18" s="273"/>
      <c r="H18" s="273"/>
      <c r="I18" s="273"/>
      <c r="J18" s="273"/>
      <c r="K18" s="273"/>
      <c r="L18" s="273"/>
      <c r="M18" s="273"/>
      <c r="N18" s="273"/>
      <c r="O18" s="273"/>
      <c r="P18" s="273"/>
      <c r="Q18" s="273"/>
    </row>
    <row r="19" spans="1:17" ht="15.75" customHeight="1">
      <c r="A19" s="10"/>
      <c r="B19" s="30" t="s">
        <v>62</v>
      </c>
      <c r="C19" s="267">
        <f>C14+C17</f>
        <v>3409079.5493623996</v>
      </c>
      <c r="D19" s="26"/>
      <c r="E19" s="234"/>
      <c r="F19" s="26"/>
      <c r="G19" s="271">
        <f t="shared" ref="G19:Q19" si="9">IF(G$4="","",G14+G17)</f>
        <v>3037006.2064955495</v>
      </c>
      <c r="H19" s="271">
        <f t="shared" si="9"/>
        <v>2749346.671111187</v>
      </c>
      <c r="I19" s="271">
        <f t="shared" si="9"/>
        <v>9167411.1971676294</v>
      </c>
      <c r="J19" s="271">
        <f t="shared" si="9"/>
        <v>9096644.9424261805</v>
      </c>
      <c r="K19" s="271">
        <f t="shared" si="9"/>
        <v>7318632.2912822003</v>
      </c>
      <c r="L19" s="271">
        <f t="shared" si="9"/>
        <v>6243589.5727499053</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173</v>
      </c>
      <c r="C21" s="51"/>
      <c r="D21" s="53"/>
      <c r="E21" s="63" t="s">
        <v>55</v>
      </c>
      <c r="F21" s="53"/>
      <c r="G21" s="35"/>
      <c r="H21" s="35"/>
      <c r="I21" s="35"/>
      <c r="J21" s="35"/>
      <c r="K21" s="35"/>
      <c r="L21" s="35"/>
      <c r="M21" s="35"/>
      <c r="N21" s="35"/>
      <c r="O21" s="35"/>
      <c r="P21" s="35"/>
      <c r="Q21" s="35"/>
    </row>
    <row r="22" spans="1:17" ht="15.75" customHeight="1">
      <c r="A22" s="10"/>
      <c r="B22" s="61" t="s">
        <v>42</v>
      </c>
      <c r="C22" s="59"/>
      <c r="D22" s="26"/>
      <c r="E22" s="234"/>
      <c r="F22" s="26"/>
      <c r="G22" s="12"/>
      <c r="H22" s="12"/>
      <c r="I22" s="12"/>
      <c r="J22" s="12"/>
      <c r="K22" s="12"/>
      <c r="L22" s="12"/>
      <c r="M22" s="12"/>
      <c r="N22" s="12"/>
      <c r="O22" s="12"/>
      <c r="P22" s="12"/>
      <c r="Q22" s="12"/>
    </row>
    <row r="23" spans="1:17" ht="15.75" customHeight="1">
      <c r="A23" s="10"/>
      <c r="B23" s="26" t="s">
        <v>39</v>
      </c>
      <c r="C23" s="274">
        <f>-C4*C29</f>
        <v>-10769686.121425679</v>
      </c>
      <c r="D23" s="55"/>
      <c r="E23" s="236"/>
      <c r="F23" s="55"/>
      <c r="G23" s="270">
        <f>Data!C37</f>
        <v>-11059800</v>
      </c>
      <c r="H23" s="270">
        <f>Data!D37</f>
        <v>-9392200</v>
      </c>
      <c r="I23" s="270">
        <f>Data!E37</f>
        <v>-6798344</v>
      </c>
      <c r="J23" s="270">
        <f>Data!F37</f>
        <v>-6476429</v>
      </c>
      <c r="K23" s="270">
        <f>Data!G37</f>
        <v>-5592247</v>
      </c>
      <c r="L23" s="270">
        <f>Data!H37</f>
        <v>-5481889</v>
      </c>
      <c r="M23" s="270" t="str">
        <f>Data!I37</f>
        <v/>
      </c>
      <c r="N23" s="270" t="str">
        <f>Data!J37</f>
        <v/>
      </c>
      <c r="O23" s="270" t="str">
        <f>Data!K37</f>
        <v/>
      </c>
      <c r="P23" s="270" t="str">
        <f>Data!L37</f>
        <v/>
      </c>
      <c r="Q23" s="270" t="str">
        <f>Data!M37</f>
        <v/>
      </c>
    </row>
    <row r="24" spans="1:17" ht="15.75" customHeight="1">
      <c r="A24" s="10"/>
      <c r="B24" s="65" t="s">
        <v>58</v>
      </c>
      <c r="C24" s="266">
        <f>-C4*C30</f>
        <v>-8755728.7997432612</v>
      </c>
      <c r="D24" s="26"/>
      <c r="E24" s="234"/>
      <c r="F24" s="26"/>
      <c r="G24" s="270">
        <f>Data!C40</f>
        <v>-8523799</v>
      </c>
      <c r="H24" s="270">
        <f>Data!D40</f>
        <v>-8055089</v>
      </c>
      <c r="I24" s="270">
        <f>Data!E40</f>
        <v>-6122253</v>
      </c>
      <c r="J24" s="270">
        <f>Data!F40</f>
        <v>-6171437</v>
      </c>
      <c r="K24" s="270">
        <f>Data!G40</f>
        <v>-4807358</v>
      </c>
      <c r="L24" s="270">
        <f>Data!H40</f>
        <v>-4276441</v>
      </c>
      <c r="M24" s="270" t="str">
        <f>Data!I40</f>
        <v/>
      </c>
      <c r="N24" s="270" t="str">
        <f>Data!J40</f>
        <v/>
      </c>
      <c r="O24" s="270" t="str">
        <f>Data!K40</f>
        <v/>
      </c>
      <c r="P24" s="270" t="str">
        <f>Data!L40</f>
        <v/>
      </c>
      <c r="Q24" s="270" t="str">
        <f>Data!M40</f>
        <v/>
      </c>
    </row>
    <row r="25" spans="1:17" ht="15.75" customHeight="1">
      <c r="A25" s="10"/>
      <c r="B25" s="26" t="s">
        <v>45</v>
      </c>
      <c r="C25" s="266">
        <f>-C4*C31</f>
        <v>0</v>
      </c>
      <c r="D25" s="55"/>
      <c r="E25" s="235"/>
      <c r="F25" s="55"/>
      <c r="G25" s="270">
        <f>Data!C42</f>
        <v>0</v>
      </c>
      <c r="H25" s="270">
        <f>Data!D42</f>
        <v>0</v>
      </c>
      <c r="I25" s="270">
        <f>Data!E42</f>
        <v>0</v>
      </c>
      <c r="J25" s="270">
        <f>Data!F42</f>
        <v>0</v>
      </c>
      <c r="K25" s="270">
        <f>Data!G42</f>
        <v>0</v>
      </c>
      <c r="L25" s="270">
        <f>Data!H42</f>
        <v>0</v>
      </c>
      <c r="M25" s="270" t="str">
        <f>Data!I42</f>
        <v/>
      </c>
      <c r="N25" s="270" t="str">
        <f>Data!J42</f>
        <v/>
      </c>
      <c r="O25" s="270" t="str">
        <f>Data!K42</f>
        <v/>
      </c>
      <c r="P25" s="270" t="str">
        <f>Data!L42</f>
        <v/>
      </c>
      <c r="Q25" s="270" t="str">
        <f>Data!M42</f>
        <v/>
      </c>
    </row>
    <row r="26" spans="1:17" ht="15.75" customHeight="1">
      <c r="A26" s="10"/>
      <c r="B26" s="67" t="s">
        <v>42</v>
      </c>
      <c r="C26" s="267">
        <f>SUM(C23:C25)</f>
        <v>-19525414.921168938</v>
      </c>
      <c r="D26" s="9"/>
      <c r="E26" s="240"/>
      <c r="F26" s="9"/>
      <c r="G26" s="267">
        <f>IF(G$4="","",SUM(G23:G25))</f>
        <v>-19583599</v>
      </c>
      <c r="H26" s="267">
        <f t="shared" ref="H26:Q26" si="10">IF(H$4="","",SUM(H23:H25))</f>
        <v>-17447289</v>
      </c>
      <c r="I26" s="267">
        <f t="shared" si="10"/>
        <v>-12920597</v>
      </c>
      <c r="J26" s="267">
        <f t="shared" si="10"/>
        <v>-12647866</v>
      </c>
      <c r="K26" s="267">
        <f t="shared" si="10"/>
        <v>-10399605</v>
      </c>
      <c r="L26" s="267">
        <f t="shared" si="10"/>
        <v>-9758330</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174</v>
      </c>
      <c r="E28" s="237"/>
    </row>
    <row r="29" spans="1:17" ht="15.75" customHeight="1">
      <c r="A29" s="10"/>
      <c r="B29" s="25" t="s">
        <v>39</v>
      </c>
      <c r="C29" s="60">
        <f>AVERAGE(G29:H29)</f>
        <v>0.41578910042644446</v>
      </c>
      <c r="D29" s="25"/>
      <c r="E29" s="235"/>
      <c r="F29" s="25"/>
      <c r="G29" s="13">
        <f t="shared" ref="G29:Q29" si="11">IF(G$4="","",ABS(G23/G$4))</f>
        <v>0.42698963006431984</v>
      </c>
      <c r="H29" s="13">
        <f t="shared" si="11"/>
        <v>0.40458857078856908</v>
      </c>
      <c r="I29" s="13">
        <f t="shared" si="11"/>
        <v>0.40528525320402381</v>
      </c>
      <c r="J29" s="13">
        <f t="shared" si="11"/>
        <v>0.39944403491190855</v>
      </c>
      <c r="K29" s="13">
        <f t="shared" si="11"/>
        <v>0.41373444467519099</v>
      </c>
      <c r="L29" s="13">
        <f t="shared" si="11"/>
        <v>0.44968403765708398</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0.33803553420006566</v>
      </c>
      <c r="D30" s="25"/>
      <c r="E30" s="235"/>
      <c r="F30" s="25"/>
      <c r="G30" s="13">
        <f t="shared" ref="G30:Q30" si="12">IF(G$4="","",ABS(G24/G$4))</f>
        <v>0.32908133797651129</v>
      </c>
      <c r="H30" s="13">
        <f t="shared" si="12"/>
        <v>0.34698973042362002</v>
      </c>
      <c r="I30" s="13">
        <f t="shared" si="12"/>
        <v>0.36497989176247836</v>
      </c>
      <c r="J30" s="13">
        <f t="shared" si="12"/>
        <v>0.38063316937229519</v>
      </c>
      <c r="K30" s="13">
        <f t="shared" si="12"/>
        <v>0.35566554776368725</v>
      </c>
      <c r="L30" s="13">
        <f t="shared" si="12"/>
        <v>0.35080010844478932</v>
      </c>
      <c r="M30" s="13" t="str">
        <f t="shared" si="12"/>
        <v/>
      </c>
      <c r="N30" s="13" t="str">
        <f t="shared" si="12"/>
        <v/>
      </c>
      <c r="O30" s="13" t="str">
        <f t="shared" si="12"/>
        <v/>
      </c>
      <c r="P30" s="13" t="str">
        <f t="shared" si="12"/>
        <v/>
      </c>
      <c r="Q30" s="13" t="str">
        <f t="shared" si="12"/>
        <v/>
      </c>
    </row>
    <row r="31" spans="1:17" ht="15.75" customHeight="1">
      <c r="A31" s="10"/>
      <c r="B31" s="26" t="str">
        <f>B25</f>
        <v>R&amp;D</v>
      </c>
      <c r="C31" s="60">
        <v>0</v>
      </c>
      <c r="D31" s="26"/>
      <c r="E31" s="234"/>
      <c r="F31" s="26"/>
      <c r="G31" s="13">
        <f t="shared" ref="G31:Q31" si="13">IF(G$4="","",ABS(G25/G$4))</f>
        <v>0</v>
      </c>
      <c r="H31" s="13">
        <f t="shared" si="13"/>
        <v>0</v>
      </c>
      <c r="I31" s="13">
        <f t="shared" si="13"/>
        <v>0</v>
      </c>
      <c r="J31" s="13">
        <f t="shared" si="13"/>
        <v>0</v>
      </c>
      <c r="K31" s="13">
        <f t="shared" si="13"/>
        <v>0</v>
      </c>
      <c r="L31" s="13">
        <f t="shared" si="13"/>
        <v>0</v>
      </c>
      <c r="M31" s="13" t="str">
        <f t="shared" si="13"/>
        <v/>
      </c>
      <c r="N31" s="13" t="str">
        <f t="shared" si="13"/>
        <v/>
      </c>
      <c r="O31" s="13" t="str">
        <f t="shared" si="13"/>
        <v/>
      </c>
      <c r="P31" s="13" t="str">
        <f t="shared" si="13"/>
        <v/>
      </c>
      <c r="Q31" s="13" t="str">
        <f t="shared" si="13"/>
        <v/>
      </c>
    </row>
    <row r="32" spans="1:17" ht="15.75" customHeight="1">
      <c r="A32" s="10"/>
      <c r="B32" s="67" t="s">
        <v>42</v>
      </c>
      <c r="C32" s="68">
        <f>ABS(C26/$C$4)</f>
        <v>0.75382463462651006</v>
      </c>
      <c r="E32" s="237"/>
      <c r="G32" s="29">
        <f t="shared" ref="G32:Q32" si="14">IF(G$4="","",ABS(G26/G$4))</f>
        <v>0.75607096804083118</v>
      </c>
      <c r="H32" s="29">
        <f t="shared" si="14"/>
        <v>0.75157830121218905</v>
      </c>
      <c r="I32" s="29">
        <f t="shared" si="14"/>
        <v>0.77026514496650211</v>
      </c>
      <c r="J32" s="29">
        <f t="shared" si="14"/>
        <v>0.78007720428420368</v>
      </c>
      <c r="K32" s="29">
        <f t="shared" si="14"/>
        <v>0.76939999243887824</v>
      </c>
      <c r="L32" s="29">
        <f t="shared" si="14"/>
        <v>0.80048414610187335</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41</v>
      </c>
      <c r="E34" s="237"/>
    </row>
    <row r="35" spans="1:17" ht="15.75" customHeight="1">
      <c r="A35" s="10"/>
      <c r="B35" s="298" t="s">
        <v>395</v>
      </c>
      <c r="C35" s="276">
        <f>G35</f>
        <v>-1670272</v>
      </c>
      <c r="D35" s="55"/>
      <c r="E35" s="236"/>
      <c r="F35" s="55"/>
      <c r="G35" s="267">
        <f>IF(G4="","",Data!C41)</f>
        <v>-1670272</v>
      </c>
      <c r="H35" s="267">
        <f>IF(H4="","",Data!D41)</f>
        <v>-1526971</v>
      </c>
      <c r="I35" s="267">
        <f>IF(I4="","",Data!E41)</f>
        <v>6122253</v>
      </c>
      <c r="J35" s="267">
        <f>IF(J4="","",Data!F41)</f>
        <v>6171437</v>
      </c>
      <c r="K35" s="267">
        <f>IF(K4="","",Data!G41)</f>
        <v>4807358</v>
      </c>
      <c r="L35" s="267">
        <f>IF(L4="","",Data!H41)</f>
        <v>4276441</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175</v>
      </c>
      <c r="E37" s="237"/>
    </row>
    <row r="38" spans="1:17" ht="15.75" customHeight="1">
      <c r="A38" s="10"/>
      <c r="B38" s="298" t="s">
        <v>395</v>
      </c>
      <c r="C38" s="68">
        <f>ABS(C35/$C$4)</f>
        <v>6.4484784841207954E-2</v>
      </c>
      <c r="E38" s="237"/>
      <c r="G38" s="29">
        <f t="shared" ref="G38:Q38" si="15">IF(G$4="","",ABS(G35/G$4))</f>
        <v>6.4484784841207954E-2</v>
      </c>
      <c r="H38" s="29">
        <f t="shared" si="15"/>
        <v>6.5777455178296043E-2</v>
      </c>
      <c r="I38" s="29">
        <f t="shared" si="15"/>
        <v>0.36497989176247836</v>
      </c>
      <c r="J38" s="29">
        <f t="shared" si="15"/>
        <v>0.38063316937229519</v>
      </c>
      <c r="K38" s="29">
        <f t="shared" si="15"/>
        <v>0.35566554776368725</v>
      </c>
      <c r="L38" s="29">
        <f t="shared" si="15"/>
        <v>0.35080010844478932</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176</v>
      </c>
      <c r="E40" s="237"/>
    </row>
    <row r="41" spans="1:17" ht="15.75" customHeight="1">
      <c r="A41" s="10"/>
      <c r="B41" s="26" t="s">
        <v>141</v>
      </c>
      <c r="C41" s="457">
        <v>0.25</v>
      </c>
      <c r="D41" s="26"/>
      <c r="E41" s="234" t="s">
        <v>402</v>
      </c>
      <c r="F41" s="26"/>
      <c r="G41" s="6">
        <f t="shared" ref="G41:Q41" si="16">IF(G$4="","",-G12/SUM(G8+G9,G10))</f>
        <v>0.3416911753755178</v>
      </c>
      <c r="H41" s="6">
        <f t="shared" si="16"/>
        <v>0.33702814331007602</v>
      </c>
      <c r="I41" s="6">
        <f t="shared" si="16"/>
        <v>7.6855320788374579E-2</v>
      </c>
      <c r="J41" s="6">
        <f t="shared" si="16"/>
        <v>5.928805517184664E-2</v>
      </c>
      <c r="K41" s="6">
        <f t="shared" si="16"/>
        <v>6.5699235372266171E-2</v>
      </c>
      <c r="L41" s="6">
        <f t="shared" si="16"/>
        <v>5.73319934955712E-2</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177</v>
      </c>
      <c r="C43" s="51"/>
      <c r="D43" s="53"/>
      <c r="E43" s="63" t="s">
        <v>55</v>
      </c>
      <c r="F43" s="53"/>
      <c r="G43" s="35"/>
      <c r="H43" s="35"/>
      <c r="I43" s="35"/>
      <c r="J43" s="35"/>
      <c r="K43" s="35"/>
      <c r="L43" s="35"/>
      <c r="M43" s="35"/>
      <c r="N43" s="35"/>
      <c r="O43" s="35"/>
      <c r="P43" s="35"/>
      <c r="Q43" s="35"/>
    </row>
    <row r="44" spans="1:17" ht="15.75" customHeight="1">
      <c r="A44" s="10"/>
      <c r="B44" s="61" t="s">
        <v>56</v>
      </c>
      <c r="E44" s="237"/>
    </row>
    <row r="45" spans="1:17" ht="15.75" customHeight="1">
      <c r="A45" s="10"/>
      <c r="B45" s="2" t="s">
        <v>36</v>
      </c>
      <c r="C45" s="266">
        <f>-BS!G31*Normalized_FCF!C52</f>
        <v>-116377.98</v>
      </c>
      <c r="E45" s="237"/>
      <c r="G45" s="266">
        <f>Data!C51</f>
        <v>-167028</v>
      </c>
      <c r="H45" s="266">
        <f>Data!D51</f>
        <v>-216363</v>
      </c>
      <c r="I45" s="266">
        <f>Data!E51</f>
        <v>-195541</v>
      </c>
      <c r="J45" s="266">
        <f>Data!F51</f>
        <v>-214352</v>
      </c>
      <c r="K45" s="266">
        <f>Data!G51</f>
        <v>-192284</v>
      </c>
      <c r="L45" s="266">
        <f>Data!H51</f>
        <v>-168091</v>
      </c>
      <c r="M45" s="266" t="str">
        <f>Data!I51</f>
        <v/>
      </c>
      <c r="N45" s="266" t="str">
        <f>Data!J51</f>
        <v/>
      </c>
      <c r="O45" s="266" t="str">
        <f>Data!K51</f>
        <v/>
      </c>
      <c r="P45" s="266" t="str">
        <f>Data!L51</f>
        <v/>
      </c>
      <c r="Q45" s="266" t="str">
        <f>Data!M51</f>
        <v/>
      </c>
    </row>
    <row r="46" spans="1:17" ht="15.75" customHeight="1">
      <c r="A46" s="10"/>
      <c r="B46" s="2" t="s">
        <v>271</v>
      </c>
      <c r="C46" s="266">
        <f>BS!D75*C51</f>
        <v>24233.649607888936</v>
      </c>
      <c r="E46" s="237"/>
      <c r="G46" s="274">
        <f t="shared" ref="G46:Q46" si="17">IFERROR(IF(G$4="","",($C$46/$C$47)*G47),0)</f>
        <v>191429.20649554921</v>
      </c>
      <c r="H46" s="274">
        <f t="shared" si="17"/>
        <v>192907.67111118656</v>
      </c>
      <c r="I46" s="274">
        <f t="shared" si="17"/>
        <v>150298.19716762987</v>
      </c>
      <c r="J46" s="274">
        <f t="shared" si="17"/>
        <v>147130.94242618085</v>
      </c>
      <c r="K46" s="274">
        <f t="shared" si="17"/>
        <v>101290.29128220053</v>
      </c>
      <c r="L46" s="274">
        <f t="shared" si="17"/>
        <v>82762.572749905594</v>
      </c>
      <c r="M46" s="274" t="str">
        <f t="shared" si="17"/>
        <v/>
      </c>
      <c r="N46" s="274" t="str">
        <f t="shared" si="17"/>
        <v/>
      </c>
      <c r="O46" s="274" t="str">
        <f t="shared" si="17"/>
        <v/>
      </c>
      <c r="P46" s="274" t="str">
        <f t="shared" si="17"/>
        <v/>
      </c>
      <c r="Q46" s="274" t="str">
        <f t="shared" si="17"/>
        <v/>
      </c>
    </row>
    <row r="47" spans="1:17" ht="15.75" customHeight="1">
      <c r="A47" s="10"/>
      <c r="B47" s="245" t="s">
        <v>268</v>
      </c>
      <c r="C47" s="278">
        <f>BS!$C$66*C51</f>
        <v>47009.652000000002</v>
      </c>
      <c r="D47" s="246"/>
      <c r="E47" s="247"/>
      <c r="F47" s="246"/>
      <c r="G47" s="278">
        <f>Data!C52</f>
        <v>371344</v>
      </c>
      <c r="H47" s="278">
        <f>Data!D52</f>
        <v>374212</v>
      </c>
      <c r="I47" s="278">
        <f>Data!E52</f>
        <v>291556</v>
      </c>
      <c r="J47" s="278">
        <f>Data!F52</f>
        <v>285412</v>
      </c>
      <c r="K47" s="278">
        <f>Data!G52</f>
        <v>196488</v>
      </c>
      <c r="L47" s="278">
        <f>Data!H52</f>
        <v>160547</v>
      </c>
      <c r="M47" s="278" t="str">
        <f>Data!I52</f>
        <v/>
      </c>
      <c r="N47" s="278" t="str">
        <f>Data!J52</f>
        <v/>
      </c>
      <c r="O47" s="278" t="str">
        <f>Data!K52</f>
        <v/>
      </c>
      <c r="P47" s="278" t="str">
        <f>Data!L52</f>
        <v/>
      </c>
      <c r="Q47" s="278" t="str">
        <f>Data!M52</f>
        <v/>
      </c>
    </row>
    <row r="48" spans="1:17" ht="15.75" customHeight="1">
      <c r="A48" s="10"/>
      <c r="B48" s="67" t="s">
        <v>64</v>
      </c>
      <c r="C48" s="267">
        <f>C45+C46</f>
        <v>-92144.330392111064</v>
      </c>
      <c r="E48" s="237"/>
      <c r="G48" s="267">
        <f>IF(G$4="","",(G45+G46))</f>
        <v>24401.20649554921</v>
      </c>
      <c r="H48" s="267">
        <f t="shared" ref="H48:Q48" si="18">IF(H$4="","",(H45+H46))</f>
        <v>-23455.328888813441</v>
      </c>
      <c r="I48" s="267">
        <f t="shared" si="18"/>
        <v>-45242.802832370129</v>
      </c>
      <c r="J48" s="267">
        <f t="shared" si="18"/>
        <v>-67221.057573819155</v>
      </c>
      <c r="K48" s="267">
        <f t="shared" si="18"/>
        <v>-90993.708717799469</v>
      </c>
      <c r="L48" s="267">
        <f t="shared" si="18"/>
        <v>-85328.427250094406</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129</v>
      </c>
      <c r="E50" s="237"/>
      <c r="G50" s="94" t="s">
        <v>187</v>
      </c>
    </row>
    <row r="51" spans="1:17" ht="15.75" customHeight="1">
      <c r="A51" s="10"/>
      <c r="B51" s="8" t="s">
        <v>84</v>
      </c>
      <c r="C51" s="84">
        <v>6.0000000000000001E-3</v>
      </c>
      <c r="E51" s="234"/>
      <c r="G51" s="6">
        <f>IF(Normalized_FCF!G4="","",Normalized_FCF!G47/BS!$C$66)</f>
        <v>4.7395883721921619E-2</v>
      </c>
      <c r="H51" s="151"/>
      <c r="I51" s="151"/>
      <c r="J51" s="151"/>
      <c r="K51" s="151"/>
      <c r="L51" s="151"/>
      <c r="M51" s="151"/>
      <c r="N51" s="151"/>
      <c r="O51" s="151"/>
      <c r="P51" s="151"/>
      <c r="Q51" s="151"/>
    </row>
    <row r="52" spans="1:17" ht="15.75" customHeight="1">
      <c r="A52" s="10"/>
      <c r="B52" s="8" t="s">
        <v>83</v>
      </c>
      <c r="C52" s="79">
        <v>0.06</v>
      </c>
      <c r="E52" s="234"/>
      <c r="G52" s="22">
        <f>IFERROR(ABS(Normalized_FCF!G45/BS!$G$31),0)</f>
        <v>8.6113197702864408E-2</v>
      </c>
      <c r="H52" s="151"/>
      <c r="I52" s="151"/>
      <c r="J52" s="151"/>
      <c r="K52" s="151"/>
      <c r="L52" s="151"/>
      <c r="M52" s="151"/>
      <c r="N52" s="151"/>
      <c r="O52" s="151"/>
      <c r="P52" s="151"/>
      <c r="Q52" s="151"/>
    </row>
    <row r="53" spans="1:17" ht="15.75" customHeight="1">
      <c r="A53" s="10"/>
      <c r="B53" s="25" t="s">
        <v>86</v>
      </c>
      <c r="C53" s="40">
        <f>-C8/C45</f>
        <v>40.438174634334281</v>
      </c>
      <c r="E53" s="237"/>
      <c r="G53" s="40">
        <f t="shared" ref="G53:Q53" si="19">IF(G4="","",-G8/G45)</f>
        <v>27.82724453385061</v>
      </c>
      <c r="H53" s="40">
        <f t="shared" si="19"/>
        <v>19.596418981064229</v>
      </c>
      <c r="I53" s="40">
        <f t="shared" si="19"/>
        <v>51.016799545875287</v>
      </c>
      <c r="J53" s="40">
        <f t="shared" si="19"/>
        <v>45.42611685451967</v>
      </c>
      <c r="K53" s="40">
        <f t="shared" si="19"/>
        <v>41.211260427284643</v>
      </c>
      <c r="L53" s="40">
        <f t="shared" si="19"/>
        <v>39.910798317577978</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138</v>
      </c>
      <c r="E55" s="237"/>
      <c r="G55" s="94" t="s">
        <v>187</v>
      </c>
    </row>
    <row r="56" spans="1:17" ht="15.75" customHeight="1">
      <c r="A56" s="10"/>
      <c r="B56" s="38" t="s">
        <v>137</v>
      </c>
      <c r="C56" s="266">
        <f>BS!$C67*C64</f>
        <v>0</v>
      </c>
      <c r="E56" s="237"/>
      <c r="G56" s="266">
        <f>Data!C56</f>
        <v>0</v>
      </c>
      <c r="H56" s="266">
        <f>Data!D56</f>
        <v>0</v>
      </c>
      <c r="I56" s="266">
        <f>Data!E56</f>
        <v>0</v>
      </c>
      <c r="J56" s="266">
        <f>Data!F56</f>
        <v>0</v>
      </c>
      <c r="K56" s="266">
        <f>Data!G56</f>
        <v>0</v>
      </c>
      <c r="L56" s="266">
        <f>Data!H56</f>
        <v>0</v>
      </c>
      <c r="M56" s="266" t="str">
        <f>Data!I56</f>
        <v/>
      </c>
      <c r="N56" s="266" t="str">
        <f>Data!J56</f>
        <v/>
      </c>
      <c r="O56" s="266" t="str">
        <f>Data!K56</f>
        <v/>
      </c>
      <c r="P56" s="266" t="str">
        <f>Data!L56</f>
        <v/>
      </c>
      <c r="Q56" s="266" t="str">
        <f>Data!M56</f>
        <v/>
      </c>
    </row>
    <row r="57" spans="1:17" ht="15.75" customHeight="1">
      <c r="A57" s="10"/>
      <c r="B57" s="38" t="s">
        <v>133</v>
      </c>
      <c r="C57" s="266">
        <f>BS!$C68*C65</f>
        <v>0</v>
      </c>
      <c r="E57" s="237"/>
      <c r="G57" s="266">
        <f>Data!C55</f>
        <v>0</v>
      </c>
      <c r="H57" s="266">
        <f>Data!D55</f>
        <v>0</v>
      </c>
      <c r="I57" s="266">
        <f>Data!E55</f>
        <v>0</v>
      </c>
      <c r="J57" s="266">
        <f>Data!F55</f>
        <v>0</v>
      </c>
      <c r="K57" s="266">
        <f>Data!G55</f>
        <v>0</v>
      </c>
      <c r="L57" s="266">
        <f>Data!H55</f>
        <v>0</v>
      </c>
      <c r="M57" s="266" t="str">
        <f>Data!I55</f>
        <v/>
      </c>
      <c r="N57" s="266" t="str">
        <f>Data!J55</f>
        <v/>
      </c>
      <c r="O57" s="266" t="str">
        <f>Data!K55</f>
        <v/>
      </c>
      <c r="P57" s="266" t="str">
        <f>Data!L55</f>
        <v/>
      </c>
      <c r="Q57" s="266" t="str">
        <f>Data!M55</f>
        <v/>
      </c>
    </row>
    <row r="58" spans="1:17" ht="15.75" customHeight="1">
      <c r="A58" s="10"/>
      <c r="B58" s="38" t="s">
        <v>132</v>
      </c>
      <c r="C58" s="266">
        <f>BS!$C69*C66</f>
        <v>0</v>
      </c>
      <c r="E58" s="237"/>
      <c r="G58" s="266">
        <f>Data!C57</f>
        <v>0</v>
      </c>
      <c r="H58" s="266">
        <f>Data!D57</f>
        <v>0</v>
      </c>
      <c r="I58" s="266">
        <f>Data!E57</f>
        <v>0</v>
      </c>
      <c r="J58" s="266">
        <f>Data!F57</f>
        <v>0</v>
      </c>
      <c r="K58" s="266">
        <f>Data!G57</f>
        <v>0</v>
      </c>
      <c r="L58" s="266">
        <f>Data!H57</f>
        <v>0</v>
      </c>
      <c r="M58" s="266" t="str">
        <f>Data!I57</f>
        <v/>
      </c>
      <c r="N58" s="266" t="str">
        <f>Data!J57</f>
        <v/>
      </c>
      <c r="O58" s="266" t="str">
        <f>Data!K57</f>
        <v/>
      </c>
      <c r="P58" s="266" t="str">
        <f>Data!L57</f>
        <v/>
      </c>
      <c r="Q58" s="266" t="str">
        <f>Data!M57</f>
        <v/>
      </c>
    </row>
    <row r="59" spans="1:17" ht="15.75" customHeight="1">
      <c r="A59" s="10"/>
      <c r="B59" s="30" t="s">
        <v>162</v>
      </c>
      <c r="C59" s="267">
        <f>SUM(C56:C58)</f>
        <v>0</v>
      </c>
      <c r="E59" s="237"/>
      <c r="G59" s="267">
        <f t="shared" ref="G59:Q59" si="20">IF(G4="","",SUM(G56:G58))</f>
        <v>0</v>
      </c>
      <c r="H59" s="267">
        <f t="shared" si="20"/>
        <v>0</v>
      </c>
      <c r="I59" s="267">
        <f t="shared" si="20"/>
        <v>0</v>
      </c>
      <c r="J59" s="267">
        <f t="shared" si="20"/>
        <v>0</v>
      </c>
      <c r="K59" s="267">
        <f t="shared" si="20"/>
        <v>0</v>
      </c>
      <c r="L59" s="267">
        <f t="shared" si="20"/>
        <v>0</v>
      </c>
      <c r="M59" s="267" t="str">
        <f t="shared" si="20"/>
        <v/>
      </c>
      <c r="N59" s="267" t="str">
        <f t="shared" si="20"/>
        <v/>
      </c>
      <c r="O59" s="267" t="str">
        <f t="shared" si="20"/>
        <v/>
      </c>
      <c r="P59" s="267" t="str">
        <f t="shared" si="20"/>
        <v/>
      </c>
      <c r="Q59" s="267" t="str">
        <f t="shared" si="20"/>
        <v/>
      </c>
    </row>
    <row r="60" spans="1:17" ht="15.75" customHeight="1">
      <c r="A60" s="10"/>
      <c r="B60" s="38" t="s">
        <v>134</v>
      </c>
      <c r="C60" s="279">
        <v>0</v>
      </c>
      <c r="E60" s="235" t="s">
        <v>263</v>
      </c>
      <c r="G60" s="266">
        <f>Data!C58</f>
        <v>296992</v>
      </c>
      <c r="H60" s="266">
        <f>Data!D58</f>
        <v>143421</v>
      </c>
      <c r="I60" s="266">
        <f>Data!E58</f>
        <v>-7170095</v>
      </c>
      <c r="J60" s="266">
        <f>Data!F58</f>
        <v>-7172603</v>
      </c>
      <c r="K60" s="266">
        <f>Data!G58</f>
        <v>-5704264</v>
      </c>
      <c r="L60" s="266">
        <f>Data!H58</f>
        <v>-5118190</v>
      </c>
      <c r="M60" s="266" t="str">
        <f>Data!I58</f>
        <v/>
      </c>
      <c r="N60" s="266" t="str">
        <f>Data!J58</f>
        <v/>
      </c>
      <c r="O60" s="266" t="str">
        <f>Data!K58</f>
        <v/>
      </c>
      <c r="P60" s="266" t="str">
        <f>Data!L58</f>
        <v/>
      </c>
      <c r="Q60" s="266" t="str">
        <f>Data!M58</f>
        <v/>
      </c>
    </row>
    <row r="61" spans="1:17" ht="15.75" customHeight="1">
      <c r="A61" s="10"/>
      <c r="B61" s="30" t="s">
        <v>163</v>
      </c>
      <c r="C61" s="267">
        <f>C59+C60</f>
        <v>0</v>
      </c>
      <c r="E61" s="237"/>
      <c r="G61" s="267">
        <f t="shared" ref="G61:Q61" si="21">IF(G4="","",G59+G60)</f>
        <v>296992</v>
      </c>
      <c r="H61" s="267">
        <f t="shared" si="21"/>
        <v>143421</v>
      </c>
      <c r="I61" s="267">
        <f t="shared" si="21"/>
        <v>-7170095</v>
      </c>
      <c r="J61" s="267">
        <f t="shared" si="21"/>
        <v>-7172603</v>
      </c>
      <c r="K61" s="267">
        <f t="shared" si="21"/>
        <v>-5704264</v>
      </c>
      <c r="L61" s="267">
        <f t="shared" si="21"/>
        <v>-5118190</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139</v>
      </c>
      <c r="E63" s="237"/>
      <c r="G63" s="94" t="s">
        <v>187</v>
      </c>
    </row>
    <row r="64" spans="1:17" ht="15.75" customHeight="1">
      <c r="A64" s="10"/>
      <c r="B64" s="38" t="s">
        <v>137</v>
      </c>
      <c r="C64" s="158">
        <f>G64</f>
        <v>0</v>
      </c>
      <c r="E64" s="237"/>
      <c r="G64" s="22">
        <f>IFERROR(G56/BS!$C$67,0)</f>
        <v>0</v>
      </c>
      <c r="H64" s="157"/>
      <c r="I64" s="157"/>
      <c r="J64" s="157"/>
      <c r="K64" s="157"/>
      <c r="L64" s="157"/>
      <c r="M64" s="157"/>
      <c r="N64" s="157"/>
      <c r="O64" s="157"/>
      <c r="P64" s="157"/>
      <c r="Q64" s="157"/>
    </row>
    <row r="65" spans="1:17" ht="15.75" customHeight="1">
      <c r="A65" s="10"/>
      <c r="B65" s="102" t="s">
        <v>131</v>
      </c>
      <c r="C65" s="158">
        <f>G65</f>
        <v>0</v>
      </c>
      <c r="E65" s="237"/>
      <c r="G65" s="22">
        <f>IFERROR(G57/BS!$C$68,0)</f>
        <v>0</v>
      </c>
      <c r="H65" s="157"/>
      <c r="I65" s="157"/>
      <c r="J65" s="157"/>
      <c r="K65" s="157"/>
      <c r="L65" s="157"/>
      <c r="M65" s="157"/>
      <c r="N65" s="157"/>
      <c r="O65" s="157"/>
      <c r="P65" s="157"/>
      <c r="Q65" s="157"/>
    </row>
    <row r="66" spans="1:17" ht="15.75" customHeight="1">
      <c r="A66" s="10"/>
      <c r="B66" s="102" t="s">
        <v>132</v>
      </c>
      <c r="C66" s="158">
        <f>G66</f>
        <v>0</v>
      </c>
      <c r="E66" s="237"/>
      <c r="G66" s="22">
        <f>IFERROR(G58/BS!$C$69,0)</f>
        <v>0</v>
      </c>
      <c r="H66" s="157"/>
      <c r="I66" s="157"/>
      <c r="J66" s="157"/>
      <c r="K66" s="157"/>
      <c r="L66" s="157"/>
      <c r="M66" s="157"/>
      <c r="N66" s="157"/>
      <c r="O66" s="157"/>
      <c r="P66" s="157"/>
      <c r="Q66" s="157"/>
    </row>
    <row r="67" spans="1:17" ht="15.75" customHeight="1">
      <c r="A67" s="10"/>
      <c r="B67" s="30" t="s">
        <v>162</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180</v>
      </c>
      <c r="C69" s="51"/>
      <c r="D69" s="53"/>
      <c r="E69" s="63" t="s">
        <v>55</v>
      </c>
      <c r="F69" s="53"/>
      <c r="G69" s="35"/>
      <c r="H69" s="35"/>
      <c r="I69" s="35"/>
      <c r="J69" s="35"/>
      <c r="K69" s="35"/>
      <c r="L69" s="35"/>
      <c r="M69" s="35"/>
      <c r="N69" s="35"/>
      <c r="O69" s="35"/>
      <c r="P69" s="35"/>
      <c r="Q69" s="35"/>
    </row>
    <row r="70" spans="1:17" ht="15.75" customHeight="1">
      <c r="A70" s="10"/>
      <c r="B70" s="69" t="s">
        <v>184</v>
      </c>
      <c r="C70" s="59"/>
      <c r="D70" s="26"/>
      <c r="E70" s="234"/>
      <c r="F70" s="26"/>
      <c r="G70" s="94"/>
      <c r="H70" s="12"/>
      <c r="I70" s="12"/>
      <c r="J70" s="12"/>
      <c r="K70" s="12"/>
      <c r="L70" s="12"/>
      <c r="M70" s="12"/>
      <c r="N70" s="12"/>
      <c r="O70" s="12"/>
      <c r="P70" s="12"/>
      <c r="Q70" s="12"/>
    </row>
    <row r="71" spans="1:17" ht="15.75" customHeight="1">
      <c r="A71" s="10"/>
      <c r="B71" s="2" t="s">
        <v>42</v>
      </c>
      <c r="C71" s="74">
        <f t="shared" ref="C71:C76" si="22">ABS(C5/C$4)</f>
        <v>0.75382463462651006</v>
      </c>
      <c r="D71" s="26"/>
      <c r="E71" s="234"/>
      <c r="F71" s="26"/>
      <c r="G71" s="6">
        <f t="shared" ref="G71:Q71" si="23">IF(G$4="","",ABS(G5/G$4))</f>
        <v>0.75607096804083118</v>
      </c>
      <c r="H71" s="6">
        <f t="shared" si="23"/>
        <v>0.75157830121218905</v>
      </c>
      <c r="I71" s="6">
        <f t="shared" si="23"/>
        <v>0.77026514496650211</v>
      </c>
      <c r="J71" s="6">
        <f t="shared" si="23"/>
        <v>0.78007720428420368</v>
      </c>
      <c r="K71" s="6">
        <f t="shared" si="23"/>
        <v>0.76939999243887824</v>
      </c>
      <c r="L71" s="6">
        <f t="shared" si="23"/>
        <v>0.80048414610187335</v>
      </c>
      <c r="M71" s="6" t="str">
        <f t="shared" si="23"/>
        <v/>
      </c>
      <c r="N71" s="6" t="str">
        <f t="shared" si="23"/>
        <v/>
      </c>
      <c r="O71" s="6" t="str">
        <f t="shared" si="23"/>
        <v/>
      </c>
      <c r="P71" s="6" t="str">
        <f t="shared" si="23"/>
        <v/>
      </c>
      <c r="Q71" s="6" t="str">
        <f t="shared" si="23"/>
        <v/>
      </c>
    </row>
    <row r="72" spans="1:17" ht="15.75" customHeight="1">
      <c r="A72" s="10"/>
      <c r="B72" s="30" t="s">
        <v>44</v>
      </c>
      <c r="C72" s="75">
        <f t="shared" si="22"/>
        <v>0.24617536537348994</v>
      </c>
      <c r="D72" s="26"/>
      <c r="E72" s="234"/>
      <c r="F72" s="26"/>
      <c r="G72" s="62">
        <f t="shared" ref="G72:Q72" si="24">IF(G$4="","",ABS(G6/G$4))</f>
        <v>0.24392903195916887</v>
      </c>
      <c r="H72" s="62">
        <f t="shared" si="24"/>
        <v>0.2484216987878109</v>
      </c>
      <c r="I72" s="62">
        <f t="shared" si="24"/>
        <v>0.22973485503349783</v>
      </c>
      <c r="J72" s="62">
        <f t="shared" si="24"/>
        <v>0.21992279571579626</v>
      </c>
      <c r="K72" s="62">
        <f t="shared" si="24"/>
        <v>0.23060000756112173</v>
      </c>
      <c r="L72" s="62">
        <f t="shared" si="24"/>
        <v>0.1995158538981267</v>
      </c>
      <c r="M72" s="62" t="str">
        <f t="shared" si="24"/>
        <v/>
      </c>
      <c r="N72" s="62" t="str">
        <f t="shared" si="24"/>
        <v/>
      </c>
      <c r="O72" s="62" t="str">
        <f t="shared" si="24"/>
        <v/>
      </c>
      <c r="P72" s="62" t="str">
        <f t="shared" si="24"/>
        <v/>
      </c>
      <c r="Q72" s="62" t="str">
        <f t="shared" si="24"/>
        <v/>
      </c>
    </row>
    <row r="73" spans="1:17" ht="15.75" customHeight="1">
      <c r="A73" s="10"/>
      <c r="B73" s="8" t="s">
        <v>41</v>
      </c>
      <c r="C73" s="74">
        <f t="shared" si="22"/>
        <v>6.4484784841207954E-2</v>
      </c>
      <c r="D73" s="26"/>
      <c r="E73" s="234"/>
      <c r="F73" s="26"/>
      <c r="G73" s="6">
        <f t="shared" ref="G73:Q73" si="25">IF(G$4="","",ABS(G7/G$4))</f>
        <v>6.4484784841207954E-2</v>
      </c>
      <c r="H73" s="6">
        <f t="shared" si="25"/>
        <v>6.5777455178296043E-2</v>
      </c>
      <c r="I73" s="6">
        <f t="shared" si="25"/>
        <v>0.36497989176247836</v>
      </c>
      <c r="J73" s="6">
        <f t="shared" si="25"/>
        <v>0.38063316937229519</v>
      </c>
      <c r="K73" s="6">
        <f t="shared" si="25"/>
        <v>0.35566554776368725</v>
      </c>
      <c r="L73" s="6">
        <f t="shared" si="25"/>
        <v>0.35080010844478932</v>
      </c>
      <c r="M73" s="6" t="str">
        <f t="shared" si="25"/>
        <v/>
      </c>
      <c r="N73" s="6" t="str">
        <f t="shared" si="25"/>
        <v/>
      </c>
      <c r="O73" s="6" t="str">
        <f t="shared" si="25"/>
        <v/>
      </c>
      <c r="P73" s="6" t="str">
        <f t="shared" si="25"/>
        <v/>
      </c>
      <c r="Q73" s="6" t="str">
        <f t="shared" si="25"/>
        <v/>
      </c>
    </row>
    <row r="74" spans="1:17" ht="15.75" customHeight="1">
      <c r="A74" s="10"/>
      <c r="B74" s="28" t="s">
        <v>126</v>
      </c>
      <c r="C74" s="75">
        <f t="shared" si="22"/>
        <v>0.18169058053228199</v>
      </c>
      <c r="D74" s="26"/>
      <c r="E74" s="234"/>
      <c r="F74" s="26"/>
      <c r="G74" s="62">
        <f t="shared" ref="G74:Q74" si="26">IF(G$4="","",ABS(G8/G$4))</f>
        <v>0.17944424711796092</v>
      </c>
      <c r="H74" s="62">
        <f t="shared" si="26"/>
        <v>0.18264424360951487</v>
      </c>
      <c r="I74" s="62">
        <f t="shared" si="26"/>
        <v>0.59471474679597625</v>
      </c>
      <c r="J74" s="62">
        <f t="shared" si="26"/>
        <v>0.60055596508809139</v>
      </c>
      <c r="K74" s="62">
        <f t="shared" si="26"/>
        <v>0.58626555532480895</v>
      </c>
      <c r="L74" s="62">
        <f t="shared" si="26"/>
        <v>0.55031596234291602</v>
      </c>
      <c r="M74" s="62" t="str">
        <f t="shared" si="26"/>
        <v/>
      </c>
      <c r="N74" s="62" t="str">
        <f t="shared" si="26"/>
        <v/>
      </c>
      <c r="O74" s="62" t="str">
        <f t="shared" si="26"/>
        <v/>
      </c>
      <c r="P74" s="62" t="str">
        <f t="shared" si="26"/>
        <v/>
      </c>
      <c r="Q74" s="62" t="str">
        <f t="shared" si="26"/>
        <v/>
      </c>
    </row>
    <row r="75" spans="1:17" ht="15.75" customHeight="1">
      <c r="A75" s="10"/>
      <c r="B75" s="26" t="s">
        <v>127</v>
      </c>
      <c r="C75" s="74">
        <f t="shared" si="22"/>
        <v>0</v>
      </c>
      <c r="D75" s="26"/>
      <c r="E75" s="234"/>
      <c r="F75" s="26"/>
      <c r="G75" s="6">
        <f t="shared" ref="G75:Q75" si="27">IF(G$4="","",G9/G$4)</f>
        <v>0</v>
      </c>
      <c r="H75" s="6">
        <f t="shared" si="27"/>
        <v>0</v>
      </c>
      <c r="I75" s="6">
        <f t="shared" si="27"/>
        <v>0</v>
      </c>
      <c r="J75" s="6">
        <f t="shared" si="27"/>
        <v>0</v>
      </c>
      <c r="K75" s="6">
        <f t="shared" si="27"/>
        <v>0</v>
      </c>
      <c r="L75" s="6">
        <f t="shared" si="27"/>
        <v>0</v>
      </c>
      <c r="M75" s="6" t="str">
        <f t="shared" si="27"/>
        <v/>
      </c>
      <c r="N75" s="6" t="str">
        <f t="shared" si="27"/>
        <v/>
      </c>
      <c r="O75" s="6" t="str">
        <f t="shared" si="27"/>
        <v/>
      </c>
      <c r="P75" s="6" t="str">
        <f t="shared" si="27"/>
        <v/>
      </c>
      <c r="Q75" s="6" t="str">
        <f t="shared" si="27"/>
        <v/>
      </c>
    </row>
    <row r="76" spans="1:17" ht="15.75" customHeight="1">
      <c r="A76" s="10"/>
      <c r="B76" s="2" t="s">
        <v>64</v>
      </c>
      <c r="C76" s="74">
        <f t="shared" si="22"/>
        <v>3.557448918303402E-3</v>
      </c>
      <c r="D76" s="26"/>
      <c r="E76" s="234"/>
      <c r="F76" s="26"/>
      <c r="G76" s="6">
        <f t="shared" ref="G76:Q76" si="28">IF(G$4="","",ABS(G10/G$4))</f>
        <v>9.4206605315264611E-4</v>
      </c>
      <c r="H76" s="6">
        <f t="shared" si="28"/>
        <v>1.0103871289475167E-3</v>
      </c>
      <c r="I76" s="6">
        <f t="shared" si="28"/>
        <v>2.6971628387114353E-3</v>
      </c>
      <c r="J76" s="6">
        <f t="shared" si="28"/>
        <v>4.1459653874584331E-3</v>
      </c>
      <c r="K76" s="6">
        <f t="shared" si="28"/>
        <v>6.7320401880129489E-3</v>
      </c>
      <c r="L76" s="6">
        <f t="shared" si="28"/>
        <v>6.999563780432475E-3</v>
      </c>
      <c r="M76" s="6" t="str">
        <f t="shared" si="28"/>
        <v/>
      </c>
      <c r="N76" s="6" t="str">
        <f t="shared" si="28"/>
        <v/>
      </c>
      <c r="O76" s="6" t="str">
        <f t="shared" si="28"/>
        <v/>
      </c>
      <c r="P76" s="6" t="str">
        <f t="shared" si="28"/>
        <v/>
      </c>
      <c r="Q76" s="6" t="str">
        <f t="shared" si="28"/>
        <v/>
      </c>
    </row>
    <row r="77" spans="1:17" ht="15.75" customHeight="1">
      <c r="A77" s="10"/>
      <c r="B77" s="67" t="s">
        <v>136</v>
      </c>
      <c r="C77" s="75">
        <f>C11/C4</f>
        <v>0.17813313161397859</v>
      </c>
      <c r="D77" s="26"/>
      <c r="E77" s="234"/>
      <c r="F77" s="26"/>
      <c r="G77" s="62">
        <f t="shared" ref="G77:Q77" si="29">IF(G$4="","",G11/G$4)</f>
        <v>0.18038631317111356</v>
      </c>
      <c r="H77" s="62">
        <f t="shared" si="29"/>
        <v>0.18163385648056737</v>
      </c>
      <c r="I77" s="62">
        <f t="shared" si="29"/>
        <v>0.59201758395726478</v>
      </c>
      <c r="J77" s="62">
        <f t="shared" si="29"/>
        <v>0.59640999970063302</v>
      </c>
      <c r="K77" s="62">
        <f t="shared" si="29"/>
        <v>0.57953351513679607</v>
      </c>
      <c r="L77" s="62">
        <f t="shared" si="29"/>
        <v>0.54331639856248359</v>
      </c>
      <c r="M77" s="62" t="str">
        <f t="shared" si="29"/>
        <v/>
      </c>
      <c r="N77" s="62" t="str">
        <f t="shared" si="29"/>
        <v/>
      </c>
      <c r="O77" s="62" t="str">
        <f t="shared" si="29"/>
        <v/>
      </c>
      <c r="P77" s="62" t="str">
        <f t="shared" si="29"/>
        <v/>
      </c>
      <c r="Q77" s="62" t="str">
        <f t="shared" si="29"/>
        <v/>
      </c>
    </row>
    <row r="78" spans="1:17" ht="15.75" customHeight="1">
      <c r="A78" s="10"/>
      <c r="B78" s="2" t="s">
        <v>59</v>
      </c>
      <c r="C78" s="74">
        <f>ABS(C12/C$4)</f>
        <v>4.4533282903494648E-2</v>
      </c>
      <c r="D78" s="26"/>
      <c r="E78" s="234"/>
      <c r="F78" s="26"/>
      <c r="G78" s="6">
        <f t="shared" ref="G78:Q78" si="30">IF(G$4="","",ABS(G12/G$4))</f>
        <v>6.1636411369094042E-2</v>
      </c>
      <c r="H78" s="6">
        <f t="shared" si="30"/>
        <v>6.1215721411894443E-2</v>
      </c>
      <c r="I78" s="6">
        <f t="shared" si="30"/>
        <v>4.549970132739406E-2</v>
      </c>
      <c r="J78" s="6">
        <f t="shared" si="30"/>
        <v>3.5359988967292165E-2</v>
      </c>
      <c r="K78" s="6">
        <f t="shared" si="30"/>
        <v>3.8074908817089144E-2</v>
      </c>
      <c r="L78" s="6">
        <f t="shared" si="30"/>
        <v>3.1149412228421477E-2</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1.9843027112715493E-3</v>
      </c>
      <c r="D79" s="26"/>
      <c r="E79" s="234"/>
      <c r="F79" s="26"/>
      <c r="G79" s="6">
        <f t="shared" ref="G79:Q79" si="31">IF(G$4="","",-G13/G$4)</f>
        <v>1.4991236130307546E-3</v>
      </c>
      <c r="H79" s="6">
        <f t="shared" si="31"/>
        <v>1.9843027112715493E-3</v>
      </c>
      <c r="I79" s="6">
        <f t="shared" si="31"/>
        <v>0</v>
      </c>
      <c r="J79" s="6">
        <f t="shared" si="31"/>
        <v>0</v>
      </c>
      <c r="K79" s="6">
        <f t="shared" si="31"/>
        <v>0</v>
      </c>
      <c r="L79" s="6">
        <f t="shared" si="31"/>
        <v>0</v>
      </c>
      <c r="M79" s="6" t="str">
        <f t="shared" si="31"/>
        <v/>
      </c>
      <c r="N79" s="6" t="str">
        <f t="shared" si="31"/>
        <v/>
      </c>
      <c r="O79" s="6" t="str">
        <f t="shared" si="31"/>
        <v/>
      </c>
      <c r="P79" s="6" t="str">
        <f t="shared" si="31"/>
        <v/>
      </c>
      <c r="Q79" s="6" t="str">
        <f t="shared" si="31"/>
        <v/>
      </c>
    </row>
    <row r="80" spans="1:17" ht="15.75" customHeight="1">
      <c r="A80" s="10"/>
      <c r="B80" s="39" t="s">
        <v>128</v>
      </c>
      <c r="C80" s="75">
        <f>ABS(C14/C$4)</f>
        <v>0.13161554599921241</v>
      </c>
      <c r="D80" s="26"/>
      <c r="E80" s="234"/>
      <c r="F80" s="26"/>
      <c r="G80" s="62">
        <f t="shared" ref="G80:Q80" si="32">IF(G$4="","",ABS(G14/G$4))</f>
        <v>0.11725077818898878</v>
      </c>
      <c r="H80" s="62">
        <f t="shared" si="32"/>
        <v>0.11843383235740138</v>
      </c>
      <c r="I80" s="62">
        <f t="shared" si="32"/>
        <v>0.54651788262987067</v>
      </c>
      <c r="J80" s="62">
        <f t="shared" si="32"/>
        <v>0.56105001073334082</v>
      </c>
      <c r="K80" s="62">
        <f t="shared" si="32"/>
        <v>0.54145860631970688</v>
      </c>
      <c r="L80" s="62">
        <f t="shared" si="32"/>
        <v>0.5121669863340621</v>
      </c>
      <c r="M80" s="62" t="str">
        <f t="shared" si="32"/>
        <v/>
      </c>
      <c r="N80" s="62" t="str">
        <f t="shared" si="32"/>
        <v/>
      </c>
      <c r="O80" s="62" t="str">
        <f t="shared" si="32"/>
        <v/>
      </c>
      <c r="P80" s="62" t="str">
        <f t="shared" si="32"/>
        <v/>
      </c>
      <c r="Q80" s="62" t="str">
        <f t="shared" si="32"/>
        <v/>
      </c>
    </row>
    <row r="81" spans="1:17" ht="15.75" customHeight="1">
      <c r="A81" s="10"/>
      <c r="B81" s="2" t="s">
        <v>61</v>
      </c>
      <c r="C81" s="74">
        <f>ABS(C15/C$4)</f>
        <v>0</v>
      </c>
      <c r="D81" s="26"/>
      <c r="E81" s="234"/>
      <c r="F81" s="26"/>
      <c r="G81" s="6">
        <f t="shared" ref="G81:Q81" si="33">IF(G$4="","",G15/G$4)</f>
        <v>0</v>
      </c>
      <c r="H81" s="6">
        <f t="shared" si="33"/>
        <v>0</v>
      </c>
      <c r="I81" s="6">
        <f t="shared" si="33"/>
        <v>0</v>
      </c>
      <c r="J81" s="6">
        <f t="shared" si="33"/>
        <v>0</v>
      </c>
      <c r="K81" s="6">
        <f t="shared" si="33"/>
        <v>0</v>
      </c>
      <c r="L81" s="6">
        <f t="shared" si="33"/>
        <v>0</v>
      </c>
      <c r="M81" s="6" t="str">
        <f t="shared" si="33"/>
        <v/>
      </c>
      <c r="N81" s="6" t="str">
        <f t="shared" si="33"/>
        <v/>
      </c>
      <c r="O81" s="6" t="str">
        <f t="shared" si="33"/>
        <v/>
      </c>
      <c r="P81" s="6" t="str">
        <f t="shared" si="33"/>
        <v/>
      </c>
      <c r="Q81" s="6" t="str">
        <f t="shared" si="33"/>
        <v/>
      </c>
    </row>
    <row r="82" spans="1:17" ht="15.75" customHeight="1">
      <c r="A82" s="10"/>
      <c r="B82" s="2" t="s">
        <v>76</v>
      </c>
      <c r="C82" s="85">
        <f>MAX(AVERAGE(G82:J82),C81)</f>
        <v>0</v>
      </c>
      <c r="D82" s="26"/>
      <c r="E82" s="235" t="s">
        <v>547</v>
      </c>
      <c r="F82" s="26"/>
      <c r="G82" s="6">
        <f t="shared" ref="G82:Q82" si="34">IF(G$4="","",-G16/G$4)</f>
        <v>0</v>
      </c>
      <c r="H82" s="6">
        <f t="shared" si="34"/>
        <v>0</v>
      </c>
      <c r="I82" s="6">
        <f t="shared" si="34"/>
        <v>0</v>
      </c>
      <c r="J82" s="6">
        <f t="shared" si="34"/>
        <v>0</v>
      </c>
      <c r="K82" s="6">
        <f t="shared" si="34"/>
        <v>0</v>
      </c>
      <c r="L82" s="6">
        <f t="shared" si="34"/>
        <v>0</v>
      </c>
      <c r="M82" s="6" t="str">
        <f t="shared" si="34"/>
        <v/>
      </c>
      <c r="N82" s="6" t="str">
        <f t="shared" si="34"/>
        <v/>
      </c>
      <c r="O82" s="6" t="str">
        <f t="shared" si="34"/>
        <v/>
      </c>
      <c r="P82" s="6" t="str">
        <f t="shared" si="34"/>
        <v/>
      </c>
      <c r="Q82" s="6" t="str">
        <f t="shared" si="34"/>
        <v/>
      </c>
    </row>
    <row r="83" spans="1:17" ht="15.75" customHeight="1">
      <c r="A83" s="10"/>
      <c r="B83" s="26" t="s">
        <v>48</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93</v>
      </c>
      <c r="C84" s="74">
        <v>0</v>
      </c>
      <c r="E84" s="236" t="str">
        <f>E18</f>
        <v>Net borrowing is excluded</v>
      </c>
      <c r="G84" s="151"/>
      <c r="H84" s="151"/>
      <c r="I84" s="151"/>
      <c r="J84" s="151"/>
      <c r="K84" s="151"/>
      <c r="L84" s="151"/>
      <c r="M84" s="151"/>
      <c r="N84" s="151"/>
      <c r="O84" s="151"/>
      <c r="P84" s="151"/>
      <c r="Q84" s="151"/>
    </row>
    <row r="85" spans="1:17" ht="15.75" customHeight="1">
      <c r="A85" s="10"/>
      <c r="B85" s="30" t="s">
        <v>116</v>
      </c>
      <c r="C85" s="75">
        <f>ABS(C19/C$4)</f>
        <v>0.13161554599921241</v>
      </c>
      <c r="D85" s="72"/>
      <c r="E85" s="234"/>
      <c r="F85" s="72"/>
      <c r="G85" s="62">
        <f t="shared" ref="G85:Q85" si="35">IF(G$4="","",ABS(G19/G$4))</f>
        <v>0.11725077818898878</v>
      </c>
      <c r="H85" s="62">
        <f t="shared" si="35"/>
        <v>0.11843383235740138</v>
      </c>
      <c r="I85" s="62">
        <f t="shared" si="35"/>
        <v>0.54651788262987067</v>
      </c>
      <c r="J85" s="62">
        <f t="shared" si="35"/>
        <v>0.56105001073334082</v>
      </c>
      <c r="K85" s="62">
        <f t="shared" si="35"/>
        <v>0.54145860631970688</v>
      </c>
      <c r="L85" s="62">
        <f t="shared" si="35"/>
        <v>0.5121669863340621</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182</v>
      </c>
      <c r="E87" s="237"/>
    </row>
    <row r="88" spans="1:17" ht="15.75" customHeight="1">
      <c r="A88" s="10"/>
      <c r="B88" s="2" t="str">
        <f>"Dividend per share ("&amp;Market_currency&amp;")"</f>
        <v>Dividend per share (HKD)</v>
      </c>
      <c r="C88" s="110">
        <f>G88</f>
        <v>0.26</v>
      </c>
      <c r="E88" s="237"/>
      <c r="G88" s="109">
        <f>Data!C65</f>
        <v>0.26</v>
      </c>
      <c r="H88" s="109">
        <f>Data!D65</f>
        <v>0.25</v>
      </c>
      <c r="I88" s="109">
        <f>Data!E65</f>
        <v>0</v>
      </c>
      <c r="J88" s="109">
        <f>Data!F65</f>
        <v>0</v>
      </c>
      <c r="K88" s="109">
        <f>Data!G65</f>
        <v>0</v>
      </c>
      <c r="L88" s="109">
        <f>Data!H65</f>
        <v>0</v>
      </c>
      <c r="M88" s="109" t="str">
        <f>Data!I65</f>
        <v/>
      </c>
      <c r="N88" s="109" t="str">
        <f>Data!J65</f>
        <v/>
      </c>
      <c r="O88" s="109" t="str">
        <f>Data!K65</f>
        <v/>
      </c>
      <c r="P88" s="109" t="str">
        <f>Data!L65</f>
        <v/>
      </c>
      <c r="Q88" s="109" t="str">
        <f>Data!M65</f>
        <v/>
      </c>
    </row>
    <row r="89" spans="1:17" ht="15.75" customHeight="1">
      <c r="A89" s="10"/>
      <c r="B89" s="2" t="str">
        <f>"Dividend ("&amp;Market_currency&amp;")"</f>
        <v>Dividend (HKD)</v>
      </c>
      <c r="C89" s="71">
        <f>C88*Common_Shares/scaling_factor</f>
        <v>3037962.6867200001</v>
      </c>
      <c r="E89" s="237"/>
      <c r="G89" s="71">
        <f t="shared" ref="G89:Q89" si="36">IF(G$4="","",G88*Common_Shares/scaling_factor)</f>
        <v>3037962.6867200001</v>
      </c>
      <c r="H89" s="71">
        <f t="shared" si="36"/>
        <v>2921117.9679999999</v>
      </c>
      <c r="I89" s="71">
        <f t="shared" si="36"/>
        <v>0</v>
      </c>
      <c r="J89" s="71">
        <f t="shared" si="36"/>
        <v>0</v>
      </c>
      <c r="K89" s="71">
        <f t="shared" si="36"/>
        <v>0</v>
      </c>
      <c r="L89" s="71">
        <f t="shared" si="36"/>
        <v>0</v>
      </c>
      <c r="M89" s="71" t="str">
        <f t="shared" si="36"/>
        <v/>
      </c>
      <c r="N89" s="71" t="str">
        <f t="shared" si="36"/>
        <v/>
      </c>
      <c r="O89" s="71" t="str">
        <f t="shared" si="36"/>
        <v/>
      </c>
      <c r="P89" s="71" t="str">
        <f t="shared" si="36"/>
        <v/>
      </c>
      <c r="Q89" s="71" t="str">
        <f t="shared" si="36"/>
        <v/>
      </c>
    </row>
    <row r="90" spans="1:17" ht="15.75" customHeight="1">
      <c r="A90" s="10"/>
      <c r="B90" s="2" t="s">
        <v>181</v>
      </c>
      <c r="C90" s="22">
        <f>C88/(C19*scaling_factor/Common_Shares)</f>
        <v>0.89113869087865394</v>
      </c>
      <c r="E90" s="237"/>
      <c r="G90" s="152">
        <f t="shared" ref="G90:Q90" si="37">IF(G$4="","",G88/(G19*scaling_factor/Common_Shares))</f>
        <v>1.0003149418076278</v>
      </c>
      <c r="H90" s="152">
        <f t="shared" si="37"/>
        <v>1.0624771327289146</v>
      </c>
      <c r="I90" s="152">
        <f t="shared" si="37"/>
        <v>0</v>
      </c>
      <c r="J90" s="152">
        <f t="shared" si="37"/>
        <v>0</v>
      </c>
      <c r="K90" s="152">
        <f t="shared" si="37"/>
        <v>0</v>
      </c>
      <c r="L90" s="152">
        <f t="shared" si="37"/>
        <v>0</v>
      </c>
      <c r="M90" s="152" t="str">
        <f t="shared" si="37"/>
        <v/>
      </c>
      <c r="N90" s="152" t="str">
        <f t="shared" si="37"/>
        <v/>
      </c>
      <c r="O90" s="152" t="str">
        <f t="shared" si="37"/>
        <v/>
      </c>
      <c r="P90" s="152" t="str">
        <f t="shared" si="37"/>
        <v/>
      </c>
      <c r="Q90" s="152" t="str">
        <f t="shared" si="37"/>
        <v/>
      </c>
    </row>
    <row r="91" spans="1:17" ht="15.75" customHeight="1">
      <c r="A91" s="10"/>
      <c r="B91" s="2" t="s">
        <v>330</v>
      </c>
      <c r="C91" s="292">
        <v>0</v>
      </c>
      <c r="E91" s="237"/>
      <c r="G91" s="293"/>
      <c r="H91" s="293"/>
      <c r="I91" s="293"/>
      <c r="J91" s="293"/>
      <c r="K91" s="293"/>
      <c r="L91" s="293"/>
      <c r="M91" s="293"/>
      <c r="N91" s="293"/>
      <c r="O91" s="293"/>
      <c r="P91" s="293"/>
      <c r="Q91" s="293"/>
    </row>
    <row r="92" spans="1:17" ht="15.75" customHeight="1">
      <c r="A92" s="10"/>
      <c r="B92" s="2" t="s">
        <v>329</v>
      </c>
      <c r="C92" s="22">
        <f>(C88*(1-dividend_tax_rate))/Market_Price</f>
        <v>6.235011990407674E-2</v>
      </c>
      <c r="E92" s="237"/>
      <c r="G92" s="22">
        <f t="shared" ref="G92:Q92" si="38">IF(G$4="","",(G88*(1-dividend_tax_rate))/Market_Price)</f>
        <v>6.235011990407674E-2</v>
      </c>
      <c r="H92" s="22">
        <f t="shared" si="38"/>
        <v>5.9952038369304558E-2</v>
      </c>
      <c r="I92" s="22">
        <f t="shared" si="38"/>
        <v>0</v>
      </c>
      <c r="J92" s="22">
        <f t="shared" si="38"/>
        <v>0</v>
      </c>
      <c r="K92" s="22">
        <f t="shared" si="38"/>
        <v>0</v>
      </c>
      <c r="L92" s="22">
        <f t="shared" si="38"/>
        <v>0</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80</v>
      </c>
      <c r="C94" s="59"/>
      <c r="D94" s="26"/>
      <c r="E94" s="234"/>
      <c r="F94" s="26"/>
      <c r="G94" s="12"/>
      <c r="H94" s="12"/>
      <c r="I94" s="12"/>
      <c r="J94" s="12"/>
      <c r="K94" s="12"/>
      <c r="L94" s="12"/>
      <c r="M94" s="12"/>
      <c r="N94" s="12"/>
      <c r="O94" s="12"/>
      <c r="P94" s="12"/>
      <c r="Q94" s="12"/>
    </row>
    <row r="95" spans="1:17" ht="15.75" customHeight="1">
      <c r="A95" s="10"/>
      <c r="B95" s="26" t="s">
        <v>120</v>
      </c>
      <c r="C95" s="74">
        <f>C4/G4-1</f>
        <v>0</v>
      </c>
      <c r="D95" s="26"/>
      <c r="E95" s="234"/>
      <c r="F95" s="26"/>
      <c r="G95" s="6">
        <f t="shared" ref="G95:Q95" si="39">IF(H4="","",G4/H4-1)</f>
        <v>0.11577396593464351</v>
      </c>
      <c r="H95" s="6">
        <f t="shared" si="39"/>
        <v>0.38392127920105978</v>
      </c>
      <c r="I95" s="6">
        <f t="shared" si="39"/>
        <v>3.4576634639248649E-2</v>
      </c>
      <c r="J95" s="6">
        <f t="shared" si="39"/>
        <v>0.19954073953837059</v>
      </c>
      <c r="K95" s="6">
        <f t="shared" si="39"/>
        <v>0.10877110807688095</v>
      </c>
      <c r="L95" s="6" t="str">
        <f t="shared" si="39"/>
        <v/>
      </c>
      <c r="M95" s="6" t="str">
        <f t="shared" si="39"/>
        <v/>
      </c>
      <c r="N95" s="6" t="str">
        <f t="shared" si="39"/>
        <v/>
      </c>
      <c r="O95" s="6" t="str">
        <f t="shared" si="39"/>
        <v/>
      </c>
      <c r="P95" s="6" t="str">
        <f t="shared" si="39"/>
        <v/>
      </c>
      <c r="Q95" s="6" t="str">
        <f t="shared" si="39"/>
        <v/>
      </c>
    </row>
    <row r="96" spans="1:17" ht="15.75" customHeight="1">
      <c r="A96" s="10"/>
      <c r="B96" s="67" t="s">
        <v>136</v>
      </c>
      <c r="C96" s="74">
        <f>C11/G11-1</f>
        <v>-1.2490867613651035E-2</v>
      </c>
      <c r="D96" s="26"/>
      <c r="E96" s="234"/>
      <c r="F96" s="26"/>
      <c r="G96" s="6">
        <f t="shared" ref="G96:Q96" si="40">IF(H5="","",G11/H11-1)</f>
        <v>0.10811032671541332</v>
      </c>
      <c r="H96" s="6">
        <f t="shared" si="40"/>
        <v>-0.5754062618772593</v>
      </c>
      <c r="I96" s="6">
        <f t="shared" si="40"/>
        <v>2.6957227352329749E-2</v>
      </c>
      <c r="J96" s="6">
        <f t="shared" si="40"/>
        <v>0.2344723358063352</v>
      </c>
      <c r="K96" s="6">
        <f t="shared" si="40"/>
        <v>0.18268106658668626</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183</v>
      </c>
      <c r="C98" s="51"/>
      <c r="D98" s="53"/>
      <c r="E98" s="63" t="s">
        <v>55</v>
      </c>
      <c r="F98" s="53"/>
      <c r="G98" s="35"/>
      <c r="H98" s="35"/>
      <c r="I98" s="35"/>
      <c r="J98" s="35"/>
      <c r="K98" s="35"/>
      <c r="L98" s="35"/>
      <c r="M98" s="35"/>
      <c r="N98" s="35"/>
      <c r="O98" s="35"/>
      <c r="P98" s="35"/>
      <c r="Q98" s="35"/>
    </row>
    <row r="99" spans="1:17" ht="15.75" customHeight="1">
      <c r="A99" s="10"/>
      <c r="B99" s="61" t="s">
        <v>25</v>
      </c>
      <c r="E99" s="237"/>
      <c r="G99" s="94" t="s">
        <v>187</v>
      </c>
    </row>
    <row r="100" spans="1:17" ht="15.75" customHeight="1">
      <c r="A100" s="10"/>
      <c r="B100" s="25" t="s">
        <v>1</v>
      </c>
      <c r="C100" s="280">
        <f>BS!G32</f>
        <v>28330204</v>
      </c>
      <c r="D100" s="25"/>
      <c r="E100" s="238"/>
      <c r="F100" s="25"/>
      <c r="G100" s="270">
        <f t="shared" ref="G100:Q100" si="41">IF(G$4="","",G104+G103)</f>
        <v>28330204</v>
      </c>
      <c r="H100" s="270">
        <f t="shared" si="41"/>
        <v>5636695</v>
      </c>
      <c r="I100" s="270">
        <f t="shared" si="41"/>
        <v>0</v>
      </c>
      <c r="J100" s="270">
        <f t="shared" si="41"/>
        <v>0</v>
      </c>
      <c r="K100" s="270">
        <f t="shared" si="41"/>
        <v>0</v>
      </c>
      <c r="L100" s="270">
        <f t="shared" si="41"/>
        <v>0</v>
      </c>
      <c r="M100" s="270" t="str">
        <f t="shared" si="41"/>
        <v/>
      </c>
      <c r="N100" s="270" t="str">
        <f t="shared" si="41"/>
        <v/>
      </c>
      <c r="O100" s="270" t="str">
        <f t="shared" si="41"/>
        <v/>
      </c>
      <c r="P100" s="270" t="str">
        <f t="shared" si="41"/>
        <v/>
      </c>
      <c r="Q100" s="270" t="str">
        <f t="shared" si="41"/>
        <v/>
      </c>
    </row>
    <row r="101" spans="1:17" ht="15.75" customHeight="1">
      <c r="A101" s="10"/>
      <c r="B101" s="90" t="s">
        <v>178</v>
      </c>
      <c r="C101" s="281">
        <f>BS!C4</f>
        <v>5046560</v>
      </c>
      <c r="D101" s="86"/>
      <c r="E101" s="239"/>
      <c r="F101" s="86"/>
      <c r="G101" s="282">
        <f>IF(G$4="","",Data!D77)</f>
        <v>715301</v>
      </c>
      <c r="H101" s="282">
        <f>IF(H$4="","",Data!E77)</f>
        <v>0</v>
      </c>
      <c r="I101" s="282">
        <f>IF(I$4="","",Data!F77)</f>
        <v>0</v>
      </c>
      <c r="J101" s="282">
        <f>IF(J$4="","",Data!G77)</f>
        <v>0</v>
      </c>
      <c r="K101" s="282">
        <f>IF(K$4="","",Data!H77)</f>
        <v>0</v>
      </c>
      <c r="L101" s="282">
        <f>IF(L$4="","",Data!I77)</f>
        <v>0</v>
      </c>
      <c r="M101" s="282" t="str">
        <f>IF(M$4="","",Data!J77)</f>
        <v/>
      </c>
      <c r="N101" s="282" t="str">
        <f>IF(N$4="","",Data!K77)</f>
        <v/>
      </c>
      <c r="O101" s="282" t="str">
        <f>IF(O$4="","",Data!L77)</f>
        <v/>
      </c>
      <c r="P101" s="282" t="str">
        <f>IF(P$4="","",Data!M77)</f>
        <v/>
      </c>
      <c r="Q101" s="282" t="str">
        <f>IF(Q$4="","",Data!N77)</f>
        <v/>
      </c>
    </row>
    <row r="102" spans="1:17" ht="15.75" customHeight="1">
      <c r="A102" s="10"/>
      <c r="B102" s="90" t="s">
        <v>179</v>
      </c>
      <c r="C102" s="281">
        <f>BS!C6+BS!C7</f>
        <v>4735220</v>
      </c>
      <c r="D102" s="86"/>
      <c r="E102" s="239"/>
      <c r="F102" s="86"/>
      <c r="G102" s="282">
        <f>IF(G$4="","",Data!D78)</f>
        <v>3950.6289999999999</v>
      </c>
      <c r="H102" s="282">
        <f>IF(H$4="","",Data!E78)</f>
        <v>3197.4969999999998</v>
      </c>
      <c r="I102" s="282">
        <f>IF(I$4="","",Data!F78)</f>
        <v>2689.2829999999999</v>
      </c>
      <c r="J102" s="282">
        <f>IF(J$4="","",Data!G78)</f>
        <v>2688.1860000000001</v>
      </c>
      <c r="K102" s="282">
        <f>IF(K$4="","",Data!H78)</f>
        <v>0</v>
      </c>
      <c r="L102" s="282">
        <f>IF(L$4="","",Data!I78)</f>
        <v>0</v>
      </c>
      <c r="M102" s="282" t="str">
        <f>IF(M$4="","",Data!J78)</f>
        <v/>
      </c>
      <c r="N102" s="282" t="str">
        <f>IF(N$4="","",Data!K78)</f>
        <v/>
      </c>
      <c r="O102" s="282" t="str">
        <f>IF(O$4="","",Data!L78)</f>
        <v/>
      </c>
      <c r="P102" s="282" t="str">
        <f>IF(P$4="","",Data!M78)</f>
        <v/>
      </c>
      <c r="Q102" s="282" t="str">
        <f>IF(Q$4="","",Data!N78)</f>
        <v/>
      </c>
    </row>
    <row r="103" spans="1:17" ht="15.75" customHeight="1">
      <c r="A103" s="10"/>
      <c r="B103" s="25" t="s">
        <v>37</v>
      </c>
      <c r="C103" s="280">
        <f>BS!G30</f>
        <v>12179420</v>
      </c>
      <c r="D103" s="25"/>
      <c r="E103" s="238"/>
      <c r="F103" s="25"/>
      <c r="G103" s="270">
        <f>Data!C79</f>
        <v>12179420</v>
      </c>
      <c r="H103" s="270">
        <f>Data!D79</f>
        <v>2524058</v>
      </c>
      <c r="I103" s="270">
        <f>Data!E79</f>
        <v>0</v>
      </c>
      <c r="J103" s="270">
        <f>Data!F79</f>
        <v>0</v>
      </c>
      <c r="K103" s="270">
        <f>Data!G79</f>
        <v>0</v>
      </c>
      <c r="L103" s="270">
        <f>Data!H79</f>
        <v>0</v>
      </c>
      <c r="M103" s="270" t="str">
        <f>Data!I79</f>
        <v/>
      </c>
      <c r="N103" s="270" t="str">
        <f>Data!J79</f>
        <v/>
      </c>
      <c r="O103" s="270" t="str">
        <f>Data!K79</f>
        <v/>
      </c>
      <c r="P103" s="270" t="str">
        <f>Data!L79</f>
        <v/>
      </c>
      <c r="Q103" s="270" t="str">
        <f>Data!M79</f>
        <v/>
      </c>
    </row>
    <row r="104" spans="1:17" ht="15.75" customHeight="1">
      <c r="A104" s="10"/>
      <c r="B104" s="25" t="s">
        <v>27</v>
      </c>
      <c r="C104" s="280">
        <f>BS!G27</f>
        <v>16150784</v>
      </c>
      <c r="D104" s="25"/>
      <c r="E104" s="238"/>
      <c r="F104" s="25"/>
      <c r="G104" s="270">
        <f>Data!C80</f>
        <v>16150784</v>
      </c>
      <c r="H104" s="270">
        <f>Data!D80</f>
        <v>3112637</v>
      </c>
      <c r="I104" s="270">
        <f>Data!E80</f>
        <v>0</v>
      </c>
      <c r="J104" s="270">
        <f>Data!F80</f>
        <v>0</v>
      </c>
      <c r="K104" s="270">
        <f>Data!G80</f>
        <v>0</v>
      </c>
      <c r="L104" s="270">
        <f>Data!H80</f>
        <v>0</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188</v>
      </c>
      <c r="C106" s="25"/>
      <c r="D106" s="25"/>
      <c r="E106" s="238"/>
      <c r="F106" s="25"/>
      <c r="G106" s="94" t="s">
        <v>187</v>
      </c>
      <c r="H106" s="12"/>
      <c r="I106" s="12"/>
      <c r="J106" s="12"/>
      <c r="K106" s="12"/>
      <c r="L106" s="12"/>
      <c r="M106" s="12"/>
      <c r="N106" s="12"/>
      <c r="O106" s="12"/>
      <c r="P106" s="12"/>
      <c r="Q106" s="12"/>
    </row>
    <row r="107" spans="1:17" ht="15.75" customHeight="1">
      <c r="A107" s="10"/>
      <c r="B107" s="25" t="s">
        <v>185</v>
      </c>
      <c r="C107" s="91">
        <f>C101/C$4</f>
        <v>0.1948343358376638</v>
      </c>
      <c r="D107" s="25"/>
      <c r="E107" s="238"/>
      <c r="F107" s="25"/>
      <c r="G107" s="91">
        <f t="shared" ref="G107:Q107" si="42">IF(G$4="","",G101/G$4)</f>
        <v>2.7615879977453305E-2</v>
      </c>
      <c r="H107" s="91">
        <f t="shared" si="42"/>
        <v>0</v>
      </c>
      <c r="I107" s="91">
        <f t="shared" si="42"/>
        <v>0</v>
      </c>
      <c r="J107" s="91">
        <f t="shared" si="42"/>
        <v>0</v>
      </c>
      <c r="K107" s="91">
        <f t="shared" si="42"/>
        <v>0</v>
      </c>
      <c r="L107" s="91">
        <f t="shared" si="42"/>
        <v>0</v>
      </c>
      <c r="M107" s="91" t="str">
        <f t="shared" si="42"/>
        <v/>
      </c>
      <c r="N107" s="91" t="str">
        <f t="shared" si="42"/>
        <v/>
      </c>
      <c r="O107" s="91" t="str">
        <f t="shared" si="42"/>
        <v/>
      </c>
      <c r="P107" s="91" t="str">
        <f t="shared" si="42"/>
        <v/>
      </c>
      <c r="Q107" s="91" t="str">
        <f t="shared" si="42"/>
        <v/>
      </c>
    </row>
    <row r="108" spans="1:17" ht="15.75" customHeight="1">
      <c r="A108" s="10"/>
      <c r="B108" s="25" t="s">
        <v>186</v>
      </c>
      <c r="C108" s="91">
        <f>C102/C$4</f>
        <v>0.1828143217845864</v>
      </c>
      <c r="D108" s="25"/>
      <c r="E108" s="238"/>
      <c r="F108" s="25"/>
      <c r="G108" s="91">
        <f t="shared" ref="G108:Q108" si="43">IF(G$4="","",G102/G$4)</f>
        <v>1.5252333814638365E-4</v>
      </c>
      <c r="H108" s="91">
        <f t="shared" si="43"/>
        <v>1.3773884088187402E-4</v>
      </c>
      <c r="I108" s="91">
        <f t="shared" si="43"/>
        <v>1.6032238756854268E-4</v>
      </c>
      <c r="J108" s="91">
        <f t="shared" si="43"/>
        <v>1.6579813697235063E-4</v>
      </c>
      <c r="K108" s="91">
        <f t="shared" si="43"/>
        <v>0</v>
      </c>
      <c r="L108" s="91">
        <f t="shared" si="43"/>
        <v>0</v>
      </c>
      <c r="M108" s="91" t="str">
        <f t="shared" si="43"/>
        <v/>
      </c>
      <c r="N108" s="91" t="str">
        <f t="shared" si="43"/>
        <v/>
      </c>
      <c r="O108" s="91" t="str">
        <f t="shared" si="43"/>
        <v/>
      </c>
      <c r="P108" s="91" t="str">
        <f t="shared" si="43"/>
        <v/>
      </c>
      <c r="Q108" s="91" t="str">
        <f t="shared" si="43"/>
        <v/>
      </c>
    </row>
    <row r="109" spans="1:17" ht="15.75" customHeight="1">
      <c r="A109" s="10"/>
      <c r="B109" s="25" t="s">
        <v>65</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47</v>
      </c>
      <c r="E111" s="237"/>
    </row>
    <row r="112" spans="1:17" ht="15.75" customHeight="1">
      <c r="A112" s="10"/>
      <c r="B112" s="2" t="s">
        <v>302</v>
      </c>
      <c r="C112" s="151"/>
      <c r="E112" s="451" t="s">
        <v>554</v>
      </c>
      <c r="G112" s="251">
        <f>IF(G$4="","",Data!C$22/Data!C15)</f>
        <v>1.1207790712697203</v>
      </c>
      <c r="H112" s="251">
        <f>IF(H$4="","",Data!D$22/Data!D15)</f>
        <v>2.3520711917685637</v>
      </c>
      <c r="I112" s="251">
        <f>IF(I$4="","",Data!E$22/Data!E15)</f>
        <v>0</v>
      </c>
      <c r="J112" s="251">
        <f>IF(J$4="","",Data!F$22/Data!F15)</f>
        <v>0</v>
      </c>
      <c r="K112" s="251">
        <f>IF(K$4="","",Data!G$22/Data!G15)</f>
        <v>0</v>
      </c>
      <c r="L112" s="251">
        <f>IF(L$4="","",Data!H$22/Data!H15)</f>
        <v>0</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303</v>
      </c>
      <c r="C113" s="151"/>
      <c r="E113" s="459">
        <f>(Normalized_FCF!E117/Normalized_FCF!C117)^(1/DCF!C15)-1</f>
        <v>0</v>
      </c>
      <c r="G113" s="251">
        <f>IF(G$4="","",Data!C$22/G19)</f>
        <v>1.3111069682648786</v>
      </c>
      <c r="H113" s="251">
        <f>IF(H$4="","",Data!D$22/H19)</f>
        <v>2.6692821524154784</v>
      </c>
      <c r="I113" s="251">
        <f>IF(I$4="","",Data!E$22/I19)</f>
        <v>0</v>
      </c>
      <c r="J113" s="251">
        <f>IF(J$4="","",Data!F$22/J19)</f>
        <v>0</v>
      </c>
      <c r="K113" s="251">
        <f>IF(K$4="","",Data!G$22/K19)</f>
        <v>0</v>
      </c>
      <c r="L113" s="251">
        <f>IF(L$4="","",Data!H$22/L19)</f>
        <v>0</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35</v>
      </c>
      <c r="C115" s="451" t="s">
        <v>326</v>
      </c>
      <c r="D115" s="52"/>
      <c r="E115" s="451" t="str">
        <f>DCF!F15&amp;"yrs Projection"</f>
        <v>16yrs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189</v>
      </c>
      <c r="C116" s="22">
        <f>C77</f>
        <v>0.17813313161397859</v>
      </c>
      <c r="E116" s="22">
        <f>E119/E117/E118</f>
        <v>0.17813313161397862</v>
      </c>
      <c r="G116" s="22">
        <f t="shared" ref="G116:Q116" si="44">IF(G4="","",G77)</f>
        <v>0.18038631317111356</v>
      </c>
      <c r="H116" s="22">
        <f t="shared" si="44"/>
        <v>0.18163385648056737</v>
      </c>
      <c r="I116" s="22">
        <f t="shared" si="44"/>
        <v>0.59201758395726478</v>
      </c>
      <c r="J116" s="22">
        <f t="shared" si="44"/>
        <v>0.59640999970063302</v>
      </c>
      <c r="K116" s="22">
        <f t="shared" si="44"/>
        <v>0.57953351513679607</v>
      </c>
      <c r="L116" s="22">
        <f t="shared" si="44"/>
        <v>0.54331639856248359</v>
      </c>
      <c r="M116" s="22" t="str">
        <f t="shared" si="44"/>
        <v/>
      </c>
      <c r="N116" s="22" t="str">
        <f t="shared" si="44"/>
        <v/>
      </c>
      <c r="O116" s="22" t="str">
        <f t="shared" si="44"/>
        <v/>
      </c>
      <c r="P116" s="22" t="str">
        <f t="shared" si="44"/>
        <v/>
      </c>
      <c r="Q116" s="22" t="str">
        <f t="shared" si="44"/>
        <v/>
      </c>
    </row>
    <row r="117" spans="1:17" ht="15.75" customHeight="1">
      <c r="B117" s="7" t="s">
        <v>79</v>
      </c>
      <c r="C117" s="452">
        <f>G117</f>
        <v>0.91428215624568043</v>
      </c>
      <c r="E117" s="452">
        <f>C117</f>
        <v>0.91428215624568043</v>
      </c>
      <c r="G117" s="40">
        <f t="shared" ref="G117:Q117" si="45">IF(G4="","",G4/G100)</f>
        <v>0.91428215624568043</v>
      </c>
      <c r="H117" s="40">
        <f t="shared" si="45"/>
        <v>4.1184062646639568</v>
      </c>
      <c r="I117" s="40" t="e">
        <f t="shared" si="45"/>
        <v>#DIV/0!</v>
      </c>
      <c r="J117" s="40" t="e">
        <f t="shared" si="45"/>
        <v>#DIV/0!</v>
      </c>
      <c r="K117" s="40" t="e">
        <f t="shared" si="45"/>
        <v>#DIV/0!</v>
      </c>
      <c r="L117" s="40" t="e">
        <f t="shared" si="45"/>
        <v>#DIV/0!</v>
      </c>
      <c r="M117" s="40" t="str">
        <f t="shared" si="45"/>
        <v/>
      </c>
      <c r="N117" s="40" t="str">
        <f t="shared" si="45"/>
        <v/>
      </c>
      <c r="O117" s="40" t="str">
        <f t="shared" si="45"/>
        <v/>
      </c>
      <c r="P117" s="40" t="str">
        <f t="shared" si="45"/>
        <v/>
      </c>
      <c r="Q117" s="40" t="str">
        <f t="shared" si="45"/>
        <v/>
      </c>
    </row>
    <row r="118" spans="1:17" ht="15.75" customHeight="1">
      <c r="B118" s="7" t="s">
        <v>87</v>
      </c>
      <c r="C118" s="15">
        <f>C100/C104</f>
        <v>1.7541070452059788</v>
      </c>
      <c r="D118" s="11"/>
      <c r="E118" s="15">
        <f>C100/C104</f>
        <v>1.7541070452059788</v>
      </c>
      <c r="F118" s="11"/>
      <c r="G118" s="15">
        <f t="shared" ref="G118:Q118" si="46">IF(G$4="","",G100/G104)</f>
        <v>1.7541070452059788</v>
      </c>
      <c r="H118" s="15">
        <f t="shared" si="46"/>
        <v>1.810906636398655</v>
      </c>
      <c r="I118" s="15" t="e">
        <f t="shared" si="46"/>
        <v>#DIV/0!</v>
      </c>
      <c r="J118" s="15" t="e">
        <f t="shared" si="46"/>
        <v>#DIV/0!</v>
      </c>
      <c r="K118" s="15" t="e">
        <f t="shared" si="46"/>
        <v>#DIV/0!</v>
      </c>
      <c r="L118" s="15" t="e">
        <f t="shared" si="46"/>
        <v>#DIV/0!</v>
      </c>
      <c r="M118" s="15" t="str">
        <f t="shared" si="46"/>
        <v/>
      </c>
      <c r="N118" s="15" t="str">
        <f t="shared" si="46"/>
        <v/>
      </c>
      <c r="O118" s="15" t="str">
        <f t="shared" si="46"/>
        <v/>
      </c>
      <c r="P118" s="15" t="str">
        <f t="shared" si="46"/>
        <v/>
      </c>
      <c r="Q118" s="15" t="str">
        <f t="shared" si="46"/>
        <v/>
      </c>
    </row>
    <row r="119" spans="1:17" ht="15.75" customHeight="1">
      <c r="A119" s="10"/>
      <c r="B119" s="67" t="s">
        <v>190</v>
      </c>
      <c r="C119" s="62">
        <f>C11/C104</f>
        <v>0.28568079100302196</v>
      </c>
      <c r="D119" s="100"/>
      <c r="E119" s="453">
        <f>C119</f>
        <v>0.28568079100302196</v>
      </c>
      <c r="F119" s="100"/>
      <c r="G119" s="99">
        <f t="shared" ref="G119:Q119" si="47">IF(G$4="","",G11/G104)</f>
        <v>0.28929432815741635</v>
      </c>
      <c r="H119" s="99">
        <f t="shared" si="47"/>
        <v>1.3546342445685722</v>
      </c>
      <c r="I119" s="99" t="e">
        <f t="shared" si="47"/>
        <v>#DIV/0!</v>
      </c>
      <c r="J119" s="99" t="e">
        <f t="shared" si="47"/>
        <v>#DIV/0!</v>
      </c>
      <c r="K119" s="99" t="e">
        <f t="shared" si="47"/>
        <v>#DIV/0!</v>
      </c>
      <c r="L119" s="99" t="e">
        <f t="shared" si="47"/>
        <v>#DIV/0!</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191</v>
      </c>
      <c r="C121" s="51"/>
      <c r="D121" s="53"/>
      <c r="E121" s="63" t="s">
        <v>55</v>
      </c>
      <c r="F121" s="53"/>
      <c r="G121" s="35"/>
      <c r="H121" s="35"/>
      <c r="I121" s="35"/>
      <c r="J121" s="35"/>
      <c r="K121" s="35"/>
      <c r="L121" s="35"/>
      <c r="M121" s="35"/>
      <c r="N121" s="35"/>
      <c r="O121" s="35"/>
      <c r="P121" s="35"/>
      <c r="Q121" s="35"/>
    </row>
    <row r="122" spans="1:17" ht="15.75" customHeight="1">
      <c r="A122" s="10"/>
      <c r="B122" s="160" t="s">
        <v>140</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(HKD)</v>
      </c>
      <c r="C123" s="159">
        <f>C14*$C$3/Common_Shares*Exchange_Rate</f>
        <v>0.29176154358604112</v>
      </c>
      <c r="D123" s="26"/>
      <c r="E123" s="234"/>
      <c r="F123" s="26"/>
      <c r="G123" s="159">
        <f t="shared" ref="G123:Q123" si="48">IF(G$4="","",G14*$C$3/Common_Shares*Exchange_Rate)</f>
        <v>0.25991814091086629</v>
      </c>
      <c r="H123" s="159">
        <f t="shared" si="48"/>
        <v>0.23529918178840106</v>
      </c>
      <c r="I123" s="159">
        <f t="shared" si="48"/>
        <v>0.78458070656457213</v>
      </c>
      <c r="J123" s="159">
        <f t="shared" si="48"/>
        <v>0.77852427067969232</v>
      </c>
      <c r="K123" s="159">
        <f t="shared" si="48"/>
        <v>0.62635542037806191</v>
      </c>
      <c r="L123" s="159">
        <f t="shared" si="48"/>
        <v>0.53434931772241123</v>
      </c>
      <c r="M123" s="159" t="str">
        <f t="shared" si="48"/>
        <v/>
      </c>
      <c r="N123" s="159" t="str">
        <f t="shared" si="48"/>
        <v/>
      </c>
      <c r="O123" s="159" t="str">
        <f t="shared" si="48"/>
        <v/>
      </c>
      <c r="P123" s="159" t="str">
        <f t="shared" si="48"/>
        <v/>
      </c>
      <c r="Q123" s="159" t="str">
        <f t="shared" si="48"/>
        <v/>
      </c>
    </row>
    <row r="124" spans="1:17" ht="15.75" customHeight="1">
      <c r="A124" s="10"/>
      <c r="B124" s="26" t="s">
        <v>225</v>
      </c>
      <c r="C124" s="74">
        <f>C19*Exchange_Rate*$C$3/(Market_Price*Common_Shares)</f>
        <v>6.9966797023031449E-2</v>
      </c>
      <c r="D124" s="26"/>
      <c r="E124" s="234"/>
      <c r="F124" s="26"/>
      <c r="G124" s="74">
        <f t="shared" ref="G124" si="49">IF(G$4="","",G123/Market_Price)</f>
        <v>6.233048942706626E-2</v>
      </c>
      <c r="H124" s="74">
        <f t="shared" ref="H124" si="50">IF(H$4="","",H123/Market_Price)</f>
        <v>5.6426662299376755E-2</v>
      </c>
      <c r="I124" s="74">
        <f t="shared" ref="I124" si="51">IF(I$4="","",I123/Market_Price)</f>
        <v>0.18814885049510124</v>
      </c>
      <c r="J124" s="74">
        <f t="shared" ref="J124" si="52">IF(J$4="","",J123/Market_Price)</f>
        <v>0.18669646778889504</v>
      </c>
      <c r="K124" s="74">
        <f t="shared" ref="K124" si="53">IF(K$4="","",K123/Market_Price)</f>
        <v>0.15020513678130981</v>
      </c>
      <c r="L124" s="74">
        <f t="shared" ref="L124" si="54">IF(L$4="","",L123/Market_Price)</f>
        <v>0.12814132319482283</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305</v>
      </c>
      <c r="C125" s="151"/>
      <c r="G125" s="22">
        <f>IF(G$4="","",(Data!C47*$C$3)/(Market_Price*Common_Shares))</f>
        <v>7.2915297151832856E-2</v>
      </c>
      <c r="H125" s="22">
        <f>IF(H$4="","",(Data!D47*$C$3)/(Market_Price*Common_Shares))</f>
        <v>6.4036617226219616E-2</v>
      </c>
      <c r="I125" s="22">
        <f>IF(I$4="","",(Data!E47*$C$3)/(Market_Price*Common_Shares))</f>
        <v>4.3891370327429763E-2</v>
      </c>
      <c r="J125" s="22">
        <f>IF(J$4="","",(Data!F47*$C$3)/(Market_Price*Common_Shares))</f>
        <v>4.2326420562382193E-2</v>
      </c>
      <c r="K125" s="22">
        <f>IF(K$4="","",(Data!G47*$C$3)/(Market_Price*Common_Shares))</f>
        <v>3.5086555062009916E-2</v>
      </c>
      <c r="L125" s="22">
        <f>IF(L$4="","",(Data!H47*$C$3)/(Market_Price*Common_Shares))</f>
        <v>2.4693741958911993E-2</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zoomScale="72" zoomScaleNormal="100" workbookViewId="0">
      <selection activeCell="D24" sqref="D24"/>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51</v>
      </c>
      <c r="C2" s="35"/>
      <c r="D2" s="35"/>
      <c r="E2" s="35"/>
      <c r="F2" s="35"/>
      <c r="G2" s="35"/>
      <c r="H2" s="35"/>
      <c r="I2" s="35"/>
      <c r="J2" s="35"/>
      <c r="K2" s="35"/>
      <c r="L2" s="35"/>
    </row>
    <row r="3" spans="2:15" ht="13.15">
      <c r="B3" s="106" t="s">
        <v>135</v>
      </c>
      <c r="C3" s="104">
        <f>scaling_factor</f>
        <v>1000</v>
      </c>
      <c r="E3" s="106" t="s">
        <v>423</v>
      </c>
      <c r="H3" s="106" t="s">
        <v>413</v>
      </c>
    </row>
    <row r="4" spans="2:15">
      <c r="B4" s="97" t="s">
        <v>392</v>
      </c>
      <c r="C4" s="275">
        <f>Normalized_FCF!C19</f>
        <v>3409079.5493623996</v>
      </c>
      <c r="D4" t="str">
        <f>Reporting_currency</f>
        <v>HKD</v>
      </c>
      <c r="E4" s="135" t="s">
        <v>430</v>
      </c>
      <c r="F4" s="275">
        <f>-BS!G31</f>
        <v>-1939633</v>
      </c>
      <c r="G4" t="str">
        <f>Reporting_currency</f>
        <v>HKD</v>
      </c>
      <c r="H4" s="308" t="s">
        <v>393</v>
      </c>
      <c r="I4" s="305">
        <f>Normalized_FCF!C4</f>
        <v>25901800</v>
      </c>
      <c r="J4" s="305"/>
    </row>
    <row r="5" spans="2:15">
      <c r="B5" s="187" t="s">
        <v>104</v>
      </c>
      <c r="C5" s="188">
        <f>Equity_Cost</f>
        <v>7.2499999999999995E-2</v>
      </c>
      <c r="E5" s="135" t="s">
        <v>431</v>
      </c>
      <c r="F5" s="275">
        <f>BS!D66</f>
        <v>3796000.3986851773</v>
      </c>
      <c r="G5" t="str">
        <f>Reporting_currency</f>
        <v>HKD</v>
      </c>
      <c r="H5" s="308" t="s">
        <v>394</v>
      </c>
      <c r="I5" s="305">
        <f>Normalized_FCF!C7</f>
        <v>-1670272</v>
      </c>
      <c r="J5" s="305"/>
    </row>
    <row r="6" spans="2:15" ht="13.25" customHeight="1">
      <c r="B6" s="136" t="s">
        <v>193</v>
      </c>
      <c r="C6" s="283">
        <f>(C4*(1+Terminal_Growth))/(Equity_Cost-Terminal_Growth)</f>
        <v>66233545.530469485</v>
      </c>
      <c r="D6" t="str">
        <f>Reporting_currency</f>
        <v>HKD</v>
      </c>
      <c r="E6" s="187" t="s">
        <v>432</v>
      </c>
      <c r="F6" s="284">
        <f>BS!H42</f>
        <v>2176734.1</v>
      </c>
      <c r="G6" t="str">
        <f>Reporting_currency</f>
        <v>HKD</v>
      </c>
      <c r="H6" s="308" t="s">
        <v>415</v>
      </c>
      <c r="I6" s="305">
        <f>I7+I8</f>
        <v>-92144.330392111064</v>
      </c>
      <c r="J6" s="305"/>
      <c r="N6" s="135"/>
    </row>
    <row r="7" spans="2:15" ht="12.75" customHeight="1">
      <c r="B7" s="318" t="s">
        <v>429</v>
      </c>
      <c r="C7" s="275">
        <f>F7</f>
        <v>4033101.4986851774</v>
      </c>
      <c r="E7" s="140" t="s">
        <v>423</v>
      </c>
      <c r="F7" s="283">
        <f>SUM(F4:F6)</f>
        <v>4033101.4986851774</v>
      </c>
      <c r="G7" t="str">
        <f>Reporting_currency</f>
        <v>HKD</v>
      </c>
      <c r="H7" s="312" t="s">
        <v>416</v>
      </c>
      <c r="I7" s="313">
        <f>Normalized_FCF!C9</f>
        <v>0</v>
      </c>
      <c r="J7" s="313"/>
      <c r="N7" s="304"/>
      <c r="O7" s="304"/>
    </row>
    <row r="8" spans="2:15" ht="13.15">
      <c r="B8" s="136" t="s">
        <v>425</v>
      </c>
      <c r="C8" s="283">
        <f>C6+C7</f>
        <v>70266647.029154658</v>
      </c>
      <c r="D8" t="str">
        <f>Reporting_currency</f>
        <v>HKD</v>
      </c>
      <c r="E8" s="140" t="s">
        <v>463</v>
      </c>
      <c r="F8" s="108">
        <f>FV_adjustments*scaling_factor/Common_Shares*Exchange_Rate</f>
        <v>0.34516763298047481</v>
      </c>
      <c r="G8" s="294" t="str">
        <f>Market_currency</f>
        <v>HKD</v>
      </c>
      <c r="H8" s="314" t="str">
        <f>Normalized_FCF!B10</f>
        <v>Net Interest Income</v>
      </c>
      <c r="I8" s="313">
        <f>Normalized_FCF!C10</f>
        <v>-92144.330392111064</v>
      </c>
      <c r="J8" s="313"/>
      <c r="N8" s="304"/>
      <c r="O8" s="304"/>
    </row>
    <row r="9" spans="2:15" ht="13.15" thickBot="1">
      <c r="B9" s="189" t="str">
        <f>"*"&amp;Thesis!E15</f>
        <v>*HKD</v>
      </c>
      <c r="C9" s="190">
        <f>Exchange_Rate</f>
        <v>1</v>
      </c>
      <c r="D9" t="str">
        <f>Thesis!E15</f>
        <v>HKD</v>
      </c>
      <c r="F9" s="322"/>
      <c r="H9" s="308" t="str">
        <f>Normalized_FCF!B79</f>
        <v>NCI’s Share of Profits</v>
      </c>
      <c r="I9" s="144">
        <f>Normalized_FCF!C79</f>
        <v>1.9843027112715493E-3</v>
      </c>
      <c r="J9" s="306"/>
      <c r="N9" s="304"/>
      <c r="O9" s="304"/>
    </row>
    <row r="10" spans="2:15" ht="13.5" thickTop="1">
      <c r="B10" s="107" t="s">
        <v>426</v>
      </c>
      <c r="C10" s="283">
        <f>C8*Exchange_Rate</f>
        <v>70266647.029154658</v>
      </c>
      <c r="D10" t="str">
        <f>Market_currency</f>
        <v>HKD</v>
      </c>
      <c r="H10" s="308" t="s">
        <v>396</v>
      </c>
      <c r="I10" s="306">
        <f>Normalized_FCF!C41</f>
        <v>0.25</v>
      </c>
      <c r="N10" s="304"/>
      <c r="O10" s="304"/>
    </row>
    <row r="11" spans="2:15" ht="13.15">
      <c r="B11" s="136" t="s">
        <v>424</v>
      </c>
      <c r="C11" s="108">
        <f>(C10*scaling_factor)/Common_Shares</f>
        <v>6.013677622652132</v>
      </c>
      <c r="D11" t="str">
        <f>Market_currency</f>
        <v>HKD</v>
      </c>
      <c r="E11" s="307"/>
      <c r="I11" s="307"/>
      <c r="J11" s="307"/>
    </row>
    <row r="13" spans="2:15" ht="13.9">
      <c r="B13" s="34" t="s">
        <v>427</v>
      </c>
      <c r="C13" s="35"/>
      <c r="D13" s="35"/>
      <c r="E13" s="35"/>
      <c r="F13" s="35"/>
      <c r="G13" s="35"/>
      <c r="H13" s="35"/>
      <c r="I13" s="35"/>
      <c r="J13" s="35"/>
      <c r="K13" s="35"/>
      <c r="L13" s="35"/>
    </row>
    <row r="14" spans="2:15" ht="13.15">
      <c r="B14" s="106" t="s">
        <v>398</v>
      </c>
      <c r="C14" s="309" t="s">
        <v>404</v>
      </c>
      <c r="E14" s="106" t="s">
        <v>398</v>
      </c>
      <c r="F14" s="309" t="str">
        <f>IF(ROUND(F17,4)=ROUND(C17,4),"I","II")</f>
        <v>I</v>
      </c>
      <c r="H14" s="106" t="s">
        <v>412</v>
      </c>
    </row>
    <row r="15" spans="2:15">
      <c r="B15" s="139" t="s">
        <v>420</v>
      </c>
      <c r="C15" s="148">
        <f>Scenarios!C45</f>
        <v>15</v>
      </c>
      <c r="E15" s="308" t="str">
        <f>IF(F14="II","Change year","Terminal Year")</f>
        <v>Terminal Year</v>
      </c>
      <c r="F15" s="310">
        <f>IF(F14="II",_xlfn.CEILING.MATH(C15/2),C15+1)</f>
        <v>16</v>
      </c>
      <c r="H15" s="97" t="s">
        <v>428</v>
      </c>
      <c r="I15" s="126">
        <f>Terminal_Growth</f>
        <v>0.02</v>
      </c>
      <c r="J15" s="126"/>
    </row>
    <row r="16" spans="2:15" ht="13.25" customHeight="1">
      <c r="B16" s="114" t="s">
        <v>421</v>
      </c>
      <c r="C16" s="147">
        <f>Scenarios!C46</f>
        <v>2.38559171477595E-2</v>
      </c>
      <c r="E16" s="308" t="s">
        <v>399</v>
      </c>
      <c r="F16" s="311">
        <f>Scenarios!C41</f>
        <v>2.38559171477595E-2</v>
      </c>
    </row>
    <row r="17" spans="1:21" ht="13.25" customHeight="1">
      <c r="B17" s="308" t="s">
        <v>549</v>
      </c>
      <c r="C17" s="306">
        <f>Normalized_FCF!C77</f>
        <v>0.17813313161397859</v>
      </c>
      <c r="E17" s="308" t="s">
        <v>550</v>
      </c>
      <c r="F17" s="311">
        <f>Scenarios!C40</f>
        <v>0.17813313161397862</v>
      </c>
      <c r="H17" s="106" t="s">
        <v>411</v>
      </c>
    </row>
    <row r="18" spans="1:21" ht="13.25" customHeight="1">
      <c r="B18" s="308" t="s">
        <v>422</v>
      </c>
      <c r="C18" s="306">
        <f>Normalized_FCF!C81-Normalized_FCF!C82</f>
        <v>0</v>
      </c>
      <c r="E18" s="308" t="s">
        <v>422</v>
      </c>
      <c r="F18" s="144">
        <f>IF(F14="II",C18/2,C18)</f>
        <v>0</v>
      </c>
      <c r="H18" s="140" t="s">
        <v>96</v>
      </c>
      <c r="I18" s="129">
        <f>(L52+FV_adjustments)*Exchange_Rate/Common_Shares*scaling_factor</f>
        <v>5.4711959081487285</v>
      </c>
      <c r="J18" t="str">
        <f>Market_currency</f>
        <v>HKD</v>
      </c>
    </row>
    <row r="19" spans="1:21">
      <c r="L19" s="275"/>
    </row>
    <row r="20" spans="1:21" ht="13.15">
      <c r="A20" s="121" t="s">
        <v>398</v>
      </c>
      <c r="B20" s="121" t="s">
        <v>97</v>
      </c>
      <c r="C20" s="121" t="s">
        <v>393</v>
      </c>
      <c r="D20" s="121" t="s">
        <v>101</v>
      </c>
      <c r="E20" s="121" t="s">
        <v>549</v>
      </c>
      <c r="F20" s="121" t="s">
        <v>551</v>
      </c>
      <c r="G20" s="121" t="str">
        <f>B18</f>
        <v>D&amp;A - maint. Capx</v>
      </c>
      <c r="H20" s="121" t="s">
        <v>553</v>
      </c>
      <c r="I20" s="121" t="s">
        <v>529</v>
      </c>
      <c r="J20" s="121" t="s">
        <v>552</v>
      </c>
      <c r="K20" s="121" t="s">
        <v>530</v>
      </c>
      <c r="L20" s="122" t="s">
        <v>418</v>
      </c>
    </row>
    <row r="21" spans="1:21">
      <c r="A21" s="302" t="str">
        <f t="shared" ref="A21:A50" si="0">IF($C$15&lt;B21,"",IF(B21&gt;=$F$15,"II","I"))</f>
        <v>I</v>
      </c>
      <c r="B21" s="117">
        <v>1</v>
      </c>
      <c r="C21" s="277">
        <f>I4*(1+D21)</f>
        <v>26519711.194777835</v>
      </c>
      <c r="D21" s="299">
        <f t="shared" ref="D21:D50" si="1">IF(A21="",0,IF(A21="I",$C$16,$F$16))</f>
        <v>2.38559171477595E-2</v>
      </c>
      <c r="E21" s="299">
        <f>$C$17</f>
        <v>0.17813313161397859</v>
      </c>
      <c r="F21" s="277">
        <f>C21*E21</f>
        <v>4724039.2046240615</v>
      </c>
      <c r="G21" s="299">
        <f t="shared" ref="G21:G50" si="2">IF(A21="",0%,IF(A21="I",$C$18,$F$18))</f>
        <v>0</v>
      </c>
      <c r="H21" s="277">
        <f>(F21*(1-$I$10)+C21*(G21-$I$9))</f>
        <v>3490406.2686421103</v>
      </c>
      <c r="I21" s="299">
        <f>H21/C4-1</f>
        <v>2.3855917147759476E-2</v>
      </c>
      <c r="J21" s="299">
        <f>H21/C21</f>
        <v>0.13161554599921241</v>
      </c>
      <c r="K21" s="119">
        <f t="shared" ref="K21:K50" si="3">IF($C$15&lt;B21,0,1/(1+Equity_Cost)^B21)</f>
        <v>0.93240093240093236</v>
      </c>
      <c r="L21" s="277">
        <f t="shared" ref="L21:L51" si="4">H21*K21</f>
        <v>3254458.0593399629</v>
      </c>
    </row>
    <row r="22" spans="1:21">
      <c r="A22" s="302" t="str">
        <f t="shared" si="0"/>
        <v>I</v>
      </c>
      <c r="B22" s="117">
        <v>2</v>
      </c>
      <c r="C22" s="277">
        <f t="shared" ref="C22:C50" si="5">IF(A22="",0,C21*(1+D22))</f>
        <v>27152363.227822963</v>
      </c>
      <c r="D22" s="299">
        <f t="shared" si="1"/>
        <v>2.38559171477595E-2</v>
      </c>
      <c r="E22" s="299">
        <f t="shared" ref="E22:E50" si="6">IF($C$15&lt;B22,0,IF(B22&gt;=$F$15,$F$17,$C$17))</f>
        <v>0.17813313161397859</v>
      </c>
      <c r="F22" s="277">
        <f t="shared" ref="F22:F50" si="7">IF(A22="", 0,C22*E22)</f>
        <v>4836735.4924923405</v>
      </c>
      <c r="G22" s="299">
        <f t="shared" si="2"/>
        <v>0</v>
      </c>
      <c r="H22" s="277">
        <f t="shared" ref="H22:H50" si="8">IF(A22="", 0,F22*(1-$I$10)+C22*(G22-$I$9))</f>
        <v>3573673.1113988562</v>
      </c>
      <c r="I22" s="299">
        <f t="shared" ref="I22:I50" si="9">IF(A22="", 0,H22/H21-1)</f>
        <v>2.3855917147759254E-2</v>
      </c>
      <c r="J22" s="299">
        <f>IF(A22="", 0,H22/C22)</f>
        <v>0.13161554599921238</v>
      </c>
      <c r="K22" s="119">
        <f t="shared" si="3"/>
        <v>0.86937149874212816</v>
      </c>
      <c r="L22" s="277">
        <f t="shared" si="4"/>
        <v>3106849.5488712681</v>
      </c>
    </row>
    <row r="23" spans="1:21">
      <c r="A23" s="302" t="str">
        <f t="shared" si="0"/>
        <v>I</v>
      </c>
      <c r="B23" s="117">
        <v>3</v>
      </c>
      <c r="C23" s="277">
        <f t="shared" si="5"/>
        <v>27800107.755351778</v>
      </c>
      <c r="D23" s="299">
        <f t="shared" si="1"/>
        <v>2.38559171477595E-2</v>
      </c>
      <c r="E23" s="299">
        <f t="shared" si="6"/>
        <v>0.17813313161397859</v>
      </c>
      <c r="F23" s="277">
        <f t="shared" si="7"/>
        <v>4952120.2536668656</v>
      </c>
      <c r="G23" s="299">
        <f t="shared" si="2"/>
        <v>0</v>
      </c>
      <c r="H23" s="277">
        <f t="shared" si="8"/>
        <v>3658926.3610575632</v>
      </c>
      <c r="I23" s="299">
        <f t="shared" si="9"/>
        <v>2.3855917147759476E-2</v>
      </c>
      <c r="J23" s="299">
        <f t="shared" ref="J23:J50" si="10">IF(A23="", 0,H23/C23)</f>
        <v>0.13161554599921241</v>
      </c>
      <c r="K23" s="119">
        <f t="shared" si="3"/>
        <v>0.81060279602995633</v>
      </c>
      <c r="L23" s="277">
        <f t="shared" si="4"/>
        <v>2965935.9387409743</v>
      </c>
      <c r="N23" s="275"/>
      <c r="O23" s="275"/>
      <c r="P23" s="275"/>
      <c r="Q23" s="275"/>
      <c r="R23" s="275"/>
      <c r="S23" s="275"/>
      <c r="T23" s="275"/>
      <c r="U23" s="275"/>
    </row>
    <row r="24" spans="1:21">
      <c r="A24" s="302" t="str">
        <f t="shared" si="0"/>
        <v>I</v>
      </c>
      <c r="B24" s="117">
        <v>4</v>
      </c>
      <c r="C24" s="277">
        <f t="shared" si="5"/>
        <v>28463304.822662234</v>
      </c>
      <c r="D24" s="299">
        <f t="shared" si="1"/>
        <v>2.38559171477595E-2</v>
      </c>
      <c r="E24" s="299">
        <f t="shared" si="6"/>
        <v>0.17813313161397859</v>
      </c>
      <c r="F24" s="277">
        <f t="shared" si="7"/>
        <v>5070257.6241440829</v>
      </c>
      <c r="G24" s="299">
        <f t="shared" si="2"/>
        <v>0</v>
      </c>
      <c r="H24" s="277">
        <f t="shared" si="8"/>
        <v>3746213.4051767047</v>
      </c>
      <c r="I24" s="299">
        <f t="shared" si="9"/>
        <v>2.3855917147759254E-2</v>
      </c>
      <c r="J24" s="299">
        <f t="shared" si="10"/>
        <v>0.13161554599921238</v>
      </c>
      <c r="K24" s="119">
        <f t="shared" si="3"/>
        <v>0.75580680282513402</v>
      </c>
      <c r="L24" s="277">
        <f t="shared" si="4"/>
        <v>2831413.5764672635</v>
      </c>
      <c r="N24" s="275"/>
      <c r="O24" s="275"/>
      <c r="P24" s="275"/>
      <c r="Q24" s="275"/>
      <c r="R24" s="275"/>
      <c r="S24" s="275"/>
      <c r="T24" s="275"/>
      <c r="U24" s="275"/>
    </row>
    <row r="25" spans="1:21">
      <c r="A25" s="302" t="str">
        <f t="shared" si="0"/>
        <v>I</v>
      </c>
      <c r="B25" s="117">
        <v>5</v>
      </c>
      <c r="C25" s="277">
        <f t="shared" si="5"/>
        <v>29142323.064263087</v>
      </c>
      <c r="D25" s="299">
        <f t="shared" si="1"/>
        <v>2.38559171477595E-2</v>
      </c>
      <c r="E25" s="299">
        <f t="shared" si="6"/>
        <v>0.17813313161397859</v>
      </c>
      <c r="F25" s="277">
        <f t="shared" si="7"/>
        <v>5191213.2699434599</v>
      </c>
      <c r="G25" s="299">
        <f t="shared" si="2"/>
        <v>0</v>
      </c>
      <c r="H25" s="277">
        <f t="shared" si="8"/>
        <v>3835582.761788426</v>
      </c>
      <c r="I25" s="299">
        <f t="shared" si="9"/>
        <v>2.3855917147759476E-2</v>
      </c>
      <c r="J25" s="299">
        <f t="shared" si="10"/>
        <v>0.13161554599921238</v>
      </c>
      <c r="K25" s="119">
        <f t="shared" si="3"/>
        <v>0.70471496766912267</v>
      </c>
      <c r="L25" s="277">
        <f t="shared" si="4"/>
        <v>2702992.581965975</v>
      </c>
      <c r="N25" s="275"/>
      <c r="O25" s="275"/>
      <c r="P25" s="275"/>
      <c r="Q25" s="275"/>
      <c r="R25" s="275"/>
      <c r="S25" s="275"/>
      <c r="T25" s="275"/>
      <c r="U25" s="275"/>
    </row>
    <row r="26" spans="1:21">
      <c r="A26" s="302" t="str">
        <f t="shared" si="0"/>
        <v>I</v>
      </c>
      <c r="B26" s="117">
        <v>6</v>
      </c>
      <c r="C26" s="277">
        <f t="shared" si="5"/>
        <v>29837539.908777386</v>
      </c>
      <c r="D26" s="299">
        <f t="shared" si="1"/>
        <v>2.38559171477595E-2</v>
      </c>
      <c r="E26" s="299">
        <f t="shared" si="6"/>
        <v>0.17813313161397859</v>
      </c>
      <c r="F26" s="277">
        <f t="shared" si="7"/>
        <v>5315054.4236075813</v>
      </c>
      <c r="G26" s="299">
        <f t="shared" si="2"/>
        <v>0</v>
      </c>
      <c r="H26" s="277">
        <f t="shared" si="8"/>
        <v>3927084.106367026</v>
      </c>
      <c r="I26" s="299">
        <f t="shared" si="9"/>
        <v>2.3855917147759698E-2</v>
      </c>
      <c r="J26" s="299">
        <f t="shared" si="10"/>
        <v>0.13161554599921241</v>
      </c>
      <c r="K26" s="119">
        <f t="shared" si="3"/>
        <v>0.65707689293158289</v>
      </c>
      <c r="L26" s="277">
        <f t="shared" si="4"/>
        <v>2580396.2228926471</v>
      </c>
    </row>
    <row r="27" spans="1:21">
      <c r="A27" s="302" t="str">
        <f t="shared" si="0"/>
        <v>I</v>
      </c>
      <c r="B27" s="117">
        <v>7</v>
      </c>
      <c r="C27" s="277">
        <f t="shared" si="5"/>
        <v>30549341.788734145</v>
      </c>
      <c r="D27" s="299">
        <f t="shared" si="1"/>
        <v>2.38559171477595E-2</v>
      </c>
      <c r="E27" s="299">
        <f t="shared" si="6"/>
        <v>0.17813313161397859</v>
      </c>
      <c r="F27" s="277">
        <f t="shared" si="7"/>
        <v>5441849.9215729954</v>
      </c>
      <c r="G27" s="299">
        <f t="shared" si="2"/>
        <v>0</v>
      </c>
      <c r="H27" s="277">
        <f t="shared" si="8"/>
        <v>4020768.2994408002</v>
      </c>
      <c r="I27" s="299">
        <f t="shared" si="9"/>
        <v>2.3855917147759254E-2</v>
      </c>
      <c r="J27" s="299">
        <f t="shared" si="10"/>
        <v>0.13161554599921238</v>
      </c>
      <c r="K27" s="119">
        <f t="shared" si="3"/>
        <v>0.61265910762851561</v>
      </c>
      <c r="L27" s="277">
        <f t="shared" si="4"/>
        <v>2463360.3183164247</v>
      </c>
    </row>
    <row r="28" spans="1:21">
      <c r="A28" s="302" t="str">
        <f t="shared" si="0"/>
        <v>I</v>
      </c>
      <c r="B28" s="117">
        <v>8</v>
      </c>
      <c r="C28" s="277">
        <f t="shared" si="5"/>
        <v>31278124.355364773</v>
      </c>
      <c r="D28" s="299">
        <f t="shared" si="1"/>
        <v>2.38559171477595E-2</v>
      </c>
      <c r="E28" s="299">
        <f t="shared" si="6"/>
        <v>0.17813313161397859</v>
      </c>
      <c r="F28" s="277">
        <f t="shared" si="7"/>
        <v>5571670.2424325822</v>
      </c>
      <c r="G28" s="299">
        <f t="shared" si="2"/>
        <v>0</v>
      </c>
      <c r="H28" s="277">
        <f t="shared" si="8"/>
        <v>4116687.4148625974</v>
      </c>
      <c r="I28" s="299">
        <f t="shared" si="9"/>
        <v>2.3855917147759476E-2</v>
      </c>
      <c r="J28" s="299">
        <f t="shared" si="10"/>
        <v>0.13161554599921238</v>
      </c>
      <c r="K28" s="119">
        <f t="shared" si="3"/>
        <v>0.5712439231967511</v>
      </c>
      <c r="L28" s="277">
        <f t="shared" si="4"/>
        <v>2351632.6694408013</v>
      </c>
    </row>
    <row r="29" spans="1:21">
      <c r="A29" s="302" t="str">
        <f t="shared" si="0"/>
        <v>I</v>
      </c>
      <c r="B29" s="117">
        <v>9</v>
      </c>
      <c r="C29" s="277">
        <f t="shared" si="5"/>
        <v>32024292.698523674</v>
      </c>
      <c r="D29" s="299">
        <f t="shared" si="1"/>
        <v>2.38559171477595E-2</v>
      </c>
      <c r="E29" s="299">
        <f t="shared" si="6"/>
        <v>0.17813313161397859</v>
      </c>
      <c r="F29" s="277">
        <f t="shared" si="7"/>
        <v>5704587.5461106915</v>
      </c>
      <c r="G29" s="299">
        <f t="shared" si="2"/>
        <v>0</v>
      </c>
      <c r="H29" s="277">
        <f t="shared" si="8"/>
        <v>4214894.7687547849</v>
      </c>
      <c r="I29" s="299">
        <f t="shared" si="9"/>
        <v>2.3855917147759698E-2</v>
      </c>
      <c r="J29" s="299">
        <f t="shared" si="10"/>
        <v>0.13161554599921241</v>
      </c>
      <c r="K29" s="119">
        <f t="shared" si="3"/>
        <v>0.53262836661701729</v>
      </c>
      <c r="L29" s="277">
        <f t="shared" si="4"/>
        <v>2244972.5161444717</v>
      </c>
    </row>
    <row r="30" spans="1:21">
      <c r="A30" s="302" t="str">
        <f t="shared" si="0"/>
        <v>I</v>
      </c>
      <c r="B30" s="117">
        <v>10</v>
      </c>
      <c r="C30" s="277">
        <f t="shared" si="5"/>
        <v>32788261.571855254</v>
      </c>
      <c r="D30" s="299">
        <f t="shared" si="1"/>
        <v>2.38559171477595E-2</v>
      </c>
      <c r="E30" s="299">
        <f t="shared" si="6"/>
        <v>0.17813313161397859</v>
      </c>
      <c r="F30" s="277">
        <f t="shared" si="7"/>
        <v>5840675.7139728488</v>
      </c>
      <c r="G30" s="299">
        <f t="shared" si="2"/>
        <v>0</v>
      </c>
      <c r="H30" s="277">
        <f t="shared" si="8"/>
        <v>4315444.9491447238</v>
      </c>
      <c r="I30" s="299">
        <f t="shared" si="9"/>
        <v>2.3855917147759476E-2</v>
      </c>
      <c r="J30" s="299">
        <f t="shared" si="10"/>
        <v>0.13161554599921241</v>
      </c>
      <c r="K30" s="119">
        <f t="shared" si="3"/>
        <v>0.49662318565689262</v>
      </c>
      <c r="L30" s="277">
        <f t="shared" si="4"/>
        <v>2143150.0181711996</v>
      </c>
    </row>
    <row r="31" spans="1:21">
      <c r="A31" s="302" t="str">
        <f t="shared" si="0"/>
        <v>I</v>
      </c>
      <c r="B31" s="117">
        <v>11</v>
      </c>
      <c r="C31" s="277">
        <f t="shared" si="5"/>
        <v>33570455.6233325</v>
      </c>
      <c r="D31" s="299">
        <f t="shared" si="1"/>
        <v>2.38559171477595E-2</v>
      </c>
      <c r="E31" s="299">
        <f t="shared" si="6"/>
        <v>0.17813313161397859</v>
      </c>
      <c r="F31" s="277">
        <f t="shared" si="7"/>
        <v>5980010.3898923164</v>
      </c>
      <c r="G31" s="299">
        <f t="shared" si="2"/>
        <v>0</v>
      </c>
      <c r="H31" s="277">
        <f t="shared" si="8"/>
        <v>4418393.8463072376</v>
      </c>
      <c r="I31" s="299">
        <f t="shared" si="9"/>
        <v>2.3855917147759476E-2</v>
      </c>
      <c r="J31" s="299">
        <f t="shared" si="10"/>
        <v>0.13161554599921241</v>
      </c>
      <c r="K31" s="119">
        <f t="shared" si="3"/>
        <v>0.46305192135840806</v>
      </c>
      <c r="L31" s="277">
        <f t="shared" si="4"/>
        <v>2045945.7598507332</v>
      </c>
    </row>
    <row r="32" spans="1:21">
      <c r="A32" s="302" t="str">
        <f t="shared" si="0"/>
        <v>I</v>
      </c>
      <c r="B32" s="117">
        <v>12</v>
      </c>
      <c r="C32" s="277">
        <f t="shared" si="5"/>
        <v>34371309.631295256</v>
      </c>
      <c r="D32" s="299">
        <f t="shared" si="1"/>
        <v>2.38559171477595E-2</v>
      </c>
      <c r="E32" s="299">
        <f t="shared" si="6"/>
        <v>0.17813313161397859</v>
      </c>
      <c r="F32" s="277">
        <f t="shared" si="7"/>
        <v>6122669.0222963281</v>
      </c>
      <c r="G32" s="299">
        <f t="shared" si="2"/>
        <v>0</v>
      </c>
      <c r="H32" s="277">
        <f t="shared" si="8"/>
        <v>4523798.6838309132</v>
      </c>
      <c r="I32" s="299">
        <f t="shared" si="9"/>
        <v>2.3855917147759476E-2</v>
      </c>
      <c r="J32" s="299">
        <f t="shared" si="10"/>
        <v>0.13161554599921241</v>
      </c>
      <c r="K32" s="119">
        <f t="shared" si="3"/>
        <v>0.43175004322462285</v>
      </c>
      <c r="L32" s="277">
        <f t="shared" si="4"/>
        <v>1953150.2772834888</v>
      </c>
    </row>
    <row r="33" spans="1:21">
      <c r="A33" s="302" t="str">
        <f t="shared" si="0"/>
        <v>I</v>
      </c>
      <c r="B33" s="117">
        <v>13</v>
      </c>
      <c r="C33" s="277">
        <f t="shared" si="5"/>
        <v>35191268.746119425</v>
      </c>
      <c r="D33" s="299">
        <f t="shared" si="1"/>
        <v>2.38559171477595E-2</v>
      </c>
      <c r="E33" s="299">
        <f t="shared" si="6"/>
        <v>0.17813313161397859</v>
      </c>
      <c r="F33" s="277">
        <f t="shared" si="7"/>
        <v>6268730.9072153829</v>
      </c>
      <c r="G33" s="299">
        <f t="shared" si="2"/>
        <v>0</v>
      </c>
      <c r="H33" s="277">
        <f t="shared" si="8"/>
        <v>4631718.0504255267</v>
      </c>
      <c r="I33" s="299">
        <f t="shared" si="9"/>
        <v>2.3855917147759476E-2</v>
      </c>
      <c r="J33" s="299">
        <f t="shared" si="10"/>
        <v>0.13161554599921241</v>
      </c>
      <c r="K33" s="119">
        <f t="shared" si="3"/>
        <v>0.40256414286678116</v>
      </c>
      <c r="L33" s="277">
        <f t="shared" si="4"/>
        <v>1864563.6069701507</v>
      </c>
      <c r="N33" s="275"/>
      <c r="O33" s="275"/>
      <c r="P33" s="275"/>
      <c r="Q33" s="275"/>
      <c r="R33" s="275"/>
      <c r="S33" s="275"/>
      <c r="T33" s="275"/>
      <c r="U33" s="275"/>
    </row>
    <row r="34" spans="1:21">
      <c r="A34" s="302" t="str">
        <f t="shared" si="0"/>
        <v>I</v>
      </c>
      <c r="B34" s="117">
        <v>14</v>
      </c>
      <c r="C34" s="277">
        <f t="shared" si="5"/>
        <v>36030788.737651385</v>
      </c>
      <c r="D34" s="299">
        <f t="shared" si="1"/>
        <v>2.38559171477595E-2</v>
      </c>
      <c r="E34" s="299">
        <f t="shared" si="6"/>
        <v>0.17813313161397859</v>
      </c>
      <c r="F34" s="277">
        <f t="shared" si="7"/>
        <v>6418277.2323595118</v>
      </c>
      <c r="G34" s="299">
        <f t="shared" si="2"/>
        <v>0</v>
      </c>
      <c r="H34" s="277">
        <f t="shared" si="8"/>
        <v>4742211.9324882589</v>
      </c>
      <c r="I34" s="299">
        <f t="shared" si="9"/>
        <v>2.3855917147759254E-2</v>
      </c>
      <c r="J34" s="299">
        <f t="shared" si="10"/>
        <v>0.13161554599921238</v>
      </c>
      <c r="K34" s="119">
        <f t="shared" si="3"/>
        <v>0.37535118216016894</v>
      </c>
      <c r="L34" s="277">
        <f t="shared" si="4"/>
        <v>1779994.8549135271</v>
      </c>
      <c r="N34" s="275"/>
      <c r="O34" s="275"/>
      <c r="P34" s="275"/>
      <c r="Q34" s="275"/>
      <c r="R34" s="275"/>
      <c r="S34" s="275"/>
      <c r="T34" s="275"/>
      <c r="U34" s="275"/>
    </row>
    <row r="35" spans="1:21">
      <c r="A35" s="302" t="str">
        <f t="shared" si="0"/>
        <v>I</v>
      </c>
      <c r="B35" s="117">
        <v>15</v>
      </c>
      <c r="C35" s="277">
        <f t="shared" si="5"/>
        <v>36890336.248545222</v>
      </c>
      <c r="D35" s="299">
        <f t="shared" si="1"/>
        <v>2.38559171477595E-2</v>
      </c>
      <c r="E35" s="299">
        <f t="shared" si="6"/>
        <v>0.17813313161397859</v>
      </c>
      <c r="F35" s="277">
        <f t="shared" si="7"/>
        <v>6571391.1222460316</v>
      </c>
      <c r="G35" s="299">
        <f t="shared" si="2"/>
        <v>0</v>
      </c>
      <c r="H35" s="277">
        <f t="shared" si="8"/>
        <v>4855341.7474468164</v>
      </c>
      <c r="I35" s="299">
        <f t="shared" si="9"/>
        <v>2.3855917147759698E-2</v>
      </c>
      <c r="J35" s="299">
        <f t="shared" si="10"/>
        <v>0.13161554599921241</v>
      </c>
      <c r="K35" s="119">
        <f t="shared" si="3"/>
        <v>0.34997779222393377</v>
      </c>
      <c r="L35" s="277">
        <f t="shared" si="4"/>
        <v>1699261.7852641335</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417</v>
      </c>
      <c r="B51" s="316">
        <f>C15+1</f>
        <v>16</v>
      </c>
      <c r="C51" s="277">
        <f>VLOOKUP(C15,B21:C50,2,FALSE)*(1+Terminal_Growth)</f>
        <v>37628142.973516129</v>
      </c>
      <c r="D51" s="301">
        <f>Terminal_Growth</f>
        <v>0.02</v>
      </c>
      <c r="E51" s="301">
        <f>F17</f>
        <v>0.17813313161397862</v>
      </c>
      <c r="F51" s="277">
        <f>C51*E51</f>
        <v>6702818.944690953</v>
      </c>
      <c r="G51" s="299">
        <f>F18</f>
        <v>0</v>
      </c>
      <c r="H51" s="277">
        <f>(F51*(1-$I$10)+C51*(G51-$I$9))/Equity_Cost</f>
        <v>68309635.619251773</v>
      </c>
      <c r="I51" s="415">
        <f>(F51*(1-$I$10)+C51*(G51-$I$9))/VLOOKUP(C15,B21:H50,COLUMN(H20)-1,FALSE)-1</f>
        <v>2.0000000000000018E-2</v>
      </c>
      <c r="J51" s="454"/>
      <c r="K51" s="119">
        <f>1/(1+Equity_Cost)^C15</f>
        <v>0.34997779222393377</v>
      </c>
      <c r="L51" s="277">
        <f t="shared" si="4"/>
        <v>23906855.461647123</v>
      </c>
    </row>
    <row r="52" spans="1:21" ht="13.15">
      <c r="G52" s="111"/>
      <c r="H52" s="111"/>
      <c r="I52" s="111"/>
      <c r="J52" s="468" t="s">
        <v>419</v>
      </c>
      <c r="K52" s="468"/>
      <c r="L52" s="317">
        <f>SUM(L21:L51)</f>
        <v>59894933.196280144</v>
      </c>
    </row>
    <row r="53" spans="1:21">
      <c r="C53" s="111"/>
    </row>
    <row r="54" spans="1:21" ht="13.15">
      <c r="B54" s="115" t="s">
        <v>107</v>
      </c>
      <c r="C54" s="128"/>
      <c r="D54" s="128"/>
      <c r="E54" s="113"/>
      <c r="F54" s="113"/>
      <c r="G54" s="113"/>
      <c r="H54" s="113"/>
      <c r="I54" s="113"/>
      <c r="J54" s="113"/>
      <c r="K54" s="113"/>
      <c r="L54" s="113"/>
    </row>
    <row r="55" spans="1:21" ht="13.15">
      <c r="A55" s="125">
        <f>L52</f>
        <v>59894933.196280144</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47898650.046503305</v>
      </c>
      <c r="C56" s="118">
        <v>48377636.546968326</v>
      </c>
      <c r="D56" s="118">
        <v>48856623.047433369</v>
      </c>
      <c r="E56" s="118">
        <v>49335609.547898404</v>
      </c>
      <c r="F56" s="118">
        <v>50293582.548828468</v>
      </c>
      <c r="G56" s="295"/>
      <c r="H56" s="295"/>
      <c r="I56" s="295"/>
      <c r="J56" s="295"/>
      <c r="K56" s="295"/>
      <c r="L56" s="295"/>
    </row>
    <row r="57" spans="1:21" ht="13.15">
      <c r="A57" s="131">
        <v>2</v>
      </c>
      <c r="B57" s="118">
        <v>47839374.914560109</v>
      </c>
      <c r="C57" s="118">
        <v>48768842.197943166</v>
      </c>
      <c r="D57" s="118">
        <v>49707241.630519047</v>
      </c>
      <c r="E57" s="118">
        <v>50654573.212287761</v>
      </c>
      <c r="F57" s="118">
        <v>52576032.823403649</v>
      </c>
      <c r="G57" s="295"/>
      <c r="H57" s="295"/>
      <c r="I57" s="295"/>
      <c r="J57" s="295"/>
      <c r="K57" s="295"/>
      <c r="L57" s="295"/>
    </row>
    <row r="58" spans="1:21" ht="13.15">
      <c r="A58" s="131">
        <v>3</v>
      </c>
      <c r="B58" s="118">
        <v>47784106.726268068</v>
      </c>
      <c r="C58" s="118">
        <v>49137250.316809908</v>
      </c>
      <c r="D58" s="118">
        <v>50516221.541705444</v>
      </c>
      <c r="E58" s="118">
        <v>51921270.251281746</v>
      </c>
      <c r="F58" s="118">
        <v>54810599.52578494</v>
      </c>
      <c r="G58" s="295"/>
      <c r="H58" s="295"/>
      <c r="I58" s="295"/>
      <c r="J58" s="295"/>
      <c r="K58" s="295"/>
      <c r="L58" s="295"/>
    </row>
    <row r="59" spans="1:21" ht="13.15">
      <c r="A59" s="131">
        <v>4</v>
      </c>
      <c r="B59" s="118">
        <v>47732574.615972459</v>
      </c>
      <c r="C59" s="118">
        <v>49484189.431080669</v>
      </c>
      <c r="D59" s="118">
        <v>51285601.037658915</v>
      </c>
      <c r="E59" s="118">
        <v>53137771.83651606</v>
      </c>
      <c r="F59" s="118">
        <v>56998287.20643796</v>
      </c>
      <c r="G59" s="295"/>
      <c r="H59" s="295"/>
      <c r="I59" s="295"/>
      <c r="J59" s="295"/>
      <c r="K59" s="295"/>
      <c r="L59" s="295"/>
    </row>
    <row r="60" spans="1:21" ht="13.15">
      <c r="A60" s="131">
        <v>5</v>
      </c>
      <c r="B60" s="118">
        <v>47684526.028284252</v>
      </c>
      <c r="C60" s="118">
        <v>49810910.648249418</v>
      </c>
      <c r="D60" s="118">
        <v>52017318.60024406</v>
      </c>
      <c r="E60" s="118">
        <v>54306067.065225929</v>
      </c>
      <c r="F60" s="118">
        <v>59140079.341343015</v>
      </c>
      <c r="G60" s="295"/>
      <c r="H60" s="295"/>
      <c r="I60" s="295"/>
      <c r="J60" s="295"/>
      <c r="K60" s="295"/>
      <c r="L60" s="295"/>
    </row>
    <row r="61" spans="1:21" ht="13.15">
      <c r="A61" s="131">
        <v>6</v>
      </c>
      <c r="B61" s="118">
        <v>47639725.480323218</v>
      </c>
      <c r="C61" s="118">
        <v>50118592.167447962</v>
      </c>
      <c r="D61" s="118">
        <v>52713217.820604742</v>
      </c>
      <c r="E61" s="118">
        <v>55428066.212611631</v>
      </c>
      <c r="F61" s="118">
        <v>61236938.774117187</v>
      </c>
      <c r="G61" s="295"/>
      <c r="H61" s="295"/>
      <c r="I61" s="295"/>
      <c r="J61" s="295"/>
      <c r="K61" s="295"/>
      <c r="L61" s="295"/>
    </row>
    <row r="62" spans="1:21" ht="13.15">
      <c r="A62" s="131">
        <v>7</v>
      </c>
      <c r="B62" s="118">
        <v>47597953.407632276</v>
      </c>
      <c r="C62" s="118">
        <v>50408343.528185055</v>
      </c>
      <c r="D62" s="118">
        <v>53375052.044164553</v>
      </c>
      <c r="E62" s="118">
        <v>56505603.855322391</v>
      </c>
      <c r="F62" s="118">
        <v>63289808.14886114</v>
      </c>
      <c r="G62" s="295"/>
      <c r="H62" s="295"/>
      <c r="I62" s="295"/>
      <c r="J62" s="295"/>
      <c r="K62" s="295"/>
      <c r="L62" s="295"/>
    </row>
    <row r="63" spans="1:21" ht="13.15">
      <c r="A63" s="131">
        <v>8</v>
      </c>
      <c r="B63" s="118">
        <v>47559005.08810693</v>
      </c>
      <c r="C63" s="118">
        <v>50681209.611489914</v>
      </c>
      <c r="D63" s="118">
        <v>54004488.788249418</v>
      </c>
      <c r="E63" s="118">
        <v>57540441.871165812</v>
      </c>
      <c r="F63" s="118">
        <v>65299610.333925158</v>
      </c>
      <c r="G63" s="295"/>
      <c r="H63" s="295"/>
      <c r="I63" s="295"/>
      <c r="J63" s="295"/>
      <c r="K63" s="295"/>
      <c r="L63" s="295"/>
    </row>
    <row r="64" spans="1:21" ht="13.15">
      <c r="A64" s="131">
        <v>9</v>
      </c>
      <c r="B64" s="118">
        <v>47522689.638666034</v>
      </c>
      <c r="C64" s="118">
        <v>50938174.407888889</v>
      </c>
      <c r="D64" s="118">
        <v>54603113.94346299</v>
      </c>
      <c r="E64" s="118">
        <v>58534272.319947846</v>
      </c>
      <c r="F64" s="118">
        <v>67267248.836785018</v>
      </c>
      <c r="G64" s="295"/>
      <c r="H64" s="295"/>
      <c r="I64" s="295"/>
      <c r="J64" s="295"/>
      <c r="K64" s="295"/>
      <c r="L64" s="295"/>
    </row>
    <row r="65" spans="1:21" ht="13.15">
      <c r="A65" s="131">
        <v>10</v>
      </c>
      <c r="B65" s="118">
        <v>47488829.079746798</v>
      </c>
      <c r="C65" s="118">
        <v>51180164.565803066</v>
      </c>
      <c r="D65" s="118">
        <v>55172435.769400366</v>
      </c>
      <c r="E65" s="118">
        <v>59488720.210153431</v>
      </c>
      <c r="F65" s="118">
        <v>69193608.210214257</v>
      </c>
      <c r="G65" s="295"/>
      <c r="H65" s="295"/>
      <c r="I65" s="295"/>
      <c r="J65" s="295"/>
      <c r="K65" s="295"/>
      <c r="L65" s="295"/>
    </row>
    <row r="66" spans="1:21" ht="13.15">
      <c r="A66" s="131">
        <v>15</v>
      </c>
      <c r="B66" s="118">
        <v>47350918.51098527</v>
      </c>
      <c r="C66" s="277">
        <v>52194319.613965422</v>
      </c>
      <c r="D66" s="118">
        <v>57627313.388360702</v>
      </c>
      <c r="E66" s="118">
        <v>63722729.079046778</v>
      </c>
      <c r="F66" s="118">
        <v>78235900.063363716</v>
      </c>
      <c r="G66" s="295"/>
      <c r="H66" s="295"/>
      <c r="I66" s="295"/>
      <c r="J66" s="295"/>
      <c r="K66" s="295"/>
      <c r="L66" s="295"/>
      <c r="M66" s="275"/>
      <c r="N66" s="275"/>
      <c r="O66" s="275"/>
      <c r="P66" s="275"/>
      <c r="Q66" s="275"/>
      <c r="R66" s="275"/>
      <c r="S66" s="275"/>
      <c r="T66" s="275"/>
      <c r="U66" s="275"/>
    </row>
    <row r="67" spans="1:21" ht="13.15">
      <c r="A67" s="132">
        <v>20</v>
      </c>
      <c r="B67" s="118">
        <v>47253730.868979275</v>
      </c>
      <c r="C67" s="277">
        <v>52945466.240991868</v>
      </c>
      <c r="D67" s="118">
        <v>59537361.035080537</v>
      </c>
      <c r="E67" s="118">
        <v>67181735.614997059</v>
      </c>
      <c r="F67" s="118">
        <v>86368670.459109664</v>
      </c>
      <c r="G67" s="295"/>
      <c r="H67" s="295"/>
      <c r="I67" s="295"/>
      <c r="J67" s="295"/>
      <c r="K67" s="295"/>
      <c r="L67" s="295"/>
      <c r="M67" s="275"/>
      <c r="N67" s="275"/>
      <c r="O67" s="275"/>
      <c r="P67" s="275"/>
      <c r="Q67" s="275"/>
      <c r="R67" s="275"/>
      <c r="S67" s="275"/>
      <c r="T67" s="275"/>
      <c r="U67" s="275"/>
    </row>
    <row r="68" spans="1:21" ht="13.15">
      <c r="A68" s="132">
        <v>25</v>
      </c>
      <c r="B68" s="118">
        <v>47185241.282985173</v>
      </c>
      <c r="C68" s="277">
        <v>53501812.3897544</v>
      </c>
      <c r="D68" s="118">
        <v>61023497.038179986</v>
      </c>
      <c r="E68" s="118">
        <v>70007597.956394106</v>
      </c>
      <c r="F68" s="118">
        <v>93683403.867862046</v>
      </c>
      <c r="G68" s="295"/>
      <c r="H68" s="295"/>
      <c r="I68" s="295"/>
      <c r="J68" s="295"/>
      <c r="K68" s="295"/>
      <c r="L68" s="295"/>
      <c r="M68" s="275"/>
      <c r="N68" s="275"/>
      <c r="O68" s="275"/>
      <c r="P68" s="275"/>
      <c r="Q68" s="275"/>
      <c r="R68" s="275"/>
      <c r="S68" s="275"/>
      <c r="T68" s="275"/>
      <c r="U68" s="275"/>
    </row>
    <row r="69" spans="1:21" ht="13.15">
      <c r="A69" s="132">
        <v>30</v>
      </c>
      <c r="B69" s="118">
        <v>47136975.64660567</v>
      </c>
      <c r="C69" s="277">
        <v>53913877.126659632</v>
      </c>
      <c r="D69" s="118">
        <v>62179803.386611275</v>
      </c>
      <c r="E69" s="118">
        <v>72316208.214724287</v>
      </c>
      <c r="F69" s="118">
        <v>100262382.76896387</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108</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6.013677622652132</v>
      </c>
      <c r="C73" s="119">
        <f>C11</f>
        <v>6.013677622652132</v>
      </c>
      <c r="D73" s="119">
        <f>C11</f>
        <v>6.013677622652132</v>
      </c>
      <c r="E73" s="119">
        <f>C11</f>
        <v>6.013677622652132</v>
      </c>
      <c r="F73" s="119">
        <f>C11</f>
        <v>6.013677622652132</v>
      </c>
      <c r="G73" s="296"/>
      <c r="H73" s="296"/>
      <c r="I73" s="296"/>
      <c r="J73" s="296"/>
      <c r="K73" s="296"/>
      <c r="L73" s="296"/>
    </row>
    <row r="74" spans="1:21" ht="13.15">
      <c r="A74" s="131">
        <v>1</v>
      </c>
      <c r="B74" s="119">
        <f t="shared" ref="B74:F87" si="11">(B56+FV_adjustments)/Common_Shares*scaling_factor*Exchange_Rate</f>
        <v>4.4445099542440394</v>
      </c>
      <c r="C74" s="119">
        <f t="shared" si="11"/>
        <v>4.4855033774566744</v>
      </c>
      <c r="D74" s="119">
        <f t="shared" si="11"/>
        <v>4.5264968006693103</v>
      </c>
      <c r="E74" s="119">
        <f t="shared" si="11"/>
        <v>4.5674902238819453</v>
      </c>
      <c r="F74" s="119">
        <f t="shared" si="11"/>
        <v>4.649477070307217</v>
      </c>
      <c r="G74" s="296"/>
      <c r="H74" s="296"/>
      <c r="I74" s="296"/>
      <c r="J74" s="296"/>
      <c r="K74" s="296"/>
      <c r="L74" s="296"/>
    </row>
    <row r="75" spans="1:21" ht="13.15">
      <c r="A75" s="131">
        <v>2</v>
      </c>
      <c r="B75" s="119">
        <f t="shared" si="11"/>
        <v>4.4394369708355859</v>
      </c>
      <c r="C75" s="119">
        <f t="shared" si="11"/>
        <v>4.5189841933001613</v>
      </c>
      <c r="D75" s="119">
        <f t="shared" si="11"/>
        <v>4.5992958618852517</v>
      </c>
      <c r="E75" s="119">
        <f t="shared" si="11"/>
        <v>4.6803719765908598</v>
      </c>
      <c r="F75" s="119">
        <f t="shared" si="11"/>
        <v>4.8448175443636199</v>
      </c>
      <c r="G75" s="296"/>
      <c r="H75" s="296"/>
      <c r="I75" s="296"/>
      <c r="J75" s="296"/>
      <c r="K75" s="296"/>
      <c r="L75" s="296"/>
    </row>
    <row r="76" spans="1:21" ht="13.15">
      <c r="A76" s="131">
        <v>3</v>
      </c>
      <c r="B76" s="119">
        <f t="shared" si="11"/>
        <v>4.4347069163754886</v>
      </c>
      <c r="C76" s="119">
        <f t="shared" si="11"/>
        <v>4.5505139126492722</v>
      </c>
      <c r="D76" s="119">
        <f t="shared" si="11"/>
        <v>4.6685313326920239</v>
      </c>
      <c r="E76" s="119">
        <f t="shared" si="11"/>
        <v>4.7887805596120074</v>
      </c>
      <c r="F76" s="119">
        <f t="shared" si="11"/>
        <v>5.0360599665167403</v>
      </c>
      <c r="G76" s="296"/>
      <c r="H76" s="296"/>
      <c r="I76" s="296"/>
      <c r="J76" s="296"/>
      <c r="K76" s="296"/>
      <c r="L76" s="296"/>
    </row>
    <row r="77" spans="1:21" ht="13.15">
      <c r="A77" s="131">
        <v>4</v>
      </c>
      <c r="B77" s="119">
        <f t="shared" si="11"/>
        <v>4.4302966091865859</v>
      </c>
      <c r="C77" s="119">
        <f t="shared" si="11"/>
        <v>4.5802062357659166</v>
      </c>
      <c r="D77" s="119">
        <f t="shared" si="11"/>
        <v>4.7343776545781813</v>
      </c>
      <c r="E77" s="119">
        <f t="shared" si="11"/>
        <v>4.8928932314178653</v>
      </c>
      <c r="F77" s="119">
        <f t="shared" si="11"/>
        <v>5.2232903098834331</v>
      </c>
      <c r="G77" s="296"/>
      <c r="H77" s="296"/>
      <c r="I77" s="296"/>
      <c r="J77" s="296"/>
      <c r="K77" s="296"/>
      <c r="L77" s="296"/>
    </row>
    <row r="78" spans="1:21" ht="13.15">
      <c r="A78" s="131">
        <v>5</v>
      </c>
      <c r="B78" s="119">
        <f t="shared" si="11"/>
        <v>4.4261844346514794</v>
      </c>
      <c r="C78" s="119">
        <f t="shared" si="11"/>
        <v>4.6081682370226167</v>
      </c>
      <c r="D78" s="119">
        <f t="shared" si="11"/>
        <v>4.7970007299384454</v>
      </c>
      <c r="E78" s="119">
        <f t="shared" si="11"/>
        <v>4.992880226252395</v>
      </c>
      <c r="F78" s="119">
        <f t="shared" si="11"/>
        <v>5.4065927439487265</v>
      </c>
      <c r="G78" s="296"/>
      <c r="H78" s="296"/>
      <c r="I78" s="296"/>
      <c r="J78" s="296"/>
      <c r="K78" s="296"/>
      <c r="L78" s="296"/>
    </row>
    <row r="79" spans="1:21" ht="13.15">
      <c r="A79" s="131">
        <v>6</v>
      </c>
      <c r="B79" s="119">
        <f t="shared" si="11"/>
        <v>4.4223502392807497</v>
      </c>
      <c r="C79" s="119">
        <f t="shared" si="11"/>
        <v>4.6345007510265956</v>
      </c>
      <c r="D79" s="119">
        <f t="shared" si="11"/>
        <v>4.8565583400712828</v>
      </c>
      <c r="E79" s="119">
        <f t="shared" si="11"/>
        <v>5.0889050324804286</v>
      </c>
      <c r="F79" s="119">
        <f t="shared" si="11"/>
        <v>5.5860496724042585</v>
      </c>
      <c r="G79" s="296"/>
      <c r="H79" s="296"/>
      <c r="I79" s="296"/>
      <c r="J79" s="296"/>
      <c r="K79" s="296"/>
      <c r="L79" s="296"/>
    </row>
    <row r="80" spans="1:21" ht="13.15">
      <c r="A80" s="131">
        <f t="shared" ref="A80" si="12">A62</f>
        <v>7</v>
      </c>
      <c r="B80" s="119">
        <f t="shared" si="11"/>
        <v>4.4187752319420754</v>
      </c>
      <c r="C80" s="119">
        <f t="shared" si="11"/>
        <v>4.6592987362424658</v>
      </c>
      <c r="D80" s="119">
        <f t="shared" si="11"/>
        <v>4.9132005427151011</v>
      </c>
      <c r="E80" s="119">
        <f t="shared" si="11"/>
        <v>5.1811246599068861</v>
      </c>
      <c r="F80" s="119">
        <f t="shared" si="11"/>
        <v>5.7617417701928915</v>
      </c>
      <c r="G80" s="296"/>
      <c r="H80" s="296"/>
      <c r="I80" s="296"/>
      <c r="J80" s="296"/>
      <c r="K80" s="296"/>
      <c r="L80" s="296"/>
    </row>
    <row r="81" spans="1:12" ht="13.15">
      <c r="A81" s="131">
        <v>8</v>
      </c>
      <c r="B81" s="119">
        <f t="shared" si="11"/>
        <v>4.4154418917661555</v>
      </c>
      <c r="C81" s="119">
        <f t="shared" si="11"/>
        <v>4.6826516174247752</v>
      </c>
      <c r="D81" s="119">
        <f t="shared" si="11"/>
        <v>4.9670700501246072</v>
      </c>
      <c r="E81" s="119">
        <f t="shared" si="11"/>
        <v>5.2696898965029231</v>
      </c>
      <c r="F81" s="119">
        <f t="shared" si="11"/>
        <v>5.9337480197761687</v>
      </c>
      <c r="G81" s="296"/>
      <c r="H81" s="296"/>
      <c r="I81" s="296"/>
      <c r="J81" s="296"/>
      <c r="K81" s="296"/>
      <c r="L81" s="296"/>
    </row>
    <row r="82" spans="1:12" ht="13.15">
      <c r="A82" s="131">
        <f t="shared" ref="A82" si="13">A64</f>
        <v>9</v>
      </c>
      <c r="B82" s="119">
        <f t="shared" si="11"/>
        <v>4.4123338822781166</v>
      </c>
      <c r="C82" s="119">
        <f t="shared" si="11"/>
        <v>4.7046436080952949</v>
      </c>
      <c r="D82" s="119">
        <f t="shared" si="11"/>
        <v>5.0183025886399406</v>
      </c>
      <c r="E82" s="119">
        <f t="shared" si="11"/>
        <v>5.3547455549587912</v>
      </c>
      <c r="F82" s="119">
        <f t="shared" si="11"/>
        <v>6.1021457466409137</v>
      </c>
      <c r="G82" s="296"/>
      <c r="H82" s="296"/>
      <c r="I82" s="296"/>
      <c r="J82" s="296"/>
      <c r="K82" s="296"/>
      <c r="L82" s="296"/>
    </row>
    <row r="83" spans="1:12" ht="13.15">
      <c r="A83" s="131">
        <f t="shared" ref="A83:A87" si="14">A65</f>
        <v>10</v>
      </c>
      <c r="B83" s="119">
        <f t="shared" si="11"/>
        <v>4.4094359713335605</v>
      </c>
      <c r="C83" s="119">
        <f t="shared" si="11"/>
        <v>4.7253540142279054</v>
      </c>
      <c r="D83" s="119">
        <f t="shared" si="11"/>
        <v>5.0670272406545225</v>
      </c>
      <c r="E83" s="119">
        <f t="shared" si="11"/>
        <v>5.4364307094665243</v>
      </c>
      <c r="F83" s="119">
        <f t="shared" si="11"/>
        <v>6.2670106540609449</v>
      </c>
      <c r="G83" s="296"/>
      <c r="H83" s="296"/>
      <c r="I83" s="296"/>
      <c r="J83" s="296"/>
      <c r="K83" s="296"/>
      <c r="L83" s="296"/>
    </row>
    <row r="84" spans="1:12" ht="13.15">
      <c r="A84" s="131">
        <f t="shared" si="14"/>
        <v>15</v>
      </c>
      <c r="B84" s="119">
        <f t="shared" si="11"/>
        <v>4.3976330785479636</v>
      </c>
      <c r="C84" s="119">
        <f t="shared" si="11"/>
        <v>4.8121491265164309</v>
      </c>
      <c r="D84" s="119">
        <f t="shared" si="11"/>
        <v>5.2771246798758069</v>
      </c>
      <c r="E84" s="119">
        <f t="shared" si="11"/>
        <v>5.798792732780516</v>
      </c>
      <c r="F84" s="119">
        <f t="shared" si="11"/>
        <v>7.0408831878138738</v>
      </c>
      <c r="G84" s="296"/>
      <c r="H84" s="296"/>
      <c r="I84" s="296"/>
      <c r="J84" s="296"/>
      <c r="K84" s="296"/>
      <c r="L84" s="296"/>
    </row>
    <row r="85" spans="1:12" ht="13.15">
      <c r="A85" s="132">
        <f t="shared" si="14"/>
        <v>20</v>
      </c>
      <c r="B85" s="119">
        <f t="shared" si="11"/>
        <v>4.389315403340162</v>
      </c>
      <c r="C85" s="119">
        <f t="shared" si="11"/>
        <v>4.876435012541493</v>
      </c>
      <c r="D85" s="119">
        <f t="shared" si="11"/>
        <v>5.4405935698388168</v>
      </c>
      <c r="E85" s="119">
        <f t="shared" si="11"/>
        <v>6.0948272111756632</v>
      </c>
      <c r="F85" s="119">
        <f t="shared" si="11"/>
        <v>7.7369155361166539</v>
      </c>
      <c r="G85" s="296"/>
      <c r="H85" s="296"/>
      <c r="I85" s="296"/>
      <c r="J85" s="296"/>
      <c r="K85" s="296"/>
      <c r="L85" s="296"/>
    </row>
    <row r="86" spans="1:12" ht="13.15">
      <c r="A86" s="132">
        <f t="shared" si="14"/>
        <v>25</v>
      </c>
      <c r="B86" s="119">
        <f t="shared" si="11"/>
        <v>4.383453813125012</v>
      </c>
      <c r="C86" s="119">
        <f t="shared" si="11"/>
        <v>4.9240491584658574</v>
      </c>
      <c r="D86" s="119">
        <f t="shared" si="11"/>
        <v>5.5677825450342411</v>
      </c>
      <c r="E86" s="119">
        <f t="shared" si="11"/>
        <v>6.3366748849390602</v>
      </c>
      <c r="F86" s="119">
        <f t="shared" si="11"/>
        <v>8.3629372758138505</v>
      </c>
      <c r="G86" s="296"/>
      <c r="H86" s="296"/>
      <c r="I86" s="296"/>
      <c r="J86" s="296"/>
      <c r="K86" s="296"/>
      <c r="L86" s="296"/>
    </row>
    <row r="87" spans="1:12" ht="13.15">
      <c r="A87" s="132">
        <f t="shared" si="14"/>
        <v>30</v>
      </c>
      <c r="B87" s="119">
        <f t="shared" si="11"/>
        <v>4.3793230627660549</v>
      </c>
      <c r="C87" s="119">
        <f t="shared" si="11"/>
        <v>4.9593151714632162</v>
      </c>
      <c r="D87" s="119">
        <f t="shared" si="11"/>
        <v>5.6667434874797609</v>
      </c>
      <c r="E87" s="119">
        <f t="shared" si="11"/>
        <v>6.5342542264463477</v>
      </c>
      <c r="F87" s="119">
        <f t="shared" si="11"/>
        <v>8.9259904435712496</v>
      </c>
      <c r="G87" s="296"/>
      <c r="H87" s="296"/>
      <c r="I87" s="296"/>
      <c r="J87" s="296"/>
      <c r="K87" s="296"/>
      <c r="L87" s="296"/>
    </row>
    <row r="89" spans="1:12" ht="13.15">
      <c r="B89" s="153" t="s">
        <v>100</v>
      </c>
      <c r="C89" s="153" t="s">
        <v>109</v>
      </c>
      <c r="D89" s="153" t="s">
        <v>98</v>
      </c>
      <c r="E89" s="154" t="s">
        <v>99</v>
      </c>
      <c r="F89" s="154" t="s">
        <v>456</v>
      </c>
      <c r="G89" s="323"/>
      <c r="H89" s="323"/>
      <c r="I89" s="323"/>
      <c r="J89" s="323"/>
      <c r="K89" s="323"/>
      <c r="L89" s="323"/>
    </row>
    <row r="90" spans="1:12">
      <c r="B90" s="120" t="str">
        <f>Scenarios!B29</f>
        <v>Snowball Scenario</v>
      </c>
      <c r="C90" s="130">
        <f>Scenarios!C29</f>
        <v>0.05</v>
      </c>
      <c r="D90" s="133">
        <f>Scenarios!D29</f>
        <v>15</v>
      </c>
      <c r="E90" s="127">
        <f>INDEX(B$73:F$87, MATCH(D90, A$73:A$87, 0), MATCH(C90, B$72:F$72, 0))</f>
        <v>7.0408831878138738</v>
      </c>
      <c r="F90" s="130">
        <f>Scenarios!F29</f>
        <v>0.15</v>
      </c>
      <c r="G90" s="297"/>
      <c r="H90" s="297"/>
      <c r="I90" s="297"/>
      <c r="J90" s="297"/>
      <c r="K90" s="297"/>
      <c r="L90" s="297"/>
    </row>
    <row r="91" spans="1:12">
      <c r="B91" s="120" t="str">
        <f>Scenarios!B22</f>
        <v>Optimistic</v>
      </c>
      <c r="C91" s="130">
        <f>Scenarios!C22</f>
        <v>0.03</v>
      </c>
      <c r="D91" s="133">
        <f>Scenarios!D22</f>
        <v>15</v>
      </c>
      <c r="E91" s="127">
        <f>INDEX(B$73:F$87, MATCH(D91, A$73:A$87, 0), MATCH(C91, B$72:F$72, 0))</f>
        <v>5.798792732780516</v>
      </c>
      <c r="F91" s="130">
        <f>Scenarios!F22*(1-F$90-F$94)</f>
        <v>0.15999999999999995</v>
      </c>
      <c r="G91" s="297"/>
      <c r="H91" s="297"/>
      <c r="I91" s="297"/>
      <c r="J91" s="297"/>
      <c r="K91" s="297"/>
      <c r="L91" s="297"/>
    </row>
    <row r="92" spans="1:12">
      <c r="B92" s="120" t="str">
        <f>Scenarios!B23</f>
        <v>Base</v>
      </c>
      <c r="C92" s="130">
        <f>Scenarios!C23</f>
        <v>0.02</v>
      </c>
      <c r="D92" s="133">
        <f>Scenarios!D23</f>
        <v>15</v>
      </c>
      <c r="E92" s="127">
        <f>INDEX(B$73:F$87, MATCH(D92, A$73:A$87, 0), MATCH(C92, B$72:F$72, 0))</f>
        <v>5.2771246798758069</v>
      </c>
      <c r="F92" s="130">
        <f>Scenarios!F23*(1-F$90-F$94)</f>
        <v>0.44</v>
      </c>
      <c r="G92" s="297"/>
      <c r="H92" s="297"/>
      <c r="I92" s="297"/>
      <c r="J92" s="297"/>
      <c r="K92" s="297"/>
      <c r="L92" s="297"/>
    </row>
    <row r="93" spans="1:12">
      <c r="B93" s="120" t="str">
        <f>Scenarios!B24</f>
        <v>Pessimistic</v>
      </c>
      <c r="C93" s="130">
        <f>Scenarios!C24</f>
        <v>0.01</v>
      </c>
      <c r="D93" s="133">
        <f>Scenarios!D24</f>
        <v>15</v>
      </c>
      <c r="E93" s="127">
        <f>INDEX(B$73:F$87, MATCH(D93, A$73:A$87, 0), MATCH(C93, B$72:F$72, 0))</f>
        <v>4.8121491265164309</v>
      </c>
      <c r="F93" s="130">
        <f>Scenarios!F24*(1-F$90-F$94)</f>
        <v>0.19999999999999998</v>
      </c>
      <c r="G93" s="297"/>
      <c r="H93" s="297"/>
      <c r="I93" s="297"/>
      <c r="J93" s="297"/>
      <c r="K93" s="297"/>
      <c r="L93" s="297"/>
    </row>
    <row r="94" spans="1:12">
      <c r="B94" s="120" t="str">
        <f>Scenarios!B30</f>
        <v>Devil's advocate</v>
      </c>
      <c r="C94" s="130">
        <f>Scenarios!C30</f>
        <v>0</v>
      </c>
      <c r="D94" s="133">
        <f>Scenarios!D30</f>
        <v>15</v>
      </c>
      <c r="E94" s="127">
        <f>INDEX(B$73:F$87, MATCH(D94, A$73:A$87, 0), MATCH(C94, B$72:F$72, 0))</f>
        <v>4.3976330785479636</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B41" sqref="B41"/>
    </sheetView>
  </sheetViews>
  <sheetFormatPr defaultColWidth="8.796875" defaultRowHeight="12.75"/>
  <cols>
    <col min="1" max="1" width="2.6640625" customWidth="1"/>
    <col min="2" max="2" width="22.6640625" customWidth="1"/>
    <col min="3" max="7" width="20.6640625" customWidth="1"/>
  </cols>
  <sheetData>
    <row r="2" spans="2:7" ht="13.9">
      <c r="B2" s="34" t="s">
        <v>121</v>
      </c>
      <c r="C2" s="35"/>
      <c r="D2" s="35"/>
      <c r="E2" s="35"/>
      <c r="F2" s="35"/>
      <c r="G2" s="35"/>
    </row>
    <row r="3" spans="2:7" ht="13.15">
      <c r="B3" s="145" t="s">
        <v>124</v>
      </c>
      <c r="D3" s="97" t="s">
        <v>542</v>
      </c>
      <c r="E3" s="97"/>
    </row>
    <row r="4" spans="2:7" ht="12.75" customHeight="1">
      <c r="B4" s="139" t="s">
        <v>122</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3998.HK – 波司登: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90</v>
      </c>
      <c r="C6" s="446" t="str">
        <f>DCF!C3&amp;" "&amp;Reporting_currency</f>
        <v>1000 HKD</v>
      </c>
      <c r="D6" s="469"/>
      <c r="E6" s="469"/>
      <c r="F6" s="469"/>
      <c r="G6" s="469"/>
    </row>
    <row r="7" spans="2:7" ht="12.75" customHeight="1">
      <c r="B7" s="97" t="s">
        <v>231</v>
      </c>
      <c r="C7" s="447">
        <f>Normalized_FCF!G8</f>
        <v>4647929</v>
      </c>
      <c r="D7" s="469"/>
      <c r="E7" s="469"/>
      <c r="F7" s="469"/>
      <c r="G7" s="469"/>
    </row>
    <row r="8" spans="2:7">
      <c r="B8" s="97" t="s">
        <v>62</v>
      </c>
      <c r="C8" s="447">
        <f>Normalized_FCF!G19</f>
        <v>3037006.2064955495</v>
      </c>
      <c r="D8" s="469"/>
      <c r="E8" s="469"/>
      <c r="F8" s="469"/>
      <c r="G8" s="469"/>
    </row>
    <row r="9" spans="2:7">
      <c r="B9" s="97" t="s">
        <v>53</v>
      </c>
      <c r="C9" s="447">
        <f>Normalized_FCF!C19</f>
        <v>3409079.5493623996</v>
      </c>
      <c r="D9" s="469"/>
      <c r="E9" s="469"/>
      <c r="F9" s="469"/>
      <c r="G9" s="469"/>
    </row>
    <row r="10" spans="2:7">
      <c r="C10" s="448"/>
      <c r="D10" s="469"/>
      <c r="E10" s="469"/>
      <c r="F10" s="469"/>
      <c r="G10" s="469"/>
    </row>
    <row r="11" spans="2:7" ht="13.15">
      <c r="B11" s="145" t="s">
        <v>320</v>
      </c>
      <c r="C11" s="448"/>
      <c r="D11" s="469"/>
      <c r="E11" s="469"/>
      <c r="F11" s="469"/>
      <c r="G11" s="469"/>
    </row>
    <row r="12" spans="2:7">
      <c r="B12" s="114" t="s">
        <v>120</v>
      </c>
      <c r="C12" s="249">
        <f ca="1">(Normalized_FCF!G4/OFFSET(Normalized_FCF!G4, 0, $C$4))^(1/$C$4) - 1</f>
        <v>0.24263564017595729</v>
      </c>
      <c r="D12" s="469"/>
      <c r="E12" s="469"/>
      <c r="F12" s="469"/>
      <c r="G12" s="469"/>
    </row>
    <row r="13" spans="2:7">
      <c r="B13" s="135" t="s">
        <v>126</v>
      </c>
      <c r="C13" s="249">
        <f ca="1">(Normalized_FCF!G8/OFFSET(Normalized_FCF!G8, 0, $C$4))^(1/$C$4) - 1</f>
        <v>-0.31741895874834869</v>
      </c>
      <c r="D13" s="469"/>
      <c r="E13" s="469"/>
      <c r="F13" s="469"/>
      <c r="G13" s="469"/>
    </row>
    <row r="14" spans="2:7">
      <c r="B14" s="97" t="s">
        <v>62</v>
      </c>
      <c r="C14" s="249">
        <f ca="1">(Normalized_FCF!G19/OFFSET(Normalized_FCF!G19, 0, $C$4))^(1/$C$4) - 1</f>
        <v>-0.4244282315059078</v>
      </c>
      <c r="D14" s="469"/>
      <c r="E14" s="469"/>
      <c r="F14" s="469"/>
      <c r="G14" s="469"/>
    </row>
    <row r="16" spans="2:7" ht="13.9">
      <c r="B16" s="34" t="s">
        <v>452</v>
      </c>
      <c r="C16" s="35"/>
      <c r="D16" s="35"/>
      <c r="E16" s="35"/>
      <c r="F16" s="35"/>
      <c r="G16" s="35"/>
    </row>
    <row r="17" spans="2:7" ht="13.15">
      <c r="B17" s="106" t="s">
        <v>125</v>
      </c>
      <c r="E17" s="222" t="s">
        <v>250</v>
      </c>
    </row>
    <row r="18" spans="2:7" ht="12.75" customHeight="1">
      <c r="B18" s="139" t="s">
        <v>110</v>
      </c>
      <c r="C18" s="137">
        <v>15</v>
      </c>
      <c r="E18" s="450" t="s">
        <v>543</v>
      </c>
      <c r="F18" s="319"/>
    </row>
    <row r="19" spans="2:7">
      <c r="E19" s="319"/>
      <c r="F19" s="319"/>
    </row>
    <row r="20" spans="2:7" ht="13.15">
      <c r="B20" s="106" t="s">
        <v>449</v>
      </c>
      <c r="E20" s="319"/>
      <c r="F20" s="319"/>
    </row>
    <row r="21" spans="2:7" ht="13.15">
      <c r="B21" s="153" t="s">
        <v>435</v>
      </c>
      <c r="C21" s="153" t="s">
        <v>378</v>
      </c>
      <c r="D21" s="153" t="s">
        <v>447</v>
      </c>
      <c r="E21" s="154" t="str">
        <f>"Value per share ("&amp;Market_currency&amp;")"</f>
        <v>Value per share (HKD)</v>
      </c>
      <c r="F21" s="154" t="s">
        <v>448</v>
      </c>
      <c r="G21" s="154" t="s">
        <v>456</v>
      </c>
    </row>
    <row r="22" spans="2:7">
      <c r="B22" s="302" t="s">
        <v>444</v>
      </c>
      <c r="C22" s="324">
        <v>0.03</v>
      </c>
      <c r="D22" s="325">
        <f>C18</f>
        <v>15</v>
      </c>
      <c r="E22" s="326">
        <f>DCF!E91</f>
        <v>5.798792732780516</v>
      </c>
      <c r="F22" s="328">
        <f>1-F23-F24</f>
        <v>0.19999999999999996</v>
      </c>
      <c r="G22" s="328">
        <f>F22*(1-F$29-F$30)</f>
        <v>0.15999999999999995</v>
      </c>
    </row>
    <row r="23" spans="2:7">
      <c r="B23" s="302" t="s">
        <v>436</v>
      </c>
      <c r="C23" s="324">
        <v>0.02</v>
      </c>
      <c r="D23" s="325">
        <f>C18</f>
        <v>15</v>
      </c>
      <c r="E23" s="326">
        <f>DCF!E92</f>
        <v>5.2771246798758069</v>
      </c>
      <c r="F23" s="327">
        <v>0.55000000000000004</v>
      </c>
      <c r="G23" s="328">
        <f t="shared" ref="G23:G24" si="0">F23*(1-F$29-F$30)</f>
        <v>0.44</v>
      </c>
    </row>
    <row r="24" spans="2:7">
      <c r="B24" s="302" t="s">
        <v>445</v>
      </c>
      <c r="C24" s="324">
        <v>0.01</v>
      </c>
      <c r="D24" s="325">
        <f>C18</f>
        <v>15</v>
      </c>
      <c r="E24" s="326">
        <f>DCF!E93</f>
        <v>4.8121491265164309</v>
      </c>
      <c r="F24" s="327">
        <v>0.25</v>
      </c>
      <c r="G24" s="328">
        <f t="shared" si="0"/>
        <v>0.19999999999999998</v>
      </c>
    </row>
    <row r="25" spans="2:7">
      <c r="B25" s="141" t="s">
        <v>450</v>
      </c>
      <c r="C25" s="441">
        <f>E23*F23+E24*F24+E22*F22</f>
        <v>5.2652144021169045</v>
      </c>
      <c r="D25" s="141" t="str">
        <f>Market_currency</f>
        <v>HKD</v>
      </c>
      <c r="G25" s="149"/>
    </row>
    <row r="27" spans="2:7" ht="13.15">
      <c r="B27" s="106" t="s">
        <v>451</v>
      </c>
    </row>
    <row r="28" spans="2:7" ht="13.15">
      <c r="B28" s="153" t="s">
        <v>435</v>
      </c>
      <c r="C28" s="153" t="s">
        <v>378</v>
      </c>
      <c r="D28" s="153" t="s">
        <v>447</v>
      </c>
      <c r="E28" s="154" t="str">
        <f>"Value per share ("&amp;Market_currency&amp;")"</f>
        <v>Value per share (HKD)</v>
      </c>
      <c r="F28" s="154" t="s">
        <v>448</v>
      </c>
      <c r="G28" s="154" t="s">
        <v>456</v>
      </c>
    </row>
    <row r="29" spans="2:7">
      <c r="B29" s="302" t="s">
        <v>443</v>
      </c>
      <c r="C29" s="324">
        <v>0.05</v>
      </c>
      <c r="D29" s="325">
        <f>C18</f>
        <v>15</v>
      </c>
      <c r="E29" s="326">
        <f>DCF!E90</f>
        <v>7.0408831878138738</v>
      </c>
      <c r="F29" s="327">
        <v>0.15</v>
      </c>
      <c r="G29" s="328">
        <f>F29</f>
        <v>0.15</v>
      </c>
    </row>
    <row r="30" spans="2:7">
      <c r="B30" s="315" t="s">
        <v>446</v>
      </c>
      <c r="C30" s="324">
        <v>0</v>
      </c>
      <c r="D30" s="325">
        <f>C18</f>
        <v>15</v>
      </c>
      <c r="E30" s="326">
        <f>DCF!E94</f>
        <v>4.3976330785479636</v>
      </c>
      <c r="F30" s="327">
        <v>0.05</v>
      </c>
      <c r="G30" s="328">
        <f>F30</f>
        <v>0.05</v>
      </c>
    </row>
    <row r="31" spans="2:7">
      <c r="E31" s="329"/>
      <c r="F31" s="329"/>
    </row>
    <row r="32" spans="2:7" ht="13.15">
      <c r="B32" s="145" t="s">
        <v>455</v>
      </c>
    </row>
    <row r="33" spans="2:7">
      <c r="B33" s="97" t="s">
        <v>457</v>
      </c>
      <c r="C33" s="155">
        <f>Normalized_FCF!C88*(1-dividend_tax_rate)</f>
        <v>0.26</v>
      </c>
      <c r="D33" t="str">
        <f>Market_currency</f>
        <v>HKD</v>
      </c>
      <c r="E33" s="97" t="s">
        <v>454</v>
      </c>
      <c r="F33" s="219">
        <f>Holding_Period</f>
        <v>3</v>
      </c>
    </row>
    <row r="34" spans="2:7">
      <c r="B34" s="97" t="s">
        <v>232</v>
      </c>
      <c r="C34" s="146">
        <f>Market_Price</f>
        <v>4.17</v>
      </c>
      <c r="D34" t="str">
        <f>Market_currency</f>
        <v>HKD</v>
      </c>
      <c r="E34" s="97" t="s">
        <v>453</v>
      </c>
      <c r="F34" s="330">
        <f>RATE(Holding_Period,$C$33,-C34,$C$36)</f>
        <v>0.15311413376648342</v>
      </c>
    </row>
    <row r="35" spans="2:7">
      <c r="B35" s="97" t="s">
        <v>433</v>
      </c>
      <c r="C35" s="320">
        <f>DCF!C11</f>
        <v>6.013677622652132</v>
      </c>
      <c r="D35" s="97" t="str">
        <f>Market_currency</f>
        <v>HKD</v>
      </c>
      <c r="E35" s="97" t="s">
        <v>453</v>
      </c>
      <c r="F35" s="330">
        <f>RATE(Holding_Period,$C$33,-C35,$C$36)</f>
        <v>1.45262223880907E-2</v>
      </c>
    </row>
    <row r="36" spans="2:7">
      <c r="B36" s="97" t="s">
        <v>434</v>
      </c>
      <c r="C36" s="321">
        <f>E22*G22+E23*G23+E24*G24+E30*G30+E29*G29</f>
        <v>5.4881856537930034</v>
      </c>
      <c r="D36" t="str">
        <f>Market_currency</f>
        <v>HKD</v>
      </c>
      <c r="E36" s="97" t="s">
        <v>459</v>
      </c>
      <c r="F36" s="331" t="s">
        <v>458</v>
      </c>
    </row>
    <row r="38" spans="2:7" ht="13.9">
      <c r="B38" s="34" t="s">
        <v>410</v>
      </c>
      <c r="C38" s="35"/>
      <c r="D38" s="35"/>
      <c r="E38" s="35"/>
      <c r="F38" s="35"/>
      <c r="G38" s="35"/>
    </row>
    <row r="39" spans="2:7" ht="13.15">
      <c r="B39" s="414" t="str">
        <f>IF(DCF!F14="II","2","1")&amp;"-stage DCF"</f>
        <v>1-stage DCF</v>
      </c>
      <c r="E39" s="222" t="s">
        <v>250</v>
      </c>
    </row>
    <row r="40" spans="2:7">
      <c r="B40" t="s">
        <v>550</v>
      </c>
      <c r="C40" s="126">
        <f>Normalized_FCF!E116</f>
        <v>0.17813313161397862</v>
      </c>
      <c r="E40" s="97" t="s">
        <v>400</v>
      </c>
    </row>
    <row r="41" spans="2:7">
      <c r="B41" s="97" t="s">
        <v>399</v>
      </c>
      <c r="C41" s="455">
        <f>DCF!C16</f>
        <v>2.38559171477595E-2</v>
      </c>
      <c r="E41" s="97"/>
    </row>
    <row r="43" spans="2:7" ht="13.9">
      <c r="B43" s="34" t="s">
        <v>275</v>
      </c>
      <c r="C43" s="35"/>
      <c r="D43" s="35"/>
      <c r="E43" s="35"/>
      <c r="F43" s="35"/>
      <c r="G43" s="35"/>
    </row>
    <row r="44" spans="2:7" ht="13.15">
      <c r="B44" s="106" t="s">
        <v>248</v>
      </c>
      <c r="E44" s="222" t="s">
        <v>250</v>
      </c>
    </row>
    <row r="45" spans="2:7">
      <c r="B45" s="139" t="s">
        <v>110</v>
      </c>
      <c r="C45" s="150">
        <f>C18</f>
        <v>15</v>
      </c>
      <c r="D45" s="137"/>
      <c r="E45" s="221" t="s">
        <v>306</v>
      </c>
    </row>
    <row r="46" spans="2:7">
      <c r="B46" s="114" t="s">
        <v>111</v>
      </c>
      <c r="C46" s="138">
        <v>2.38559171477595E-2</v>
      </c>
      <c r="D46" s="138"/>
      <c r="E46" s="221" t="s">
        <v>251</v>
      </c>
    </row>
    <row r="47" spans="2:7">
      <c r="B47" s="97" t="s">
        <v>95</v>
      </c>
      <c r="C47" s="146">
        <f>DCF!I18</f>
        <v>5.4711959081487285</v>
      </c>
      <c r="D47" s="146" t="str">
        <f>Market_currency</f>
        <v>HKD</v>
      </c>
      <c r="E47" s="221" t="s">
        <v>252</v>
      </c>
    </row>
    <row r="49" spans="2:7" ht="13.15">
      <c r="B49" s="106" t="s">
        <v>276</v>
      </c>
      <c r="C49" s="218" t="str">
        <f>IF(Scenarios!C50="Y",Scenarios!B50,"")&amp;IF(Scenarios!C51="Y",Scenarios!B51,"")&amp;IF(Scenarios!C52="Y",Scenarios!B52,"")&amp;" "&amp;IF(Scenarios!C53="Y",Scenarios!B53,"")</f>
        <v xml:space="preserve">Negative Growth </v>
      </c>
      <c r="E49" s="222" t="s">
        <v>253</v>
      </c>
    </row>
    <row r="50" spans="2:7">
      <c r="B50" s="97" t="s">
        <v>249</v>
      </c>
      <c r="C50" s="218" t="str">
        <f>IF(C36&lt;C35,"Y","N")</f>
        <v>Y</v>
      </c>
      <c r="E50" s="126"/>
    </row>
    <row r="51" spans="2:7">
      <c r="B51" s="97" t="s">
        <v>245</v>
      </c>
      <c r="C51" s="218" t="str">
        <f>IF(C50="Y","N",IF(C46&gt;8%,"N","Y"))</f>
        <v>N</v>
      </c>
      <c r="E51" s="221" t="s">
        <v>246</v>
      </c>
    </row>
    <row r="52" spans="2:7">
      <c r="B52" s="97" t="s">
        <v>244</v>
      </c>
      <c r="C52" s="218" t="str">
        <f>IF(C46&gt;8%,"Y","N")</f>
        <v>N</v>
      </c>
      <c r="E52" s="221"/>
    </row>
    <row r="53" spans="2:7">
      <c r="B53" s="97" t="s">
        <v>236</v>
      </c>
      <c r="C53" s="217" t="str">
        <f>IF(F53&gt;50%,"Y","N")</f>
        <v>N</v>
      </c>
      <c r="E53" s="126" t="s">
        <v>272</v>
      </c>
      <c r="F53" s="249">
        <f>BS!D89/C36</f>
        <v>6.2892849250083593E-2</v>
      </c>
    </row>
    <row r="55" spans="2:7" ht="13.9">
      <c r="B55" s="34" t="s">
        <v>106</v>
      </c>
      <c r="C55" s="35"/>
      <c r="D55" s="35"/>
      <c r="E55" s="35"/>
      <c r="F55" s="35"/>
      <c r="G55" s="35"/>
    </row>
    <row r="56" spans="2:7" ht="13.15">
      <c r="B56" s="106" t="s">
        <v>105</v>
      </c>
    </row>
    <row r="57" spans="2:7">
      <c r="B57" s="220" t="s">
        <v>247</v>
      </c>
      <c r="C57" s="219">
        <f>Holding_Period</f>
        <v>3</v>
      </c>
      <c r="D57" s="126"/>
    </row>
    <row r="58" spans="2:7">
      <c r="B58" s="97" t="s">
        <v>332</v>
      </c>
      <c r="C58" s="155">
        <f>C33</f>
        <v>0.26</v>
      </c>
      <c r="D58" t="str">
        <f>Market_currency</f>
        <v>HKD</v>
      </c>
    </row>
    <row r="60" spans="2:7" ht="13.15">
      <c r="B60" s="106" t="s">
        <v>472</v>
      </c>
      <c r="E60" s="413"/>
    </row>
    <row r="61" spans="2:7" ht="13.15">
      <c r="B61" s="153" t="s">
        <v>461</v>
      </c>
      <c r="C61" s="153" t="s">
        <v>102</v>
      </c>
      <c r="D61" s="153" t="s">
        <v>103</v>
      </c>
      <c r="E61" s="154" t="str">
        <f>"Buy below ("&amp;Market_currency&amp;")"</f>
        <v>Buy below (HKD)</v>
      </c>
      <c r="F61" s="154" t="s">
        <v>453</v>
      </c>
      <c r="G61" s="154" t="s">
        <v>460</v>
      </c>
    </row>
    <row r="62" spans="2:7" ht="13.15">
      <c r="B62" s="302" t="s">
        <v>311</v>
      </c>
      <c r="C62" s="119">
        <f>PV(F62, Holding_Period, -C58, 0)</f>
        <v>0.47576140978863113</v>
      </c>
      <c r="D62" s="119">
        <f>C36/(1+F62)^Holding_Period</f>
        <v>2.5291178128078364</v>
      </c>
      <c r="E62" s="332">
        <f>C62+D62</f>
        <v>3.0048792225964673</v>
      </c>
      <c r="F62" s="301">
        <f>Thesis!E22</f>
        <v>0.29465259038036601</v>
      </c>
      <c r="G62" s="440">
        <f>(1-E62/C36)</f>
        <v>0.45248222050948106</v>
      </c>
    </row>
    <row r="63" spans="2:7" ht="13.15">
      <c r="B63" s="302" t="s">
        <v>312</v>
      </c>
      <c r="C63" s="119">
        <f>PV(F63, Holding_Period, -C58, 0)</f>
        <v>0.54704102628996054</v>
      </c>
      <c r="D63" s="119">
        <f>C36/(1+F63)^Holding_Period</f>
        <v>3.1700711357649132</v>
      </c>
      <c r="E63" s="332">
        <f>C63+D63</f>
        <v>3.7171121620548737</v>
      </c>
      <c r="F63" s="301">
        <f>Thesis!E23</f>
        <v>0.20075184365903001</v>
      </c>
      <c r="G63" s="440">
        <f>(1-E63/C36)</f>
        <v>0.32270655613009425</v>
      </c>
    </row>
    <row r="65" spans="2:7" ht="13.15">
      <c r="B65" s="153" t="s">
        <v>462</v>
      </c>
      <c r="C65" s="153" t="s">
        <v>102</v>
      </c>
      <c r="D65" s="153" t="s">
        <v>103</v>
      </c>
      <c r="E65" s="154" t="str">
        <f>"Sell above ("&amp;Market_currency&amp;")"</f>
        <v>Sell above (HKD)</v>
      </c>
      <c r="F65" s="154" t="s">
        <v>453</v>
      </c>
      <c r="G65" s="154" t="s">
        <v>460</v>
      </c>
    </row>
    <row r="66" spans="2:7" ht="13.15">
      <c r="B66" s="302" t="s">
        <v>314</v>
      </c>
      <c r="C66" s="119">
        <f>PV(F66, Holding_Period, -C58, 0)</f>
        <v>0.62727681274404878</v>
      </c>
      <c r="D66" s="119">
        <f>C36/(1+F66)^Holding_Period</f>
        <v>3.9337141061508745</v>
      </c>
      <c r="E66" s="332">
        <f>C66+D66</f>
        <v>4.5609909188949231</v>
      </c>
      <c r="F66" s="301">
        <f>Thesis!E24</f>
        <v>0.1174</v>
      </c>
      <c r="G66" s="440">
        <f>(1-E66/C36)</f>
        <v>0.16894376272735523</v>
      </c>
    </row>
    <row r="67" spans="2:7" ht="13.15">
      <c r="B67" s="302" t="s">
        <v>313</v>
      </c>
      <c r="C67" s="119">
        <f>PV(F67, Holding_Period, -C58, 0)</f>
        <v>0.67921755906498427</v>
      </c>
      <c r="D67" s="119">
        <f>C36/(1+F67)^Holding_Period</f>
        <v>4.4487386360961025</v>
      </c>
      <c r="E67" s="332">
        <f>C67+D67</f>
        <v>5.1279561951610866</v>
      </c>
      <c r="F67" s="301">
        <f>Thesis!E25</f>
        <v>7.2499999999999995E-2</v>
      </c>
      <c r="G67" s="440">
        <f>(1-E67/C36)</f>
        <v>6.563725816799848E-2</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topLeftCell="A19"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333</v>
      </c>
      <c r="B2" s="345"/>
      <c r="C2" s="345"/>
      <c r="D2" s="345"/>
      <c r="E2" s="345"/>
      <c r="F2" s="345"/>
      <c r="G2" s="346"/>
      <c r="H2" s="346"/>
      <c r="I2" s="346"/>
      <c r="J2" s="346"/>
    </row>
    <row r="3" spans="1:10">
      <c r="E3" s="435" t="s">
        <v>541</v>
      </c>
      <c r="F3" s="436">
        <f>Thesis!F3</f>
        <v>46130</v>
      </c>
    </row>
    <row r="4" spans="1:10">
      <c r="B4" s="422" t="s">
        <v>533</v>
      </c>
      <c r="C4" s="423" t="str">
        <f>Thesis!C4</f>
        <v>波司登</v>
      </c>
      <c r="D4" s="349"/>
      <c r="E4" s="434" t="s">
        <v>539</v>
      </c>
      <c r="F4" s="437" t="str">
        <f>Thesis!F4</f>
        <v>INT</v>
      </c>
    </row>
    <row r="5" spans="1:10">
      <c r="B5" s="343" t="s">
        <v>363</v>
      </c>
      <c r="C5" s="355" t="str">
        <f>Thesis!C5</f>
        <v>3998.HK</v>
      </c>
      <c r="E5" s="438" t="s">
        <v>540</v>
      </c>
      <c r="F5" s="439" t="str">
        <f>Thesis!F5</f>
        <v>Y</v>
      </c>
    </row>
    <row r="6" spans="1:10">
      <c r="B6" s="350" t="s">
        <v>335</v>
      </c>
      <c r="C6" s="352" t="str">
        <f>Thesis!C6</f>
        <v>CNS_01</v>
      </c>
      <c r="E6" s="354"/>
    </row>
    <row r="7" spans="1:10">
      <c r="B7" s="343" t="s">
        <v>365</v>
      </c>
      <c r="C7" s="352" t="str">
        <f>Market_currency</f>
        <v>HKD</v>
      </c>
      <c r="D7" s="354"/>
      <c r="E7" s="354"/>
    </row>
    <row r="8" spans="1:10">
      <c r="B8" s="351" t="s">
        <v>364</v>
      </c>
      <c r="C8" s="356">
        <f>Market_Price</f>
        <v>4.17</v>
      </c>
    </row>
    <row r="9" spans="1:10">
      <c r="B9" s="351" t="s">
        <v>360</v>
      </c>
      <c r="C9" s="353">
        <f>Common_Shares</f>
        <v>11684471872</v>
      </c>
    </row>
    <row r="10" spans="1:10">
      <c r="B10" s="351" t="s">
        <v>366</v>
      </c>
      <c r="C10" s="357">
        <f>投资主题!C8*Common_Shares/1000000</f>
        <v>48724.247706239999</v>
      </c>
      <c r="D10" s="343" t="s">
        <v>528</v>
      </c>
      <c r="E10" s="360">
        <f>Scenarios!F34</f>
        <v>0.15311413376648342</v>
      </c>
    </row>
    <row r="11" spans="1:10">
      <c r="D11" s="349"/>
      <c r="E11" s="349"/>
    </row>
    <row r="12" spans="1:10" ht="24.5" customHeight="1">
      <c r="B12" s="471" t="s">
        <v>497</v>
      </c>
      <c r="C12" s="471"/>
      <c r="D12" s="471"/>
      <c r="E12" s="471"/>
      <c r="F12" s="471"/>
    </row>
    <row r="14" spans="1:10">
      <c r="B14" s="347" t="s">
        <v>369</v>
      </c>
      <c r="C14" s="348"/>
      <c r="D14" s="349"/>
    </row>
    <row r="15" spans="1:10">
      <c r="B15" s="343" t="s">
        <v>336</v>
      </c>
      <c r="C15" s="358" t="str">
        <f>Thesis!C15</f>
        <v>N</v>
      </c>
      <c r="D15" s="351" t="s">
        <v>367</v>
      </c>
      <c r="E15" s="344" t="str">
        <f>IF(E17=C7,C7,E17&amp;"/"&amp;C7)</f>
        <v>HKD</v>
      </c>
    </row>
    <row r="16" spans="1:10">
      <c r="B16" s="343" t="s">
        <v>337</v>
      </c>
      <c r="C16" s="358" t="str">
        <f>Thesis!C16</f>
        <v>N</v>
      </c>
      <c r="D16" s="351" t="s">
        <v>368</v>
      </c>
      <c r="E16" s="425">
        <f>Exchange_Rate</f>
        <v>1</v>
      </c>
    </row>
    <row r="17" spans="1:6">
      <c r="B17" s="343" t="s">
        <v>534</v>
      </c>
      <c r="C17" s="424">
        <f>Terminal_Growth</f>
        <v>0.02</v>
      </c>
      <c r="D17" s="351" t="s">
        <v>338</v>
      </c>
      <c r="E17" s="344" t="str">
        <f>Reporting_currency</f>
        <v>HKD</v>
      </c>
    </row>
    <row r="18" spans="1:6">
      <c r="B18" s="343" t="str">
        <f>"预期股权价值 ("&amp;C7&amp;") :"</f>
        <v>预期股权价值 (HKD) :</v>
      </c>
      <c r="C18" s="359">
        <f>C125</f>
        <v>5.4881856537930034</v>
      </c>
      <c r="D18" s="350" t="s">
        <v>361</v>
      </c>
      <c r="E18" s="426">
        <f>Thesis!E18</f>
        <v>6</v>
      </c>
    </row>
    <row r="19" spans="1:6">
      <c r="B19" s="350" t="s">
        <v>334</v>
      </c>
      <c r="C19" s="352" t="str">
        <f>IF(Scenarios!C50="Y",Scenarios!B50,"")&amp;IF(Scenarios!C51="Y",Scenarios!B51,"")&amp;IF(Scenarios!C52="Y",Scenarios!B52,"")&amp;" "&amp;IF(Scenarios!C53="Y",Scenarios!B53,"")</f>
        <v xml:space="preserve">Negative Growth </v>
      </c>
      <c r="D19" s="343" t="s">
        <v>362</v>
      </c>
      <c r="E19" s="427">
        <f>EOMONTH(EDATE(BS!C1,E18+2),0)</f>
        <v>46173</v>
      </c>
    </row>
    <row r="20" spans="1:6">
      <c r="D20" s="349"/>
      <c r="E20" s="349"/>
    </row>
    <row r="21" spans="1:6">
      <c r="B21" s="347" t="s">
        <v>492</v>
      </c>
      <c r="C21" s="361" t="str">
        <f>C138&amp;" ("&amp;Market_currency&amp;")"</f>
        <v xml:space="preserve"> (HKD)</v>
      </c>
      <c r="D21" s="362" t="s">
        <v>343</v>
      </c>
      <c r="E21" s="363">
        <f>Holding_Period</f>
        <v>3</v>
      </c>
    </row>
    <row r="22" spans="1:6">
      <c r="B22" s="343" t="s">
        <v>339</v>
      </c>
      <c r="C22" s="364">
        <f>E140</f>
        <v>3.0048792225964673</v>
      </c>
      <c r="D22" s="365" t="s">
        <v>439</v>
      </c>
      <c r="E22" s="366">
        <f>Thesis!E22</f>
        <v>0.29465259038036601</v>
      </c>
    </row>
    <row r="23" spans="1:6">
      <c r="B23" s="343" t="s">
        <v>340</v>
      </c>
      <c r="C23" s="367">
        <f>E141</f>
        <v>3.7171121620548737</v>
      </c>
      <c r="D23" s="365" t="s">
        <v>440</v>
      </c>
      <c r="E23" s="368">
        <f>Thesis!E23</f>
        <v>0.20075184365903001</v>
      </c>
    </row>
    <row r="24" spans="1:6">
      <c r="B24" s="343" t="s">
        <v>342</v>
      </c>
      <c r="C24" s="367">
        <f>E144</f>
        <v>4.5609909188949231</v>
      </c>
      <c r="D24" s="365" t="s">
        <v>442</v>
      </c>
      <c r="E24" s="368">
        <f>Thesis!E24</f>
        <v>0.1174</v>
      </c>
    </row>
    <row r="25" spans="1:6">
      <c r="B25" s="343" t="s">
        <v>341</v>
      </c>
      <c r="C25" s="367">
        <f>E145</f>
        <v>5.1279561951610866</v>
      </c>
      <c r="D25" s="365" t="s">
        <v>441</v>
      </c>
      <c r="E25" s="368">
        <f>Thesis!E25</f>
        <v>7.2499999999999995E-2</v>
      </c>
    </row>
    <row r="27" spans="1:6" ht="13.9">
      <c r="A27" s="345" t="s">
        <v>344</v>
      </c>
      <c r="B27" s="345"/>
      <c r="C27" s="345"/>
      <c r="D27" s="345"/>
      <c r="E27" s="345"/>
      <c r="F27" s="345"/>
    </row>
    <row r="29" spans="1:6">
      <c r="B29" s="471" t="s">
        <v>498</v>
      </c>
      <c r="C29" s="471"/>
      <c r="D29" s="471"/>
      <c r="E29" s="471"/>
      <c r="F29" s="471"/>
    </row>
    <row r="30" spans="1:6" ht="24.5" customHeight="1">
      <c r="B30" s="472" t="s">
        <v>499</v>
      </c>
      <c r="C30" s="472"/>
      <c r="D30" s="472"/>
      <c r="E30" s="472"/>
      <c r="F30" s="472"/>
    </row>
    <row r="32" spans="1:6">
      <c r="B32" s="369" t="s">
        <v>370</v>
      </c>
      <c r="C32" s="370">
        <f>scaling_factor</f>
        <v>1000</v>
      </c>
    </row>
    <row r="33" spans="2:6">
      <c r="B33" s="470" t="s">
        <v>500</v>
      </c>
      <c r="C33" s="470"/>
      <c r="D33" s="470"/>
      <c r="E33" s="470"/>
      <c r="F33" s="470"/>
    </row>
    <row r="34" spans="2:6">
      <c r="B34" s="372" t="s">
        <v>196</v>
      </c>
      <c r="C34" s="373">
        <f>Normalized_FCF!C8</f>
        <v>4706113.0788310617</v>
      </c>
      <c r="D34" s="343" t="str">
        <f>Reporting_currency</f>
        <v>HKD</v>
      </c>
    </row>
    <row r="35" spans="2:6">
      <c r="B35" s="372"/>
      <c r="C35" s="374"/>
    </row>
    <row r="36" spans="2:6" ht="24.5" customHeight="1">
      <c r="B36" s="470" t="s">
        <v>501</v>
      </c>
      <c r="C36" s="470"/>
      <c r="D36" s="470"/>
      <c r="E36" s="470"/>
      <c r="F36" s="470"/>
    </row>
    <row r="37" spans="2:6">
      <c r="B37" s="372" t="s">
        <v>198</v>
      </c>
      <c r="C37" s="373">
        <f>Normalized_FCF!C15</f>
        <v>0</v>
      </c>
      <c r="D37" s="343" t="str">
        <f>Reporting_currency</f>
        <v>HKD</v>
      </c>
    </row>
    <row r="38" spans="2:6">
      <c r="B38" s="375" t="s">
        <v>199</v>
      </c>
      <c r="C38" s="373">
        <f>Normalized_FCF!C16</f>
        <v>0</v>
      </c>
      <c r="D38" s="343" t="str">
        <f>Reporting_currency</f>
        <v>HKD</v>
      </c>
    </row>
    <row r="40" spans="2:6">
      <c r="B40" s="470" t="s">
        <v>502</v>
      </c>
      <c r="C40" s="470"/>
      <c r="D40" s="470"/>
      <c r="E40" s="470"/>
      <c r="F40" s="470"/>
    </row>
    <row r="41" spans="2:6">
      <c r="B41" s="372" t="s">
        <v>201</v>
      </c>
      <c r="C41" s="373">
        <f>Normalized_FCF!C9</f>
        <v>0</v>
      </c>
      <c r="D41" s="343" t="str">
        <f>Reporting_currency</f>
        <v>HKD</v>
      </c>
    </row>
    <row r="43" spans="2:6">
      <c r="B43" s="470" t="s">
        <v>503</v>
      </c>
      <c r="C43" s="470"/>
      <c r="D43" s="470"/>
      <c r="E43" s="470"/>
      <c r="F43" s="470"/>
    </row>
    <row r="44" spans="2:6">
      <c r="B44" s="372" t="s">
        <v>266</v>
      </c>
      <c r="C44" s="376">
        <f>Normalized_FCF!C46</f>
        <v>24233.649607888936</v>
      </c>
      <c r="D44" s="343" t="str">
        <f>Reporting_currency</f>
        <v>HKD</v>
      </c>
      <c r="E44" s="371"/>
      <c r="F44" s="371"/>
    </row>
    <row r="45" spans="2:6">
      <c r="B45" s="372" t="s">
        <v>267</v>
      </c>
      <c r="C45" s="376">
        <f>Normalized_FCF!C45</f>
        <v>-116377.98</v>
      </c>
      <c r="D45" s="343" t="str">
        <f>Reporting_currency</f>
        <v>HKD</v>
      </c>
      <c r="E45" s="371"/>
      <c r="F45" s="371"/>
    </row>
    <row r="46" spans="2:6">
      <c r="B46" s="372" t="s">
        <v>202</v>
      </c>
      <c r="C46" s="373">
        <f>Normalized_FCF!C10</f>
        <v>-92144.330392111064</v>
      </c>
      <c r="D46" s="343" t="str">
        <f>Reporting_currency</f>
        <v>HKD</v>
      </c>
    </row>
    <row r="48" spans="2:6">
      <c r="B48" s="343" t="s">
        <v>504</v>
      </c>
    </row>
    <row r="49" spans="2:6">
      <c r="B49" s="372" t="s">
        <v>222</v>
      </c>
      <c r="C49" s="373">
        <f>Normalized_FCF!C13</f>
        <v>-51397.011966813414</v>
      </c>
      <c r="D49" s="343" t="str">
        <f>Reporting_currency</f>
        <v>HKD</v>
      </c>
    </row>
    <row r="51" spans="2:6">
      <c r="B51" s="470" t="s">
        <v>505</v>
      </c>
      <c r="C51" s="470"/>
      <c r="D51" s="470"/>
      <c r="E51" s="470"/>
      <c r="F51" s="470"/>
    </row>
    <row r="52" spans="2:6">
      <c r="B52" s="372" t="s">
        <v>495</v>
      </c>
      <c r="C52" s="373">
        <f>Normalized_FCF!C12</f>
        <v>-1153492.1871097377</v>
      </c>
      <c r="D52" s="343" t="str">
        <f>Reporting_currency</f>
        <v>HKD</v>
      </c>
    </row>
    <row r="54" spans="2:6">
      <c r="B54" s="470" t="s">
        <v>506</v>
      </c>
      <c r="C54" s="473"/>
      <c r="D54" s="473"/>
      <c r="E54" s="473"/>
      <c r="F54" s="473"/>
    </row>
    <row r="55" spans="2:6">
      <c r="B55" s="372" t="s">
        <v>206</v>
      </c>
      <c r="C55" s="373">
        <f>Normalized_FCF!C17</f>
        <v>0</v>
      </c>
      <c r="D55" s="343" t="str">
        <f>Reporting_currency</f>
        <v>HKD</v>
      </c>
    </row>
    <row r="57" spans="2:6">
      <c r="B57" s="471" t="s">
        <v>507</v>
      </c>
      <c r="C57" s="471"/>
      <c r="D57" s="471"/>
      <c r="E57" s="471"/>
      <c r="F57" s="471"/>
    </row>
    <row r="58" spans="2:6">
      <c r="B58" s="471" t="s">
        <v>508</v>
      </c>
      <c r="C58" s="471"/>
      <c r="D58" s="471"/>
      <c r="E58" s="471"/>
      <c r="F58" s="471"/>
    </row>
    <row r="60" spans="2:6">
      <c r="B60" s="372" t="s">
        <v>371</v>
      </c>
      <c r="C60" s="373">
        <f>Normalized_FCF!G19</f>
        <v>3037006.2064955495</v>
      </c>
      <c r="D60" s="343" t="str">
        <f>Reporting_currency</f>
        <v>HKD</v>
      </c>
    </row>
    <row r="61" spans="2:6">
      <c r="B61" s="372" t="s">
        <v>212</v>
      </c>
      <c r="C61" s="373">
        <f>Normalized_FCF!C19</f>
        <v>3409079.5493623996</v>
      </c>
      <c r="D61" s="343" t="str">
        <f>Reporting_currency</f>
        <v>HKD</v>
      </c>
    </row>
    <row r="62" spans="2:6">
      <c r="B62" s="377" t="s">
        <v>301</v>
      </c>
      <c r="C62" s="378">
        <f>Normalized_FCF!C124</f>
        <v>6.9966797023031449E-2</v>
      </c>
      <c r="F62" s="379"/>
    </row>
    <row r="63" spans="2:6">
      <c r="B63" s="377" t="s">
        <v>331</v>
      </c>
      <c r="C63" s="378">
        <f>Normalized_FCF!C92</f>
        <v>6.235011990407674E-2</v>
      </c>
      <c r="E63" s="372" t="s">
        <v>372</v>
      </c>
      <c r="F63" s="380">
        <f>Normalized_FCF!C90</f>
        <v>0.89113869087865394</v>
      </c>
    </row>
    <row r="65" spans="1:6">
      <c r="B65" s="369" t="s">
        <v>375</v>
      </c>
      <c r="C65" s="381" t="s">
        <v>326</v>
      </c>
      <c r="D65" s="381" t="s">
        <v>373</v>
      </c>
    </row>
    <row r="66" spans="1:6">
      <c r="B66" s="372" t="s">
        <v>325</v>
      </c>
      <c r="C66" s="378">
        <f>Normalized_FCF!E119</f>
        <v>0.28568079100302196</v>
      </c>
      <c r="D66" s="378">
        <f>Normalized_FCF!G119</f>
        <v>0.28929432815741635</v>
      </c>
    </row>
    <row r="67" spans="1:6">
      <c r="B67" s="382" t="str">
        <f>Normalized_FCF!B116</f>
        <v>Pre-tax Profit/Sales</v>
      </c>
      <c r="C67" s="383">
        <f>Normalized_FCF!E116</f>
        <v>0.17813313161397862</v>
      </c>
      <c r="D67" s="383">
        <f>Normalized_FCF!G116</f>
        <v>0.18038631317111356</v>
      </c>
    </row>
    <row r="68" spans="1:6">
      <c r="B68" s="382" t="str">
        <f>Normalized_FCF!B117</f>
        <v>Sales/Total Assets</v>
      </c>
      <c r="C68" s="384">
        <f>Normalized_FCF!E117</f>
        <v>0.91428215624568043</v>
      </c>
      <c r="D68" s="384">
        <f>Normalized_FCF!G117</f>
        <v>0.91428215624568043</v>
      </c>
    </row>
    <row r="69" spans="1:6">
      <c r="B69" s="382" t="str">
        <f>Normalized_FCF!B118</f>
        <v>Total Assets/Equity</v>
      </c>
      <c r="C69" s="384">
        <f>Normalized_FCF!E118</f>
        <v>1.7541070452059788</v>
      </c>
      <c r="D69" s="384">
        <f>Normalized_FCF!G118</f>
        <v>1.7541070452059788</v>
      </c>
    </row>
    <row r="71" spans="1:6" ht="13.9">
      <c r="A71" s="345" t="s">
        <v>475</v>
      </c>
      <c r="B71" s="345"/>
      <c r="C71" s="345"/>
      <c r="D71" s="345"/>
      <c r="E71" s="345"/>
      <c r="F71" s="345"/>
    </row>
    <row r="72" spans="1:6">
      <c r="A72" s="385"/>
    </row>
    <row r="73" spans="1:6">
      <c r="A73" s="386"/>
      <c r="B73" s="471" t="s">
        <v>509</v>
      </c>
      <c r="C73" s="471"/>
      <c r="D73" s="471"/>
      <c r="E73" s="471"/>
      <c r="F73" s="471"/>
    </row>
    <row r="74" spans="1:6">
      <c r="B74" s="472" t="s">
        <v>478</v>
      </c>
      <c r="C74" s="472"/>
      <c r="D74" s="472"/>
      <c r="E74" s="472"/>
      <c r="F74" s="472"/>
    </row>
    <row r="76" spans="1:6">
      <c r="B76" s="369" t="s">
        <v>370</v>
      </c>
    </row>
    <row r="77" spans="1:6">
      <c r="B77" s="471" t="s">
        <v>510</v>
      </c>
      <c r="C77" s="471"/>
      <c r="D77" s="471"/>
      <c r="E77" s="471"/>
      <c r="F77" s="471"/>
    </row>
    <row r="78" spans="1:6">
      <c r="B78" s="343" t="s">
        <v>214</v>
      </c>
      <c r="C78" s="373">
        <f>DCF!F4</f>
        <v>-1939633</v>
      </c>
      <c r="D78" s="343" t="str">
        <f>Reporting_currency</f>
        <v>HKD</v>
      </c>
    </row>
    <row r="79" spans="1:6">
      <c r="B79" s="372" t="s">
        <v>233</v>
      </c>
      <c r="C79" s="387">
        <f>C78*scaling_factor*Exchange_Rate/Common_Shares</f>
        <v>-0.16600091311341383</v>
      </c>
      <c r="D79" s="343" t="str">
        <f>Market_currency</f>
        <v>HKD</v>
      </c>
    </row>
    <row r="80" spans="1:6">
      <c r="B80" s="382" t="s">
        <v>308</v>
      </c>
      <c r="C80" s="388">
        <f>IF(BS!G31/BS!G27&gt;300%,"nm",BS!G31/BS!G27)</f>
        <v>0.1200952845385091</v>
      </c>
    </row>
    <row r="81" spans="1:6">
      <c r="B81" s="382" t="s">
        <v>310</v>
      </c>
      <c r="C81" s="389">
        <f>IF(BS!C50&gt;30,"nm",BS!C50)</f>
        <v>0.41215180500545473</v>
      </c>
    </row>
    <row r="83" spans="1:6">
      <c r="B83" s="343" t="s">
        <v>511</v>
      </c>
    </row>
    <row r="84" spans="1:6">
      <c r="B84" s="343" t="s">
        <v>223</v>
      </c>
      <c r="C84" s="373">
        <f>DCF!F5</f>
        <v>3796000.3986851773</v>
      </c>
      <c r="D84" s="343" t="str">
        <f>Reporting_currency</f>
        <v>HKD</v>
      </c>
    </row>
    <row r="85" spans="1:6">
      <c r="B85" s="382" t="s">
        <v>480</v>
      </c>
      <c r="C85" s="390">
        <f>BS!C66</f>
        <v>7834942</v>
      </c>
      <c r="D85" s="391" t="str">
        <f>Reporting_currency</f>
        <v>HKD</v>
      </c>
    </row>
    <row r="86" spans="1:6">
      <c r="B86" s="372" t="s">
        <v>234</v>
      </c>
      <c r="C86" s="387">
        <f>C84*scaling_factor*Exchange_Rate/Common_Shares</f>
        <v>0.32487565037335536</v>
      </c>
      <c r="D86" s="343" t="str">
        <f>Market_currency</f>
        <v>HKD</v>
      </c>
    </row>
    <row r="88" spans="1:6">
      <c r="B88" s="343" t="s">
        <v>512</v>
      </c>
    </row>
    <row r="89" spans="1:6">
      <c r="B89" s="343" t="s">
        <v>216</v>
      </c>
      <c r="C89" s="373">
        <f>DCF!F6</f>
        <v>2176734.1</v>
      </c>
      <c r="D89" s="343" t="str">
        <f>Reporting_currency</f>
        <v>HKD</v>
      </c>
    </row>
    <row r="90" spans="1:6">
      <c r="B90" s="372" t="s">
        <v>235</v>
      </c>
      <c r="C90" s="387">
        <f>C89*scaling_factor*Exchange_Rate/Common_Shares</f>
        <v>0.18629289572053326</v>
      </c>
      <c r="D90" s="343" t="str">
        <f>Market_currency</f>
        <v>HKD</v>
      </c>
    </row>
    <row r="92" spans="1:6">
      <c r="B92" s="372" t="s">
        <v>479</v>
      </c>
      <c r="C92" s="387">
        <f>DCF!F8</f>
        <v>0.34516763298047481</v>
      </c>
      <c r="D92" s="343" t="str">
        <f>Market_currency</f>
        <v>HKD</v>
      </c>
    </row>
    <row r="94" spans="1:6" ht="13.9">
      <c r="A94" s="345" t="s">
        <v>481</v>
      </c>
      <c r="B94" s="345"/>
      <c r="C94" s="345"/>
      <c r="D94" s="345"/>
      <c r="E94" s="345"/>
      <c r="F94" s="345"/>
    </row>
    <row r="95" spans="1:6">
      <c r="A95" s="385"/>
    </row>
    <row r="96" spans="1:6">
      <c r="A96" s="385"/>
      <c r="B96" s="471" t="s">
        <v>513</v>
      </c>
      <c r="C96" s="471"/>
      <c r="D96" s="471"/>
      <c r="E96" s="471"/>
      <c r="F96" s="471"/>
    </row>
    <row r="97" spans="1:6">
      <c r="A97" s="385"/>
      <c r="B97" s="472" t="s">
        <v>514</v>
      </c>
      <c r="C97" s="472"/>
      <c r="D97" s="472"/>
      <c r="E97" s="472"/>
      <c r="F97" s="472"/>
    </row>
    <row r="98" spans="1:6">
      <c r="A98" s="385"/>
      <c r="B98" s="472" t="s">
        <v>515</v>
      </c>
      <c r="C98" s="472"/>
      <c r="D98" s="472"/>
      <c r="E98" s="472"/>
      <c r="F98" s="472"/>
    </row>
    <row r="99" spans="1:6">
      <c r="A99" s="385"/>
    </row>
    <row r="100" spans="1:6">
      <c r="A100" s="385"/>
      <c r="B100" s="369" t="s">
        <v>370</v>
      </c>
    </row>
    <row r="101" spans="1:6">
      <c r="A101" s="385"/>
      <c r="B101" s="372" t="s">
        <v>211</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534</v>
      </c>
      <c r="C104" s="368">
        <v>0</v>
      </c>
    </row>
    <row r="105" spans="1:6">
      <c r="A105" s="385"/>
      <c r="C105" s="392"/>
    </row>
    <row r="106" spans="1:6">
      <c r="A106" s="385"/>
      <c r="B106" s="393" t="s">
        <v>374</v>
      </c>
      <c r="C106" s="392"/>
    </row>
    <row r="107" spans="1:6">
      <c r="A107" s="385"/>
      <c r="B107" s="471" t="s">
        <v>516</v>
      </c>
      <c r="C107" s="471"/>
      <c r="D107" s="471"/>
      <c r="E107" s="471"/>
      <c r="F107" s="471"/>
    </row>
    <row r="108" spans="1:6">
      <c r="A108" s="385"/>
      <c r="B108" s="471" t="s">
        <v>535</v>
      </c>
      <c r="C108" s="471"/>
      <c r="D108" s="471"/>
      <c r="E108" s="471"/>
      <c r="F108" s="471"/>
    </row>
    <row r="109" spans="1:6">
      <c r="A109" s="385"/>
    </row>
    <row r="110" spans="1:6">
      <c r="A110" s="385"/>
      <c r="B110" s="369" t="s">
        <v>488</v>
      </c>
    </row>
    <row r="111" spans="1:6">
      <c r="A111" s="385"/>
      <c r="B111" s="375" t="s">
        <v>485</v>
      </c>
      <c r="C111" s="394">
        <f>BS!D47</f>
        <v>0.26857934054514021</v>
      </c>
      <c r="D111" s="343" t="str">
        <f>Market_currency</f>
        <v>HKD</v>
      </c>
    </row>
    <row r="112" spans="1:6">
      <c r="A112" s="385"/>
      <c r="B112" s="372" t="s">
        <v>376</v>
      </c>
      <c r="C112" s="394">
        <f>DCF!C11</f>
        <v>6.013677622652132</v>
      </c>
      <c r="D112" s="343" t="str">
        <f>Market_currency</f>
        <v>HKD</v>
      </c>
    </row>
    <row r="113" spans="1:6">
      <c r="A113" s="385"/>
    </row>
    <row r="114" spans="1:6">
      <c r="A114" s="385"/>
      <c r="B114" s="471" t="s">
        <v>517</v>
      </c>
      <c r="C114" s="471"/>
      <c r="D114" s="471"/>
      <c r="E114" s="471"/>
      <c r="F114" s="471"/>
    </row>
    <row r="115" spans="1:6">
      <c r="A115" s="385"/>
    </row>
    <row r="116" spans="1:6">
      <c r="A116" s="385"/>
      <c r="B116" s="369" t="s">
        <v>489</v>
      </c>
    </row>
    <row r="117" spans="1:6">
      <c r="A117" s="385"/>
      <c r="B117" s="342" t="s">
        <v>377</v>
      </c>
      <c r="C117" s="342" t="s">
        <v>378</v>
      </c>
      <c r="D117" s="342" t="s">
        <v>98</v>
      </c>
      <c r="E117" s="342" t="s">
        <v>379</v>
      </c>
      <c r="F117" s="342" t="s">
        <v>380</v>
      </c>
    </row>
    <row r="118" spans="1:6">
      <c r="A118" s="385"/>
      <c r="B118" s="395" t="str">
        <f>DCF!B90</f>
        <v>Snowball Scenario</v>
      </c>
      <c r="C118" s="396">
        <f>DCF!C90</f>
        <v>0.05</v>
      </c>
      <c r="D118" s="397">
        <f>DCF!D90</f>
        <v>15</v>
      </c>
      <c r="E118" s="398" t="str">
        <f>ROUND(DCF!E90,2)&amp;" "&amp;Market_currency</f>
        <v>7.04 HKD</v>
      </c>
      <c r="F118" s="399">
        <f>DCF!F90</f>
        <v>0.15</v>
      </c>
    </row>
    <row r="119" spans="1:6">
      <c r="A119" s="385"/>
      <c r="B119" s="400" t="str">
        <f>DCF!B91</f>
        <v>Optimistic</v>
      </c>
      <c r="C119" s="401">
        <f>DCF!C91</f>
        <v>0.03</v>
      </c>
      <c r="D119" s="402">
        <f>DCF!D91</f>
        <v>15</v>
      </c>
      <c r="E119" s="398" t="str">
        <f>ROUND(DCF!E91,2)&amp;" "&amp;Market_currency</f>
        <v>5.8 HKD</v>
      </c>
      <c r="F119" s="403">
        <f>DCF!F91</f>
        <v>0.15999999999999995</v>
      </c>
    </row>
    <row r="120" spans="1:6">
      <c r="B120" s="400" t="str">
        <f>DCF!B92</f>
        <v>Base</v>
      </c>
      <c r="C120" s="401">
        <f>DCF!C92</f>
        <v>0.02</v>
      </c>
      <c r="D120" s="402">
        <f>DCF!D92</f>
        <v>15</v>
      </c>
      <c r="E120" s="398" t="str">
        <f>ROUND(DCF!E92,2)&amp;" "&amp;Market_currency</f>
        <v>5.28 HKD</v>
      </c>
      <c r="F120" s="403">
        <f>DCF!F92</f>
        <v>0.44</v>
      </c>
    </row>
    <row r="121" spans="1:6">
      <c r="B121" s="400" t="str">
        <f>DCF!B93</f>
        <v>Pessimistic</v>
      </c>
      <c r="C121" s="401">
        <f>DCF!C93</f>
        <v>0.01</v>
      </c>
      <c r="D121" s="402">
        <f>DCF!D93</f>
        <v>15</v>
      </c>
      <c r="E121" s="398" t="str">
        <f>ROUND(DCF!E93,2)&amp;" "&amp;Market_currency</f>
        <v>4.81 HKD</v>
      </c>
      <c r="F121" s="403">
        <f>DCF!F93</f>
        <v>0.19999999999999998</v>
      </c>
    </row>
    <row r="122" spans="1:6">
      <c r="B122" s="400" t="str">
        <f>DCF!B94</f>
        <v>Devil's advocate</v>
      </c>
      <c r="C122" s="401">
        <f>DCF!C94</f>
        <v>0</v>
      </c>
      <c r="D122" s="402">
        <f>DCF!D94</f>
        <v>15</v>
      </c>
      <c r="E122" s="398" t="str">
        <f>ROUND(DCF!E94,2)&amp;" "&amp;Market_currency</f>
        <v>4.4 HKD</v>
      </c>
      <c r="F122" s="403">
        <f>DCF!F94</f>
        <v>0.05</v>
      </c>
    </row>
    <row r="124" spans="1:6">
      <c r="B124" s="470" t="s">
        <v>518</v>
      </c>
      <c r="C124" s="470"/>
      <c r="D124" s="470"/>
      <c r="E124" s="470"/>
      <c r="F124" s="470"/>
    </row>
    <row r="125" spans="1:6">
      <c r="B125" s="372" t="s">
        <v>217</v>
      </c>
      <c r="C125" s="404">
        <f>Scenarios!C36</f>
        <v>5.4881856537930034</v>
      </c>
      <c r="D125" s="343" t="str">
        <f>Market_currency</f>
        <v>HKD</v>
      </c>
    </row>
    <row r="127" spans="1:6">
      <c r="B127" s="475" t="s">
        <v>519</v>
      </c>
      <c r="C127" s="475"/>
      <c r="D127" s="475"/>
      <c r="E127" s="475"/>
      <c r="F127" s="475"/>
    </row>
    <row r="129" spans="1:6" ht="13.9">
      <c r="A129" s="345" t="s">
        <v>491</v>
      </c>
      <c r="B129" s="345"/>
      <c r="C129" s="345"/>
      <c r="D129" s="345"/>
      <c r="E129" s="345"/>
      <c r="F129" s="345"/>
    </row>
    <row r="131" spans="1:6">
      <c r="B131" s="476" t="s">
        <v>520</v>
      </c>
      <c r="C131" s="476"/>
      <c r="D131" s="476"/>
      <c r="E131" s="476"/>
      <c r="F131" s="476"/>
    </row>
    <row r="132" spans="1:6" ht="24.5" customHeight="1">
      <c r="B132" s="471" t="s">
        <v>521</v>
      </c>
      <c r="C132" s="471"/>
      <c r="D132" s="471"/>
      <c r="E132" s="471"/>
      <c r="F132" s="471"/>
    </row>
    <row r="134" spans="1:6">
      <c r="B134" s="369" t="s">
        <v>370</v>
      </c>
    </row>
    <row r="135" spans="1:6">
      <c r="B135" s="343" t="s">
        <v>381</v>
      </c>
      <c r="C135" s="405">
        <f>E21</f>
        <v>3</v>
      </c>
    </row>
    <row r="136" spans="1:6">
      <c r="B136" s="343" t="s">
        <v>382</v>
      </c>
      <c r="C136" s="406">
        <f>Scenarios!C58</f>
        <v>0.26</v>
      </c>
      <c r="D136" s="343" t="str">
        <f>Market_currency</f>
        <v>HKD</v>
      </c>
    </row>
    <row r="138" spans="1:6">
      <c r="B138" s="369" t="s">
        <v>492</v>
      </c>
      <c r="C138" s="407"/>
      <c r="D138" s="407"/>
    </row>
    <row r="139" spans="1:6">
      <c r="B139" s="340" t="s">
        <v>461</v>
      </c>
      <c r="C139" s="340" t="str">
        <f>"PV("&amp;Holding_Period&amp;" yrs of Dividends)"</f>
        <v>PV(3 yrs of Dividends)</v>
      </c>
      <c r="D139" s="340" t="s">
        <v>470</v>
      </c>
      <c r="E139" s="341" t="str">
        <f>"Buy below ("&amp;Market_currency&amp;")"</f>
        <v>Buy below (HKD)</v>
      </c>
      <c r="F139" s="341" t="s">
        <v>494</v>
      </c>
    </row>
    <row r="140" spans="1:6">
      <c r="B140" s="408" t="s">
        <v>311</v>
      </c>
      <c r="C140" s="409">
        <f>Scenarios!C62</f>
        <v>0.47576140978863113</v>
      </c>
      <c r="D140" s="409">
        <f>Scenarios!D62</f>
        <v>2.5291178128078364</v>
      </c>
      <c r="E140" s="410">
        <f>Scenarios!E62</f>
        <v>3.0048792225964673</v>
      </c>
      <c r="F140" s="411">
        <f>E22</f>
        <v>0.29465259038036601</v>
      </c>
    </row>
    <row r="141" spans="1:6">
      <c r="B141" s="408" t="s">
        <v>312</v>
      </c>
      <c r="C141" s="409">
        <f>Scenarios!C63</f>
        <v>0.54704102628996054</v>
      </c>
      <c r="D141" s="409">
        <f>Scenarios!D63</f>
        <v>3.1700711357649132</v>
      </c>
      <c r="E141" s="410">
        <f>Scenarios!E63</f>
        <v>3.7171121620548737</v>
      </c>
      <c r="F141" s="411">
        <f>Scenarios!F63</f>
        <v>0.20075184365903001</v>
      </c>
    </row>
    <row r="143" spans="1:6">
      <c r="B143" s="340" t="s">
        <v>462</v>
      </c>
      <c r="C143" s="340" t="str">
        <f>"PV("&amp;Holding_Period&amp;" yrs of Dividends)"</f>
        <v>PV(3 yrs of Dividends)</v>
      </c>
      <c r="D143" s="340" t="s">
        <v>470</v>
      </c>
      <c r="E143" s="341" t="str">
        <f>"Sell above ("&amp;Market_currency&amp;")"</f>
        <v>Sell above (HKD)</v>
      </c>
      <c r="F143" s="341" t="s">
        <v>494</v>
      </c>
    </row>
    <row r="144" spans="1:6">
      <c r="B144" s="408" t="s">
        <v>314</v>
      </c>
      <c r="C144" s="409">
        <f>Scenarios!C66</f>
        <v>0.62727681274404878</v>
      </c>
      <c r="D144" s="409">
        <f>Scenarios!D66</f>
        <v>3.9337141061508745</v>
      </c>
      <c r="E144" s="410">
        <f>Scenarios!E66</f>
        <v>4.5609909188949231</v>
      </c>
      <c r="F144" s="411">
        <f>E24</f>
        <v>0.1174</v>
      </c>
    </row>
    <row r="145" spans="1:6">
      <c r="B145" s="408" t="s">
        <v>313</v>
      </c>
      <c r="C145" s="409">
        <f>Scenarios!C67</f>
        <v>0.67921755906498427</v>
      </c>
      <c r="D145" s="409">
        <f>Scenarios!D67</f>
        <v>4.4487386360961025</v>
      </c>
      <c r="E145" s="410">
        <f>Scenarios!E67</f>
        <v>5.1279561951610866</v>
      </c>
      <c r="F145" s="411">
        <f>Scenarios!F67</f>
        <v>7.2499999999999995E-2</v>
      </c>
    </row>
    <row r="147" spans="1:6" ht="13.9">
      <c r="A147" s="345" t="s">
        <v>474</v>
      </c>
      <c r="B147" s="345"/>
      <c r="C147" s="345"/>
      <c r="D147" s="345"/>
      <c r="E147" s="345"/>
      <c r="F147" s="345"/>
    </row>
    <row r="149" spans="1:6">
      <c r="B149" s="477" t="s">
        <v>522</v>
      </c>
      <c r="C149" s="471"/>
      <c r="D149" s="471"/>
      <c r="E149" s="471"/>
      <c r="F149" s="471"/>
    </row>
    <row r="151" spans="1:6">
      <c r="B151" s="369" t="s">
        <v>383</v>
      </c>
    </row>
    <row r="152" spans="1:6">
      <c r="B152" s="473" t="s">
        <v>523</v>
      </c>
      <c r="C152" s="473"/>
      <c r="D152" s="473"/>
      <c r="E152" s="473"/>
      <c r="F152" s="473"/>
    </row>
    <row r="153" spans="1:6">
      <c r="B153" s="412" t="s">
        <v>384</v>
      </c>
    </row>
    <row r="154" spans="1:6">
      <c r="B154" s="412" t="s">
        <v>385</v>
      </c>
    </row>
    <row r="155" spans="1:6">
      <c r="B155" s="412" t="s">
        <v>386</v>
      </c>
    </row>
    <row r="157" spans="1:6">
      <c r="B157" s="343" t="s">
        <v>524</v>
      </c>
    </row>
    <row r="158" spans="1:6" ht="24.5" customHeight="1">
      <c r="B158" s="470" t="s">
        <v>438</v>
      </c>
      <c r="C158" s="470"/>
      <c r="D158" s="470"/>
      <c r="E158" s="470"/>
      <c r="F158" s="470"/>
    </row>
    <row r="160" spans="1:6">
      <c r="B160" s="343" t="s">
        <v>525</v>
      </c>
    </row>
    <row r="161" spans="2:6">
      <c r="B161" s="474" t="s">
        <v>387</v>
      </c>
      <c r="C161" s="474"/>
      <c r="D161" s="474"/>
      <c r="E161" s="474"/>
      <c r="F161" s="474"/>
    </row>
    <row r="162" spans="2:6">
      <c r="B162" s="474" t="s">
        <v>388</v>
      </c>
      <c r="C162" s="474"/>
      <c r="D162" s="474"/>
      <c r="E162" s="474"/>
      <c r="F162" s="474"/>
    </row>
    <row r="164" spans="2:6">
      <c r="B164" s="343" t="s">
        <v>526</v>
      </c>
    </row>
    <row r="165" spans="2:6">
      <c r="B165" s="412" t="s">
        <v>389</v>
      </c>
    </row>
    <row r="166" spans="2:6">
      <c r="B166" s="412" t="s">
        <v>390</v>
      </c>
    </row>
    <row r="167" spans="2:6">
      <c r="B167" s="412" t="s">
        <v>391</v>
      </c>
    </row>
  </sheetData>
  <mergeCells count="29">
    <mergeCell ref="B158:F158"/>
    <mergeCell ref="B161:F161"/>
    <mergeCell ref="B162:F162"/>
    <mergeCell ref="B124:F124"/>
    <mergeCell ref="B127:F127"/>
    <mergeCell ref="B131:F131"/>
    <mergeCell ref="B132:F132"/>
    <mergeCell ref="B149:F149"/>
    <mergeCell ref="B152:F152"/>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40:F40"/>
    <mergeCell ref="B12:F12"/>
    <mergeCell ref="B29:F29"/>
    <mergeCell ref="B30:F30"/>
    <mergeCell ref="B33:F33"/>
    <mergeCell ref="B36:F36"/>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2026-04-18T07:15:58Z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