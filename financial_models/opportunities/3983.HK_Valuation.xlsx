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48A21A-A871-443A-AE7D-ED52FE8F397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D62" i="10"/>
  <c r="D64" i="10"/>
  <c r="D66" i="10"/>
  <c r="B61" i="10"/>
  <c r="E64" i="10"/>
  <c r="F64" i="10"/>
  <c r="C63" i="10"/>
  <c r="B62" i="10"/>
  <c r="F63" i="10"/>
  <c r="C62" i="10"/>
  <c r="C66" i="10"/>
  <c r="E62" i="10"/>
  <c r="E66" i="10"/>
  <c r="F62" i="10"/>
  <c r="F66" i="10"/>
  <c r="C61" i="10"/>
  <c r="C65" i="10"/>
  <c r="B64" i="10"/>
  <c r="F61" i="10"/>
  <c r="B65" i="10"/>
  <c r="C64" i="10"/>
  <c r="B66" i="10"/>
  <c r="D61" i="10"/>
  <c r="D63" i="10"/>
  <c r="D65" i="10"/>
  <c r="B63" i="10"/>
  <c r="E61" i="10"/>
  <c r="E63" i="10"/>
  <c r="E65" i="10"/>
  <c r="F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58" i="2" l="1"/>
  <c r="C66" i="2"/>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G91" i="2" l="1"/>
  <c r="C4" i="2"/>
  <c r="Q126" i="2"/>
  <c r="Q92" i="2"/>
  <c r="Q48" i="2"/>
  <c r="Q91" i="2"/>
  <c r="F71" i="4"/>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D69" i="8"/>
  <c r="F66" i="8"/>
  <c r="C67" i="8"/>
  <c r="C70" i="8"/>
  <c r="E66" i="8"/>
  <c r="F70" i="8"/>
  <c r="E67" i="8"/>
  <c r="B70" i="8"/>
  <c r="C66" i="8"/>
  <c r="E70" i="8"/>
  <c r="F71" i="8"/>
  <c r="D66" i="8"/>
  <c r="B66" i="8"/>
  <c r="G54" i="2"/>
  <c r="C54" i="2" s="1"/>
  <c r="C96" i="6" l="1"/>
  <c r="C97" i="6" s="1"/>
  <c r="E68" i="8"/>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143" i="6" s="1"/>
  <c r="I6" i="9"/>
  <c r="C87" i="9" s="1"/>
  <c r="C98" i="9"/>
  <c r="C159" i="6" s="1"/>
  <c r="F72" i="9"/>
  <c r="C72" i="9" s="1"/>
  <c r="C105" i="9"/>
  <c r="C168" i="6" s="1"/>
  <c r="C167" i="6"/>
  <c r="H76" i="2"/>
  <c r="H120" i="2"/>
  <c r="H116" i="2" s="1"/>
  <c r="H13" i="2"/>
  <c r="C83" i="9" l="1"/>
  <c r="F83" i="9" s="1"/>
  <c r="C146" i="6" s="1"/>
  <c r="C99" i="9"/>
  <c r="C160" i="6" s="1"/>
  <c r="D168" i="6"/>
  <c r="D32" i="6" s="1"/>
  <c r="C32" i="6"/>
  <c r="E26" i="6"/>
  <c r="C93" i="9"/>
  <c r="H16" i="2"/>
  <c r="H19" i="2" s="1"/>
  <c r="H81" i="2"/>
  <c r="H117" i="2" s="1"/>
  <c r="C144" i="6" l="1"/>
  <c r="C29" i="6" s="1"/>
  <c r="F99" i="9"/>
  <c r="C162"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<sst xmlns="http://schemas.openxmlformats.org/spreadsheetml/2006/main" count="682" uniqueCount="463">
  <si>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</si>
  <si>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</si>
  <si>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</si>
  <si>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</si>
  <si>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</si>
  <si>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</si>
  <si>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</si>
  <si>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</si>
  <si>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</si>
  <si>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</si>
  <si>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</si>
  <si>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</si>
  <si>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</si>
  <si>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</si>
  <si>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</si>
  <si>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</si>
  <si>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</si>
  <si>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</si>
  <si>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</si>
  <si>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</si>
  <si>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</si>
  <si>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</si>
  <si>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</si>
  <si>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</si>
  <si>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</si>
  <si>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</si>
  <si>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</si>
  <si>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</si>
  <si>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</si>
  <si>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</si>
  <si>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</si>
  <si>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</si>
  <si>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</si>
  <si>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</si>
  <si>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</si>
  <si>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</si>
  <si>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</si>
  <si>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</si>
  <si>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</si>
  <si>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</si>
  <si>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</si>
  <si>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</si>
  <si>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</si>
  <si>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</si>
  <si>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</si>
  <si>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</si>
  <si>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</si>
  <si>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</si>
  <si>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</si>
  <si>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</si>
  <si>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</si>
  <si>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</si>
  <si>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</si>
  <si>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</si>
  <si>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</si>
  <si>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</si>
  <si>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</si>
  <si>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</si>
  <si>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</si>
  <si>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</si>
  <si>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</si>
  <si>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</si>
  <si>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</si>
  <si>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</si>
  <si>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</si>
  <si>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</si>
  <si>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</si>
  <si>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</si>
  <si>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</si>
  <si>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</si>
  <si>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</si>
  <si>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</si>
  <si>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</si>
  <si>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</si>
  <si>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</si>
  <si>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</si>
  <si>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</si>
  <si>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</si>
  <si>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</si>
  <si>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</si>
  <si>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</si>
  <si>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</si>
  <si>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</si>
  <si>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</si>
  <si>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</si>
  <si>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</si>
  <si>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</si>
  <si>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</si>
  <si>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</si>
  <si>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</si>
  <si>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</si>
  <si>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</si>
  <si>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</si>
  <si>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</si>
  <si>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</si>
  <si>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</si>
  <si>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</si>
  <si>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</si>
  <si>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</si>
  <si>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</si>
  <si>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</si>
  <si>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</si>
  <si>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</si>
  <si>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</si>
  <si>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</si>
  <si>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</si>
  <si>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</si>
  <si>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</si>
  <si>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</si>
  <si>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</si>
  <si>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</si>
  <si>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</si>
  <si>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</si>
  <si>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</si>
  <si>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</si>
  <si>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</si>
  <si>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</si>
  <si>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</si>
  <si>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</si>
  <si>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</si>
  <si>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</si>
  <si>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</si>
  <si>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</si>
  <si>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</si>
  <si>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</si>
  <si>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</si>
  <si>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</si>
  <si>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</si>
  <si>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</si>
  <si>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</si>
  <si>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</si>
  <si>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</si>
  <si>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</si>
  <si>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</si>
  <si>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</si>
  <si>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</si>
  <si>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</si>
  <si>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</si>
  <si>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</si>
  <si>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</si>
  <si>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</si>
  <si>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</si>
  <si>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</si>
  <si>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</si>
  <si>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</si>
  <si>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</si>
  <si>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</si>
  <si>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</si>
  <si>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</si>
  <si>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</si>
  <si>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</si>
  <si>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</si>
  <si>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</si>
  <si>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</si>
  <si>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</si>
  <si>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</si>
  <si>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</si>
  <si>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</si>
  <si>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</si>
  <si>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</si>
  <si>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</si>
  <si>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</si>
  <si>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</si>
  <si>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</si>
  <si>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</si>
  <si>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</si>
  <si>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</si>
  <si>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</si>
  <si>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</si>
  <si>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</si>
  <si>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</si>
  <si>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</si>
  <si>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</si>
  <si>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</si>
  <si>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</si>
  <si>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</si>
  <si>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</si>
  <si>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</si>
  <si>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</si>
  <si>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</si>
  <si>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</si>
  <si>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</si>
  <si>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</si>
  <si>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</si>
  <si>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</si>
  <si>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</si>
  <si>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</si>
  <si>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</si>
  <si>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</si>
  <si>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</si>
  <si>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</si>
  <si>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</si>
  <si>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</si>
  <si>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</si>
  <si>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</si>
  <si>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</si>
  <si>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</si>
  <si>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</si>
  <si>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</si>
  <si>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</si>
  <si>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</si>
  <si>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</si>
  <si>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</si>
  <si>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</si>
  <si>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</si>
  <si>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</si>
  <si>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</si>
  <si>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</si>
  <si>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</si>
  <si>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</si>
  <si>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</si>
  <si>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</si>
  <si>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</si>
  <si>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</si>
  <si>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</si>
  <si>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</si>
  <si>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</si>
  <si>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</si>
  <si>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</si>
  <si>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</si>
  <si>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</si>
  <si>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</si>
  <si>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</si>
  <si>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</si>
  <si>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</si>
  <si>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</si>
  <si>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</si>
  <si>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</si>
  <si>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</si>
  <si>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</si>
  <si>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</si>
  <si>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</si>
  <si>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</si>
  <si>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</si>
  <si>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</si>
  <si>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</si>
  <si>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</si>
  <si>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</si>
  <si>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</si>
  <si>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</si>
  <si>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</si>
  <si>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</si>
  <si>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</si>
  <si>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</si>
  <si>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</si>
  <si>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</si>
  <si>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</si>
  <si>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</si>
  <si>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</si>
  <si>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</si>
  <si>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</si>
  <si>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</si>
  <si>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</si>
  <si>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</si>
  <si>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</si>
  <si>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</si>
  <si>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</si>
  <si>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</si>
  <si>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</si>
  <si>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</si>
  <si>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</si>
  <si>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</si>
  <si>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</si>
  <si>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</si>
  <si>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</si>
  <si>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</si>
  <si>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</si>
  <si>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</si>
  <si>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</si>
  <si>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</si>
  <si>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</si>
  <si>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</si>
  <si>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</si>
  <si>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</si>
  <si>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</si>
  <si>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</si>
  <si>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</si>
  <si>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</si>
  <si>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</si>
  <si>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</si>
  <si>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</si>
  <si>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</si>
  <si>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</si>
  <si>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</si>
  <si>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</si>
  <si>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</si>
  <si>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</si>
  <si>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</si>
  <si>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</si>
  <si>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</si>
  <si>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</si>
  <si>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</si>
  <si>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</si>
  <si>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</si>
  <si>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</si>
  <si>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</si>
  <si>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</si>
  <si>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</si>
  <si>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</si>
  <si>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</si>
  <si>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</si>
  <si>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</si>
  <si>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</si>
  <si>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</si>
  <si>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</si>
  <si>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</si>
  <si>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</si>
  <si>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</si>
  <si>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</si>
  <si>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</si>
  <si>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</si>
  <si>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</si>
  <si>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</si>
  <si>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</si>
  <si>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</si>
  <si>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</si>
  <si>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</si>
  <si>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</si>
  <si>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</si>
  <si>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</si>
  <si>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</si>
  <si>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</si>
  <si>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</si>
  <si>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</si>
  <si>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</si>
  <si>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</si>
  <si>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</si>
  <si>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</si>
  <si>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</si>
  <si>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</si>
  <si>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</si>
  <si>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</si>
  <si>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</si>
  <si>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</si>
  <si>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</si>
  <si>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</si>
  <si>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</si>
  <si>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</si>
  <si>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</si>
  <si>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</si>
  <si>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</si>
  <si>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</si>
  <si>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</si>
  <si>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</si>
  <si>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</si>
  <si>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</si>
  <si>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</si>
  <si>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</si>
  <si>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</si>
  <si>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</si>
  <si>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</si>
  <si>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</si>
  <si>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</si>
  <si>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</si>
  <si>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</si>
  <si>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</si>
  <si>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</si>
  <si>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</si>
  <si>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</si>
  <si>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</si>
  <si>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</si>
  <si>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</si>
  <si>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</si>
  <si>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</si>
  <si>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</si>
  <si>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</si>
  <si>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</si>
  <si>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</si>
  <si>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</si>
  <si>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</si>
  <si>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</si>
  <si>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</si>
  <si>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</si>
  <si>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</si>
  <si>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</si>
  <si>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</si>
  <si>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</si>
  <si>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</si>
  <si>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</si>
  <si>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</si>
  <si>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</si>
  <si>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</si>
  <si>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</si>
  <si>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</si>
  <si>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</si>
  <si>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</si>
  <si>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</si>
  <si>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</si>
  <si>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</si>
  <si>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</si>
  <si>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</si>
  <si>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</si>
  <si>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</si>
  <si>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</si>
  <si>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</si>
  <si>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</si>
  <si>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</si>
  <si>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</si>
  <si>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</si>
  <si>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</si>
  <si>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</si>
  <si>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</si>
  <si>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</si>
  <si>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</si>
  <si>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</si>
  <si>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</si>
  <si>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</si>
  <si>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</si>
  <si>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</si>
  <si>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</si>
  <si>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</si>
  <si>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</si>
  <si>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</si>
  <si>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</si>
  <si>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</si>
  <si>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</si>
  <si>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</si>
  <si>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</si>
  <si>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</si>
  <si>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</si>
  <si>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</si>
  <si>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</si>
  <si>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</si>
  <si>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</si>
  <si>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</si>
  <si>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</si>
  <si>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</si>
  <si>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</si>
  <si>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</si>
  <si>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</si>
  <si>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</si>
  <si>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</si>
  <si>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</si>
  <si>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</si>
  <si>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</si>
  <si>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</si>
  <si>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</si>
  <si>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</si>
  <si>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</si>
  <si>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</si>
  <si>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</si>
  <si>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</si>
  <si>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</si>
  <si>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</si>
  <si>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</si>
  <si>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</si>
  <si>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</si>
  <si>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</si>
  <si>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</si>
  <si>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</si>
  <si>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</si>
  <si>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</si>
  <si>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</si>
  <si>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中海石油化学</t>
  </si>
  <si>
    <t>3983.HK</t>
  </si>
  <si>
    <t/>
  </si>
  <si>
    <t>ENG_02</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</si>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</sst>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4610000000</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1.95</v>
      </c>
      <c r="D12" s="50"/>
      <c r="E12" s="48"/>
    </row>
    <row r="13" spans="1:10">
      <c r="B13" s="1" t="s">
        <v>418</v>
      </c>
      <c r="C13" s="48" t="s">
        <v>397</v>
      </c>
      <c r="D13" s="48"/>
      <c r="E13" s="5"/>
    </row>
    <row r="14" spans="1:10">
      <c r="B14" s="4" t="s">
        <v>422</v>
      </c>
      <c r="C14" s="35">
        <f>Thesis!C12*Common_Shares/1000000</f>
        <v>8989.5</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1.0837740599999999</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
      </c>
      <c r="E25" s="329" t="str">
        <f>IF(D11="","",1/Exchange_Rate*D16)</f>
        <v/>
      </c>
    </row>
    <row r="26" spans="2:6">
      <c r="B26" s="1" t="str">
        <f>"Expected Equity Value ("&amp;C13&amp;") :"</f>
        <v>Expected Equity Value (HKD) :</v>
      </c>
      <c r="C26" s="334">
        <f>C127</f>
        <v>3.2635759761825347</v>
      </c>
      <c r="D26" s="1" t="s">
        <v>400</v>
      </c>
      <c r="E26" s="331">
        <f ca="1">Scenarios!C87</f>
        <v>0.23107791371828346</v>
      </c>
    </row>
    <row r="27" spans="2:6">
      <c r="D27" s="5"/>
      <c r="E27" s="5"/>
    </row>
    <row r="28" spans="2:6">
      <c r="B28" s="45" t="s">
        <v>435</v>
      </c>
      <c r="C28" s="339" t="str">
        <f>C140&amp;" ("&amp;Market_currency&amp;")"</f>
        <v>3983.HK (HKD)</v>
      </c>
      <c r="D28" s="339" t="str">
        <f>IF(D11="","",D140&amp;" ("&amp;D13&amp;")")</f>
        <v/>
      </c>
      <c r="E28" s="335" t="s">
        <v>431</v>
      </c>
      <c r="F28" s="333">
        <v>3</v>
      </c>
    </row>
    <row r="29" spans="2:6">
      <c r="B29" s="1" t="s">
        <v>427</v>
      </c>
      <c r="C29" s="340">
        <f>C144</f>
        <v>1.4421853171775827</v>
      </c>
      <c r="D29" s="340" t="str">
        <f>D144</f>
        <v/>
      </c>
      <c r="E29" s="336" t="s">
        <v>426</v>
      </c>
      <c r="F29" s="332">
        <v>0.3674</v>
      </c>
    </row>
    <row r="30" spans="2:6">
      <c r="B30" s="1" t="s">
        <v>428</v>
      </c>
      <c r="C30" s="341">
        <f>C152</f>
        <v>2.0138537681635289</v>
      </c>
      <c r="D30" s="341" t="str">
        <f>D152</f>
        <v/>
      </c>
      <c r="E30" s="337" t="s">
        <v>439</v>
      </c>
      <c r="F30" s="342">
        <v>0.21740000000000001</v>
      </c>
    </row>
    <row r="31" spans="2:6">
      <c r="B31" s="1" t="s">
        <v>429</v>
      </c>
      <c r="C31" s="341">
        <f>C160</f>
        <v>2.8871025504129477</v>
      </c>
      <c r="D31" s="341" t="str">
        <f>D160</f>
        <v/>
      </c>
      <c r="E31" s="337" t="s">
        <v>438</v>
      </c>
      <c r="F31" s="342">
        <v>7.4999999999999997E-2</v>
      </c>
    </row>
    <row r="32" spans="2:6">
      <c r="B32" s="1" t="s">
        <v>430</v>
      </c>
      <c r="C32" s="341">
        <f>C168</f>
        <v>2.5804623119161265</v>
      </c>
      <c r="D32" s="341" t="str">
        <f>D168</f>
        <v/>
      </c>
      <c r="E32" s="337" t="s">
        <v>440</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v>
      </c>
    </row>
    <row r="40" spans="1:6" ht="24.5" customHeight="1">
      <c r="B40" s="348" t="s">
        <v>232</v>
      </c>
      <c r="C40" s="348"/>
      <c r="D40" s="348"/>
      <c r="E40" s="348"/>
      <c r="F40" s="348"/>
    </row>
    <row r="41" spans="1:6">
      <c r="B41" s="47" t="s">
        <v>233</v>
      </c>
      <c r="C41" s="76">
        <f>Normalized_FCF!C8</f>
        <v>928439.85014218651</v>
      </c>
      <c r="D41" s="1" t="str">
        <f>Reporting_currency</f>
        <v>CNY</v>
      </c>
    </row>
    <row r="42" spans="1:6">
      <c r="B42" s="47"/>
      <c r="C42" s="76"/>
    </row>
    <row r="43" spans="1:6" ht="24.5" customHeight="1">
      <c r="B43" s="348" t="s">
        <v>234</v>
      </c>
      <c r="C43" s="348"/>
      <c r="D43" s="348"/>
      <c r="E43" s="348"/>
      <c r="F43" s="348"/>
    </row>
    <row r="44" spans="1:6">
      <c r="B44" s="47" t="s">
        <v>235</v>
      </c>
      <c r="C44" s="76">
        <f>Normalized_FCF!C9</f>
        <v>0</v>
      </c>
      <c r="D44" s="1" t="str">
        <f>Reporting_currency</f>
        <v>CNY</v>
      </c>
    </row>
    <row r="45" spans="1:6">
      <c r="B45" s="52" t="s">
        <v>236</v>
      </c>
      <c r="C45" s="76">
        <f>Normalized_FCF!C10</f>
        <v>0</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341</v>
      </c>
      <c r="C51" s="312">
        <f>Normalized_FCF!C48</f>
        <v>57395.095749289067</v>
      </c>
      <c r="D51" s="1" t="str">
        <f>Reporting_currency</f>
        <v>CNY</v>
      </c>
      <c r="E51" s="311"/>
      <c r="F51" s="311"/>
    </row>
    <row r="52" spans="2:6">
      <c r="B52" s="47" t="s">
        <v>342</v>
      </c>
      <c r="C52" s="312">
        <f>Normalized_FCF!C47</f>
        <v>-52759</v>
      </c>
      <c r="D52" s="1" t="str">
        <f>Reporting_currency</f>
        <v>CNY</v>
      </c>
      <c r="E52" s="311"/>
      <c r="F52" s="311"/>
    </row>
    <row r="53" spans="2:6">
      <c r="B53" s="47" t="s">
        <v>239</v>
      </c>
      <c r="C53" s="76">
        <f>Normalized_FCF!C12</f>
        <v>4636.0957492890666</v>
      </c>
      <c r="D53" s="1" t="str">
        <f>Reporting_currency</f>
        <v>CNY</v>
      </c>
    </row>
    <row r="55" spans="2:6">
      <c r="B55" s="1" t="s">
        <v>247</v>
      </c>
    </row>
    <row r="56" spans="2:6">
      <c r="B56" s="47" t="s">
        <v>266</v>
      </c>
      <c r="C56" s="76">
        <f>Normalized_FCF!C15</f>
        <v>-130645.02443131036</v>
      </c>
      <c r="D56" s="1" t="str">
        <f>Reporting_currency</f>
        <v>CNY</v>
      </c>
    </row>
    <row r="58" spans="2:6">
      <c r="B58" s="348" t="s">
        <v>242</v>
      </c>
      <c r="C58" s="348"/>
      <c r="D58" s="348"/>
      <c r="E58" s="348"/>
      <c r="F58" s="348"/>
    </row>
    <row r="59" spans="2:6">
      <c r="B59" s="47" t="s">
        <v>240</v>
      </c>
      <c r="C59" s="76">
        <f>Normalized_FCF!C14</f>
        <v>-233268.98647286888</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632498.42340470827</v>
      </c>
      <c r="D67" s="1" t="str">
        <f>Reporting_currency</f>
        <v>CNY</v>
      </c>
    </row>
    <row r="68" spans="1:6">
      <c r="B68" s="47" t="s">
        <v>249</v>
      </c>
      <c r="C68" s="76">
        <f>Normalized_FCF!C19</f>
        <v>569161.93498729635</v>
      </c>
      <c r="D68" s="1" t="str">
        <f>Reporting_currency</f>
        <v>CNY</v>
      </c>
    </row>
    <row r="69" spans="1:6">
      <c r="B69" s="249" t="s">
        <v>391</v>
      </c>
      <c r="C69" s="92">
        <f>Normalized_FCF!C125</f>
        <v>6.8618159083223565E-2</v>
      </c>
      <c r="F69" s="344"/>
    </row>
    <row r="70" spans="1:6">
      <c r="B70" s="249" t="s">
        <v>309</v>
      </c>
      <c r="C70" s="92">
        <f>Normalized_FCF!C93</f>
        <v>5.1282051282051287E-2</v>
      </c>
      <c r="E70" s="47" t="s">
        <v>450</v>
      </c>
      <c r="F70" s="345">
        <f>Normalized_FCF!C92</f>
        <v>0.80996280963569622</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1.7840721361638123</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2119124</v>
      </c>
      <c r="D96" s="1" t="str">
        <f>Reporting_currency</f>
        <v>CNY</v>
      </c>
    </row>
    <row r="97" spans="2:6">
      <c r="B97" s="47" t="s">
        <v>282</v>
      </c>
      <c r="C97" s="245">
        <f>C96*scaling_factor*Exchange_Rate/Common_Shares</f>
        <v>0.49818907182721034</v>
      </c>
      <c r="D97" s="1" t="str">
        <f>Market_currency</f>
        <v>HKD</v>
      </c>
    </row>
    <row r="98" spans="2:6">
      <c r="B98" s="325" t="s">
        <v>405</v>
      </c>
      <c r="C98" s="326">
        <f>BS!G30/BS!G27</f>
        <v>0.23422582328431374</v>
      </c>
    </row>
    <row r="99" spans="2:6">
      <c r="B99" s="325" t="s">
        <v>406</v>
      </c>
      <c r="C99" s="326">
        <f>BS!G31/BS!G27</f>
        <v>0.10863424600069688</v>
      </c>
    </row>
    <row r="100" spans="2:6">
      <c r="B100" s="325" t="s">
        <v>408</v>
      </c>
      <c r="C100" s="327">
        <f>BS!C50</f>
        <v>2.2824569622635926</v>
      </c>
    </row>
    <row r="102" spans="2:6">
      <c r="B102" s="1" t="s">
        <v>255</v>
      </c>
    </row>
    <row r="103" spans="2:6">
      <c r="B103" s="47" t="s">
        <v>265</v>
      </c>
      <c r="C103" s="76">
        <f>BS!C66</f>
        <v>11691643</v>
      </c>
      <c r="D103" s="1" t="str">
        <f>Reporting_currency</f>
        <v>CNY</v>
      </c>
    </row>
    <row r="104" spans="2:6">
      <c r="B104" s="47" t="s">
        <v>267</v>
      </c>
      <c r="C104" s="76">
        <f>DCF!C8</f>
        <v>7865303.2833807282</v>
      </c>
      <c r="D104" s="1" t="str">
        <f>Reporting_currency</f>
        <v>CNY</v>
      </c>
    </row>
    <row r="105" spans="2:6">
      <c r="B105" s="47" t="s">
        <v>283</v>
      </c>
      <c r="C105" s="245">
        <f>C104*scaling_factor*Exchange_Rate/Common_Shares</f>
        <v>1.8490697771281694</v>
      </c>
      <c r="D105" s="1" t="str">
        <f>Market_currency</f>
        <v>HKD</v>
      </c>
    </row>
    <row r="107" spans="2:6">
      <c r="B107" s="1" t="s">
        <v>257</v>
      </c>
    </row>
    <row r="108" spans="2:6">
      <c r="B108" s="47" t="s">
        <v>258</v>
      </c>
      <c r="C108" s="76">
        <f>DCF!C9</f>
        <v>52579.6</v>
      </c>
      <c r="D108" s="1" t="str">
        <f>Reporting_currency</f>
        <v>CNY</v>
      </c>
    </row>
    <row r="109" spans="2:6">
      <c r="B109" s="47" t="s">
        <v>284</v>
      </c>
      <c r="C109" s="245">
        <f>C108*scaling_factor*Exchange_Rate/Common_Shares</f>
        <v>1.2361042638866811E-2</v>
      </c>
      <c r="D109" s="1" t="str">
        <f>Market_currency</f>
        <v>HKD</v>
      </c>
    </row>
    <row r="111" spans="2:6" ht="24.5" customHeight="1">
      <c r="B111" s="347" t="s">
        <v>367</v>
      </c>
      <c r="C111" s="347"/>
      <c r="D111" s="347"/>
      <c r="E111" s="347"/>
      <c r="F111" s="347"/>
    </row>
    <row r="113" spans="1:6">
      <c r="B113" s="47" t="s">
        <v>451</v>
      </c>
      <c r="C113" s="245">
        <f>IF(valuation_method="DCF",DCF!C12,DDM!C7)</f>
        <v>3.1473138841036388</v>
      </c>
      <c r="D113" s="1" t="str">
        <f>Market_currency</f>
        <v>HKD</v>
      </c>
    </row>
    <row r="114" spans="1:6">
      <c r="B114" s="325" t="s">
        <v>407</v>
      </c>
      <c r="C114" s="245">
        <f>BS!D47</f>
        <v>1.8309265451850745</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0.03</v>
      </c>
      <c r="D121" s="252">
        <f>DCF!D74</f>
        <v>15</v>
      </c>
      <c r="E121" s="253" t="str">
        <f>ROUND(IF(valuation_method="DCF",DCF!E74,DDM!E69),2)&amp;" "&amp;Market_currency</f>
        <v>3.43 HKD</v>
      </c>
      <c r="F121" s="254">
        <f>DCF!F74</f>
        <v>0.05</v>
      </c>
    </row>
    <row r="122" spans="1:6">
      <c r="B122" s="240" t="str">
        <f>DCF!B75</f>
        <v>Optimistic</v>
      </c>
      <c r="C122" s="241">
        <f>DCF!C75</f>
        <v>0.03</v>
      </c>
      <c r="D122" s="242">
        <f>DCF!D75</f>
        <v>10</v>
      </c>
      <c r="E122" s="253" t="str">
        <f>ROUND(IF(valuation_method="DCF",DCF!E75,DDM!E70),2)&amp;" "&amp;Market_currency</f>
        <v>3.32 HKD</v>
      </c>
      <c r="F122" s="243">
        <f>DCF!F75</f>
        <v>0.18</v>
      </c>
    </row>
    <row r="123" spans="1:6">
      <c r="B123" s="240" t="str">
        <f>DCF!B76</f>
        <v>Base</v>
      </c>
      <c r="C123" s="241">
        <f>DCF!C76</f>
        <v>0.02</v>
      </c>
      <c r="D123" s="242">
        <f>DCF!D76</f>
        <v>10</v>
      </c>
      <c r="E123" s="253" t="str">
        <f>ROUND(IF(valuation_method="DCF",DCF!E76,DDM!E71),2)&amp;" "&amp;Market_currency</f>
        <v>3.26 HKD</v>
      </c>
      <c r="F123" s="243">
        <f>DCF!F76</f>
        <v>0.53999999999999992</v>
      </c>
    </row>
    <row r="124" spans="1:6">
      <c r="B124" s="240" t="str">
        <f>DCF!B77</f>
        <v>Pessimistic</v>
      </c>
      <c r="C124" s="241">
        <f>DCF!C77</f>
        <v>0.01</v>
      </c>
      <c r="D124" s="242">
        <f>DCF!D77</f>
        <v>10</v>
      </c>
      <c r="E124" s="253" t="str">
        <f>ROUND(IF(valuation_method="DCF",DCF!E77,DDM!E72),2)&amp;" "&amp;Market_currency</f>
        <v>3.2 HKD</v>
      </c>
      <c r="F124" s="243">
        <f>DCF!F77</f>
        <v>0.18</v>
      </c>
    </row>
    <row r="125" spans="1:6">
      <c r="B125" s="240" t="str">
        <f>DCF!B78</f>
        <v>Devil's advocate</v>
      </c>
      <c r="C125" s="241">
        <f>DCF!C78</f>
        <v>0</v>
      </c>
      <c r="D125" s="242">
        <f>DCF!D78</f>
        <v>15</v>
      </c>
      <c r="E125" s="253" t="str">
        <f>ROUND(IF(valuation_method="DCF",DCF!E78,DDM!E73),2)&amp;" "&amp;Market_currency</f>
        <v>3.15 HKD</v>
      </c>
      <c r="F125" s="243">
        <f>DCF!F78</f>
        <v>0.05</v>
      </c>
    </row>
    <row r="127" spans="1:6">
      <c r="B127" s="233" t="s">
        <v>259</v>
      </c>
      <c r="C127" s="239">
        <f>Scenarios!C60</f>
        <v>3.2635759761825347</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0.1</v>
      </c>
      <c r="D138" s="234" t="str">
        <f>Market_currency</f>
        <v>HKD</v>
      </c>
    </row>
    <row r="140" spans="1:6">
      <c r="B140" s="232" t="s">
        <v>410</v>
      </c>
      <c r="C140" s="263" t="str">
        <f>C11</f>
        <v>3983.HK</v>
      </c>
      <c r="D140" s="263" t="str">
        <f>IF(D11="","",D11)</f>
        <v/>
      </c>
    </row>
    <row r="141" spans="1:6">
      <c r="B141" s="1" t="s">
        <v>409</v>
      </c>
      <c r="C141" s="326">
        <f>F29</f>
        <v>0.3674</v>
      </c>
    </row>
    <row r="142" spans="1:6">
      <c r="B142" s="234" t="str">
        <f>"PV("&amp;C136&amp;" yrs of Dividends)"</f>
        <v>PV(3 yrs of Dividends)</v>
      </c>
      <c r="C142" s="238">
        <f>Scenarios!C81</f>
        <v>0.16572593193648588</v>
      </c>
    </row>
    <row r="143" spans="1:6">
      <c r="B143" s="234" t="str">
        <f>"+ PV(Equity Value realized at year "&amp;C136&amp;")"</f>
        <v>+ PV(Equity Value realized at year 3)</v>
      </c>
      <c r="C143" s="238">
        <f>Scenarios!C82</f>
        <v>1.2764593852410968</v>
      </c>
    </row>
    <row r="144" spans="1:6">
      <c r="B144" s="80" t="s">
        <v>261</v>
      </c>
      <c r="C144" s="237">
        <f>Scenarios!C83</f>
        <v>1.4421853171775827</v>
      </c>
      <c r="D144" s="330" t="str">
        <f>IF($D$11="","",C144*$E$25)</f>
        <v/>
      </c>
    </row>
    <row r="145" spans="2:4">
      <c r="B145" s="281" t="s">
        <v>418</v>
      </c>
      <c r="C145" s="328" t="str">
        <f>Market_currency</f>
        <v>HKD</v>
      </c>
      <c r="D145" s="328" t="str">
        <f>IF($D$11="","",D$13)</f>
        <v/>
      </c>
    </row>
    <row r="146" spans="2:4">
      <c r="B146" s="236" t="s">
        <v>263</v>
      </c>
      <c r="C146" s="92">
        <f>Scenarios!F83</f>
        <v>0.55809660087505186</v>
      </c>
    </row>
    <row r="148" spans="2:4">
      <c r="B148" s="232" t="s">
        <v>413</v>
      </c>
    </row>
    <row r="149" spans="2:4">
      <c r="B149" s="1" t="s">
        <v>412</v>
      </c>
      <c r="C149" s="326">
        <f>Scenarios!C90</f>
        <v>0.21740000000000001</v>
      </c>
    </row>
    <row r="150" spans="2:4">
      <c r="B150" s="234" t="str">
        <f>"PV("&amp;C136&amp;" yrs of Dividends)"</f>
        <v>PV(3 yrs of Dividends)</v>
      </c>
      <c r="C150" s="238">
        <f>Scenarios!C91</f>
        <v>0.20504008238649371</v>
      </c>
    </row>
    <row r="151" spans="2:4">
      <c r="B151" s="234" t="str">
        <f>"+ PV(Equity Value realized at year "&amp;C136&amp;")"</f>
        <v>+ PV(Equity Value realized at year 3)</v>
      </c>
      <c r="C151" s="238">
        <f>Scenarios!C92</f>
        <v>1.8088136857770354</v>
      </c>
    </row>
    <row r="152" spans="2:4">
      <c r="B152" s="80" t="s">
        <v>261</v>
      </c>
      <c r="C152" s="237">
        <f>Scenarios!C93</f>
        <v>2.0138537681635289</v>
      </c>
      <c r="D152" s="330" t="str">
        <f>IF($D$11="","",C152*$E$25)</f>
        <v/>
      </c>
    </row>
    <row r="153" spans="2:4">
      <c r="B153" s="281" t="s">
        <v>418</v>
      </c>
      <c r="C153" s="328" t="str">
        <f>Market_currency</f>
        <v>HKD</v>
      </c>
      <c r="D153" s="328" t="str">
        <f>IF($D$11="","",D$13)</f>
        <v/>
      </c>
    </row>
    <row r="154" spans="2:4">
      <c r="B154" s="236" t="s">
        <v>263</v>
      </c>
      <c r="C154" s="92">
        <f>Scenarios!F93</f>
        <v>0.38293032463145815</v>
      </c>
    </row>
    <row r="156" spans="2:4">
      <c r="B156" s="232" t="s">
        <v>401</v>
      </c>
    </row>
    <row r="157" spans="2:4">
      <c r="B157" s="1" t="s">
        <v>411</v>
      </c>
      <c r="C157" s="92">
        <f>Scenarios!C96</f>
        <v>7.4999999999999997E-2</v>
      </c>
    </row>
    <row r="158" spans="2:4">
      <c r="B158" s="234" t="str">
        <f>"PV("&amp;C136&amp;" yrs of Dividends)"</f>
        <v>PV(3 yrs of Dividends)</v>
      </c>
      <c r="C158" s="238">
        <f>Scenarios!C97</f>
        <v>0.26005257398719595</v>
      </c>
    </row>
    <row r="159" spans="2:4">
      <c r="B159" s="234" t="str">
        <f>"+ PV(Equity Value realized at year "&amp;C136&amp;")"</f>
        <v>+ PV(Equity Value realized at year 3)</v>
      </c>
      <c r="C159" s="238">
        <f>Scenarios!C98</f>
        <v>2.6270499764257518</v>
      </c>
    </row>
    <row r="160" spans="2:4">
      <c r="B160" s="80" t="s">
        <v>402</v>
      </c>
      <c r="C160" s="237">
        <f>Scenarios!C99</f>
        <v>2.8871025504129477</v>
      </c>
      <c r="D160" s="330" t="str">
        <f>IF($D$11="","",C160*$E$25)</f>
        <v/>
      </c>
    </row>
    <row r="161" spans="1:6">
      <c r="B161" s="281" t="s">
        <v>418</v>
      </c>
      <c r="C161" s="328" t="str">
        <f>Market_currency</f>
        <v>HKD</v>
      </c>
      <c r="D161" s="328" t="str">
        <f>IF($D$11="","",D$13)</f>
        <v/>
      </c>
    </row>
    <row r="162" spans="1:6">
      <c r="B162" s="236" t="s">
        <v>263</v>
      </c>
      <c r="C162" s="92">
        <f>Scenarios!F99</f>
        <v>0.1153561089176649</v>
      </c>
    </row>
    <row r="164" spans="1:6">
      <c r="B164" s="232" t="s">
        <v>434</v>
      </c>
    </row>
    <row r="165" spans="1:6">
      <c r="B165" s="1" t="s">
        <v>425</v>
      </c>
      <c r="C165" s="92">
        <f>F32</f>
        <v>0.1174</v>
      </c>
    </row>
    <row r="166" spans="1:6">
      <c r="B166" s="234" t="str">
        <f>"PV("&amp;C136&amp;" yrs of Dividends)"</f>
        <v>PV(3 yrs of Dividends)</v>
      </c>
      <c r="C166" s="238">
        <f>Scenarios!C103</f>
        <v>0.24126031259386493</v>
      </c>
    </row>
    <row r="167" spans="1:6">
      <c r="B167" s="234" t="str">
        <f>"+ PV(Equity Value realized at year "&amp;C136&amp;")"</f>
        <v>+ PV(Equity Value realized at year 3)</v>
      </c>
      <c r="C167" s="238">
        <f>Scenarios!C104</f>
        <v>2.3392019993222615</v>
      </c>
    </row>
    <row r="168" spans="1:6">
      <c r="B168" s="80" t="s">
        <v>402</v>
      </c>
      <c r="C168" s="237">
        <f>Scenarios!C105</f>
        <v>2.5804623119161265</v>
      </c>
      <c r="D168" s="330" t="str">
        <f>IF($D$11="","",C168*$E$25)</f>
        <v/>
      </c>
    </row>
    <row r="169" spans="1:6">
      <c r="B169" s="281" t="s">
        <v>418</v>
      </c>
      <c r="C169" s="328" t="str">
        <f>Market_currency</f>
        <v>HKD</v>
      </c>
      <c r="D169" s="328" t="str">
        <f>IF($D$11="","",D$13)</f>
        <v/>
      </c>
    </row>
    <row r="170" spans="1:6">
      <c r="B170" s="236" t="s">
        <v>263</v>
      </c>
      <c r="C170" s="92">
        <f>Scenarios!F105</f>
        <v>0.20844420967210364</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8">
        <v>91335</v>
      </c>
      <c r="D7" s="188">
        <v>114839</v>
      </c>
      <c r="E7" s="188">
        <v>113843</v>
      </c>
      <c r="F7" s="188">
        <v>118507</v>
      </c>
      <c r="G7" s="188">
        <v>441079</v>
      </c>
      <c r="H7" s="188">
        <v>440918</v>
      </c>
      <c r="I7" s="188">
        <v>418466</v>
      </c>
      <c r="J7" s="188">
        <v>385743</v>
      </c>
      <c r="K7" s="188">
        <v>344473</v>
      </c>
      <c r="L7" s="188">
        <v>409408</v>
      </c>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374</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373</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0.130919906448</v>
      </c>
      <c r="D25" s="39">
        <f>0.207*Exchange_Rate</f>
        <v>0.22434123041999995</v>
      </c>
      <c r="E25" s="39">
        <f>0.178*Exchange_Rate</f>
        <v>0.19291178267999998</v>
      </c>
      <c r="F25" s="39">
        <f>0.155*Exchange_Rate</f>
        <v>0.16798497929999998</v>
      </c>
      <c r="G25" s="39">
        <f>0.08*Exchange_Rate</f>
        <v>8.6701924799999996E-2</v>
      </c>
      <c r="H25" s="39">
        <f>0.076*Exchange_Rate</f>
        <v>8.2366828559999994E-2</v>
      </c>
      <c r="I25" s="39">
        <f>0.15*Exchange_Rate</f>
        <v>0.16256610899999999</v>
      </c>
      <c r="J25" s="39">
        <f>0.005*Exchange_Rate</f>
        <v>5.4188702999999998E-3</v>
      </c>
      <c r="K25" s="39">
        <f>0.05*Exchange_Rate</f>
        <v>5.4188702999999998E-2</v>
      </c>
      <c r="L25" s="39">
        <f>0.08*Exchange_Rate</f>
        <v>8.6701924799999996E-2</v>
      </c>
      <c r="M25" s="39"/>
    </row>
    <row r="27" spans="2:13">
      <c r="B27" s="16" t="s">
        <v>28</v>
      </c>
      <c r="C27" s="97" t="s">
        <v>459</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0.130919906448</v>
      </c>
      <c r="D65" s="73">
        <f t="shared" ref="D65:M65" si="33">IF(D$4="","",D25)</f>
        <v>0.22434123041999995</v>
      </c>
      <c r="E65" s="73">
        <f t="shared" si="33"/>
        <v>0.19291178267999998</v>
      </c>
      <c r="F65" s="73">
        <f t="shared" si="33"/>
        <v>0.16798497929999998</v>
      </c>
      <c r="G65" s="73">
        <f t="shared" si="33"/>
        <v>8.6701924799999996E-2</v>
      </c>
      <c r="H65" s="73">
        <f t="shared" si="33"/>
        <v>8.2366828559999994E-2</v>
      </c>
      <c r="I65" s="73">
        <f t="shared" si="33"/>
        <v>0.16256610899999999</v>
      </c>
      <c r="J65" s="73">
        <f t="shared" si="33"/>
        <v>5.4188702999999998E-3</v>
      </c>
      <c r="K65" s="73">
        <f t="shared" si="33"/>
        <v>5.4188702999999998E-2</v>
      </c>
      <c r="L65" s="73">
        <f t="shared" si="33"/>
        <v>8.6701924799999996E-2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24"/>
      <c r="J77" s="324"/>
      <c r="K77" s="324"/>
      <c r="L77" s="324"/>
      <c r="M77" s="324"/>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24"/>
      <c r="J78" s="324"/>
      <c r="K78" s="324"/>
      <c r="L78" s="324"/>
      <c r="M78" s="324"/>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23621+80349</f>
        <v>103970</v>
      </c>
      <c r="D4" s="285">
        <v>0.6</v>
      </c>
      <c r="E4" s="25"/>
      <c r="F4" s="4" t="s">
        <v>78</v>
      </c>
      <c r="G4" s="19">
        <f>11000000+679928</f>
        <v>11679928</v>
      </c>
      <c r="H4" s="285">
        <v>0.9</v>
      </c>
    </row>
    <row r="5" spans="2:8" ht="15" customHeight="1">
      <c r="B5" s="1" t="s">
        <v>33</v>
      </c>
      <c r="C5" s="19">
        <v>1830485</v>
      </c>
      <c r="D5" s="285">
        <v>0.6</v>
      </c>
      <c r="E5" s="25"/>
      <c r="F5" s="1" t="s">
        <v>29</v>
      </c>
      <c r="G5" s="19">
        <f>11715</f>
        <v>11715</v>
      </c>
      <c r="H5" s="285">
        <v>0.7</v>
      </c>
    </row>
    <row r="6" spans="2:8" ht="15" customHeight="1">
      <c r="B6" s="4" t="s">
        <v>10</v>
      </c>
      <c r="C6" s="19">
        <v>1124718</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f>12783+436808</f>
        <v>449591</v>
      </c>
      <c r="D9" s="285">
        <v>0.1</v>
      </c>
      <c r="E9" s="25"/>
      <c r="F9" s="4" t="s">
        <v>181</v>
      </c>
      <c r="G9" s="19">
        <v>0</v>
      </c>
      <c r="H9" s="285">
        <v>0.6</v>
      </c>
    </row>
    <row r="10" spans="2:8" ht="15" customHeight="1">
      <c r="B10" s="4" t="s">
        <v>11</v>
      </c>
      <c r="C10" s="19">
        <v>156022</v>
      </c>
      <c r="D10" s="285">
        <v>0.9</v>
      </c>
      <c r="H10" s="286"/>
    </row>
    <row r="11" spans="2:8" ht="15" customHeight="1">
      <c r="B11" s="4" t="s">
        <v>12</v>
      </c>
      <c r="C11" s="19">
        <v>0</v>
      </c>
      <c r="D11" s="285">
        <v>0.05</v>
      </c>
      <c r="H11" s="286"/>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208252</v>
      </c>
      <c r="D15" s="285">
        <v>0.4</v>
      </c>
      <c r="F15" s="4" t="s">
        <v>79</v>
      </c>
      <c r="G15" s="19">
        <v>0</v>
      </c>
      <c r="H15" s="285">
        <v>0.8</v>
      </c>
    </row>
    <row r="16" spans="2:8" ht="15" customHeight="1">
      <c r="B16" s="1" t="s">
        <v>34</v>
      </c>
      <c r="C16" s="19">
        <v>600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7177198+126839+332968+94332</f>
        <v>7731337</v>
      </c>
      <c r="D19" s="285">
        <v>0.1</v>
      </c>
      <c r="F19" s="4" t="s">
        <v>183</v>
      </c>
      <c r="G19" s="19">
        <f>333906+127404</f>
        <v>461310</v>
      </c>
      <c r="H19" s="285">
        <v>0.1</v>
      </c>
    </row>
    <row r="20" spans="2:8" ht="15" customHeight="1">
      <c r="B20" s="4" t="s">
        <v>18</v>
      </c>
      <c r="C20" s="19">
        <v>0</v>
      </c>
      <c r="D20" s="285">
        <v>0.05</v>
      </c>
      <c r="F20" s="4" t="s">
        <v>180</v>
      </c>
      <c r="G20" s="19">
        <v>0</v>
      </c>
      <c r="H20" s="285">
        <v>0.2</v>
      </c>
    </row>
    <row r="21" spans="2:8" ht="15" customHeight="1">
      <c r="B21" s="4" t="s">
        <v>19</v>
      </c>
      <c r="C21" s="19">
        <v>129691</v>
      </c>
      <c r="D21" s="285">
        <v>0.05</v>
      </c>
      <c r="F21" s="1" t="s">
        <v>181</v>
      </c>
      <c r="G21" s="19">
        <v>64486</v>
      </c>
      <c r="H21" s="285">
        <v>0.1</v>
      </c>
    </row>
    <row r="22" spans="2:8" ht="15" customHeight="1">
      <c r="B22" s="4" t="s">
        <v>20</v>
      </c>
      <c r="C22" s="19">
        <v>123890</v>
      </c>
      <c r="D22" s="285">
        <v>0.9</v>
      </c>
      <c r="H22" s="286"/>
    </row>
    <row r="23" spans="2:8" ht="15" customHeight="1">
      <c r="B23" s="4" t="s">
        <v>21</v>
      </c>
      <c r="C23" s="19">
        <v>0</v>
      </c>
      <c r="D23" s="285">
        <v>0</v>
      </c>
      <c r="H23" s="286"/>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1" t="s">
        <v>137</v>
      </c>
      <c r="F26" s="203" t="s">
        <v>197</v>
      </c>
      <c r="G26" s="204" t="s">
        <v>137</v>
      </c>
      <c r="H26" s="205" t="s">
        <v>35</v>
      </c>
    </row>
    <row r="27" spans="2:8" ht="15" customHeight="1">
      <c r="B27" s="4" t="s">
        <v>5</v>
      </c>
      <c r="C27" s="19">
        <v>434410</v>
      </c>
      <c r="F27" s="206" t="s">
        <v>30</v>
      </c>
      <c r="G27" s="85">
        <f>G32-G30</f>
        <v>19506961</v>
      </c>
      <c r="H27" s="207">
        <f>H32-G30</f>
        <v>8886812.25</v>
      </c>
    </row>
    <row r="28" spans="2:8" ht="15" customHeight="1">
      <c r="B28" s="4" t="s">
        <v>6</v>
      </c>
      <c r="C28" s="19">
        <v>28341</v>
      </c>
      <c r="F28" s="208" t="s">
        <v>245</v>
      </c>
      <c r="G28" s="12">
        <v>1098684</v>
      </c>
      <c r="H28" s="207"/>
    </row>
    <row r="29" spans="2:8" ht="15" customHeight="1">
      <c r="B29" s="4" t="s">
        <v>7</v>
      </c>
      <c r="C29" s="19">
        <v>0</v>
      </c>
      <c r="F29" s="209" t="s">
        <v>76</v>
      </c>
      <c r="G29" s="14">
        <f>G27-G28</f>
        <v>18408277</v>
      </c>
      <c r="H29" s="207">
        <f>H27-G28</f>
        <v>7788128.25</v>
      </c>
    </row>
    <row r="30" spans="2:8" ht="15" customHeight="1">
      <c r="B30" s="2" t="s">
        <v>8</v>
      </c>
      <c r="C30" s="19">
        <v>0</v>
      </c>
      <c r="F30" s="206" t="s">
        <v>23</v>
      </c>
      <c r="G30" s="85">
        <f>C33+C42</f>
        <v>4569034</v>
      </c>
      <c r="H30" s="207"/>
    </row>
    <row r="31" spans="2:8" ht="15" customHeight="1">
      <c r="B31" s="80" t="s">
        <v>204</v>
      </c>
      <c r="C31" s="81">
        <f>SUM(C27:C30)</f>
        <v>462751</v>
      </c>
      <c r="F31" s="209" t="s">
        <v>77</v>
      </c>
      <c r="G31" s="210">
        <f>C31+C40</f>
        <v>2119124</v>
      </c>
      <c r="H31" s="207"/>
    </row>
    <row r="32" spans="2:8" ht="15" customHeight="1">
      <c r="B32" s="4" t="s">
        <v>9</v>
      </c>
      <c r="C32" s="21">
        <f>C33-C31</f>
        <v>2050197</v>
      </c>
      <c r="F32" s="211" t="s">
        <v>75</v>
      </c>
      <c r="G32" s="212">
        <f>G35+G40</f>
        <v>24075995</v>
      </c>
      <c r="H32" s="207">
        <f>H35+H40</f>
        <v>13455846.25</v>
      </c>
    </row>
    <row r="33" spans="2:8" ht="15" customHeight="1">
      <c r="B33" s="83" t="s">
        <v>4</v>
      </c>
      <c r="C33" s="84">
        <v>2512948</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11858556</v>
      </c>
      <c r="H35" s="219">
        <f>D12+D24</f>
        <v>2883130.95</v>
      </c>
    </row>
    <row r="36" spans="2:8" ht="15" customHeight="1">
      <c r="B36" s="4" t="s">
        <v>13</v>
      </c>
      <c r="C36" s="19">
        <v>1626693</v>
      </c>
      <c r="F36" s="209" t="s">
        <v>198</v>
      </c>
      <c r="G36" s="210">
        <f>C4+C15</f>
        <v>312222</v>
      </c>
      <c r="H36" s="214"/>
    </row>
    <row r="37" spans="2:8" ht="15" customHeight="1">
      <c r="B37" s="4" t="s">
        <v>14</v>
      </c>
      <c r="C37" s="19">
        <v>29680</v>
      </c>
      <c r="F37" s="209" t="s">
        <v>199</v>
      </c>
      <c r="G37" s="210">
        <f>C6</f>
        <v>1124718</v>
      </c>
      <c r="H37" s="214"/>
    </row>
    <row r="38" spans="2:8" ht="15" customHeight="1">
      <c r="B38" s="4" t="s">
        <v>15</v>
      </c>
      <c r="C38" s="19">
        <v>0</v>
      </c>
      <c r="F38" s="209" t="s">
        <v>200</v>
      </c>
      <c r="G38" s="210">
        <f>C7+C17</f>
        <v>0</v>
      </c>
      <c r="H38" s="214"/>
    </row>
    <row r="39" spans="2:8" ht="15" customHeight="1">
      <c r="B39" s="2" t="s">
        <v>16</v>
      </c>
      <c r="C39" s="19">
        <v>0</v>
      </c>
      <c r="F39" s="209" t="s">
        <v>80</v>
      </c>
      <c r="G39" s="210">
        <f>C7+C17+C19+C20</f>
        <v>7731337</v>
      </c>
      <c r="H39" s="207">
        <f>C7*D7+C17*D17+C19*D19+C20*D20</f>
        <v>773133.70000000007</v>
      </c>
    </row>
    <row r="40" spans="2:8" ht="15" customHeight="1">
      <c r="B40" s="80" t="s">
        <v>205</v>
      </c>
      <c r="C40" s="81">
        <f>SUM(C36:C39)</f>
        <v>1656373</v>
      </c>
      <c r="F40" s="218" t="s">
        <v>139</v>
      </c>
      <c r="G40" s="212">
        <f>G12+G24</f>
        <v>12217439</v>
      </c>
      <c r="H40" s="219">
        <f>H12+H24</f>
        <v>10572715.300000001</v>
      </c>
    </row>
    <row r="41" spans="2:8" ht="15" customHeight="1">
      <c r="B41" s="4" t="s">
        <v>17</v>
      </c>
      <c r="C41" s="21">
        <f>C42-C40</f>
        <v>399713</v>
      </c>
      <c r="F41" s="209" t="s">
        <v>192</v>
      </c>
      <c r="G41" s="210">
        <f>C70</f>
        <v>11691643</v>
      </c>
      <c r="H41" s="219">
        <f>H40-H42</f>
        <v>10520135.700000001</v>
      </c>
    </row>
    <row r="42" spans="2:8" ht="15" customHeight="1">
      <c r="B42" s="83" t="s">
        <v>22</v>
      </c>
      <c r="C42" s="84">
        <v>2056086</v>
      </c>
      <c r="F42" s="220" t="s">
        <v>193</v>
      </c>
      <c r="G42" s="221">
        <f>C82</f>
        <v>525796</v>
      </c>
      <c r="H42" s="222">
        <f>D82</f>
        <v>52579.6</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18408277</v>
      </c>
      <c r="D46" s="76">
        <f>H29</f>
        <v>7788128.25</v>
      </c>
      <c r="F46" s="275"/>
    </row>
    <row r="47" spans="2:8" ht="15" customHeight="1">
      <c r="B47" s="1" t="str">
        <f>"Equity per share ("&amp;Market_currency&amp;")"</f>
        <v>Equity per share (HKD)</v>
      </c>
      <c r="C47" s="148">
        <f>C46*H1/Common_Shares*Exchange_Rate</f>
        <v>4.32763841689688</v>
      </c>
      <c r="D47" s="148">
        <f>D46*H1/Common_Shares*Exchange_Rate</f>
        <v>1.8309265451850745</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2.2824569622635926</v>
      </c>
      <c r="D50" s="95">
        <f>G31/Normalized_FCF!G8</f>
        <v>2.1930131935295925</v>
      </c>
      <c r="F50" s="275"/>
    </row>
    <row r="51" spans="2:8" ht="15" customHeight="1">
      <c r="B51" s="1" t="s">
        <v>177</v>
      </c>
      <c r="C51" s="200"/>
      <c r="D51" s="92">
        <f>G29/G32</f>
        <v>0.764590497713594</v>
      </c>
      <c r="F51" s="275"/>
    </row>
    <row r="52" spans="2:8" ht="15" customHeight="1">
      <c r="F52" s="275"/>
    </row>
    <row r="53" spans="2:8" ht="15" customHeight="1">
      <c r="B53" s="158" t="s">
        <v>143</v>
      </c>
      <c r="C53" s="257" t="s">
        <v>57</v>
      </c>
      <c r="D53" s="216" t="s">
        <v>96</v>
      </c>
      <c r="F53" s="275"/>
    </row>
    <row r="54" spans="2:8" ht="15" customHeight="1">
      <c r="B54" s="1" t="s">
        <v>140</v>
      </c>
      <c r="C54" s="92">
        <f>Normalized_FCF!C8/G35</f>
        <v>7.8292825040602462E-2</v>
      </c>
      <c r="D54" s="92">
        <f>Normalized_FCF!G8/G35</f>
        <v>8.1486059516858542E-2</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0.32112222153227726</v>
      </c>
      <c r="F59" s="275"/>
    </row>
    <row r="60" spans="2:8" ht="15" customHeight="1">
      <c r="F60" s="275"/>
    </row>
    <row r="61" spans="2:8" ht="15" customHeight="1">
      <c r="B61" s="158" t="s">
        <v>275</v>
      </c>
      <c r="C61" s="257" t="s">
        <v>138</v>
      </c>
      <c r="D61" s="216" t="s">
        <v>96</v>
      </c>
      <c r="F61" s="275"/>
    </row>
    <row r="62" spans="2:8" ht="15" customHeight="1">
      <c r="B62" s="1" t="s">
        <v>246</v>
      </c>
      <c r="C62" s="92">
        <f>IF(G28&lt;=0,0,G28/G29)</f>
        <v>5.968423878019654E-2</v>
      </c>
      <c r="D62" s="92">
        <f>G28/G29</f>
        <v>5.968423878019654E-2</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11691643</v>
      </c>
      <c r="D66" s="76">
        <f>C66-D75</f>
        <v>7865303.2833807282</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11691643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-965307.73072710668</v>
      </c>
      <c r="D73" s="76">
        <f>(Normalized_FCF!C25+Normalized_FCF!C35-Normalized_FCF!C91)/12</f>
        <v>-956584.92915481783</v>
      </c>
      <c r="F73" s="1" t="s">
        <v>352</v>
      </c>
    </row>
    <row r="74" spans="2:6" ht="15" customHeight="1">
      <c r="B74" s="279" t="s">
        <v>322</v>
      </c>
      <c r="C74" s="280">
        <f>-$C$66/C73</f>
        <v>12.111829862994474</v>
      </c>
      <c r="D74" s="280">
        <f>-$C$66/D73</f>
        <v>12.222273886679407</v>
      </c>
      <c r="F74" s="275" t="s">
        <v>320</v>
      </c>
    </row>
    <row r="75" spans="2:6" ht="15" customHeight="1">
      <c r="B75" s="80" t="s">
        <v>321</v>
      </c>
      <c r="C75" s="284"/>
      <c r="D75" s="283">
        <f>MAX(-D73*D76,G5)</f>
        <v>3826339.7166192713</v>
      </c>
      <c r="F75" s="275" t="s">
        <v>353</v>
      </c>
    </row>
    <row r="76" spans="2:6" ht="15" customHeight="1">
      <c r="B76" s="281" t="s">
        <v>323</v>
      </c>
      <c r="C76" s="282"/>
      <c r="D76" s="317">
        <f>IF(D74&lt;=3,1,IF(D74&gt;18,6,2))*2</f>
        <v>4</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461310</v>
      </c>
      <c r="D80" s="76">
        <f>G19*H19</f>
        <v>46131</v>
      </c>
      <c r="F80" s="275"/>
    </row>
    <row r="81" spans="2:8" ht="15" customHeight="1">
      <c r="B81" s="105" t="s">
        <v>181</v>
      </c>
      <c r="C81" s="20">
        <f>G9+G21</f>
        <v>64486</v>
      </c>
      <c r="D81" s="76">
        <f>G9*H9+G21*H21</f>
        <v>6448.6</v>
      </c>
      <c r="F81" s="275"/>
    </row>
    <row r="82" spans="2:8" ht="15" customHeight="1">
      <c r="B82" s="80" t="s">
        <v>190</v>
      </c>
      <c r="C82" s="81">
        <f>SUM(C79:C81)</f>
        <v>525796</v>
      </c>
      <c r="D82" s="81">
        <f>SUM(D79:D81)</f>
        <v>52579.6</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-2296651.6211234396</v>
      </c>
      <c r="D86" s="245">
        <f>C86*scaling_factor/Common_Shares</f>
        <v>-0.49818907182721034</v>
      </c>
      <c r="E86" s="262" t="str">
        <f>Market_currency</f>
        <v>HKD</v>
      </c>
    </row>
    <row r="87" spans="2:8" ht="15" customHeight="1">
      <c r="B87" s="260" t="s">
        <v>288</v>
      </c>
      <c r="C87" s="76">
        <f>DCF!C8*Exchange_Rate</f>
        <v>8524211.6725608613</v>
      </c>
      <c r="D87" s="245">
        <f>C87*scaling_factor/Common_Shares</f>
        <v>1.8490697771281694</v>
      </c>
      <c r="E87" s="262" t="str">
        <f>Market_currency</f>
        <v>HKD</v>
      </c>
    </row>
    <row r="88" spans="2:8" ht="15" customHeight="1">
      <c r="B88" s="261" t="s">
        <v>190</v>
      </c>
      <c r="C88" s="76">
        <f>DCF!C9*Exchange_Rate</f>
        <v>56984.406565175988</v>
      </c>
      <c r="D88" s="245">
        <f>C88*scaling_factor/Common_Shares</f>
        <v>1.2361042638866809E-2</v>
      </c>
      <c r="E88" s="262" t="str">
        <f>Market_currency</f>
        <v>HKD</v>
      </c>
    </row>
    <row r="89" spans="2:8" ht="15" customHeight="1">
      <c r="B89" s="80" t="s">
        <v>292</v>
      </c>
      <c r="C89" s="187">
        <f>SUM(C86:C88)</f>
        <v>6284544.458002598</v>
      </c>
      <c r="D89" s="264">
        <f>SUM(D86:D88)</f>
        <v>1.3632417479398258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G4</f>
        <v>11946459</v>
      </c>
      <c r="D4" s="57"/>
      <c r="E4" s="291"/>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0">
        <f>C25</f>
        <v>-10341304.899857813</v>
      </c>
      <c r="E5" s="293"/>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293"/>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0">
        <f>C35</f>
        <v>-676714.25</v>
      </c>
      <c r="E7" s="293"/>
      <c r="G7" s="190">
        <f t="shared" ref="G7:Q7" si="3">G35</f>
        <v>-646978</v>
      </c>
      <c r="H7" s="190">
        <f t="shared" si="3"/>
        <v>-630459</v>
      </c>
      <c r="I7" s="190">
        <f t="shared" si="3"/>
        <v>-524671</v>
      </c>
      <c r="J7" s="190">
        <f t="shared" si="3"/>
        <v>-904749</v>
      </c>
      <c r="K7" s="190">
        <f t="shared" si="3"/>
        <v>-406669</v>
      </c>
      <c r="L7" s="190">
        <f t="shared" si="3"/>
        <v>-466799</v>
      </c>
      <c r="M7" s="190">
        <f t="shared" si="3"/>
        <v>-313914</v>
      </c>
      <c r="N7" s="190">
        <f t="shared" si="3"/>
        <v>-466455</v>
      </c>
      <c r="O7" s="190">
        <f t="shared" si="3"/>
        <v>-462384</v>
      </c>
      <c r="P7" s="190">
        <f t="shared" si="3"/>
        <v>-432640</v>
      </c>
      <c r="Q7" s="190" t="str">
        <f t="shared" si="3"/>
        <v/>
      </c>
    </row>
    <row r="8" spans="1:17" ht="15.75" customHeight="1">
      <c r="A8" s="10"/>
      <c r="B8" s="29" t="s">
        <v>153</v>
      </c>
      <c r="C8" s="191">
        <f>C6+C7</f>
        <v>928439.85014218651</v>
      </c>
      <c r="D8" s="59"/>
      <c r="E8" s="299"/>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4636.0957492890666</v>
      </c>
      <c r="E12" s="293"/>
      <c r="G12" s="190">
        <f>G50</f>
        <v>62139.423404708286</v>
      </c>
      <c r="H12" s="190">
        <f t="shared" ref="H12:Q12" si="6">H50</f>
        <v>82958.832094977464</v>
      </c>
      <c r="I12" s="190">
        <f t="shared" si="6"/>
        <v>73638.219018790798</v>
      </c>
      <c r="J12" s="190">
        <f t="shared" si="6"/>
        <v>71417.648029856486</v>
      </c>
      <c r="K12" s="190">
        <f t="shared" si="6"/>
        <v>0</v>
      </c>
      <c r="L12" s="190">
        <f t="shared" si="6"/>
        <v>0</v>
      </c>
      <c r="M12" s="190">
        <f t="shared" si="6"/>
        <v>0</v>
      </c>
      <c r="N12" s="190">
        <f t="shared" si="6"/>
        <v>0</v>
      </c>
      <c r="O12" s="190">
        <f t="shared" si="6"/>
        <v>0</v>
      </c>
      <c r="P12" s="190">
        <f t="shared" si="6"/>
        <v>0</v>
      </c>
      <c r="Q12" s="190" t="str">
        <f t="shared" si="6"/>
        <v/>
      </c>
    </row>
    <row r="13" spans="1:17" ht="15.75" customHeight="1">
      <c r="A13" s="10"/>
      <c r="B13" s="70" t="s">
        <v>165</v>
      </c>
      <c r="C13" s="184">
        <f>SUM(C8:C12)</f>
        <v>933075.94589147554</v>
      </c>
      <c r="E13" s="293"/>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0">
        <f>-SUM(C8+C11,C12)*C43</f>
        <v>-233268.98647286888</v>
      </c>
      <c r="E14" s="293"/>
      <c r="G14" s="190">
        <f>Data!C46</f>
        <v>-316092</v>
      </c>
      <c r="H14" s="190">
        <f>Data!D46</f>
        <v>-289887</v>
      </c>
      <c r="I14" s="190">
        <f>Data!E46</f>
        <v>-472037</v>
      </c>
      <c r="J14" s="190">
        <f>Data!F46</f>
        <v>-1000171</v>
      </c>
      <c r="K14" s="190">
        <f>Data!G46</f>
        <v>-274458</v>
      </c>
      <c r="L14" s="190">
        <f>Data!H46</f>
        <v>-624095</v>
      </c>
      <c r="M14" s="190">
        <f>Data!I46</f>
        <v>-611891</v>
      </c>
      <c r="N14" s="190">
        <f>Data!J46</f>
        <v>-382557</v>
      </c>
      <c r="O14" s="190">
        <f>Data!K46</f>
        <v>92900</v>
      </c>
      <c r="P14" s="190">
        <f>Data!L46</f>
        <v>-288050</v>
      </c>
      <c r="Q14" s="190" t="str">
        <f>Data!M46</f>
        <v/>
      </c>
    </row>
    <row r="15" spans="1:17" ht="15.75" customHeight="1">
      <c r="A15" s="10"/>
      <c r="B15" s="40" t="s">
        <v>244</v>
      </c>
      <c r="C15" s="190">
        <f>-C4*C83</f>
        <v>-130645.02443131036</v>
      </c>
      <c r="D15" s="60"/>
      <c r="E15" s="300"/>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3">
        <f>SUM(C13:C15)</f>
        <v>569161.93498729635</v>
      </c>
      <c r="D16" s="61"/>
      <c r="E16" s="301"/>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569161.93498729635</v>
      </c>
      <c r="D19" s="27"/>
      <c r="E19" s="290"/>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-10241839</v>
      </c>
      <c r="D23" s="58"/>
      <c r="E23" s="292"/>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0">
        <f>-C4*C29</f>
        <v>-99465.899857813085</v>
      </c>
      <c r="D24" s="27"/>
      <c r="E24" s="290"/>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298"/>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293"/>
    </row>
    <row r="27" spans="1:17" ht="15.75" customHeight="1">
      <c r="A27" s="10"/>
      <c r="B27" s="64" t="s">
        <v>207</v>
      </c>
      <c r="E27" s="293"/>
    </row>
    <row r="28" spans="1:17" ht="15.75" customHeight="1">
      <c r="A28" s="10"/>
      <c r="B28" s="26" t="s">
        <v>43</v>
      </c>
      <c r="C28" s="63">
        <f>G28</f>
        <v>0.85731169378306993</v>
      </c>
      <c r="D28" s="26"/>
      <c r="E28" s="291"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91"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93"/>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-676714.25</v>
      </c>
      <c r="E33" s="291" t="s">
        <v>334</v>
      </c>
      <c r="G33" s="190">
        <f>Data!C41</f>
        <v>-646978</v>
      </c>
      <c r="H33" s="190">
        <f>Data!D41</f>
        <v>-630459</v>
      </c>
      <c r="I33" s="190">
        <f>Data!E41</f>
        <v>-524671</v>
      </c>
      <c r="J33" s="190">
        <f>Data!F41</f>
        <v>-904749</v>
      </c>
      <c r="K33" s="190">
        <f>Data!G41</f>
        <v>-406669</v>
      </c>
      <c r="L33" s="190">
        <f>Data!H41</f>
        <v>-466799</v>
      </c>
      <c r="M33" s="190">
        <f>Data!I41</f>
        <v>-313914</v>
      </c>
      <c r="N33" s="190">
        <f>Data!J41</f>
        <v>-466455</v>
      </c>
      <c r="O33" s="190">
        <f>Data!K41</f>
        <v>-462384</v>
      </c>
      <c r="P33" s="190">
        <f>Data!L41</f>
        <v>-432640</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292"/>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5.664559263962652E-2</v>
      </c>
      <c r="D38" s="27"/>
      <c r="E38" s="290"/>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93"/>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-52759</v>
      </c>
      <c r="E47" s="293"/>
      <c r="G47" s="190">
        <f>Data!C51</f>
        <v>-52759</v>
      </c>
      <c r="H47" s="190">
        <f>Data!D51</f>
        <v>-34185</v>
      </c>
      <c r="I47" s="190">
        <f>Data!E51</f>
        <v>-29394</v>
      </c>
      <c r="J47" s="190">
        <f>Data!F51</f>
        <v>-50559</v>
      </c>
      <c r="K47" s="190">
        <f>Data!G51</f>
        <v>0</v>
      </c>
      <c r="L47" s="190">
        <f>Data!H51</f>
        <v>0</v>
      </c>
      <c r="M47" s="190">
        <f>Data!I51</f>
        <v>0</v>
      </c>
      <c r="N47" s="190">
        <f>Data!J51</f>
        <v>0</v>
      </c>
      <c r="O47" s="190">
        <f>Data!K51</f>
        <v>0</v>
      </c>
      <c r="P47" s="190">
        <f>Data!L51</f>
        <v>0</v>
      </c>
      <c r="Q47" s="190" t="str">
        <f>Data!M51</f>
        <v/>
      </c>
    </row>
    <row r="48" spans="1:17" ht="15.75" customHeight="1">
      <c r="A48" s="10"/>
      <c r="B48" s="2" t="s">
        <v>346</v>
      </c>
      <c r="C48" s="190">
        <f>BS!D75*C53</f>
        <v>57395.095749289067</v>
      </c>
      <c r="E48" s="293"/>
      <c r="G48" s="318">
        <f>IFERROR(IF(G$4="","",($C$48/$C$49)*G49),0)</f>
        <v>114898.42340470829</v>
      </c>
      <c r="H48" s="318">
        <f t="shared" ref="H48:Q48" si="19">IFERROR(IF(H$4="","",($C$48/$C$49)*H49),0)</f>
        <v>117143.83209497746</v>
      </c>
      <c r="I48" s="318">
        <f t="shared" si="19"/>
        <v>103032.2190187908</v>
      </c>
      <c r="J48" s="318">
        <f t="shared" si="19"/>
        <v>121976.64802985649</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343</v>
      </c>
      <c r="C49" s="314">
        <f>BS!$C$66*C53</f>
        <v>175374.64499999999</v>
      </c>
      <c r="D49" s="315"/>
      <c r="E49" s="316"/>
      <c r="F49" s="315"/>
      <c r="G49" s="314">
        <f>Data!C52</f>
        <v>351080</v>
      </c>
      <c r="H49" s="314">
        <f>Data!D52</f>
        <v>357941</v>
      </c>
      <c r="I49" s="314">
        <f>Data!E52</f>
        <v>314822</v>
      </c>
      <c r="J49" s="314">
        <f>Data!F52</f>
        <v>372708</v>
      </c>
      <c r="K49" s="314">
        <f>Data!G52</f>
        <v>0</v>
      </c>
      <c r="L49" s="314">
        <f>Data!H52</f>
        <v>0</v>
      </c>
      <c r="M49" s="314">
        <f>Data!I52</f>
        <v>0</v>
      </c>
      <c r="N49" s="314">
        <f>Data!J52</f>
        <v>0</v>
      </c>
      <c r="O49" s="314">
        <f>Data!K52</f>
        <v>0</v>
      </c>
      <c r="P49" s="314">
        <f>Data!L52</f>
        <v>0</v>
      </c>
      <c r="Q49" s="314" t="str">
        <f>Data!M52</f>
        <v/>
      </c>
    </row>
    <row r="50" spans="1:17" ht="15.75" customHeight="1">
      <c r="A50" s="10"/>
      <c r="B50" s="70" t="s">
        <v>68</v>
      </c>
      <c r="C50" s="184">
        <f>C47+C48</f>
        <v>4636.0957492890666</v>
      </c>
      <c r="E50" s="293"/>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v>1.4999999999999999E-2</v>
      </c>
      <c r="E53" s="290" t="s">
        <v>336</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0" t="s">
        <v>337</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293"/>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202593</v>
      </c>
      <c r="H62" s="190">
        <f>Data!D58</f>
        <v>1024457</v>
      </c>
      <c r="I62" s="190">
        <f>Data!E58</f>
        <v>87208</v>
      </c>
      <c r="J62" s="190">
        <f>Data!F58</f>
        <v>406304</v>
      </c>
      <c r="K62" s="190">
        <f>Data!G58</f>
        <v>309682</v>
      </c>
      <c r="L62" s="190">
        <f>Data!H58</f>
        <v>365444</v>
      </c>
      <c r="M62" s="190">
        <f>Data!I58</f>
        <v>114251</v>
      </c>
      <c r="N62" s="190">
        <f>Data!J58</f>
        <v>-342823</v>
      </c>
      <c r="O62" s="190">
        <f>Data!K58</f>
        <v>177804</v>
      </c>
      <c r="P62" s="190">
        <f>Data!L58</f>
        <v>227192</v>
      </c>
      <c r="Q62" s="190" t="str">
        <f>Data!M58</f>
        <v/>
      </c>
    </row>
    <row r="63" spans="1:17" ht="15.75" customHeight="1">
      <c r="A63" s="10"/>
      <c r="B63" s="31" t="s">
        <v>196</v>
      </c>
      <c r="C63" s="184">
        <f>C61+C62</f>
        <v>0</v>
      </c>
      <c r="E63" s="293"/>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0.86563766718303836</v>
      </c>
      <c r="D73" s="27"/>
      <c r="E73" s="290"/>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0"/>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0"/>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0"/>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1"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0"/>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0"/>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0"/>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89">
        <f>MIN(BS!C62,MAX(G83:K83))</f>
        <v>1.0935878525286059E-2</v>
      </c>
      <c r="D83" s="27"/>
      <c r="E83" s="290"/>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0"/>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0"/>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v>0.1</v>
      </c>
      <c r="E90" s="293"/>
      <c r="G90" s="113">
        <f>Data!C65</f>
        <v>0.130919906448</v>
      </c>
      <c r="H90" s="113">
        <f>Data!D65</f>
        <v>0.22434123041999995</v>
      </c>
      <c r="I90" s="113">
        <f>Data!E65</f>
        <v>0.19291178267999998</v>
      </c>
      <c r="J90" s="113">
        <f>Data!F65</f>
        <v>0.16798497929999998</v>
      </c>
      <c r="K90" s="113">
        <f>Data!G65</f>
        <v>8.6701924799999996E-2</v>
      </c>
      <c r="L90" s="113">
        <f>Data!H65</f>
        <v>8.2366828559999994E-2</v>
      </c>
      <c r="M90" s="113">
        <f>Data!I65</f>
        <v>0.16256610899999999</v>
      </c>
      <c r="N90" s="113">
        <f>Data!J65</f>
        <v>5.4188702999999998E-3</v>
      </c>
      <c r="O90" s="113">
        <f>Data!K65</f>
        <v>5.4188702999999998E-2</v>
      </c>
      <c r="P90" s="113">
        <f>Data!L65</f>
        <v>8.6701924799999996E-2</v>
      </c>
      <c r="Q90" s="113" t="str">
        <f>Data!M65</f>
        <v/>
      </c>
    </row>
    <row r="91" spans="1:17" ht="15.75" customHeight="1">
      <c r="A91" s="10"/>
      <c r="B91" s="2" t="str">
        <f>"Dividend ("&amp;Market_currency&amp;")"</f>
        <v>Dividend (HKD)</v>
      </c>
      <c r="C91" s="74">
        <f>C90*Common_Shares/scaling_factor</f>
        <v>461000</v>
      </c>
      <c r="E91" s="293"/>
      <c r="G91" s="74">
        <f t="shared" ref="G91:Q91" si="37">IF(G$4="","",G90*Common_Shares/scaling_factor)</f>
        <v>603540.76872528007</v>
      </c>
      <c r="H91" s="74">
        <f t="shared" si="37"/>
        <v>1034213.0722361997</v>
      </c>
      <c r="I91" s="74">
        <f t="shared" si="37"/>
        <v>889323.31815479998</v>
      </c>
      <c r="J91" s="74">
        <f t="shared" si="37"/>
        <v>774410.75457299978</v>
      </c>
      <c r="K91" s="74">
        <f t="shared" si="37"/>
        <v>399695.87332800002</v>
      </c>
      <c r="L91" s="74">
        <f t="shared" si="37"/>
        <v>379711.0796616</v>
      </c>
      <c r="M91" s="74">
        <f t="shared" si="37"/>
        <v>749429.76248999988</v>
      </c>
      <c r="N91" s="74">
        <f t="shared" si="37"/>
        <v>24980.992083000001</v>
      </c>
      <c r="O91" s="74">
        <f t="shared" si="37"/>
        <v>249809.92082999999</v>
      </c>
      <c r="P91" s="74">
        <f t="shared" si="37"/>
        <v>399695.87332800002</v>
      </c>
      <c r="Q91" s="74" t="str">
        <f t="shared" si="37"/>
        <v/>
      </c>
    </row>
    <row r="92" spans="1:17" ht="15.75" customHeight="1">
      <c r="A92" s="10"/>
      <c r="B92" s="2" t="s">
        <v>214</v>
      </c>
      <c r="C92" s="23">
        <f>C90/(C19*scaling_factor/Common_Shares)</f>
        <v>0.80996280963569622</v>
      </c>
      <c r="E92" s="293"/>
      <c r="G92" s="171">
        <f t="shared" ref="G92:Q92" si="38">IF(G$4="","",G90/(G19*scaling_factor/Common_Shares))</f>
        <v>0.95421703263140079</v>
      </c>
      <c r="H92" s="171">
        <f t="shared" si="38"/>
        <v>0.93269497678697</v>
      </c>
      <c r="I92" s="171">
        <f t="shared" si="38"/>
        <v>0.66190563508315692</v>
      </c>
      <c r="J92" s="171">
        <f t="shared" si="38"/>
        <v>0.92130046033819613</v>
      </c>
      <c r="K92" s="171">
        <f t="shared" si="38"/>
        <v>0.91714805388673326</v>
      </c>
      <c r="L92" s="171">
        <f t="shared" si="38"/>
        <v>1.1241605446900729</v>
      </c>
      <c r="M92" s="171">
        <f t="shared" si="38"/>
        <v>0.59260370943012186</v>
      </c>
      <c r="N92" s="171">
        <f t="shared" si="38"/>
        <v>6.3555970749640631E-2</v>
      </c>
      <c r="O92" s="171">
        <f t="shared" si="38"/>
        <v>-0.60271554025101692</v>
      </c>
      <c r="P92" s="171">
        <f t="shared" si="38"/>
        <v>0.66343418012332667</v>
      </c>
      <c r="Q92" s="171" t="str">
        <f t="shared" si="38"/>
        <v/>
      </c>
    </row>
    <row r="93" spans="1:17" ht="15.75" customHeight="1">
      <c r="A93" s="10"/>
      <c r="B93" s="2" t="s">
        <v>310</v>
      </c>
      <c r="C93" s="23">
        <f>C90/Market_Price</f>
        <v>5.1282051282051287E-2</v>
      </c>
      <c r="E93" s="293"/>
      <c r="G93" s="23">
        <f t="shared" ref="G93:Q93" si="39">IF(G$4="","",G90/Market_Price)</f>
        <v>6.7138413563076926E-2</v>
      </c>
      <c r="H93" s="23">
        <f t="shared" si="39"/>
        <v>0.11504678483076922</v>
      </c>
      <c r="I93" s="23">
        <f t="shared" si="39"/>
        <v>9.8929119323076908E-2</v>
      </c>
      <c r="J93" s="23">
        <f t="shared" si="39"/>
        <v>8.6146143230769218E-2</v>
      </c>
      <c r="K93" s="23">
        <f t="shared" si="39"/>
        <v>4.4462525538461535E-2</v>
      </c>
      <c r="L93" s="23">
        <f t="shared" si="39"/>
        <v>4.2239399261538461E-2</v>
      </c>
      <c r="M93" s="23">
        <f t="shared" si="39"/>
        <v>8.3367235384615379E-2</v>
      </c>
      <c r="N93" s="23">
        <f t="shared" si="39"/>
        <v>2.7789078461538459E-3</v>
      </c>
      <c r="O93" s="23">
        <f t="shared" si="39"/>
        <v>2.7789078461538462E-2</v>
      </c>
      <c r="P93" s="23">
        <f t="shared" si="39"/>
        <v>4.4462525538461535E-2</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v>
      </c>
      <c r="D96" s="27"/>
      <c r="E96" s="290"/>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0"/>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24075995</v>
      </c>
      <c r="D101" s="26"/>
      <c r="E101" s="294"/>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199">
        <f>BS!C4</f>
        <v>103970</v>
      </c>
      <c r="D102" s="89"/>
      <c r="E102" s="295"/>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1124718</v>
      </c>
      <c r="D103" s="89"/>
      <c r="E103" s="295"/>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4569034</v>
      </c>
      <c r="D104" s="26"/>
      <c r="E104" s="294"/>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8">
        <f>BS!G27</f>
        <v>19506961</v>
      </c>
      <c r="D105" s="26"/>
      <c r="E105" s="294"/>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94"/>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94"/>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1.3226606227451485</v>
      </c>
      <c r="H113" s="323">
        <f>IF(H$4="","",Data!D$22/Data!D15)</f>
        <v>0.65019430537408307</v>
      </c>
      <c r="I113" s="323">
        <f>IF(I$4="","",Data!E$22/Data!E15)</f>
        <v>1.1911040666425015</v>
      </c>
      <c r="J113" s="323">
        <f>IF(J$4="","",Data!F$22/Data!F15)</f>
        <v>1.7903285844398347</v>
      </c>
      <c r="K113" s="323">
        <f>IF(K$4="","",Data!G$22/Data!G15)</f>
        <v>1.6212457823006146</v>
      </c>
      <c r="L113" s="323">
        <f>IF(L$4="","",Data!H$22/Data!H15)</f>
        <v>1.5133869677398846</v>
      </c>
      <c r="M113" s="323">
        <f>IF(M$4="","",Data!I$22/Data!I15)</f>
        <v>1.3115161389526857</v>
      </c>
      <c r="N113" s="323">
        <f>IF(N$4="","",Data!J$22/Data!J15)</f>
        <v>15.801640747079396</v>
      </c>
      <c r="O113" s="323">
        <f>IF(O$4="","",Data!K$22/Data!K15)</f>
        <v>-4.710466049773947</v>
      </c>
      <c r="P113" s="323">
        <f>IF(P$4="","",Data!L$22/Data!L15)</f>
        <v>1.6060025550358761</v>
      </c>
      <c r="Q113" s="323" t="str">
        <f>IF(Q$4="","",Data!M$22/Data!M15)</f>
        <v/>
      </c>
    </row>
    <row r="114" spans="1:17" ht="15.75" customHeight="1">
      <c r="A114" s="10"/>
      <c r="B114" s="2" t="s">
        <v>393</v>
      </c>
      <c r="C114" s="170"/>
      <c r="E114" s="293"/>
      <c r="G114" s="323">
        <f>IF(G$4="","",Data!C$22/G19)</f>
        <v>2.4072044192682269</v>
      </c>
      <c r="H114" s="323">
        <f>IF(H$4="","",Data!D$22/H19)</f>
        <v>1.3921031576498697</v>
      </c>
      <c r="I114" s="323">
        <f>IF(I$4="","",Data!E$22/I19)</f>
        <v>1.5946029642834716</v>
      </c>
      <c r="J114" s="323">
        <f>IF(J$4="","",Data!F$22/J19)</f>
        <v>3.4961201367772632</v>
      </c>
      <c r="K114" s="323">
        <f>IF(K$4="","",Data!G$22/K19)</f>
        <v>2.8985688487688246</v>
      </c>
      <c r="L114" s="323">
        <f>IF(L$4="","",Data!H$22/L19)</f>
        <v>3.3827126502118285</v>
      </c>
      <c r="M114" s="323">
        <f>IF(M$4="","",Data!I$22/M19)</f>
        <v>1.5849400500854394</v>
      </c>
      <c r="N114" s="323">
        <f>IF(N$4="","",Data!J$22/N19)</f>
        <v>4.3222093600132299</v>
      </c>
      <c r="O114" s="323">
        <f>IF(O$4="","",Data!K$22/O19)</f>
        <v>-2.6897368713115899</v>
      </c>
      <c r="P114" s="323">
        <f>IF(P$4="","",Data!L$22/P19)</f>
        <v>2.2473106321529053</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93"/>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93"/>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297"/>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296"/>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0.13380541021228592</v>
      </c>
      <c r="D124" s="27"/>
      <c r="E124" s="290"/>
      <c r="F124" s="27"/>
      <c r="G124" s="178">
        <f t="shared" ref="G124:Q124" si="49">IF(G$4="","",G16*$C$3/Common_Shares*Exchange_Rate)</f>
        <v>0.14869531112297604</v>
      </c>
      <c r="H124" s="178">
        <f t="shared" si="49"/>
        <v>0.2606802997430655</v>
      </c>
      <c r="I124" s="178">
        <f t="shared" si="49"/>
        <v>0.31586494336262128</v>
      </c>
      <c r="J124" s="178">
        <f t="shared" si="49"/>
        <v>0.19760954311055715</v>
      </c>
      <c r="K124" s="178">
        <f t="shared" si="49"/>
        <v>0.10245379320394359</v>
      </c>
      <c r="L124" s="178">
        <f t="shared" si="49"/>
        <v>7.9407725719822117E-2</v>
      </c>
      <c r="M124" s="178">
        <f t="shared" si="49"/>
        <v>0.29730649532849024</v>
      </c>
      <c r="N124" s="178">
        <f t="shared" si="49"/>
        <v>9.2404080944316694E-2</v>
      </c>
      <c r="O124" s="178">
        <f t="shared" si="49"/>
        <v>-9.743951621354445E-2</v>
      </c>
      <c r="P124" s="178">
        <f t="shared" si="49"/>
        <v>0.14163469393880693</v>
      </c>
      <c r="Q124" s="178" t="str">
        <f t="shared" si="49"/>
        <v/>
      </c>
    </row>
    <row r="125" spans="1:17" ht="15.75" customHeight="1">
      <c r="A125" s="10"/>
      <c r="B125" s="27" t="s">
        <v>270</v>
      </c>
      <c r="C125" s="77">
        <f>C19*Exchange_Rate*$C$3/(Market_Price*Common_Shares)</f>
        <v>6.8618159083223565E-2</v>
      </c>
      <c r="D125" s="27"/>
      <c r="E125" s="290"/>
      <c r="F125" s="27"/>
      <c r="G125" s="77">
        <f t="shared" ref="G125" si="50">IF(G$4="","",G124/Market_Price)</f>
        <v>7.6254005704090286E-2</v>
      </c>
      <c r="H125" s="77">
        <f t="shared" ref="H125" si="51">IF(H$4="","",H124/Market_Price)</f>
        <v>0.13368220499644384</v>
      </c>
      <c r="I125" s="77">
        <f t="shared" ref="I125" si="52">IF(I$4="","",I124/Market_Price)</f>
        <v>0.16198202223724167</v>
      </c>
      <c r="J125" s="77">
        <f t="shared" ref="J125" si="53">IF(J$4="","",J124/Market_Price)</f>
        <v>0.10133822723618316</v>
      </c>
      <c r="K125" s="77">
        <f t="shared" ref="K125" si="54">IF(K$4="","",K124/Market_Price)</f>
        <v>5.2540406771253122E-2</v>
      </c>
      <c r="L125" s="77">
        <f t="shared" ref="L125" si="55">IF(L$4="","",L124/Market_Price)</f>
        <v>4.0721910625549806E-2</v>
      </c>
      <c r="M125" s="77">
        <f t="shared" ref="M125" si="56">IF(M$4="","",M124/Market_Price)</f>
        <v>0.15246486939922577</v>
      </c>
      <c r="N125" s="77">
        <f t="shared" ref="N125" si="57">IF(N$4="","",N124/Market_Price)</f>
        <v>4.7386708176572666E-2</v>
      </c>
      <c r="O125" s="77">
        <f t="shared" ref="O125" si="58">IF(O$4="","",O124/Market_Price)</f>
        <v>-4.9968982673612543E-2</v>
      </c>
      <c r="P125" s="77">
        <f t="shared" ref="P125" si="59">IF(P$4="","",P124/Market_Price)</f>
        <v>7.2633176378875355E-2</v>
      </c>
      <c r="Q125" s="77" t="str">
        <f t="shared" ref="Q125" si="60">IF(Q$4="","",Q124/Market_Price)</f>
        <v/>
      </c>
    </row>
    <row r="126" spans="1:17" ht="15.75" customHeight="1">
      <c r="B126" s="2" t="s">
        <v>395</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7588825.7998306183</v>
      </c>
      <c r="D6" t="str">
        <f>Reporting_currency</f>
        <v>CNY</v>
      </c>
      <c r="E6" s="355" t="s">
        <v>250</v>
      </c>
      <c r="F6" s="355"/>
      <c r="H6" s="121"/>
    </row>
    <row r="7" spans="2:8">
      <c r="B7" s="149" t="s">
        <v>225</v>
      </c>
      <c r="C7" s="224">
        <f>BS!G31</f>
        <v>2119124</v>
      </c>
      <c r="D7" t="str">
        <f>Reporting_currency</f>
        <v>CNY</v>
      </c>
      <c r="E7" s="355"/>
      <c r="F7" s="355"/>
      <c r="H7" s="121"/>
    </row>
    <row r="8" spans="2:8">
      <c r="B8" s="149" t="s">
        <v>226</v>
      </c>
      <c r="C8" s="115">
        <f>BS!D66</f>
        <v>7865303.2833807282</v>
      </c>
      <c r="D8" t="str">
        <f>Reporting_currency</f>
        <v>CNY</v>
      </c>
      <c r="E8" s="355"/>
      <c r="F8" s="355"/>
      <c r="H8" s="121"/>
    </row>
    <row r="9" spans="2:8">
      <c r="B9" s="225" t="s">
        <v>191</v>
      </c>
      <c r="C9" s="227">
        <f>BS!H42</f>
        <v>52579.6</v>
      </c>
      <c r="D9" t="str">
        <f>Reporting_currency</f>
        <v>CNY</v>
      </c>
      <c r="E9" s="355"/>
      <c r="F9" s="355"/>
      <c r="H9" s="121"/>
    </row>
    <row r="10" spans="2:8" ht="13.15">
      <c r="B10" s="150" t="s">
        <v>228</v>
      </c>
      <c r="C10" s="230">
        <f>C6-C7+C8+C9</f>
        <v>13387584.683211347</v>
      </c>
      <c r="D10" t="str">
        <f>Reporting_currency</f>
        <v>CNY</v>
      </c>
      <c r="H10" s="121"/>
    </row>
    <row r="11" spans="2:8" ht="13.15" thickBot="1">
      <c r="B11" s="228" t="s">
        <v>167</v>
      </c>
      <c r="C11" s="229">
        <f>Exchange_Rate</f>
        <v>1.0837740599999999</v>
      </c>
      <c r="D11" t="str">
        <f>Thesis!C15</f>
        <v>CNY/HKD</v>
      </c>
      <c r="H11" s="121"/>
    </row>
    <row r="12" spans="2:8" ht="13.5" thickTop="1">
      <c r="B12" s="150" t="s">
        <v>103</v>
      </c>
      <c r="C12" s="112">
        <f>(C10*scaling_factor)/Common_Shares*Exchange_Rate</f>
        <v>3.1473138841036388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3.2599879167672925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IF($C$17&lt;B21,0,DCF!$C$16)</f>
        <v>0.02</v>
      </c>
      <c r="E21" s="125">
        <f t="shared" ref="E21:E50" si="0">IF($C$17&lt;B21,0,1/(1+Equity_Cost)^B21)</f>
        <v>0.93023255813953487</v>
      </c>
      <c r="F21" s="126">
        <f t="shared" ref="F21:F51" si="1">C21*E21</f>
        <v>540042.022034458</v>
      </c>
      <c r="H21" s="121"/>
    </row>
    <row r="22" spans="2:8">
      <c r="B22" s="123">
        <v>2</v>
      </c>
      <c r="C22" s="124">
        <f t="shared" ref="C22:C50" si="2">IF(ROW()-ROW($C$21)&lt;$C$17, $C$21*(1+D22)^(ROW()-ROW($C$21)), 0)</f>
        <v>592156.07716078323</v>
      </c>
      <c r="D22" s="139">
        <f>IF($C$17&lt;B22,0,DCF!$C$16)</f>
        <v>0.02</v>
      </c>
      <c r="E22" s="125">
        <f t="shared" si="0"/>
        <v>0.86533261222282321</v>
      </c>
      <c r="F22" s="126">
        <f t="shared" si="1"/>
        <v>512411.96509316022</v>
      </c>
      <c r="H22" s="121"/>
    </row>
    <row r="23" spans="2:8">
      <c r="B23" s="123">
        <v>3</v>
      </c>
      <c r="C23" s="124">
        <f t="shared" si="2"/>
        <v>603999.19870399882</v>
      </c>
      <c r="D23" s="139">
        <f>IF($C$17&lt;B23,0,DCF!$C$16)</f>
        <v>0.02</v>
      </c>
      <c r="E23" s="125">
        <f t="shared" si="0"/>
        <v>0.80496056950960304</v>
      </c>
      <c r="F23" s="126">
        <f t="shared" si="1"/>
        <v>486195.53897211479</v>
      </c>
      <c r="H23" s="121"/>
    </row>
    <row r="24" spans="2:8">
      <c r="B24" s="123">
        <v>4</v>
      </c>
      <c r="C24" s="124">
        <f t="shared" si="2"/>
        <v>616079.18267807877</v>
      </c>
      <c r="D24" s="139">
        <f>IF($C$17&lt;B24,0,DCF!$C$16)</f>
        <v>0.02</v>
      </c>
      <c r="E24" s="125">
        <f t="shared" si="0"/>
        <v>0.7488005297763749</v>
      </c>
      <c r="F24" s="126">
        <f t="shared" si="1"/>
        <v>461320.41837354144</v>
      </c>
      <c r="H24" s="121"/>
    </row>
    <row r="25" spans="2:8">
      <c r="B25" s="123">
        <v>5</v>
      </c>
      <c r="C25" s="124">
        <f t="shared" si="2"/>
        <v>628400.76633164042</v>
      </c>
      <c r="D25" s="139">
        <f>IF($C$17&lt;B25,0,DCF!$C$16)</f>
        <v>0.02</v>
      </c>
      <c r="E25" s="125">
        <f t="shared" si="0"/>
        <v>0.69655863235011617</v>
      </c>
      <c r="F25" s="126">
        <f t="shared" si="1"/>
        <v>437717.9783637324</v>
      </c>
      <c r="H25" s="121"/>
    </row>
    <row r="26" spans="2:8">
      <c r="B26" s="123">
        <v>6</v>
      </c>
      <c r="C26" s="124">
        <f t="shared" si="2"/>
        <v>640968.78165827319</v>
      </c>
      <c r="D26" s="139">
        <f>IF($C$17&lt;B26,0,DCF!$C$16)</f>
        <v>0.02</v>
      </c>
      <c r="E26" s="125">
        <f t="shared" si="0"/>
        <v>0.64796151846522443</v>
      </c>
      <c r="F26" s="126">
        <f t="shared" si="1"/>
        <v>415323.10505209956</v>
      </c>
      <c r="H26" s="121"/>
    </row>
    <row r="27" spans="2:8">
      <c r="B27" s="123">
        <v>7</v>
      </c>
      <c r="C27" s="124">
        <f t="shared" si="2"/>
        <v>653788.15729143866</v>
      </c>
      <c r="D27" s="139">
        <f>IF($C$17&lt;B27,0,DCF!$C$16)</f>
        <v>0.02</v>
      </c>
      <c r="E27" s="125">
        <f t="shared" si="0"/>
        <v>0.60275490089788319</v>
      </c>
      <c r="F27" s="126">
        <f t="shared" si="1"/>
        <v>394074.01595641079</v>
      </c>
      <c r="H27" s="121"/>
    </row>
    <row r="28" spans="2:8">
      <c r="B28" s="123">
        <v>8</v>
      </c>
      <c r="C28" s="124">
        <f t="shared" si="2"/>
        <v>666863.92043726728</v>
      </c>
      <c r="D28" s="139">
        <f>IF($C$17&lt;B28,0,DCF!$C$16)</f>
        <v>0.02</v>
      </c>
      <c r="E28" s="125">
        <f t="shared" si="0"/>
        <v>0.56070223339337966</v>
      </c>
      <c r="F28" s="126">
        <f t="shared" si="1"/>
        <v>373912.08955864079</v>
      </c>
      <c r="H28" s="121"/>
    </row>
    <row r="29" spans="2:8">
      <c r="B29" s="123">
        <v>9</v>
      </c>
      <c r="C29" s="124">
        <f t="shared" si="2"/>
        <v>680201.1988460127</v>
      </c>
      <c r="D29" s="139">
        <f>IF($C$17&lt;B29,0,DCF!$C$16)</f>
        <v>0.02</v>
      </c>
      <c r="E29" s="125">
        <f t="shared" si="0"/>
        <v>0.52158347292407414</v>
      </c>
      <c r="F29" s="126">
        <f t="shared" si="1"/>
        <v>354781.70358122204</v>
      </c>
      <c r="H29" s="121"/>
    </row>
    <row r="30" spans="2:8">
      <c r="B30" s="123">
        <v>10</v>
      </c>
      <c r="C30" s="124">
        <f t="shared" si="2"/>
        <v>693805.22282293299</v>
      </c>
      <c r="D30" s="139">
        <f>IF($C$17&lt;B30,0,DCF!$C$16)</f>
        <v>0.02</v>
      </c>
      <c r="E30" s="125">
        <f t="shared" si="0"/>
        <v>0.48519392830146441</v>
      </c>
      <c r="F30" s="126">
        <f t="shared" si="1"/>
        <v>336630.08153753169</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7740602.3158272309</v>
      </c>
      <c r="D51" s="140">
        <f>Terminal_Growth</f>
        <v>0</v>
      </c>
      <c r="E51" s="125">
        <f>1/(1+Equity_Cost)^C17</f>
        <v>0.48519392830146441</v>
      </c>
      <c r="F51" s="126">
        <f t="shared" si="1"/>
        <v>3755693.2450356269</v>
      </c>
      <c r="H51" s="121"/>
    </row>
    <row r="52" spans="1:8">
      <c r="C52" s="115"/>
      <c r="E52" s="128" t="s">
        <v>101</v>
      </c>
      <c r="F52" s="138">
        <f>SUM(F21:F51)</f>
        <v>8068102.1635585381</v>
      </c>
      <c r="H52" s="121"/>
    </row>
    <row r="53" spans="1:8">
      <c r="C53" s="115"/>
      <c r="H53" s="121"/>
    </row>
    <row r="54" spans="1:8" ht="13.15">
      <c r="B54" s="120" t="s">
        <v>130</v>
      </c>
      <c r="C54" s="137"/>
      <c r="D54" s="137"/>
      <c r="E54" s="118"/>
      <c r="F54" s="118"/>
      <c r="H54" s="121"/>
    </row>
    <row r="55" spans="1:8" ht="13.15">
      <c r="A55" s="134">
        <f>F52</f>
        <v>8068102.1635585381</v>
      </c>
      <c r="B55" s="132">
        <f>C78</f>
        <v>0</v>
      </c>
      <c r="C55" s="132">
        <f>C77</f>
        <v>0.01</v>
      </c>
      <c r="D55" s="132">
        <f>C76</f>
        <v>0.02</v>
      </c>
      <c r="E55" s="132">
        <f>C75</f>
        <v>0.03</v>
      </c>
      <c r="F55" s="132">
        <f>C74</f>
        <v>0.03</v>
      </c>
      <c r="H55" s="121"/>
    </row>
    <row r="56" spans="1:8" ht="13.15">
      <c r="A56" s="144">
        <v>5</v>
      </c>
      <c r="B56" s="124">
        <f t="dataTable" ref="B56:F61" dt2D="1" dtr="1" r1="C16" r2="C17"/>
        <v>7588825.7998306192</v>
      </c>
      <c r="C56" s="124">
        <v>7708291.1258954611</v>
      </c>
      <c r="D56" s="124">
        <v>7829471.2855157647</v>
      </c>
      <c r="E56" s="124">
        <v>7952403.9164119214</v>
      </c>
      <c r="F56" s="124">
        <v>7952403.9164119214</v>
      </c>
      <c r="H56" s="121"/>
    </row>
    <row r="57" spans="1:8" ht="13.15">
      <c r="A57" s="144">
        <v>10</v>
      </c>
      <c r="B57" s="124">
        <v>7588825.7998306202</v>
      </c>
      <c r="C57" s="124">
        <v>7822832.2996255979</v>
      </c>
      <c r="D57" s="124">
        <v>8068102.1635585381</v>
      </c>
      <c r="E57" s="124">
        <v>8325295.7727201767</v>
      </c>
      <c r="F57" s="124">
        <v>8325295.7727201767</v>
      </c>
      <c r="H57" s="121"/>
    </row>
    <row r="58" spans="1:8" ht="13.15">
      <c r="A58" s="144">
        <v>15</v>
      </c>
      <c r="B58" s="124">
        <v>7588825.7998306192</v>
      </c>
      <c r="C58" s="124">
        <v>7964249.5538186785</v>
      </c>
      <c r="D58" s="124">
        <v>8370236.8003636207</v>
      </c>
      <c r="E58" s="124">
        <v>8809700.3190522641</v>
      </c>
      <c r="F58" s="124">
        <v>8809700.3190522641</v>
      </c>
      <c r="H58" s="121"/>
    </row>
    <row r="59" spans="1:8" ht="13.15">
      <c r="A59" s="145">
        <v>20</v>
      </c>
      <c r="B59" s="124">
        <v>7588825.7998306192</v>
      </c>
      <c r="C59" s="124">
        <v>8107875.5886692684</v>
      </c>
      <c r="D59" s="124">
        <v>8685217.0884205196</v>
      </c>
      <c r="E59" s="124">
        <v>9328532.7985863127</v>
      </c>
      <c r="F59" s="124">
        <v>9328532.7985863127</v>
      </c>
      <c r="H59" s="121"/>
    </row>
    <row r="60" spans="1:8" ht="13.15">
      <c r="A60" s="145">
        <v>25</v>
      </c>
      <c r="B60" s="124">
        <v>7588825.7998306174</v>
      </c>
      <c r="C60" s="124">
        <v>8240951.9074817337</v>
      </c>
      <c r="D60" s="124">
        <v>8985005.625718208</v>
      </c>
      <c r="E60" s="124">
        <v>9836424.1410892401</v>
      </c>
      <c r="F60" s="124">
        <v>9836424.1410892401</v>
      </c>
      <c r="H60" s="121"/>
    </row>
    <row r="61" spans="1:8" ht="13.15">
      <c r="A61" s="145">
        <v>30</v>
      </c>
      <c r="B61" s="124">
        <v>7588825.7998306174</v>
      </c>
      <c r="C61" s="124">
        <v>8357830.033836456</v>
      </c>
      <c r="D61" s="124">
        <v>9255647.5660671927</v>
      </c>
      <c r="E61" s="124">
        <v>10308494.572138546</v>
      </c>
      <c r="F61" s="124">
        <v>10308494.572138546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3.1473138841036388</v>
      </c>
      <c r="C65" s="125">
        <f>C12</f>
        <v>3.1473138841036388</v>
      </c>
      <c r="D65" s="125">
        <f>C12</f>
        <v>3.1473138841036388</v>
      </c>
      <c r="E65" s="142">
        <f>C12</f>
        <v>3.1473138841036388</v>
      </c>
      <c r="F65" s="125">
        <f>C12</f>
        <v>3.1473138841036388</v>
      </c>
      <c r="H65" s="121"/>
    </row>
    <row r="66" spans="1:8" ht="13.15">
      <c r="A66" s="144">
        <f t="shared" ref="A66:A71" si="3">A56</f>
        <v>5</v>
      </c>
      <c r="B66" s="125">
        <f t="shared" ref="B66:F71" si="4">(B56-$C$7+$C$8+$C$9)/Common_Shares*$C$3*Exchange_Rate</f>
        <v>3.1473138841036383</v>
      </c>
      <c r="C66" s="125">
        <f t="shared" si="4"/>
        <v>3.1753992249840111</v>
      </c>
      <c r="D66" s="125">
        <f t="shared" si="4"/>
        <v>3.2038877094922853</v>
      </c>
      <c r="E66" s="125">
        <f t="shared" si="4"/>
        <v>3.2327881859549339</v>
      </c>
      <c r="F66" s="125">
        <f t="shared" si="4"/>
        <v>3.2327881859549339</v>
      </c>
      <c r="H66" s="121"/>
    </row>
    <row r="67" spans="1:8" ht="13.15">
      <c r="A67" s="144">
        <f t="shared" si="3"/>
        <v>10</v>
      </c>
      <c r="B67" s="125">
        <f t="shared" si="4"/>
        <v>3.1473138841036383</v>
      </c>
      <c r="C67" s="125">
        <f t="shared" si="4"/>
        <v>3.2023269371078023</v>
      </c>
      <c r="D67" s="125">
        <f t="shared" si="4"/>
        <v>3.2599879167672925</v>
      </c>
      <c r="E67" s="125">
        <f t="shared" si="4"/>
        <v>3.3204520733848977</v>
      </c>
      <c r="F67" s="125">
        <f t="shared" si="4"/>
        <v>3.3204520733848977</v>
      </c>
      <c r="H67" s="121"/>
    </row>
    <row r="68" spans="1:8" ht="13.15">
      <c r="A68" s="144">
        <f t="shared" si="3"/>
        <v>15</v>
      </c>
      <c r="B68" s="125">
        <f t="shared" si="4"/>
        <v>3.1473138841036383</v>
      </c>
      <c r="C68" s="125">
        <f t="shared" si="4"/>
        <v>3.2355730003899903</v>
      </c>
      <c r="D68" s="125">
        <f t="shared" si="4"/>
        <v>3.3310173488707346</v>
      </c>
      <c r="E68" s="125">
        <f t="shared" si="4"/>
        <v>3.4343317006865863</v>
      </c>
      <c r="F68" s="125">
        <f t="shared" si="4"/>
        <v>3.4343317006865863</v>
      </c>
      <c r="H68" s="121"/>
    </row>
    <row r="69" spans="1:8" ht="13.15">
      <c r="A69" s="145">
        <f t="shared" si="3"/>
        <v>20</v>
      </c>
      <c r="B69" s="125">
        <f t="shared" si="4"/>
        <v>3.1473138841036383</v>
      </c>
      <c r="C69" s="125">
        <f t="shared" si="4"/>
        <v>3.2693383303057657</v>
      </c>
      <c r="D69" s="125">
        <f t="shared" si="4"/>
        <v>3.4050666906510809</v>
      </c>
      <c r="E69" s="125">
        <f t="shared" si="4"/>
        <v>3.5563050592125047</v>
      </c>
      <c r="F69" s="125">
        <f t="shared" si="4"/>
        <v>3.5563050592125047</v>
      </c>
      <c r="H69" s="121"/>
    </row>
    <row r="70" spans="1:8" ht="13.15">
      <c r="A70" s="145">
        <f t="shared" si="3"/>
        <v>25</v>
      </c>
      <c r="B70" s="125">
        <f t="shared" si="4"/>
        <v>3.1473138841036379</v>
      </c>
      <c r="C70" s="125">
        <f t="shared" si="4"/>
        <v>3.300623506516013</v>
      </c>
      <c r="D70" s="125">
        <f t="shared" si="4"/>
        <v>3.4755445735596653</v>
      </c>
      <c r="E70" s="125">
        <f t="shared" si="4"/>
        <v>3.6757062440939037</v>
      </c>
      <c r="F70" s="125">
        <f t="shared" si="4"/>
        <v>3.6757062440939037</v>
      </c>
    </row>
    <row r="71" spans="1:8" ht="13.15">
      <c r="A71" s="145">
        <f t="shared" si="3"/>
        <v>30</v>
      </c>
      <c r="B71" s="125">
        <f t="shared" si="4"/>
        <v>3.1473138841036379</v>
      </c>
      <c r="C71" s="125">
        <f t="shared" si="4"/>
        <v>3.3281006174758065</v>
      </c>
      <c r="D71" s="125">
        <f t="shared" si="4"/>
        <v>3.5391703250777344</v>
      </c>
      <c r="E71" s="125">
        <f t="shared" si="4"/>
        <v>3.7866862197260631</v>
      </c>
      <c r="F71" s="125">
        <f t="shared" si="4"/>
        <v>3.7866862197260631</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3.4343317006865863</v>
      </c>
      <c r="F74" s="143">
        <f>Scenarios!C58</f>
        <v>0.05</v>
      </c>
    </row>
    <row r="75" spans="1:8">
      <c r="B75" s="128" t="str">
        <f>Scenarios!B36</f>
        <v>Optimistic</v>
      </c>
      <c r="C75" s="143">
        <f>Scenarios!C38</f>
        <v>0.03</v>
      </c>
      <c r="D75" s="146">
        <f>Scenarios!C37</f>
        <v>10</v>
      </c>
      <c r="E75" s="136">
        <f>INDEX(B$65:F$71, MATCH(D75, A$65:A$71, 0), MATCH(C75, B$64:F$64, 0))</f>
        <v>3.3204520733848977</v>
      </c>
      <c r="F75" s="143">
        <f>Scenarios!C40*(1-F$74-F$78)</f>
        <v>0.18</v>
      </c>
      <c r="H75" s="121"/>
    </row>
    <row r="76" spans="1:8">
      <c r="B76" s="128" t="str">
        <f>Scenarios!B24</f>
        <v>Base</v>
      </c>
      <c r="C76" s="143">
        <f>Scenarios!C26</f>
        <v>0.02</v>
      </c>
      <c r="D76" s="146">
        <f>Scenarios!C25</f>
        <v>10</v>
      </c>
      <c r="E76" s="136">
        <f>INDEX(B$65:F$71, MATCH(D76, A$65:A$71, 0), MATCH(C76, B$64:F$64, 0))</f>
        <v>3.2599879167672925</v>
      </c>
      <c r="F76" s="143">
        <f>Scenarios!C28*(1-F$74-F$78)</f>
        <v>0.53999999999999992</v>
      </c>
      <c r="H76" s="121"/>
    </row>
    <row r="77" spans="1:8">
      <c r="B77" s="128" t="str">
        <f>Scenarios!B30</f>
        <v>Pessimistic</v>
      </c>
      <c r="C77" s="143">
        <f>Scenarios!C32</f>
        <v>0.01</v>
      </c>
      <c r="D77" s="146">
        <f>Scenarios!C31</f>
        <v>10</v>
      </c>
      <c r="E77" s="136">
        <f>INDEX(B$65:F$71, MATCH(D77, A$65:A$71, 0), MATCH(C77, B$64:F$64, 0))</f>
        <v>3.2023269371078023</v>
      </c>
      <c r="F77" s="143">
        <f>Scenarios!C34*(1-F$74-F$78)</f>
        <v>0.18</v>
      </c>
      <c r="H77" s="121"/>
    </row>
    <row r="78" spans="1:8">
      <c r="B78" s="128" t="str">
        <f>Scenarios!B48</f>
        <v>Devil's advocate</v>
      </c>
      <c r="C78" s="143">
        <f>Scenarios!C50</f>
        <v>0</v>
      </c>
      <c r="D78" s="146">
        <f>Scenarios!C49</f>
        <v>15</v>
      </c>
      <c r="E78" s="136">
        <f>INDEX(B$65:F$71, MATCH(D78, A$65:A$71, 0), MATCH(C78, B$64:F$64, 0))</f>
        <v>3.1473138841036383</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461000</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6146666.666666667</v>
      </c>
      <c r="D6" t="str">
        <f>Reporting_currency</f>
        <v>CNY</v>
      </c>
      <c r="E6" s="355"/>
      <c r="F6" s="355"/>
      <c r="H6" s="121"/>
    </row>
    <row r="7" spans="2:8" ht="13.15">
      <c r="B7" s="150" t="s">
        <v>446</v>
      </c>
      <c r="C7" s="112">
        <f>(C6*scaling_factor)/Common_Shares*Exchange_Rate</f>
        <v>1.4450320800000001</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0.02</v>
      </c>
      <c r="H11" s="121"/>
    </row>
    <row r="12" spans="2:8" ht="13.25" customHeight="1">
      <c r="B12" s="119" t="s">
        <v>135</v>
      </c>
      <c r="C12" s="163">
        <f>Scenarios!C64</f>
        <v>10</v>
      </c>
      <c r="H12" s="121"/>
    </row>
    <row r="13" spans="2:8" ht="13.25" customHeight="1">
      <c r="B13" s="154" t="s">
        <v>107</v>
      </c>
      <c r="C13" s="141">
        <f>F47/Common_Shares*scaling_factor</f>
        <v>1.4175407151461414</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470220</v>
      </c>
      <c r="D16" s="139">
        <f>IF($C$12&lt;B16,0,DDM!$C$11)</f>
        <v>0.02</v>
      </c>
      <c r="E16" s="125">
        <f t="shared" ref="E16:E45" si="0">IF($C$12&lt;B16,0,1/(1+Equity_Cost)^B16)</f>
        <v>0.93023255813953487</v>
      </c>
      <c r="F16" s="126">
        <f t="shared" ref="F16:F46" si="1">C16*E16</f>
        <v>437413.95348837209</v>
      </c>
      <c r="H16" s="121"/>
    </row>
    <row r="17" spans="2:8">
      <c r="B17" s="123">
        <v>2</v>
      </c>
      <c r="C17" s="124">
        <f t="shared" ref="C17:C45" si="2">IF(ROW()-ROW($C$16)&lt;$C$12, $C$16*(1+D17)^(ROW()-ROW($C$16)), 0)</f>
        <v>479624.4</v>
      </c>
      <c r="D17" s="139">
        <f>IF($C$12&lt;B17,0,DDM!$C$11)</f>
        <v>0.02</v>
      </c>
      <c r="E17" s="125">
        <f t="shared" si="0"/>
        <v>0.86533261222282321</v>
      </c>
      <c r="F17" s="126">
        <f t="shared" si="1"/>
        <v>415034.63493780425</v>
      </c>
      <c r="H17" s="121"/>
    </row>
    <row r="18" spans="2:8">
      <c r="B18" s="123">
        <v>3</v>
      </c>
      <c r="C18" s="124">
        <f t="shared" si="2"/>
        <v>489216.88799999998</v>
      </c>
      <c r="D18" s="139">
        <f>IF($C$12&lt;B18,0,DDM!$C$11)</f>
        <v>0.02</v>
      </c>
      <c r="E18" s="125">
        <f t="shared" si="0"/>
        <v>0.80496056950960304</v>
      </c>
      <c r="F18" s="126">
        <f t="shared" si="1"/>
        <v>393800.30477819568</v>
      </c>
      <c r="H18" s="121"/>
    </row>
    <row r="19" spans="2:8">
      <c r="B19" s="123">
        <v>4</v>
      </c>
      <c r="C19" s="124">
        <f t="shared" si="2"/>
        <v>499001.22575999994</v>
      </c>
      <c r="D19" s="139">
        <f>IF($C$12&lt;B19,0,DDM!$C$11)</f>
        <v>0.02</v>
      </c>
      <c r="E19" s="125">
        <f t="shared" si="0"/>
        <v>0.7488005297763749</v>
      </c>
      <c r="F19" s="126">
        <f t="shared" si="1"/>
        <v>373652.38220814842</v>
      </c>
      <c r="H19" s="121"/>
    </row>
    <row r="20" spans="2:8">
      <c r="B20" s="123">
        <v>5</v>
      </c>
      <c r="C20" s="124">
        <f t="shared" si="2"/>
        <v>508981.2502752</v>
      </c>
      <c r="D20" s="139">
        <f>IF($C$12&lt;B20,0,DDM!$C$11)</f>
        <v>0.02</v>
      </c>
      <c r="E20" s="125">
        <f t="shared" si="0"/>
        <v>0.69655863235011617</v>
      </c>
      <c r="F20" s="126">
        <f t="shared" si="1"/>
        <v>354535.28358354548</v>
      </c>
      <c r="H20" s="121"/>
    </row>
    <row r="21" spans="2:8">
      <c r="B21" s="123">
        <v>6</v>
      </c>
      <c r="C21" s="124">
        <f t="shared" si="2"/>
        <v>519160.875280704</v>
      </c>
      <c r="D21" s="139">
        <f>IF($C$12&lt;B21,0,DDM!$C$11)</f>
        <v>0.02</v>
      </c>
      <c r="E21" s="125">
        <f t="shared" si="0"/>
        <v>0.64796151846522443</v>
      </c>
      <c r="F21" s="126">
        <f t="shared" si="1"/>
        <v>336396.26907461998</v>
      </c>
      <c r="H21" s="121"/>
    </row>
    <row r="22" spans="2:8">
      <c r="B22" s="123">
        <v>7</v>
      </c>
      <c r="C22" s="124">
        <f t="shared" si="2"/>
        <v>529544.09278631816</v>
      </c>
      <c r="D22" s="139">
        <f>IF($C$12&lt;B22,0,DDM!$C$11)</f>
        <v>0.02</v>
      </c>
      <c r="E22" s="125">
        <f t="shared" si="0"/>
        <v>0.60275490089788319</v>
      </c>
      <c r="F22" s="126">
        <f t="shared" si="1"/>
        <v>319185.29716847668</v>
      </c>
      <c r="H22" s="121"/>
    </row>
    <row r="23" spans="2:8">
      <c r="B23" s="123">
        <v>8</v>
      </c>
      <c r="C23" s="124">
        <f t="shared" si="2"/>
        <v>540134.9746420444</v>
      </c>
      <c r="D23" s="139">
        <f>IF($C$12&lt;B23,0,DDM!$C$11)</f>
        <v>0.02</v>
      </c>
      <c r="E23" s="125">
        <f t="shared" si="0"/>
        <v>0.56070223339337966</v>
      </c>
      <c r="F23" s="126">
        <f t="shared" si="1"/>
        <v>302854.88661567081</v>
      </c>
      <c r="H23" s="121"/>
    </row>
    <row r="24" spans="2:8">
      <c r="B24" s="123">
        <v>9</v>
      </c>
      <c r="C24" s="124">
        <f t="shared" si="2"/>
        <v>550937.67413488531</v>
      </c>
      <c r="D24" s="139">
        <f>IF($C$12&lt;B24,0,DDM!$C$11)</f>
        <v>0.02</v>
      </c>
      <c r="E24" s="125">
        <f t="shared" si="0"/>
        <v>0.52158347292407414</v>
      </c>
      <c r="F24" s="126">
        <f t="shared" si="1"/>
        <v>287359.98543998535</v>
      </c>
      <c r="H24" s="121"/>
    </row>
    <row r="25" spans="2:8">
      <c r="B25" s="123">
        <v>10</v>
      </c>
      <c r="C25" s="124">
        <f t="shared" si="2"/>
        <v>561956.42761758296</v>
      </c>
      <c r="D25" s="139">
        <f>IF($C$12&lt;B25,0,DDM!$C$11)</f>
        <v>0.02</v>
      </c>
      <c r="E25" s="125">
        <f t="shared" si="0"/>
        <v>0.48519392830146441</v>
      </c>
      <c r="F25" s="126">
        <f t="shared" si="1"/>
        <v>272657.84665003262</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6269600</v>
      </c>
      <c r="D46" s="140">
        <f>Terminal_Growth</f>
        <v>0</v>
      </c>
      <c r="E46" s="125">
        <f>1/(1+Equity_Cost)^C12</f>
        <v>0.48519392830146441</v>
      </c>
      <c r="F46" s="126">
        <f t="shared" si="1"/>
        <v>3041971.8528788611</v>
      </c>
      <c r="H46" s="121"/>
    </row>
    <row r="47" spans="2:8">
      <c r="C47" s="115"/>
      <c r="E47" s="128" t="s">
        <v>101</v>
      </c>
      <c r="F47" s="138">
        <f>SUM(F16:F46)</f>
        <v>6534862.6968237124</v>
      </c>
      <c r="H47" s="121"/>
    </row>
    <row r="48" spans="2:8">
      <c r="C48" s="115"/>
      <c r="H48" s="121"/>
    </row>
    <row r="49" spans="1:8" ht="13.15">
      <c r="B49" s="120" t="s">
        <v>130</v>
      </c>
      <c r="C49" s="137"/>
      <c r="D49" s="137"/>
      <c r="E49" s="118"/>
      <c r="F49" s="118"/>
      <c r="H49" s="121"/>
    </row>
    <row r="50" spans="1:8" ht="13.15">
      <c r="A50" s="134">
        <f>F47</f>
        <v>6534862.6968237124</v>
      </c>
      <c r="B50" s="132">
        <f>C73</f>
        <v>0</v>
      </c>
      <c r="C50" s="132">
        <f>C72</f>
        <v>0.01</v>
      </c>
      <c r="D50" s="132">
        <f>C71</f>
        <v>0.02</v>
      </c>
      <c r="E50" s="132">
        <f>C70</f>
        <v>0.03</v>
      </c>
      <c r="F50" s="132">
        <f>C69</f>
        <v>0.03</v>
      </c>
      <c r="H50" s="121"/>
    </row>
    <row r="51" spans="1:8" ht="13.15">
      <c r="A51" s="144">
        <v>5</v>
      </c>
      <c r="B51" s="124">
        <f t="dataTable" ref="B51:F56" dt2D="1" dtr="1" r1="C11" r2="C12"/>
        <v>6146666.666666667</v>
      </c>
      <c r="C51" s="124">
        <v>6243429.1378201917</v>
      </c>
      <c r="D51" s="124">
        <v>6341580.560378354</v>
      </c>
      <c r="E51" s="124">
        <v>6441151.4194949139</v>
      </c>
      <c r="F51" s="124">
        <v>6441151.4194949139</v>
      </c>
      <c r="H51" s="121"/>
    </row>
    <row r="52" spans="1:8" ht="13.15">
      <c r="A52" s="144">
        <v>10</v>
      </c>
      <c r="B52" s="124">
        <v>6146666.6666666679</v>
      </c>
      <c r="C52" s="124">
        <v>6336203.2287136232</v>
      </c>
      <c r="D52" s="124">
        <v>6534862.6968237124</v>
      </c>
      <c r="E52" s="124">
        <v>6743179.9551206185</v>
      </c>
      <c r="F52" s="124">
        <v>6743179.9551206185</v>
      </c>
      <c r="H52" s="121"/>
    </row>
    <row r="53" spans="1:8" ht="13.15">
      <c r="A53" s="144">
        <v>15</v>
      </c>
      <c r="B53" s="124">
        <v>6146666.6666666679</v>
      </c>
      <c r="C53" s="124">
        <v>6450745.9452508166</v>
      </c>
      <c r="D53" s="124">
        <v>6779580.5161386179</v>
      </c>
      <c r="E53" s="124">
        <v>7135529.622468059</v>
      </c>
      <c r="F53" s="124">
        <v>7135529.622468059</v>
      </c>
      <c r="H53" s="121"/>
    </row>
    <row r="54" spans="1:8" ht="13.15">
      <c r="A54" s="145">
        <v>20</v>
      </c>
      <c r="B54" s="124">
        <v>6146666.6666666679</v>
      </c>
      <c r="C54" s="124">
        <v>6567077.6919752341</v>
      </c>
      <c r="D54" s="124">
        <v>7034702.8352330457</v>
      </c>
      <c r="E54" s="124">
        <v>7555764.6353217121</v>
      </c>
      <c r="F54" s="124">
        <v>7555764.6353217121</v>
      </c>
      <c r="H54" s="121"/>
    </row>
    <row r="55" spans="1:8" ht="13.15">
      <c r="A55" s="145">
        <v>25</v>
      </c>
      <c r="B55" s="124">
        <v>6146666.6666666688</v>
      </c>
      <c r="C55" s="124">
        <v>6674864.5610565552</v>
      </c>
      <c r="D55" s="124">
        <v>7277520.401199257</v>
      </c>
      <c r="E55" s="124">
        <v>7967137.7340850271</v>
      </c>
      <c r="F55" s="124">
        <v>7967137.7340850271</v>
      </c>
      <c r="H55" s="121"/>
    </row>
    <row r="56" spans="1:8" ht="13.15">
      <c r="A56" s="145">
        <v>30</v>
      </c>
      <c r="B56" s="124">
        <v>6146666.6666666688</v>
      </c>
      <c r="C56" s="124">
        <v>6769531.4966637818</v>
      </c>
      <c r="D56" s="124">
        <v>7496730.3076095767</v>
      </c>
      <c r="E56" s="124">
        <v>8349497.2267636582</v>
      </c>
      <c r="F56" s="124">
        <v>8349497.2267636582</v>
      </c>
      <c r="H56" s="121"/>
    </row>
    <row r="57" spans="1:8">
      <c r="C57" s="115"/>
      <c r="D57" s="115"/>
      <c r="E57" s="115"/>
      <c r="F57" s="115"/>
      <c r="H57" s="121"/>
    </row>
    <row r="58" spans="1:8" ht="13.15">
      <c r="B58" s="120" t="s">
        <v>131</v>
      </c>
      <c r="C58" s="115"/>
      <c r="D58" s="115"/>
      <c r="E58" s="115"/>
      <c r="F58" s="115"/>
      <c r="H58" s="121"/>
    </row>
    <row r="59" spans="1:8" ht="13.15">
      <c r="B59" s="133">
        <f>B50</f>
        <v>0</v>
      </c>
      <c r="C59" s="133">
        <f>C50</f>
        <v>0.01</v>
      </c>
      <c r="D59" s="133">
        <f>D50</f>
        <v>0.02</v>
      </c>
      <c r="E59" s="133">
        <f>E50</f>
        <v>0.03</v>
      </c>
      <c r="F59" s="133">
        <f>F50</f>
        <v>0.03</v>
      </c>
      <c r="H59" s="121"/>
    </row>
    <row r="60" spans="1:8" ht="13.15">
      <c r="A60" s="144">
        <v>0</v>
      </c>
      <c r="B60" s="125">
        <f>C7</f>
        <v>1.4450320800000001</v>
      </c>
      <c r="C60" s="125">
        <f>C7</f>
        <v>1.4450320800000001</v>
      </c>
      <c r="D60" s="125">
        <f>C7</f>
        <v>1.4450320800000001</v>
      </c>
      <c r="E60" s="142">
        <f>C7</f>
        <v>1.4450320800000001</v>
      </c>
      <c r="F60" s="125">
        <f>C7</f>
        <v>1.4450320800000001</v>
      </c>
      <c r="H60" s="121"/>
    </row>
    <row r="61" spans="1:8" ht="13.15">
      <c r="A61" s="144">
        <f t="shared" ref="A61:A66" si="3">A51</f>
        <v>5</v>
      </c>
      <c r="B61" s="125">
        <f t="shared" ref="B61:F66" si="4">B51/Common_Shares*$C$3*Exchange_Rate</f>
        <v>1.4450320800000001</v>
      </c>
      <c r="C61" s="125">
        <f t="shared" si="4"/>
        <v>1.4677801616090429</v>
      </c>
      <c r="D61" s="125">
        <f t="shared" si="4"/>
        <v>1.4908547745636276</v>
      </c>
      <c r="E61" s="125">
        <f t="shared" si="4"/>
        <v>1.5142630856791246</v>
      </c>
      <c r="F61" s="125">
        <f t="shared" si="4"/>
        <v>1.5142630856791246</v>
      </c>
      <c r="H61" s="121"/>
    </row>
    <row r="62" spans="1:8" ht="13.15">
      <c r="A62" s="144">
        <f t="shared" si="3"/>
        <v>10</v>
      </c>
      <c r="B62" s="125">
        <f t="shared" si="4"/>
        <v>1.4450320800000001</v>
      </c>
      <c r="C62" s="125">
        <f t="shared" si="4"/>
        <v>1.4895906069778897</v>
      </c>
      <c r="D62" s="125">
        <f t="shared" si="4"/>
        <v>1.536293856069237</v>
      </c>
      <c r="E62" s="125">
        <f t="shared" si="4"/>
        <v>1.5852675742454856</v>
      </c>
      <c r="F62" s="125">
        <f t="shared" si="4"/>
        <v>1.5852675742454856</v>
      </c>
      <c r="H62" s="121"/>
    </row>
    <row r="63" spans="1:8" ht="13.15">
      <c r="A63" s="144">
        <f t="shared" si="3"/>
        <v>15</v>
      </c>
      <c r="B63" s="125">
        <f t="shared" si="4"/>
        <v>1.4450320800000001</v>
      </c>
      <c r="C63" s="125">
        <f t="shared" si="4"/>
        <v>1.516518681803257</v>
      </c>
      <c r="D63" s="125">
        <f t="shared" si="4"/>
        <v>1.5938250544625694</v>
      </c>
      <c r="E63" s="125">
        <f t="shared" si="4"/>
        <v>1.6775058371350271</v>
      </c>
      <c r="F63" s="125">
        <f t="shared" si="4"/>
        <v>1.6775058371350271</v>
      </c>
      <c r="H63" s="121"/>
    </row>
    <row r="64" spans="1:8" ht="13.15">
      <c r="A64" s="145">
        <f t="shared" si="3"/>
        <v>20</v>
      </c>
      <c r="B64" s="125">
        <f t="shared" si="4"/>
        <v>1.4450320800000001</v>
      </c>
      <c r="C64" s="125">
        <f t="shared" si="4"/>
        <v>1.5438673432901144</v>
      </c>
      <c r="D64" s="125">
        <f t="shared" si="4"/>
        <v>1.6538022673826525</v>
      </c>
      <c r="E64" s="125">
        <f t="shared" si="4"/>
        <v>1.7762997213073819</v>
      </c>
      <c r="F64" s="125">
        <f t="shared" si="4"/>
        <v>1.7762997213073819</v>
      </c>
      <c r="H64" s="121"/>
    </row>
    <row r="65" spans="1:8" ht="13.15">
      <c r="A65" s="145">
        <f t="shared" si="3"/>
        <v>25</v>
      </c>
      <c r="B65" s="125">
        <f t="shared" si="4"/>
        <v>1.4450320800000003</v>
      </c>
      <c r="C65" s="125">
        <f t="shared" si="4"/>
        <v>1.5692071725133143</v>
      </c>
      <c r="D65" s="125">
        <f t="shared" si="4"/>
        <v>1.7108867314404654</v>
      </c>
      <c r="E65" s="125">
        <f t="shared" si="4"/>
        <v>1.8730102404877502</v>
      </c>
      <c r="F65" s="125">
        <f t="shared" si="4"/>
        <v>1.8730102404877502</v>
      </c>
    </row>
    <row r="66" spans="1:8" ht="13.15">
      <c r="A66" s="145">
        <f t="shared" si="3"/>
        <v>30</v>
      </c>
      <c r="B66" s="125">
        <f t="shared" si="4"/>
        <v>1.4450320800000003</v>
      </c>
      <c r="C66" s="125">
        <f t="shared" si="4"/>
        <v>1.5914626105069811</v>
      </c>
      <c r="D66" s="125">
        <f t="shared" si="4"/>
        <v>1.762421223905223</v>
      </c>
      <c r="E66" s="125">
        <f t="shared" si="4"/>
        <v>1.9628998933640758</v>
      </c>
      <c r="F66" s="125">
        <f t="shared" si="4"/>
        <v>1.9628998933640758</v>
      </c>
    </row>
    <row r="68" spans="1:8" ht="13.15">
      <c r="B68" s="172" t="s">
        <v>118</v>
      </c>
      <c r="C68" s="172" t="s">
        <v>133</v>
      </c>
      <c r="D68" s="172" t="s">
        <v>113</v>
      </c>
      <c r="E68" s="173" t="s">
        <v>114</v>
      </c>
      <c r="F68" s="173" t="s">
        <v>120</v>
      </c>
    </row>
    <row r="69" spans="1:8">
      <c r="B69" s="128" t="str">
        <f>Scenarios!B54</f>
        <v>Snowball Scenario</v>
      </c>
      <c r="C69" s="143">
        <f>Scenarios!C56</f>
        <v>0.03</v>
      </c>
      <c r="D69" s="146">
        <f>Scenarios!C55</f>
        <v>15</v>
      </c>
      <c r="E69" s="136">
        <f>INDEX(B$60:F$66, MATCH(D69, A$60:A$66, 0), MATCH(C69, B$59:F$59, 0))</f>
        <v>1.6775058371350271</v>
      </c>
      <c r="F69" s="143">
        <f>Scenarios!C58</f>
        <v>0.05</v>
      </c>
    </row>
    <row r="70" spans="1:8">
      <c r="B70" s="128" t="str">
        <f>Scenarios!B36</f>
        <v>Optimistic</v>
      </c>
      <c r="C70" s="143">
        <f>Scenarios!C38</f>
        <v>0.03</v>
      </c>
      <c r="D70" s="146">
        <f>Scenarios!C37</f>
        <v>10</v>
      </c>
      <c r="E70" s="136">
        <f>INDEX(B$60:F$66, MATCH(D70, A$60:A$66, 0), MATCH(C70, B$59:F$59, 0))</f>
        <v>1.5852675742454856</v>
      </c>
      <c r="F70" s="143">
        <f>Scenarios!C40*(1-F$69-F$73)</f>
        <v>0.18</v>
      </c>
      <c r="H70" s="121"/>
    </row>
    <row r="71" spans="1:8">
      <c r="B71" s="128" t="str">
        <f>Scenarios!B24</f>
        <v>Base</v>
      </c>
      <c r="C71" s="143">
        <f>Scenarios!C26</f>
        <v>0.02</v>
      </c>
      <c r="D71" s="146">
        <f>Scenarios!C25</f>
        <v>10</v>
      </c>
      <c r="E71" s="136">
        <f>INDEX(B$60:F$66, MATCH(D71, A$60:A$66, 0), MATCH(C71, B$59:F$59, 0))</f>
        <v>1.536293856069237</v>
      </c>
      <c r="F71" s="143">
        <f>Scenarios!C28*(1-F$69-F$73)</f>
        <v>0.53999999999999992</v>
      </c>
      <c r="H71" s="121"/>
    </row>
    <row r="72" spans="1:8">
      <c r="B72" s="128" t="str">
        <f>Scenarios!B30</f>
        <v>Pessimistic</v>
      </c>
      <c r="C72" s="143">
        <f>Scenarios!C32</f>
        <v>0.01</v>
      </c>
      <c r="D72" s="146">
        <f>Scenarios!C31</f>
        <v>10</v>
      </c>
      <c r="E72" s="136">
        <f>INDEX(B$60:F$66, MATCH(D72, A$60:A$66, 0), MATCH(C72, B$59:F$59, 0))</f>
        <v>1.4895906069778897</v>
      </c>
      <c r="F72" s="143">
        <f>Scenarios!C34*(1-F$69-F$73)</f>
        <v>0.18</v>
      </c>
      <c r="H72" s="121"/>
    </row>
    <row r="73" spans="1:8">
      <c r="B73" s="128" t="str">
        <f>Scenarios!B48</f>
        <v>Devil's advocate</v>
      </c>
      <c r="C73" s="143">
        <f>Scenarios!C50</f>
        <v>0</v>
      </c>
      <c r="D73" s="146">
        <f>Scenarios!C49</f>
        <v>15</v>
      </c>
      <c r="E73" s="136">
        <f>INDEX(B$60:F$66, MATCH(D73, A$60:A$66, 0), MATCH(C73, B$59:F$59, 0))</f>
        <v>1.4450320800000001</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-1.95</v>
      </c>
    </row>
    <row r="4" spans="2:9">
      <c r="B4" s="153" t="s">
        <v>147</v>
      </c>
      <c r="C4" s="121">
        <v>3</v>
      </c>
      <c r="D4" s="121"/>
      <c r="E4" s="156" t="s">
        <v>151</v>
      </c>
      <c r="F4" s="156"/>
      <c r="H4" s="269">
        <v>1</v>
      </c>
      <c r="I4" s="125">
        <f t="shared" ref="I4:I13" si="0">IF(ROW()-3 &lt; $C$76, $C$77, IF(ROW()-3 = $C$76, $C$77 + $C$60, ""))</f>
        <v>0.1</v>
      </c>
    </row>
    <row r="5" spans="2:9">
      <c r="H5" s="269">
        <v>2</v>
      </c>
      <c r="I5" s="125">
        <f t="shared" si="0"/>
        <v>0.1</v>
      </c>
    </row>
    <row r="6" spans="2:9" ht="13.15">
      <c r="B6" s="160" t="s">
        <v>96</v>
      </c>
      <c r="C6" s="107">
        <f>DCF!C3</f>
        <v>1000</v>
      </c>
      <c r="E6" s="100" t="s">
        <v>280</v>
      </c>
      <c r="F6" s="100"/>
      <c r="H6" s="269">
        <v>3</v>
      </c>
      <c r="I6" s="125">
        <f t="shared" si="0"/>
        <v>3.3635759761825348</v>
      </c>
    </row>
    <row r="7" spans="2:9" ht="12.75" customHeight="1">
      <c r="B7" s="100" t="s">
        <v>276</v>
      </c>
      <c r="C7" s="115">
        <f>Normalized_FCF!G8</f>
        <v>966307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7"/>
      <c r="H7" s="269">
        <v>4</v>
      </c>
      <c r="I7" s="125" t="str">
        <f t="shared" si="0"/>
        <v/>
      </c>
    </row>
    <row r="8" spans="2:9">
      <c r="B8" s="100" t="s">
        <v>66</v>
      </c>
      <c r="C8" s="115">
        <f>Normalized_FCF!G19</f>
        <v>632498.42340470827</v>
      </c>
      <c r="D8" t="str">
        <f>Reporting_currency</f>
        <v>CNY</v>
      </c>
      <c r="E8" s="357"/>
      <c r="F8" s="357"/>
      <c r="H8" s="269">
        <v>5</v>
      </c>
      <c r="I8" s="125" t="str">
        <f t="shared" si="0"/>
        <v/>
      </c>
    </row>
    <row r="9" spans="2:9">
      <c r="B9" s="100" t="s">
        <v>57</v>
      </c>
      <c r="C9" s="115">
        <f>Normalized_FCF!C19</f>
        <v>569161.93498729635</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-3.750240119526338E-2</v>
      </c>
      <c r="D12" s="159"/>
      <c r="E12" s="357"/>
      <c r="F12" s="357"/>
      <c r="H12" s="269">
        <v>9</v>
      </c>
      <c r="I12" s="125" t="str">
        <f t="shared" si="0"/>
        <v/>
      </c>
    </row>
    <row r="13" spans="2:9">
      <c r="B13" s="149" t="s">
        <v>153</v>
      </c>
      <c r="C13" s="159">
        <f ca="1">(Normalized_FCF!G8/OFFSET(Normalized_FCF!G8, 0, $C$4))^(1/$C$4) - 1</f>
        <v>-0.20361731775539216</v>
      </c>
      <c r="E13" s="357"/>
      <c r="F13" s="357"/>
      <c r="H13" s="269">
        <v>10</v>
      </c>
      <c r="I13" s="125" t="str">
        <f t="shared" si="0"/>
        <v/>
      </c>
    </row>
    <row r="14" spans="2:9">
      <c r="B14" s="100" t="s">
        <v>66</v>
      </c>
      <c r="C14" s="159">
        <f ca="1">(Normalized_FCF!G19/OFFSET(Normalized_FCF!G19, 0, $C$4))^(1/$C$4) - 1</f>
        <v>-9.0443280496378065E-2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1.95</v>
      </c>
      <c r="D21" t="str">
        <f>Market_currency</f>
        <v>HKD</v>
      </c>
      <c r="E21" s="358"/>
      <c r="F21" s="358"/>
    </row>
    <row r="22" spans="2:6">
      <c r="B22" s="100" t="s">
        <v>279</v>
      </c>
      <c r="C22" s="161">
        <f>IF(valuation_method="DCF",DCF!C12,DDM!C7)</f>
        <v>3.1473138841036388</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IF(valuation_method="DCF",DCF!E76,DDM!E71)</f>
        <v>3.2599879167672925</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0.01</v>
      </c>
      <c r="D32" s="165"/>
      <c r="E32" s="356"/>
      <c r="F32" s="356"/>
    </row>
    <row r="33" spans="2:6">
      <c r="B33" s="100" t="s">
        <v>114</v>
      </c>
      <c r="C33" s="161">
        <f>IF(valuation_method="DCF",DCF!E77,DDM!E72)</f>
        <v>3.2023269371078023</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0.03</v>
      </c>
      <c r="D38" s="165"/>
      <c r="E38" s="356"/>
      <c r="F38" s="356"/>
    </row>
    <row r="39" spans="2:6">
      <c r="B39" s="100" t="s">
        <v>114</v>
      </c>
      <c r="C39" s="161">
        <f>IF(valuation_method="DCF",DCF!E75,DDM!E70)</f>
        <v>3.3204520733848977</v>
      </c>
      <c r="D39" t="str">
        <f>Market_currency</f>
        <v>HKD</v>
      </c>
      <c r="E39" s="356"/>
      <c r="F39" s="356"/>
    </row>
    <row r="40" spans="2:6">
      <c r="B40" s="100" t="s">
        <v>148</v>
      </c>
      <c r="C40" s="168">
        <f>1-C28-C34</f>
        <v>0.2</v>
      </c>
      <c r="D40" s="166"/>
      <c r="E40" s="356"/>
      <c r="F40" s="356"/>
    </row>
    <row r="42" spans="2:6" ht="13.15">
      <c r="B42" s="100" t="s">
        <v>121</v>
      </c>
      <c r="C42" s="155">
        <f>C27*C28+C33*C34+C39*C40</f>
        <v>3.2605485521589155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3.1473138841036383</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0.03</v>
      </c>
      <c r="D56" s="165"/>
      <c r="E56" s="356"/>
      <c r="F56" s="356"/>
    </row>
    <row r="57" spans="2:6">
      <c r="B57" s="100" t="s">
        <v>114</v>
      </c>
      <c r="C57" s="161">
        <f>IF(valuation_method="DCF",DCF!E74,DDM!E69)</f>
        <v>3.4343317006865863</v>
      </c>
      <c r="D57" t="str">
        <f>Market_currency</f>
        <v>HKD</v>
      </c>
      <c r="E57" s="356"/>
      <c r="F57" s="356"/>
    </row>
    <row r="58" spans="2:6">
      <c r="B58" s="100" t="s">
        <v>148</v>
      </c>
      <c r="C58" s="166">
        <v>0.05</v>
      </c>
      <c r="D58" s="166"/>
      <c r="E58" s="356"/>
      <c r="F58" s="356"/>
    </row>
    <row r="60" spans="2:6" ht="13.15">
      <c r="B60" s="100" t="s">
        <v>121</v>
      </c>
      <c r="C60" s="155">
        <f>C51*C52+C57*C58+C42*(1-C52-C58)</f>
        <v>3.2635759761825347</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0.02</v>
      </c>
      <c r="D65" s="152"/>
      <c r="E65" s="273" t="s">
        <v>313</v>
      </c>
    </row>
    <row r="66" spans="2:6">
      <c r="B66" s="100" t="s">
        <v>103</v>
      </c>
      <c r="C66" s="161">
        <f>IF(valuation_method="DCF",DCF!C18,DDM!C13)</f>
        <v>3.2599879167672925</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0.41771411417681625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0.1</v>
      </c>
      <c r="D77" t="str">
        <f>Market_currency</f>
        <v>HKD</v>
      </c>
    </row>
    <row r="79" spans="2:6" ht="13.15">
      <c r="B79" s="109" t="s">
        <v>302</v>
      </c>
    </row>
    <row r="80" spans="2:6">
      <c r="B80" s="149" t="s">
        <v>300</v>
      </c>
      <c r="C80" s="168">
        <f>Thesis!F29</f>
        <v>0.3674</v>
      </c>
    </row>
    <row r="81" spans="2:8">
      <c r="B81" s="100" t="s">
        <v>122</v>
      </c>
      <c r="C81" s="117">
        <f>PV(C80, C76, -C77, 0)</f>
        <v>0.16572593193648588</v>
      </c>
      <c r="D81" s="117"/>
      <c r="E81" s="100"/>
      <c r="F81" s="100"/>
    </row>
    <row r="82" spans="2:8">
      <c r="B82" s="100" t="s">
        <v>123</v>
      </c>
      <c r="C82" s="117">
        <f>C60/(1+C80)^C76</f>
        <v>1.2764593852410968</v>
      </c>
      <c r="D82" s="117"/>
    </row>
    <row r="83" spans="2:8" ht="13.15">
      <c r="B83" s="111" t="s">
        <v>102</v>
      </c>
      <c r="C83" s="112">
        <f>C81+C82</f>
        <v>1.4421853171775827</v>
      </c>
      <c r="D83" t="str">
        <f>Market_currency</f>
        <v>HKD</v>
      </c>
      <c r="E83" s="147" t="s">
        <v>127</v>
      </c>
      <c r="F83" s="319">
        <f>(1-C83/C60)</f>
        <v>0.55809660087505186</v>
      </c>
    </row>
    <row r="84" spans="2:8">
      <c r="E84" s="121"/>
    </row>
    <row r="85" spans="2:8" ht="13.15">
      <c r="B85" s="109" t="s">
        <v>303</v>
      </c>
    </row>
    <row r="86" spans="2:8">
      <c r="B86" s="149" t="s">
        <v>301</v>
      </c>
      <c r="C86" s="117">
        <f>Market_Price</f>
        <v>1.95</v>
      </c>
      <c r="D86" t="str">
        <f>Market_currency</f>
        <v>HKD</v>
      </c>
    </row>
    <row r="87" spans="2:8" ht="13.15">
      <c r="B87" s="100" t="s">
        <v>299</v>
      </c>
      <c r="C87" s="259">
        <f ca="1">IRR(OFFSET($I$3, 0, 0, $C$76 + 1, 1))</f>
        <v>0.23107791371828346</v>
      </c>
    </row>
    <row r="88" spans="2:8">
      <c r="B88" s="100"/>
    </row>
    <row r="89" spans="2:8" ht="13.15">
      <c r="B89" s="109" t="s">
        <v>414</v>
      </c>
    </row>
    <row r="90" spans="2:8">
      <c r="B90" s="149" t="s">
        <v>415</v>
      </c>
      <c r="C90" s="168">
        <f>Thesis!F30</f>
        <v>0.21740000000000001</v>
      </c>
    </row>
    <row r="91" spans="2:8">
      <c r="B91" s="100" t="s">
        <v>122</v>
      </c>
      <c r="C91" s="117">
        <f>PV(C90, C76, -C77, 0)</f>
        <v>0.20504008238649371</v>
      </c>
      <c r="D91" s="117"/>
      <c r="E91" s="100"/>
      <c r="F91" s="100"/>
    </row>
    <row r="92" spans="2:8">
      <c r="B92" s="100" t="s">
        <v>123</v>
      </c>
      <c r="C92" s="117">
        <f>C60/(1+C90)^C76</f>
        <v>1.8088136857770354</v>
      </c>
      <c r="D92" s="117"/>
    </row>
    <row r="93" spans="2:8" ht="13.15">
      <c r="B93" s="111" t="s">
        <v>102</v>
      </c>
      <c r="C93" s="112">
        <f>C91+C92</f>
        <v>2.0138537681635289</v>
      </c>
      <c r="D93" t="str">
        <f>Market_currency</f>
        <v>HKD</v>
      </c>
      <c r="E93" s="147" t="s">
        <v>127</v>
      </c>
      <c r="F93" s="319">
        <f>(1-C93/C60)</f>
        <v>0.38293032463145815</v>
      </c>
    </row>
    <row r="95" spans="2:8" ht="13.15">
      <c r="B95" s="109" t="s">
        <v>398</v>
      </c>
      <c r="G95" s="2"/>
      <c r="H95" s="306"/>
    </row>
    <row r="96" spans="2:8">
      <c r="B96" s="149" t="s">
        <v>404</v>
      </c>
      <c r="C96" s="135">
        <f>Thesis!F31</f>
        <v>7.4999999999999997E-2</v>
      </c>
      <c r="G96" s="2"/>
      <c r="H96" s="306"/>
    </row>
    <row r="97" spans="2:8">
      <c r="B97" s="100" t="s">
        <v>122</v>
      </c>
      <c r="C97" s="117">
        <f>PV(C96, C76, -C77, 0)</f>
        <v>0.26005257398719595</v>
      </c>
      <c r="D97" s="117"/>
      <c r="G97" s="2"/>
      <c r="H97" s="306"/>
    </row>
    <row r="98" spans="2:8">
      <c r="B98" s="100" t="s">
        <v>123</v>
      </c>
      <c r="C98" s="117">
        <f>C60/(1+C96)^C76</f>
        <v>2.6270499764257518</v>
      </c>
      <c r="D98" s="117"/>
      <c r="G98" s="2"/>
      <c r="H98" s="306"/>
    </row>
    <row r="99" spans="2:8" ht="13.15">
      <c r="B99" s="111" t="s">
        <v>399</v>
      </c>
      <c r="C99" s="112">
        <f>C97+C98</f>
        <v>2.8871025504129477</v>
      </c>
      <c r="D99" t="s">
        <v>397</v>
      </c>
      <c r="E99" s="147" t="s">
        <v>127</v>
      </c>
      <c r="F99" s="319">
        <f>(1-C99/C60)</f>
        <v>0.1153561089176649</v>
      </c>
    </row>
    <row r="100" spans="2:8">
      <c r="B100" s="100"/>
    </row>
    <row r="101" spans="2:8" ht="13.15">
      <c r="B101" s="109" t="s">
        <v>424</v>
      </c>
    </row>
    <row r="102" spans="2:8">
      <c r="B102" s="149" t="s">
        <v>423</v>
      </c>
      <c r="C102" s="135">
        <f>Thesis!F32</f>
        <v>0.1174</v>
      </c>
    </row>
    <row r="103" spans="2:8">
      <c r="B103" s="100" t="s">
        <v>122</v>
      </c>
      <c r="C103" s="117">
        <f>PV(C102, C76, -C77, 0)</f>
        <v>0.24126031259386493</v>
      </c>
      <c r="D103" s="117"/>
    </row>
    <row r="104" spans="2:8">
      <c r="B104" s="100" t="s">
        <v>123</v>
      </c>
      <c r="C104" s="117">
        <f>C60/(1+C102)^C76</f>
        <v>2.3392019993222615</v>
      </c>
      <c r="D104" s="117"/>
    </row>
    <row r="105" spans="2:8" ht="13.15">
      <c r="B105" s="111" t="s">
        <v>399</v>
      </c>
      <c r="C105" s="112">
        <f>C103+C104</f>
        <v>2.5804623119161265</v>
      </c>
      <c r="D105" t="s">
        <v>397</v>
      </c>
      <c r="E105" s="147" t="s">
        <v>127</v>
      </c>
      <c r="F105" s="319">
        <f>(1-C105/C66)</f>
        <v>0.20844420967210364</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2025-05-18T17:40:00Z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