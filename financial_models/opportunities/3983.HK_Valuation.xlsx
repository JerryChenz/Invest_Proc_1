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16BAE6-67C9-43E8-8BE7-611699E7945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<sst xmlns="http://schemas.openxmlformats.org/spreadsheetml/2006/main" count="685" uniqueCount="466">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</sst>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E32" sqref="E3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1.91</v>
      </c>
      <c r="D12" s="50"/>
      <c r="E12" s="48"/>
    </row>
    <row r="13" spans="1:10">
      <c r="B13" s="1" t="s">
        <v>416</v>
      </c>
      <c r="C13" s="48" t="s">
        <v>396</v>
      </c>
      <c r="D13" s="48"/>
      <c r="E13" s="5"/>
    </row>
    <row r="14" spans="1:10">
      <c r="B14" s="4" t="s">
        <v>420</v>
      </c>
      <c r="C14" s="35">
        <f>Thesis!C12*Common_Shares/1000000</f>
        <v>8805.1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1.09144815</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3.2805345618615389</v>
      </c>
      <c r="D26" s="1" t="s">
        <v>399</v>
      </c>
      <c r="E26" s="301">
        <f ca="1">Scenarios!C87</f>
        <v>0.24196346270587843</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1.4488182088302848</v>
      </c>
      <c r="D29" s="310" t="str">
        <f>D149</f>
        <v/>
      </c>
      <c r="E29" s="306" t="s">
        <v>424</v>
      </c>
      <c r="F29" s="302">
        <v>0.3674</v>
      </c>
    </row>
    <row r="30" spans="2:6">
      <c r="B30" s="1" t="s">
        <v>426</v>
      </c>
      <c r="C30" s="311">
        <f>C157</f>
        <v>2.0232529432069382</v>
      </c>
      <c r="D30" s="311" t="str">
        <f>D157</f>
        <v/>
      </c>
      <c r="E30" s="307" t="s">
        <v>437</v>
      </c>
      <c r="F30" s="312">
        <v>0.21740000000000001</v>
      </c>
    </row>
    <row r="31" spans="2:6">
      <c r="B31" s="1" t="s">
        <v>427</v>
      </c>
      <c r="C31" s="311">
        <f>C165</f>
        <v>2.9007535431991962</v>
      </c>
      <c r="D31" s="311" t="str">
        <f>D165</f>
        <v/>
      </c>
      <c r="E31" s="307" t="s">
        <v>436</v>
      </c>
      <c r="F31" s="312">
        <v>7.4999999999999997E-2</v>
      </c>
    </row>
    <row r="32" spans="2:6">
      <c r="B32" s="1" t="s">
        <v>428</v>
      </c>
      <c r="C32" s="311">
        <f>C173</f>
        <v>2.5926175544523851</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928439.85014218651</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9" t="s">
        <v>241</v>
      </c>
      <c r="C58" s="359"/>
      <c r="D58" s="359"/>
      <c r="E58" s="359"/>
      <c r="F58" s="359"/>
    </row>
    <row r="59" spans="2:6">
      <c r="B59" s="47" t="s">
        <v>239</v>
      </c>
      <c r="C59" s="349">
        <f>Normalized_FCF!C14</f>
        <v>-233268.98647286888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7.0551242006599013E-2</v>
      </c>
      <c r="F69" s="314"/>
    </row>
    <row r="70" spans="1:6">
      <c r="B70" s="227" t="s">
        <v>308</v>
      </c>
      <c r="C70" s="92">
        <f>Normalized_FCF!C93</f>
        <v>5.2356020942408384E-2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1.7967049631013878</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2119124</v>
      </c>
      <c r="D102" s="1" t="str">
        <f>Reporting_currency</f>
        <v>CNY</v>
      </c>
    </row>
    <row r="103" spans="2:6">
      <c r="B103" s="47" t="s">
        <v>281</v>
      </c>
      <c r="C103" s="223">
        <f>C102*scaling_factor*Exchange_Rate/Common_Shares</f>
        <v>0.50171669618668113</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1.8621628455173147</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1.2448569880203904E-2</v>
      </c>
      <c r="D114" s="1" t="str">
        <f>Market_currency</f>
        <v>HKD</v>
      </c>
    </row>
    <row r="116" spans="1:6" ht="24.5" customHeight="1">
      <c r="B116" s="358" t="s">
        <v>366</v>
      </c>
      <c r="C116" s="358"/>
      <c r="D116" s="358"/>
      <c r="E116" s="358"/>
      <c r="F116" s="358"/>
    </row>
    <row r="118" spans="1:6">
      <c r="B118" s="47" t="s">
        <v>449</v>
      </c>
      <c r="C118" s="223">
        <f>IF(valuation_method="DCF",DCF!C12,DDM!C7)</f>
        <v>3.1695996823122257</v>
      </c>
      <c r="D118" s="1" t="str">
        <f>Market_currency</f>
        <v>HKD</v>
      </c>
    </row>
    <row r="119" spans="1:6">
      <c r="B119" s="296" t="s">
        <v>405</v>
      </c>
      <c r="C119" s="223">
        <f>BS!D47</f>
        <v>1.8438911432592704</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3.69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258</v>
      </c>
      <c r="C132" s="217">
        <f>Scenarios!C60</f>
        <v>3.2805345618615389</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1.2830922768937989</v>
      </c>
    </row>
    <row r="149" spans="2:4">
      <c r="B149" s="80" t="s">
        <v>260</v>
      </c>
      <c r="C149" s="215">
        <f>Scenarios!C83</f>
        <v>1.4488182088302848</v>
      </c>
      <c r="D149" s="300" t="str">
        <f>IF($D$11="","",C149*$E$25)</f>
        <v/>
      </c>
    </row>
    <row r="150" spans="2:4">
      <c r="B150" s="259" t="s">
        <v>416</v>
      </c>
      <c r="C150" s="298" t="str">
        <f>Market_currency</f>
        <v>HKD</v>
      </c>
      <c r="D150" s="298" t="str">
        <f>IF($D$11="","",D$13)</f>
        <v/>
      </c>
    </row>
    <row r="151" spans="2:4">
      <c r="B151" s="214" t="s">
        <v>262</v>
      </c>
      <c r="C151" s="92">
        <f>Scenarios!F83</f>
        <v>0.55835910839843339</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1.8182128608204446</v>
      </c>
    </row>
    <row r="157" spans="2:4">
      <c r="B157" s="80" t="s">
        <v>260</v>
      </c>
      <c r="C157" s="215">
        <f>Scenarios!C93</f>
        <v>2.0232529432069382</v>
      </c>
      <c r="D157" s="300" t="str">
        <f>IF($D$11="","",C157*$E$25)</f>
        <v/>
      </c>
    </row>
    <row r="158" spans="2:4">
      <c r="B158" s="259" t="s">
        <v>416</v>
      </c>
      <c r="C158" s="298" t="str">
        <f>Market_currency</f>
        <v>HKD</v>
      </c>
      <c r="D158" s="298" t="str">
        <f>IF($D$11="","",D$13)</f>
        <v/>
      </c>
    </row>
    <row r="159" spans="2:4">
      <c r="B159" s="214" t="s">
        <v>262</v>
      </c>
      <c r="C159" s="92">
        <f>Scenarios!F93</f>
        <v>0.38325510521101058</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2.6407009692120003</v>
      </c>
    </row>
    <row r="165" spans="2:4">
      <c r="B165" s="80" t="s">
        <v>401</v>
      </c>
      <c r="C165" s="215">
        <f>Scenarios!C99</f>
        <v>2.9007535431991962</v>
      </c>
      <c r="D165" s="300" t="str">
        <f>IF($D$11="","",C165*$E$25)</f>
        <v/>
      </c>
    </row>
    <row r="166" spans="2:4">
      <c r="B166" s="259" t="s">
        <v>416</v>
      </c>
      <c r="C166" s="298" t="str">
        <f>Market_currency</f>
        <v>HKD</v>
      </c>
      <c r="D166" s="298" t="str">
        <f>IF($D$11="","",D$13)</f>
        <v/>
      </c>
    </row>
    <row r="167" spans="2:4">
      <c r="B167" s="214" t="s">
        <v>262</v>
      </c>
      <c r="C167" s="92">
        <f>Scenarios!F99</f>
        <v>0.11576802850290224</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2.35135724185852</v>
      </c>
    </row>
    <row r="173" spans="2:4">
      <c r="B173" s="80" t="s">
        <v>401</v>
      </c>
      <c r="C173" s="215">
        <f>Scenarios!C105</f>
        <v>2.5926175544523851</v>
      </c>
      <c r="D173" s="300" t="str">
        <f>IF($D$11="","",C173*$E$25)</f>
        <v/>
      </c>
    </row>
    <row r="174" spans="2:4">
      <c r="B174" s="259" t="s">
        <v>416</v>
      </c>
      <c r="C174" s="298" t="str">
        <f>Market_currency</f>
        <v>HKD</v>
      </c>
      <c r="D174" s="298" t="str">
        <f>IF($D$11="","",D$13)</f>
        <v/>
      </c>
    </row>
    <row r="175" spans="2:4">
      <c r="B175" s="214" t="s">
        <v>262</v>
      </c>
      <c r="C175" s="92">
        <f>Scenarios!F105</f>
        <v>0.21030732452918022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0.13184693651999999</v>
      </c>
      <c r="D25" s="39">
        <f>0.207*Exchange_Rate</f>
        <v>0.22592976704999998</v>
      </c>
      <c r="E25" s="39">
        <f>0.178*Exchange_Rate</f>
        <v>0.19427777069999999</v>
      </c>
      <c r="F25" s="39">
        <f>0.155*Exchange_Rate</f>
        <v>0.16917446324999999</v>
      </c>
      <c r="G25" s="39">
        <f>0.08*Exchange_Rate</f>
        <v>8.7315851999999999E-2</v>
      </c>
      <c r="H25" s="39">
        <f>0.076*Exchange_Rate</f>
        <v>8.2950059399999998E-2</v>
      </c>
      <c r="I25" s="39">
        <f>0.15*Exchange_Rate</f>
        <v>0.16371722249999998</v>
      </c>
      <c r="J25" s="39">
        <f>0.005*Exchange_Rate</f>
        <v>5.45724075E-3</v>
      </c>
      <c r="K25" s="39">
        <f>0.05*Exchange_Rate</f>
        <v>5.4572407500000003E-2</v>
      </c>
      <c r="L25" s="39">
        <f>0.08*Exchange_Rate</f>
        <v>8.7315851999999999E-2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0.13184693651999999</v>
      </c>
      <c r="D65" s="73">
        <f t="shared" ref="D65:M65" si="33">IF(D$4="","",D25)</f>
        <v>0.22592976704999998</v>
      </c>
      <c r="E65" s="73">
        <f t="shared" si="33"/>
        <v>0.19427777069999999</v>
      </c>
      <c r="F65" s="73">
        <f t="shared" si="33"/>
        <v>0.16917446324999999</v>
      </c>
      <c r="G65" s="73">
        <f t="shared" si="33"/>
        <v>8.7315851999999999E-2</v>
      </c>
      <c r="H65" s="73">
        <f t="shared" si="33"/>
        <v>8.2950059399999998E-2</v>
      </c>
      <c r="I65" s="73">
        <f t="shared" si="33"/>
        <v>0.16371722249999998</v>
      </c>
      <c r="J65" s="73">
        <f t="shared" si="33"/>
        <v>5.45724075E-3</v>
      </c>
      <c r="K65" s="73">
        <f t="shared" si="33"/>
        <v>5.4572407500000003E-2</v>
      </c>
      <c r="L65" s="73">
        <f t="shared" si="33"/>
        <v>8.7315851999999999E-2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4.3582819688367787</v>
      </c>
      <c r="D47" s="147">
        <f>D46*H1/Common_Shares*Exchange_Rate</f>
        <v>1.8438911432592704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-965663.86477976665</v>
      </c>
      <c r="D73" s="349">
        <f>(Normalized_FCF!C25+Normalized_FCF!C35-Normalized_FCF!C91)/12</f>
        <v>-956584.92915481783</v>
      </c>
      <c r="F73" s="1" t="s">
        <v>351</v>
      </c>
    </row>
    <row r="74" spans="2:6" ht="15" customHeight="1">
      <c r="B74" s="257" t="s">
        <v>321</v>
      </c>
      <c r="C74" s="258">
        <f>-$C$66/C73</f>
        <v>12.10736305501754</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-2312913.9694205998</v>
      </c>
      <c r="D86" s="223">
        <f>C86*scaling_factor/Common_Shares</f>
        <v>-0.50171669618668113</v>
      </c>
      <c r="E86" s="240" t="str">
        <f>Market_currency</f>
        <v>HKD</v>
      </c>
    </row>
    <row r="87" spans="2:8" ht="15" customHeight="1">
      <c r="B87" s="238" t="s">
        <v>287</v>
      </c>
      <c r="C87" s="76">
        <f>DCF!C8*Exchange_Rate</f>
        <v>8584570.717834821</v>
      </c>
      <c r="D87" s="223">
        <f>C87*scaling_factor/Common_Shares</f>
        <v>1.8621628455173147</v>
      </c>
      <c r="E87" s="240" t="str">
        <f>Market_currency</f>
        <v>HKD</v>
      </c>
    </row>
    <row r="88" spans="2:8" ht="15" customHeight="1">
      <c r="B88" s="239" t="s">
        <v>189</v>
      </c>
      <c r="C88" s="76">
        <f>DCF!C9*Exchange_Rate</f>
        <v>57387.907147739999</v>
      </c>
      <c r="D88" s="223">
        <f>C88*scaling_factor/Common_Shares</f>
        <v>1.2448569880203904E-2</v>
      </c>
      <c r="E88" s="240" t="str">
        <f>Market_currency</f>
        <v>HKD</v>
      </c>
    </row>
    <row r="89" spans="2:8" ht="15" customHeight="1">
      <c r="B89" s="80" t="s">
        <v>291</v>
      </c>
      <c r="C89" s="180">
        <f>SUM(C86:C88)</f>
        <v>6329044.6555619612</v>
      </c>
      <c r="D89" s="242">
        <f>SUM(D86:D88)</f>
        <v>1.3728947192108376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0.13184693651999999</v>
      </c>
      <c r="H90" s="112">
        <f>Data!D65</f>
        <v>0.22592976704999998</v>
      </c>
      <c r="I90" s="112">
        <f>Data!E65</f>
        <v>0.19427777069999999</v>
      </c>
      <c r="J90" s="112">
        <f>Data!F65</f>
        <v>0.16917446324999999</v>
      </c>
      <c r="K90" s="112">
        <f>Data!G65</f>
        <v>8.7315851999999999E-2</v>
      </c>
      <c r="L90" s="112">
        <f>Data!H65</f>
        <v>8.2950059399999998E-2</v>
      </c>
      <c r="M90" s="112">
        <f>Data!I65</f>
        <v>0.16371722249999998</v>
      </c>
      <c r="N90" s="112">
        <f>Data!J65</f>
        <v>5.45724075E-3</v>
      </c>
      <c r="O90" s="112">
        <f>Data!K65</f>
        <v>5.4572407500000003E-2</v>
      </c>
      <c r="P90" s="112">
        <f>Data!L65</f>
        <v>8.7315851999999999E-2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607814.3773571999</v>
      </c>
      <c r="H91" s="74">
        <f t="shared" si="37"/>
        <v>1041536.2261004999</v>
      </c>
      <c r="I91" s="74">
        <f t="shared" si="37"/>
        <v>895620.52292699995</v>
      </c>
      <c r="J91" s="74">
        <f t="shared" si="37"/>
        <v>779894.27558250003</v>
      </c>
      <c r="K91" s="74">
        <f t="shared" si="37"/>
        <v>402526.07771999994</v>
      </c>
      <c r="L91" s="74">
        <f t="shared" si="37"/>
        <v>382399.77383399999</v>
      </c>
      <c r="M91" s="74">
        <f t="shared" si="37"/>
        <v>754736.39572499995</v>
      </c>
      <c r="N91" s="74">
        <f t="shared" si="37"/>
        <v>25157.879857499996</v>
      </c>
      <c r="O91" s="74">
        <f t="shared" si="37"/>
        <v>251578.79857500002</v>
      </c>
      <c r="P91" s="74">
        <f t="shared" si="37"/>
        <v>402526.07771999994</v>
      </c>
      <c r="Q91" s="74" t="str">
        <f t="shared" si="37"/>
        <v/>
      </c>
    </row>
    <row r="92" spans="1:17" ht="15.75" customHeight="1">
      <c r="A92" s="10"/>
      <c r="B92" s="2" t="s">
        <v>213</v>
      </c>
      <c r="C92" s="23">
        <f>C90/(C19*scaling_factor/Common_Shares)</f>
        <v>0.80996280963569622</v>
      </c>
      <c r="E92" s="268"/>
      <c r="G92" s="170">
        <f t="shared" ref="G92:Q92" si="38">IF(G$4="","",G90/(G19*scaling_factor/Common_Shares))</f>
        <v>0.96097374296265392</v>
      </c>
      <c r="H92" s="170">
        <f t="shared" si="38"/>
        <v>0.93929929170701076</v>
      </c>
      <c r="I92" s="170">
        <f t="shared" si="38"/>
        <v>0.66659251918807394</v>
      </c>
      <c r="J92" s="170">
        <f t="shared" si="38"/>
        <v>0.92782409188707893</v>
      </c>
      <c r="K92" s="170">
        <f t="shared" si="38"/>
        <v>0.92364228268277182</v>
      </c>
      <c r="L92" s="170">
        <f t="shared" si="38"/>
        <v>1.1321206071355614</v>
      </c>
      <c r="M92" s="170">
        <f t="shared" si="38"/>
        <v>0.59679987389681943</v>
      </c>
      <c r="N92" s="170">
        <f t="shared" si="38"/>
        <v>6.4006003886224572E-2</v>
      </c>
      <c r="O92" s="170">
        <f t="shared" si="38"/>
        <v>-0.60698330552700541</v>
      </c>
      <c r="P92" s="170">
        <f t="shared" si="38"/>
        <v>0.66813188769472087</v>
      </c>
      <c r="Q92" s="170" t="str">
        <f t="shared" si="38"/>
        <v/>
      </c>
    </row>
    <row r="93" spans="1:17" ht="15.75" customHeight="1">
      <c r="A93" s="10"/>
      <c r="B93" s="2" t="s">
        <v>309</v>
      </c>
      <c r="C93" s="23">
        <f>C90/Market_Price</f>
        <v>5.2356020942408384E-2</v>
      </c>
      <c r="E93" s="268"/>
      <c r="G93" s="23">
        <f t="shared" ref="G93:Q93" si="39">IF(G$4="","",G90/Market_Price)</f>
        <v>6.902980969633507E-2</v>
      </c>
      <c r="H93" s="23">
        <f t="shared" si="39"/>
        <v>0.11828783615183246</v>
      </c>
      <c r="I93" s="23">
        <f t="shared" si="39"/>
        <v>0.10171611031413612</v>
      </c>
      <c r="J93" s="23">
        <f t="shared" si="39"/>
        <v>8.8573017408376961E-2</v>
      </c>
      <c r="K93" s="23">
        <f t="shared" si="39"/>
        <v>4.5715105759162308E-2</v>
      </c>
      <c r="L93" s="23">
        <f t="shared" si="39"/>
        <v>4.3429350471204192E-2</v>
      </c>
      <c r="M93" s="23">
        <f t="shared" si="39"/>
        <v>8.5715823298429319E-2</v>
      </c>
      <c r="N93" s="23">
        <f t="shared" si="39"/>
        <v>2.8571941099476443E-3</v>
      </c>
      <c r="O93" s="23">
        <f t="shared" si="39"/>
        <v>2.8571941099476441E-2</v>
      </c>
      <c r="P93" s="23">
        <f t="shared" si="39"/>
        <v>4.5715105759162308E-2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0.1347528722326041</v>
      </c>
      <c r="D124" s="27"/>
      <c r="E124" s="265"/>
      <c r="F124" s="27"/>
      <c r="G124" s="177">
        <f t="shared" ref="G124:Q124" si="49">IF(G$4="","",G16*$C$3/Common_Shares*Exchange_Rate)</f>
        <v>0.14974820696377125</v>
      </c>
      <c r="H124" s="177">
        <f t="shared" si="49"/>
        <v>0.26252614949652359</v>
      </c>
      <c r="I124" s="177">
        <f t="shared" si="49"/>
        <v>0.31810154976673627</v>
      </c>
      <c r="J124" s="177">
        <f t="shared" si="49"/>
        <v>0.1990087954775028</v>
      </c>
      <c r="K124" s="177">
        <f t="shared" si="49"/>
        <v>0.10317925772547722</v>
      </c>
      <c r="L124" s="177">
        <f t="shared" si="49"/>
        <v>7.9970003464197401E-2</v>
      </c>
      <c r="M124" s="177">
        <f t="shared" si="49"/>
        <v>0.29941169131623646</v>
      </c>
      <c r="N124" s="177">
        <f t="shared" si="49"/>
        <v>9.3058384511550976E-2</v>
      </c>
      <c r="O124" s="177">
        <f t="shared" si="49"/>
        <v>-9.8129475167700639E-2</v>
      </c>
      <c r="P124" s="177">
        <f t="shared" si="49"/>
        <v>0.14263759429278741</v>
      </c>
      <c r="Q124" s="177" t="str">
        <f t="shared" si="49"/>
        <v/>
      </c>
    </row>
    <row r="125" spans="1:17" ht="15.75" customHeight="1">
      <c r="A125" s="10"/>
      <c r="B125" s="27" t="s">
        <v>269</v>
      </c>
      <c r="C125" s="77">
        <f>C19*Exchange_Rate*$C$3/(Market_Price*Common_Shares)</f>
        <v>7.0551242006599013E-2</v>
      </c>
      <c r="D125" s="27"/>
      <c r="E125" s="265"/>
      <c r="F125" s="27"/>
      <c r="G125" s="77">
        <f t="shared" ref="G125" si="50">IF(G$4="","",G124/Market_Price)</f>
        <v>7.8402202598833126E-2</v>
      </c>
      <c r="H125" s="77">
        <f t="shared" ref="H125" si="51">IF(H$4="","",H124/Market_Price)</f>
        <v>0.13744824580969822</v>
      </c>
      <c r="I125" s="77">
        <f t="shared" ref="I125" si="52">IF(I$4="","",I124/Market_Price)</f>
        <v>0.16654531401399805</v>
      </c>
      <c r="J125" s="77">
        <f t="shared" ref="J125" si="53">IF(J$4="","",J124/Market_Price)</f>
        <v>0.10419308663743602</v>
      </c>
      <c r="K125" s="77">
        <f t="shared" ref="K125" si="54">IF(K$4="","",K124/Market_Price)</f>
        <v>5.4020553782972366E-2</v>
      </c>
      <c r="L125" s="77">
        <f t="shared" ref="L125" si="55">IF(L$4="","",L124/Market_Price)</f>
        <v>4.1869111761359899E-2</v>
      </c>
      <c r="M125" s="77">
        <f t="shared" ref="M125" si="56">IF(M$4="","",M124/Market_Price)</f>
        <v>0.15676004780954789</v>
      </c>
      <c r="N125" s="77">
        <f t="shared" ref="N125" si="57">IF(N$4="","",N124/Market_Price)</f>
        <v>4.8721667283534546E-2</v>
      </c>
      <c r="O125" s="77">
        <f t="shared" ref="O125" si="58">IF(O$4="","",O124/Market_Price)</f>
        <v>-5.1376688569476775E-2</v>
      </c>
      <c r="P125" s="77">
        <f t="shared" ref="P125" si="59">IF(P$4="","",P124/Market_Price)</f>
        <v>7.4679368739679272E-2</v>
      </c>
      <c r="Q125" s="77" t="str">
        <f t="shared" ref="Q125" si="60">IF(Q$4="","",Q124/Market_Price)</f>
        <v/>
      </c>
    </row>
    <row r="126" spans="1:17" ht="15.75" customHeight="1">
      <c r="B126" s="2" t="s">
        <v>394</v>
      </c>
      <c r="C126" s="169"/>
      <c r="G126" s="23">
        <f>IF(G$4="","",(Data!C47*$C$3)/(Market_Price*Common_Shares))</f>
        <v>0.13073434713972584</v>
      </c>
      <c r="H126" s="23">
        <f>IF(H$4="","",(Data!D47*$C$3)/(Market_Price*Common_Shares))</f>
        <v>0.26962760218509729</v>
      </c>
      <c r="I126" s="23">
        <f>IF(I$4="","",(Data!E47*$C$3)/(Market_Price*Common_Shares))</f>
        <v>0.20428297236828658</v>
      </c>
      <c r="J126" s="23">
        <f>IF(J$4="","",(Data!F47*$C$3)/(Market_Price*Common_Shares))</f>
        <v>0.18641866645466831</v>
      </c>
      <c r="K126" s="23">
        <f>IF(K$4="","",(Data!G47*$C$3)/(Market_Price*Common_Shares))</f>
        <v>8.8489284619141184E-2</v>
      </c>
      <c r="L126" s="23">
        <f>IF(L$4="","",(Data!H47*$C$3)/(Market_Price*Common_Shares))</f>
        <v>8.5744398132900246E-2</v>
      </c>
      <c r="M126" s="23">
        <f>IF(M$4="","",(Data!I47*$C$3)/(Market_Price*Common_Shares))</f>
        <v>0.17356872721490954</v>
      </c>
      <c r="N126" s="23">
        <f>IF(N$4="","",(Data!J47*$C$3)/(Market_Price*Common_Shares))</f>
        <v>1.2210196363471169E-2</v>
      </c>
      <c r="O126" s="23">
        <f>IF(O$4="","",(Data!K47*$C$3)/(Market_Price*Common_Shares))</f>
        <v>-2.6878740729804319E-2</v>
      </c>
      <c r="P126" s="23">
        <f>IF(P$4="","",(Data!L47*$C$3)/(Market_Price*Common_Shares))</f>
        <v>9.5744625273988943E-2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1.09144815</v>
      </c>
      <c r="D11" t="str">
        <f>Thesis!C15</f>
        <v>CNY/HKD</v>
      </c>
      <c r="H11" s="120"/>
    </row>
    <row r="12" spans="2:8" ht="13.5" thickTop="1">
      <c r="B12" s="149" t="s">
        <v>102</v>
      </c>
      <c r="C12" s="111">
        <f>(C10*scaling_factor)/Common_Shares*Exchange_Rate</f>
        <v>3.1695996823122257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3.2830715479368604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3.1695996823122257</v>
      </c>
      <c r="C65" s="124">
        <f>C12</f>
        <v>3.1695996823122257</v>
      </c>
      <c r="D65" s="124">
        <f>C12</f>
        <v>3.1695996823122257</v>
      </c>
      <c r="E65" s="141">
        <f>C12</f>
        <v>3.1695996823122257</v>
      </c>
      <c r="F65" s="124">
        <f>C12</f>
        <v>3.1695996823122257</v>
      </c>
      <c r="H65" s="120"/>
    </row>
    <row r="66" spans="1:8" ht="13.15">
      <c r="A66" s="143">
        <f t="shared" ref="A66:A71" si="3">A56</f>
        <v>5</v>
      </c>
      <c r="B66" s="124">
        <f t="shared" ref="B66:F71" si="4">(B56-$C$7+$C$8+$C$9)/Common_Shares*$C$3*Exchange_Rate</f>
        <v>3.1142143014515695</v>
      </c>
      <c r="C66" s="124">
        <f t="shared" si="4"/>
        <v>3.1695996823122252</v>
      </c>
      <c r="D66" s="124">
        <f t="shared" si="4"/>
        <v>3.2265741010013587</v>
      </c>
      <c r="E66" s="124">
        <f t="shared" si="4"/>
        <v>3.255679218694687</v>
      </c>
      <c r="F66" s="124">
        <f t="shared" si="4"/>
        <v>3.3151705223348111</v>
      </c>
      <c r="H66" s="120"/>
    </row>
    <row r="67" spans="1:8" ht="13.15">
      <c r="A67" s="143">
        <f t="shared" si="3"/>
        <v>10</v>
      </c>
      <c r="B67" s="124">
        <f t="shared" si="4"/>
        <v>3.0662098177957224</v>
      </c>
      <c r="C67" s="124">
        <f t="shared" si="4"/>
        <v>3.1695996823122252</v>
      </c>
      <c r="D67" s="124">
        <f t="shared" si="4"/>
        <v>3.28307154793686</v>
      </c>
      <c r="E67" s="124">
        <f t="shared" si="4"/>
        <v>3.3439638448807414</v>
      </c>
      <c r="F67" s="124">
        <f t="shared" si="4"/>
        <v>3.4748864630140766</v>
      </c>
      <c r="H67" s="120"/>
    </row>
    <row r="68" spans="1:8" ht="13.15">
      <c r="A68" s="143">
        <f t="shared" si="3"/>
        <v>15</v>
      </c>
      <c r="B68" s="124">
        <f t="shared" si="4"/>
        <v>3.0110775156613983</v>
      </c>
      <c r="C68" s="124">
        <f t="shared" si="4"/>
        <v>3.1695996823122252</v>
      </c>
      <c r="D68" s="124">
        <f t="shared" si="4"/>
        <v>3.3546039319697947</v>
      </c>
      <c r="E68" s="124">
        <f t="shared" si="4"/>
        <v>3.4586498418320959</v>
      </c>
      <c r="F68" s="124">
        <f t="shared" si="4"/>
        <v>3.693612305956619</v>
      </c>
      <c r="H68" s="120"/>
    </row>
    <row r="69" spans="1:8" ht="13.15">
      <c r="A69" s="144">
        <f t="shared" si="3"/>
        <v>20</v>
      </c>
      <c r="B69" s="124">
        <f t="shared" si="4"/>
        <v>2.9590151286967679</v>
      </c>
      <c r="C69" s="124">
        <f t="shared" si="4"/>
        <v>3.1695996823122252</v>
      </c>
      <c r="D69" s="124">
        <f t="shared" si="4"/>
        <v>3.4291776093420658</v>
      </c>
      <c r="E69" s="124">
        <f t="shared" si="4"/>
        <v>3.5814868808662288</v>
      </c>
      <c r="F69" s="124">
        <f t="shared" si="4"/>
        <v>3.9415128864453712</v>
      </c>
      <c r="H69" s="120"/>
    </row>
    <row r="70" spans="1:8" ht="13.15">
      <c r="A70" s="144">
        <f t="shared" si="3"/>
        <v>25</v>
      </c>
      <c r="B70" s="124">
        <f t="shared" si="4"/>
        <v>2.9141501365081304</v>
      </c>
      <c r="C70" s="124">
        <f t="shared" si="4"/>
        <v>3.1695996823122248</v>
      </c>
      <c r="D70" s="124">
        <f t="shared" si="4"/>
        <v>3.500154538718371</v>
      </c>
      <c r="E70" s="124">
        <f t="shared" si="4"/>
        <v>3.7017335329651089</v>
      </c>
      <c r="F70" s="124">
        <f t="shared" si="4"/>
        <v>4.1991303362620824</v>
      </c>
    </row>
    <row r="71" spans="1:8" ht="13.15">
      <c r="A71" s="144">
        <f t="shared" si="3"/>
        <v>30</v>
      </c>
      <c r="B71" s="124">
        <f t="shared" si="4"/>
        <v>2.8774838812245926</v>
      </c>
      <c r="C71" s="124">
        <f t="shared" si="4"/>
        <v>3.1695996823122248</v>
      </c>
      <c r="D71" s="124">
        <f t="shared" si="4"/>
        <v>3.5642308174832973</v>
      </c>
      <c r="E71" s="124">
        <f t="shared" si="4"/>
        <v>3.8134993461187894</v>
      </c>
      <c r="F71" s="124">
        <f t="shared" si="4"/>
        <v>4.4540882170479446</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3.693612305956619</v>
      </c>
      <c r="F74" s="142">
        <f>Scenarios!C58</f>
        <v>0.05</v>
      </c>
    </row>
    <row r="75" spans="1:8">
      <c r="B75" s="127" t="str">
        <f>Scenarios!B36</f>
        <v>Optimistic</v>
      </c>
      <c r="C75" s="142">
        <f>Scenarios!C38</f>
        <v>0.03</v>
      </c>
      <c r="D75" s="145">
        <f>Scenarios!C37</f>
        <v>10</v>
      </c>
      <c r="E75" s="135">
        <f>INDEX(B$65:F$71, MATCH(D75, A$65:A$71, 0), MATCH(C75, B$64:F$64, 0))</f>
        <v>3.3439638448807414</v>
      </c>
      <c r="F75" s="142">
        <f>Scenarios!C40*(1-F$74-F$78)</f>
        <v>0.18</v>
      </c>
      <c r="H75" s="120"/>
    </row>
    <row r="76" spans="1:8">
      <c r="B76" s="127" t="str">
        <f>Scenarios!B24</f>
        <v>Base</v>
      </c>
      <c r="C76" s="142">
        <f>Scenarios!C26</f>
        <v>0.02</v>
      </c>
      <c r="D76" s="145">
        <f>Scenarios!C25</f>
        <v>10</v>
      </c>
      <c r="E76" s="135">
        <f>INDEX(B$65:F$71, MATCH(D76, A$65:A$71, 0), MATCH(C76, B$64:F$64, 0))</f>
        <v>3.28307154793686</v>
      </c>
      <c r="F76" s="142">
        <f>Scenarios!C28*(1-F$74-F$78)</f>
        <v>0.53999999999999992</v>
      </c>
      <c r="H76" s="120"/>
    </row>
    <row r="77" spans="1:8">
      <c r="B77" s="127" t="str">
        <f>Scenarios!B30</f>
        <v>Pessimistic</v>
      </c>
      <c r="C77" s="142">
        <f>Scenarios!C32</f>
        <v>0</v>
      </c>
      <c r="D77" s="145">
        <f>Scenarios!C31</f>
        <v>10</v>
      </c>
      <c r="E77" s="135">
        <f>INDEX(B$65:F$71, MATCH(D77, A$65:A$71, 0), MATCH(C77, B$64:F$64, 0))</f>
        <v>3.1695996823122252</v>
      </c>
      <c r="F77" s="142">
        <f>Scenarios!C34*(1-F$74-F$78)</f>
        <v>0.18</v>
      </c>
      <c r="H77" s="120"/>
    </row>
    <row r="78" spans="1:8">
      <c r="B78" s="127" t="str">
        <f>Scenarios!B48</f>
        <v>Devil's advocate</v>
      </c>
      <c r="C78" s="142">
        <f>Scenarios!C50</f>
        <v>-0.02</v>
      </c>
      <c r="D78" s="145">
        <f>Scenarios!C49</f>
        <v>15</v>
      </c>
      <c r="E78" s="135">
        <f>INDEX(B$65:F$71, MATCH(D78, A$65:A$71, 0), MATCH(C78, B$64:F$64, 0))</f>
        <v>3.0110775156613983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1.4552642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-0.02</v>
      </c>
      <c r="C50" s="131">
        <f>C72</f>
        <v>0</v>
      </c>
      <c r="D50" s="131">
        <f>C71</f>
        <v>0.02</v>
      </c>
      <c r="E50" s="131">
        <f>C70</f>
        <v>0.03</v>
      </c>
      <c r="F50" s="131">
        <f>C69</f>
        <v>0.05</v>
      </c>
      <c r="H50" s="120"/>
    </row>
    <row r="51" spans="1:8" ht="13.15">
      <c r="A51" s="143">
        <v>5</v>
      </c>
      <c r="B51" s="123">
        <f t="dataTable" ref="B51:F56" dt2D="1" dtr="1" r1="C11" r2="C12"/>
        <v>5957188.9942895714</v>
      </c>
      <c r="C51" s="123">
        <v>6146666.666666667</v>
      </c>
      <c r="D51" s="123">
        <v>6341580.560378354</v>
      </c>
      <c r="E51" s="123">
        <v>6441151.4194949139</v>
      </c>
      <c r="F51" s="123">
        <v>6644675.7713228762</v>
      </c>
      <c r="H51" s="120"/>
    </row>
    <row r="52" spans="1:8" ht="13.15">
      <c r="A52" s="143">
        <v>10</v>
      </c>
      <c r="B52" s="123">
        <v>5792961.9422149733</v>
      </c>
      <c r="C52" s="123">
        <v>6146666.6666666679</v>
      </c>
      <c r="D52" s="123">
        <v>6534862.6968237124</v>
      </c>
      <c r="E52" s="123">
        <v>6743179.9551206185</v>
      </c>
      <c r="F52" s="123">
        <v>7191076.3595496453</v>
      </c>
      <c r="H52" s="120"/>
    </row>
    <row r="53" spans="1:8" ht="13.15">
      <c r="A53" s="143">
        <v>15</v>
      </c>
      <c r="B53" s="123">
        <v>5604350.0717380913</v>
      </c>
      <c r="C53" s="123">
        <v>6146666.6666666679</v>
      </c>
      <c r="D53" s="123">
        <v>6779580.5161386179</v>
      </c>
      <c r="E53" s="123">
        <v>7135529.622468059</v>
      </c>
      <c r="F53" s="123">
        <v>7939354.3882543659</v>
      </c>
      <c r="H53" s="120"/>
    </row>
    <row r="54" spans="1:8" ht="13.15">
      <c r="A54" s="144">
        <v>20</v>
      </c>
      <c r="B54" s="123">
        <v>5426240.6185364891</v>
      </c>
      <c r="C54" s="123">
        <v>6146666.6666666679</v>
      </c>
      <c r="D54" s="123">
        <v>7034702.8352330457</v>
      </c>
      <c r="E54" s="123">
        <v>7555764.6353217121</v>
      </c>
      <c r="F54" s="123">
        <v>8787441.4509779438</v>
      </c>
      <c r="H54" s="120"/>
    </row>
    <row r="55" spans="1:8" ht="13.15">
      <c r="A55" s="144">
        <v>25</v>
      </c>
      <c r="B55" s="123">
        <v>5272754.0096331891</v>
      </c>
      <c r="C55" s="123">
        <v>6146666.6666666688</v>
      </c>
      <c r="D55" s="123">
        <v>7277520.401199257</v>
      </c>
      <c r="E55" s="123">
        <v>7967137.7340850271</v>
      </c>
      <c r="F55" s="123">
        <v>9668770.675341364</v>
      </c>
      <c r="H55" s="120"/>
    </row>
    <row r="56" spans="1:8" ht="13.15">
      <c r="A56" s="144">
        <v>30</v>
      </c>
      <c r="B56" s="123">
        <v>5147315.9139127973</v>
      </c>
      <c r="C56" s="123">
        <v>6146666.6666666688</v>
      </c>
      <c r="D56" s="123">
        <v>7496730.3076095767</v>
      </c>
      <c r="E56" s="123">
        <v>8349497.2267636582</v>
      </c>
      <c r="F56" s="123">
        <v>10541001.308313685</v>
      </c>
      <c r="H56" s="120"/>
    </row>
    <row r="57" spans="1:8">
      <c r="C57" s="114"/>
      <c r="D57" s="114"/>
      <c r="E57" s="114"/>
      <c r="F57" s="114"/>
      <c r="H57" s="120"/>
    </row>
    <row r="58" spans="1:8" ht="13.15">
      <c r="B58" s="119" t="s">
        <v>130</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1.4552642</v>
      </c>
      <c r="C60" s="124">
        <f>C7</f>
        <v>1.4552642</v>
      </c>
      <c r="D60" s="124">
        <f>C7</f>
        <v>1.4552642</v>
      </c>
      <c r="E60" s="141">
        <f>C7</f>
        <v>1.4552642</v>
      </c>
      <c r="F60" s="124">
        <f>C7</f>
        <v>1.4552642</v>
      </c>
      <c r="H60" s="120"/>
    </row>
    <row r="61" spans="1:8" ht="13.15">
      <c r="A61" s="143">
        <f t="shared" ref="A61:A66" si="3">A51</f>
        <v>5</v>
      </c>
      <c r="B61" s="124">
        <f t="shared" ref="B61:F66" si="4">B51/Common_Shares*$C$3*Exchange_Rate</f>
        <v>1.4104041013053608</v>
      </c>
      <c r="C61" s="124">
        <f t="shared" si="4"/>
        <v>1.4552642</v>
      </c>
      <c r="D61" s="124">
        <f t="shared" si="4"/>
        <v>1.5014113602388106</v>
      </c>
      <c r="E61" s="124">
        <f t="shared" si="4"/>
        <v>1.5249854231404767</v>
      </c>
      <c r="F61" s="124">
        <f t="shared" si="4"/>
        <v>1.5731711665857215</v>
      </c>
      <c r="H61" s="120"/>
    </row>
    <row r="62" spans="1:8" ht="13.15">
      <c r="A62" s="143">
        <f t="shared" si="3"/>
        <v>10</v>
      </c>
      <c r="B62" s="124">
        <f t="shared" si="4"/>
        <v>1.3715222548483599</v>
      </c>
      <c r="C62" s="124">
        <f t="shared" si="4"/>
        <v>1.4552642</v>
      </c>
      <c r="D62" s="124">
        <f t="shared" si="4"/>
        <v>1.5471721910959331</v>
      </c>
      <c r="E62" s="124">
        <f t="shared" si="4"/>
        <v>1.5964926870137703</v>
      </c>
      <c r="F62" s="124">
        <f t="shared" si="4"/>
        <v>1.7025351386419079</v>
      </c>
      <c r="H62" s="120"/>
    </row>
    <row r="63" spans="1:8" ht="13.15">
      <c r="A63" s="143">
        <f t="shared" si="3"/>
        <v>15</v>
      </c>
      <c r="B63" s="124">
        <f t="shared" si="4"/>
        <v>1.3268671405099579</v>
      </c>
      <c r="C63" s="124">
        <f t="shared" si="4"/>
        <v>1.4552642</v>
      </c>
      <c r="D63" s="124">
        <f t="shared" si="4"/>
        <v>1.6051107618471887</v>
      </c>
      <c r="E63" s="124">
        <f t="shared" si="4"/>
        <v>1.6893840793303605</v>
      </c>
      <c r="F63" s="124">
        <f t="shared" si="4"/>
        <v>1.8796949369315854</v>
      </c>
      <c r="H63" s="120"/>
    </row>
    <row r="64" spans="1:8" ht="13.15">
      <c r="A64" s="144">
        <f t="shared" si="3"/>
        <v>20</v>
      </c>
      <c r="B64" s="124">
        <f t="shared" si="4"/>
        <v>1.2846985432877456</v>
      </c>
      <c r="C64" s="124">
        <f t="shared" si="4"/>
        <v>1.4552642</v>
      </c>
      <c r="D64" s="124">
        <f t="shared" si="4"/>
        <v>1.6655126670964993</v>
      </c>
      <c r="E64" s="124">
        <f t="shared" si="4"/>
        <v>1.7888775125937759</v>
      </c>
      <c r="F64" s="124">
        <f t="shared" si="4"/>
        <v>2.0804851876145753</v>
      </c>
      <c r="H64" s="120"/>
    </row>
    <row r="65" spans="1:8" ht="13.15">
      <c r="A65" s="144">
        <f t="shared" si="3"/>
        <v>25</v>
      </c>
      <c r="B65" s="124">
        <f t="shared" si="4"/>
        <v>1.2483595681603528</v>
      </c>
      <c r="C65" s="124">
        <f t="shared" si="4"/>
        <v>1.4552642000000002</v>
      </c>
      <c r="D65" s="124">
        <f t="shared" si="4"/>
        <v>1.7230013402334459</v>
      </c>
      <c r="E65" s="124">
        <f t="shared" si="4"/>
        <v>1.8862728287770703</v>
      </c>
      <c r="F65" s="124">
        <f t="shared" si="4"/>
        <v>2.2891457410793019</v>
      </c>
    </row>
    <row r="66" spans="1:8" ht="13.15">
      <c r="A66" s="144">
        <f t="shared" si="3"/>
        <v>30</v>
      </c>
      <c r="B66" s="124">
        <f t="shared" si="4"/>
        <v>1.2186612650120783</v>
      </c>
      <c r="C66" s="124">
        <f t="shared" si="4"/>
        <v>1.4552642000000002</v>
      </c>
      <c r="D66" s="124">
        <f t="shared" si="4"/>
        <v>1.7749007430128856</v>
      </c>
      <c r="E66" s="124">
        <f t="shared" si="4"/>
        <v>1.976798980820244</v>
      </c>
      <c r="F66" s="124">
        <f t="shared" si="4"/>
        <v>2.4956521425393814</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1.8796949369315854</v>
      </c>
      <c r="F69" s="142">
        <f>Scenarios!C58</f>
        <v>0.05</v>
      </c>
    </row>
    <row r="70" spans="1:8">
      <c r="B70" s="127" t="str">
        <f>Scenarios!B36</f>
        <v>Optimistic</v>
      </c>
      <c r="C70" s="142">
        <f>Scenarios!C38</f>
        <v>0.03</v>
      </c>
      <c r="D70" s="145">
        <f>Scenarios!C37</f>
        <v>10</v>
      </c>
      <c r="E70" s="135">
        <f>INDEX(B$60:F$66, MATCH(D70, A$60:A$66, 0), MATCH(C70, B$59:F$59, 0))</f>
        <v>1.5964926870137703</v>
      </c>
      <c r="F70" s="142">
        <f>Scenarios!C40*(1-F$69-F$73)</f>
        <v>0.18</v>
      </c>
      <c r="H70" s="120"/>
    </row>
    <row r="71" spans="1:8">
      <c r="B71" s="127" t="str">
        <f>Scenarios!B24</f>
        <v>Base</v>
      </c>
      <c r="C71" s="142">
        <f>Scenarios!C26</f>
        <v>0.02</v>
      </c>
      <c r="D71" s="145">
        <f>Scenarios!C25</f>
        <v>10</v>
      </c>
      <c r="E71" s="135">
        <f>INDEX(B$60:F$66, MATCH(D71, A$60:A$66, 0), MATCH(C71, B$59:F$59, 0))</f>
        <v>1.5471721910959331</v>
      </c>
      <c r="F71" s="142">
        <f>Scenarios!C28*(1-F$69-F$73)</f>
        <v>0.53999999999999992</v>
      </c>
      <c r="H71" s="120"/>
    </row>
    <row r="72" spans="1:8">
      <c r="B72" s="127" t="str">
        <f>Scenarios!B30</f>
        <v>Pessimistic</v>
      </c>
      <c r="C72" s="142">
        <f>Scenarios!C32</f>
        <v>0</v>
      </c>
      <c r="D72" s="145">
        <f>Scenarios!C31</f>
        <v>10</v>
      </c>
      <c r="E72" s="135">
        <f>INDEX(B$60:F$66, MATCH(D72, A$60:A$66, 0), MATCH(C72, B$59:F$59, 0))</f>
        <v>1.4552642</v>
      </c>
      <c r="F72" s="142">
        <f>Scenarios!C34*(1-F$69-F$73)</f>
        <v>0.18</v>
      </c>
      <c r="H72" s="120"/>
    </row>
    <row r="73" spans="1:8">
      <c r="B73" s="127" t="str">
        <f>Scenarios!B48</f>
        <v>Devil's advocate</v>
      </c>
      <c r="C73" s="142">
        <f>Scenarios!C50</f>
        <v>-0.02</v>
      </c>
      <c r="D73" s="145">
        <f>Scenarios!C49</f>
        <v>15</v>
      </c>
      <c r="E73" s="135">
        <f>INDEX(B$60:F$66, MATCH(D73, A$60:A$66, 0), MATCH(C73, B$59:F$59, 0))</f>
        <v>1.3268671405099579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5" zoomScale="75" zoomScaleNormal="100" workbookViewId="0">
      <selection activeCell="C55" sqref="C5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-1.91</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3.380534561861539</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1.91</v>
      </c>
      <c r="D21" t="str">
        <f>Market_currency</f>
        <v>HKD</v>
      </c>
      <c r="E21" s="367"/>
      <c r="F21" s="367"/>
    </row>
    <row r="22" spans="2:6">
      <c r="B22" s="100" t="s">
        <v>278</v>
      </c>
      <c r="C22" s="160">
        <f>IF(valuation_method="DCF",DCF!C12,DDM!C7)</f>
        <v>3.1695996823122257</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3.28307154793686</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3.1695996823122252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3.3439638448807414</v>
      </c>
      <c r="D39" t="str">
        <f>Market_currency</f>
        <v>HKD</v>
      </c>
      <c r="E39" s="365"/>
      <c r="F39" s="365"/>
    </row>
    <row r="40" spans="2:6">
      <c r="B40" s="100" t="s">
        <v>147</v>
      </c>
      <c r="C40" s="167">
        <f>1-C28-C34</f>
        <v>0.2</v>
      </c>
      <c r="D40" s="165"/>
      <c r="E40" s="365"/>
      <c r="F40" s="365"/>
    </row>
    <row r="42" spans="2:6" ht="13.15">
      <c r="B42" s="100" t="s">
        <v>120</v>
      </c>
      <c r="C42" s="154">
        <f>C27*C28+C33*C34+C39*C40</f>
        <v>3.2725556342007094</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-0.02</v>
      </c>
      <c r="D50" s="164"/>
      <c r="E50" s="365"/>
      <c r="F50" s="365"/>
    </row>
    <row r="51" spans="2:6">
      <c r="B51" s="100" t="s">
        <v>113</v>
      </c>
      <c r="C51" s="160">
        <f>IF(valuation_method="DCF",DCF!E78,DDM!E73)</f>
        <v>3.0110775156613983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3.693612305956619</v>
      </c>
      <c r="D57" t="str">
        <f>Market_currency</f>
        <v>HKD</v>
      </c>
      <c r="E57" s="365"/>
      <c r="F57" s="365"/>
    </row>
    <row r="58" spans="2:6">
      <c r="B58" s="100" t="s">
        <v>147</v>
      </c>
      <c r="C58" s="165">
        <v>0.05</v>
      </c>
      <c r="D58" s="165"/>
      <c r="E58" s="365"/>
      <c r="F58" s="365"/>
    </row>
    <row r="60" spans="2:6" ht="13.15">
      <c r="B60" s="100" t="s">
        <v>120</v>
      </c>
      <c r="C60" s="154">
        <f>C51*C52+C57*C58+C42*(1-C52-C58)</f>
        <v>3.2805345618615389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3.2830715479368604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0.41849725809070237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1.2830922768937989</v>
      </c>
      <c r="D82" s="116"/>
    </row>
    <row r="83" spans="2:8" ht="13.15">
      <c r="B83" s="110" t="s">
        <v>101</v>
      </c>
      <c r="C83" s="111">
        <f>C81+C82</f>
        <v>1.4488182088302848</v>
      </c>
      <c r="D83" t="str">
        <f>Market_currency</f>
        <v>HKD</v>
      </c>
      <c r="E83" s="146" t="s">
        <v>126</v>
      </c>
      <c r="F83" s="291">
        <f>(1-C83/C60)</f>
        <v>0.55835910839843339</v>
      </c>
    </row>
    <row r="84" spans="2:8">
      <c r="E84" s="120"/>
    </row>
    <row r="85" spans="2:8" ht="13.15">
      <c r="B85" s="109" t="s">
        <v>302</v>
      </c>
    </row>
    <row r="86" spans="2:8">
      <c r="B86" s="148" t="s">
        <v>300</v>
      </c>
      <c r="C86" s="116">
        <f>Market_Price</f>
        <v>1.91</v>
      </c>
      <c r="D86" t="str">
        <f>Market_currency</f>
        <v>HKD</v>
      </c>
    </row>
    <row r="87" spans="2:8" ht="13.15">
      <c r="B87" s="100" t="s">
        <v>298</v>
      </c>
      <c r="C87" s="237">
        <f ca="1">IRR(OFFSET($I$3, 0, 0, $C$76 + 1, 1))</f>
        <v>0.24196346270587843</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1.8182128608204446</v>
      </c>
      <c r="D92" s="116"/>
    </row>
    <row r="93" spans="2:8" ht="13.15">
      <c r="B93" s="110" t="s">
        <v>101</v>
      </c>
      <c r="C93" s="111">
        <f>C91+C92</f>
        <v>2.0232529432069382</v>
      </c>
      <c r="D93" t="str">
        <f>Market_currency</f>
        <v>HKD</v>
      </c>
      <c r="E93" s="146" t="s">
        <v>126</v>
      </c>
      <c r="F93" s="291">
        <f>(1-C93/C60)</f>
        <v>0.38325510521101058</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2.6407009692120003</v>
      </c>
      <c r="D98" s="116"/>
      <c r="G98" s="2"/>
      <c r="H98" s="281"/>
    </row>
    <row r="99" spans="2:8" ht="13.15">
      <c r="B99" s="110" t="s">
        <v>398</v>
      </c>
      <c r="C99" s="111">
        <f>C97+C98</f>
        <v>2.9007535431991962</v>
      </c>
      <c r="D99" t="s">
        <v>396</v>
      </c>
      <c r="E99" s="146" t="s">
        <v>126</v>
      </c>
      <c r="F99" s="291">
        <f>(1-C99/C60)</f>
        <v>0.11576802850290224</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2.35135724185852</v>
      </c>
      <c r="D104" s="116"/>
    </row>
    <row r="105" spans="2:8" ht="13.15">
      <c r="B105" s="110" t="s">
        <v>398</v>
      </c>
      <c r="C105" s="111">
        <f>C103+C104</f>
        <v>2.5926175544523851</v>
      </c>
      <c r="D105" t="s">
        <v>396</v>
      </c>
      <c r="E105" s="146" t="s">
        <v>126</v>
      </c>
      <c r="F105" s="291">
        <f>(1-C105/C66)</f>
        <v>0.21030732452918022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