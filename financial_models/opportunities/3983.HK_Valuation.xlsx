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367985E-BD22-4E4A-A788-430D7641934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D67" i="8"/>
  <c r="F67" i="8"/>
  <c r="C70" i="8"/>
  <c r="E66" i="8"/>
  <c r="D71" i="8"/>
  <c r="D70" i="8"/>
  <c r="D68" i="8"/>
  <c r="C68" i="8"/>
  <c r="F70" i="8"/>
  <c r="B70" i="8"/>
  <c r="C66" i="8"/>
  <c r="E70" i="8"/>
  <c r="F71" i="8"/>
  <c r="E69" i="8"/>
  <c r="C69" i="8"/>
  <c r="B68" i="8"/>
  <c r="B67" i="8"/>
  <c r="D66" i="8"/>
  <c r="B66" i="8"/>
  <c r="G54" i="2"/>
  <c r="F69" i="8" l="1"/>
  <c r="E67" i="8"/>
  <c r="C67" i="8"/>
  <c r="C71"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<sst xmlns="http://schemas.openxmlformats.org/spreadsheetml/2006/main" count="626" uniqueCount="440">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</sst>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4610000000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1.97</v>
      </c>
      <c r="D12" s="50"/>
      <c r="E12" s="48"/>
    </row>
    <row r="13" spans="1:10">
      <c r="B13" s="1" t="s">
        <v>426</v>
      </c>
      <c r="C13" s="48" t="s">
        <v>404</v>
      </c>
      <c r="D13" s="48"/>
      <c r="E13" s="5"/>
    </row>
    <row r="14" spans="1:10">
      <c r="B14" s="4" t="s">
        <v>430</v>
      </c>
      <c r="C14" s="35">
        <f>Thesis!C12*Common_Shares/1000000</f>
        <v>9081.7000000000007</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1.06</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1.2806485026105419</v>
      </c>
      <c r="D25" s="1" t="s">
        <v>315</v>
      </c>
      <c r="E25" s="330">
        <v>3</v>
      </c>
    </row>
    <row r="26" spans="1:6">
      <c r="B26" s="1" t="s">
        <v>407</v>
      </c>
      <c r="C26" s="280">
        <f ca="1">Scenarios!C87</f>
        <v>0.20462519829719406</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928439.85014218651</v>
      </c>
      <c r="D35" s="1" t="str">
        <f>Reporting_currency</f>
        <v>CNY</v>
      </c>
    </row>
    <row r="36" spans="2:6">
      <c r="B36" s="47"/>
      <c r="C36" s="76"/>
    </row>
    <row r="37" spans="2:6" ht="24.4" customHeight="1">
      <c r="B37" s="346" t="s">
        <v>234</v>
      </c>
      <c r="C37" s="346"/>
      <c r="D37" s="346"/>
      <c r="E37" s="346"/>
      <c r="F37" s="346"/>
    </row>
    <row r="38" spans="2:6">
      <c r="B38" s="47" t="s">
        <v>235</v>
      </c>
      <c r="C38" s="188">
        <f>Normalized_FCF!C9</f>
        <v>0</v>
      </c>
      <c r="D38" s="1" t="str">
        <f>Reporting_currency</f>
        <v>CNY</v>
      </c>
    </row>
    <row r="39" spans="2:6">
      <c r="B39" s="52" t="s">
        <v>236</v>
      </c>
      <c r="C39" s="188">
        <f>Normalized_FCF!C10</f>
        <v>0</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57395.095749289067</v>
      </c>
      <c r="D45" s="1" t="str">
        <f>Reporting_currency</f>
        <v>CNY</v>
      </c>
      <c r="E45" s="321"/>
      <c r="F45" s="321"/>
    </row>
    <row r="46" spans="2:6">
      <c r="B46" s="47" t="s">
        <v>349</v>
      </c>
      <c r="C46" s="322">
        <f>Normalized_FCF!C47</f>
        <v>-52759</v>
      </c>
      <c r="D46" s="1" t="str">
        <f>Reporting_currency</f>
        <v>CNY</v>
      </c>
      <c r="E46" s="321"/>
      <c r="F46" s="321"/>
    </row>
    <row r="47" spans="2:6">
      <c r="B47" s="47" t="s">
        <v>239</v>
      </c>
      <c r="C47" s="188">
        <f>Normalized_FCF!C12</f>
        <v>4636.0957492890666</v>
      </c>
      <c r="D47" s="1" t="str">
        <f>Reporting_currency</f>
        <v>CNY</v>
      </c>
    </row>
    <row r="49" spans="2:6">
      <c r="B49" s="1" t="s">
        <v>247</v>
      </c>
    </row>
    <row r="50" spans="2:6">
      <c r="B50" s="47" t="s">
        <v>266</v>
      </c>
      <c r="C50" s="188">
        <f>Normalized_FCF!C15</f>
        <v>-130645.02443131036</v>
      </c>
      <c r="D50" s="1" t="str">
        <f>Reporting_currency</f>
        <v>CNY</v>
      </c>
    </row>
    <row r="52" spans="2:6">
      <c r="B52" s="346" t="s">
        <v>242</v>
      </c>
      <c r="C52" s="346"/>
      <c r="D52" s="346"/>
      <c r="E52" s="346"/>
      <c r="F52" s="346"/>
    </row>
    <row r="53" spans="2:6">
      <c r="B53" s="47" t="s">
        <v>240</v>
      </c>
      <c r="C53" s="188">
        <f>Normalized_FCF!C14</f>
        <v>-233268.98647286888</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632498.42340470827</v>
      </c>
      <c r="D61" s="1" t="str">
        <f>Reporting_currency</f>
        <v>CNY</v>
      </c>
    </row>
    <row r="62" spans="2:6">
      <c r="B62" s="47" t="s">
        <v>249</v>
      </c>
      <c r="C62" s="188">
        <f>Normalized_FCF!C19</f>
        <v>569161.93498729635</v>
      </c>
      <c r="D62" s="1" t="str">
        <f>Reporting_currency</f>
        <v>CNY</v>
      </c>
    </row>
    <row r="63" spans="2:6">
      <c r="B63" s="254" t="s">
        <v>398</v>
      </c>
      <c r="C63" s="92">
        <f>Normalized_FCF!C125</f>
        <v>6.6431576806824072E-2</v>
      </c>
    </row>
    <row r="64" spans="2:6">
      <c r="B64" s="254" t="s">
        <v>316</v>
      </c>
      <c r="C64" s="92">
        <f>Normalized_FCF!C93</f>
        <v>5.0761421319796961E-2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1.6358775788680426</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2119124</v>
      </c>
      <c r="D91" s="1" t="str">
        <f>Reporting_currency</f>
        <v>CNY</v>
      </c>
    </row>
    <row r="92" spans="1:6">
      <c r="B92" s="47" t="s">
        <v>285</v>
      </c>
      <c r="C92" s="248">
        <f>C91*scaling_factor*Exchange_Rate/Common_Shares</f>
        <v>0.48726061605206072</v>
      </c>
      <c r="D92" s="1" t="str">
        <f>Market_currency</f>
        <v>HKD</v>
      </c>
    </row>
    <row r="93" spans="1:6">
      <c r="B93" s="336" t="s">
        <v>412</v>
      </c>
      <c r="C93" s="337">
        <f>BS!G30/BS!G27</f>
        <v>0.23422582328431374</v>
      </c>
    </row>
    <row r="94" spans="1:6">
      <c r="B94" s="336" t="s">
        <v>413</v>
      </c>
      <c r="C94" s="337">
        <f>BS!G31/BS!G27</f>
        <v>0.10863424600069688</v>
      </c>
    </row>
    <row r="95" spans="1:6">
      <c r="B95" s="336" t="s">
        <v>415</v>
      </c>
      <c r="C95" s="338">
        <f>BS!C50</f>
        <v>2.2824569622635926</v>
      </c>
    </row>
    <row r="97" spans="1:6">
      <c r="B97" s="1" t="s">
        <v>255</v>
      </c>
    </row>
    <row r="98" spans="1:6">
      <c r="B98" s="47" t="s">
        <v>265</v>
      </c>
      <c r="C98" s="188">
        <f>BS!C66</f>
        <v>11691643</v>
      </c>
      <c r="D98" s="1" t="str">
        <f>Reporting_currency</f>
        <v>CNY</v>
      </c>
    </row>
    <row r="99" spans="1:6">
      <c r="B99" s="47" t="s">
        <v>267</v>
      </c>
      <c r="C99" s="188">
        <f>Valuation_Model!C8</f>
        <v>7865303.2833807282</v>
      </c>
      <c r="D99" s="1" t="str">
        <f>Reporting_currency</f>
        <v>CNY</v>
      </c>
    </row>
    <row r="100" spans="1:6">
      <c r="B100" s="47" t="s">
        <v>286</v>
      </c>
      <c r="C100" s="248">
        <f>C99*scaling_factor*Exchange_Rate/Common_Shares</f>
        <v>1.8085079133153084</v>
      </c>
      <c r="D100" s="1" t="str">
        <f>Market_currency</f>
        <v>HKD</v>
      </c>
    </row>
    <row r="102" spans="1:6">
      <c r="B102" s="1" t="s">
        <v>257</v>
      </c>
    </row>
    <row r="103" spans="1:6">
      <c r="B103" s="47" t="s">
        <v>258</v>
      </c>
      <c r="C103" s="188">
        <f>Valuation_Model!C9</f>
        <v>52579.6</v>
      </c>
      <c r="D103" s="1" t="str">
        <f>Reporting_currency</f>
        <v>CNY</v>
      </c>
    </row>
    <row r="104" spans="1:6">
      <c r="B104" s="47" t="s">
        <v>287</v>
      </c>
      <c r="C104" s="248">
        <f>C103*scaling_factor*Exchange_Rate/Common_Shares</f>
        <v>1.20898863340564E-2</v>
      </c>
      <c r="D104" s="1" t="str">
        <f>Market_currency</f>
        <v>HKD</v>
      </c>
    </row>
    <row r="106" spans="1:6" ht="24.4" customHeight="1">
      <c r="B106" s="345" t="s">
        <v>374</v>
      </c>
      <c r="C106" s="345"/>
      <c r="D106" s="345"/>
      <c r="E106" s="345"/>
      <c r="F106" s="345"/>
    </row>
    <row r="108" spans="1:6">
      <c r="B108" s="47" t="s">
        <v>283</v>
      </c>
      <c r="C108" s="248">
        <f>Valuation_Model!C12</f>
        <v>2.9692147624653469</v>
      </c>
      <c r="D108" s="1" t="str">
        <f>Market_currency</f>
        <v>HKD</v>
      </c>
    </row>
    <row r="109" spans="1:6">
      <c r="B109" s="336" t="s">
        <v>414</v>
      </c>
      <c r="C109" s="248">
        <f>BS!D47</f>
        <v>1.7907626778741865</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0.03</v>
      </c>
      <c r="D116" s="257">
        <f>Valuation_Model!D74</f>
        <v>15</v>
      </c>
      <c r="E116" s="258" t="str">
        <f>ROUND(Valuation_Model!E74,2)&amp;" "&amp;Market_currency</f>
        <v>3.24 HKD</v>
      </c>
      <c r="F116" s="259">
        <f>Valuation_Model!F74</f>
        <v>0.05</v>
      </c>
    </row>
    <row r="117" spans="1:6">
      <c r="B117" s="242" t="str">
        <f>Valuation_Model!B75</f>
        <v>Optimistic</v>
      </c>
      <c r="C117" s="243">
        <f>Valuation_Model!C75</f>
        <v>0.03</v>
      </c>
      <c r="D117" s="244">
        <f>Valuation_Model!D75</f>
        <v>10</v>
      </c>
      <c r="E117" s="245" t="str">
        <f>ROUND(Valuation_Model!E75,2)&amp;" "&amp;Market_currency</f>
        <v>3.13 HKD</v>
      </c>
      <c r="F117" s="246">
        <f>Valuation_Model!F75</f>
        <v>0.18</v>
      </c>
    </row>
    <row r="118" spans="1:6">
      <c r="B118" s="242" t="str">
        <f>Valuation_Model!B76</f>
        <v>Base</v>
      </c>
      <c r="C118" s="243">
        <f>Valuation_Model!C76</f>
        <v>0.02</v>
      </c>
      <c r="D118" s="244">
        <f>Valuation_Model!D76</f>
        <v>10</v>
      </c>
      <c r="E118" s="245" t="str">
        <f>ROUND(Valuation_Model!E76,2)&amp;" "&amp;Market_currency</f>
        <v>3.07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3.02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2.97 HKD</v>
      </c>
      <c r="F120" s="246">
        <f>Valuation_Model!F78</f>
        <v>0.05</v>
      </c>
    </row>
    <row r="122" spans="1:6">
      <c r="B122" s="235" t="s">
        <v>259</v>
      </c>
      <c r="C122" s="241">
        <f>Scenarios!C60</f>
        <v>3.0780994911633259</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0.1</v>
      </c>
      <c r="D133" s="236" t="str">
        <f>Market_currency</f>
        <v>HKD</v>
      </c>
    </row>
    <row r="135" spans="2:6">
      <c r="B135" s="234" t="s">
        <v>418</v>
      </c>
      <c r="C135" s="270" t="str">
        <f>C11</f>
        <v>3983.HK</v>
      </c>
      <c r="D135" s="270" t="str">
        <f>IF(D11="","",D11)</f>
        <v/>
      </c>
    </row>
    <row r="136" spans="2:6">
      <c r="B136" s="1" t="s">
        <v>416</v>
      </c>
      <c r="C136" s="337">
        <f>C24</f>
        <v>0.4</v>
      </c>
    </row>
    <row r="137" spans="2:6">
      <c r="B137" s="236" t="str">
        <f>"PV("&amp;C131&amp;" yrs of Dividends)"</f>
        <v>PV(3 yrs of Dividends)</v>
      </c>
      <c r="C137" s="240">
        <f>Scenarios!C81</f>
        <v>0.15889212827988333</v>
      </c>
    </row>
    <row r="138" spans="2:6">
      <c r="B138" s="236" t="str">
        <f>"+ PV(Equity Value realized at year "&amp;C131&amp;")"</f>
        <v>+ PV(Equity Value realized at year 3)</v>
      </c>
      <c r="C138" s="240">
        <f>Scenarios!C82</f>
        <v>1.1217563743306584</v>
      </c>
    </row>
    <row r="139" spans="2:6">
      <c r="B139" s="80" t="s">
        <v>261</v>
      </c>
      <c r="C139" s="239">
        <f>Scenarios!C83</f>
        <v>1.2806485026105419</v>
      </c>
      <c r="D139" s="342" t="str">
        <f>IF($D$11="","",C139*$E$22)</f>
        <v/>
      </c>
    </row>
    <row r="140" spans="2:6">
      <c r="B140" s="290" t="s">
        <v>426</v>
      </c>
      <c r="C140" s="340" t="str">
        <f>Market_currency</f>
        <v>HKD</v>
      </c>
      <c r="D140" s="340" t="str">
        <f>IF($D$11="","",D$13)</f>
        <v/>
      </c>
    </row>
    <row r="141" spans="2:6">
      <c r="B141" s="238" t="s">
        <v>263</v>
      </c>
      <c r="C141" s="92">
        <f>Scenarios!F83</f>
        <v>0.5839483076206422</v>
      </c>
    </row>
    <row r="143" spans="2:6">
      <c r="B143" s="234" t="s">
        <v>421</v>
      </c>
    </row>
    <row r="144" spans="2:6">
      <c r="B144" s="1" t="s">
        <v>420</v>
      </c>
      <c r="C144" s="337">
        <f>Scenarios!C90</f>
        <v>0.2</v>
      </c>
    </row>
    <row r="145" spans="1:6">
      <c r="B145" s="236" t="str">
        <f>"PV("&amp;C131&amp;" yrs of Dividends)"</f>
        <v>PV(3 yrs of Dividends)</v>
      </c>
      <c r="C145" s="240">
        <f>Scenarios!C91</f>
        <v>0.21064814814814814</v>
      </c>
    </row>
    <row r="146" spans="1:6">
      <c r="B146" s="236" t="str">
        <f>"+ PV(Equity Value realized at year "&amp;C131&amp;")"</f>
        <v>+ PV(Equity Value realized at year 3)</v>
      </c>
      <c r="C146" s="240">
        <f>Scenarios!C92</f>
        <v>1.7813075759047026</v>
      </c>
    </row>
    <row r="147" spans="1:6">
      <c r="B147" s="80" t="s">
        <v>261</v>
      </c>
      <c r="C147" s="239">
        <f>Scenarios!C93</f>
        <v>1.9919557240528507</v>
      </c>
      <c r="D147" s="342" t="str">
        <f>IF($D$11="","",C147*$E$22)</f>
        <v/>
      </c>
    </row>
    <row r="148" spans="1:6">
      <c r="B148" s="290" t="s">
        <v>426</v>
      </c>
      <c r="C148" s="340" t="str">
        <f>Market_currency</f>
        <v>HKD</v>
      </c>
      <c r="D148" s="340" t="str">
        <f>IF($D$11="","",D$13)</f>
        <v/>
      </c>
    </row>
    <row r="149" spans="1:6">
      <c r="B149" s="238" t="s">
        <v>263</v>
      </c>
      <c r="C149" s="92">
        <f>Scenarios!F93</f>
        <v>0.35286181302085917</v>
      </c>
    </row>
    <row r="151" spans="1:6">
      <c r="B151" s="234" t="s">
        <v>408</v>
      </c>
    </row>
    <row r="152" spans="1:6">
      <c r="B152" s="1" t="s">
        <v>419</v>
      </c>
      <c r="C152" s="92">
        <f>Scenarios!C96</f>
        <v>0.08</v>
      </c>
    </row>
    <row r="153" spans="1:6">
      <c r="B153" s="236" t="str">
        <f>"PV("&amp;C131&amp;" yrs of Dividends)"</f>
        <v>PV(3 yrs of Dividends)</v>
      </c>
      <c r="C153" s="240">
        <f>Scenarios!C97</f>
        <v>0.25770969872478805</v>
      </c>
    </row>
    <row r="154" spans="1:6">
      <c r="B154" s="236" t="str">
        <f>"+ PV(Equity Value realized at year "&amp;C131&amp;")"</f>
        <v>+ PV(Equity Value realized at year 3)</v>
      </c>
      <c r="C154" s="240">
        <f>Scenarios!C98</f>
        <v>2.4434946171532266</v>
      </c>
    </row>
    <row r="155" spans="1:6">
      <c r="B155" s="80" t="s">
        <v>409</v>
      </c>
      <c r="C155" s="239">
        <f>Scenarios!C99</f>
        <v>2.7012043158780146</v>
      </c>
      <c r="D155" s="342" t="str">
        <f>IF($D$11="","",C155*$E$22)</f>
        <v/>
      </c>
    </row>
    <row r="156" spans="1:6">
      <c r="B156" s="290" t="s">
        <v>426</v>
      </c>
      <c r="C156" s="340" t="str">
        <f>Market_currency</f>
        <v>HKD</v>
      </c>
      <c r="D156" s="340" t="str">
        <f>IF($D$11="","",D$13)</f>
        <v/>
      </c>
    </row>
    <row r="157" spans="1:6">
      <c r="B157" s="238" t="s">
        <v>263</v>
      </c>
      <c r="C157" s="92">
        <f>Scenarios!F99</f>
        <v>0.12244411734166172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381</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380</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0.12804800000000002</v>
      </c>
      <c r="D25" s="39">
        <f>0.207*Exchange_Rate</f>
        <v>0.21942</v>
      </c>
      <c r="E25" s="39">
        <f>0.178*Exchange_Rate</f>
        <v>0.18868000000000001</v>
      </c>
      <c r="F25" s="39">
        <f>0.155*Exchange_Rate</f>
        <v>0.1643</v>
      </c>
      <c r="G25" s="39">
        <f>0.08*Exchange_Rate</f>
        <v>8.48E-2</v>
      </c>
      <c r="H25" s="39">
        <f>0.076*Exchange_Rate</f>
        <v>8.0560000000000007E-2</v>
      </c>
      <c r="I25" s="39">
        <f>0.15*Exchange_Rate</f>
        <v>0.159</v>
      </c>
      <c r="J25" s="39">
        <f>0.005*Exchange_Rate</f>
        <v>5.3E-3</v>
      </c>
      <c r="K25" s="39">
        <f>0.05*Exchange_Rate</f>
        <v>5.3000000000000005E-2</v>
      </c>
      <c r="L25" s="39">
        <f>0.08*Exchange_Rate</f>
        <v>8.48E-2</v>
      </c>
      <c r="M25" s="39"/>
    </row>
    <row r="27" spans="2:13">
      <c r="B27" s="16" t="s">
        <v>28</v>
      </c>
      <c r="C27" s="97" t="s">
        <v>437</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0.12804800000000002</v>
      </c>
      <c r="D65" s="73">
        <f t="shared" ref="D65:M65" si="33">IF(D$4="","",D25)</f>
        <v>0.21942</v>
      </c>
      <c r="E65" s="73">
        <f t="shared" si="33"/>
        <v>0.18868000000000001</v>
      </c>
      <c r="F65" s="73">
        <f t="shared" si="33"/>
        <v>0.1643</v>
      </c>
      <c r="G65" s="73">
        <f t="shared" si="33"/>
        <v>8.48E-2</v>
      </c>
      <c r="H65" s="73">
        <f t="shared" si="33"/>
        <v>8.0560000000000007E-2</v>
      </c>
      <c r="I65" s="73">
        <f t="shared" si="33"/>
        <v>0.159</v>
      </c>
      <c r="J65" s="73">
        <f t="shared" si="33"/>
        <v>5.3E-3</v>
      </c>
      <c r="K65" s="73">
        <f t="shared" si="33"/>
        <v>5.3000000000000005E-2</v>
      </c>
      <c r="L65" s="73">
        <f t="shared" si="33"/>
        <v>8.48E-2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5"/>
      <c r="J77" s="335"/>
      <c r="K77" s="335"/>
      <c r="L77" s="335"/>
      <c r="M77" s="335"/>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5"/>
      <c r="J78" s="335"/>
      <c r="K78" s="335"/>
      <c r="L78" s="335"/>
      <c r="M78" s="335"/>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4">
        <v>0.6</v>
      </c>
      <c r="E4" s="25"/>
      <c r="F4" s="4" t="s">
        <v>78</v>
      </c>
      <c r="G4" s="19">
        <f>11000000+679928</f>
        <v>11679928</v>
      </c>
      <c r="H4" s="294">
        <v>0.9</v>
      </c>
    </row>
    <row r="5" spans="2:8" ht="15" customHeight="1">
      <c r="B5" s="1" t="s">
        <v>33</v>
      </c>
      <c r="C5" s="19">
        <v>1830485</v>
      </c>
      <c r="D5" s="294">
        <v>0.6</v>
      </c>
      <c r="E5" s="25"/>
      <c r="F5" s="1" t="s">
        <v>29</v>
      </c>
      <c r="G5" s="19">
        <f>11715</f>
        <v>11715</v>
      </c>
      <c r="H5" s="294">
        <v>0.7</v>
      </c>
    </row>
    <row r="6" spans="2:8" ht="15" customHeight="1">
      <c r="B6" s="4" t="s">
        <v>10</v>
      </c>
      <c r="C6" s="19">
        <v>1124718</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f>12783+436808</f>
        <v>449591</v>
      </c>
      <c r="D9" s="294">
        <v>0.1</v>
      </c>
      <c r="E9" s="25"/>
      <c r="F9" s="4" t="s">
        <v>181</v>
      </c>
      <c r="G9" s="19">
        <v>0</v>
      </c>
      <c r="H9" s="294">
        <v>0.6</v>
      </c>
    </row>
    <row r="10" spans="2:8" ht="15" customHeight="1">
      <c r="B10" s="4" t="s">
        <v>11</v>
      </c>
      <c r="C10" s="19">
        <v>156022</v>
      </c>
      <c r="D10" s="294">
        <v>0.9</v>
      </c>
      <c r="H10" s="295"/>
    </row>
    <row r="11" spans="2:8" ht="15" customHeight="1">
      <c r="B11" s="4" t="s">
        <v>12</v>
      </c>
      <c r="C11" s="19">
        <v>0</v>
      </c>
      <c r="D11" s="294">
        <v>0.05</v>
      </c>
      <c r="H11" s="295"/>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4">
        <v>0.4</v>
      </c>
      <c r="F15" s="4" t="s">
        <v>79</v>
      </c>
      <c r="G15" s="19">
        <v>0</v>
      </c>
      <c r="H15" s="294">
        <v>0.8</v>
      </c>
    </row>
    <row r="16" spans="2:8" ht="15" customHeight="1">
      <c r="B16" s="1" t="s">
        <v>34</v>
      </c>
      <c r="C16" s="19">
        <v>600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7177198+126839+332968+94332</f>
        <v>7731337</v>
      </c>
      <c r="D19" s="294">
        <v>0.1</v>
      </c>
      <c r="F19" s="4" t="s">
        <v>183</v>
      </c>
      <c r="G19" s="19">
        <f>333906+127404</f>
        <v>461310</v>
      </c>
      <c r="H19" s="294">
        <v>0.1</v>
      </c>
    </row>
    <row r="20" spans="2:8" ht="15" customHeight="1">
      <c r="B20" s="4" t="s">
        <v>18</v>
      </c>
      <c r="C20" s="19">
        <v>0</v>
      </c>
      <c r="D20" s="294">
        <v>0.05</v>
      </c>
      <c r="F20" s="4" t="s">
        <v>180</v>
      </c>
      <c r="G20" s="19">
        <v>0</v>
      </c>
      <c r="H20" s="294">
        <v>0.2</v>
      </c>
    </row>
    <row r="21" spans="2:8" ht="15" customHeight="1">
      <c r="B21" s="4" t="s">
        <v>19</v>
      </c>
      <c r="C21" s="19">
        <v>129691</v>
      </c>
      <c r="D21" s="294">
        <v>0.05</v>
      </c>
      <c r="F21" s="1" t="s">
        <v>181</v>
      </c>
      <c r="G21" s="19">
        <v>64486</v>
      </c>
      <c r="H21" s="294">
        <v>0.1</v>
      </c>
    </row>
    <row r="22" spans="2:8" ht="15" customHeight="1">
      <c r="B22" s="4" t="s">
        <v>20</v>
      </c>
      <c r="C22" s="19">
        <v>123890</v>
      </c>
      <c r="D22" s="294">
        <v>0.9</v>
      </c>
      <c r="H22" s="295"/>
    </row>
    <row r="23" spans="2:8" ht="15" customHeight="1">
      <c r="B23" s="4" t="s">
        <v>21</v>
      </c>
      <c r="C23" s="19">
        <v>0</v>
      </c>
      <c r="D23" s="294">
        <v>0</v>
      </c>
      <c r="H23" s="295"/>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18408277</v>
      </c>
      <c r="D46" s="188">
        <f>H29</f>
        <v>7788128.25</v>
      </c>
      <c r="F46" s="283"/>
    </row>
    <row r="47" spans="2:8" ht="15" customHeight="1">
      <c r="B47" s="1" t="str">
        <f>"Equity per share ("&amp;Market_currency&amp;")"</f>
        <v>Equity per share (HKD)</v>
      </c>
      <c r="C47" s="148">
        <f>C46*H1/Common_Shares*Exchange_Rate</f>
        <v>4.2327057744034713</v>
      </c>
      <c r="D47" s="148">
        <f>D46*H1/Common_Shares*Exchange_Rate</f>
        <v>1.7907626778741865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2.2824569622635926</v>
      </c>
      <c r="D50" s="95">
        <f>G31/Normalized_FCF!G8</f>
        <v>2.1930131935295925</v>
      </c>
      <c r="F50" s="283"/>
    </row>
    <row r="51" spans="2:8" ht="15" customHeight="1">
      <c r="B51" s="1" t="s">
        <v>177</v>
      </c>
      <c r="C51" s="202"/>
      <c r="D51" s="92">
        <f>G29/G32</f>
        <v>0.764590497713594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7.8292825040602462E-2</v>
      </c>
      <c r="D54" s="92">
        <f>Normalized_FCF!G8/G35</f>
        <v>8.1486059516858542E-2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0.32112222153227726</v>
      </c>
      <c r="F59" s="283"/>
    </row>
    <row r="60" spans="2:8" ht="15" customHeight="1">
      <c r="F60" s="283"/>
    </row>
    <row r="61" spans="2:8" ht="15" customHeight="1">
      <c r="B61" s="158" t="s">
        <v>275</v>
      </c>
      <c r="C61" s="262" t="s">
        <v>138</v>
      </c>
      <c r="D61" s="218" t="s">
        <v>96</v>
      </c>
      <c r="F61" s="283"/>
    </row>
    <row r="62" spans="2:8" ht="15" customHeight="1">
      <c r="B62" s="1" t="s">
        <v>246</v>
      </c>
      <c r="C62" s="92">
        <f>IF(G28&lt;=0,0,G28/G29)</f>
        <v>5.968423878019654E-2</v>
      </c>
      <c r="D62" s="92">
        <f>G28/G29</f>
        <v>5.968423878019654E-2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11691643</v>
      </c>
      <c r="D66" s="188">
        <f>C66-D75</f>
        <v>7865303.2833807282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11691643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-964204.44</v>
      </c>
      <c r="D73" s="188">
        <f>(Normalized_FCF!C25+Normalized_FCF!C35-Normalized_FCF!C91)/12</f>
        <v>-956584.92915481783</v>
      </c>
      <c r="F73" s="1" t="s">
        <v>359</v>
      </c>
    </row>
    <row r="74" spans="2:6" ht="15" customHeight="1">
      <c r="B74" s="288" t="s">
        <v>329</v>
      </c>
      <c r="C74" s="289">
        <f>-$C$66/C73</f>
        <v>12.125688821760663</v>
      </c>
      <c r="D74" s="289">
        <f>-$C$66/D73</f>
        <v>12.222273886679407</v>
      </c>
      <c r="F74" s="283" t="s">
        <v>327</v>
      </c>
    </row>
    <row r="75" spans="2:6" ht="15" customHeight="1">
      <c r="B75" s="80" t="s">
        <v>328</v>
      </c>
      <c r="C75" s="293"/>
      <c r="D75" s="292">
        <f>MAX(-D73*D76,G5)</f>
        <v>3826339.7166192713</v>
      </c>
      <c r="F75" s="283" t="s">
        <v>360</v>
      </c>
    </row>
    <row r="76" spans="2:6" ht="15" customHeight="1">
      <c r="B76" s="290" t="s">
        <v>330</v>
      </c>
      <c r="C76" s="291"/>
      <c r="D76" s="327">
        <f>IF(D74&lt;=3,1,IF(D74&gt;18,6,2))*2</f>
        <v>4</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461310</v>
      </c>
      <c r="D80" s="188">
        <f>G19*H19</f>
        <v>46131</v>
      </c>
      <c r="F80" s="283"/>
    </row>
    <row r="81" spans="2:8" ht="15" customHeight="1">
      <c r="B81" s="105" t="s">
        <v>181</v>
      </c>
      <c r="C81" s="20">
        <f>G9+G21</f>
        <v>64486</v>
      </c>
      <c r="D81" s="188">
        <f>G9*H9+G21*H21</f>
        <v>6448.6</v>
      </c>
      <c r="F81" s="283"/>
    </row>
    <row r="82" spans="2:8" ht="15" customHeight="1">
      <c r="B82" s="80" t="s">
        <v>190</v>
      </c>
      <c r="C82" s="81">
        <f>SUM(C79:C81)</f>
        <v>525796</v>
      </c>
      <c r="D82" s="81">
        <f>SUM(D79:D81)</f>
        <v>52579.6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-2246271.44</v>
      </c>
      <c r="D86" s="248">
        <f>C86*scaling_factor/Common_Shares</f>
        <v>-0.48726061605206072</v>
      </c>
      <c r="E86" s="269" t="str">
        <f>Market_currency</f>
        <v>HKD</v>
      </c>
    </row>
    <row r="87" spans="2:8" ht="15" customHeight="1">
      <c r="B87" s="267" t="s">
        <v>294</v>
      </c>
      <c r="C87" s="188">
        <f>Valuation_Model!C8*Exchange_Rate</f>
        <v>8337221.4803835722</v>
      </c>
      <c r="D87" s="248">
        <f>C87*scaling_factor/Common_Shares</f>
        <v>1.8085079133153086</v>
      </c>
      <c r="E87" s="269" t="str">
        <f>Market_currency</f>
        <v>HKD</v>
      </c>
    </row>
    <row r="88" spans="2:8" ht="15" customHeight="1">
      <c r="B88" s="268" t="s">
        <v>190</v>
      </c>
      <c r="C88" s="188">
        <f>Valuation_Model!C9*Exchange_Rate</f>
        <v>55734.376000000004</v>
      </c>
      <c r="D88" s="248">
        <f>C88*scaling_factor/Common_Shares</f>
        <v>1.20898863340564E-2</v>
      </c>
      <c r="E88" s="269" t="str">
        <f>Market_currency</f>
        <v>HKD</v>
      </c>
    </row>
    <row r="89" spans="2:8" ht="15" customHeight="1">
      <c r="B89" s="80" t="s">
        <v>298</v>
      </c>
      <c r="C89" s="187">
        <f>SUM(C86:C88)</f>
        <v>6146684.4163835719</v>
      </c>
      <c r="D89" s="271">
        <f>SUM(D86:D88)</f>
        <v>1.3333371835973042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11946459</v>
      </c>
      <c r="D4" s="57"/>
      <c r="E4" s="300"/>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302"/>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302"/>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302"/>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8"/>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302"/>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302"/>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302"/>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9"/>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10"/>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9"/>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-10241839</v>
      </c>
      <c r="D23" s="58"/>
      <c r="E23" s="301"/>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9"/>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7"/>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302"/>
    </row>
    <row r="27" spans="1:17" ht="15.75" customHeight="1">
      <c r="A27" s="10"/>
      <c r="B27" s="64" t="s">
        <v>207</v>
      </c>
      <c r="E27" s="302"/>
    </row>
    <row r="28" spans="1:17" ht="15.75" customHeight="1">
      <c r="A28" s="10"/>
      <c r="B28" s="26" t="s">
        <v>43</v>
      </c>
      <c r="C28" s="63">
        <f>G28</f>
        <v>0.85731169378306993</v>
      </c>
      <c r="D28" s="26"/>
      <c r="E28" s="300" t="s">
        <v>341</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300" t="s">
        <v>341</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302"/>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-676714.25</v>
      </c>
      <c r="E33" s="300" t="s">
        <v>341</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301"/>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5.664559263962652E-2</v>
      </c>
      <c r="D38" s="27"/>
      <c r="E38" s="299"/>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302"/>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-52759</v>
      </c>
      <c r="E47" s="302"/>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57395.095749289067</v>
      </c>
      <c r="E48" s="302"/>
      <c r="G48" s="328">
        <f>IFERROR(IF(G$4="","",($C$48/$C$49)*G49),0)</f>
        <v>114898.42340470829</v>
      </c>
      <c r="H48" s="328">
        <f t="shared" ref="H48:Q48" si="19">IFERROR(IF(H$4="","",($C$48/$C$49)*H49),0)</f>
        <v>117143.83209497746</v>
      </c>
      <c r="I48" s="328">
        <f t="shared" si="19"/>
        <v>103032.2190187908</v>
      </c>
      <c r="J48" s="328">
        <f t="shared" si="19"/>
        <v>121976.64802985649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175374.64499999999</v>
      </c>
      <c r="D49" s="325"/>
      <c r="E49" s="326"/>
      <c r="F49" s="325"/>
      <c r="G49" s="324">
        <f>Data!C52</f>
        <v>351080</v>
      </c>
      <c r="H49" s="324">
        <f>Data!D52</f>
        <v>357941</v>
      </c>
      <c r="I49" s="324">
        <f>Data!E52</f>
        <v>314822</v>
      </c>
      <c r="J49" s="324">
        <f>Data!F52</f>
        <v>372708</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4636.0957492890666</v>
      </c>
      <c r="E50" s="302"/>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9" t="s">
        <v>344</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302"/>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302"/>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0.86563766718303836</v>
      </c>
      <c r="D73" s="27"/>
      <c r="E73" s="299"/>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9"/>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9"/>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9"/>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9"/>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9"/>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9"/>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8">
        <f>MIN(BS!C62,MAX(G83:K83))</f>
        <v>1.0935878525286059E-2</v>
      </c>
      <c r="D83" s="27"/>
      <c r="E83" s="299"/>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9"/>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9"/>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v>0.1</v>
      </c>
      <c r="E90" s="302"/>
      <c r="G90" s="113">
        <f>Data!C65</f>
        <v>0.12804800000000002</v>
      </c>
      <c r="H90" s="113">
        <f>Data!D65</f>
        <v>0.21942</v>
      </c>
      <c r="I90" s="113">
        <f>Data!E65</f>
        <v>0.18868000000000001</v>
      </c>
      <c r="J90" s="113">
        <f>Data!F65</f>
        <v>0.1643</v>
      </c>
      <c r="K90" s="113">
        <f>Data!G65</f>
        <v>8.48E-2</v>
      </c>
      <c r="L90" s="113">
        <f>Data!H65</f>
        <v>8.0560000000000007E-2</v>
      </c>
      <c r="M90" s="113">
        <f>Data!I65</f>
        <v>0.159</v>
      </c>
      <c r="N90" s="113">
        <f>Data!J65</f>
        <v>5.3E-3</v>
      </c>
      <c r="O90" s="113">
        <f>Data!K65</f>
        <v>5.3000000000000005E-2</v>
      </c>
      <c r="P90" s="113">
        <f>Data!L65</f>
        <v>8.48E-2</v>
      </c>
      <c r="Q90" s="113" t="str">
        <f>Data!M65</f>
        <v/>
      </c>
    </row>
    <row r="91" spans="1:17" ht="15.75" customHeight="1">
      <c r="A91" s="10"/>
      <c r="B91" s="2" t="str">
        <f>"Dividend ("&amp;Market_currency&amp;")"</f>
        <v>Dividend (HKD)</v>
      </c>
      <c r="C91" s="74">
        <f>C90*Common_Shares/scaling_factor</f>
        <v>461000</v>
      </c>
      <c r="E91" s="302"/>
      <c r="G91" s="74">
        <f t="shared" ref="G91:Q91" si="37">IF(G$4="","",G90*Common_Shares/scaling_factor)</f>
        <v>590301.28000000014</v>
      </c>
      <c r="H91" s="74">
        <f t="shared" si="37"/>
        <v>1011526.2</v>
      </c>
      <c r="I91" s="74">
        <f t="shared" si="37"/>
        <v>869814.80000000016</v>
      </c>
      <c r="J91" s="74">
        <f t="shared" si="37"/>
        <v>757423</v>
      </c>
      <c r="K91" s="74">
        <f t="shared" si="37"/>
        <v>390928</v>
      </c>
      <c r="L91" s="74">
        <f t="shared" si="37"/>
        <v>371381.60000000003</v>
      </c>
      <c r="M91" s="74">
        <f t="shared" si="37"/>
        <v>732990</v>
      </c>
      <c r="N91" s="74">
        <f t="shared" si="37"/>
        <v>24433</v>
      </c>
      <c r="O91" s="74">
        <f t="shared" si="37"/>
        <v>244330.00000000003</v>
      </c>
      <c r="P91" s="74">
        <f t="shared" si="37"/>
        <v>390928</v>
      </c>
      <c r="Q91" s="74" t="str">
        <f t="shared" si="37"/>
        <v/>
      </c>
    </row>
    <row r="92" spans="1:17" ht="15.75" customHeight="1">
      <c r="A92" s="10"/>
      <c r="B92" s="2" t="s">
        <v>214</v>
      </c>
      <c r="C92" s="23">
        <f>C90/(C19*scaling_factor/Common_Shares)</f>
        <v>0.80996280963569622</v>
      </c>
      <c r="E92" s="302"/>
      <c r="G92" s="171">
        <f t="shared" ref="G92:Q92" si="38">IF(G$4="","",G90/(G19*scaling_factor/Common_Shares))</f>
        <v>0.9332849824706867</v>
      </c>
      <c r="H92" s="171">
        <f t="shared" si="38"/>
        <v>0.91223504223213125</v>
      </c>
      <c r="I92" s="171">
        <f t="shared" si="38"/>
        <v>0.64738583352709733</v>
      </c>
      <c r="J92" s="171">
        <f t="shared" si="38"/>
        <v>0.90109048001987424</v>
      </c>
      <c r="K92" s="171">
        <f t="shared" si="38"/>
        <v>0.89702916225909413</v>
      </c>
      <c r="L92" s="171">
        <f t="shared" si="38"/>
        <v>1.099500552145968</v>
      </c>
      <c r="M92" s="171">
        <f t="shared" si="38"/>
        <v>0.57960413999568261</v>
      </c>
      <c r="N92" s="171">
        <f t="shared" si="38"/>
        <v>6.2161783974252961E-2</v>
      </c>
      <c r="O92" s="171">
        <f t="shared" si="38"/>
        <v>-0.5894941540362002</v>
      </c>
      <c r="P92" s="171">
        <f t="shared" si="38"/>
        <v>0.6488808478500826</v>
      </c>
      <c r="Q92" s="171" t="str">
        <f t="shared" si="38"/>
        <v/>
      </c>
    </row>
    <row r="93" spans="1:17" ht="15.75" customHeight="1">
      <c r="A93" s="10"/>
      <c r="B93" s="2" t="s">
        <v>317</v>
      </c>
      <c r="C93" s="23">
        <f>C90/Market_Price</f>
        <v>5.0761421319796961E-2</v>
      </c>
      <c r="E93" s="302"/>
      <c r="G93" s="23">
        <f t="shared" ref="G93:Q93" si="39">IF(G$4="","",G90/Market_Price)</f>
        <v>6.499898477157362E-2</v>
      </c>
      <c r="H93" s="23">
        <f t="shared" si="39"/>
        <v>0.11138071065989848</v>
      </c>
      <c r="I93" s="23">
        <f t="shared" si="39"/>
        <v>9.5776649746192904E-2</v>
      </c>
      <c r="J93" s="23">
        <f t="shared" si="39"/>
        <v>8.3401015228426398E-2</v>
      </c>
      <c r="K93" s="23">
        <f t="shared" si="39"/>
        <v>4.3045685279187819E-2</v>
      </c>
      <c r="L93" s="23">
        <f t="shared" si="39"/>
        <v>4.0893401015228432E-2</v>
      </c>
      <c r="M93" s="23">
        <f t="shared" si="39"/>
        <v>8.0710659898477158E-2</v>
      </c>
      <c r="N93" s="23">
        <f t="shared" si="39"/>
        <v>2.6903553299492387E-3</v>
      </c>
      <c r="O93" s="23">
        <f t="shared" si="39"/>
        <v>2.6903553299492389E-2</v>
      </c>
      <c r="P93" s="23">
        <f t="shared" si="39"/>
        <v>4.3045685279187819E-2</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9"/>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24075995</v>
      </c>
      <c r="D101" s="26"/>
      <c r="E101" s="303"/>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4"/>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4"/>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303"/>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303"/>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303"/>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303"/>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1.3226606227451485</v>
      </c>
      <c r="H113" s="334">
        <f>IF(H$4="","",Data!D$22/Data!D15)</f>
        <v>0.65019430537408307</v>
      </c>
      <c r="I113" s="334">
        <f>IF(I$4="","",Data!E$22/Data!E15)</f>
        <v>1.1911040666425015</v>
      </c>
      <c r="J113" s="334">
        <f>IF(J$4="","",Data!F$22/Data!F15)</f>
        <v>1.7903285844398347</v>
      </c>
      <c r="K113" s="334">
        <f>IF(K$4="","",Data!G$22/Data!G15)</f>
        <v>1.6212457823006146</v>
      </c>
      <c r="L113" s="334">
        <f>IF(L$4="","",Data!H$22/Data!H15)</f>
        <v>1.5133869677398846</v>
      </c>
      <c r="M113" s="334">
        <f>IF(M$4="","",Data!I$22/Data!I15)</f>
        <v>1.3115161389526857</v>
      </c>
      <c r="N113" s="334">
        <f>IF(N$4="","",Data!J$22/Data!J15)</f>
        <v>15.801640747079396</v>
      </c>
      <c r="O113" s="334">
        <f>IF(O$4="","",Data!K$22/Data!K15)</f>
        <v>-4.710466049773947</v>
      </c>
      <c r="P113" s="334">
        <f>IF(P$4="","",Data!L$22/Data!L15)</f>
        <v>1.6060025550358761</v>
      </c>
      <c r="Q113" s="334" t="str">
        <f>IF(Q$4="","",Data!M$22/Data!M15)</f>
        <v/>
      </c>
    </row>
    <row r="114" spans="1:17" ht="15.75" customHeight="1">
      <c r="A114" s="10"/>
      <c r="B114" s="2" t="s">
        <v>400</v>
      </c>
      <c r="C114" s="170"/>
      <c r="E114" s="302"/>
      <c r="G114" s="334">
        <f>IF(G$4="","",Data!C$22/G19)</f>
        <v>2.4072044192682269</v>
      </c>
      <c r="H114" s="334">
        <f>IF(H$4="","",Data!D$22/H19)</f>
        <v>1.3921031576498697</v>
      </c>
      <c r="I114" s="334">
        <f>IF(I$4="","",Data!E$22/I19)</f>
        <v>1.5946029642834716</v>
      </c>
      <c r="J114" s="334">
        <f>IF(J$4="","",Data!F$22/J19)</f>
        <v>3.4961201367772632</v>
      </c>
      <c r="K114" s="334">
        <f>IF(K$4="","",Data!G$22/K19)</f>
        <v>2.8985688487688246</v>
      </c>
      <c r="L114" s="334">
        <f>IF(L$4="","",Data!H$22/L19)</f>
        <v>3.3827126502118285</v>
      </c>
      <c r="M114" s="334">
        <f>IF(M$4="","",Data!I$22/M19)</f>
        <v>1.5849400500854394</v>
      </c>
      <c r="N114" s="334">
        <f>IF(N$4="","",Data!J$22/N19)</f>
        <v>4.3222093600132299</v>
      </c>
      <c r="O114" s="334">
        <f>IF(O$4="","",Data!K$22/O19)</f>
        <v>-2.6897368713115899</v>
      </c>
      <c r="P114" s="334">
        <f>IF(P$4="","",Data!L$22/P19)</f>
        <v>2.2473106321529053</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302"/>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302"/>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6"/>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5"/>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0.13087020630944343</v>
      </c>
      <c r="D124" s="27"/>
      <c r="E124" s="299"/>
      <c r="F124" s="27"/>
      <c r="G124" s="178">
        <f t="shared" ref="G124:Q124" si="49">IF(G$4="","",G16*$C$3/Common_Shares*Exchange_Rate)</f>
        <v>0.14543347696507392</v>
      </c>
      <c r="H124" s="178">
        <f t="shared" si="49"/>
        <v>0.25496192234721826</v>
      </c>
      <c r="I124" s="178">
        <f t="shared" si="49"/>
        <v>0.30893601565291073</v>
      </c>
      <c r="J124" s="178">
        <f t="shared" si="49"/>
        <v>0.19327470865762428</v>
      </c>
      <c r="K124" s="178">
        <f t="shared" si="49"/>
        <v>0.10020632971800433</v>
      </c>
      <c r="L124" s="178">
        <f t="shared" si="49"/>
        <v>7.7665809110629078E-2</v>
      </c>
      <c r="M124" s="178">
        <f t="shared" si="49"/>
        <v>0.2907846724511931</v>
      </c>
      <c r="N124" s="178">
        <f t="shared" si="49"/>
        <v>9.0377071583514115E-2</v>
      </c>
      <c r="O124" s="178">
        <f t="shared" si="49"/>
        <v>-9.5302047722342742E-2</v>
      </c>
      <c r="P124" s="178">
        <f t="shared" si="49"/>
        <v>0.13852774403470716</v>
      </c>
      <c r="Q124" s="178" t="str">
        <f t="shared" si="49"/>
        <v/>
      </c>
    </row>
    <row r="125" spans="1:17" ht="15.75" customHeight="1">
      <c r="A125" s="10"/>
      <c r="B125" s="27" t="s">
        <v>270</v>
      </c>
      <c r="C125" s="77">
        <f>C19*Exchange_Rate*$C$3/(Market_Price*Common_Shares)</f>
        <v>6.6431576806824072E-2</v>
      </c>
      <c r="D125" s="27"/>
      <c r="E125" s="299"/>
      <c r="F125" s="27"/>
      <c r="G125" s="77">
        <f t="shared" ref="G125" si="50">IF(G$4="","",G124/Market_Price)</f>
        <v>7.3824099982271019E-2</v>
      </c>
      <c r="H125" s="77">
        <f t="shared" ref="H125" si="51">IF(H$4="","",H124/Market_Price)</f>
        <v>0.129422295607725</v>
      </c>
      <c r="I125" s="77">
        <f t="shared" ref="I125" si="52">IF(I$4="","",I124/Market_Price)</f>
        <v>0.15682031251416789</v>
      </c>
      <c r="J125" s="77">
        <f t="shared" ref="J125" si="53">IF(J$4="","",J124/Market_Price)</f>
        <v>9.810898916630674E-2</v>
      </c>
      <c r="K125" s="77">
        <f t="shared" ref="K125" si="54">IF(K$4="","",K124/Market_Price)</f>
        <v>5.0866157217261086E-2</v>
      </c>
      <c r="L125" s="77">
        <f t="shared" ref="L125" si="55">IF(L$4="","",L124/Market_Price)</f>
        <v>3.9424268584075675E-2</v>
      </c>
      <c r="M125" s="77">
        <f t="shared" ref="M125" si="56">IF(M$4="","",M124/Market_Price)</f>
        <v>0.14760643271634169</v>
      </c>
      <c r="N125" s="77">
        <f t="shared" ref="N125" si="57">IF(N$4="","",N124/Market_Price)</f>
        <v>4.5876686083002091E-2</v>
      </c>
      <c r="O125" s="77">
        <f t="shared" ref="O125" si="58">IF(O$4="","",O124/Market_Price)</f>
        <v>-4.8376673970732358E-2</v>
      </c>
      <c r="P125" s="77">
        <f t="shared" ref="P125" si="59">IF(P$4="","",P124/Market_Price)</f>
        <v>7.0318651794267592E-2</v>
      </c>
      <c r="Q125" s="77" t="str">
        <f t="shared" ref="Q125" si="60">IF(Q$4="","",Q124/Market_Price)</f>
        <v/>
      </c>
    </row>
    <row r="126" spans="1:17" ht="15.75" customHeight="1">
      <c r="B126" s="2" t="s">
        <v>402</v>
      </c>
      <c r="C126" s="170"/>
      <c r="G126" s="23">
        <f>IF(G$4="","",(Data!C47*$C$3)/(Market_Price*Common_Shares))</f>
        <v>0.1267525903740489</v>
      </c>
      <c r="H126" s="23">
        <f>IF(H$4="","",(Data!D47*$C$3)/(Market_Price*Common_Shares))</f>
        <v>0.26141559399671865</v>
      </c>
      <c r="I126" s="23">
        <f>IF(I$4="","",(Data!E47*$C$3)/(Market_Price*Common_Shares))</f>
        <v>0.19806115595097834</v>
      </c>
      <c r="J126" s="23">
        <f>IF(J$4="","",(Data!F47*$C$3)/(Market_Price*Common_Shares))</f>
        <v>0.18074094057280024</v>
      </c>
      <c r="K126" s="23">
        <f>IF(K$4="","",(Data!G47*$C$3)/(Market_Price*Common_Shares))</f>
        <v>8.5794179503837387E-2</v>
      </c>
      <c r="L126" s="23">
        <f>IF(L$4="","",(Data!H47*$C$3)/(Market_Price*Common_Shares))</f>
        <v>8.313289362123831E-2</v>
      </c>
      <c r="M126" s="23">
        <f>IF(M$4="","",(Data!I47*$C$3)/(Market_Price*Common_Shares))</f>
        <v>0.16828237004085139</v>
      </c>
      <c r="N126" s="23">
        <f>IF(N$4="","",(Data!J47*$C$3)/(Market_Price*Common_Shares))</f>
        <v>1.1838312210269002E-2</v>
      </c>
      <c r="O126" s="23">
        <f>IF(O$4="","",(Data!K47*$C$3)/(Market_Price*Common_Shares))</f>
        <v>-2.6060098880165607E-2</v>
      </c>
      <c r="P126" s="23">
        <f>IF(P$4="","",(Data!L47*$C$3)/(Market_Price*Common_Shares))</f>
        <v>9.2828545316405525E-2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7114524.1873412039</v>
      </c>
      <c r="D6" t="str">
        <f>Reporting_currency</f>
        <v>CNY</v>
      </c>
      <c r="E6" s="351" t="s">
        <v>250</v>
      </c>
      <c r="F6" s="351"/>
      <c r="H6" s="121"/>
    </row>
    <row r="7" spans="2:8">
      <c r="B7" s="149" t="s">
        <v>225</v>
      </c>
      <c r="C7" s="226">
        <f>BS!G31</f>
        <v>2119124</v>
      </c>
      <c r="D7" t="str">
        <f>Reporting_currency</f>
        <v>CNY</v>
      </c>
      <c r="E7" s="351"/>
      <c r="F7" s="351"/>
      <c r="H7" s="121"/>
    </row>
    <row r="8" spans="2:8">
      <c r="B8" s="149" t="s">
        <v>226</v>
      </c>
      <c r="C8" s="201">
        <f>BS!D66</f>
        <v>7865303.2833807282</v>
      </c>
      <c r="D8" t="str">
        <f>Reporting_currency</f>
        <v>CNY</v>
      </c>
      <c r="E8" s="351"/>
      <c r="F8" s="351"/>
      <c r="H8" s="121"/>
    </row>
    <row r="9" spans="2:8">
      <c r="B9" s="227" t="s">
        <v>191</v>
      </c>
      <c r="C9" s="229">
        <f>BS!H42</f>
        <v>52579.6</v>
      </c>
      <c r="D9" t="str">
        <f>Reporting_currency</f>
        <v>CNY</v>
      </c>
      <c r="E9" s="351"/>
      <c r="F9" s="351"/>
      <c r="H9" s="121"/>
    </row>
    <row r="10" spans="2:8" ht="13.15">
      <c r="B10" s="150" t="s">
        <v>228</v>
      </c>
      <c r="C10" s="232">
        <f>C6-C7+C8+C9</f>
        <v>12913283.070721932</v>
      </c>
      <c r="D10" t="str">
        <f>Reporting_currency</f>
        <v>CNY</v>
      </c>
      <c r="H10" s="121"/>
    </row>
    <row r="11" spans="2:8" ht="13.15" thickBot="1">
      <c r="B11" s="230" t="s">
        <v>167</v>
      </c>
      <c r="C11" s="231">
        <f>Exchange_Rate</f>
        <v>1.06</v>
      </c>
      <c r="D11" t="str">
        <f>Thesis!C15</f>
        <v>CNY/HKD</v>
      </c>
      <c r="H11" s="121"/>
    </row>
    <row r="12" spans="2:8" ht="13.5" thickTop="1">
      <c r="B12" s="150" t="s">
        <v>103</v>
      </c>
      <c r="C12" s="112">
        <f>(C10*scaling_factor)/Common_Shares*Exchange_Rate</f>
        <v>2.9692147624653469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3.0748273144719884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2.9692147624653469</v>
      </c>
      <c r="C65" s="125">
        <f>C12</f>
        <v>2.9692147624653469</v>
      </c>
      <c r="D65" s="125">
        <f>C12</f>
        <v>2.9692147624653469</v>
      </c>
      <c r="E65" s="142">
        <f>C12</f>
        <v>2.9692147624653469</v>
      </c>
      <c r="F65" s="125">
        <f>C12</f>
        <v>2.9692147624653469</v>
      </c>
      <c r="H65" s="121"/>
    </row>
    <row r="66" spans="1:8" ht="13.15">
      <c r="A66" s="144">
        <f t="shared" ref="A66:A71" si="3">A56</f>
        <v>5</v>
      </c>
      <c r="B66" s="125">
        <f t="shared" ref="B66:F71" si="4">(B56-$C$7+$C$8+$C$9)/Common_Shares*$C$3*Exchange_Rate</f>
        <v>2.9692147624653464</v>
      </c>
      <c r="C66" s="125">
        <f t="shared" si="4"/>
        <v>2.9954124025546811</v>
      </c>
      <c r="D66" s="125">
        <f t="shared" si="4"/>
        <v>3.0219967365400393</v>
      </c>
      <c r="E66" s="125">
        <f t="shared" si="4"/>
        <v>3.0489762367715612</v>
      </c>
      <c r="F66" s="125">
        <f t="shared" si="4"/>
        <v>3.0489762367715612</v>
      </c>
      <c r="H66" s="121"/>
    </row>
    <row r="67" spans="1:8" ht="13.15">
      <c r="A67" s="144">
        <f t="shared" si="3"/>
        <v>10</v>
      </c>
      <c r="B67" s="125">
        <f t="shared" si="4"/>
        <v>2.9692147624653464</v>
      </c>
      <c r="C67" s="125">
        <f t="shared" si="4"/>
        <v>3.0207718880041314</v>
      </c>
      <c r="D67" s="125">
        <f t="shared" si="4"/>
        <v>3.0748273144719884</v>
      </c>
      <c r="E67" s="125">
        <f t="shared" si="4"/>
        <v>3.131527041127085</v>
      </c>
      <c r="F67" s="125">
        <f t="shared" si="4"/>
        <v>3.131527041127085</v>
      </c>
      <c r="H67" s="121"/>
    </row>
    <row r="68" spans="1:8" ht="13.15">
      <c r="A68" s="144">
        <f t="shared" si="3"/>
        <v>15</v>
      </c>
      <c r="B68" s="125">
        <f t="shared" si="4"/>
        <v>2.9692147624653464</v>
      </c>
      <c r="C68" s="125">
        <f t="shared" si="4"/>
        <v>3.0513809961825542</v>
      </c>
      <c r="D68" s="125">
        <f t="shared" si="4"/>
        <v>3.1402198032093755</v>
      </c>
      <c r="E68" s="125">
        <f t="shared" si="4"/>
        <v>3.2363639196313208</v>
      </c>
      <c r="F68" s="125">
        <f t="shared" si="4"/>
        <v>3.2363639196313208</v>
      </c>
      <c r="H68" s="121"/>
    </row>
    <row r="69" spans="1:8" ht="13.15">
      <c r="A69" s="145">
        <f t="shared" si="3"/>
        <v>20</v>
      </c>
      <c r="B69" s="125">
        <f t="shared" si="4"/>
        <v>2.9692147624653464</v>
      </c>
      <c r="C69" s="125">
        <f t="shared" si="4"/>
        <v>3.0817621988834265</v>
      </c>
      <c r="D69" s="125">
        <f t="shared" si="4"/>
        <v>3.2068442623999878</v>
      </c>
      <c r="E69" s="125">
        <f t="shared" si="4"/>
        <v>3.3461014384251904</v>
      </c>
      <c r="F69" s="125">
        <f t="shared" si="4"/>
        <v>3.3461014384251904</v>
      </c>
      <c r="H69" s="121"/>
    </row>
    <row r="70" spans="1:8" ht="13.15">
      <c r="A70" s="145">
        <f t="shared" si="3"/>
        <v>25</v>
      </c>
      <c r="B70" s="125">
        <f t="shared" si="4"/>
        <v>2.9692147624653464</v>
      </c>
      <c r="C70" s="125">
        <f t="shared" si="4"/>
        <v>3.109269645562903</v>
      </c>
      <c r="D70" s="125">
        <f t="shared" si="4"/>
        <v>3.2688087064391378</v>
      </c>
      <c r="E70" s="125">
        <f t="shared" si="4"/>
        <v>3.4510738566972656</v>
      </c>
      <c r="F70" s="125">
        <f t="shared" si="4"/>
        <v>3.4510738566972656</v>
      </c>
    </row>
    <row r="71" spans="1:8" ht="13.15">
      <c r="A71" s="145">
        <f t="shared" si="3"/>
        <v>30</v>
      </c>
      <c r="B71" s="125">
        <f t="shared" si="4"/>
        <v>2.9692147624653464</v>
      </c>
      <c r="C71" s="125">
        <f t="shared" si="4"/>
        <v>3.1328766143069529</v>
      </c>
      <c r="D71" s="125">
        <f t="shared" si="4"/>
        <v>3.3234699658426679</v>
      </c>
      <c r="E71" s="125">
        <f t="shared" si="4"/>
        <v>3.5464121589049959</v>
      </c>
      <c r="F71" s="125">
        <f t="shared" si="4"/>
        <v>3.5464121589049959</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3.2363639196313208</v>
      </c>
      <c r="F74" s="143">
        <f>Scenarios!C58</f>
        <v>0.05</v>
      </c>
    </row>
    <row r="75" spans="1:8">
      <c r="B75" s="128" t="str">
        <f>Scenarios!B36</f>
        <v>Optimistic</v>
      </c>
      <c r="C75" s="143">
        <f>Scenarios!C38</f>
        <v>0.03</v>
      </c>
      <c r="D75" s="146">
        <f>Scenarios!C37</f>
        <v>10</v>
      </c>
      <c r="E75" s="136">
        <f>INDEX(B$65:F$71, MATCH(D75, A$65:A$71, 0), MATCH(C75, B$64:F$64, 0))</f>
        <v>3.131527041127085</v>
      </c>
      <c r="F75" s="143">
        <f>Scenarios!C40*(1-F$74-F$78)</f>
        <v>0.18</v>
      </c>
      <c r="H75" s="121"/>
    </row>
    <row r="76" spans="1:8">
      <c r="B76" s="128" t="str">
        <f>Scenarios!B24</f>
        <v>Base</v>
      </c>
      <c r="C76" s="143">
        <f>Scenarios!C26</f>
        <v>0.02</v>
      </c>
      <c r="D76" s="146">
        <f>Scenarios!C25</f>
        <v>10</v>
      </c>
      <c r="E76" s="136">
        <f>INDEX(B$65:F$71, MATCH(D76, A$65:A$71, 0), MATCH(C76, B$64:F$64, 0))</f>
        <v>3.0748273144719884</v>
      </c>
      <c r="F76" s="143">
        <f>Scenarios!C28*(1-F$74-F$78)</f>
        <v>0.53999999999999992</v>
      </c>
      <c r="H76" s="121"/>
    </row>
    <row r="77" spans="1:8">
      <c r="B77" s="128" t="str">
        <f>Scenarios!B30</f>
        <v>Pessimistic</v>
      </c>
      <c r="C77" s="143">
        <f>Scenarios!C32</f>
        <v>0.01</v>
      </c>
      <c r="D77" s="146">
        <f>Scenarios!C31</f>
        <v>10</v>
      </c>
      <c r="E77" s="136">
        <f>INDEX(B$65:F$71, MATCH(D77, A$65:A$71, 0), MATCH(C77, B$64:F$64, 0))</f>
        <v>3.0207718880041314</v>
      </c>
      <c r="F77" s="143">
        <f>Scenarios!C34*(1-F$74-F$78)</f>
        <v>0.18</v>
      </c>
      <c r="H77" s="121"/>
    </row>
    <row r="78" spans="1:8">
      <c r="B78" s="128" t="str">
        <f>Scenarios!B48</f>
        <v>Devil's advocate</v>
      </c>
      <c r="C78" s="143">
        <f>Scenarios!C50</f>
        <v>0</v>
      </c>
      <c r="D78" s="146">
        <f>Scenarios!C49</f>
        <v>15</v>
      </c>
      <c r="E78" s="136">
        <f>INDEX(B$65:F$71, MATCH(D78, A$65:A$71, 0), MATCH(C78, B$64:F$64, 0))</f>
        <v>2.9692147624653464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-1.97</v>
      </c>
    </row>
    <row r="4" spans="2:9">
      <c r="B4" s="153" t="s">
        <v>147</v>
      </c>
      <c r="C4" s="121">
        <v>3</v>
      </c>
      <c r="D4" s="121"/>
      <c r="E4" s="156" t="s">
        <v>151</v>
      </c>
      <c r="F4" s="156"/>
      <c r="H4" s="276">
        <v>1</v>
      </c>
      <c r="I4" s="264">
        <f t="shared" ref="I4:I13" si="0">IF(ROW()-3 &lt; $C$76, $C$77, IF(ROW()-3 = $C$76, $C$77 + $C$60, ""))</f>
        <v>0.1</v>
      </c>
    </row>
    <row r="5" spans="2:9">
      <c r="H5" s="276">
        <v>2</v>
      </c>
      <c r="I5" s="264">
        <f t="shared" si="0"/>
        <v>0.1</v>
      </c>
    </row>
    <row r="6" spans="2:9" ht="13.15">
      <c r="B6" s="160" t="s">
        <v>96</v>
      </c>
      <c r="C6" s="107">
        <f>Valuation_Model!C3</f>
        <v>1000</v>
      </c>
      <c r="E6" s="100" t="s">
        <v>282</v>
      </c>
      <c r="F6" s="100"/>
      <c r="H6" s="276">
        <v>3</v>
      </c>
      <c r="I6" s="264">
        <f t="shared" si="0"/>
        <v>3.178099491163326</v>
      </c>
    </row>
    <row r="7" spans="2:9" ht="12.75" customHeight="1">
      <c r="B7" s="100" t="s">
        <v>276</v>
      </c>
      <c r="C7" s="115">
        <f>Normalized_FCF!G8</f>
        <v>966307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3"/>
      <c r="H7" s="276">
        <v>4</v>
      </c>
      <c r="I7" s="264" t="str">
        <f t="shared" si="0"/>
        <v/>
      </c>
    </row>
    <row r="8" spans="2:9">
      <c r="B8" s="100" t="s">
        <v>66</v>
      </c>
      <c r="C8" s="115">
        <f>Normalized_FCF!G19</f>
        <v>632498.42340470827</v>
      </c>
      <c r="D8" t="str">
        <f>Reporting_currency</f>
        <v>CNY</v>
      </c>
      <c r="E8" s="353"/>
      <c r="F8" s="353"/>
      <c r="H8" s="276">
        <v>5</v>
      </c>
      <c r="I8" s="264" t="str">
        <f t="shared" si="0"/>
        <v/>
      </c>
    </row>
    <row r="9" spans="2:9">
      <c r="B9" s="100" t="s">
        <v>57</v>
      </c>
      <c r="C9" s="201">
        <f>Normalized_FCF!C19</f>
        <v>569161.93498729635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-3.750240119526338E-2</v>
      </c>
      <c r="D12" s="159"/>
      <c r="E12" s="353"/>
      <c r="F12" s="353"/>
      <c r="H12" s="276">
        <v>9</v>
      </c>
      <c r="I12" s="264" t="str">
        <f t="shared" si="0"/>
        <v/>
      </c>
    </row>
    <row r="13" spans="2:9">
      <c r="B13" s="149" t="s">
        <v>153</v>
      </c>
      <c r="C13" s="159">
        <f ca="1">(Normalized_FCF!G8/OFFSET(Normalized_FCF!G8, 0, $C$4))^(1/$C$4) - 1</f>
        <v>-0.20361731775539216</v>
      </c>
      <c r="E13" s="353"/>
      <c r="F13" s="353"/>
      <c r="H13" s="276">
        <v>10</v>
      </c>
      <c r="I13" s="264" t="str">
        <f t="shared" si="0"/>
        <v/>
      </c>
    </row>
    <row r="14" spans="2:9">
      <c r="B14" s="100" t="s">
        <v>66</v>
      </c>
      <c r="C14" s="159">
        <f ca="1">(Normalized_FCF!G19/OFFSET(Normalized_FCF!G19, 0, $C$4))^(1/$C$4) - 1</f>
        <v>-9.0443280496378065E-2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1.97</v>
      </c>
      <c r="D21" t="str">
        <f>Market_currency</f>
        <v>HKD</v>
      </c>
      <c r="E21" s="354"/>
      <c r="F21" s="354"/>
    </row>
    <row r="22" spans="2:6">
      <c r="B22" s="100" t="s">
        <v>281</v>
      </c>
      <c r="C22" s="161">
        <f>Valuation_Model!C12</f>
        <v>2.9692147624653469</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3.0748273144719884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3.0207718880041314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3.131527041127085</v>
      </c>
      <c r="D39" t="str">
        <f>Market_currency</f>
        <v>HKD</v>
      </c>
      <c r="E39" s="352"/>
      <c r="F39" s="352"/>
    </row>
    <row r="40" spans="2:6">
      <c r="B40" s="100" t="s">
        <v>148</v>
      </c>
      <c r="C40" s="168">
        <f>1-C28-C34</f>
        <v>0.2</v>
      </c>
      <c r="D40" s="166"/>
      <c r="E40" s="352"/>
      <c r="F40" s="352"/>
    </row>
    <row r="42" spans="2:6" ht="13.15">
      <c r="B42" s="100" t="s">
        <v>121</v>
      </c>
      <c r="C42" s="155">
        <f>C27*C28+C33*C34+C39*C40</f>
        <v>3.0753561745094364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2.9692147624653464</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0.03</v>
      </c>
      <c r="D56" s="165"/>
      <c r="E56" s="352"/>
      <c r="F56" s="352"/>
    </row>
    <row r="57" spans="2:6">
      <c r="B57" s="100" t="s">
        <v>114</v>
      </c>
      <c r="C57" s="161">
        <f>Valuation_Model!E74</f>
        <v>3.2363639196313208</v>
      </c>
      <c r="D57" t="str">
        <f>Market_currency</f>
        <v>HKD</v>
      </c>
      <c r="E57" s="352"/>
      <c r="F57" s="352"/>
    </row>
    <row r="58" spans="2:6">
      <c r="B58" s="100" t="s">
        <v>148</v>
      </c>
      <c r="C58" s="166">
        <v>0.05</v>
      </c>
      <c r="D58" s="166"/>
      <c r="E58" s="352"/>
      <c r="F58" s="352"/>
    </row>
    <row r="60" spans="2:6" ht="13.15">
      <c r="B60" s="100" t="s">
        <v>121</v>
      </c>
      <c r="C60" s="155">
        <f>C51*C52+C57*C58+C42*(1-C52-C58)</f>
        <v>3.0780994911633259</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0.02</v>
      </c>
      <c r="D65" s="152"/>
      <c r="E65" s="281" t="s">
        <v>320</v>
      </c>
    </row>
    <row r="66" spans="2:6">
      <c r="B66" s="100" t="s">
        <v>103</v>
      </c>
      <c r="C66" s="161">
        <f>Valuation_Model!C18</f>
        <v>3.0748273144719884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0.43316896917239917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v>
      </c>
      <c r="D77" t="str">
        <f>Market_currency</f>
        <v>HKD</v>
      </c>
    </row>
    <row r="79" spans="2:6" ht="13.15">
      <c r="B79" s="109" t="s">
        <v>308</v>
      </c>
    </row>
    <row r="80" spans="2:6">
      <c r="B80" s="149" t="s">
        <v>306</v>
      </c>
      <c r="C80" s="168">
        <f>Thesis!C132</f>
        <v>0.4</v>
      </c>
    </row>
    <row r="81" spans="2:8">
      <c r="B81" s="100" t="s">
        <v>122</v>
      </c>
      <c r="C81" s="117">
        <f>PV(C80, C76, -C77, 0)</f>
        <v>0.15889212827988333</v>
      </c>
      <c r="D81" s="117"/>
      <c r="E81" s="100"/>
      <c r="F81" s="100"/>
    </row>
    <row r="82" spans="2:8">
      <c r="B82" s="100" t="s">
        <v>123</v>
      </c>
      <c r="C82" s="117">
        <f>C60/(1+C80)^C76</f>
        <v>1.1217563743306584</v>
      </c>
      <c r="D82" s="117"/>
    </row>
    <row r="83" spans="2:8" ht="13.15">
      <c r="B83" s="111" t="s">
        <v>102</v>
      </c>
      <c r="C83" s="112">
        <f>C81+C82</f>
        <v>1.2806485026105419</v>
      </c>
      <c r="D83" t="str">
        <f>Market_currency</f>
        <v>HKD</v>
      </c>
      <c r="E83" s="147" t="s">
        <v>127</v>
      </c>
      <c r="F83" s="329">
        <f>(1-C83/C60)</f>
        <v>0.5839483076206422</v>
      </c>
    </row>
    <row r="84" spans="2:8">
      <c r="E84" s="121"/>
    </row>
    <row r="85" spans="2:8" ht="13.15">
      <c r="B85" s="109" t="s">
        <v>309</v>
      </c>
    </row>
    <row r="86" spans="2:8">
      <c r="B86" s="149" t="s">
        <v>307</v>
      </c>
      <c r="C86" s="266">
        <f>Market_Price</f>
        <v>1.97</v>
      </c>
      <c r="D86" t="str">
        <f>Market_currency</f>
        <v>HKD</v>
      </c>
    </row>
    <row r="87" spans="2:8" ht="13.15">
      <c r="B87" s="100" t="s">
        <v>305</v>
      </c>
      <c r="C87" s="265">
        <f ca="1">IRR(OFFSET($I$3, 0, 0, $C$76 + 1, 1))</f>
        <v>0.20462519829719406</v>
      </c>
    </row>
    <row r="88" spans="2:8">
      <c r="B88" s="100"/>
    </row>
    <row r="89" spans="2:8" ht="13.15">
      <c r="B89" s="109" t="s">
        <v>422</v>
      </c>
    </row>
    <row r="90" spans="2:8">
      <c r="B90" s="149" t="s">
        <v>423</v>
      </c>
      <c r="C90" s="168">
        <f>Thesis!E24</f>
        <v>0.2</v>
      </c>
    </row>
    <row r="91" spans="2:8">
      <c r="B91" s="100" t="s">
        <v>122</v>
      </c>
      <c r="C91" s="117">
        <f>PV(C90, C76, -C77, 0)</f>
        <v>0.21064814814814814</v>
      </c>
      <c r="D91" s="117"/>
      <c r="E91" s="100"/>
      <c r="F91" s="100"/>
    </row>
    <row r="92" spans="2:8">
      <c r="B92" s="100" t="s">
        <v>123</v>
      </c>
      <c r="C92" s="117">
        <f>C60/(1+C90)^C76</f>
        <v>1.7813075759047026</v>
      </c>
      <c r="D92" s="117"/>
    </row>
    <row r="93" spans="2:8" ht="13.15">
      <c r="B93" s="111" t="s">
        <v>102</v>
      </c>
      <c r="C93" s="112">
        <f>C91+C92</f>
        <v>1.9919557240528507</v>
      </c>
      <c r="D93" t="str">
        <f>Market_currency</f>
        <v>HKD</v>
      </c>
      <c r="E93" s="147" t="s">
        <v>127</v>
      </c>
      <c r="F93" s="329">
        <f>(1-C93/C60)</f>
        <v>0.35286181302085917</v>
      </c>
    </row>
    <row r="95" spans="2:8" ht="13.15">
      <c r="B95" s="109" t="s">
        <v>405</v>
      </c>
      <c r="G95" s="2"/>
      <c r="H95" s="316"/>
    </row>
    <row r="96" spans="2:8">
      <c r="B96" s="149" t="s">
        <v>411</v>
      </c>
      <c r="C96" s="135">
        <f>Thesis!C72</f>
        <v>0.08</v>
      </c>
      <c r="G96" s="2"/>
      <c r="H96" s="316"/>
    </row>
    <row r="97" spans="2:8">
      <c r="B97" s="100" t="s">
        <v>122</v>
      </c>
      <c r="C97" s="117">
        <f>PV(C96, C76, -C77, 0)</f>
        <v>0.25770969872478805</v>
      </c>
      <c r="D97" s="117"/>
      <c r="G97" s="2"/>
      <c r="H97" s="316"/>
    </row>
    <row r="98" spans="2:8">
      <c r="B98" s="100" t="s">
        <v>123</v>
      </c>
      <c r="C98" s="117">
        <f>C60/(1+C96)^C76</f>
        <v>2.4434946171532266</v>
      </c>
      <c r="D98" s="117"/>
      <c r="G98" s="2"/>
      <c r="H98" s="316"/>
    </row>
    <row r="99" spans="2:8" ht="13.15">
      <c r="B99" s="111" t="s">
        <v>406</v>
      </c>
      <c r="C99" s="112">
        <f>C97+C98</f>
        <v>2.7012043158780146</v>
      </c>
      <c r="D99" t="s">
        <v>404</v>
      </c>
      <c r="E99" s="147" t="s">
        <v>127</v>
      </c>
      <c r="F99" s="329">
        <f>(1-C99/C60)</f>
        <v>0.12244411734166172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