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309168F-2D4A-4729-942F-00CC5F2657A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8" i="2"/>
  <c r="Q117"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<sst xmlns="http://schemas.openxmlformats.org/spreadsheetml/2006/main" count="685" uniqueCount="466">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</sst>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E32" sqref="E3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4610000000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1.93</v>
      </c>
      <c r="D12" s="50"/>
      <c r="E12" s="48"/>
    </row>
    <row r="13" spans="1:10">
      <c r="B13" s="1" t="s">
        <v>416</v>
      </c>
      <c r="C13" s="48" t="s">
        <v>396</v>
      </c>
      <c r="D13" s="48"/>
      <c r="E13" s="5"/>
    </row>
    <row r="14" spans="1:10">
      <c r="B14" s="4" t="s">
        <v>420</v>
      </c>
      <c r="C14" s="35">
        <f>Thesis!C12*Common_Shares/1000000</f>
        <v>8897.2999999999993</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1.0924694399999999</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3.2836042240737875</v>
      </c>
      <c r="D26" s="1" t="s">
        <v>399</v>
      </c>
      <c r="E26" s="301">
        <f ca="1">Scenarios!C87</f>
        <v>0.23784293912282584</v>
      </c>
    </row>
    <row r="27" spans="2:6">
      <c r="D27" s="5"/>
      <c r="E27" s="5"/>
    </row>
    <row r="28" spans="2:6">
      <c r="B28" s="45" t="s">
        <v>433</v>
      </c>
      <c r="C28" s="309" t="str">
        <f>C145&amp;" ("&amp;Market_currency&amp;")"</f>
        <v>3983.HK (HKD)</v>
      </c>
      <c r="D28" s="309" t="str">
        <f>IF(D11="","",D145&amp;" ("&amp;D13&amp;")")</f>
        <v/>
      </c>
      <c r="E28" s="305" t="s">
        <v>429</v>
      </c>
      <c r="F28" s="303">
        <v>3</v>
      </c>
    </row>
    <row r="29" spans="2:6">
      <c r="B29" s="1" t="s">
        <v>425</v>
      </c>
      <c r="C29" s="310">
        <f>C149</f>
        <v>1.4500188240967717</v>
      </c>
      <c r="D29" s="310" t="str">
        <f>D149</f>
        <v/>
      </c>
      <c r="E29" s="306" t="s">
        <v>424</v>
      </c>
      <c r="F29" s="302">
        <v>0.3674</v>
      </c>
    </row>
    <row r="30" spans="2:6">
      <c r="B30" s="1" t="s">
        <v>426</v>
      </c>
      <c r="C30" s="311">
        <f>C157</f>
        <v>2.0249542815734265</v>
      </c>
      <c r="D30" s="311" t="str">
        <f>D157</f>
        <v/>
      </c>
      <c r="E30" s="307" t="s">
        <v>437</v>
      </c>
      <c r="F30" s="312">
        <v>0.21740000000000001</v>
      </c>
    </row>
    <row r="31" spans="2:6">
      <c r="B31" s="1" t="s">
        <v>427</v>
      </c>
      <c r="C31" s="311">
        <f>C165</f>
        <v>2.90322450024177</v>
      </c>
      <c r="D31" s="311" t="str">
        <f>D165</f>
        <v/>
      </c>
      <c r="E31" s="307" t="s">
        <v>436</v>
      </c>
      <c r="F31" s="312">
        <v>7.4999999999999997E-2</v>
      </c>
    </row>
    <row r="32" spans="2:6">
      <c r="B32" s="1" t="s">
        <v>428</v>
      </c>
      <c r="C32" s="311">
        <f>C173</f>
        <v>2.594817766746059</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928439.85014218651</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57395.095749289067</v>
      </c>
      <c r="D51" s="1" t="str">
        <f>Reporting_currency</f>
        <v>CNY</v>
      </c>
      <c r="E51" s="286"/>
      <c r="F51" s="286"/>
    </row>
    <row r="52" spans="2:6">
      <c r="B52" s="47" t="s">
        <v>341</v>
      </c>
      <c r="C52" s="350">
        <f>Normalized_FCF!C47</f>
        <v>-52759</v>
      </c>
      <c r="D52" s="1" t="str">
        <f>Reporting_currency</f>
        <v>CNY</v>
      </c>
      <c r="E52" s="286"/>
      <c r="F52" s="286"/>
    </row>
    <row r="53" spans="2:6">
      <c r="B53" s="47" t="s">
        <v>238</v>
      </c>
      <c r="C53" s="349">
        <f>Normalized_FCF!C12</f>
        <v>4636.0957492890666</v>
      </c>
      <c r="D53" s="1" t="str">
        <f>Reporting_currency</f>
        <v>CNY</v>
      </c>
    </row>
    <row r="55" spans="2:6">
      <c r="B55" s="1" t="s">
        <v>246</v>
      </c>
    </row>
    <row r="56" spans="2:6">
      <c r="B56" s="47" t="s">
        <v>265</v>
      </c>
      <c r="C56" s="349">
        <f>Normalized_FCF!C15</f>
        <v>-130645.02443131036</v>
      </c>
      <c r="D56" s="1" t="str">
        <f>Reporting_currency</f>
        <v>CNY</v>
      </c>
    </row>
    <row r="58" spans="2:6">
      <c r="B58" s="357" t="s">
        <v>241</v>
      </c>
      <c r="C58" s="357"/>
      <c r="D58" s="357"/>
      <c r="E58" s="357"/>
      <c r="F58" s="357"/>
    </row>
    <row r="59" spans="2:6">
      <c r="B59" s="47" t="s">
        <v>239</v>
      </c>
      <c r="C59" s="349">
        <f>Normalized_FCF!C14</f>
        <v>-233268.98647286888</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632498.42340470827</v>
      </c>
      <c r="D67" s="1" t="str">
        <f>Reporting_currency</f>
        <v>CNY</v>
      </c>
    </row>
    <row r="68" spans="1:6">
      <c r="B68" s="47" t="s">
        <v>248</v>
      </c>
      <c r="C68" s="349">
        <f>Normalized_FCF!C19</f>
        <v>569161.93498729635</v>
      </c>
      <c r="D68" s="1" t="str">
        <f>Reporting_currency</f>
        <v>CNY</v>
      </c>
    </row>
    <row r="69" spans="1:6">
      <c r="B69" s="227" t="s">
        <v>390</v>
      </c>
      <c r="C69" s="92">
        <f>Normalized_FCF!C125</f>
        <v>6.9885473164318174E-2</v>
      </c>
      <c r="F69" s="314"/>
    </row>
    <row r="70" spans="1:6">
      <c r="B70" s="227" t="s">
        <v>308</v>
      </c>
      <c r="C70" s="92">
        <f>Normalized_FCF!C93</f>
        <v>5.1813471502590677E-2</v>
      </c>
      <c r="E70" s="47" t="s">
        <v>448</v>
      </c>
      <c r="F70" s="315">
        <f>Normalized_FCF!C92</f>
        <v>0.80996280963569622</v>
      </c>
    </row>
    <row r="72" spans="1:6">
      <c r="B72" s="210" t="s">
        <v>451</v>
      </c>
      <c r="C72" s="323" t="s">
        <v>453</v>
      </c>
      <c r="D72" s="323" t="s">
        <v>454</v>
      </c>
    </row>
    <row r="73" spans="1:6">
      <c r="B73" s="47" t="s">
        <v>452</v>
      </c>
      <c r="C73" s="92">
        <f>Normalized_FCF!C120</f>
        <v>4.7832973362251327E-2</v>
      </c>
      <c r="D73" s="92">
        <f>Normalized_FCF!G120</f>
        <v>5.2722021815940899E-2</v>
      </c>
    </row>
    <row r="74" spans="1:6">
      <c r="B74" s="259" t="str">
        <f>Normalized_FCF!B117</f>
        <v>Pre-tax Profit/Sales</v>
      </c>
      <c r="C74" s="322">
        <f>Normalized_FCF!C117</f>
        <v>7.8104812973574481E-2</v>
      </c>
      <c r="D74" s="322">
        <f>Normalized_FCF!G117</f>
        <v>8.6087971624454432E-2</v>
      </c>
    </row>
    <row r="75" spans="1:6">
      <c r="B75" s="259" t="str">
        <f>Normalized_FCF!B118</f>
        <v>Sales/Total Assets</v>
      </c>
      <c r="C75" s="324">
        <f>Normalized_FCF!C118</f>
        <v>0.49619793491400876</v>
      </c>
      <c r="D75" s="324">
        <f>Normalized_FCF!G118</f>
        <v>0.49619793491400876</v>
      </c>
    </row>
    <row r="76" spans="1:6">
      <c r="B76" s="259" t="str">
        <f>Normalized_FCF!B119</f>
        <v>Total Assets/Equity</v>
      </c>
      <c r="C76" s="324">
        <f>Normalized_FCF!C119</f>
        <v>1.2342258232843137</v>
      </c>
      <c r="D76" s="324">
        <f>Normalized_FCF!G119</f>
        <v>1.2342258232843137</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1.7983861760951207</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2119124</v>
      </c>
      <c r="D102" s="1" t="str">
        <f>Reporting_currency</f>
        <v>CNY</v>
      </c>
    </row>
    <row r="103" spans="2:6">
      <c r="B103" s="47" t="s">
        <v>281</v>
      </c>
      <c r="C103" s="223">
        <f>C102*scaling_factor*Exchange_Rate/Common_Shares</f>
        <v>0.50218616259665072</v>
      </c>
      <c r="D103" s="1" t="str">
        <f>Market_currency</f>
        <v>HKD</v>
      </c>
    </row>
    <row r="104" spans="2:6">
      <c r="B104" s="296" t="s">
        <v>404</v>
      </c>
      <c r="C104" s="325">
        <f>IF(BS!G31/BS!G27&gt;300%,"nm",BS!G31/BS!G27)</f>
        <v>0.10863424600069688</v>
      </c>
    </row>
    <row r="105" spans="2:6">
      <c r="B105" s="296" t="s">
        <v>406</v>
      </c>
      <c r="C105" s="326">
        <f>IF(BS!C50&gt;30,"nm",BS!C50)</f>
        <v>2.2824569622635926</v>
      </c>
    </row>
    <row r="107" spans="2:6">
      <c r="B107" s="1" t="s">
        <v>254</v>
      </c>
    </row>
    <row r="108" spans="2:6">
      <c r="B108" s="47" t="s">
        <v>264</v>
      </c>
      <c r="C108" s="349">
        <f>BS!C66</f>
        <v>11691643</v>
      </c>
      <c r="D108" s="1" t="str">
        <f>Reporting_currency</f>
        <v>CNY</v>
      </c>
    </row>
    <row r="109" spans="2:6">
      <c r="B109" s="47" t="s">
        <v>266</v>
      </c>
      <c r="C109" s="349">
        <f>DCF!C8</f>
        <v>7865303.2833807282</v>
      </c>
      <c r="D109" s="1" t="str">
        <f>Reporting_currency</f>
        <v>CNY</v>
      </c>
    </row>
    <row r="110" spans="2:6">
      <c r="B110" s="47" t="s">
        <v>282</v>
      </c>
      <c r="C110" s="223">
        <f>C109*scaling_factor*Exchange_Rate/Common_Shares</f>
        <v>1.8639053087690032</v>
      </c>
      <c r="D110" s="1" t="str">
        <f>Market_currency</f>
        <v>HKD</v>
      </c>
    </row>
    <row r="112" spans="2:6">
      <c r="B112" s="1" t="s">
        <v>256</v>
      </c>
    </row>
    <row r="113" spans="1:6">
      <c r="B113" s="47" t="s">
        <v>257</v>
      </c>
      <c r="C113" s="349">
        <f>DCF!C9</f>
        <v>52579.6</v>
      </c>
      <c r="D113" s="1" t="str">
        <f>Reporting_currency</f>
        <v>CNY</v>
      </c>
    </row>
    <row r="114" spans="1:6">
      <c r="B114" s="47" t="s">
        <v>283</v>
      </c>
      <c r="C114" s="223">
        <f>C113*scaling_factor*Exchange_Rate/Common_Shares</f>
        <v>1.2460218257575704E-2</v>
      </c>
      <c r="D114" s="1" t="str">
        <f>Market_currency</f>
        <v>HKD</v>
      </c>
    </row>
    <row r="116" spans="1:6" ht="24.5" customHeight="1">
      <c r="B116" s="356" t="s">
        <v>366</v>
      </c>
      <c r="C116" s="356"/>
      <c r="D116" s="356"/>
      <c r="E116" s="356"/>
      <c r="F116" s="356"/>
    </row>
    <row r="118" spans="1:6">
      <c r="B118" s="47" t="s">
        <v>449</v>
      </c>
      <c r="C118" s="223">
        <f>IF(valuation_method="DCF",DCF!C12,DDM!C7)</f>
        <v>3.1725655405250492</v>
      </c>
      <c r="D118" s="1" t="str">
        <f>Market_currency</f>
        <v>HKD</v>
      </c>
    </row>
    <row r="119" spans="1:6">
      <c r="B119" s="296" t="s">
        <v>405</v>
      </c>
      <c r="C119" s="223">
        <f>BS!D47</f>
        <v>1.845616509311427</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258</v>
      </c>
      <c r="C132" s="217">
        <f>Scenarios!C60</f>
        <v>3.2836042240737875</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0.1</v>
      </c>
      <c r="D143" s="212" t="str">
        <f>Market_currency</f>
        <v>HKD</v>
      </c>
    </row>
    <row r="145" spans="2:4">
      <c r="B145" s="210" t="s">
        <v>408</v>
      </c>
      <c r="C145" s="241" t="str">
        <f>C11</f>
        <v>3983.HK</v>
      </c>
      <c r="D145" s="241" t="str">
        <f>IF(D11="","",D11)</f>
        <v/>
      </c>
    </row>
    <row r="146" spans="2:4">
      <c r="B146" s="1" t="s">
        <v>407</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1.2842928921602859</v>
      </c>
    </row>
    <row r="149" spans="2:4">
      <c r="B149" s="80" t="s">
        <v>260</v>
      </c>
      <c r="C149" s="215">
        <f>Scenarios!C83</f>
        <v>1.4500188240967717</v>
      </c>
      <c r="D149" s="300" t="str">
        <f>IF($D$11="","",C149*$E$25)</f>
        <v/>
      </c>
    </row>
    <row r="150" spans="2:4">
      <c r="B150" s="259" t="s">
        <v>416</v>
      </c>
      <c r="C150" s="298" t="str">
        <f>Market_currency</f>
        <v>HKD</v>
      </c>
      <c r="D150" s="298" t="str">
        <f>IF($D$11="","",D$13)</f>
        <v/>
      </c>
    </row>
    <row r="151" spans="2:4">
      <c r="B151" s="214" t="s">
        <v>262</v>
      </c>
      <c r="C151" s="92">
        <f>Scenarios!F83</f>
        <v>0.55840633488471614</v>
      </c>
    </row>
    <row r="153" spans="2:4">
      <c r="B153" s="210" t="s">
        <v>411</v>
      </c>
    </row>
    <row r="154" spans="2:4">
      <c r="B154" s="1" t="s">
        <v>410</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1.8199141991869328</v>
      </c>
    </row>
    <row r="157" spans="2:4">
      <c r="B157" s="80" t="s">
        <v>260</v>
      </c>
      <c r="C157" s="215">
        <f>Scenarios!C93</f>
        <v>2.0249542815734265</v>
      </c>
      <c r="D157" s="300" t="str">
        <f>IF($D$11="","",C157*$E$25)</f>
        <v/>
      </c>
    </row>
    <row r="158" spans="2:4">
      <c r="B158" s="259" t="s">
        <v>416</v>
      </c>
      <c r="C158" s="298" t="str">
        <f>Market_currency</f>
        <v>HKD</v>
      </c>
      <c r="D158" s="298" t="str">
        <f>IF($D$11="","",D$13)</f>
        <v/>
      </c>
    </row>
    <row r="159" spans="2:4">
      <c r="B159" s="214" t="s">
        <v>262</v>
      </c>
      <c r="C159" s="92">
        <f>Scenarios!F93</f>
        <v>0.38331353494813791</v>
      </c>
    </row>
    <row r="161" spans="2:4">
      <c r="B161" s="210" t="s">
        <v>400</v>
      </c>
    </row>
    <row r="162" spans="2:4">
      <c r="B162" s="1" t="s">
        <v>409</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2.6431719262545741</v>
      </c>
    </row>
    <row r="165" spans="2:4">
      <c r="B165" s="80" t="s">
        <v>401</v>
      </c>
      <c r="C165" s="215">
        <f>Scenarios!C99</f>
        <v>2.90322450024177</v>
      </c>
      <c r="D165" s="300" t="str">
        <f>IF($D$11="","",C165*$E$25)</f>
        <v/>
      </c>
    </row>
    <row r="166" spans="2:4">
      <c r="B166" s="259" t="s">
        <v>416</v>
      </c>
      <c r="C166" s="298" t="str">
        <f>Market_currency</f>
        <v>HKD</v>
      </c>
      <c r="D166" s="298" t="str">
        <f>IF($D$11="","",D$13)</f>
        <v/>
      </c>
    </row>
    <row r="167" spans="2:4">
      <c r="B167" s="214" t="s">
        <v>262</v>
      </c>
      <c r="C167" s="92">
        <f>Scenarios!F99</f>
        <v>0.11584213500617968</v>
      </c>
    </row>
    <row r="169" spans="2:4">
      <c r="B169" s="210" t="s">
        <v>432</v>
      </c>
    </row>
    <row r="170" spans="2:4">
      <c r="B170" s="1" t="s">
        <v>423</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2.353557454152194</v>
      </c>
    </row>
    <row r="173" spans="2:4">
      <c r="B173" s="80" t="s">
        <v>401</v>
      </c>
      <c r="C173" s="215">
        <f>Scenarios!C105</f>
        <v>2.594817766746059</v>
      </c>
      <c r="D173" s="300" t="str">
        <f>IF($D$11="","",C173*$E$25)</f>
        <v/>
      </c>
    </row>
    <row r="174" spans="2:4">
      <c r="B174" s="259" t="s">
        <v>416</v>
      </c>
      <c r="C174" s="298" t="str">
        <f>Market_currency</f>
        <v>HKD</v>
      </c>
      <c r="D174" s="298" t="str">
        <f>IF($D$11="","",D$13)</f>
        <v/>
      </c>
    </row>
    <row r="175" spans="2:4">
      <c r="B175" s="214" t="s">
        <v>262</v>
      </c>
      <c r="C175" s="92">
        <f>Scenarios!F105</f>
        <v>0.2103760227233481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373</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372</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0.13197030835199999</v>
      </c>
      <c r="D25" s="39">
        <f>0.207*Exchange_Rate</f>
        <v>0.22614117407999998</v>
      </c>
      <c r="E25" s="39">
        <f>0.178*Exchange_Rate</f>
        <v>0.19445956031999997</v>
      </c>
      <c r="F25" s="39">
        <f>0.155*Exchange_Rate</f>
        <v>0.16933276319999999</v>
      </c>
      <c r="G25" s="39">
        <f>0.08*Exchange_Rate</f>
        <v>8.7397555199999991E-2</v>
      </c>
      <c r="H25" s="39">
        <f>0.076*Exchange_Rate</f>
        <v>8.3027677439999989E-2</v>
      </c>
      <c r="I25" s="39">
        <f>0.15*Exchange_Rate</f>
        <v>0.16387041599999999</v>
      </c>
      <c r="J25" s="39">
        <f>0.005*Exchange_Rate</f>
        <v>5.4623471999999994E-3</v>
      </c>
      <c r="K25" s="39">
        <f>0.05*Exchange_Rate</f>
        <v>5.4623471999999999E-2</v>
      </c>
      <c r="L25" s="39">
        <f>0.08*Exchange_Rate</f>
        <v>8.7397555199999991E-2</v>
      </c>
      <c r="M25" s="39"/>
    </row>
    <row r="27" spans="2:13">
      <c r="B27" s="16" t="s">
        <v>28</v>
      </c>
      <c r="C27" s="97" t="s">
        <v>463</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172</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168</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0.13197030835199999</v>
      </c>
      <c r="D65" s="73">
        <f t="shared" ref="D65:M65" si="33">IF(D$4="","",D25)</f>
        <v>0.22614117407999998</v>
      </c>
      <c r="E65" s="73">
        <f t="shared" si="33"/>
        <v>0.19445956031999997</v>
      </c>
      <c r="F65" s="73">
        <f t="shared" si="33"/>
        <v>0.16933276319999999</v>
      </c>
      <c r="G65" s="73">
        <f t="shared" si="33"/>
        <v>8.7397555199999991E-2</v>
      </c>
      <c r="H65" s="73">
        <f t="shared" si="33"/>
        <v>8.3027677439999989E-2</v>
      </c>
      <c r="I65" s="73">
        <f t="shared" si="33"/>
        <v>0.16387041599999999</v>
      </c>
      <c r="J65" s="73">
        <f t="shared" si="33"/>
        <v>5.4623471999999994E-3</v>
      </c>
      <c r="K65" s="73">
        <f t="shared" si="33"/>
        <v>5.4623471999999999E-2</v>
      </c>
      <c r="L65" s="73">
        <f t="shared" si="33"/>
        <v>8.7397555199999991E-2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168</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f>12783+436808</f>
        <v>449591</v>
      </c>
      <c r="D9" s="261">
        <v>0.1</v>
      </c>
      <c r="E9" s="25"/>
      <c r="F9" s="4" t="s">
        <v>180</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208252</v>
      </c>
      <c r="D15" s="261">
        <v>0.4</v>
      </c>
      <c r="F15" s="4" t="s">
        <v>78</v>
      </c>
      <c r="G15" s="19">
        <v>0</v>
      </c>
      <c r="H15" s="261">
        <v>0.8</v>
      </c>
    </row>
    <row r="16" spans="2:8" ht="15" customHeight="1">
      <c r="B16" s="1" t="s">
        <v>34</v>
      </c>
      <c r="C16" s="19">
        <v>600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7177198+126839+332968+94332</f>
        <v>7731337</v>
      </c>
      <c r="D19" s="261">
        <v>0.1</v>
      </c>
      <c r="F19" s="4" t="s">
        <v>182</v>
      </c>
      <c r="G19" s="19">
        <f>333906+127404</f>
        <v>461310</v>
      </c>
      <c r="H19" s="261">
        <v>0.1</v>
      </c>
    </row>
    <row r="20" spans="2:8" ht="15" customHeight="1">
      <c r="B20" s="4" t="s">
        <v>18</v>
      </c>
      <c r="C20" s="19">
        <v>0</v>
      </c>
      <c r="D20" s="261">
        <v>0.05</v>
      </c>
      <c r="F20" s="4" t="s">
        <v>179</v>
      </c>
      <c r="G20" s="19">
        <v>0</v>
      </c>
      <c r="H20" s="261">
        <v>0.2</v>
      </c>
    </row>
    <row r="21" spans="2:8" ht="15" customHeight="1">
      <c r="B21" s="4" t="s">
        <v>19</v>
      </c>
      <c r="C21" s="19">
        <v>129691</v>
      </c>
      <c r="D21" s="261">
        <v>0.05</v>
      </c>
      <c r="F21" s="1" t="s">
        <v>180</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200</v>
      </c>
      <c r="C26" s="182" t="s">
        <v>136</v>
      </c>
      <c r="F26" s="184" t="s">
        <v>196</v>
      </c>
      <c r="G26" s="185" t="s">
        <v>136</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244</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203</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11858556</v>
      </c>
      <c r="H35" s="200">
        <f>D12+D24</f>
        <v>2883130.95</v>
      </c>
    </row>
    <row r="36" spans="2:8" ht="15" customHeight="1">
      <c r="B36" s="4" t="s">
        <v>13</v>
      </c>
      <c r="C36" s="19">
        <v>1626693</v>
      </c>
      <c r="F36" s="190" t="s">
        <v>197</v>
      </c>
      <c r="G36" s="191">
        <f>C4+C15</f>
        <v>312222</v>
      </c>
      <c r="H36" s="195"/>
    </row>
    <row r="37" spans="2:8" ht="15" customHeight="1">
      <c r="B37" s="4" t="s">
        <v>14</v>
      </c>
      <c r="C37" s="19">
        <v>29680</v>
      </c>
      <c r="F37" s="190" t="s">
        <v>198</v>
      </c>
      <c r="G37" s="191">
        <f>C6</f>
        <v>1124718</v>
      </c>
      <c r="H37" s="195"/>
    </row>
    <row r="38" spans="2:8" ht="15" customHeight="1">
      <c r="B38" s="4" t="s">
        <v>15</v>
      </c>
      <c r="C38" s="19">
        <v>0</v>
      </c>
      <c r="F38" s="190" t="s">
        <v>199</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204</v>
      </c>
      <c r="C40" s="81">
        <f>SUM(C36:C39)</f>
        <v>1656373</v>
      </c>
      <c r="F40" s="199" t="s">
        <v>138</v>
      </c>
      <c r="G40" s="193">
        <f>G12+G24</f>
        <v>12217439</v>
      </c>
      <c r="H40" s="200">
        <f>H12+H24</f>
        <v>10572715.300000001</v>
      </c>
    </row>
    <row r="41" spans="2:8" ht="15" customHeight="1">
      <c r="B41" s="4" t="s">
        <v>17</v>
      </c>
      <c r="C41" s="21">
        <f>C42-C40</f>
        <v>399713</v>
      </c>
      <c r="F41" s="190" t="s">
        <v>191</v>
      </c>
      <c r="G41" s="191">
        <f>C70</f>
        <v>11691643</v>
      </c>
      <c r="H41" s="200">
        <f>H40-H42</f>
        <v>10520135.700000001</v>
      </c>
    </row>
    <row r="42" spans="2:8" ht="15" customHeight="1">
      <c r="B42" s="83" t="s">
        <v>22</v>
      </c>
      <c r="C42" s="84">
        <v>2056086</v>
      </c>
      <c r="F42" s="201" t="s">
        <v>192</v>
      </c>
      <c r="G42" s="202">
        <f>C82</f>
        <v>525796</v>
      </c>
      <c r="H42" s="203">
        <f>D82</f>
        <v>52579.6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18408277</v>
      </c>
      <c r="D46" s="76">
        <f>H29</f>
        <v>7788128.25</v>
      </c>
      <c r="F46" s="253"/>
    </row>
    <row r="47" spans="2:8" ht="15" customHeight="1">
      <c r="B47" s="1" t="str">
        <f>"Equity per share ("&amp;Market_currency&amp;")"</f>
        <v>Equity per share (HKD)</v>
      </c>
      <c r="C47" s="147">
        <f>C46*H1/Common_Shares*Exchange_Rate</f>
        <v>4.3623601009880426</v>
      </c>
      <c r="D47" s="147">
        <f>D46*H1/Common_Shares*Exchange_Rate</f>
        <v>1.845616509311427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176</v>
      </c>
      <c r="C51" s="181"/>
      <c r="D51" s="92">
        <f>G29/G32</f>
        <v>0.764590497713594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7.8292825040602462E-2</v>
      </c>
      <c r="D54" s="92">
        <f>Normalized_FCF!G8/G35</f>
        <v>8.1486059516858542E-2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274</v>
      </c>
      <c r="C61" s="235" t="s">
        <v>137</v>
      </c>
      <c r="D61" s="197" t="s">
        <v>95</v>
      </c>
      <c r="F61" s="253"/>
    </row>
    <row r="62" spans="2:8" ht="15" customHeight="1">
      <c r="B62" s="1" t="s">
        <v>245</v>
      </c>
      <c r="C62" s="92">
        <f>IF(G28&lt;=0,0,G28/G29)</f>
        <v>5.968423878019654E-2</v>
      </c>
      <c r="D62" s="92">
        <f>G28/G29</f>
        <v>5.968423878019654E-2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11691643</v>
      </c>
      <c r="D66" s="76">
        <f>C66-D75</f>
        <v>7865303.2833807282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11691643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-965711.26012522669</v>
      </c>
      <c r="D73" s="349">
        <f>(Normalized_FCF!C25+Normalized_FCF!C35-Normalized_FCF!C91)/12</f>
        <v>-956584.92915481783</v>
      </c>
      <c r="F73" s="1" t="s">
        <v>351</v>
      </c>
    </row>
    <row r="74" spans="2:6" ht="15" customHeight="1">
      <c r="B74" s="257" t="s">
        <v>321</v>
      </c>
      <c r="C74" s="258">
        <f>-$C$66/C73</f>
        <v>12.106768847744314</v>
      </c>
      <c r="D74" s="258">
        <f>-$C$66/D73</f>
        <v>12.222273886679407</v>
      </c>
      <c r="F74" s="253" t="s">
        <v>319</v>
      </c>
    </row>
    <row r="75" spans="2:6" ht="15" customHeight="1">
      <c r="B75" s="80" t="s">
        <v>320</v>
      </c>
      <c r="C75" s="320"/>
      <c r="D75" s="321">
        <f>MAX(-D73*D76,G5)</f>
        <v>3826339.7166192713</v>
      </c>
      <c r="F75" s="253" t="s">
        <v>352</v>
      </c>
    </row>
    <row r="76" spans="2:6" ht="15" customHeight="1">
      <c r="B76" s="259" t="s">
        <v>322</v>
      </c>
      <c r="C76" s="260"/>
      <c r="D76" s="290">
        <f>IF(D74&lt;=3,1,IF(D74&gt;18,6,2))*2</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461310</v>
      </c>
      <c r="D80" s="76">
        <f>G19*H19</f>
        <v>46131</v>
      </c>
      <c r="F80" s="253"/>
    </row>
    <row r="81" spans="2:8" ht="15" customHeight="1">
      <c r="B81" s="105" t="s">
        <v>180</v>
      </c>
      <c r="C81" s="20">
        <f>G9+G21</f>
        <v>64486</v>
      </c>
      <c r="D81" s="76">
        <f>G9*H9+G21*H21</f>
        <v>6448.6</v>
      </c>
      <c r="F81" s="253"/>
    </row>
    <row r="82" spans="2:8" ht="15" customHeight="1">
      <c r="B82" s="80" t="s">
        <v>189</v>
      </c>
      <c r="C82" s="81">
        <f>SUM(C79:C81)</f>
        <v>525796</v>
      </c>
      <c r="D82" s="81">
        <f>SUM(D79:D81)</f>
        <v>52579.6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-2315078.2095705597</v>
      </c>
      <c r="D86" s="223">
        <f>C86*scaling_factor/Common_Shares</f>
        <v>-0.50218616259665061</v>
      </c>
      <c r="E86" s="240" t="str">
        <f>Market_currency</f>
        <v>HKD</v>
      </c>
    </row>
    <row r="87" spans="2:8" ht="15" customHeight="1">
      <c r="B87" s="238" t="s">
        <v>287</v>
      </c>
      <c r="C87" s="76">
        <f>DCF!C8*Exchange_Rate</f>
        <v>8592603.4734251052</v>
      </c>
      <c r="D87" s="223">
        <f>C87*scaling_factor/Common_Shares</f>
        <v>1.8639053087690034</v>
      </c>
      <c r="E87" s="240" t="str">
        <f>Market_currency</f>
        <v>HKD</v>
      </c>
    </row>
    <row r="88" spans="2:8" ht="15" customHeight="1">
      <c r="B88" s="239" t="s">
        <v>189</v>
      </c>
      <c r="C88" s="76">
        <f>DCF!C9*Exchange_Rate</f>
        <v>57441.60616742399</v>
      </c>
      <c r="D88" s="223">
        <f>C88*scaling_factor/Common_Shares</f>
        <v>1.2460218257575704E-2</v>
      </c>
      <c r="E88" s="240" t="str">
        <f>Market_currency</f>
        <v>HKD</v>
      </c>
    </row>
    <row r="89" spans="2:8" ht="15" customHeight="1">
      <c r="B89" s="80" t="s">
        <v>291</v>
      </c>
      <c r="C89" s="180">
        <f>SUM(C86:C88)</f>
        <v>6334966.8700219691</v>
      </c>
      <c r="D89" s="242">
        <f>SUM(D86:D88)</f>
        <v>1.3741793644299285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152</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243</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154</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0.85731169378306993</v>
      </c>
      <c r="D28" s="26"/>
      <c r="E28" s="266" t="s">
        <v>333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-676714.25</v>
      </c>
      <c r="E33" s="266" t="s">
        <v>333</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336</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195</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152</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154</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0.1</v>
      </c>
      <c r="E90" s="268"/>
      <c r="G90" s="112">
        <f>Data!C65</f>
        <v>0.13197030835199999</v>
      </c>
      <c r="H90" s="112">
        <f>Data!D65</f>
        <v>0.22614117407999998</v>
      </c>
      <c r="I90" s="112">
        <f>Data!E65</f>
        <v>0.19445956031999997</v>
      </c>
      <c r="J90" s="112">
        <f>Data!F65</f>
        <v>0.16933276319999999</v>
      </c>
      <c r="K90" s="112">
        <f>Data!G65</f>
        <v>8.7397555199999991E-2</v>
      </c>
      <c r="L90" s="112">
        <f>Data!H65</f>
        <v>8.3027677439999989E-2</v>
      </c>
      <c r="M90" s="112">
        <f>Data!I65</f>
        <v>0.16387041599999999</v>
      </c>
      <c r="N90" s="112">
        <f>Data!J65</f>
        <v>5.4623471999999994E-3</v>
      </c>
      <c r="O90" s="112">
        <f>Data!K65</f>
        <v>5.4623471999999999E-2</v>
      </c>
      <c r="P90" s="112">
        <f>Data!L65</f>
        <v>8.7397555199999991E-2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608383.12150272005</v>
      </c>
      <c r="H91" s="74">
        <f t="shared" si="37"/>
        <v>1042510.8125088</v>
      </c>
      <c r="I91" s="74">
        <f t="shared" si="37"/>
        <v>896458.57307519985</v>
      </c>
      <c r="J91" s="74">
        <f t="shared" si="37"/>
        <v>780624.03835199983</v>
      </c>
      <c r="K91" s="74">
        <f t="shared" si="37"/>
        <v>402902.72947199992</v>
      </c>
      <c r="L91" s="74">
        <f t="shared" si="37"/>
        <v>382757.59299839998</v>
      </c>
      <c r="M91" s="74">
        <f t="shared" si="37"/>
        <v>755442.61775999994</v>
      </c>
      <c r="N91" s="74">
        <f t="shared" si="37"/>
        <v>25181.420591999995</v>
      </c>
      <c r="O91" s="74">
        <f t="shared" si="37"/>
        <v>251814.20591999998</v>
      </c>
      <c r="P91" s="74">
        <f t="shared" si="37"/>
        <v>402902.72947199992</v>
      </c>
      <c r="Q91" s="74" t="str">
        <f t="shared" si="37"/>
        <v/>
      </c>
    </row>
    <row r="92" spans="1:17" ht="15.75" customHeight="1">
      <c r="A92" s="10"/>
      <c r="B92" s="2" t="s">
        <v>213</v>
      </c>
      <c r="C92" s="23">
        <f>C90/(C19*scaling_factor/Common_Shares)</f>
        <v>0.80996280963569622</v>
      </c>
      <c r="E92" s="268"/>
      <c r="G92" s="170">
        <f t="shared" ref="G92:Q92" si="38">IF(G$4="","",G90/(G19*scaling_factor/Common_Shares))</f>
        <v>0.96187294543411384</v>
      </c>
      <c r="H92" s="170">
        <f t="shared" si="38"/>
        <v>0.94017821295821946</v>
      </c>
      <c r="I92" s="170">
        <f t="shared" si="38"/>
        <v>0.66721626322385019</v>
      </c>
      <c r="J92" s="170">
        <f t="shared" si="38"/>
        <v>0.92869227556287093</v>
      </c>
      <c r="K92" s="170">
        <f t="shared" si="38"/>
        <v>0.92450655335552989</v>
      </c>
      <c r="L92" s="170">
        <f t="shared" si="38"/>
        <v>1.1331799551722606</v>
      </c>
      <c r="M92" s="170">
        <f t="shared" si="38"/>
        <v>0.59735831154977814</v>
      </c>
      <c r="N92" s="170">
        <f t="shared" si="38"/>
        <v>6.406589559221991E-2</v>
      </c>
      <c r="O92" s="170">
        <f t="shared" si="38"/>
        <v>-0.60755127202188797</v>
      </c>
      <c r="P92" s="170">
        <f t="shared" si="38"/>
        <v>0.66875707214858948</v>
      </c>
      <c r="Q92" s="170" t="str">
        <f t="shared" si="38"/>
        <v/>
      </c>
    </row>
    <row r="93" spans="1:17" ht="15.75" customHeight="1">
      <c r="A93" s="10"/>
      <c r="B93" s="2" t="s">
        <v>309</v>
      </c>
      <c r="C93" s="23">
        <f>C90/Market_Price</f>
        <v>5.1813471502590677E-2</v>
      </c>
      <c r="E93" s="268"/>
      <c r="G93" s="23">
        <f t="shared" ref="G93:Q93" si="39">IF(G$4="","",G90/Market_Price)</f>
        <v>6.8378398109844557E-2</v>
      </c>
      <c r="H93" s="23">
        <f t="shared" si="39"/>
        <v>0.11717159278756475</v>
      </c>
      <c r="I93" s="23">
        <f t="shared" si="39"/>
        <v>0.10075624887046632</v>
      </c>
      <c r="J93" s="23">
        <f t="shared" si="39"/>
        <v>8.7737183005181338E-2</v>
      </c>
      <c r="K93" s="23">
        <f t="shared" si="39"/>
        <v>4.5283707357512949E-2</v>
      </c>
      <c r="L93" s="23">
        <f t="shared" si="39"/>
        <v>4.3019521989637301E-2</v>
      </c>
      <c r="M93" s="23">
        <f t="shared" si="39"/>
        <v>8.4906951295336791E-2</v>
      </c>
      <c r="N93" s="23">
        <f t="shared" si="39"/>
        <v>2.8302317098445593E-3</v>
      </c>
      <c r="O93" s="23">
        <f t="shared" si="39"/>
        <v>2.8302317098445596E-2</v>
      </c>
      <c r="P93" s="23">
        <f t="shared" si="39"/>
        <v>4.5283707357512949E-2</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164</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24075995</v>
      </c>
      <c r="D101" s="26"/>
      <c r="E101" s="269"/>
      <c r="F101" s="26"/>
      <c r="G101" s="333">
        <f t="shared" ref="G101:Q101" si="42">IF(G$4="","",G105+G104)</f>
        <v>24075995</v>
      </c>
      <c r="H101" s="333">
        <f t="shared" si="42"/>
        <v>24317346</v>
      </c>
      <c r="I101" s="333">
        <f t="shared" si="42"/>
        <v>23497659</v>
      </c>
      <c r="J101" s="333">
        <f t="shared" si="42"/>
        <v>21431578</v>
      </c>
      <c r="K101" s="333">
        <f t="shared" si="42"/>
        <v>20747768</v>
      </c>
      <c r="L101" s="333">
        <f t="shared" si="42"/>
        <v>19419572</v>
      </c>
      <c r="M101" s="333">
        <f t="shared" si="42"/>
        <v>19949208</v>
      </c>
      <c r="N101" s="333">
        <f t="shared" si="42"/>
        <v>19248992</v>
      </c>
      <c r="O101" s="333">
        <f t="shared" si="42"/>
        <v>19666693</v>
      </c>
      <c r="P101" s="333">
        <f t="shared" si="42"/>
        <v>20211911</v>
      </c>
      <c r="Q101" s="333" t="str">
        <f t="shared" si="42"/>
        <v/>
      </c>
    </row>
    <row r="102" spans="1:17" ht="15.75" customHeight="1">
      <c r="A102" s="10"/>
      <c r="B102" s="93" t="s">
        <v>210</v>
      </c>
      <c r="C102" s="345">
        <f>BS!C4</f>
        <v>103970</v>
      </c>
      <c r="D102" s="89"/>
      <c r="E102" s="270"/>
      <c r="F102" s="89"/>
      <c r="G102" s="346">
        <f>IF(G$4="","",Data!D77)</f>
        <v>263657</v>
      </c>
      <c r="H102" s="346">
        <f>IF(H$4="","",Data!E77)</f>
        <v>421401</v>
      </c>
      <c r="I102" s="346">
        <f>IF(I$4="","",Data!F77)</f>
        <v>212262</v>
      </c>
      <c r="J102" s="346">
        <f>IF(J$4="","",Data!G77)</f>
        <v>635876</v>
      </c>
      <c r="K102" s="346">
        <f>IF(K$4="","",Data!H77)</f>
        <v>365962</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1124718</v>
      </c>
      <c r="D103" s="89"/>
      <c r="E103" s="270"/>
      <c r="F103" s="89"/>
      <c r="G103" s="346">
        <f>IF(G$4="","",Data!D78)</f>
        <v>974450</v>
      </c>
      <c r="H103" s="346">
        <f>IF(H$4="","",Data!E78)</f>
        <v>1189994</v>
      </c>
      <c r="I103" s="346">
        <f>IF(I$4="","",Data!F78)</f>
        <v>1231545</v>
      </c>
      <c r="J103" s="346">
        <f>IF(J$4="","",Data!G78)</f>
        <v>1001505</v>
      </c>
      <c r="K103" s="346">
        <f>IF(K$4="","",Data!H78)</f>
        <v>1110767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4569034</v>
      </c>
      <c r="D104" s="26"/>
      <c r="E104" s="269"/>
      <c r="F104" s="26"/>
      <c r="G104" s="333">
        <f>Data!C79</f>
        <v>4569034</v>
      </c>
      <c r="H104" s="333">
        <f>Data!D79</f>
        <v>4910188</v>
      </c>
      <c r="I104" s="333">
        <f>Data!E79</f>
        <v>5721069</v>
      </c>
      <c r="J104" s="333">
        <f>Data!F79</f>
        <v>4516904</v>
      </c>
      <c r="K104" s="333">
        <f>Data!G79</f>
        <v>5119631</v>
      </c>
      <c r="L104" s="333">
        <f>Data!H79</f>
        <v>4302483</v>
      </c>
      <c r="M104" s="333">
        <f>Data!I79</f>
        <v>4821570</v>
      </c>
      <c r="N104" s="333">
        <f>Data!J79</f>
        <v>5001063</v>
      </c>
      <c r="O104" s="333">
        <f>Data!K79</f>
        <v>5352833</v>
      </c>
      <c r="P104" s="333">
        <f>Data!L79</f>
        <v>5330337</v>
      </c>
      <c r="Q104" s="333" t="str">
        <f>Data!M79</f>
        <v/>
      </c>
    </row>
    <row r="105" spans="1:17" ht="15.75" customHeight="1">
      <c r="A105" s="10"/>
      <c r="B105" s="26" t="s">
        <v>30</v>
      </c>
      <c r="C105" s="344">
        <f>BS!G27</f>
        <v>19506961</v>
      </c>
      <c r="D105" s="26"/>
      <c r="E105" s="269"/>
      <c r="F105" s="26"/>
      <c r="G105" s="333">
        <f>Data!C80</f>
        <v>19506961</v>
      </c>
      <c r="H105" s="333">
        <f>Data!D80</f>
        <v>19407158</v>
      </c>
      <c r="I105" s="333">
        <f>Data!E80</f>
        <v>17776590</v>
      </c>
      <c r="J105" s="333">
        <f>Data!F80</f>
        <v>16914674</v>
      </c>
      <c r="K105" s="333">
        <f>Data!G80</f>
        <v>15628137</v>
      </c>
      <c r="L105" s="333">
        <f>Data!H80</f>
        <v>15117089</v>
      </c>
      <c r="M105" s="333">
        <f>Data!I80</f>
        <v>15127638</v>
      </c>
      <c r="N105" s="333">
        <f>Data!J80</f>
        <v>14247929</v>
      </c>
      <c r="O105" s="333">
        <f>Data!K80</f>
        <v>14313860</v>
      </c>
      <c r="P105" s="333">
        <f>Data!L80</f>
        <v>14881574</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392</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83</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91</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222</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0.13487896320713405</v>
      </c>
      <c r="D124" s="27"/>
      <c r="E124" s="265"/>
      <c r="F124" s="27"/>
      <c r="G124" s="177">
        <f t="shared" ref="G124:Q124" si="49">IF(G$4="","",G16*$C$3/Common_Shares*Exchange_Rate)</f>
        <v>0.14988832937479923</v>
      </c>
      <c r="H124" s="177">
        <f t="shared" si="49"/>
        <v>0.26277180049810278</v>
      </c>
      <c r="I124" s="177">
        <f t="shared" si="49"/>
        <v>0.3183992037888364</v>
      </c>
      <c r="J124" s="177">
        <f t="shared" si="49"/>
        <v>0.19919501201260181</v>
      </c>
      <c r="K124" s="177">
        <f t="shared" si="49"/>
        <v>0.10327580463347504</v>
      </c>
      <c r="L124" s="177">
        <f t="shared" si="49"/>
        <v>8.0044833005882859E-2</v>
      </c>
      <c r="M124" s="177">
        <f t="shared" si="49"/>
        <v>0.2996918568616399</v>
      </c>
      <c r="N124" s="177">
        <f t="shared" si="49"/>
        <v>9.3145461114793923E-2</v>
      </c>
      <c r="O124" s="177">
        <f t="shared" si="49"/>
        <v>-9.8221296892529272E-2</v>
      </c>
      <c r="P124" s="177">
        <f t="shared" si="49"/>
        <v>0.14277106316043381</v>
      </c>
      <c r="Q124" s="177" t="str">
        <f t="shared" si="49"/>
        <v/>
      </c>
    </row>
    <row r="125" spans="1:17" ht="15.75" customHeight="1">
      <c r="A125" s="10"/>
      <c r="B125" s="27" t="s">
        <v>269</v>
      </c>
      <c r="C125" s="77">
        <f>C19*Exchange_Rate*$C$3/(Market_Price*Common_Shares)</f>
        <v>6.9885473164318174E-2</v>
      </c>
      <c r="D125" s="27"/>
      <c r="E125" s="265"/>
      <c r="F125" s="27"/>
      <c r="G125" s="77">
        <f t="shared" ref="G125" si="50">IF(G$4="","",G124/Market_Price)</f>
        <v>7.7662346826320852E-2</v>
      </c>
      <c r="H125" s="77">
        <f t="shared" ref="H125" si="51">IF(H$4="","",H124/Market_Price)</f>
        <v>0.13615119196792891</v>
      </c>
      <c r="I125" s="77">
        <f t="shared" ref="I125" si="52">IF(I$4="","",I124/Market_Price)</f>
        <v>0.16497368071960436</v>
      </c>
      <c r="J125" s="77">
        <f t="shared" ref="J125" si="53">IF(J$4="","",J124/Market_Price)</f>
        <v>0.10320985078373152</v>
      </c>
      <c r="K125" s="77">
        <f t="shared" ref="K125" si="54">IF(K$4="","",K124/Market_Price)</f>
        <v>5.351077960283681E-2</v>
      </c>
      <c r="L125" s="77">
        <f t="shared" ref="L125" si="55">IF(L$4="","",L124/Market_Price)</f>
        <v>4.1474006738799411E-2</v>
      </c>
      <c r="M125" s="77">
        <f t="shared" ref="M125" si="56">IF(M$4="","",M124/Market_Price)</f>
        <v>0.15528075485059062</v>
      </c>
      <c r="N125" s="77">
        <f t="shared" ref="N125" si="57">IF(N$4="","",N124/Market_Price)</f>
        <v>4.826189695067043E-2</v>
      </c>
      <c r="O125" s="77">
        <f t="shared" ref="O125" si="58">IF(O$4="","",O124/Market_Price)</f>
        <v>-5.0891863674885636E-2</v>
      </c>
      <c r="P125" s="77">
        <f t="shared" ref="P125" si="59">IF(P$4="","",P124/Market_Price)</f>
        <v>7.3974644124577105E-2</v>
      </c>
      <c r="Q125" s="77" t="str">
        <f t="shared" ref="Q125" si="60">IF(Q$4="","",Q124/Market_Price)</f>
        <v/>
      </c>
    </row>
    <row r="126" spans="1:17" ht="15.75" customHeight="1">
      <c r="B126" s="2" t="s">
        <v>394</v>
      </c>
      <c r="C126" s="169"/>
      <c r="G126" s="23">
        <f>IF(G$4="","",(Data!C47*$C$3)/(Market_Price*Common_Shares))</f>
        <v>0.12937958706573904</v>
      </c>
      <c r="H126" s="23">
        <f>IF(H$4="","",(Data!D47*$C$3)/(Market_Price*Common_Shares))</f>
        <v>0.26683353376867142</v>
      </c>
      <c r="I126" s="23">
        <f>IF(I$4="","",(Data!E47*$C$3)/(Market_Price*Common_Shares))</f>
        <v>0.20216605037483282</v>
      </c>
      <c r="J126" s="23">
        <f>IF(J$4="","",(Data!F47*$C$3)/(Market_Price*Common_Shares))</f>
        <v>0.18448686680228835</v>
      </c>
      <c r="K126" s="23">
        <f>IF(K$4="","",(Data!G47*$C$3)/(Market_Price*Common_Shares))</f>
        <v>8.7572297213761474E-2</v>
      </c>
      <c r="L126" s="23">
        <f>IF(L$4="","",(Data!H47*$C$3)/(Market_Price*Common_Shares))</f>
        <v>8.4855855147067089E-2</v>
      </c>
      <c r="M126" s="23">
        <f>IF(M$4="","",(Data!I47*$C$3)/(Market_Price*Common_Shares))</f>
        <v>0.17177008755465142</v>
      </c>
      <c r="N126" s="23">
        <f>IF(N$4="","",(Data!J47*$C$3)/(Market_Price*Common_Shares))</f>
        <v>1.208366583120722E-2</v>
      </c>
      <c r="O126" s="23">
        <f>IF(O$4="","",(Data!K47*$C$3)/(Market_Price*Common_Shares))</f>
        <v>-2.6600204556438471E-2</v>
      </c>
      <c r="P126" s="23">
        <f>IF(P$4="","",(Data!L47*$C$3)/(Market_Price*Common_Shares))</f>
        <v>9.4752452991356928E-2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569161.93498729635</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7588825.7998306183</v>
      </c>
      <c r="D6" t="str">
        <f>Reporting_currency</f>
        <v>CNY</v>
      </c>
      <c r="E6" s="364" t="s">
        <v>249</v>
      </c>
      <c r="F6" s="364"/>
      <c r="H6" s="120"/>
    </row>
    <row r="7" spans="2:8">
      <c r="B7" s="148" t="s">
        <v>224</v>
      </c>
      <c r="C7" s="338">
        <f>BS!G31</f>
        <v>2119124</v>
      </c>
      <c r="D7" t="str">
        <f>Reporting_currency</f>
        <v>CNY</v>
      </c>
      <c r="E7" s="364"/>
      <c r="F7" s="364"/>
      <c r="H7" s="120"/>
    </row>
    <row r="8" spans="2:8">
      <c r="B8" s="148" t="s">
        <v>225</v>
      </c>
      <c r="C8" s="338">
        <f>BS!D66</f>
        <v>7865303.2833807282</v>
      </c>
      <c r="D8" t="str">
        <f>Reporting_currency</f>
        <v>CNY</v>
      </c>
      <c r="E8" s="364"/>
      <c r="F8" s="364"/>
      <c r="H8" s="120"/>
    </row>
    <row r="9" spans="2:8">
      <c r="B9" s="205" t="s">
        <v>190</v>
      </c>
      <c r="C9" s="348">
        <f>BS!H42</f>
        <v>52579.6</v>
      </c>
      <c r="D9" t="str">
        <f>Reporting_currency</f>
        <v>CNY</v>
      </c>
      <c r="E9" s="364"/>
      <c r="F9" s="364"/>
      <c r="H9" s="120"/>
    </row>
    <row r="10" spans="2:8" ht="13.15">
      <c r="B10" s="149" t="s">
        <v>227</v>
      </c>
      <c r="C10" s="347">
        <f>C6-C7+C8+C9</f>
        <v>13387584.683211347</v>
      </c>
      <c r="D10" t="str">
        <f>Reporting_currency</f>
        <v>CNY</v>
      </c>
      <c r="H10" s="120"/>
    </row>
    <row r="11" spans="2:8" ht="13.15" thickBot="1">
      <c r="B11" s="207" t="s">
        <v>166</v>
      </c>
      <c r="C11" s="208">
        <f>Exchange_Rate</f>
        <v>1.0924694399999999</v>
      </c>
      <c r="D11" t="str">
        <f>Thesis!C15</f>
        <v>CNY/HKD</v>
      </c>
      <c r="H11" s="120"/>
    </row>
    <row r="12" spans="2:8" ht="13.5" thickTop="1">
      <c r="B12" s="149" t="s">
        <v>102</v>
      </c>
      <c r="C12" s="111">
        <f>(C10*scaling_factor)/Common_Shares*Exchange_Rate</f>
        <v>3.1725655405250492</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0.02</v>
      </c>
      <c r="H16" s="120"/>
    </row>
    <row r="17" spans="2:17" ht="13.25" customHeight="1">
      <c r="B17" s="118" t="s">
        <v>134</v>
      </c>
      <c r="C17" s="162">
        <f>Scenarios!C64</f>
        <v>10</v>
      </c>
      <c r="H17" s="120"/>
    </row>
    <row r="18" spans="2:17" ht="13.25" customHeight="1">
      <c r="B18" s="153" t="s">
        <v>106</v>
      </c>
      <c r="C18" s="140">
        <f>(F52-C7+C8+C9)*Exchange_Rate/Common_Shares*scaling_factor</f>
        <v>3.2861435840580371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129</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3.1725655405250492</v>
      </c>
      <c r="C65" s="124">
        <f>C12</f>
        <v>3.1725655405250492</v>
      </c>
      <c r="D65" s="124">
        <f>C12</f>
        <v>3.1725655405250492</v>
      </c>
      <c r="E65" s="141">
        <f>C12</f>
        <v>3.1725655405250492</v>
      </c>
      <c r="F65" s="124">
        <f>C12</f>
        <v>3.1725655405250492</v>
      </c>
      <c r="H65" s="120"/>
    </row>
    <row r="66" spans="1:8" ht="13.15">
      <c r="A66" s="143">
        <f t="shared" ref="A66:A71" si="3">A56</f>
        <v>5</v>
      </c>
      <c r="B66" s="124">
        <f t="shared" ref="B66:F71" si="4">(B56-$C$7+$C$8+$C$9)/Common_Shares*$C$3*Exchange_Rate</f>
        <v>3.1171283344488581</v>
      </c>
      <c r="C66" s="124">
        <f t="shared" si="4"/>
        <v>3.1725655405250488</v>
      </c>
      <c r="D66" s="124">
        <f t="shared" si="4"/>
        <v>3.2295932713243936</v>
      </c>
      <c r="E66" s="124">
        <f t="shared" si="4"/>
        <v>3.2587256232621056</v>
      </c>
      <c r="F66" s="124">
        <f t="shared" si="4"/>
        <v>3.3182725941123437</v>
      </c>
      <c r="H66" s="120"/>
    </row>
    <row r="67" spans="1:8" ht="13.15">
      <c r="A67" s="143">
        <f t="shared" si="3"/>
        <v>10</v>
      </c>
      <c r="B67" s="124">
        <f t="shared" si="4"/>
        <v>3.0690789320315353</v>
      </c>
      <c r="C67" s="124">
        <f t="shared" si="4"/>
        <v>3.1725655405250488</v>
      </c>
      <c r="D67" s="124">
        <f t="shared" si="4"/>
        <v>3.2861435840580375</v>
      </c>
      <c r="E67" s="124">
        <f t="shared" si="4"/>
        <v>3.3470928591496629</v>
      </c>
      <c r="F67" s="124">
        <f t="shared" si="4"/>
        <v>3.4781379842116813</v>
      </c>
      <c r="H67" s="120"/>
    </row>
    <row r="68" spans="1:8" ht="13.15">
      <c r="A68" s="143">
        <f t="shared" si="3"/>
        <v>15</v>
      </c>
      <c r="B68" s="124">
        <f t="shared" si="4"/>
        <v>3.0138950414925332</v>
      </c>
      <c r="C68" s="124">
        <f t="shared" si="4"/>
        <v>3.1725655405250488</v>
      </c>
      <c r="D68" s="124">
        <f t="shared" si="4"/>
        <v>3.3577429023823435</v>
      </c>
      <c r="E68" s="124">
        <f t="shared" si="4"/>
        <v>3.4618861700964891</v>
      </c>
      <c r="F68" s="124">
        <f t="shared" si="4"/>
        <v>3.6970684933274529</v>
      </c>
      <c r="H68" s="120"/>
    </row>
    <row r="69" spans="1:8" ht="13.15">
      <c r="A69" s="144">
        <f t="shared" si="3"/>
        <v>20</v>
      </c>
      <c r="B69" s="124">
        <f t="shared" si="4"/>
        <v>2.9617839387046336</v>
      </c>
      <c r="C69" s="124">
        <f t="shared" si="4"/>
        <v>3.1725655405250488</v>
      </c>
      <c r="D69" s="124">
        <f t="shared" si="4"/>
        <v>3.4323863598453719</v>
      </c>
      <c r="E69" s="124">
        <f t="shared" si="4"/>
        <v>3.5848381502202145</v>
      </c>
      <c r="F69" s="124">
        <f t="shared" si="4"/>
        <v>3.945201039378516</v>
      </c>
      <c r="H69" s="120"/>
    </row>
    <row r="70" spans="1:8" ht="13.15">
      <c r="A70" s="144">
        <f t="shared" si="3"/>
        <v>25</v>
      </c>
      <c r="B70" s="124">
        <f t="shared" si="4"/>
        <v>2.9168769654398705</v>
      </c>
      <c r="C70" s="124">
        <f t="shared" si="4"/>
        <v>3.1725655405250484</v>
      </c>
      <c r="D70" s="124">
        <f t="shared" si="4"/>
        <v>3.5034297037629472</v>
      </c>
      <c r="E70" s="124">
        <f t="shared" si="4"/>
        <v>3.7051973195314996</v>
      </c>
      <c r="F70" s="124">
        <f t="shared" si="4"/>
        <v>4.203059547027725</v>
      </c>
    </row>
    <row r="71" spans="1:8" ht="13.15">
      <c r="A71" s="144">
        <f t="shared" si="3"/>
        <v>30</v>
      </c>
      <c r="B71" s="124">
        <f t="shared" si="4"/>
        <v>2.8801764008033337</v>
      </c>
      <c r="C71" s="124">
        <f t="shared" si="4"/>
        <v>3.1725655405250484</v>
      </c>
      <c r="D71" s="124">
        <f t="shared" si="4"/>
        <v>3.5675659399914874</v>
      </c>
      <c r="E71" s="124">
        <f t="shared" si="4"/>
        <v>3.8170677142059013</v>
      </c>
      <c r="F71" s="124">
        <f t="shared" si="4"/>
        <v>4.4582559970338176</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15</v>
      </c>
      <c r="E74" s="135">
        <f>INDEX(B$65:F$71, MATCH(D74, A$65:A$71, 0), MATCH(C74, B$64:F$64, 0))</f>
        <v>3.6970684933274529</v>
      </c>
      <c r="F74" s="142">
        <f>Scenarios!C58</f>
        <v>0.05</v>
      </c>
    </row>
    <row r="75" spans="1:8">
      <c r="B75" s="127" t="str">
        <f>Scenarios!B36</f>
        <v>Optimistic</v>
      </c>
      <c r="C75" s="142">
        <f>Scenarios!C38</f>
        <v>0.03</v>
      </c>
      <c r="D75" s="145">
        <f>Scenarios!C37</f>
        <v>10</v>
      </c>
      <c r="E75" s="135">
        <f>INDEX(B$65:F$71, MATCH(D75, A$65:A$71, 0), MATCH(C75, B$64:F$64, 0))</f>
        <v>3.3470928591496629</v>
      </c>
      <c r="F75" s="142">
        <f>Scenarios!C40*(1-F$74-F$78)</f>
        <v>0.18</v>
      </c>
      <c r="H75" s="120"/>
    </row>
    <row r="76" spans="1:8">
      <c r="B76" s="127" t="str">
        <f>Scenarios!B24</f>
        <v>Base</v>
      </c>
      <c r="C76" s="142">
        <f>Scenarios!C26</f>
        <v>0.02</v>
      </c>
      <c r="D76" s="145">
        <f>Scenarios!C25</f>
        <v>10</v>
      </c>
      <c r="E76" s="135">
        <f>INDEX(B$65:F$71, MATCH(D76, A$65:A$71, 0), MATCH(C76, B$64:F$64, 0))</f>
        <v>3.2861435840580375</v>
      </c>
      <c r="F76" s="142">
        <f>Scenarios!C28*(1-F$74-F$78)</f>
        <v>0.53999999999999992</v>
      </c>
      <c r="H76" s="120"/>
    </row>
    <row r="77" spans="1:8">
      <c r="B77" s="127" t="str">
        <f>Scenarios!B30</f>
        <v>Pessimistic</v>
      </c>
      <c r="C77" s="142">
        <f>Scenarios!C32</f>
        <v>0</v>
      </c>
      <c r="D77" s="145">
        <f>Scenarios!C31</f>
        <v>10</v>
      </c>
      <c r="E77" s="135">
        <f>INDEX(B$65:F$71, MATCH(D77, A$65:A$71, 0), MATCH(C77, B$64:F$64, 0))</f>
        <v>3.1725655405250488</v>
      </c>
      <c r="F77" s="142">
        <f>Scenarios!C34*(1-F$74-F$78)</f>
        <v>0.18</v>
      </c>
      <c r="H77" s="120"/>
    </row>
    <row r="78" spans="1:8">
      <c r="B78" s="127" t="str">
        <f>Scenarios!B48</f>
        <v>Devil's advocate</v>
      </c>
      <c r="C78" s="142">
        <f>Scenarios!C50</f>
        <v>-0.02</v>
      </c>
      <c r="D78" s="145">
        <f>Scenarios!C49</f>
        <v>15</v>
      </c>
      <c r="E78" s="135">
        <f>INDEX(B$65:F$71, MATCH(D78, A$65:A$71, 0), MATCH(C78, B$64:F$64, 0))</f>
        <v>3.0138950414925332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461000</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6146666.666666667</v>
      </c>
      <c r="D6" t="str">
        <f>Reporting_currency</f>
        <v>CNY</v>
      </c>
      <c r="E6" s="364"/>
      <c r="F6" s="364"/>
      <c r="H6" s="120"/>
    </row>
    <row r="7" spans="2:8" ht="13.15">
      <c r="B7" s="149" t="s">
        <v>444</v>
      </c>
      <c r="C7" s="111">
        <f>(C6*scaling_factor)/Common_Shares*Exchange_Rate</f>
        <v>1.45662592</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0.02</v>
      </c>
      <c r="H11" s="120"/>
    </row>
    <row r="12" spans="2:8" ht="13.25" customHeight="1">
      <c r="B12" s="118" t="s">
        <v>134</v>
      </c>
      <c r="C12" s="162">
        <f>Scenarios!C64</f>
        <v>10</v>
      </c>
      <c r="H12" s="120"/>
    </row>
    <row r="13" spans="2:8" ht="13.25" customHeight="1">
      <c r="B13" s="153" t="s">
        <v>106</v>
      </c>
      <c r="C13" s="140">
        <f>F47/Common_Shares*scaling_factor</f>
        <v>1.4175407151461414</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6269600</v>
      </c>
      <c r="D46" s="139">
        <f>Terminal_Growth</f>
        <v>0</v>
      </c>
      <c r="E46" s="124">
        <f>1/(1+Equity_Cost)^C12</f>
        <v>0.48519392830146441</v>
      </c>
      <c r="F46" s="125">
        <f t="shared" si="1"/>
        <v>3041971.8528788611</v>
      </c>
      <c r="H46" s="120"/>
    </row>
    <row r="47" spans="2:8">
      <c r="C47" s="114"/>
      <c r="E47" s="127" t="s">
        <v>100</v>
      </c>
      <c r="F47" s="137">
        <f>SUM(F16:F46)</f>
        <v>6534862.6968237124</v>
      </c>
      <c r="H47" s="120"/>
    </row>
    <row r="48" spans="2:8">
      <c r="C48" s="114"/>
      <c r="H48" s="120"/>
    </row>
    <row r="49" spans="1:8" ht="13.15">
      <c r="B49" s="119" t="s">
        <v>129</v>
      </c>
      <c r="C49" s="136"/>
      <c r="D49" s="136"/>
      <c r="E49" s="117"/>
      <c r="F49" s="117"/>
      <c r="H49" s="120"/>
    </row>
    <row r="50" spans="1:8" ht="13.15">
      <c r="A50" s="133">
        <f>F47</f>
        <v>6534862.6968237124</v>
      </c>
      <c r="B50" s="131">
        <f>C73</f>
        <v>-0.02</v>
      </c>
      <c r="C50" s="131">
        <f>C72</f>
        <v>0</v>
      </c>
      <c r="D50" s="131">
        <f>C71</f>
        <v>0.02</v>
      </c>
      <c r="E50" s="131">
        <f>C70</f>
        <v>0.03</v>
      </c>
      <c r="F50" s="131">
        <f>C69</f>
        <v>0.05</v>
      </c>
      <c r="H50" s="120"/>
    </row>
    <row r="51" spans="1:8" ht="13.15">
      <c r="A51" s="143">
        <v>5</v>
      </c>
      <c r="B51" s="123">
        <f t="dataTable" ref="B51:F56" dt2D="1" dtr="1" r1="C11" r2="C12"/>
        <v>5957188.9942895714</v>
      </c>
      <c r="C51" s="123">
        <v>6146666.666666667</v>
      </c>
      <c r="D51" s="123">
        <v>6341580.560378354</v>
      </c>
      <c r="E51" s="123">
        <v>6441151.4194949139</v>
      </c>
      <c r="F51" s="123">
        <v>6644675.7713228762</v>
      </c>
      <c r="H51" s="120"/>
    </row>
    <row r="52" spans="1:8" ht="13.15">
      <c r="A52" s="143">
        <v>10</v>
      </c>
      <c r="B52" s="123">
        <v>5792961.9422149733</v>
      </c>
      <c r="C52" s="123">
        <v>6146666.6666666679</v>
      </c>
      <c r="D52" s="123">
        <v>6534862.6968237124</v>
      </c>
      <c r="E52" s="123">
        <v>6743179.9551206185</v>
      </c>
      <c r="F52" s="123">
        <v>7191076.3595496453</v>
      </c>
      <c r="H52" s="120"/>
    </row>
    <row r="53" spans="1:8" ht="13.15">
      <c r="A53" s="143">
        <v>15</v>
      </c>
      <c r="B53" s="123">
        <v>5604350.0717380913</v>
      </c>
      <c r="C53" s="123">
        <v>6146666.6666666679</v>
      </c>
      <c r="D53" s="123">
        <v>6779580.5161386179</v>
      </c>
      <c r="E53" s="123">
        <v>7135529.622468059</v>
      </c>
      <c r="F53" s="123">
        <v>7939354.3882543659</v>
      </c>
      <c r="H53" s="120"/>
    </row>
    <row r="54" spans="1:8" ht="13.15">
      <c r="A54" s="144">
        <v>20</v>
      </c>
      <c r="B54" s="123">
        <v>5426240.6185364891</v>
      </c>
      <c r="C54" s="123">
        <v>6146666.6666666679</v>
      </c>
      <c r="D54" s="123">
        <v>7034702.8352330457</v>
      </c>
      <c r="E54" s="123">
        <v>7555764.6353217121</v>
      </c>
      <c r="F54" s="123">
        <v>8787441.4509779438</v>
      </c>
      <c r="H54" s="120"/>
    </row>
    <row r="55" spans="1:8" ht="13.15">
      <c r="A55" s="144">
        <v>25</v>
      </c>
      <c r="B55" s="123">
        <v>5272754.0096331891</v>
      </c>
      <c r="C55" s="123">
        <v>6146666.6666666688</v>
      </c>
      <c r="D55" s="123">
        <v>7277520.401199257</v>
      </c>
      <c r="E55" s="123">
        <v>7967137.7340850271</v>
      </c>
      <c r="F55" s="123">
        <v>9668770.675341364</v>
      </c>
      <c r="H55" s="120"/>
    </row>
    <row r="56" spans="1:8" ht="13.15">
      <c r="A56" s="144">
        <v>30</v>
      </c>
      <c r="B56" s="123">
        <v>5147315.9139127973</v>
      </c>
      <c r="C56" s="123">
        <v>6146666.6666666688</v>
      </c>
      <c r="D56" s="123">
        <v>7496730.3076095767</v>
      </c>
      <c r="E56" s="123">
        <v>8349497.2267636582</v>
      </c>
      <c r="F56" s="123">
        <v>10541001.308313685</v>
      </c>
      <c r="H56" s="120"/>
    </row>
    <row r="57" spans="1:8">
      <c r="C57" s="114"/>
      <c r="D57" s="114"/>
      <c r="E57" s="114"/>
      <c r="F57" s="114"/>
      <c r="H57" s="120"/>
    </row>
    <row r="58" spans="1:8" ht="13.15">
      <c r="B58" s="119" t="s">
        <v>130</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1.45662592</v>
      </c>
      <c r="C60" s="124">
        <f>C7</f>
        <v>1.45662592</v>
      </c>
      <c r="D60" s="124">
        <f>C7</f>
        <v>1.45662592</v>
      </c>
      <c r="E60" s="141">
        <f>C7</f>
        <v>1.45662592</v>
      </c>
      <c r="F60" s="124">
        <f>C7</f>
        <v>1.45662592</v>
      </c>
      <c r="H60" s="120"/>
    </row>
    <row r="61" spans="1:8" ht="13.15">
      <c r="A61" s="143">
        <f t="shared" ref="A61:A66" si="3">A51</f>
        <v>5</v>
      </c>
      <c r="B61" s="124">
        <f t="shared" ref="B61:F66" si="4">B51/Common_Shares*$C$3*Exchange_Rate</f>
        <v>1.4117238448081757</v>
      </c>
      <c r="C61" s="124">
        <f t="shared" si="4"/>
        <v>1.45662592</v>
      </c>
      <c r="D61" s="124">
        <f t="shared" si="4"/>
        <v>1.5028162610653852</v>
      </c>
      <c r="E61" s="124">
        <f t="shared" si="4"/>
        <v>1.5264123826921503</v>
      </c>
      <c r="F61" s="124">
        <f t="shared" si="4"/>
        <v>1.5746432145073037</v>
      </c>
      <c r="H61" s="120"/>
    </row>
    <row r="62" spans="1:8" ht="13.15">
      <c r="A62" s="143">
        <f t="shared" si="3"/>
        <v>10</v>
      </c>
      <c r="B62" s="124">
        <f t="shared" si="4"/>
        <v>1.3728056158249249</v>
      </c>
      <c r="C62" s="124">
        <f t="shared" si="4"/>
        <v>1.45662592</v>
      </c>
      <c r="D62" s="124">
        <f t="shared" si="4"/>
        <v>1.5486199112529044</v>
      </c>
      <c r="E62" s="124">
        <f t="shared" si="4"/>
        <v>1.5979865573513765</v>
      </c>
      <c r="F62" s="124">
        <f t="shared" si="4"/>
        <v>1.7041282350356701</v>
      </c>
      <c r="H62" s="120"/>
    </row>
    <row r="63" spans="1:8" ht="13.15">
      <c r="A63" s="143">
        <f t="shared" si="3"/>
        <v>15</v>
      </c>
      <c r="B63" s="124">
        <f t="shared" si="4"/>
        <v>1.3281087167973258</v>
      </c>
      <c r="C63" s="124">
        <f t="shared" si="4"/>
        <v>1.45662592</v>
      </c>
      <c r="D63" s="124">
        <f t="shared" si="4"/>
        <v>1.6066126962908605</v>
      </c>
      <c r="E63" s="124">
        <f t="shared" si="4"/>
        <v>1.690964870013252</v>
      </c>
      <c r="F63" s="124">
        <f t="shared" si="4"/>
        <v>1.8814538053140539</v>
      </c>
      <c r="H63" s="120"/>
    </row>
    <row r="64" spans="1:8" ht="13.15">
      <c r="A64" s="144">
        <f t="shared" si="3"/>
        <v>20</v>
      </c>
      <c r="B64" s="124">
        <f t="shared" si="4"/>
        <v>1.2859006615700244</v>
      </c>
      <c r="C64" s="124">
        <f t="shared" si="4"/>
        <v>1.45662592</v>
      </c>
      <c r="D64" s="124">
        <f t="shared" si="4"/>
        <v>1.6670711208185374</v>
      </c>
      <c r="E64" s="124">
        <f t="shared" si="4"/>
        <v>1.7905514012845367</v>
      </c>
      <c r="F64" s="124">
        <f t="shared" si="4"/>
        <v>2.0824319394756312</v>
      </c>
      <c r="H64" s="120"/>
    </row>
    <row r="65" spans="1:8" ht="13.15">
      <c r="A65" s="144">
        <f t="shared" si="3"/>
        <v>25</v>
      </c>
      <c r="B65" s="124">
        <f t="shared" si="4"/>
        <v>1.2495276833322613</v>
      </c>
      <c r="C65" s="124">
        <f t="shared" si="4"/>
        <v>1.4566259200000002</v>
      </c>
      <c r="D65" s="124">
        <f t="shared" si="4"/>
        <v>1.7246135872639319</v>
      </c>
      <c r="E65" s="124">
        <f t="shared" si="4"/>
        <v>1.8880378522253227</v>
      </c>
      <c r="F65" s="124">
        <f t="shared" si="4"/>
        <v>2.2912877408196533</v>
      </c>
    </row>
    <row r="66" spans="1:8" ht="13.15">
      <c r="A66" s="144">
        <f t="shared" si="3"/>
        <v>30</v>
      </c>
      <c r="B66" s="124">
        <f t="shared" si="4"/>
        <v>1.2198015908840349</v>
      </c>
      <c r="C66" s="124">
        <f t="shared" si="4"/>
        <v>1.4566259200000002</v>
      </c>
      <c r="D66" s="124">
        <f t="shared" si="4"/>
        <v>1.7765615533590589</v>
      </c>
      <c r="E66" s="124">
        <f t="shared" si="4"/>
        <v>1.978648711410856</v>
      </c>
      <c r="F66" s="124">
        <f t="shared" si="4"/>
        <v>2.4979873744756436</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15</v>
      </c>
      <c r="E69" s="135">
        <f>INDEX(B$60:F$66, MATCH(D69, A$60:A$66, 0), MATCH(C69, B$59:F$59, 0))</f>
        <v>1.8814538053140539</v>
      </c>
      <c r="F69" s="142">
        <f>Scenarios!C58</f>
        <v>0.05</v>
      </c>
    </row>
    <row r="70" spans="1:8">
      <c r="B70" s="127" t="str">
        <f>Scenarios!B36</f>
        <v>Optimistic</v>
      </c>
      <c r="C70" s="142">
        <f>Scenarios!C38</f>
        <v>0.03</v>
      </c>
      <c r="D70" s="145">
        <f>Scenarios!C37</f>
        <v>10</v>
      </c>
      <c r="E70" s="135">
        <f>INDEX(B$60:F$66, MATCH(D70, A$60:A$66, 0), MATCH(C70, B$59:F$59, 0))</f>
        <v>1.5979865573513765</v>
      </c>
      <c r="F70" s="142">
        <f>Scenarios!C40*(1-F$69-F$73)</f>
        <v>0.18</v>
      </c>
      <c r="H70" s="120"/>
    </row>
    <row r="71" spans="1:8">
      <c r="B71" s="127" t="str">
        <f>Scenarios!B24</f>
        <v>Base</v>
      </c>
      <c r="C71" s="142">
        <f>Scenarios!C26</f>
        <v>0.02</v>
      </c>
      <c r="D71" s="145">
        <f>Scenarios!C25</f>
        <v>10</v>
      </c>
      <c r="E71" s="135">
        <f>INDEX(B$60:F$66, MATCH(D71, A$60:A$66, 0), MATCH(C71, B$59:F$59, 0))</f>
        <v>1.5486199112529044</v>
      </c>
      <c r="F71" s="142">
        <f>Scenarios!C28*(1-F$69-F$73)</f>
        <v>0.53999999999999992</v>
      </c>
      <c r="H71" s="120"/>
    </row>
    <row r="72" spans="1:8">
      <c r="B72" s="127" t="str">
        <f>Scenarios!B30</f>
        <v>Pessimistic</v>
      </c>
      <c r="C72" s="142">
        <f>Scenarios!C32</f>
        <v>0</v>
      </c>
      <c r="D72" s="145">
        <f>Scenarios!C31</f>
        <v>10</v>
      </c>
      <c r="E72" s="135">
        <f>INDEX(B$60:F$66, MATCH(D72, A$60:A$66, 0), MATCH(C72, B$59:F$59, 0))</f>
        <v>1.45662592</v>
      </c>
      <c r="F72" s="142">
        <f>Scenarios!C34*(1-F$69-F$73)</f>
        <v>0.18</v>
      </c>
      <c r="H72" s="120"/>
    </row>
    <row r="73" spans="1:8">
      <c r="B73" s="127" t="str">
        <f>Scenarios!B48</f>
        <v>Devil's advocate</v>
      </c>
      <c r="C73" s="142">
        <f>Scenarios!C50</f>
        <v>-0.02</v>
      </c>
      <c r="D73" s="145">
        <f>Scenarios!C49</f>
        <v>15</v>
      </c>
      <c r="E73" s="135">
        <f>INDEX(B$60:F$66, MATCH(D73, A$60:A$66, 0), MATCH(C73, B$59:F$59, 0))</f>
        <v>1.3281087167973258</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25" zoomScale="75" zoomScaleNormal="100" workbookViewId="0">
      <selection activeCell="C55" sqref="C5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-1.93</v>
      </c>
    </row>
    <row r="4" spans="2:9">
      <c r="B4" s="152" t="s">
        <v>146</v>
      </c>
      <c r="C4" s="120">
        <v>3</v>
      </c>
      <c r="D4" s="120"/>
      <c r="E4" s="155" t="s">
        <v>150</v>
      </c>
      <c r="F4" s="155"/>
      <c r="H4" s="247">
        <v>1</v>
      </c>
      <c r="I4" s="124">
        <f t="shared" ref="I4:I13" si="0">IF(ROW()-3 &lt; $C$76, $C$77, IF(ROW()-3 = $C$76, $C$77 + $C$60, ""))</f>
        <v>0.1</v>
      </c>
    </row>
    <row r="5" spans="2:9">
      <c r="H5" s="247">
        <v>2</v>
      </c>
      <c r="I5" s="124">
        <f t="shared" si="0"/>
        <v>0.1</v>
      </c>
    </row>
    <row r="6" spans="2:9" ht="13.15">
      <c r="B6" s="159" t="s">
        <v>95</v>
      </c>
      <c r="C6" s="107">
        <f>DCF!C3</f>
        <v>1000</v>
      </c>
      <c r="E6" s="100" t="s">
        <v>279</v>
      </c>
      <c r="F6" s="100"/>
      <c r="H6" s="247">
        <v>3</v>
      </c>
      <c r="I6" s="124">
        <f t="shared" si="0"/>
        <v>3.3836042240737876</v>
      </c>
    </row>
    <row r="7" spans="2:9" ht="12.75" customHeight="1">
      <c r="B7" s="100" t="s">
        <v>275</v>
      </c>
      <c r="C7" s="338">
        <f>Normalized_FCF!G8</f>
        <v>966307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6"/>
      <c r="H7" s="247">
        <v>4</v>
      </c>
      <c r="I7" s="124" t="str">
        <f t="shared" si="0"/>
        <v/>
      </c>
    </row>
    <row r="8" spans="2:9">
      <c r="B8" s="100" t="s">
        <v>66</v>
      </c>
      <c r="C8" s="338">
        <f>Normalized_FCF!G19</f>
        <v>632498.42340470827</v>
      </c>
      <c r="D8" t="str">
        <f>Reporting_currency</f>
        <v>CNY</v>
      </c>
      <c r="E8" s="366"/>
      <c r="F8" s="366"/>
      <c r="H8" s="247">
        <v>5</v>
      </c>
      <c r="I8" s="124" t="str">
        <f t="shared" si="0"/>
        <v/>
      </c>
    </row>
    <row r="9" spans="2:9">
      <c r="B9" s="100" t="s">
        <v>57</v>
      </c>
      <c r="C9" s="338">
        <f>Normalized_FCF!C19</f>
        <v>569161.93498729635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-3.750240119526338E-2</v>
      </c>
      <c r="D12" s="158"/>
      <c r="E12" s="366"/>
      <c r="F12" s="366"/>
      <c r="H12" s="247">
        <v>9</v>
      </c>
      <c r="I12" s="124" t="str">
        <f t="shared" si="0"/>
        <v/>
      </c>
    </row>
    <row r="13" spans="2:9">
      <c r="B13" s="148" t="s">
        <v>152</v>
      </c>
      <c r="C13" s="158">
        <f ca="1">(Normalized_FCF!G8/OFFSET(Normalized_FCF!G8, 0, $C$4))^(1/$C$4) - 1</f>
        <v>-0.20361731775539216</v>
      </c>
      <c r="E13" s="366"/>
      <c r="F13" s="366"/>
      <c r="H13" s="247">
        <v>10</v>
      </c>
      <c r="I13" s="124" t="str">
        <f t="shared" si="0"/>
        <v/>
      </c>
    </row>
    <row r="14" spans="2:9">
      <c r="B14" s="100" t="s">
        <v>66</v>
      </c>
      <c r="C14" s="158">
        <f ca="1">(Normalized_FCF!G19/OFFSET(Normalized_FCF!G19, 0, $C$4))^(1/$C$4) - 1</f>
        <v>-9.0443280496378065E-2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1.93</v>
      </c>
      <c r="D21" t="str">
        <f>Market_currency</f>
        <v>HKD</v>
      </c>
      <c r="E21" s="367"/>
      <c r="F21" s="367"/>
    </row>
    <row r="22" spans="2:6">
      <c r="B22" s="100" t="s">
        <v>278</v>
      </c>
      <c r="C22" s="160">
        <f>IF(valuation_method="DCF",DCF!C12,DDM!C7)</f>
        <v>3.1725655405250492</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3.2861435840580375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3.1725655405250488</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3.3470928591496629</v>
      </c>
      <c r="D39" t="str">
        <f>Market_currency</f>
        <v>HKD</v>
      </c>
      <c r="E39" s="365"/>
      <c r="F39" s="365"/>
    </row>
    <row r="40" spans="2:6">
      <c r="B40" s="100" t="s">
        <v>147</v>
      </c>
      <c r="C40" s="167">
        <f>1-C28-C34</f>
        <v>0.2</v>
      </c>
      <c r="D40" s="165"/>
      <c r="E40" s="365"/>
      <c r="F40" s="365"/>
    </row>
    <row r="42" spans="2:6" ht="13.15">
      <c r="B42" s="100" t="s">
        <v>120</v>
      </c>
      <c r="C42" s="154">
        <f>C27*C28+C33*C34+C39*C40</f>
        <v>3.2756178303697649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-0.02</v>
      </c>
      <c r="D50" s="164"/>
      <c r="E50" s="365"/>
      <c r="F50" s="365"/>
    </row>
    <row r="51" spans="2:6">
      <c r="B51" s="100" t="s">
        <v>113</v>
      </c>
      <c r="C51" s="160">
        <f>IF(valuation_method="DCF",DCF!E78,DDM!E73)</f>
        <v>3.0138950414925332</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0.05</v>
      </c>
      <c r="D56" s="164"/>
      <c r="E56" s="365"/>
      <c r="F56" s="365"/>
    </row>
    <row r="57" spans="2:6">
      <c r="B57" s="100" t="s">
        <v>113</v>
      </c>
      <c r="C57" s="160">
        <f>IF(valuation_method="DCF",DCF!E74,DDM!E69)</f>
        <v>3.6970684933274529</v>
      </c>
      <c r="D57" t="str">
        <f>Market_currency</f>
        <v>HKD</v>
      </c>
      <c r="E57" s="365"/>
      <c r="F57" s="365"/>
    </row>
    <row r="58" spans="2:6">
      <c r="B58" s="100" t="s">
        <v>147</v>
      </c>
      <c r="C58" s="165">
        <v>0.05</v>
      </c>
      <c r="D58" s="165"/>
      <c r="E58" s="365"/>
      <c r="F58" s="365"/>
    </row>
    <row r="60" spans="2:6" ht="13.15">
      <c r="B60" s="100" t="s">
        <v>120</v>
      </c>
      <c r="C60" s="154">
        <f>C51*C52+C57*C58+C42*(1-C52-C58)</f>
        <v>3.2836042240737875</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0.02</v>
      </c>
      <c r="D65" s="151"/>
      <c r="E65" s="251" t="s">
        <v>312</v>
      </c>
    </row>
    <row r="66" spans="2:6">
      <c r="B66" s="100" t="s">
        <v>102</v>
      </c>
      <c r="C66" s="160">
        <f>IF(valuation_method="DCF",DCF!C18,DDM!C13)</f>
        <v>3.2861435840580371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0.41849725809070243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v>
      </c>
      <c r="D77" t="str">
        <f>Market_currency</f>
        <v>HKD</v>
      </c>
    </row>
    <row r="79" spans="2:6" ht="13.15">
      <c r="B79" s="109" t="s">
        <v>301</v>
      </c>
    </row>
    <row r="80" spans="2:6">
      <c r="B80" s="148" t="s">
        <v>299</v>
      </c>
      <c r="C80" s="167">
        <f>Thesis!F29</f>
        <v>0.3674</v>
      </c>
    </row>
    <row r="81" spans="2:8">
      <c r="B81" s="100" t="s">
        <v>121</v>
      </c>
      <c r="C81" s="116">
        <f>PV(C80, C76, -C77, 0)</f>
        <v>0.16572593193648588</v>
      </c>
      <c r="D81" s="116"/>
      <c r="E81" s="100"/>
      <c r="F81" s="100"/>
    </row>
    <row r="82" spans="2:8">
      <c r="B82" s="100" t="s">
        <v>122</v>
      </c>
      <c r="C82" s="116">
        <f>C60/(1+C80)^C76</f>
        <v>1.2842928921602859</v>
      </c>
      <c r="D82" s="116"/>
    </row>
    <row r="83" spans="2:8" ht="13.15">
      <c r="B83" s="110" t="s">
        <v>101</v>
      </c>
      <c r="C83" s="111">
        <f>C81+C82</f>
        <v>1.4500188240967717</v>
      </c>
      <c r="D83" t="str">
        <f>Market_currency</f>
        <v>HKD</v>
      </c>
      <c r="E83" s="146" t="s">
        <v>126</v>
      </c>
      <c r="F83" s="291">
        <f>(1-C83/C60)</f>
        <v>0.55840633488471614</v>
      </c>
    </row>
    <row r="84" spans="2:8">
      <c r="E84" s="120"/>
    </row>
    <row r="85" spans="2:8" ht="13.15">
      <c r="B85" s="109" t="s">
        <v>302</v>
      </c>
    </row>
    <row r="86" spans="2:8">
      <c r="B86" s="148" t="s">
        <v>300</v>
      </c>
      <c r="C86" s="116">
        <f>Market_Price</f>
        <v>1.93</v>
      </c>
      <c r="D86" t="str">
        <f>Market_currency</f>
        <v>HKD</v>
      </c>
    </row>
    <row r="87" spans="2:8" ht="13.15">
      <c r="B87" s="100" t="s">
        <v>298</v>
      </c>
      <c r="C87" s="237">
        <f ca="1">IRR(OFFSET($I$3, 0, 0, $C$76 + 1, 1))</f>
        <v>0.23784293912282584</v>
      </c>
    </row>
    <row r="88" spans="2:8">
      <c r="B88" s="100"/>
    </row>
    <row r="89" spans="2:8" ht="13.15">
      <c r="B89" s="109" t="s">
        <v>412</v>
      </c>
    </row>
    <row r="90" spans="2:8">
      <c r="B90" s="148" t="s">
        <v>413</v>
      </c>
      <c r="C90" s="167">
        <f>Thesis!F30</f>
        <v>0.21740000000000001</v>
      </c>
    </row>
    <row r="91" spans="2:8">
      <c r="B91" s="100" t="s">
        <v>121</v>
      </c>
      <c r="C91" s="116">
        <f>PV(C90, C76, -C77, 0)</f>
        <v>0.20504008238649371</v>
      </c>
      <c r="D91" s="116"/>
      <c r="E91" s="100"/>
      <c r="F91" s="100"/>
    </row>
    <row r="92" spans="2:8">
      <c r="B92" s="100" t="s">
        <v>122</v>
      </c>
      <c r="C92" s="116">
        <f>C60/(1+C90)^C76</f>
        <v>1.8199141991869328</v>
      </c>
      <c r="D92" s="116"/>
    </row>
    <row r="93" spans="2:8" ht="13.15">
      <c r="B93" s="110" t="s">
        <v>101</v>
      </c>
      <c r="C93" s="111">
        <f>C91+C92</f>
        <v>2.0249542815734265</v>
      </c>
      <c r="D93" t="str">
        <f>Market_currency</f>
        <v>HKD</v>
      </c>
      <c r="E93" s="146" t="s">
        <v>126</v>
      </c>
      <c r="F93" s="291">
        <f>(1-C93/C60)</f>
        <v>0.38331353494813791</v>
      </c>
    </row>
    <row r="95" spans="2:8" ht="13.15">
      <c r="B95" s="109" t="s">
        <v>397</v>
      </c>
      <c r="G95" s="2"/>
      <c r="H95" s="281"/>
    </row>
    <row r="96" spans="2:8">
      <c r="B96" s="148" t="s">
        <v>403</v>
      </c>
      <c r="C96" s="134">
        <f>Thesis!F31</f>
        <v>7.4999999999999997E-2</v>
      </c>
      <c r="G96" s="2"/>
      <c r="H96" s="281"/>
    </row>
    <row r="97" spans="2:8">
      <c r="B97" s="100" t="s">
        <v>121</v>
      </c>
      <c r="C97" s="116">
        <f>PV(C96, C76, -C77, 0)</f>
        <v>0.26005257398719595</v>
      </c>
      <c r="D97" s="116"/>
      <c r="G97" s="2"/>
      <c r="H97" s="281"/>
    </row>
    <row r="98" spans="2:8">
      <c r="B98" s="100" t="s">
        <v>122</v>
      </c>
      <c r="C98" s="116">
        <f>C60/(1+C96)^C76</f>
        <v>2.6431719262545741</v>
      </c>
      <c r="D98" s="116"/>
      <c r="G98" s="2"/>
      <c r="H98" s="281"/>
    </row>
    <row r="99" spans="2:8" ht="13.15">
      <c r="B99" s="110" t="s">
        <v>398</v>
      </c>
      <c r="C99" s="111">
        <f>C97+C98</f>
        <v>2.90322450024177</v>
      </c>
      <c r="D99" t="s">
        <v>396</v>
      </c>
      <c r="E99" s="146" t="s">
        <v>126</v>
      </c>
      <c r="F99" s="291">
        <f>(1-C99/C60)</f>
        <v>0.11584213500617968</v>
      </c>
    </row>
    <row r="100" spans="2:8">
      <c r="B100" s="100"/>
    </row>
    <row r="101" spans="2:8" ht="13.15">
      <c r="B101" s="109" t="s">
        <v>422</v>
      </c>
    </row>
    <row r="102" spans="2:8">
      <c r="B102" s="148" t="s">
        <v>421</v>
      </c>
      <c r="C102" s="134">
        <f>Thesis!F32</f>
        <v>0.1174</v>
      </c>
    </row>
    <row r="103" spans="2:8">
      <c r="B103" s="100" t="s">
        <v>121</v>
      </c>
      <c r="C103" s="116">
        <f>PV(C102, C76, -C77, 0)</f>
        <v>0.24126031259386493</v>
      </c>
      <c r="D103" s="116"/>
    </row>
    <row r="104" spans="2:8">
      <c r="B104" s="100" t="s">
        <v>122</v>
      </c>
      <c r="C104" s="116">
        <f>C60/(1+C102)^C76</f>
        <v>2.353557454152194</v>
      </c>
      <c r="D104" s="116"/>
    </row>
    <row r="105" spans="2:8" ht="13.15">
      <c r="B105" s="110" t="s">
        <v>398</v>
      </c>
      <c r="C105" s="111">
        <f>C103+C104</f>
        <v>2.594817766746059</v>
      </c>
      <c r="D105" t="s">
        <v>396</v>
      </c>
      <c r="E105" s="146" t="s">
        <v>126</v>
      </c>
      <c r="F105" s="291">
        <f>(1-C105/C66)</f>
        <v>0.2103760227233481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