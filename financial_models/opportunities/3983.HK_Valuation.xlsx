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3DEA81B-8D7C-40B8-B269-9F9D6D2B2DA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8" i="2"/>
  <c r="Q117" i="2"/>
  <c r="K118" i="2"/>
  <c r="L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<sst xmlns="http://schemas.openxmlformats.org/spreadsheetml/2006/main" count="685" uniqueCount="466">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</sst>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1.98</v>
      </c>
      <c r="D12" s="50"/>
      <c r="E12" s="48"/>
    </row>
    <row r="13" spans="1:10">
      <c r="B13" s="1" t="s">
        <v>416</v>
      </c>
      <c r="C13" s="48" t="s">
        <v>396</v>
      </c>
      <c r="D13" s="48"/>
      <c r="E13" s="5"/>
    </row>
    <row r="14" spans="1:10">
      <c r="B14" s="4" t="s">
        <v>420</v>
      </c>
      <c r="C14" s="35">
        <f>Thesis!C12*Common_Shares/1000000</f>
        <v>9127.7999999999993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1.0907712000000001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3.2846465100223896</v>
      </c>
      <c r="D26" s="1" t="s">
        <v>399</v>
      </c>
      <c r="E26" s="301">
        <f ca="1">Scenarios!C87</f>
        <v>0.22703220937277968</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1.4504264860267857</v>
      </c>
      <c r="D29" s="310" t="str">
        <f>D149</f>
        <v/>
      </c>
      <c r="E29" s="306" t="s">
        <v>424</v>
      </c>
      <c r="F29" s="302">
        <v>0.3674</v>
      </c>
    </row>
    <row r="30" spans="2:6">
      <c r="B30" s="1" t="s">
        <v>426</v>
      </c>
      <c r="C30" s="311">
        <f>C157</f>
        <v>2.0255319611194467</v>
      </c>
      <c r="D30" s="311" t="str">
        <f>D157</f>
        <v/>
      </c>
      <c r="E30" s="307" t="s">
        <v>437</v>
      </c>
      <c r="F30" s="312">
        <v>0.21740000000000001</v>
      </c>
    </row>
    <row r="31" spans="2:6">
      <c r="B31" s="1" t="s">
        <v>427</v>
      </c>
      <c r="C31" s="311">
        <f>C165</f>
        <v>2.9040634993325485</v>
      </c>
      <c r="D31" s="311" t="str">
        <f>D165</f>
        <v/>
      </c>
      <c r="E31" s="307" t="s">
        <v>436</v>
      </c>
      <c r="F31" s="312">
        <v>7.4999999999999997E-2</v>
      </c>
    </row>
    <row r="32" spans="2:6">
      <c r="B32" s="1" t="s">
        <v>428</v>
      </c>
      <c r="C32" s="311">
        <f>C173</f>
        <v>2.5955648360322128</v>
      </c>
      <c r="D32" s="311" t="str">
        <f>D173</f>
        <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6"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6.8014795111682472E-2</v>
      </c>
      <c r="F69" s="314"/>
    </row>
    <row r="70" spans="1:6">
      <c r="B70" s="227" t="s">
        <v>308</v>
      </c>
      <c r="C70" s="92">
        <f>Normalized_FCF!C93</f>
        <v>5.0505050505050511E-2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1.7955905909484173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0.50140551592815619</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1.8610078743551273</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1.2440848891002169E-2</v>
      </c>
      <c r="D114" s="1" t="str">
        <f>Market_currency</f>
        <v>HKD</v>
      </c>
    </row>
    <row r="116" spans="1:6" ht="24.6" customHeight="1">
      <c r="B116" s="358" t="s">
        <v>366</v>
      </c>
      <c r="C116" s="358"/>
      <c r="D116" s="358"/>
      <c r="E116" s="358"/>
      <c r="F116" s="358"/>
    </row>
    <row r="118" spans="1:6">
      <c r="B118" s="47" t="s">
        <v>449</v>
      </c>
      <c r="C118" s="223">
        <f>IF(valuation_method="DCF",DCF!C12,DDM!C7)</f>
        <v>3.1676337982663911</v>
      </c>
      <c r="D118" s="1" t="str">
        <f>Market_currency</f>
        <v>HKD</v>
      </c>
    </row>
    <row r="119" spans="1:6">
      <c r="B119" s="296" t="s">
        <v>405</v>
      </c>
      <c r="C119" s="223">
        <f>BS!D47</f>
        <v>1.8427475047736226</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3.46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258</v>
      </c>
      <c r="C132" s="217">
        <f>Scenarios!C60</f>
        <v>3.2846465100223896</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1.2847005540902998</v>
      </c>
    </row>
    <row r="149" spans="2:4">
      <c r="B149" s="80" t="s">
        <v>260</v>
      </c>
      <c r="C149" s="215">
        <f>Scenarios!C83</f>
        <v>1.4504264860267857</v>
      </c>
      <c r="D149" s="300" t="str">
        <f>IF($D$11="","",C149*$E$25)</f>
        <v/>
      </c>
    </row>
    <row r="150" spans="2:4">
      <c r="B150" s="259" t="s">
        <v>416</v>
      </c>
      <c r="C150" s="298" t="str">
        <f>Market_currency</f>
        <v>HKD</v>
      </c>
      <c r="D150" s="298" t="str">
        <f>IF($D$11="","",D$13)</f>
        <v/>
      </c>
    </row>
    <row r="151" spans="2:4">
      <c r="B151" s="214" t="s">
        <v>262</v>
      </c>
      <c r="C151" s="92">
        <f>Scenarios!F83</f>
        <v>0.55842235028910348</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1.8204918787329532</v>
      </c>
    </row>
    <row r="157" spans="2:4">
      <c r="B157" s="80" t="s">
        <v>260</v>
      </c>
      <c r="C157" s="215">
        <f>Scenarios!C93</f>
        <v>2.0255319611194467</v>
      </c>
      <c r="D157" s="300" t="str">
        <f>IF($D$11="","",C157*$E$25)</f>
        <v/>
      </c>
    </row>
    <row r="158" spans="2:4">
      <c r="B158" s="259" t="s">
        <v>416</v>
      </c>
      <c r="C158" s="298" t="str">
        <f>Market_currency</f>
        <v>HKD</v>
      </c>
      <c r="D158" s="298" t="str">
        <f>IF($D$11="","",D$13)</f>
        <v/>
      </c>
    </row>
    <row r="159" spans="2:4">
      <c r="B159" s="214" t="s">
        <v>262</v>
      </c>
      <c r="C159" s="92">
        <f>Scenarios!F93</f>
        <v>0.3833333495890735</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2.6440109253453525</v>
      </c>
    </row>
    <row r="165" spans="2:4">
      <c r="B165" s="80" t="s">
        <v>401</v>
      </c>
      <c r="C165" s="215">
        <f>Scenarios!C99</f>
        <v>2.9040634993325485</v>
      </c>
      <c r="D165" s="300" t="str">
        <f>IF($D$11="","",C165*$E$25)</f>
        <v/>
      </c>
    </row>
    <row r="166" spans="2:4">
      <c r="B166" s="259" t="s">
        <v>416</v>
      </c>
      <c r="C166" s="298" t="str">
        <f>Market_currency</f>
        <v>HKD</v>
      </c>
      <c r="D166" s="298" t="str">
        <f>IF($D$11="","",D$13)</f>
        <v/>
      </c>
    </row>
    <row r="167" spans="2:4">
      <c r="B167" s="214" t="s">
        <v>262</v>
      </c>
      <c r="C167" s="92">
        <f>Scenarios!F99</f>
        <v>0.11586726593822938</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2.3543045234383477</v>
      </c>
    </row>
    <row r="173" spans="2:4">
      <c r="B173" s="80" t="s">
        <v>401</v>
      </c>
      <c r="C173" s="215">
        <f>Scenarios!C105</f>
        <v>2.5955648360322128</v>
      </c>
      <c r="D173" s="300" t="str">
        <f>IF($D$11="","",C173*$E$25)</f>
        <v/>
      </c>
    </row>
    <row r="174" spans="2:4">
      <c r="B174" s="259" t="s">
        <v>416</v>
      </c>
      <c r="C174" s="298" t="str">
        <f>Market_currency</f>
        <v>HKD</v>
      </c>
      <c r="D174" s="298" t="str">
        <f>IF($D$11="","",D$13)</f>
        <v/>
      </c>
    </row>
    <row r="175" spans="2:4">
      <c r="B175" s="214" t="s">
        <v>262</v>
      </c>
      <c r="C175" s="92">
        <f>Scenarios!F105</f>
        <v>0.20891895073378253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0.13176516096000002</v>
      </c>
      <c r="D25" s="39">
        <f>0.207*Exchange_Rate</f>
        <v>0.22578963839999999</v>
      </c>
      <c r="E25" s="39">
        <f>0.178*Exchange_Rate</f>
        <v>0.19415727360000001</v>
      </c>
      <c r="F25" s="39">
        <f>0.155*Exchange_Rate</f>
        <v>0.16906953600000002</v>
      </c>
      <c r="G25" s="39">
        <f>0.08*Exchange_Rate</f>
        <v>8.7261696E-2</v>
      </c>
      <c r="H25" s="39">
        <f>0.076*Exchange_Rate</f>
        <v>8.28986112E-2</v>
      </c>
      <c r="I25" s="39">
        <f>0.15*Exchange_Rate</f>
        <v>0.16361568000000001</v>
      </c>
      <c r="J25" s="39">
        <f>0.005*Exchange_Rate</f>
        <v>5.453856E-3</v>
      </c>
      <c r="K25" s="39">
        <f>0.05*Exchange_Rate</f>
        <v>5.4538560000000007E-2</v>
      </c>
      <c r="L25" s="39">
        <f>0.08*Exchange_Rate</f>
        <v>8.7261696E-2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0.13176516096000002</v>
      </c>
      <c r="D65" s="73">
        <f t="shared" ref="D65:M65" si="33">IF(D$4="","",D25)</f>
        <v>0.22578963839999999</v>
      </c>
      <c r="E65" s="73">
        <f t="shared" si="33"/>
        <v>0.19415727360000001</v>
      </c>
      <c r="F65" s="73">
        <f t="shared" si="33"/>
        <v>0.16906953600000002</v>
      </c>
      <c r="G65" s="73">
        <f t="shared" si="33"/>
        <v>8.7261696E-2</v>
      </c>
      <c r="H65" s="73">
        <f t="shared" si="33"/>
        <v>8.28986112E-2</v>
      </c>
      <c r="I65" s="73">
        <f t="shared" si="33"/>
        <v>0.16361568000000001</v>
      </c>
      <c r="J65" s="73">
        <f t="shared" si="33"/>
        <v>5.453856E-3</v>
      </c>
      <c r="K65" s="73">
        <f t="shared" si="33"/>
        <v>5.4538560000000007E-2</v>
      </c>
      <c r="L65" s="73">
        <f t="shared" si="33"/>
        <v>8.7261696E-2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4.3555788271632103</v>
      </c>
      <c r="D47" s="147">
        <f>D46*H1/Common_Shares*Exchange_Rate</f>
        <v>1.8427475047736226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-965632.4493354666</v>
      </c>
      <c r="D73" s="349">
        <f>(Normalized_FCF!C25+Normalized_FCF!C35-Normalized_FCF!C91)/12</f>
        <v>-956584.92915481783</v>
      </c>
      <c r="F73" s="1" t="s">
        <v>351</v>
      </c>
    </row>
    <row r="74" spans="2:6" ht="15" customHeight="1">
      <c r="B74" s="257" t="s">
        <v>321</v>
      </c>
      <c r="C74" s="258">
        <f>-$C$66/C73</f>
        <v>12.10775695042768</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-2311479.4284288003</v>
      </c>
      <c r="D86" s="223">
        <f>C86*scaling_factor/Common_Shares</f>
        <v>-0.50140551592815619</v>
      </c>
      <c r="E86" s="240" t="str">
        <f>Market_currency</f>
        <v>HKD</v>
      </c>
    </row>
    <row r="87" spans="2:8" ht="15" customHeight="1">
      <c r="B87" s="238" t="s">
        <v>287</v>
      </c>
      <c r="C87" s="76">
        <f>DCF!C8*Exchange_Rate</f>
        <v>8579246.3007771373</v>
      </c>
      <c r="D87" s="223">
        <f>C87*scaling_factor/Common_Shares</f>
        <v>1.8610078743551275</v>
      </c>
      <c r="E87" s="240" t="str">
        <f>Market_currency</f>
        <v>HKD</v>
      </c>
    </row>
    <row r="88" spans="2:8" ht="15" customHeight="1">
      <c r="B88" s="239" t="s">
        <v>189</v>
      </c>
      <c r="C88" s="76">
        <f>DCF!C9*Exchange_Rate</f>
        <v>57352.31338752</v>
      </c>
      <c r="D88" s="223">
        <f>C88*scaling_factor/Common_Shares</f>
        <v>1.2440848891002169E-2</v>
      </c>
      <c r="E88" s="240" t="str">
        <f>Market_currency</f>
        <v>HKD</v>
      </c>
    </row>
    <row r="89" spans="2:8" ht="15" customHeight="1">
      <c r="B89" s="80" t="s">
        <v>291</v>
      </c>
      <c r="C89" s="180">
        <f>SUM(C86:C88)</f>
        <v>6325119.1857358562</v>
      </c>
      <c r="D89" s="242">
        <f>SUM(D86:D88)</f>
        <v>1.3720432073179736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0.13176516096000002</v>
      </c>
      <c r="H90" s="112">
        <f>Data!D65</f>
        <v>0.22578963839999999</v>
      </c>
      <c r="I90" s="112">
        <f>Data!E65</f>
        <v>0.19415727360000001</v>
      </c>
      <c r="J90" s="112">
        <f>Data!F65</f>
        <v>0.16906953600000002</v>
      </c>
      <c r="K90" s="112">
        <f>Data!G65</f>
        <v>8.7261696E-2</v>
      </c>
      <c r="L90" s="112">
        <f>Data!H65</f>
        <v>8.28986112E-2</v>
      </c>
      <c r="M90" s="112">
        <f>Data!I65</f>
        <v>0.16361568000000001</v>
      </c>
      <c r="N90" s="112">
        <f>Data!J65</f>
        <v>5.453856E-3</v>
      </c>
      <c r="O90" s="112">
        <f>Data!K65</f>
        <v>5.4538560000000007E-2</v>
      </c>
      <c r="P90" s="112">
        <f>Data!L65</f>
        <v>8.7261696E-2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607437.39202560007</v>
      </c>
      <c r="H91" s="74">
        <f t="shared" si="37"/>
        <v>1040890.233024</v>
      </c>
      <c r="I91" s="74">
        <f t="shared" si="37"/>
        <v>895065.031296</v>
      </c>
      <c r="J91" s="74">
        <f t="shared" si="37"/>
        <v>779410.56096000003</v>
      </c>
      <c r="K91" s="74">
        <f t="shared" si="37"/>
        <v>402276.41856000002</v>
      </c>
      <c r="L91" s="74">
        <f t="shared" si="37"/>
        <v>382162.59763199999</v>
      </c>
      <c r="M91" s="74">
        <f t="shared" si="37"/>
        <v>754268.28480000002</v>
      </c>
      <c r="N91" s="74">
        <f t="shared" si="37"/>
        <v>25142.276160000001</v>
      </c>
      <c r="O91" s="74">
        <f t="shared" si="37"/>
        <v>251422.76160000003</v>
      </c>
      <c r="P91" s="74">
        <f t="shared" si="37"/>
        <v>402276.41856000002</v>
      </c>
      <c r="Q91" s="74" t="str">
        <f t="shared" si="37"/>
        <v/>
      </c>
    </row>
    <row r="92" spans="1:17" ht="15.75" customHeight="1">
      <c r="A92" s="10"/>
      <c r="B92" s="2" t="s">
        <v>213</v>
      </c>
      <c r="C92" s="23">
        <f>C90/(C19*scaling_factor/Common_Shares)</f>
        <v>0.80996280963569622</v>
      </c>
      <c r="E92" s="268"/>
      <c r="G92" s="170">
        <f t="shared" ref="G92:Q92" si="38">IF(G$4="","",G90/(G19*scaling_factor/Common_Shares))</f>
        <v>0.96037771723729226</v>
      </c>
      <c r="H92" s="170">
        <f t="shared" si="38"/>
        <v>0.93871670914867211</v>
      </c>
      <c r="I92" s="170">
        <f t="shared" si="38"/>
        <v>0.66617907782957753</v>
      </c>
      <c r="J92" s="170">
        <f t="shared" si="38"/>
        <v>0.92724862660363627</v>
      </c>
      <c r="K92" s="170">
        <f t="shared" si="38"/>
        <v>0.92306941108711971</v>
      </c>
      <c r="L92" s="170">
        <f t="shared" si="38"/>
        <v>1.1314184308159621</v>
      </c>
      <c r="M92" s="170">
        <f t="shared" si="38"/>
        <v>0.59642972010194217</v>
      </c>
      <c r="N92" s="170">
        <f t="shared" si="38"/>
        <v>6.3966305377110066E-2</v>
      </c>
      <c r="O92" s="170">
        <f t="shared" si="38"/>
        <v>-0.60660683565193485</v>
      </c>
      <c r="P92" s="170">
        <f t="shared" si="38"/>
        <v>0.66771749157212457</v>
      </c>
      <c r="Q92" s="170" t="str">
        <f t="shared" si="38"/>
        <v/>
      </c>
    </row>
    <row r="93" spans="1:17" ht="15.75" customHeight="1">
      <c r="A93" s="10"/>
      <c r="B93" s="2" t="s">
        <v>309</v>
      </c>
      <c r="C93" s="23">
        <f>C90/Market_Price</f>
        <v>5.0505050505050511E-2</v>
      </c>
      <c r="E93" s="268"/>
      <c r="G93" s="23">
        <f t="shared" ref="G93:Q93" si="39">IF(G$4="","",G90/Market_Price)</f>
        <v>6.6548061090909105E-2</v>
      </c>
      <c r="H93" s="23">
        <f t="shared" si="39"/>
        <v>0.1140351709090909</v>
      </c>
      <c r="I93" s="23">
        <f t="shared" si="39"/>
        <v>9.8059229090909097E-2</v>
      </c>
      <c r="J93" s="23">
        <f t="shared" si="39"/>
        <v>8.5388654545454551E-2</v>
      </c>
      <c r="K93" s="23">
        <f t="shared" si="39"/>
        <v>4.4071563636363636E-2</v>
      </c>
      <c r="L93" s="23">
        <f t="shared" si="39"/>
        <v>4.1867985454545453E-2</v>
      </c>
      <c r="M93" s="23">
        <f t="shared" si="39"/>
        <v>8.2634181818181829E-2</v>
      </c>
      <c r="N93" s="23">
        <f t="shared" si="39"/>
        <v>2.7544727272727273E-3</v>
      </c>
      <c r="O93" s="23">
        <f t="shared" si="39"/>
        <v>2.7544727272727276E-2</v>
      </c>
      <c r="P93" s="23">
        <f t="shared" si="39"/>
        <v>4.4071563636363636E-2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0.13466929432113128</v>
      </c>
      <c r="D124" s="27"/>
      <c r="E124" s="265"/>
      <c r="F124" s="27"/>
      <c r="G124" s="177">
        <f t="shared" ref="G124:Q124" si="49">IF(G$4="","",G16*$C$3/Common_Shares*Exchange_Rate)</f>
        <v>0.14965532848053401</v>
      </c>
      <c r="H124" s="177">
        <f t="shared" si="49"/>
        <v>0.26236332263488876</v>
      </c>
      <c r="I124" s="177">
        <f t="shared" si="49"/>
        <v>0.31790425331787192</v>
      </c>
      <c r="J124" s="177">
        <f t="shared" si="49"/>
        <v>0.19888536404917662</v>
      </c>
      <c r="K124" s="177">
        <f t="shared" si="49"/>
        <v>0.10311526274915402</v>
      </c>
      <c r="L124" s="177">
        <f t="shared" si="49"/>
        <v>7.9920403587331892E-2</v>
      </c>
      <c r="M124" s="177">
        <f t="shared" si="49"/>
        <v>0.29922598689735358</v>
      </c>
      <c r="N124" s="177">
        <f t="shared" si="49"/>
        <v>9.3000666814750554E-2</v>
      </c>
      <c r="O124" s="177">
        <f t="shared" si="49"/>
        <v>-9.8068612223167026E-2</v>
      </c>
      <c r="P124" s="177">
        <f t="shared" si="49"/>
        <v>0.14254912603210412</v>
      </c>
      <c r="Q124" s="177" t="str">
        <f t="shared" si="49"/>
        <v/>
      </c>
    </row>
    <row r="125" spans="1:17" ht="15.75" customHeight="1">
      <c r="A125" s="10"/>
      <c r="B125" s="27" t="s">
        <v>269</v>
      </c>
      <c r="C125" s="77">
        <f>C19*Exchange_Rate*$C$3/(Market_Price*Common_Shares)</f>
        <v>6.8014795111682472E-2</v>
      </c>
      <c r="D125" s="27"/>
      <c r="E125" s="265"/>
      <c r="F125" s="27"/>
      <c r="G125" s="77">
        <f t="shared" ref="G125" si="50">IF(G$4="","",G124/Market_Price)</f>
        <v>7.5583499232592929E-2</v>
      </c>
      <c r="H125" s="77">
        <f t="shared" ref="H125" si="51">IF(H$4="","",H124/Market_Price)</f>
        <v>0.13250672860347917</v>
      </c>
      <c r="I125" s="77">
        <f t="shared" ref="I125" si="52">IF(I$4="","",I124/Market_Price)</f>
        <v>0.16055770369589492</v>
      </c>
      <c r="J125" s="77">
        <f t="shared" ref="J125" si="53">IF(J$4="","",J124/Market_Price)</f>
        <v>0.10044715356019021</v>
      </c>
      <c r="K125" s="77">
        <f t="shared" ref="K125" si="54">IF(K$4="","",K124/Market_Price)</f>
        <v>5.2078415529875764E-2</v>
      </c>
      <c r="L125" s="77">
        <f t="shared" ref="L125" si="55">IF(L$4="","",L124/Market_Price)</f>
        <v>4.0363840195622169E-2</v>
      </c>
      <c r="M125" s="77">
        <f t="shared" ref="M125" si="56">IF(M$4="","",M124/Market_Price)</f>
        <v>0.15112423580674422</v>
      </c>
      <c r="N125" s="77">
        <f t="shared" ref="N125" si="57">IF(N$4="","",N124/Market_Price)</f>
        <v>4.697003374482351E-2</v>
      </c>
      <c r="O125" s="77">
        <f t="shared" ref="O125" si="58">IF(O$4="","",O124/Market_Price)</f>
        <v>-4.9529602132912638E-2</v>
      </c>
      <c r="P125" s="77">
        <f t="shared" ref="P125" si="59">IF(P$4="","",P124/Market_Price)</f>
        <v>7.1994508097022292E-2</v>
      </c>
      <c r="Q125" s="77" t="str">
        <f t="shared" ref="Q125" si="60">IF(Q$4="","",Q124/Market_Price)</f>
        <v/>
      </c>
    </row>
    <row r="126" spans="1:17" ht="15.75" customHeight="1">
      <c r="B126" s="2" t="s">
        <v>394</v>
      </c>
      <c r="C126" s="169"/>
      <c r="G126" s="23">
        <f>IF(G$4="","",(Data!C47*$C$3)/(Market_Price*Common_Shares))</f>
        <v>0.12611242577620019</v>
      </c>
      <c r="H126" s="23">
        <f>IF(H$4="","",(Data!D47*$C$3)/(Market_Price*Common_Shares))</f>
        <v>0.26009531321895746</v>
      </c>
      <c r="I126" s="23">
        <f>IF(I$4="","",(Data!E47*$C$3)/(Market_Price*Common_Shares))</f>
        <v>0.19706084708253907</v>
      </c>
      <c r="J126" s="23">
        <f>IF(J$4="","",(Data!F47*$C$3)/(Market_Price*Common_Shares))</f>
        <v>0.17982810753960429</v>
      </c>
      <c r="K126" s="23">
        <f>IF(K$4="","",(Data!G47*$C$3)/(Market_Price*Common_Shares))</f>
        <v>8.5360875566949324E-2</v>
      </c>
      <c r="L126" s="23">
        <f>IF(L$4="","",(Data!H47*$C$3)/(Market_Price*Common_Shares))</f>
        <v>8.2713030522141157E-2</v>
      </c>
      <c r="M126" s="23">
        <f>IF(M$4="","",(Data!I47*$C$3)/(Market_Price*Common_Shares))</f>
        <v>0.16743245908104909</v>
      </c>
      <c r="N126" s="23">
        <f>IF(N$4="","",(Data!J47*$C$3)/(Market_Price*Common_Shares))</f>
        <v>1.1778522754661583E-2</v>
      </c>
      <c r="O126" s="23">
        <f>IF(O$4="","",(Data!K47*$C$3)/(Market_Price*Common_Shares))</f>
        <v>-2.5928482219154669E-2</v>
      </c>
      <c r="P126" s="23">
        <f>IF(P$4="","",(Data!L47*$C$3)/(Market_Price*Common_Shares))</f>
        <v>9.2359714279453969E-2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3.1676337982663911</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0.02</v>
      </c>
      <c r="H16" s="120"/>
    </row>
    <row r="17" spans="2:17" ht="13.35" customHeight="1">
      <c r="B17" s="118" t="s">
        <v>134</v>
      </c>
      <c r="C17" s="162">
        <f>Scenarios!C64</f>
        <v>10</v>
      </c>
      <c r="H17" s="120"/>
    </row>
    <row r="18" spans="2:17" ht="13.35" customHeight="1">
      <c r="B18" s="153" t="s">
        <v>106</v>
      </c>
      <c r="C18" s="140">
        <f>(F52-C7+C8+C9)*Exchange_Rate/Common_Shares*scaling_factor</f>
        <v>3.2810352851200002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3.1676337982663911</v>
      </c>
      <c r="C65" s="124">
        <f>C12</f>
        <v>3.1676337982663911</v>
      </c>
      <c r="D65" s="124">
        <f>C12</f>
        <v>3.1676337982663911</v>
      </c>
      <c r="E65" s="141">
        <f>C12</f>
        <v>3.1676337982663911</v>
      </c>
      <c r="F65" s="124">
        <f>C12</f>
        <v>3.1676337982663911</v>
      </c>
      <c r="H65" s="120"/>
    </row>
    <row r="66" spans="1:8" ht="13.15">
      <c r="A66" s="143">
        <f t="shared" ref="A66:A71" si="3">A56</f>
        <v>5</v>
      </c>
      <c r="B66" s="124">
        <f t="shared" ref="B66:F71" si="4">(B56-$C$7+$C$8+$C$9)/Common_Shares*$C$3*Exchange_Rate</f>
        <v>3.1676337982663907</v>
      </c>
      <c r="C66" s="124">
        <f t="shared" si="4"/>
        <v>3.1959004657436445</v>
      </c>
      <c r="D66" s="124">
        <f t="shared" si="4"/>
        <v>3.2245728796536723</v>
      </c>
      <c r="E66" s="124">
        <f t="shared" si="4"/>
        <v>3.2536599454501491</v>
      </c>
      <c r="F66" s="124">
        <f t="shared" si="4"/>
        <v>3.2536599454501491</v>
      </c>
      <c r="H66" s="120"/>
    </row>
    <row r="67" spans="1:8" ht="13.15">
      <c r="A67" s="143">
        <f t="shared" si="3"/>
        <v>10</v>
      </c>
      <c r="B67" s="124">
        <f t="shared" si="4"/>
        <v>3.1676337982663907</v>
      </c>
      <c r="C67" s="124">
        <f t="shared" si="4"/>
        <v>3.2230020304983147</v>
      </c>
      <c r="D67" s="124">
        <f t="shared" si="4"/>
        <v>3.2810352851200002</v>
      </c>
      <c r="E67" s="124">
        <f t="shared" si="4"/>
        <v>3.3418898147724017</v>
      </c>
      <c r="F67" s="124">
        <f t="shared" si="4"/>
        <v>3.3418898147724017</v>
      </c>
      <c r="H67" s="120"/>
    </row>
    <row r="68" spans="1:8" ht="13.15">
      <c r="A68" s="143">
        <f t="shared" si="3"/>
        <v>15</v>
      </c>
      <c r="B68" s="124">
        <f t="shared" si="4"/>
        <v>3.1676337982663907</v>
      </c>
      <c r="C68" s="124">
        <f t="shared" si="4"/>
        <v>3.2564627394043648</v>
      </c>
      <c r="D68" s="124">
        <f t="shared" si="4"/>
        <v>3.3525233025493808</v>
      </c>
      <c r="E68" s="124">
        <f t="shared" si="4"/>
        <v>3.4565046799108194</v>
      </c>
      <c r="F68" s="124">
        <f t="shared" si="4"/>
        <v>3.4565046799108194</v>
      </c>
      <c r="H68" s="120"/>
    </row>
    <row r="69" spans="1:8" ht="13.15">
      <c r="A69" s="144">
        <f t="shared" si="3"/>
        <v>20</v>
      </c>
      <c r="B69" s="124">
        <f t="shared" si="4"/>
        <v>3.1676337982663907</v>
      </c>
      <c r="C69" s="124">
        <f t="shared" si="4"/>
        <v>3.2904460674705733</v>
      </c>
      <c r="D69" s="124">
        <f t="shared" si="4"/>
        <v>3.4270507270136257</v>
      </c>
      <c r="E69" s="124">
        <f t="shared" si="4"/>
        <v>3.5792655316028652</v>
      </c>
      <c r="F69" s="124">
        <f t="shared" si="4"/>
        <v>3.5792655316028652</v>
      </c>
      <c r="H69" s="120"/>
    </row>
    <row r="70" spans="1:8" ht="13.15">
      <c r="A70" s="144">
        <f t="shared" si="3"/>
        <v>25</v>
      </c>
      <c r="B70" s="124">
        <f t="shared" si="4"/>
        <v>3.1676337982663902</v>
      </c>
      <c r="C70" s="124">
        <f t="shared" si="4"/>
        <v>3.3219332292845984</v>
      </c>
      <c r="D70" s="124">
        <f t="shared" si="4"/>
        <v>3.4979836342965851</v>
      </c>
      <c r="E70" s="124">
        <f t="shared" si="4"/>
        <v>3.6994376029979912</v>
      </c>
      <c r="F70" s="124">
        <f t="shared" si="4"/>
        <v>3.6994376029979912</v>
      </c>
    </row>
    <row r="71" spans="1:8" ht="13.15">
      <c r="A71" s="144">
        <f t="shared" si="3"/>
        <v>30</v>
      </c>
      <c r="B71" s="124">
        <f t="shared" si="4"/>
        <v>3.1676337982663902</v>
      </c>
      <c r="C71" s="124">
        <f t="shared" si="4"/>
        <v>3.3495877399435332</v>
      </c>
      <c r="D71" s="124">
        <f t="shared" si="4"/>
        <v>3.5620201709657371</v>
      </c>
      <c r="E71" s="124">
        <f t="shared" si="4"/>
        <v>3.8111340955273114</v>
      </c>
      <c r="F71" s="124">
        <f t="shared" si="4"/>
        <v>3.8111340955273114</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3.4565046799108194</v>
      </c>
      <c r="F74" s="142">
        <f>Scenarios!C58</f>
        <v>0.05</v>
      </c>
    </row>
    <row r="75" spans="1:8">
      <c r="B75" s="127" t="str">
        <f>Scenarios!B36</f>
        <v>Optimistic</v>
      </c>
      <c r="C75" s="142">
        <f>Scenarios!C38</f>
        <v>0.03</v>
      </c>
      <c r="D75" s="145">
        <f>Scenarios!C37</f>
        <v>10</v>
      </c>
      <c r="E75" s="135">
        <f>INDEX(B$65:F$71, MATCH(D75, A$65:A$71, 0), MATCH(C75, B$64:F$64, 0))</f>
        <v>3.3418898147724017</v>
      </c>
      <c r="F75" s="142">
        <f>Scenarios!C40*(1-F$74-F$78)</f>
        <v>0.18</v>
      </c>
      <c r="H75" s="120"/>
    </row>
    <row r="76" spans="1:8">
      <c r="B76" s="127" t="str">
        <f>Scenarios!B24</f>
        <v>Base</v>
      </c>
      <c r="C76" s="142">
        <f>Scenarios!C26</f>
        <v>0.02</v>
      </c>
      <c r="D76" s="145">
        <f>Scenarios!C25</f>
        <v>10</v>
      </c>
      <c r="E76" s="135">
        <f>INDEX(B$65:F$71, MATCH(D76, A$65:A$71, 0), MATCH(C76, B$64:F$64, 0))</f>
        <v>3.2810352851200002</v>
      </c>
      <c r="F76" s="142">
        <f>Scenarios!C28*(1-F$74-F$78)</f>
        <v>0.53999999999999992</v>
      </c>
      <c r="H76" s="120"/>
    </row>
    <row r="77" spans="1:8">
      <c r="B77" s="127" t="str">
        <f>Scenarios!B30</f>
        <v>Pessimistic</v>
      </c>
      <c r="C77" s="142">
        <f>Scenarios!C32</f>
        <v>0.01</v>
      </c>
      <c r="D77" s="145">
        <f>Scenarios!C31</f>
        <v>10</v>
      </c>
      <c r="E77" s="135">
        <f>INDEX(B$65:F$71, MATCH(D77, A$65:A$71, 0), MATCH(C77, B$64:F$64, 0))</f>
        <v>3.2230020304983147</v>
      </c>
      <c r="F77" s="142">
        <f>Scenarios!C34*(1-F$74-F$78)</f>
        <v>0.18</v>
      </c>
      <c r="H77" s="120"/>
    </row>
    <row r="78" spans="1:8">
      <c r="B78" s="127" t="str">
        <f>Scenarios!B48</f>
        <v>Devil's advocate</v>
      </c>
      <c r="C78" s="142">
        <f>Scenarios!C50</f>
        <v>0</v>
      </c>
      <c r="D78" s="145">
        <f>Scenarios!C49</f>
        <v>15</v>
      </c>
      <c r="E78" s="135">
        <f>INDEX(B$65:F$71, MATCH(D78, A$65:A$71, 0), MATCH(C78, B$64:F$64, 0))</f>
        <v>3.1676337982663907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1.4543616000000001</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0.02</v>
      </c>
      <c r="H11" s="120"/>
    </row>
    <row r="12" spans="2:8" ht="13.35" customHeight="1">
      <c r="B12" s="118" t="s">
        <v>134</v>
      </c>
      <c r="C12" s="162">
        <f>Scenarios!C64</f>
        <v>10</v>
      </c>
      <c r="H12" s="120"/>
    </row>
    <row r="13" spans="2:8" ht="13.3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1.4543616000000001</v>
      </c>
      <c r="C60" s="124">
        <f>C7</f>
        <v>1.4543616000000001</v>
      </c>
      <c r="D60" s="124">
        <f>C7</f>
        <v>1.4543616000000001</v>
      </c>
      <c r="E60" s="141">
        <f>C7</f>
        <v>1.4543616000000001</v>
      </c>
      <c r="F60" s="124">
        <f>C7</f>
        <v>1.4543616000000001</v>
      </c>
      <c r="H60" s="120"/>
    </row>
    <row r="61" spans="1:8" ht="13.15">
      <c r="A61" s="143">
        <f t="shared" ref="A61:A66" si="3">A51</f>
        <v>5</v>
      </c>
      <c r="B61" s="124">
        <f t="shared" ref="B61:F66" si="4">B51/Common_Shares*$C$3*Exchange_Rate</f>
        <v>1.4543616000000001</v>
      </c>
      <c r="C61" s="124">
        <f t="shared" si="4"/>
        <v>1.4772565494089145</v>
      </c>
      <c r="D61" s="124">
        <f t="shared" si="4"/>
        <v>1.5004801383385185</v>
      </c>
      <c r="E61" s="124">
        <f t="shared" si="4"/>
        <v>1.5240395798750912</v>
      </c>
      <c r="F61" s="124">
        <f t="shared" si="4"/>
        <v>1.5240395798750912</v>
      </c>
      <c r="H61" s="120"/>
    </row>
    <row r="62" spans="1:8" ht="13.15">
      <c r="A62" s="143">
        <f t="shared" si="3"/>
        <v>10</v>
      </c>
      <c r="B62" s="124">
        <f t="shared" si="4"/>
        <v>1.4543616000000001</v>
      </c>
      <c r="C62" s="124">
        <f t="shared" si="4"/>
        <v>1.4992078089431309</v>
      </c>
      <c r="D62" s="124">
        <f t="shared" si="4"/>
        <v>1.546212586908815</v>
      </c>
      <c r="E62" s="124">
        <f t="shared" si="4"/>
        <v>1.5955024927251329</v>
      </c>
      <c r="F62" s="124">
        <f t="shared" si="4"/>
        <v>1.5955024927251329</v>
      </c>
      <c r="H62" s="120"/>
    </row>
    <row r="63" spans="1:8" ht="13.15">
      <c r="A63" s="143">
        <f t="shared" si="3"/>
        <v>15</v>
      </c>
      <c r="B63" s="124">
        <f t="shared" si="4"/>
        <v>1.4543616000000001</v>
      </c>
      <c r="C63" s="124">
        <f t="shared" si="4"/>
        <v>1.5263097387410776</v>
      </c>
      <c r="D63" s="124">
        <f t="shared" si="4"/>
        <v>1.6041152223612019</v>
      </c>
      <c r="E63" s="124">
        <f t="shared" si="4"/>
        <v>1.6883362709186622</v>
      </c>
      <c r="F63" s="124">
        <f t="shared" si="4"/>
        <v>1.6883362709186622</v>
      </c>
      <c r="H63" s="120"/>
    </row>
    <row r="64" spans="1:8" ht="13.15">
      <c r="A64" s="144">
        <f t="shared" si="3"/>
        <v>20</v>
      </c>
      <c r="B64" s="124">
        <f t="shared" si="4"/>
        <v>1.4543616000000001</v>
      </c>
      <c r="C64" s="124">
        <f t="shared" si="4"/>
        <v>1.5538349706223549</v>
      </c>
      <c r="D64" s="124">
        <f t="shared" si="4"/>
        <v>1.6644796644751738</v>
      </c>
      <c r="E64" s="124">
        <f t="shared" si="4"/>
        <v>1.7877679952684224</v>
      </c>
      <c r="F64" s="124">
        <f t="shared" si="4"/>
        <v>1.7877679952684224</v>
      </c>
      <c r="H64" s="120"/>
    </row>
    <row r="65" spans="1:8" ht="13.15">
      <c r="A65" s="144">
        <f t="shared" si="3"/>
        <v>25</v>
      </c>
      <c r="B65" s="124">
        <f t="shared" si="4"/>
        <v>1.4543616000000004</v>
      </c>
      <c r="C65" s="124">
        <f t="shared" si="4"/>
        <v>1.5793384006726967</v>
      </c>
      <c r="D65" s="124">
        <f t="shared" si="4"/>
        <v>1.7219326813537081</v>
      </c>
      <c r="E65" s="124">
        <f t="shared" si="4"/>
        <v>1.8851029038553593</v>
      </c>
      <c r="F65" s="124">
        <f t="shared" si="4"/>
        <v>1.8851029038553593</v>
      </c>
    </row>
    <row r="66" spans="1:8" ht="13.15">
      <c r="A66" s="144">
        <f t="shared" si="3"/>
        <v>30</v>
      </c>
      <c r="B66" s="124">
        <f t="shared" si="4"/>
        <v>1.4543616000000004</v>
      </c>
      <c r="C66" s="124">
        <f t="shared" si="4"/>
        <v>1.6017375258251085</v>
      </c>
      <c r="D66" s="124">
        <f t="shared" si="4"/>
        <v>1.7737998945135938</v>
      </c>
      <c r="E66" s="124">
        <f t="shared" si="4"/>
        <v>1.9755729087708607</v>
      </c>
      <c r="F66" s="124">
        <f t="shared" si="4"/>
        <v>1.9755729087708607</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1.6883362709186622</v>
      </c>
      <c r="F69" s="142">
        <f>Scenarios!C58</f>
        <v>0.05</v>
      </c>
    </row>
    <row r="70" spans="1:8">
      <c r="B70" s="127" t="str">
        <f>Scenarios!B36</f>
        <v>Optimistic</v>
      </c>
      <c r="C70" s="142">
        <f>Scenarios!C38</f>
        <v>0.03</v>
      </c>
      <c r="D70" s="145">
        <f>Scenarios!C37</f>
        <v>10</v>
      </c>
      <c r="E70" s="135">
        <f>INDEX(B$60:F$66, MATCH(D70, A$60:A$66, 0), MATCH(C70, B$59:F$59, 0))</f>
        <v>1.5955024927251329</v>
      </c>
      <c r="F70" s="142">
        <f>Scenarios!C40*(1-F$69-F$73)</f>
        <v>0.18</v>
      </c>
      <c r="H70" s="120"/>
    </row>
    <row r="71" spans="1:8">
      <c r="B71" s="127" t="str">
        <f>Scenarios!B24</f>
        <v>Base</v>
      </c>
      <c r="C71" s="142">
        <f>Scenarios!C26</f>
        <v>0.02</v>
      </c>
      <c r="D71" s="145">
        <f>Scenarios!C25</f>
        <v>10</v>
      </c>
      <c r="E71" s="135">
        <f>INDEX(B$60:F$66, MATCH(D71, A$60:A$66, 0), MATCH(C71, B$59:F$59, 0))</f>
        <v>1.546212586908815</v>
      </c>
      <c r="F71" s="142">
        <f>Scenarios!C28*(1-F$69-F$73)</f>
        <v>0.53999999999999992</v>
      </c>
      <c r="H71" s="120"/>
    </row>
    <row r="72" spans="1:8">
      <c r="B72" s="127" t="str">
        <f>Scenarios!B30</f>
        <v>Pessimistic</v>
      </c>
      <c r="C72" s="142">
        <f>Scenarios!C32</f>
        <v>0.01</v>
      </c>
      <c r="D72" s="145">
        <f>Scenarios!C31</f>
        <v>10</v>
      </c>
      <c r="E72" s="135">
        <f>INDEX(B$60:F$66, MATCH(D72, A$60:A$66, 0), MATCH(C72, B$59:F$59, 0))</f>
        <v>1.4992078089431309</v>
      </c>
      <c r="F72" s="142">
        <f>Scenarios!C34*(1-F$69-F$73)</f>
        <v>0.18</v>
      </c>
      <c r="H72" s="120"/>
    </row>
    <row r="73" spans="1:8">
      <c r="B73" s="127" t="str">
        <f>Scenarios!B48</f>
        <v>Devil's advocate</v>
      </c>
      <c r="C73" s="142">
        <f>Scenarios!C50</f>
        <v>0</v>
      </c>
      <c r="D73" s="145">
        <f>Scenarios!C49</f>
        <v>15</v>
      </c>
      <c r="E73" s="135">
        <f>INDEX(B$60:F$66, MATCH(D73, A$60:A$66, 0), MATCH(C73, B$59:F$59, 0))</f>
        <v>1.4543616000000001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-1.98</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3.3846465100223897</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1.98</v>
      </c>
      <c r="D21" t="str">
        <f>Market_currency</f>
        <v>HKD</v>
      </c>
      <c r="E21" s="367"/>
      <c r="F21" s="367"/>
    </row>
    <row r="22" spans="2:6">
      <c r="B22" s="100" t="s">
        <v>278</v>
      </c>
      <c r="C22" s="160">
        <f>IF(valuation_method="DCF",DCF!C12,DDM!C7)</f>
        <v>3.1676337982663911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3.2810352851200002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3.2230020304983147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3.3418898147724017</v>
      </c>
      <c r="D39" t="str">
        <f>Market_currency</f>
        <v>HKD</v>
      </c>
      <c r="E39" s="365"/>
      <c r="F39" s="365"/>
    </row>
    <row r="40" spans="2:6">
      <c r="B40" s="100" t="s">
        <v>147</v>
      </c>
      <c r="C40" s="167">
        <f>1-C28-C34</f>
        <v>0.2</v>
      </c>
      <c r="D40" s="165"/>
      <c r="E40" s="365"/>
      <c r="F40" s="365"/>
    </row>
    <row r="42" spans="2:6" ht="13.15">
      <c r="B42" s="100" t="s">
        <v>120</v>
      </c>
      <c r="C42" s="154">
        <f>C27*C28+C33*C34+C39*C40</f>
        <v>3.2815995401261437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3.1676337982663907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3.4565046799108194</v>
      </c>
      <c r="D57" t="str">
        <f>Market_currency</f>
        <v>HKD</v>
      </c>
      <c r="E57" s="365"/>
      <c r="F57" s="365"/>
    </row>
    <row r="58" spans="2:6">
      <c r="B58" s="100" t="s">
        <v>147</v>
      </c>
      <c r="C58" s="165">
        <v>0.05</v>
      </c>
      <c r="D58" s="165"/>
      <c r="E58" s="365"/>
      <c r="F58" s="365"/>
    </row>
    <row r="60" spans="2:6" ht="13.15">
      <c r="B60" s="100" t="s">
        <v>120</v>
      </c>
      <c r="C60" s="154">
        <f>C51*C52+C57*C58+C42*(1-C52-C58)</f>
        <v>3.2846465100223896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3.2810352851200002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1.2847005540902998</v>
      </c>
      <c r="D82" s="116"/>
    </row>
    <row r="83" spans="2:8" ht="13.15">
      <c r="B83" s="110" t="s">
        <v>101</v>
      </c>
      <c r="C83" s="111">
        <f>C81+C82</f>
        <v>1.4504264860267857</v>
      </c>
      <c r="D83" t="str">
        <f>Market_currency</f>
        <v>HKD</v>
      </c>
      <c r="E83" s="146" t="s">
        <v>126</v>
      </c>
      <c r="F83" s="291">
        <f>(1-C83/C60)</f>
        <v>0.55842235028910348</v>
      </c>
    </row>
    <row r="84" spans="2:8">
      <c r="E84" s="120"/>
    </row>
    <row r="85" spans="2:8" ht="13.15">
      <c r="B85" s="109" t="s">
        <v>302</v>
      </c>
    </row>
    <row r="86" spans="2:8">
      <c r="B86" s="148" t="s">
        <v>300</v>
      </c>
      <c r="C86" s="116">
        <f>Market_Price</f>
        <v>1.98</v>
      </c>
      <c r="D86" t="str">
        <f>Market_currency</f>
        <v>HKD</v>
      </c>
    </row>
    <row r="87" spans="2:8" ht="13.15">
      <c r="B87" s="100" t="s">
        <v>298</v>
      </c>
      <c r="C87" s="237">
        <f ca="1">IRR(OFFSET($I$3, 0, 0, $C$76 + 1, 1))</f>
        <v>0.22703220937277968</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1.8204918787329532</v>
      </c>
      <c r="D92" s="116"/>
    </row>
    <row r="93" spans="2:8" ht="13.15">
      <c r="B93" s="110" t="s">
        <v>101</v>
      </c>
      <c r="C93" s="111">
        <f>C91+C92</f>
        <v>2.0255319611194467</v>
      </c>
      <c r="D93" t="str">
        <f>Market_currency</f>
        <v>HKD</v>
      </c>
      <c r="E93" s="146" t="s">
        <v>126</v>
      </c>
      <c r="F93" s="291">
        <f>(1-C93/C60)</f>
        <v>0.3833333495890735</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2.6440109253453525</v>
      </c>
      <c r="D98" s="116"/>
      <c r="G98" s="2"/>
      <c r="H98" s="281"/>
    </row>
    <row r="99" spans="2:8" ht="13.15">
      <c r="B99" s="110" t="s">
        <v>398</v>
      </c>
      <c r="C99" s="111">
        <f>C97+C98</f>
        <v>2.9040634993325485</v>
      </c>
      <c r="D99" t="s">
        <v>396</v>
      </c>
      <c r="E99" s="146" t="s">
        <v>126</v>
      </c>
      <c r="F99" s="291">
        <f>(1-C99/C60)</f>
        <v>0.11586726593822938</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2.3543045234383477</v>
      </c>
      <c r="D104" s="116"/>
    </row>
    <row r="105" spans="2:8" ht="13.15">
      <c r="B105" s="110" t="s">
        <v>398</v>
      </c>
      <c r="C105" s="111">
        <f>C103+C104</f>
        <v>2.5955648360322128</v>
      </c>
      <c r="D105" t="s">
        <v>396</v>
      </c>
      <c r="E105" s="146" t="s">
        <v>126</v>
      </c>
      <c r="F105" s="291">
        <f>(1-C105/C66)</f>
        <v>0.20891895073378253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