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71EF03-AD84-4FB4-BE8A-F73322B48A1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<sst xmlns="http://schemas.openxmlformats.org/spreadsheetml/2006/main" count="686" uniqueCount="466">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</sst>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2.08</v>
      </c>
      <c r="D12" s="50"/>
      <c r="E12" s="48"/>
    </row>
    <row r="13" spans="1:10">
      <c r="B13" s="1" t="s">
        <v>413</v>
      </c>
      <c r="C13" s="48" t="s">
        <v>393</v>
      </c>
      <c r="D13" s="48"/>
      <c r="E13" s="5"/>
    </row>
    <row r="14" spans="1:10">
      <c r="B14" s="4" t="s">
        <v>417</v>
      </c>
      <c r="C14" s="35">
        <f>Thesis!C12*Common_Shares/1000000</f>
        <v>9588.7999999999993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1.0958041599999999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3.2936272968272946</v>
      </c>
      <c r="D26" s="1" t="s">
        <v>396</v>
      </c>
      <c r="E26" s="301">
        <f ca="1">Scenarios!C87</f>
        <v>0.20310107501502905</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1.4912979919025735</v>
      </c>
      <c r="D29" s="310" t="str">
        <f>D149</f>
        <v/>
      </c>
      <c r="E29" s="306" t="s">
        <v>421</v>
      </c>
      <c r="F29" s="302">
        <v>0.35</v>
      </c>
    </row>
    <row r="30" spans="2:6">
      <c r="B30" s="1" t="s">
        <v>423</v>
      </c>
      <c r="C30" s="311">
        <f>C157</f>
        <v>1.8620171759755748</v>
      </c>
      <c r="D30" s="311" t="str">
        <f>D157</f>
        <v/>
      </c>
      <c r="E30" s="307" t="s">
        <v>434</v>
      </c>
      <c r="F30" s="312">
        <v>0.25</v>
      </c>
    </row>
    <row r="31" spans="2:6">
      <c r="B31" s="1" t="s">
        <v>424</v>
      </c>
      <c r="C31" s="311">
        <f>C165</f>
        <v>2.8852874211949495</v>
      </c>
      <c r="D31" s="311" t="str">
        <f>D165</f>
        <v/>
      </c>
      <c r="E31" s="307" t="s">
        <v>433</v>
      </c>
      <c r="F31" s="312">
        <v>7.4999999999999997E-2</v>
      </c>
    </row>
    <row r="32" spans="2:6">
      <c r="B32" s="1" t="s">
        <v>425</v>
      </c>
      <c r="C32" s="311">
        <f>C173</f>
        <v>2.5778758770526919</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6.5043594200810184E-2</v>
      </c>
      <c r="F69" s="314"/>
    </row>
    <row r="70" spans="1:6">
      <c r="B70" s="227" t="s">
        <v>455</v>
      </c>
      <c r="C70" s="92">
        <f>Normalized_FCF!C94</f>
        <v>4.3269230769230775E-2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1.8038756791691362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0.50371906610755746</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1.8695948064187113</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1.2498252583760519E-2</v>
      </c>
      <c r="D114" s="1" t="str">
        <f>Market_currency</f>
        <v>HKD</v>
      </c>
    </row>
    <row r="116" spans="1:6" ht="24.6" customHeight="1">
      <c r="B116" s="360" t="s">
        <v>363</v>
      </c>
      <c r="C116" s="360"/>
      <c r="D116" s="360"/>
      <c r="E116" s="360"/>
      <c r="F116" s="360"/>
    </row>
    <row r="118" spans="1:6">
      <c r="B118" s="47" t="s">
        <v>446</v>
      </c>
      <c r="C118" s="223">
        <f>IF(valuation_method="DCF",DCF!C12,DDM!C7)</f>
        <v>3.1822496720640512</v>
      </c>
      <c r="D118" s="1" t="str">
        <f>Market_currency</f>
        <v>HKD</v>
      </c>
    </row>
    <row r="119" spans="1:6">
      <c r="B119" s="296" t="s">
        <v>402</v>
      </c>
      <c r="C119" s="223">
        <f>BS!D47</f>
        <v>1.8512501811200692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3.36 HKD</v>
      </c>
      <c r="F127" s="221">
        <f>DCF!F75</f>
        <v>0.18</v>
      </c>
    </row>
    <row r="128" spans="1:6">
      <c r="B128" s="218" t="str">
        <f>DCF!B76</f>
        <v>Base</v>
      </c>
      <c r="C128" s="219">
        <f>DCF!C76</f>
        <v>0.02</v>
      </c>
      <c r="D128" s="220">
        <f>DCF!D76</f>
        <v>10</v>
      </c>
      <c r="E128" s="231" t="str">
        <f>ROUND(IF(valuation_method="DCF",DCF!E76,DDM!E71),2)&amp;" "&amp;Market_currency</f>
        <v>3.3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3.2936272968272946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1.3386688195203147</v>
      </c>
    </row>
    <row r="149" spans="2:4">
      <c r="B149" s="80" t="s">
        <v>259</v>
      </c>
      <c r="C149" s="215">
        <f>Scenarios!C83</f>
        <v>1.4912979919025735</v>
      </c>
      <c r="D149" s="300" t="str">
        <f>IF($D$11="","",C149*$E$25)</f>
        <v/>
      </c>
    </row>
    <row r="150" spans="2:4">
      <c r="B150" s="259" t="s">
        <v>413</v>
      </c>
      <c r="C150" s="298" t="str">
        <f>Market_currency</f>
        <v>HKD</v>
      </c>
      <c r="D150" s="298" t="str">
        <f>IF($D$11="","",D$13)</f>
        <v/>
      </c>
    </row>
    <row r="151" spans="2:4">
      <c r="B151" s="214" t="s">
        <v>261</v>
      </c>
      <c r="C151" s="92">
        <f>Scenarios!F83</f>
        <v>0.54721713858179388</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1.6863371759755748</v>
      </c>
    </row>
    <row r="157" spans="2:4">
      <c r="B157" s="80" t="s">
        <v>259</v>
      </c>
      <c r="C157" s="215">
        <f>Scenarios!C93</f>
        <v>1.8620171759755748</v>
      </c>
      <c r="D157" s="300" t="str">
        <f>IF($D$11="","",C157*$E$25)</f>
        <v/>
      </c>
    </row>
    <row r="158" spans="2:4">
      <c r="B158" s="259" t="s">
        <v>413</v>
      </c>
      <c r="C158" s="298" t="str">
        <f>Market_currency</f>
        <v>HKD</v>
      </c>
      <c r="D158" s="298" t="str">
        <f>IF($D$11="","",D$13)</f>
        <v/>
      </c>
    </row>
    <row r="159" spans="2:4">
      <c r="B159" s="214" t="s">
        <v>261</v>
      </c>
      <c r="C159" s="92">
        <f>Scenarios!F93</f>
        <v>0.43466063152645407</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2.6512401046064733</v>
      </c>
    </row>
    <row r="165" spans="2:4">
      <c r="B165" s="80" t="s">
        <v>398</v>
      </c>
      <c r="C165" s="215">
        <f>Scenarios!C99</f>
        <v>2.8852874211949495</v>
      </c>
      <c r="D165" s="300" t="str">
        <f>IF($D$11="","",C165*$E$25)</f>
        <v/>
      </c>
    </row>
    <row r="166" spans="2:4">
      <c r="B166" s="259" t="s">
        <v>413</v>
      </c>
      <c r="C166" s="298" t="str">
        <f>Market_currency</f>
        <v>HKD</v>
      </c>
      <c r="D166" s="298" t="str">
        <f>IF($D$11="","",D$13)</f>
        <v/>
      </c>
    </row>
    <row r="167" spans="2:4">
      <c r="B167" s="214" t="s">
        <v>261</v>
      </c>
      <c r="C167" s="92">
        <f>Scenarios!F99</f>
        <v>0.12397877441254301</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2.3607415957182134</v>
      </c>
    </row>
    <row r="173" spans="2:4">
      <c r="B173" s="80" t="s">
        <v>398</v>
      </c>
      <c r="C173" s="215">
        <f>Scenarios!C105</f>
        <v>2.5778758770526919</v>
      </c>
      <c r="D173" s="300" t="str">
        <f>IF($D$11="","",C173*$E$25)</f>
        <v/>
      </c>
    </row>
    <row r="174" spans="2:4">
      <c r="B174" s="259" t="s">
        <v>413</v>
      </c>
      <c r="C174" s="298" t="str">
        <f>Market_currency</f>
        <v>HKD</v>
      </c>
      <c r="D174" s="298" t="str">
        <f>IF($D$11="","",D$13)</f>
        <v/>
      </c>
    </row>
    <row r="175" spans="2:4">
      <c r="B175" s="214" t="s">
        <v>261</v>
      </c>
      <c r="C175" s="92">
        <f>Scenarios!F105</f>
        <v>0.21791884837417674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0.132373142528</v>
      </c>
      <c r="D25" s="39">
        <f>0.207*Exchange_Rate</f>
        <v>0.22683146111999997</v>
      </c>
      <c r="E25" s="39">
        <f>0.178*Exchange_Rate</f>
        <v>0.19505314047999997</v>
      </c>
      <c r="F25" s="39">
        <f>0.155*Exchange_Rate</f>
        <v>0.16984964479999998</v>
      </c>
      <c r="G25" s="39">
        <f>0.08*Exchange_Rate</f>
        <v>8.7664332799999994E-2</v>
      </c>
      <c r="H25" s="39">
        <f>0.076*Exchange_Rate</f>
        <v>8.3281116159999988E-2</v>
      </c>
      <c r="I25" s="39">
        <f>0.15*Exchange_Rate</f>
        <v>0.16437062399999999</v>
      </c>
      <c r="J25" s="39">
        <f>0.005*Exchange_Rate</f>
        <v>5.4790207999999996E-3</v>
      </c>
      <c r="K25" s="39">
        <f>0.05*Exchange_Rate</f>
        <v>5.4790208E-2</v>
      </c>
      <c r="L25" s="39">
        <f>0.08*Exchange_Rate</f>
        <v>8.7664332799999994E-2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0.132373142528</v>
      </c>
      <c r="D65" s="73">
        <f t="shared" ref="D65:M65" si="33">IF(D$4="","",D25)</f>
        <v>0.22683146111999997</v>
      </c>
      <c r="E65" s="73">
        <f t="shared" si="33"/>
        <v>0.19505314047999997</v>
      </c>
      <c r="F65" s="73">
        <f t="shared" si="33"/>
        <v>0.16984964479999998</v>
      </c>
      <c r="G65" s="73">
        <f t="shared" si="33"/>
        <v>8.7664332799999994E-2</v>
      </c>
      <c r="H65" s="73">
        <f t="shared" si="33"/>
        <v>8.3281116159999988E-2</v>
      </c>
      <c r="I65" s="73">
        <f t="shared" si="33"/>
        <v>0.16437062399999999</v>
      </c>
      <c r="J65" s="73">
        <f t="shared" si="33"/>
        <v>5.4790207999999996E-3</v>
      </c>
      <c r="K65" s="73">
        <f t="shared" si="33"/>
        <v>5.4790208E-2</v>
      </c>
      <c r="L65" s="73">
        <f t="shared" si="33"/>
        <v>8.7664332799999994E-2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4.3756760336295706</v>
      </c>
      <c r="D47" s="147">
        <f>D46*H1/Common_Shares*Exchange_Rate</f>
        <v>1.8512501811200692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-965866.01558783988</v>
      </c>
      <c r="D73" s="349">
        <f>(Normalized_FCF!C25+Normalized_FCF!C35-Normalized_FCF!C91)/12</f>
        <v>-956584.92915481783</v>
      </c>
      <c r="F73" s="1" t="s">
        <v>348</v>
      </c>
    </row>
    <row r="74" spans="2:6" ht="15" customHeight="1">
      <c r="B74" s="257" t="s">
        <v>318</v>
      </c>
      <c r="C74" s="258">
        <f>-$C$66/C73</f>
        <v>12.104829045966897</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-2322144.8947558398</v>
      </c>
      <c r="D86" s="223">
        <f>C86*scaling_factor/Common_Shares</f>
        <v>-0.50371906610755746</v>
      </c>
      <c r="E86" s="240" t="str">
        <f>Market_currency</f>
        <v>HKD</v>
      </c>
    </row>
    <row r="87" spans="2:8" ht="15" customHeight="1">
      <c r="B87" s="238" t="s">
        <v>286</v>
      </c>
      <c r="C87" s="76">
        <f>DCF!C8*Exchange_Rate</f>
        <v>8618832.0575902611</v>
      </c>
      <c r="D87" s="223">
        <f>C87*scaling_factor/Common_Shares</f>
        <v>1.8695948064187118</v>
      </c>
      <c r="E87" s="240" t="str">
        <f>Market_currency</f>
        <v>HKD</v>
      </c>
    </row>
    <row r="88" spans="2:8" ht="15" customHeight="1">
      <c r="B88" s="239" t="s">
        <v>188</v>
      </c>
      <c r="C88" s="76">
        <f>DCF!C9*Exchange_Rate</f>
        <v>57616.944411135992</v>
      </c>
      <c r="D88" s="223">
        <f>C88*scaling_factor/Common_Shares</f>
        <v>1.2498252583760519E-2</v>
      </c>
      <c r="E88" s="240" t="str">
        <f>Market_currency</f>
        <v>HKD</v>
      </c>
    </row>
    <row r="89" spans="2:8" ht="15" customHeight="1">
      <c r="B89" s="80" t="s">
        <v>290</v>
      </c>
      <c r="C89" s="180">
        <f>SUM(C86:C88)</f>
        <v>6354304.107245557</v>
      </c>
      <c r="D89" s="242">
        <f>SUM(D86:D88)</f>
        <v>1.3783739928949148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0.132373142528</v>
      </c>
      <c r="H90" s="112">
        <f>Data!D65</f>
        <v>0.22683146111999997</v>
      </c>
      <c r="I90" s="112">
        <f>Data!E65</f>
        <v>0.19505314047999997</v>
      </c>
      <c r="J90" s="112">
        <f>Data!F65</f>
        <v>0.16984964479999998</v>
      </c>
      <c r="K90" s="112">
        <f>Data!G65</f>
        <v>8.7664332799999994E-2</v>
      </c>
      <c r="L90" s="112">
        <f>Data!H65</f>
        <v>8.3281116159999988E-2</v>
      </c>
      <c r="M90" s="112">
        <f>Data!I65</f>
        <v>0.16437062399999999</v>
      </c>
      <c r="N90" s="112">
        <f>Data!J65</f>
        <v>5.4790207999999996E-3</v>
      </c>
      <c r="O90" s="112">
        <f>Data!K65</f>
        <v>5.4790208E-2</v>
      </c>
      <c r="P90" s="112">
        <f>Data!L65</f>
        <v>8.7664332799999994E-2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610240.18705407996</v>
      </c>
      <c r="H91" s="74">
        <f t="shared" si="37"/>
        <v>1045693.0357631998</v>
      </c>
      <c r="I91" s="74">
        <f t="shared" si="37"/>
        <v>899194.97761279985</v>
      </c>
      <c r="J91" s="74">
        <f t="shared" si="37"/>
        <v>783006.86252799991</v>
      </c>
      <c r="K91" s="74">
        <f t="shared" si="37"/>
        <v>404132.57420799992</v>
      </c>
      <c r="L91" s="74">
        <f t="shared" si="37"/>
        <v>383925.94549759995</v>
      </c>
      <c r="M91" s="74">
        <f t="shared" si="37"/>
        <v>757748.57663999998</v>
      </c>
      <c r="N91" s="74">
        <f t="shared" si="37"/>
        <v>25258.285887999995</v>
      </c>
      <c r="O91" s="74">
        <f t="shared" si="37"/>
        <v>252582.85887999999</v>
      </c>
      <c r="P91" s="74">
        <f t="shared" si="37"/>
        <v>404132.57420799992</v>
      </c>
      <c r="Q91" s="74" t="str">
        <f t="shared" si="37"/>
        <v/>
      </c>
    </row>
    <row r="92" spans="1:17" ht="15.75" customHeight="1">
      <c r="A92" s="10"/>
      <c r="B92" s="2" t="s">
        <v>212</v>
      </c>
      <c r="C92" s="23">
        <f>C90/(C19*scaling_factor/Common_Shares)</f>
        <v>0.80996280963569622</v>
      </c>
      <c r="E92" s="268"/>
      <c r="G92" s="170">
        <f t="shared" ref="G92:Q92" si="38">IF(G$4="","",G90/(G19*scaling_factor/Common_Shares))</f>
        <v>0.96480902477066555</v>
      </c>
      <c r="H92" s="170">
        <f t="shared" si="38"/>
        <v>0.94304806997711788</v>
      </c>
      <c r="I92" s="170">
        <f t="shared" si="38"/>
        <v>0.6692529146264723</v>
      </c>
      <c r="J92" s="170">
        <f t="shared" si="38"/>
        <v>0.93152707220959907</v>
      </c>
      <c r="K92" s="170">
        <f t="shared" si="38"/>
        <v>0.92732857324983997</v>
      </c>
      <c r="L92" s="170">
        <f t="shared" si="38"/>
        <v>1.1366389424187249</v>
      </c>
      <c r="M92" s="170">
        <f t="shared" si="38"/>
        <v>0.59918172430235028</v>
      </c>
      <c r="N92" s="170">
        <f t="shared" si="38"/>
        <v>6.4261454218875219E-2</v>
      </c>
      <c r="O92" s="170">
        <f t="shared" si="38"/>
        <v>-0.60940579838542352</v>
      </c>
      <c r="P92" s="170">
        <f t="shared" si="38"/>
        <v>0.67079842680985613</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4.3269230769230775E-2</v>
      </c>
      <c r="E94" s="268"/>
      <c r="G94" s="23">
        <f t="shared" ref="G94:Q94" si="39">IF(G$4="","",(G90*(1-dividend_tax_rate))/Market_Price)</f>
        <v>5.7276840516923076E-2</v>
      </c>
      <c r="H94" s="23">
        <f t="shared" si="39"/>
        <v>9.8148228369230761E-2</v>
      </c>
      <c r="I94" s="23">
        <f t="shared" si="39"/>
        <v>8.4397993476923061E-2</v>
      </c>
      <c r="J94" s="23">
        <f t="shared" si="39"/>
        <v>7.349263476923075E-2</v>
      </c>
      <c r="K94" s="23">
        <f t="shared" si="39"/>
        <v>3.7931682461538455E-2</v>
      </c>
      <c r="L94" s="23">
        <f t="shared" si="39"/>
        <v>3.6035098338461531E-2</v>
      </c>
      <c r="M94" s="23">
        <f t="shared" si="39"/>
        <v>7.1121904615384604E-2</v>
      </c>
      <c r="N94" s="23">
        <f t="shared" si="39"/>
        <v>2.3707301538461534E-3</v>
      </c>
      <c r="O94" s="23">
        <f t="shared" si="39"/>
        <v>2.3707301538461539E-2</v>
      </c>
      <c r="P94" s="23">
        <f t="shared" si="39"/>
        <v>3.7931682461538455E-2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0.13529067593768521</v>
      </c>
      <c r="D125" s="27"/>
      <c r="E125" s="265"/>
      <c r="F125" s="27"/>
      <c r="G125" s="177">
        <f t="shared" ref="G125:Q125" si="49">IF(G$4="","",G16*$C$3/Common_Shares*Exchange_Rate)</f>
        <v>0.15034585760527561</v>
      </c>
      <c r="H125" s="177">
        <f t="shared" si="49"/>
        <v>0.26357390108460255</v>
      </c>
      <c r="I125" s="177">
        <f t="shared" si="49"/>
        <v>0.31937110483611764</v>
      </c>
      <c r="J125" s="177">
        <f t="shared" si="49"/>
        <v>0.19980304695265347</v>
      </c>
      <c r="K125" s="177">
        <f t="shared" si="49"/>
        <v>0.10359104996539695</v>
      </c>
      <c r="L125" s="177">
        <f t="shared" si="49"/>
        <v>8.0289166710559648E-2</v>
      </c>
      <c r="M125" s="177">
        <f t="shared" si="49"/>
        <v>0.30060665446816487</v>
      </c>
      <c r="N125" s="177">
        <f t="shared" si="49"/>
        <v>9.3429783971540128E-2</v>
      </c>
      <c r="O125" s="177">
        <f t="shared" si="49"/>
        <v>-9.8521113538360072E-2</v>
      </c>
      <c r="P125" s="177">
        <f t="shared" si="49"/>
        <v>0.14320686621570497</v>
      </c>
      <c r="Q125" s="177" t="str">
        <f t="shared" si="49"/>
        <v/>
      </c>
    </row>
    <row r="126" spans="1:17" ht="15.75" customHeight="1">
      <c r="A126" s="10"/>
      <c r="B126" s="27" t="s">
        <v>268</v>
      </c>
      <c r="C126" s="77">
        <f>C19*Exchange_Rate*$C$3/(Market_Price*Common_Shares)</f>
        <v>6.5043594200810184E-2</v>
      </c>
      <c r="D126" s="27"/>
      <c r="E126" s="265"/>
      <c r="F126" s="27"/>
      <c r="G126" s="77">
        <f t="shared" ref="G126" si="50">IF(G$4="","",G125/Market_Price)</f>
        <v>7.2281662310228659E-2</v>
      </c>
      <c r="H126" s="77">
        <f t="shared" ref="H126" si="51">IF(H$4="","",H125/Market_Price)</f>
        <v>0.12671822167528968</v>
      </c>
      <c r="I126" s="77">
        <f t="shared" ref="I126" si="52">IF(I$4="","",I125/Market_Price)</f>
        <v>0.15354380040197962</v>
      </c>
      <c r="J126" s="77">
        <f t="shared" ref="J126" si="53">IF(J$4="","",J125/Market_Price)</f>
        <v>9.6059157188775696E-2</v>
      </c>
      <c r="K126" s="77">
        <f t="shared" ref="K126" si="54">IF(K$4="","",K125/Market_Price)</f>
        <v>4.9803389406440836E-2</v>
      </c>
      <c r="L126" s="77">
        <f t="shared" ref="L126" si="55">IF(L$4="","",L125/Market_Price)</f>
        <v>3.8600560918538293E-2</v>
      </c>
      <c r="M126" s="77">
        <f t="shared" ref="M126" si="56">IF(M$4="","",M125/Market_Price)</f>
        <v>0.14452243003277157</v>
      </c>
      <c r="N126" s="77">
        <f t="shared" ref="N126" si="57">IF(N$4="","",N125/Market_Price)</f>
        <v>4.4918165370932753E-2</v>
      </c>
      <c r="O126" s="77">
        <f t="shared" ref="O126" si="58">IF(O$4="","",O125/Market_Price)</f>
        <v>-4.7365919970365419E-2</v>
      </c>
      <c r="P126" s="77">
        <f t="shared" ref="P126" si="59">IF(P$4="","",P125/Market_Price)</f>
        <v>6.8849454911396615E-2</v>
      </c>
      <c r="Q126" s="77" t="str">
        <f t="shared" ref="Q126" si="60">IF(Q$4="","",Q125/Market_Price)</f>
        <v/>
      </c>
    </row>
    <row r="127" spans="1:17" ht="15.75" customHeight="1">
      <c r="B127" s="2" t="s">
        <v>391</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3.1822496720640512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3.2961744081080266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3.1822496720640512</v>
      </c>
      <c r="C65" s="124">
        <f>C12</f>
        <v>3.1822496720640512</v>
      </c>
      <c r="D65" s="124">
        <f>C12</f>
        <v>3.1822496720640512</v>
      </c>
      <c r="E65" s="141">
        <f>C12</f>
        <v>3.1822496720640512</v>
      </c>
      <c r="F65" s="124">
        <f>C12</f>
        <v>3.1822496720640512</v>
      </c>
      <c r="H65" s="120"/>
    </row>
    <row r="66" spans="1:8" ht="13.15">
      <c r="A66" s="143">
        <f t="shared" ref="A66:A71" si="3">A56</f>
        <v>5</v>
      </c>
      <c r="B66" s="124">
        <f t="shared" ref="B66:F71" si="4">(B56-$C$7+$C$8+$C$9)/Common_Shares*$C$3*Exchange_Rate</f>
        <v>3.1266432460965956</v>
      </c>
      <c r="C66" s="124">
        <f t="shared" si="4"/>
        <v>3.1822496720640507</v>
      </c>
      <c r="D66" s="124">
        <f t="shared" si="4"/>
        <v>3.2394514777688239</v>
      </c>
      <c r="E66" s="124">
        <f t="shared" si="4"/>
        <v>3.2686727550650825</v>
      </c>
      <c r="F66" s="124">
        <f t="shared" si="4"/>
        <v>3.3284014907019253</v>
      </c>
      <c r="H66" s="120"/>
    </row>
    <row r="67" spans="1:8" ht="13.15">
      <c r="A67" s="143">
        <f t="shared" si="3"/>
        <v>10</v>
      </c>
      <c r="B67" s="124">
        <f t="shared" si="4"/>
        <v>3.0784471747681232</v>
      </c>
      <c r="C67" s="124">
        <f t="shared" si="4"/>
        <v>3.1822496720640507</v>
      </c>
      <c r="D67" s="124">
        <f t="shared" si="4"/>
        <v>3.2961744081080266</v>
      </c>
      <c r="E67" s="124">
        <f t="shared" si="4"/>
        <v>3.3573097284648026</v>
      </c>
      <c r="F67" s="124">
        <f t="shared" si="4"/>
        <v>3.4887548636172143</v>
      </c>
      <c r="H67" s="120"/>
    </row>
    <row r="68" spans="1:8" ht="13.15">
      <c r="A68" s="143">
        <f t="shared" si="3"/>
        <v>15</v>
      </c>
      <c r="B68" s="124">
        <f t="shared" si="4"/>
        <v>3.0230948375735713</v>
      </c>
      <c r="C68" s="124">
        <f t="shared" si="4"/>
        <v>3.1822496720640507</v>
      </c>
      <c r="D68" s="124">
        <f t="shared" si="4"/>
        <v>3.3679922805355966</v>
      </c>
      <c r="E68" s="124">
        <f t="shared" si="4"/>
        <v>3.4724534414786015</v>
      </c>
      <c r="F68" s="124">
        <f t="shared" si="4"/>
        <v>3.7083536495017704</v>
      </c>
      <c r="H68" s="120"/>
    </row>
    <row r="69" spans="1:8" ht="13.15">
      <c r="A69" s="144">
        <f t="shared" si="3"/>
        <v>20</v>
      </c>
      <c r="B69" s="124">
        <f t="shared" si="4"/>
        <v>2.9708246676938832</v>
      </c>
      <c r="C69" s="124">
        <f t="shared" si="4"/>
        <v>3.1822496720640507</v>
      </c>
      <c r="D69" s="124">
        <f t="shared" si="4"/>
        <v>3.4428635842168869</v>
      </c>
      <c r="E69" s="124">
        <f t="shared" si="4"/>
        <v>3.5957807276860909</v>
      </c>
      <c r="F69" s="124">
        <f t="shared" si="4"/>
        <v>3.9572436103908788</v>
      </c>
      <c r="H69" s="120"/>
    </row>
    <row r="70" spans="1:8" ht="13.15">
      <c r="A70" s="144">
        <f t="shared" si="3"/>
        <v>25</v>
      </c>
      <c r="B70" s="124">
        <f t="shared" si="4"/>
        <v>2.9257806176593704</v>
      </c>
      <c r="C70" s="124">
        <f t="shared" si="4"/>
        <v>3.1822496720640503</v>
      </c>
      <c r="D70" s="124">
        <f t="shared" si="4"/>
        <v>3.5141237851477154</v>
      </c>
      <c r="E70" s="124">
        <f t="shared" si="4"/>
        <v>3.7165072886281068</v>
      </c>
      <c r="F70" s="124">
        <f t="shared" si="4"/>
        <v>4.2158892209934011</v>
      </c>
    </row>
    <row r="71" spans="1:8" ht="13.15">
      <c r="A71" s="144">
        <f t="shared" si="3"/>
        <v>30</v>
      </c>
      <c r="B71" s="124">
        <f t="shared" si="4"/>
        <v>2.8889680259926727</v>
      </c>
      <c r="C71" s="124">
        <f t="shared" si="4"/>
        <v>3.1822496720640503</v>
      </c>
      <c r="D71" s="124">
        <f t="shared" si="4"/>
        <v>3.5784557947149369</v>
      </c>
      <c r="E71" s="124">
        <f t="shared" si="4"/>
        <v>3.828719163282515</v>
      </c>
      <c r="F71" s="124">
        <f t="shared" si="4"/>
        <v>4.4718646481265463</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3.7083536495017704</v>
      </c>
      <c r="F74" s="142">
        <f>Scenarios!C58</f>
        <v>0.05</v>
      </c>
    </row>
    <row r="75" spans="1:8">
      <c r="B75" s="127" t="str">
        <f>Scenarios!B36</f>
        <v>Optimistic</v>
      </c>
      <c r="C75" s="142">
        <f>Scenarios!C38</f>
        <v>0.03</v>
      </c>
      <c r="D75" s="145">
        <f>Scenarios!C37</f>
        <v>10</v>
      </c>
      <c r="E75" s="135">
        <f>INDEX(B$65:F$71, MATCH(D75, A$65:A$71, 0), MATCH(C75, B$64:F$64, 0))</f>
        <v>3.3573097284648026</v>
      </c>
      <c r="F75" s="142">
        <f>Scenarios!C40*(1-F$74-F$78)</f>
        <v>0.18</v>
      </c>
      <c r="H75" s="120"/>
    </row>
    <row r="76" spans="1:8">
      <c r="B76" s="127" t="str">
        <f>Scenarios!B24</f>
        <v>Base</v>
      </c>
      <c r="C76" s="142">
        <f>Scenarios!C26</f>
        <v>0.02</v>
      </c>
      <c r="D76" s="145">
        <f>Scenarios!C25</f>
        <v>10</v>
      </c>
      <c r="E76" s="135">
        <f>INDEX(B$65:F$71, MATCH(D76, A$65:A$71, 0), MATCH(C76, B$64:F$64, 0))</f>
        <v>3.2961744081080266</v>
      </c>
      <c r="F76" s="142">
        <f>Scenarios!C28*(1-F$74-F$78)</f>
        <v>0.53999999999999992</v>
      </c>
      <c r="H76" s="120"/>
    </row>
    <row r="77" spans="1:8">
      <c r="B77" s="127" t="str">
        <f>Scenarios!B30</f>
        <v>Pessimistic</v>
      </c>
      <c r="C77" s="142">
        <f>Scenarios!C32</f>
        <v>0</v>
      </c>
      <c r="D77" s="145">
        <f>Scenarios!C31</f>
        <v>10</v>
      </c>
      <c r="E77" s="135">
        <f>INDEX(B$65:F$71, MATCH(D77, A$65:A$71, 0), MATCH(C77, B$64:F$64, 0))</f>
        <v>3.1822496720640507</v>
      </c>
      <c r="F77" s="142">
        <f>Scenarios!C34*(1-F$74-F$78)</f>
        <v>0.18</v>
      </c>
      <c r="H77" s="120"/>
    </row>
    <row r="78" spans="1:8">
      <c r="B78" s="127" t="str">
        <f>Scenarios!B48</f>
        <v>Devil's advocate</v>
      </c>
      <c r="C78" s="142">
        <f>Scenarios!C50</f>
        <v>-0.02</v>
      </c>
      <c r="D78" s="145">
        <f>Scenarios!C49</f>
        <v>15</v>
      </c>
      <c r="E78" s="135">
        <f>INDEX(B$65:F$71, MATCH(D78, A$65:A$71, 0), MATCH(C78, B$64:F$64, 0))</f>
        <v>3.0230948375735713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1.3149649919999999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1.3149649919999999</v>
      </c>
      <c r="C60" s="124">
        <f>C7</f>
        <v>1.3149649919999999</v>
      </c>
      <c r="D60" s="124">
        <f>C7</f>
        <v>1.3149649919999999</v>
      </c>
      <c r="E60" s="141">
        <f>C7</f>
        <v>1.3149649919999999</v>
      </c>
      <c r="F60" s="124">
        <f>C7</f>
        <v>1.3149649919999999</v>
      </c>
      <c r="H60" s="120"/>
    </row>
    <row r="61" spans="1:8" ht="13.15">
      <c r="A61" s="143">
        <f t="shared" ref="A61:A66" si="3">A51</f>
        <v>5</v>
      </c>
      <c r="B61" s="124">
        <f t="shared" ref="B61:F66" si="4">B51/Common_Shares*$C$3*Exchange_Rate</f>
        <v>1.2744297686906407</v>
      </c>
      <c r="C61" s="124">
        <f t="shared" si="4"/>
        <v>1.3149649919999999</v>
      </c>
      <c r="D61" s="124">
        <f t="shared" si="4"/>
        <v>1.3566631937383855</v>
      </c>
      <c r="E61" s="124">
        <f t="shared" si="4"/>
        <v>1.3779645268124052</v>
      </c>
      <c r="F61" s="124">
        <f t="shared" si="4"/>
        <v>1.4215047758915693</v>
      </c>
      <c r="H61" s="120"/>
    </row>
    <row r="62" spans="1:8" ht="13.15">
      <c r="A62" s="143">
        <f t="shared" si="3"/>
        <v>10</v>
      </c>
      <c r="B62" s="124">
        <f t="shared" si="4"/>
        <v>1.2392964458786901</v>
      </c>
      <c r="C62" s="124">
        <f t="shared" si="4"/>
        <v>1.3149649920000002</v>
      </c>
      <c r="D62" s="124">
        <f t="shared" si="4"/>
        <v>1.3980123113638652</v>
      </c>
      <c r="E62" s="124">
        <f t="shared" si="4"/>
        <v>1.4425779136236025</v>
      </c>
      <c r="F62" s="124">
        <f t="shared" si="4"/>
        <v>1.5383970175064949</v>
      </c>
      <c r="H62" s="120"/>
    </row>
    <row r="63" spans="1:8" ht="13.15">
      <c r="A63" s="143">
        <f t="shared" si="3"/>
        <v>15</v>
      </c>
      <c r="B63" s="124">
        <f t="shared" si="4"/>
        <v>1.1989464447800886</v>
      </c>
      <c r="C63" s="124">
        <f t="shared" si="4"/>
        <v>1.3149649919999999</v>
      </c>
      <c r="D63" s="124">
        <f t="shared" si="4"/>
        <v>1.4503651365240087</v>
      </c>
      <c r="E63" s="124">
        <f t="shared" si="4"/>
        <v>1.5265138263976912</v>
      </c>
      <c r="F63" s="124">
        <f t="shared" si="4"/>
        <v>1.6984771821533724</v>
      </c>
      <c r="H63" s="120"/>
    </row>
    <row r="64" spans="1:8" ht="13.15">
      <c r="A64" s="144">
        <f t="shared" si="3"/>
        <v>20</v>
      </c>
      <c r="B64" s="124">
        <f t="shared" si="4"/>
        <v>1.1608432404897899</v>
      </c>
      <c r="C64" s="124">
        <f t="shared" si="4"/>
        <v>1.3149649920000002</v>
      </c>
      <c r="D64" s="124">
        <f t="shared" si="4"/>
        <v>1.5049438108657156</v>
      </c>
      <c r="E64" s="124">
        <f t="shared" si="4"/>
        <v>1.6164152901149189</v>
      </c>
      <c r="F64" s="124">
        <f t="shared" si="4"/>
        <v>1.8799096329640481</v>
      </c>
      <c r="H64" s="120"/>
    </row>
    <row r="65" spans="1:8" ht="13.15">
      <c r="A65" s="144">
        <f t="shared" si="3"/>
        <v>25</v>
      </c>
      <c r="B65" s="124">
        <f t="shared" si="4"/>
        <v>1.1280076356987974</v>
      </c>
      <c r="C65" s="124">
        <f t="shared" si="4"/>
        <v>1.3149649920000002</v>
      </c>
      <c r="D65" s="124">
        <f t="shared" si="4"/>
        <v>1.5568901121707401</v>
      </c>
      <c r="E65" s="124">
        <f t="shared" si="4"/>
        <v>1.7044209121633438</v>
      </c>
      <c r="F65" s="124">
        <f t="shared" si="4"/>
        <v>2.0684536258812516</v>
      </c>
    </row>
    <row r="66" spans="1:8" ht="13.15">
      <c r="A66" s="144">
        <f t="shared" si="3"/>
        <v>30</v>
      </c>
      <c r="B66" s="124">
        <f t="shared" si="4"/>
        <v>1.1011724885401</v>
      </c>
      <c r="C66" s="124">
        <f t="shared" si="4"/>
        <v>1.3149649920000002</v>
      </c>
      <c r="D66" s="124">
        <f t="shared" si="4"/>
        <v>1.6037859938674595</v>
      </c>
      <c r="E66" s="124">
        <f t="shared" si="4"/>
        <v>1.78621961290596</v>
      </c>
      <c r="F66" s="124">
        <f t="shared" si="4"/>
        <v>2.2550511444238648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1.6984771821533724</v>
      </c>
      <c r="F69" s="142">
        <f>Scenarios!C58</f>
        <v>0.05</v>
      </c>
    </row>
    <row r="70" spans="1:8">
      <c r="B70" s="127" t="str">
        <f>Scenarios!B36</f>
        <v>Optimistic</v>
      </c>
      <c r="C70" s="142">
        <f>Scenarios!C38</f>
        <v>0.03</v>
      </c>
      <c r="D70" s="145">
        <f>Scenarios!C37</f>
        <v>10</v>
      </c>
      <c r="E70" s="135">
        <f>INDEX(B$60:F$66, MATCH(D70, A$60:A$66, 0), MATCH(C70, B$59:F$59, 0))</f>
        <v>1.4425779136236025</v>
      </c>
      <c r="F70" s="142">
        <f>Scenarios!C40*(1-F$69-F$73)</f>
        <v>0.18</v>
      </c>
      <c r="H70" s="120"/>
    </row>
    <row r="71" spans="1:8">
      <c r="B71" s="127" t="str">
        <f>Scenarios!B24</f>
        <v>Base</v>
      </c>
      <c r="C71" s="142">
        <f>Scenarios!C26</f>
        <v>0.02</v>
      </c>
      <c r="D71" s="145">
        <f>Scenarios!C25</f>
        <v>10</v>
      </c>
      <c r="E71" s="135">
        <f>INDEX(B$60:F$66, MATCH(D71, A$60:A$66, 0), MATCH(C71, B$59:F$59, 0))</f>
        <v>1.3980123113638652</v>
      </c>
      <c r="F71" s="142">
        <f>Scenarios!C28*(1-F$69-F$73)</f>
        <v>0.53999999999999992</v>
      </c>
      <c r="H71" s="120"/>
    </row>
    <row r="72" spans="1:8">
      <c r="B72" s="127" t="str">
        <f>Scenarios!B30</f>
        <v>Pessimistic</v>
      </c>
      <c r="C72" s="142">
        <f>Scenarios!C32</f>
        <v>0</v>
      </c>
      <c r="D72" s="145">
        <f>Scenarios!C31</f>
        <v>10</v>
      </c>
      <c r="E72" s="135">
        <f>INDEX(B$60:F$66, MATCH(D72, A$60:A$66, 0), MATCH(C72, B$59:F$59, 0))</f>
        <v>1.3149649920000002</v>
      </c>
      <c r="F72" s="142">
        <f>Scenarios!C34*(1-F$69-F$73)</f>
        <v>0.18</v>
      </c>
      <c r="H72" s="120"/>
    </row>
    <row r="73" spans="1:8">
      <c r="B73" s="127" t="str">
        <f>Scenarios!B48</f>
        <v>Devil's advocate</v>
      </c>
      <c r="C73" s="142">
        <f>Scenarios!C50</f>
        <v>-0.02</v>
      </c>
      <c r="D73" s="145">
        <f>Scenarios!C49</f>
        <v>15</v>
      </c>
      <c r="E73" s="135">
        <f>INDEX(B$60:F$66, MATCH(D73, A$60:A$66, 0), MATCH(C73, B$59:F$59, 0))</f>
        <v>1.1989464447800886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3.3836272968272945</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2.08</v>
      </c>
      <c r="D21" t="str">
        <f>Market_currency</f>
        <v>HKD</v>
      </c>
      <c r="E21" s="369"/>
      <c r="F21" s="369"/>
    </row>
    <row r="22" spans="2:6">
      <c r="B22" s="100" t="s">
        <v>277</v>
      </c>
      <c r="C22" s="160">
        <f>IF(valuation_method="DCF",DCF!C12,DDM!C7)</f>
        <v>3.1822496720640512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3.2961744081080266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3.1822496720640507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3.3573097284648026</v>
      </c>
      <c r="D39" t="str">
        <f>Market_currency</f>
        <v>HKD</v>
      </c>
      <c r="E39" s="367"/>
      <c r="F39" s="367"/>
    </row>
    <row r="40" spans="2:6">
      <c r="B40" s="100" t="s">
        <v>146</v>
      </c>
      <c r="C40" s="167">
        <f>1-C28-C34</f>
        <v>0.2</v>
      </c>
      <c r="D40" s="165"/>
      <c r="E40" s="367"/>
      <c r="F40" s="367"/>
    </row>
    <row r="42" spans="2:6" ht="13.15">
      <c r="B42" s="100" t="s">
        <v>119</v>
      </c>
      <c r="C42" s="154">
        <f>C27*C28+C33*C34+C39*C40</f>
        <v>3.2856165249705866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3.0230948375735713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3.7083536495017704</v>
      </c>
      <c r="D57" t="str">
        <f>Market_currency</f>
        <v>HKD</v>
      </c>
      <c r="E57" s="367"/>
      <c r="F57" s="367"/>
    </row>
    <row r="58" spans="2:6">
      <c r="B58" s="100" t="s">
        <v>146</v>
      </c>
      <c r="C58" s="165">
        <v>0.05</v>
      </c>
      <c r="D58" s="165"/>
      <c r="E58" s="367"/>
      <c r="F58" s="367"/>
    </row>
    <row r="60" spans="2:6" ht="13.15">
      <c r="B60" s="100" t="s">
        <v>119</v>
      </c>
      <c r="C60" s="154">
        <f>C51*C52+C57*C58+C42*(1-C52-C58)</f>
        <v>3.2936272968272946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3.2961744081080266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0.41849725809070243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1.3386688195203147</v>
      </c>
      <c r="D82" s="116"/>
    </row>
    <row r="83" spans="2:8" ht="13.15">
      <c r="B83" s="110" t="s">
        <v>101</v>
      </c>
      <c r="C83" s="111">
        <f>C81+C82</f>
        <v>1.4912979919025735</v>
      </c>
      <c r="D83" t="str">
        <f>Market_currency</f>
        <v>HKD</v>
      </c>
      <c r="E83" s="146" t="s">
        <v>125</v>
      </c>
      <c r="F83" s="291">
        <f>(1-C83/C60)</f>
        <v>0.54721713858179388</v>
      </c>
    </row>
    <row r="84" spans="2:8">
      <c r="E84" s="120"/>
    </row>
    <row r="85" spans="2:8" ht="13.15">
      <c r="B85" s="109" t="s">
        <v>301</v>
      </c>
    </row>
    <row r="86" spans="2:8">
      <c r="B86" s="148" t="s">
        <v>299</v>
      </c>
      <c r="C86" s="116">
        <f>Market_Price</f>
        <v>2.08</v>
      </c>
      <c r="D86" t="str">
        <f>Market_currency</f>
        <v>HKD</v>
      </c>
    </row>
    <row r="87" spans="2:8" ht="13.15">
      <c r="B87" s="100" t="s">
        <v>297</v>
      </c>
      <c r="C87" s="237">
        <f ca="1">IRR(OFFSET($I$3, 0, 0, $C$76 + 1, 1))</f>
        <v>0.20310107501502905</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1.6863371759755748</v>
      </c>
      <c r="D92" s="116"/>
    </row>
    <row r="93" spans="2:8" ht="13.15">
      <c r="B93" s="110" t="s">
        <v>101</v>
      </c>
      <c r="C93" s="111">
        <f>C91+C92</f>
        <v>1.8620171759755748</v>
      </c>
      <c r="D93" t="str">
        <f>Market_currency</f>
        <v>HKD</v>
      </c>
      <c r="E93" s="146" t="s">
        <v>125</v>
      </c>
      <c r="F93" s="291">
        <f>(1-C93/C60)</f>
        <v>0.43466063152645407</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2.6512401046064733</v>
      </c>
      <c r="D98" s="116"/>
      <c r="G98" s="2"/>
      <c r="H98" s="281"/>
    </row>
    <row r="99" spans="2:8" ht="13.15">
      <c r="B99" s="110" t="s">
        <v>395</v>
      </c>
      <c r="C99" s="111">
        <f>C97+C98</f>
        <v>2.8852874211949495</v>
      </c>
      <c r="D99" t="s">
        <v>393</v>
      </c>
      <c r="E99" s="146" t="s">
        <v>125</v>
      </c>
      <c r="F99" s="291">
        <f>(1-C99/C60)</f>
        <v>0.12397877441254301</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2.3607415957182134</v>
      </c>
      <c r="D104" s="116"/>
    </row>
    <row r="105" spans="2:8" ht="13.15">
      <c r="B105" s="110" t="s">
        <v>395</v>
      </c>
      <c r="C105" s="111">
        <f>C103+C104</f>
        <v>2.5778758770526919</v>
      </c>
      <c r="D105" t="s">
        <v>393</v>
      </c>
      <c r="E105" s="146" t="s">
        <v>125</v>
      </c>
      <c r="F105" s="291">
        <f>(1-C105/C66)</f>
        <v>0.21791884837417674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