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A3A583F-DB77-45F0-9265-9046734C76A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I94" i="2"/>
  <c r="J94" i="2"/>
  <c r="K94" i="2"/>
  <c r="L94" i="2"/>
  <c r="N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<sst xmlns="http://schemas.openxmlformats.org/spreadsheetml/2006/main" count="686" uniqueCount="466">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</sst>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1.93</v>
      </c>
      <c r="D12" s="50"/>
      <c r="E12" s="48"/>
    </row>
    <row r="13" spans="1:10">
      <c r="B13" s="1" t="s">
        <v>413</v>
      </c>
      <c r="C13" s="48" t="s">
        <v>393</v>
      </c>
      <c r="D13" s="48"/>
      <c r="E13" s="5"/>
    </row>
    <row r="14" spans="1:10">
      <c r="B14" s="4" t="s">
        <v>417</v>
      </c>
      <c r="C14" s="35">
        <f>Thesis!C12*Common_Shares/1000000</f>
        <v>8897.2999999999993</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1.0926086399999999</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3.2840226135419552</v>
      </c>
      <c r="D26" s="1" t="s">
        <v>396</v>
      </c>
      <c r="E26" s="301">
        <f ca="1">Scenarios!C87</f>
        <v>0.23347117511285065</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1.4336098726161479</v>
      </c>
      <c r="D29" s="310" t="str">
        <f>D149</f>
        <v/>
      </c>
      <c r="E29" s="306" t="s">
        <v>421</v>
      </c>
      <c r="F29" s="302">
        <v>0.3674</v>
      </c>
    </row>
    <row r="30" spans="2:6">
      <c r="B30" s="1" t="s">
        <v>423</v>
      </c>
      <c r="C30" s="311">
        <f>C157</f>
        <v>2.0046821627105813</v>
      </c>
      <c r="D30" s="311" t="str">
        <f>D157</f>
        <v/>
      </c>
      <c r="E30" s="307" t="s">
        <v>434</v>
      </c>
      <c r="F30" s="312">
        <v>0.21740000000000001</v>
      </c>
    </row>
    <row r="31" spans="2:6">
      <c r="B31" s="1" t="s">
        <v>424</v>
      </c>
      <c r="C31" s="311">
        <f>C165</f>
        <v>2.8775560298676233</v>
      </c>
      <c r="D31" s="311" t="str">
        <f>D165</f>
        <v/>
      </c>
      <c r="E31" s="307" t="s">
        <v>433</v>
      </c>
      <c r="F31" s="312">
        <v>7.4999999999999997E-2</v>
      </c>
    </row>
    <row r="32" spans="2:6">
      <c r="B32" s="1" t="s">
        <v>425</v>
      </c>
      <c r="C32" s="311">
        <f>C173</f>
        <v>2.5709916204863097</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928439.85014218651</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59" t="s">
        <v>240</v>
      </c>
      <c r="C58" s="359"/>
      <c r="D58" s="359"/>
      <c r="E58" s="359"/>
      <c r="F58" s="359"/>
    </row>
    <row r="59" spans="2:6">
      <c r="B59" s="47" t="s">
        <v>238</v>
      </c>
      <c r="C59" s="349">
        <f>Normalized_FCF!C14</f>
        <v>-233268.98647286888</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6.9894377814195122E-2</v>
      </c>
      <c r="F69" s="314"/>
    </row>
    <row r="70" spans="1:6">
      <c r="B70" s="227" t="s">
        <v>455</v>
      </c>
      <c r="C70" s="92">
        <f>Normalized_FCF!C94</f>
        <v>4.6632124352331612E-2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1.798615322418621</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2119124</v>
      </c>
      <c r="D102" s="1" t="str">
        <f>Reporting_currency</f>
        <v>CNY</v>
      </c>
    </row>
    <row r="103" spans="2:6">
      <c r="B103" s="47" t="s">
        <v>280</v>
      </c>
      <c r="C103" s="223">
        <f>C102*scaling_factor*Exchange_Rate/Common_Shares</f>
        <v>0.50225015002849449</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1.8641428033930914</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1.2461805910573534E-2</v>
      </c>
      <c r="D114" s="1" t="str">
        <f>Market_currency</f>
        <v>HKD</v>
      </c>
    </row>
    <row r="116" spans="1:6" ht="24.6" customHeight="1">
      <c r="B116" s="358" t="s">
        <v>363</v>
      </c>
      <c r="C116" s="358"/>
      <c r="D116" s="358"/>
      <c r="E116" s="358"/>
      <c r="F116" s="358"/>
    </row>
    <row r="118" spans="1:6">
      <c r="B118" s="47" t="s">
        <v>446</v>
      </c>
      <c r="C118" s="223">
        <f>IF(valuation_method="DCF",DCF!C12,DDM!C7)</f>
        <v>3.1729697816937921</v>
      </c>
      <c r="D118" s="1" t="str">
        <f>Market_currency</f>
        <v>HKD</v>
      </c>
    </row>
    <row r="119" spans="1:6">
      <c r="B119" s="296" t="s">
        <v>402</v>
      </c>
      <c r="C119" s="223">
        <f>BS!D47</f>
        <v>1.8458516736178046</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257</v>
      </c>
      <c r="C132" s="217">
        <f>Scenarios!C60</f>
        <v>3.2840226135419552</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0.3674</v>
      </c>
    </row>
    <row r="147" spans="2:4">
      <c r="B147" s="212" t="str">
        <f>"PV("&amp;C141&amp;" yrs of Dividends)"</f>
        <v>PV(3 yrs of Dividends)</v>
      </c>
      <c r="C147" s="216">
        <f>Scenarios!C81</f>
        <v>0.14915333874283732</v>
      </c>
    </row>
    <row r="148" spans="2:4">
      <c r="B148" s="212" t="str">
        <f>"+ PV(Equity Value realized at year "&amp;C141&amp;")"</f>
        <v>+ PV(Equity Value realized at year 3)</v>
      </c>
      <c r="C148" s="216">
        <f>Scenarios!C82</f>
        <v>1.2844565338733105</v>
      </c>
    </row>
    <row r="149" spans="2:4">
      <c r="B149" s="80" t="s">
        <v>259</v>
      </c>
      <c r="C149" s="215">
        <f>Scenarios!C83</f>
        <v>1.4336098726161479</v>
      </c>
      <c r="D149" s="300" t="str">
        <f>IF($D$11="","",C149*$E$25)</f>
        <v/>
      </c>
    </row>
    <row r="150" spans="2:4">
      <c r="B150" s="259" t="s">
        <v>413</v>
      </c>
      <c r="C150" s="298" t="str">
        <f>Market_currency</f>
        <v>HKD</v>
      </c>
      <c r="D150" s="298" t="str">
        <f>IF($D$11="","",D$13)</f>
        <v/>
      </c>
    </row>
    <row r="151" spans="2:4">
      <c r="B151" s="214" t="s">
        <v>261</v>
      </c>
      <c r="C151" s="92">
        <f>Scenarios!F83</f>
        <v>0.56345919583363036</v>
      </c>
    </row>
    <row r="153" spans="2:4">
      <c r="B153" s="210" t="s">
        <v>408</v>
      </c>
    </row>
    <row r="154" spans="2:4">
      <c r="B154" s="1" t="s">
        <v>407</v>
      </c>
      <c r="C154" s="297">
        <f>Scenarios!C90</f>
        <v>0.21740000000000001</v>
      </c>
    </row>
    <row r="155" spans="2:4">
      <c r="B155" s="212" t="str">
        <f>"PV("&amp;C141&amp;" yrs of Dividends)"</f>
        <v>PV(3 yrs of Dividends)</v>
      </c>
      <c r="C155" s="216">
        <f>Scenarios!C91</f>
        <v>0.18453607414784434</v>
      </c>
    </row>
    <row r="156" spans="2:4">
      <c r="B156" s="212" t="str">
        <f>"+ PV(Equity Value realized at year "&amp;C141&amp;")"</f>
        <v>+ PV(Equity Value realized at year 3)</v>
      </c>
      <c r="C156" s="216">
        <f>Scenarios!C92</f>
        <v>1.820146088562737</v>
      </c>
    </row>
    <row r="157" spans="2:4">
      <c r="B157" s="80" t="s">
        <v>259</v>
      </c>
      <c r="C157" s="215">
        <f>Scenarios!C93</f>
        <v>2.0046821627105813</v>
      </c>
      <c r="D157" s="300" t="str">
        <f>IF($D$11="","",C157*$E$25)</f>
        <v/>
      </c>
    </row>
    <row r="158" spans="2:4">
      <c r="B158" s="259" t="s">
        <v>413</v>
      </c>
      <c r="C158" s="298" t="str">
        <f>Market_currency</f>
        <v>HKD</v>
      </c>
      <c r="D158" s="298" t="str">
        <f>IF($D$11="","",D$13)</f>
        <v/>
      </c>
    </row>
    <row r="159" spans="2:4">
      <c r="B159" s="214" t="s">
        <v>261</v>
      </c>
      <c r="C159" s="92">
        <f>Scenarios!F93</f>
        <v>0.38956505523314655</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2.643508713279147</v>
      </c>
    </row>
    <row r="165" spans="2:4">
      <c r="B165" s="80" t="s">
        <v>398</v>
      </c>
      <c r="C165" s="215">
        <f>Scenarios!C99</f>
        <v>2.8775560298676233</v>
      </c>
      <c r="D165" s="300" t="str">
        <f>IF($D$11="","",C165*$E$25)</f>
        <v/>
      </c>
    </row>
    <row r="166" spans="2:4">
      <c r="B166" s="259" t="s">
        <v>413</v>
      </c>
      <c r="C166" s="298" t="str">
        <f>Market_currency</f>
        <v>HKD</v>
      </c>
      <c r="D166" s="298" t="str">
        <f>IF($D$11="","",D$13)</f>
        <v/>
      </c>
    </row>
    <row r="167" spans="2:4">
      <c r="B167" s="214" t="s">
        <v>261</v>
      </c>
      <c r="C167" s="92">
        <f>Scenarios!F99</f>
        <v>0.12377094542474565</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2.3538573391518312</v>
      </c>
    </row>
    <row r="173" spans="2:4">
      <c r="B173" s="80" t="s">
        <v>398</v>
      </c>
      <c r="C173" s="215">
        <f>Scenarios!C105</f>
        <v>2.5709916204863097</v>
      </c>
      <c r="D173" s="300" t="str">
        <f>IF($D$11="","",C173*$E$25)</f>
        <v/>
      </c>
    </row>
    <row r="174" spans="2:4">
      <c r="B174" s="259" t="s">
        <v>413</v>
      </c>
      <c r="C174" s="298" t="str">
        <f>Market_currency</f>
        <v>HKD</v>
      </c>
      <c r="D174" s="298" t="str">
        <f>IF($D$11="","",D$13)</f>
        <v/>
      </c>
    </row>
    <row r="175" spans="2:4">
      <c r="B175" s="214" t="s">
        <v>261</v>
      </c>
      <c r="C175" s="92">
        <f>Scenarios!F105</f>
        <v>0.2177261867921827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0.131987123712</v>
      </c>
      <c r="D25" s="39">
        <f>0.207*Exchange_Rate</f>
        <v>0.22616998847999997</v>
      </c>
      <c r="E25" s="39">
        <f>0.178*Exchange_Rate</f>
        <v>0.19448433791999997</v>
      </c>
      <c r="F25" s="39">
        <f>0.155*Exchange_Rate</f>
        <v>0.16935433919999998</v>
      </c>
      <c r="G25" s="39">
        <f>0.08*Exchange_Rate</f>
        <v>8.7408691199999999E-2</v>
      </c>
      <c r="H25" s="39">
        <f>0.076*Exchange_Rate</f>
        <v>8.3038256639999988E-2</v>
      </c>
      <c r="I25" s="39">
        <f>0.15*Exchange_Rate</f>
        <v>0.16389129599999999</v>
      </c>
      <c r="J25" s="39">
        <f>0.005*Exchange_Rate</f>
        <v>5.4630432E-3</v>
      </c>
      <c r="K25" s="39">
        <f>0.05*Exchange_Rate</f>
        <v>5.4630432E-2</v>
      </c>
      <c r="L25" s="39">
        <f>0.08*Exchange_Rate</f>
        <v>8.7408691199999999E-2</v>
      </c>
      <c r="M25" s="39"/>
    </row>
    <row r="27" spans="2:13">
      <c r="B27" s="16" t="s">
        <v>28</v>
      </c>
      <c r="C27" s="97" t="s">
        <v>464</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0.131987123712</v>
      </c>
      <c r="D65" s="73">
        <f t="shared" ref="D65:M65" si="33">IF(D$4="","",D25)</f>
        <v>0.22616998847999997</v>
      </c>
      <c r="E65" s="73">
        <f t="shared" si="33"/>
        <v>0.19448433791999997</v>
      </c>
      <c r="F65" s="73">
        <f t="shared" si="33"/>
        <v>0.16935433919999998</v>
      </c>
      <c r="G65" s="73">
        <f t="shared" si="33"/>
        <v>8.7408691199999999E-2</v>
      </c>
      <c r="H65" s="73">
        <f t="shared" si="33"/>
        <v>8.3038256639999988E-2</v>
      </c>
      <c r="I65" s="73">
        <f t="shared" si="33"/>
        <v>0.16389129599999999</v>
      </c>
      <c r="J65" s="73">
        <f t="shared" si="33"/>
        <v>5.4630432E-3</v>
      </c>
      <c r="K65" s="73">
        <f t="shared" si="33"/>
        <v>5.4630432E-2</v>
      </c>
      <c r="L65" s="73">
        <f t="shared" si="33"/>
        <v>8.7408691199999999E-2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4.3629159431048326</v>
      </c>
      <c r="D47" s="147">
        <f>D46*H1/Common_Shares*Exchange_Rate</f>
        <v>1.8458516736178046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-965717.7200260266</v>
      </c>
      <c r="D73" s="349">
        <f>(Normalized_FCF!C25+Normalized_FCF!C35-Normalized_FCF!C91)/12</f>
        <v>-956584.92915481783</v>
      </c>
      <c r="F73" s="1" t="s">
        <v>348</v>
      </c>
    </row>
    <row r="74" spans="2:6" ht="15" customHeight="1">
      <c r="B74" s="257" t="s">
        <v>318</v>
      </c>
      <c r="C74" s="258">
        <f>-$C$66/C73</f>
        <v>12.106687862872501</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-2315373.19163136</v>
      </c>
      <c r="D86" s="223">
        <f>C86*scaling_factor/Common_Shares</f>
        <v>-0.5022501500284946</v>
      </c>
      <c r="E86" s="240" t="str">
        <f>Market_currency</f>
        <v>HKD</v>
      </c>
    </row>
    <row r="87" spans="2:8" ht="15" customHeight="1">
      <c r="B87" s="238" t="s">
        <v>286</v>
      </c>
      <c r="C87" s="76">
        <f>DCF!C8*Exchange_Rate</f>
        <v>8593698.3236421514</v>
      </c>
      <c r="D87" s="223">
        <f>C87*scaling_factor/Common_Shares</f>
        <v>1.8641428033930914</v>
      </c>
      <c r="E87" s="240" t="str">
        <f>Market_currency</f>
        <v>HKD</v>
      </c>
    </row>
    <row r="88" spans="2:8" ht="15" customHeight="1">
      <c r="B88" s="239" t="s">
        <v>188</v>
      </c>
      <c r="C88" s="76">
        <f>DCF!C9*Exchange_Rate</f>
        <v>57448.925247743995</v>
      </c>
      <c r="D88" s="223">
        <f>C88*scaling_factor/Common_Shares</f>
        <v>1.2461805910573534E-2</v>
      </c>
      <c r="E88" s="240" t="str">
        <f>Market_currency</f>
        <v>HKD</v>
      </c>
    </row>
    <row r="89" spans="2:8" ht="15" customHeight="1">
      <c r="B89" s="80" t="s">
        <v>290</v>
      </c>
      <c r="C89" s="180">
        <f>SUM(C86:C88)</f>
        <v>6335774.0572585352</v>
      </c>
      <c r="D89" s="242">
        <f>SUM(D86:D88)</f>
        <v>1.3743544592751702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0.131987123712</v>
      </c>
      <c r="H90" s="112">
        <f>Data!D65</f>
        <v>0.22616998847999997</v>
      </c>
      <c r="I90" s="112">
        <f>Data!E65</f>
        <v>0.19448433791999997</v>
      </c>
      <c r="J90" s="112">
        <f>Data!F65</f>
        <v>0.16935433919999998</v>
      </c>
      <c r="K90" s="112">
        <f>Data!G65</f>
        <v>8.7408691199999999E-2</v>
      </c>
      <c r="L90" s="112">
        <f>Data!H65</f>
        <v>8.3038256639999988E-2</v>
      </c>
      <c r="M90" s="112">
        <f>Data!I65</f>
        <v>0.16389129599999999</v>
      </c>
      <c r="N90" s="112">
        <f>Data!J65</f>
        <v>5.4630432E-3</v>
      </c>
      <c r="O90" s="112">
        <f>Data!K65</f>
        <v>5.4630432E-2</v>
      </c>
      <c r="P90" s="112">
        <f>Data!L65</f>
        <v>8.7408691199999999E-2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608460.64031231997</v>
      </c>
      <c r="H91" s="74">
        <f t="shared" si="37"/>
        <v>1042643.6468927999</v>
      </c>
      <c r="I91" s="74">
        <f t="shared" si="37"/>
        <v>896572.79781119991</v>
      </c>
      <c r="J91" s="74">
        <f t="shared" si="37"/>
        <v>780723.50371199986</v>
      </c>
      <c r="K91" s="74">
        <f t="shared" si="37"/>
        <v>402954.06643199996</v>
      </c>
      <c r="L91" s="74">
        <f t="shared" si="37"/>
        <v>382806.36311039998</v>
      </c>
      <c r="M91" s="74">
        <f t="shared" si="37"/>
        <v>755538.87455999991</v>
      </c>
      <c r="N91" s="74">
        <f t="shared" si="37"/>
        <v>25184.629151999998</v>
      </c>
      <c r="O91" s="74">
        <f t="shared" si="37"/>
        <v>251846.29152</v>
      </c>
      <c r="P91" s="74">
        <f t="shared" si="37"/>
        <v>402954.06643199996</v>
      </c>
      <c r="Q91" s="74" t="str">
        <f t="shared" si="37"/>
        <v/>
      </c>
    </row>
    <row r="92" spans="1:17" ht="15.75" customHeight="1">
      <c r="A92" s="10"/>
      <c r="B92" s="2" t="s">
        <v>212</v>
      </c>
      <c r="C92" s="23">
        <f>C90/(C19*scaling_factor/Common_Shares)</f>
        <v>0.80996280963569622</v>
      </c>
      <c r="E92" s="268"/>
      <c r="G92" s="170">
        <f t="shared" ref="G92:Q92" si="38">IF(G$4="","",G90/(G19*scaling_factor/Common_Shares))</f>
        <v>0.96199550512237797</v>
      </c>
      <c r="H92" s="170">
        <f t="shared" si="38"/>
        <v>0.9402980083524447</v>
      </c>
      <c r="I92" s="170">
        <f t="shared" si="38"/>
        <v>0.66730127842010201</v>
      </c>
      <c r="J92" s="170">
        <f t="shared" si="38"/>
        <v>0.92881060744477539</v>
      </c>
      <c r="K92" s="170">
        <f t="shared" si="38"/>
        <v>0.92462435190212089</v>
      </c>
      <c r="L92" s="170">
        <f t="shared" si="38"/>
        <v>1.13332434241458</v>
      </c>
      <c r="M92" s="170">
        <f t="shared" si="38"/>
        <v>0.59743442560287952</v>
      </c>
      <c r="N92" s="170">
        <f t="shared" si="38"/>
        <v>6.4074058724605962E-2</v>
      </c>
      <c r="O92" s="170">
        <f t="shared" si="38"/>
        <v>-0.60762868483909727</v>
      </c>
      <c r="P92" s="170">
        <f t="shared" si="38"/>
        <v>0.66884228367125065</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4.6632124352331612E-2</v>
      </c>
      <c r="E94" s="268"/>
      <c r="G94" s="23">
        <f t="shared" ref="G94:Q94" si="39">IF(G$4="","",(G90*(1-dividend_tax_rate))/Market_Price)</f>
        <v>6.1548399658445593E-2</v>
      </c>
      <c r="H94" s="23">
        <f t="shared" si="39"/>
        <v>0.10546787027564766</v>
      </c>
      <c r="I94" s="23">
        <f t="shared" si="39"/>
        <v>9.069217830466321E-2</v>
      </c>
      <c r="J94" s="23">
        <f t="shared" si="39"/>
        <v>7.8973526051813472E-2</v>
      </c>
      <c r="K94" s="23">
        <f t="shared" si="39"/>
        <v>4.0760529575129538E-2</v>
      </c>
      <c r="L94" s="23">
        <f t="shared" si="39"/>
        <v>3.8722503096373054E-2</v>
      </c>
      <c r="M94" s="23">
        <f t="shared" si="39"/>
        <v>7.6425992953367869E-2</v>
      </c>
      <c r="N94" s="23">
        <f t="shared" si="39"/>
        <v>2.5475330984455961E-3</v>
      </c>
      <c r="O94" s="23">
        <f t="shared" si="39"/>
        <v>2.5475330984455962E-2</v>
      </c>
      <c r="P94" s="23">
        <f t="shared" si="39"/>
        <v>4.0760529575129538E-2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0.13489614918139659</v>
      </c>
      <c r="D125" s="27"/>
      <c r="E125" s="265"/>
      <c r="F125" s="27"/>
      <c r="G125" s="177">
        <f t="shared" ref="G125:Q125" si="49">IF(G$4="","",G16*$C$3/Common_Shares*Exchange_Rate)</f>
        <v>0.14990742780875541</v>
      </c>
      <c r="H125" s="177">
        <f t="shared" si="49"/>
        <v>0.26280528229016953</v>
      </c>
      <c r="I125" s="177">
        <f t="shared" si="49"/>
        <v>0.3184397734995712</v>
      </c>
      <c r="J125" s="177">
        <f t="shared" si="49"/>
        <v>0.19922039299321043</v>
      </c>
      <c r="K125" s="177">
        <f t="shared" si="49"/>
        <v>0.10328896380432102</v>
      </c>
      <c r="L125" s="177">
        <f t="shared" si="49"/>
        <v>8.0055032138550974E-2</v>
      </c>
      <c r="M125" s="177">
        <f t="shared" si="49"/>
        <v>0.29973004292428634</v>
      </c>
      <c r="N125" s="177">
        <f t="shared" si="49"/>
        <v>9.3157329500043379E-2</v>
      </c>
      <c r="O125" s="177">
        <f t="shared" si="49"/>
        <v>-9.8233812029362239E-2</v>
      </c>
      <c r="P125" s="177">
        <f t="shared" si="49"/>
        <v>0.14278925472832971</v>
      </c>
      <c r="Q125" s="177" t="str">
        <f t="shared" si="49"/>
        <v/>
      </c>
    </row>
    <row r="126" spans="1:17" ht="15.75" customHeight="1">
      <c r="A126" s="10"/>
      <c r="B126" s="27" t="s">
        <v>268</v>
      </c>
      <c r="C126" s="77">
        <f>C19*Exchange_Rate*$C$3/(Market_Price*Common_Shares)</f>
        <v>6.9894377814195122E-2</v>
      </c>
      <c r="D126" s="27"/>
      <c r="E126" s="265"/>
      <c r="F126" s="27"/>
      <c r="G126" s="77">
        <f t="shared" ref="G126" si="50">IF(G$4="","",G125/Market_Price)</f>
        <v>7.767224238795617E-2</v>
      </c>
      <c r="H126" s="77">
        <f t="shared" ref="H126" si="51">IF(H$4="","",H125/Market_Price)</f>
        <v>0.13616854004671997</v>
      </c>
      <c r="I126" s="77">
        <f t="shared" ref="I126" si="52">IF(I$4="","",I125/Market_Price)</f>
        <v>0.16499470129511462</v>
      </c>
      <c r="J126" s="77">
        <f t="shared" ref="J126" si="53">IF(J$4="","",J125/Market_Price)</f>
        <v>0.10322300155088623</v>
      </c>
      <c r="K126" s="77">
        <f t="shared" ref="K126" si="54">IF(K$4="","",K125/Market_Price)</f>
        <v>5.3517597826073071E-2</v>
      </c>
      <c r="L126" s="77">
        <f t="shared" ref="L126" si="55">IF(L$4="","",L125/Market_Price)</f>
        <v>4.1479291263497912E-2</v>
      </c>
      <c r="M126" s="77">
        <f t="shared" ref="M126" si="56">IF(M$4="","",M125/Market_Price)</f>
        <v>0.15530054037527791</v>
      </c>
      <c r="N126" s="77">
        <f t="shared" ref="N126" si="57">IF(N$4="","",N125/Market_Price)</f>
        <v>4.8268046373079472E-2</v>
      </c>
      <c r="O126" s="77">
        <f t="shared" ref="O126" si="58">IF(O$4="","",O125/Market_Price)</f>
        <v>-5.0898348201742091E-2</v>
      </c>
      <c r="P126" s="77">
        <f t="shared" ref="P126" si="59">IF(P$4="","",P125/Market_Price)</f>
        <v>7.3984069807424724E-2</v>
      </c>
      <c r="Q126" s="77" t="str">
        <f t="shared" ref="Q126" si="60">IF(Q$4="","",Q125/Market_Price)</f>
        <v/>
      </c>
    </row>
    <row r="127" spans="1:17" ht="15.75" customHeight="1">
      <c r="B127" s="2" t="s">
        <v>391</v>
      </c>
      <c r="C127" s="169"/>
      <c r="G127" s="23">
        <f>IF(G$4="","",(Data!C47*$C$3)/(Market_Price*Common_Shares))</f>
        <v>0.12937958706573904</v>
      </c>
      <c r="H127" s="23">
        <f>IF(H$4="","",(Data!D47*$C$3)/(Market_Price*Common_Shares))</f>
        <v>0.26683353376867142</v>
      </c>
      <c r="I127" s="23">
        <f>IF(I$4="","",(Data!E47*$C$3)/(Market_Price*Common_Shares))</f>
        <v>0.20216605037483282</v>
      </c>
      <c r="J127" s="23">
        <f>IF(J$4="","",(Data!F47*$C$3)/(Market_Price*Common_Shares))</f>
        <v>0.18448686680228835</v>
      </c>
      <c r="K127" s="23">
        <f>IF(K$4="","",(Data!G47*$C$3)/(Market_Price*Common_Shares))</f>
        <v>8.7572297213761474E-2</v>
      </c>
      <c r="L127" s="23">
        <f>IF(L$4="","",(Data!H47*$C$3)/(Market_Price*Common_Shares))</f>
        <v>8.4855855147067089E-2</v>
      </c>
      <c r="M127" s="23">
        <f>IF(M$4="","",(Data!I47*$C$3)/(Market_Price*Common_Shares))</f>
        <v>0.17177008755465142</v>
      </c>
      <c r="N127" s="23">
        <f>IF(N$4="","",(Data!J47*$C$3)/(Market_Price*Common_Shares))</f>
        <v>1.208366583120722E-2</v>
      </c>
      <c r="O127" s="23">
        <f>IF(O$4="","",(Data!K47*$C$3)/(Market_Price*Common_Shares))</f>
        <v>-2.6600204556438471E-2</v>
      </c>
      <c r="P127" s="23">
        <f>IF(P$4="","",(Data!L47*$C$3)/(Market_Price*Common_Shares))</f>
        <v>9.4752452991356928E-2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6" t="s">
        <v>248</v>
      </c>
      <c r="F6" s="366"/>
      <c r="H6" s="120"/>
    </row>
    <row r="7" spans="2:8">
      <c r="B7" s="148" t="s">
        <v>223</v>
      </c>
      <c r="C7" s="338">
        <f>BS!G31</f>
        <v>2119124</v>
      </c>
      <c r="D7" t="str">
        <f>Reporting_currency</f>
        <v>CNY</v>
      </c>
      <c r="E7" s="366"/>
      <c r="F7" s="366"/>
      <c r="H7" s="120"/>
    </row>
    <row r="8" spans="2:8">
      <c r="B8" s="148" t="s">
        <v>224</v>
      </c>
      <c r="C8" s="338">
        <f>BS!D66</f>
        <v>7865303.2833807282</v>
      </c>
      <c r="D8" t="str">
        <f>Reporting_currency</f>
        <v>CNY</v>
      </c>
      <c r="E8" s="366"/>
      <c r="F8" s="366"/>
      <c r="H8" s="120"/>
    </row>
    <row r="9" spans="2:8">
      <c r="B9" s="205" t="s">
        <v>189</v>
      </c>
      <c r="C9" s="348">
        <f>BS!H42</f>
        <v>52579.6</v>
      </c>
      <c r="D9" t="str">
        <f>Reporting_currency</f>
        <v>CNY</v>
      </c>
      <c r="E9" s="366"/>
      <c r="F9" s="366"/>
      <c r="H9" s="120"/>
    </row>
    <row r="10" spans="2:8" ht="13.15">
      <c r="B10" s="149" t="s">
        <v>226</v>
      </c>
      <c r="C10" s="347">
        <f>C6-C7+C8+C9</f>
        <v>13387584.683211347</v>
      </c>
      <c r="D10" t="str">
        <f>Reporting_currency</f>
        <v>CNY</v>
      </c>
      <c r="H10" s="120"/>
    </row>
    <row r="11" spans="2:8" ht="13.15" thickBot="1">
      <c r="B11" s="207" t="s">
        <v>165</v>
      </c>
      <c r="C11" s="208">
        <f>Exchange_Rate</f>
        <v>1.0926086399999999</v>
      </c>
      <c r="D11" t="str">
        <f>Thesis!C15</f>
        <v>CNY/HKD</v>
      </c>
      <c r="H11" s="120"/>
    </row>
    <row r="12" spans="2:8" ht="13.5" thickTop="1">
      <c r="B12" s="149" t="s">
        <v>102</v>
      </c>
      <c r="C12" s="111">
        <f>(C10*scaling_factor)/Common_Shares*Exchange_Rate</f>
        <v>3.1729697816937921</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3.2865622970857458</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3.1729697816937921</v>
      </c>
      <c r="C65" s="124">
        <f>C12</f>
        <v>3.1729697816937921</v>
      </c>
      <c r="D65" s="124">
        <f>C12</f>
        <v>3.1729697816937921</v>
      </c>
      <c r="E65" s="141">
        <f>C12</f>
        <v>3.1729697816937921</v>
      </c>
      <c r="F65" s="124">
        <f>C12</f>
        <v>3.1729697816937921</v>
      </c>
      <c r="H65" s="120"/>
    </row>
    <row r="66" spans="1:8" ht="13.15">
      <c r="A66" s="143">
        <f t="shared" ref="A66:A71" si="3">A56</f>
        <v>5</v>
      </c>
      <c r="B66" s="124">
        <f t="shared" ref="B66:F71" si="4">(B56-$C$7+$C$8+$C$9)/Common_Shares*$C$3*Exchange_Rate</f>
        <v>3.117525511933434</v>
      </c>
      <c r="C66" s="124">
        <f t="shared" si="4"/>
        <v>3.1729697816937912</v>
      </c>
      <c r="D66" s="124">
        <f t="shared" si="4"/>
        <v>3.2300047788383872</v>
      </c>
      <c r="E66" s="124">
        <f t="shared" si="4"/>
        <v>3.2591408427548889</v>
      </c>
      <c r="F66" s="124">
        <f t="shared" si="4"/>
        <v>3.3186954009462815</v>
      </c>
      <c r="H66" s="120"/>
    </row>
    <row r="67" spans="1:8" ht="13.15">
      <c r="A67" s="143">
        <f t="shared" si="3"/>
        <v>10</v>
      </c>
      <c r="B67" s="124">
        <f t="shared" si="4"/>
        <v>3.0694699871692777</v>
      </c>
      <c r="C67" s="124">
        <f t="shared" si="4"/>
        <v>3.1729697816937912</v>
      </c>
      <c r="D67" s="124">
        <f t="shared" si="4"/>
        <v>3.2865622970857458</v>
      </c>
      <c r="E67" s="124">
        <f t="shared" si="4"/>
        <v>3.3475193381969794</v>
      </c>
      <c r="F67" s="124">
        <f t="shared" si="4"/>
        <v>3.478581160734223</v>
      </c>
      <c r="H67" s="120"/>
    </row>
    <row r="68" spans="1:8" ht="13.15">
      <c r="A68" s="143">
        <f t="shared" si="3"/>
        <v>15</v>
      </c>
      <c r="B68" s="124">
        <f t="shared" si="4"/>
        <v>3.0142790652230058</v>
      </c>
      <c r="C68" s="124">
        <f t="shared" si="4"/>
        <v>3.1729697816937912</v>
      </c>
      <c r="D68" s="124">
        <f t="shared" si="4"/>
        <v>3.3581707384342261</v>
      </c>
      <c r="E68" s="124">
        <f t="shared" si="4"/>
        <v>3.4623272758494128</v>
      </c>
      <c r="F68" s="124">
        <f t="shared" si="4"/>
        <v>3.6975395654832757</v>
      </c>
      <c r="H68" s="120"/>
    </row>
    <row r="69" spans="1:8" ht="13.15">
      <c r="A69" s="144">
        <f t="shared" si="3"/>
        <v>20</v>
      </c>
      <c r="B69" s="124">
        <f t="shared" si="4"/>
        <v>2.9621613225555428</v>
      </c>
      <c r="C69" s="124">
        <f t="shared" si="4"/>
        <v>3.1729697816937912</v>
      </c>
      <c r="D69" s="124">
        <f t="shared" si="4"/>
        <v>3.4328237067987937</v>
      </c>
      <c r="E69" s="124">
        <f t="shared" si="4"/>
        <v>3.5852949222380301</v>
      </c>
      <c r="F69" s="124">
        <f t="shared" si="4"/>
        <v>3.9457037280255149</v>
      </c>
      <c r="H69" s="120"/>
    </row>
    <row r="70" spans="1:8" ht="13.15">
      <c r="A70" s="144">
        <f t="shared" si="3"/>
        <v>25</v>
      </c>
      <c r="B70" s="124">
        <f t="shared" si="4"/>
        <v>2.9172486273452041</v>
      </c>
      <c r="C70" s="124">
        <f t="shared" si="4"/>
        <v>3.1729697816937907</v>
      </c>
      <c r="D70" s="124">
        <f t="shared" si="4"/>
        <v>3.5038761028995342</v>
      </c>
      <c r="E70" s="124">
        <f t="shared" si="4"/>
        <v>3.7056694274440822</v>
      </c>
      <c r="F70" s="124">
        <f t="shared" si="4"/>
        <v>4.2035950914260622</v>
      </c>
    </row>
    <row r="71" spans="1:8" ht="13.15">
      <c r="A71" s="144">
        <f t="shared" si="3"/>
        <v>30</v>
      </c>
      <c r="B71" s="124">
        <f t="shared" si="4"/>
        <v>2.8805433864052299</v>
      </c>
      <c r="C71" s="124">
        <f t="shared" si="4"/>
        <v>3.1729697816937907</v>
      </c>
      <c r="D71" s="124">
        <f t="shared" si="4"/>
        <v>3.5680205112231063</v>
      </c>
      <c r="E71" s="124">
        <f t="shared" si="4"/>
        <v>3.8175540763926712</v>
      </c>
      <c r="F71" s="124">
        <f t="shared" si="4"/>
        <v>4.4588240579900926</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3.6975395654832757</v>
      </c>
      <c r="F74" s="142">
        <f>Scenarios!C58</f>
        <v>0.05</v>
      </c>
    </row>
    <row r="75" spans="1:8">
      <c r="B75" s="127" t="str">
        <f>Scenarios!B36</f>
        <v>Optimistic</v>
      </c>
      <c r="C75" s="142">
        <f>Scenarios!C38</f>
        <v>0.03</v>
      </c>
      <c r="D75" s="145">
        <f>Scenarios!C37</f>
        <v>10</v>
      </c>
      <c r="E75" s="135">
        <f>INDEX(B$65:F$71, MATCH(D75, A$65:A$71, 0), MATCH(C75, B$64:F$64, 0))</f>
        <v>3.3475193381969794</v>
      </c>
      <c r="F75" s="142">
        <f>Scenarios!C40*(1-F$74-F$78)</f>
        <v>0.18</v>
      </c>
      <c r="H75" s="120"/>
    </row>
    <row r="76" spans="1:8">
      <c r="B76" s="127" t="str">
        <f>Scenarios!B24</f>
        <v>Base</v>
      </c>
      <c r="C76" s="142">
        <f>Scenarios!C26</f>
        <v>0.02</v>
      </c>
      <c r="D76" s="145">
        <f>Scenarios!C25</f>
        <v>10</v>
      </c>
      <c r="E76" s="135">
        <f>INDEX(B$65:F$71, MATCH(D76, A$65:A$71, 0), MATCH(C76, B$64:F$64, 0))</f>
        <v>3.2865622970857458</v>
      </c>
      <c r="F76" s="142">
        <f>Scenarios!C28*(1-F$74-F$78)</f>
        <v>0.53999999999999992</v>
      </c>
      <c r="H76" s="120"/>
    </row>
    <row r="77" spans="1:8">
      <c r="B77" s="127" t="str">
        <f>Scenarios!B30</f>
        <v>Pessimistic</v>
      </c>
      <c r="C77" s="142">
        <f>Scenarios!C32</f>
        <v>0</v>
      </c>
      <c r="D77" s="145">
        <f>Scenarios!C31</f>
        <v>10</v>
      </c>
      <c r="E77" s="135">
        <f>INDEX(B$65:F$71, MATCH(D77, A$65:A$71, 0), MATCH(C77, B$64:F$64, 0))</f>
        <v>3.1729697816937912</v>
      </c>
      <c r="F77" s="142">
        <f>Scenarios!C34*(1-F$74-F$78)</f>
        <v>0.18</v>
      </c>
      <c r="H77" s="120"/>
    </row>
    <row r="78" spans="1:8">
      <c r="B78" s="127" t="str">
        <f>Scenarios!B48</f>
        <v>Devil's advocate</v>
      </c>
      <c r="C78" s="142">
        <f>Scenarios!C50</f>
        <v>-0.02</v>
      </c>
      <c r="D78" s="145">
        <f>Scenarios!C49</f>
        <v>15</v>
      </c>
      <c r="E78" s="135">
        <f>INDEX(B$65:F$71, MATCH(D78, A$65:A$71, 0), MATCH(C78, B$64:F$64, 0))</f>
        <v>3.0142790652230058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6"/>
      <c r="F6" s="366"/>
      <c r="H6" s="120"/>
    </row>
    <row r="7" spans="2:8" ht="13.15">
      <c r="B7" s="149" t="s">
        <v>441</v>
      </c>
      <c r="C7" s="111">
        <f>(C6*scaling_factor)/Common_Shares*Exchange_Rate</f>
        <v>1.3111303679999999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1.3111303679999999</v>
      </c>
      <c r="C60" s="124">
        <f>C7</f>
        <v>1.3111303679999999</v>
      </c>
      <c r="D60" s="124">
        <f>C7</f>
        <v>1.3111303679999999</v>
      </c>
      <c r="E60" s="141">
        <f>C7</f>
        <v>1.3111303679999999</v>
      </c>
      <c r="F60" s="124">
        <f>C7</f>
        <v>1.3111303679999999</v>
      </c>
      <c r="H60" s="120"/>
    </row>
    <row r="61" spans="1:8" ht="13.15">
      <c r="A61" s="143">
        <f t="shared" ref="A61:A66" si="3">A51</f>
        <v>5</v>
      </c>
      <c r="B61" s="124">
        <f t="shared" ref="B61:F66" si="4">B51/Common_Shares*$C$3*Exchange_Rate</f>
        <v>1.2707133511380313</v>
      </c>
      <c r="C61" s="124">
        <f t="shared" si="4"/>
        <v>1.3111303679999999</v>
      </c>
      <c r="D61" s="124">
        <f t="shared" si="4"/>
        <v>1.3527069718813203</v>
      </c>
      <c r="E61" s="124">
        <f t="shared" si="4"/>
        <v>1.3739461872537018</v>
      </c>
      <c r="F61" s="124">
        <f t="shared" si="4"/>
        <v>1.4173594668050835</v>
      </c>
      <c r="H61" s="120"/>
    </row>
    <row r="62" spans="1:8" ht="13.15">
      <c r="A62" s="143">
        <f t="shared" si="3"/>
        <v>10</v>
      </c>
      <c r="B62" s="124">
        <f t="shared" si="4"/>
        <v>1.2356824820671874</v>
      </c>
      <c r="C62" s="124">
        <f t="shared" si="4"/>
        <v>1.3111303680000002</v>
      </c>
      <c r="D62" s="124">
        <f t="shared" si="4"/>
        <v>1.3939355096284078</v>
      </c>
      <c r="E62" s="124">
        <f t="shared" si="4"/>
        <v>1.4383711522853881</v>
      </c>
      <c r="F62" s="124">
        <f t="shared" si="4"/>
        <v>1.5339108341018048</v>
      </c>
      <c r="H62" s="120"/>
    </row>
    <row r="63" spans="1:8" ht="13.15">
      <c r="A63" s="143">
        <f t="shared" si="3"/>
        <v>15</v>
      </c>
      <c r="B63" s="124">
        <f t="shared" si="4"/>
        <v>1.1954501472817987</v>
      </c>
      <c r="C63" s="124">
        <f t="shared" si="4"/>
        <v>1.3111303679999999</v>
      </c>
      <c r="D63" s="124">
        <f t="shared" si="4"/>
        <v>1.446135666541831</v>
      </c>
      <c r="E63" s="124">
        <f t="shared" si="4"/>
        <v>1.5220622960598884</v>
      </c>
      <c r="F63" s="124">
        <f t="shared" si="4"/>
        <v>1.6935241823353075</v>
      </c>
      <c r="H63" s="120"/>
    </row>
    <row r="64" spans="1:8" ht="13.15">
      <c r="A64" s="144">
        <f t="shared" si="3"/>
        <v>20</v>
      </c>
      <c r="B64" s="124">
        <f t="shared" si="4"/>
        <v>1.1574580573272713</v>
      </c>
      <c r="C64" s="124">
        <f t="shared" si="4"/>
        <v>1.3111303680000002</v>
      </c>
      <c r="D64" s="124">
        <f t="shared" si="4"/>
        <v>1.5005551817456202</v>
      </c>
      <c r="E64" s="124">
        <f t="shared" si="4"/>
        <v>1.6117015943867807</v>
      </c>
      <c r="F64" s="124">
        <f t="shared" si="4"/>
        <v>1.87442755044455</v>
      </c>
      <c r="H64" s="120"/>
    </row>
    <row r="65" spans="1:8" ht="13.15">
      <c r="A65" s="144">
        <f t="shared" si="3"/>
        <v>25</v>
      </c>
      <c r="B65" s="124">
        <f t="shared" si="4"/>
        <v>1.1247182058064813</v>
      </c>
      <c r="C65" s="124">
        <f t="shared" si="4"/>
        <v>1.3111303680000002</v>
      </c>
      <c r="D65" s="124">
        <f t="shared" si="4"/>
        <v>1.5523500002850141</v>
      </c>
      <c r="E65" s="124">
        <f t="shared" si="4"/>
        <v>1.6994505795874606</v>
      </c>
      <c r="F65" s="124">
        <f t="shared" si="4"/>
        <v>2.0624217223971688</v>
      </c>
    </row>
    <row r="66" spans="1:8" ht="13.15">
      <c r="A66" s="144">
        <f t="shared" si="3"/>
        <v>30</v>
      </c>
      <c r="B66" s="124">
        <f t="shared" si="4"/>
        <v>1.0979613137343942</v>
      </c>
      <c r="C66" s="124">
        <f t="shared" si="4"/>
        <v>1.3111303680000002</v>
      </c>
      <c r="D66" s="124">
        <f t="shared" si="4"/>
        <v>1.5991091269543758</v>
      </c>
      <c r="E66" s="124">
        <f t="shared" si="4"/>
        <v>1.7810107437432137</v>
      </c>
      <c r="F66" s="124">
        <f t="shared" si="4"/>
        <v>2.248475096169924</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1.6935241823353075</v>
      </c>
      <c r="F69" s="142">
        <f>Scenarios!C58</f>
        <v>0.05</v>
      </c>
    </row>
    <row r="70" spans="1:8">
      <c r="B70" s="127" t="str">
        <f>Scenarios!B36</f>
        <v>Optimistic</v>
      </c>
      <c r="C70" s="142">
        <f>Scenarios!C38</f>
        <v>0.03</v>
      </c>
      <c r="D70" s="145">
        <f>Scenarios!C37</f>
        <v>10</v>
      </c>
      <c r="E70" s="135">
        <f>INDEX(B$60:F$66, MATCH(D70, A$60:A$66, 0), MATCH(C70, B$59:F$59, 0))</f>
        <v>1.4383711522853881</v>
      </c>
      <c r="F70" s="142">
        <f>Scenarios!C40*(1-F$69-F$73)</f>
        <v>0.18</v>
      </c>
      <c r="H70" s="120"/>
    </row>
    <row r="71" spans="1:8">
      <c r="B71" s="127" t="str">
        <f>Scenarios!B24</f>
        <v>Base</v>
      </c>
      <c r="C71" s="142">
        <f>Scenarios!C26</f>
        <v>0.02</v>
      </c>
      <c r="D71" s="145">
        <f>Scenarios!C25</f>
        <v>10</v>
      </c>
      <c r="E71" s="135">
        <f>INDEX(B$60:F$66, MATCH(D71, A$60:A$66, 0), MATCH(C71, B$59:F$59, 0))</f>
        <v>1.3939355096284078</v>
      </c>
      <c r="F71" s="142">
        <f>Scenarios!C28*(1-F$69-F$73)</f>
        <v>0.53999999999999992</v>
      </c>
      <c r="H71" s="120"/>
    </row>
    <row r="72" spans="1:8">
      <c r="B72" s="127" t="str">
        <f>Scenarios!B30</f>
        <v>Pessimistic</v>
      </c>
      <c r="C72" s="142">
        <f>Scenarios!C32</f>
        <v>0</v>
      </c>
      <c r="D72" s="145">
        <f>Scenarios!C31</f>
        <v>10</v>
      </c>
      <c r="E72" s="135">
        <f>INDEX(B$60:F$66, MATCH(D72, A$60:A$66, 0), MATCH(C72, B$59:F$59, 0))</f>
        <v>1.3111303680000002</v>
      </c>
      <c r="F72" s="142">
        <f>Scenarios!C34*(1-F$69-F$73)</f>
        <v>0.18</v>
      </c>
      <c r="H72" s="120"/>
    </row>
    <row r="73" spans="1:8">
      <c r="B73" s="127" t="str">
        <f>Scenarios!B48</f>
        <v>Devil's advocate</v>
      </c>
      <c r="C73" s="142">
        <f>Scenarios!C50</f>
        <v>-0.02</v>
      </c>
      <c r="D73" s="145">
        <f>Scenarios!C49</f>
        <v>15</v>
      </c>
      <c r="E73" s="135">
        <f>INDEX(B$60:F$66, MATCH(D73, A$60:A$66, 0), MATCH(C73, B$59:F$59, 0))</f>
        <v>1.1954501472817987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-1.93</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3.3740226135419551</v>
      </c>
    </row>
    <row r="7" spans="2:9" ht="12.75" customHeight="1">
      <c r="B7" s="100" t="s">
        <v>274</v>
      </c>
      <c r="C7" s="338">
        <f>Normalized_FCF!G8</f>
        <v>966307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8"/>
      <c r="H7" s="247">
        <v>4</v>
      </c>
      <c r="I7" s="124" t="str">
        <f t="shared" si="0"/>
        <v/>
      </c>
    </row>
    <row r="8" spans="2:9">
      <c r="B8" s="100" t="s">
        <v>66</v>
      </c>
      <c r="C8" s="338">
        <f>Normalized_FCF!G19</f>
        <v>632498.42340470827</v>
      </c>
      <c r="D8" t="str">
        <f>Reporting_currency</f>
        <v>CNY</v>
      </c>
      <c r="E8" s="368"/>
      <c r="F8" s="368"/>
      <c r="H8" s="247">
        <v>5</v>
      </c>
      <c r="I8" s="124" t="str">
        <f t="shared" si="0"/>
        <v/>
      </c>
    </row>
    <row r="9" spans="2:9">
      <c r="B9" s="100" t="s">
        <v>57</v>
      </c>
      <c r="C9" s="338">
        <f>Normalized_FCF!C19</f>
        <v>569161.93498729635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-3.750240119526338E-2</v>
      </c>
      <c r="D12" s="158"/>
      <c r="E12" s="368"/>
      <c r="F12" s="368"/>
      <c r="H12" s="247">
        <v>9</v>
      </c>
      <c r="I12" s="124" t="str">
        <f t="shared" si="0"/>
        <v/>
      </c>
    </row>
    <row r="13" spans="2:9">
      <c r="B13" s="148" t="s">
        <v>151</v>
      </c>
      <c r="C13" s="158">
        <f ca="1">(Normalized_FCF!G8/OFFSET(Normalized_FCF!G8, 0, $C$4))^(1/$C$4) - 1</f>
        <v>-0.20361731775539216</v>
      </c>
      <c r="E13" s="368"/>
      <c r="F13" s="368"/>
      <c r="H13" s="247">
        <v>10</v>
      </c>
      <c r="I13" s="124" t="str">
        <f t="shared" si="0"/>
        <v/>
      </c>
    </row>
    <row r="14" spans="2:9">
      <c r="B14" s="100" t="s">
        <v>66</v>
      </c>
      <c r="C14" s="158">
        <f ca="1">(Normalized_FCF!G19/OFFSET(Normalized_FCF!G19, 0, $C$4))^(1/$C$4) - 1</f>
        <v>-9.0443280496378065E-2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1.93</v>
      </c>
      <c r="D21" t="str">
        <f>Market_currency</f>
        <v>HKD</v>
      </c>
      <c r="E21" s="369"/>
      <c r="F21" s="369"/>
    </row>
    <row r="22" spans="2:6">
      <c r="B22" s="100" t="s">
        <v>277</v>
      </c>
      <c r="C22" s="160">
        <f>IF(valuation_method="DCF",DCF!C12,DDM!C7)</f>
        <v>3.1729697816937921</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3.2865622970857458</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3.1729697816937912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0.03</v>
      </c>
      <c r="D38" s="164"/>
      <c r="E38" s="367"/>
      <c r="F38" s="367"/>
    </row>
    <row r="39" spans="2:6">
      <c r="B39" s="100" t="s">
        <v>112</v>
      </c>
      <c r="C39" s="160">
        <f>IF(valuation_method="DCF",DCF!E75,DDM!E70)</f>
        <v>3.3475193381969794</v>
      </c>
      <c r="D39" t="str">
        <f>Market_currency</f>
        <v>HKD</v>
      </c>
      <c r="E39" s="367"/>
      <c r="F39" s="367"/>
    </row>
    <row r="40" spans="2:6">
      <c r="B40" s="100" t="s">
        <v>146</v>
      </c>
      <c r="C40" s="167">
        <f>1-C28-C34</f>
        <v>0.2</v>
      </c>
      <c r="D40" s="165"/>
      <c r="E40" s="367"/>
      <c r="F40" s="367"/>
    </row>
    <row r="42" spans="2:6" ht="13.15">
      <c r="B42" s="100" t="s">
        <v>119</v>
      </c>
      <c r="C42" s="154">
        <f>C27*C28+C33*C34+C39*C40</f>
        <v>3.2760352022296018</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-0.02</v>
      </c>
      <c r="D50" s="164"/>
      <c r="E50" s="367"/>
      <c r="F50" s="367"/>
    </row>
    <row r="51" spans="2:6">
      <c r="B51" s="100" t="s">
        <v>112</v>
      </c>
      <c r="C51" s="160">
        <f>IF(valuation_method="DCF",DCF!E78,DDM!E73)</f>
        <v>3.0142790652230058</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3.6975395654832757</v>
      </c>
      <c r="D57" t="str">
        <f>Market_currency</f>
        <v>HKD</v>
      </c>
      <c r="E57" s="367"/>
      <c r="F57" s="367"/>
    </row>
    <row r="58" spans="2:6">
      <c r="B58" s="100" t="s">
        <v>146</v>
      </c>
      <c r="C58" s="165">
        <v>0.05</v>
      </c>
      <c r="D58" s="165"/>
      <c r="E58" s="367"/>
      <c r="F58" s="367"/>
    </row>
    <row r="60" spans="2:6" ht="13.15">
      <c r="B60" s="100" t="s">
        <v>119</v>
      </c>
      <c r="C60" s="154">
        <f>C51*C52+C57*C58+C42*(1-C52-C58)</f>
        <v>3.2840226135419552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3.2865622970857458</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0.41849725809070226</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0.3674</v>
      </c>
    </row>
    <row r="81" spans="2:8">
      <c r="B81" s="100" t="s">
        <v>120</v>
      </c>
      <c r="C81" s="116">
        <f>PV(C80, C76, -C77, 0)</f>
        <v>0.14915333874283732</v>
      </c>
      <c r="D81" s="116"/>
      <c r="E81" s="100"/>
      <c r="F81" s="100"/>
    </row>
    <row r="82" spans="2:8">
      <c r="B82" s="100" t="s">
        <v>121</v>
      </c>
      <c r="C82" s="116">
        <f>C60/(1+C80)^C76</f>
        <v>1.2844565338733105</v>
      </c>
      <c r="D82" s="116"/>
    </row>
    <row r="83" spans="2:8" ht="13.15">
      <c r="B83" s="110" t="s">
        <v>101</v>
      </c>
      <c r="C83" s="111">
        <f>C81+C82</f>
        <v>1.4336098726161479</v>
      </c>
      <c r="D83" t="str">
        <f>Market_currency</f>
        <v>HKD</v>
      </c>
      <c r="E83" s="146" t="s">
        <v>125</v>
      </c>
      <c r="F83" s="291">
        <f>(1-C83/C60)</f>
        <v>0.56345919583363036</v>
      </c>
    </row>
    <row r="84" spans="2:8">
      <c r="E84" s="120"/>
    </row>
    <row r="85" spans="2:8" ht="13.15">
      <c r="B85" s="109" t="s">
        <v>301</v>
      </c>
    </row>
    <row r="86" spans="2:8">
      <c r="B86" s="148" t="s">
        <v>299</v>
      </c>
      <c r="C86" s="116">
        <f>Market_Price</f>
        <v>1.93</v>
      </c>
      <c r="D86" t="str">
        <f>Market_currency</f>
        <v>HKD</v>
      </c>
    </row>
    <row r="87" spans="2:8" ht="13.15">
      <c r="B87" s="100" t="s">
        <v>297</v>
      </c>
      <c r="C87" s="237">
        <f ca="1">IRR(OFFSET($I$3, 0, 0, $C$76 + 1, 1))</f>
        <v>0.23347117511285065</v>
      </c>
    </row>
    <row r="88" spans="2:8">
      <c r="B88" s="100"/>
    </row>
    <row r="89" spans="2:8" ht="13.15">
      <c r="B89" s="109" t="s">
        <v>409</v>
      </c>
    </row>
    <row r="90" spans="2:8">
      <c r="B90" s="148" t="s">
        <v>410</v>
      </c>
      <c r="C90" s="167">
        <f>Thesis!F30</f>
        <v>0.21740000000000001</v>
      </c>
    </row>
    <row r="91" spans="2:8">
      <c r="B91" s="100" t="s">
        <v>120</v>
      </c>
      <c r="C91" s="116">
        <f>PV(C90, C76, -C77, 0)</f>
        <v>0.18453607414784434</v>
      </c>
      <c r="D91" s="116"/>
      <c r="E91" s="100"/>
      <c r="F91" s="100"/>
    </row>
    <row r="92" spans="2:8">
      <c r="B92" s="100" t="s">
        <v>121</v>
      </c>
      <c r="C92" s="116">
        <f>C60/(1+C90)^C76</f>
        <v>1.820146088562737</v>
      </c>
      <c r="D92" s="116"/>
    </row>
    <row r="93" spans="2:8" ht="13.15">
      <c r="B93" s="110" t="s">
        <v>101</v>
      </c>
      <c r="C93" s="111">
        <f>C91+C92</f>
        <v>2.0046821627105813</v>
      </c>
      <c r="D93" t="str">
        <f>Market_currency</f>
        <v>HKD</v>
      </c>
      <c r="E93" s="146" t="s">
        <v>125</v>
      </c>
      <c r="F93" s="291">
        <f>(1-C93/C60)</f>
        <v>0.38956505523314655</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2.643508713279147</v>
      </c>
      <c r="D98" s="116"/>
      <c r="G98" s="2"/>
      <c r="H98" s="281"/>
    </row>
    <row r="99" spans="2:8" ht="13.15">
      <c r="B99" s="110" t="s">
        <v>395</v>
      </c>
      <c r="C99" s="111">
        <f>C97+C98</f>
        <v>2.8775560298676233</v>
      </c>
      <c r="D99" t="s">
        <v>393</v>
      </c>
      <c r="E99" s="146" t="s">
        <v>125</v>
      </c>
      <c r="F99" s="291">
        <f>(1-C99/C60)</f>
        <v>0.12377094542474565</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2.3538573391518312</v>
      </c>
      <c r="D104" s="116"/>
    </row>
    <row r="105" spans="2:8" ht="13.15">
      <c r="B105" s="110" t="s">
        <v>395</v>
      </c>
      <c r="C105" s="111">
        <f>C103+C104</f>
        <v>2.5709916204863097</v>
      </c>
      <c r="D105" t="s">
        <v>393</v>
      </c>
      <c r="E105" s="146" t="s">
        <v>125</v>
      </c>
      <c r="F105" s="291">
        <f>(1-C105/C66)</f>
        <v>0.2177261867921827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