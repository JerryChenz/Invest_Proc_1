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2F34CB0-7FB8-45CF-B330-BB9AF8CF55D5}"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O94" i="2"/>
  <c r="Q92" i="2"/>
  <c r="Q94" i="2"/>
  <c r="K94" i="2"/>
  <c r="P94" i="2"/>
  <c r="L94" i="2"/>
  <c r="J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<sst xmlns="http://schemas.openxmlformats.org/spreadsheetml/2006/main" count="836" uniqueCount="561">
  <si>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</si>
  <si>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</si>
  <si>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</si>
  <si>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</si>
  <si>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</si>
  <si>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</si>
  <si>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</si>
  <si>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</si>
  <si>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</si>
  <si>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</si>
  <si>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</si>
  <si>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</si>
  <si>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</si>
  <si>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</si>
  <si>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</si>
  <si>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</si>
  <si>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</si>
  <si>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</si>
  <si>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</si>
  <si>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</si>
  <si>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</si>
  <si>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</si>
  <si>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</si>
  <si>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</si>
  <si>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</si>
  <si>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</si>
  <si>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</si>
  <si>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</si>
  <si>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</si>
  <si>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</si>
  <si>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</si>
  <si>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</si>
  <si>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</si>
  <si>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</si>
  <si>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</si>
  <si>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</si>
  <si>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</si>
  <si>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</si>
  <si>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</si>
  <si>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</si>
  <si>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</si>
  <si>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</si>
  <si>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</si>
  <si>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</si>
  <si>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</si>
  <si>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</si>
  <si>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</si>
  <si>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</si>
  <si>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</si>
  <si>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</si>
  <si>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</si>
  <si>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</si>
  <si>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</si>
  <si>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</si>
  <si>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</si>
  <si>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</si>
  <si>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</si>
  <si>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</si>
  <si>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</si>
  <si>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</si>
  <si>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</si>
  <si>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</si>
  <si>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</si>
  <si>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</si>
  <si>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</si>
  <si>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</si>
  <si>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</si>
  <si>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</si>
  <si>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</si>
  <si>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</si>
  <si>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</si>
  <si>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</si>
  <si>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</si>
  <si>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</si>
  <si>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</si>
  <si>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</si>
  <si>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</si>
  <si>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</si>
  <si>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</si>
  <si>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</si>
  <si>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</si>
  <si>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</si>
  <si>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</si>
  <si>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</si>
  <si>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</si>
  <si>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</si>
  <si>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</si>
  <si>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</si>
  <si>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</si>
  <si>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</si>
  <si>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</si>
  <si>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</si>
  <si>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</si>
  <si>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</si>
  <si>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</si>
  <si>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</si>
  <si>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</si>
  <si>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</si>
  <si>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</si>
  <si>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</si>
  <si>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</si>
  <si>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</si>
  <si>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</si>
  <si>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</si>
  <si>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</si>
  <si>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</si>
  <si>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</si>
  <si>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</si>
  <si>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</si>
  <si>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</si>
  <si>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</si>
  <si>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</si>
  <si>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</si>
  <si>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</si>
  <si>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</si>
  <si>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</si>
  <si>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</si>
  <si>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</si>
  <si>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</si>
  <si>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</si>
  <si>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</si>
  <si>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</si>
  <si>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</si>
  <si>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</si>
  <si>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</si>
  <si>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</si>
  <si>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</si>
  <si>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</si>
  <si>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</si>
  <si>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</si>
  <si>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</si>
  <si>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</si>
  <si>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</si>
  <si>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</si>
  <si>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</si>
  <si>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</si>
  <si>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</si>
  <si>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</si>
  <si>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</si>
  <si>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</si>
  <si>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</si>
  <si>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</si>
  <si>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</si>
  <si>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</si>
  <si>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</si>
  <si>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</si>
  <si>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</si>
  <si>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</si>
  <si>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</si>
  <si>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</si>
  <si>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</si>
  <si>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</si>
  <si>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</si>
  <si>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</si>
  <si>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</si>
  <si>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</si>
  <si>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</si>
  <si>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</si>
  <si>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</si>
  <si>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</si>
  <si>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</si>
  <si>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</si>
  <si>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</si>
  <si>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</si>
  <si>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</si>
  <si>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</si>
  <si>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</si>
  <si>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</si>
  <si>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</si>
  <si>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</si>
  <si>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</si>
  <si>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</si>
  <si>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</si>
  <si>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</si>
  <si>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</si>
  <si>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</si>
  <si>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</si>
  <si>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</si>
  <si>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</si>
  <si>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</si>
  <si>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</si>
  <si>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</si>
  <si>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</si>
  <si>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</si>
  <si>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</si>
  <si>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</si>
  <si>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</si>
  <si>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</si>
  <si>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</si>
  <si>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</si>
  <si>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</si>
  <si>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</si>
  <si>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</si>
  <si>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</si>
  <si>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</si>
  <si>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</si>
  <si>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</si>
  <si>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</si>
  <si>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</si>
  <si>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</si>
  <si>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</si>
  <si>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</si>
  <si>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</si>
  <si>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</si>
  <si>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</si>
  <si>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</si>
  <si>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</si>
  <si>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</si>
  <si>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</si>
  <si>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</si>
  <si>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</si>
  <si>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</si>
  <si>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</si>
  <si>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</si>
  <si>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</si>
  <si>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</si>
  <si>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</si>
  <si>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</si>
  <si>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</si>
  <si>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</si>
  <si>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</si>
  <si>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</si>
  <si>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</si>
  <si>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</si>
  <si>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</si>
  <si>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</si>
  <si>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</si>
  <si>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</si>
  <si>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</si>
  <si>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</si>
  <si>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</si>
  <si>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</si>
  <si>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</si>
  <si>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</si>
  <si>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</si>
  <si>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</si>
  <si>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</si>
  <si>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</si>
  <si>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</si>
  <si>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</si>
  <si>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</si>
  <si>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</si>
  <si>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</si>
  <si>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</si>
  <si>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</si>
  <si>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</si>
  <si>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</si>
  <si>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</si>
  <si>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</si>
  <si>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</si>
  <si>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</si>
  <si>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</si>
  <si>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</si>
  <si>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</si>
  <si>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</si>
  <si>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</si>
  <si>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</si>
  <si>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</si>
  <si>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</si>
  <si>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</si>
  <si>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</si>
  <si>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</si>
  <si>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</si>
  <si>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</si>
  <si>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</si>
  <si>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</si>
  <si>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</si>
  <si>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</si>
  <si>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</si>
  <si>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</si>
  <si>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</si>
  <si>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</si>
  <si>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</si>
  <si>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</si>
  <si>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</si>
  <si>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</si>
  <si>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</si>
  <si>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</si>
  <si>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</si>
  <si>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</si>
  <si>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</si>
  <si>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</si>
  <si>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</si>
  <si>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</si>
  <si>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</si>
  <si>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</si>
  <si>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</si>
  <si>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</si>
  <si>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</si>
  <si>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</si>
  <si>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</si>
  <si>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</si>
  <si>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</si>
  <si>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</si>
  <si>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</si>
  <si>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</si>
  <si>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</si>
  <si>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</si>
  <si>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</si>
  <si>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</si>
  <si>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</si>
  <si>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</si>
  <si>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</si>
  <si>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</si>
  <si>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</si>
  <si>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</si>
  <si>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</si>
  <si>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</si>
  <si>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</si>
  <si>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</si>
  <si>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</si>
  <si>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</si>
  <si>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</si>
  <si>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</si>
  <si>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</si>
  <si>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</si>
  <si>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</si>
  <si>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</si>
  <si>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</si>
  <si>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</si>
  <si>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</si>
  <si>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</si>
  <si>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</si>
  <si>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</si>
  <si>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</si>
  <si>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</si>
  <si>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</si>
  <si>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</si>
  <si>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</si>
  <si>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</si>
  <si>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</si>
  <si>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</si>
  <si>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</si>
  <si>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</si>
  <si>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</si>
  <si>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</si>
  <si>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</si>
  <si>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</si>
  <si>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</si>
  <si>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</si>
  <si>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</si>
  <si>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</si>
  <si>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</si>
  <si>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</si>
  <si>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</si>
  <si>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</si>
  <si>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</si>
  <si>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</si>
  <si>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</si>
  <si>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</si>
  <si>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</si>
  <si>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</si>
  <si>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</si>
  <si>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</si>
  <si>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</si>
  <si>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</si>
  <si>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</si>
  <si>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</si>
  <si>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</si>
  <si>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</si>
  <si>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</si>
  <si>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</si>
  <si>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</si>
  <si>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</si>
  <si>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</si>
  <si>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</si>
  <si>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</si>
  <si>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</si>
  <si>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</si>
  <si>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</si>
  <si>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</si>
  <si>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</si>
  <si>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</si>
  <si>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</si>
  <si>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</si>
  <si>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</si>
  <si>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</si>
  <si>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</si>
  <si>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</si>
  <si>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</si>
  <si>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</si>
  <si>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</si>
  <si>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</si>
  <si>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</si>
  <si>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</si>
  <si>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</si>
  <si>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</si>
  <si>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</si>
  <si>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</si>
  <si>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</si>
  <si>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</si>
  <si>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</si>
  <si>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</si>
  <si>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</si>
  <si>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</si>
  <si>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</si>
  <si>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</si>
  <si>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</si>
  <si>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</si>
  <si>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</si>
  <si>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</si>
  <si>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</si>
  <si>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</si>
  <si>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</si>
  <si>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</si>
  <si>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</si>
  <si>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</si>
  <si>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</si>
  <si>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</si>
  <si>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</si>
  <si>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</si>
  <si>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</si>
  <si>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</si>
  <si>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</si>
  <si>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</si>
  <si>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</si>
  <si>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</si>
  <si>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</si>
  <si>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</si>
  <si>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</si>
  <si>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</si>
  <si>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</si>
  <si>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</si>
  <si>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</si>
  <si>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</si>
  <si>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</si>
  <si>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</si>
  <si>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</si>
  <si>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</si>
  <si>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</si>
  <si>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</si>
  <si>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</si>
  <si>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</si>
  <si>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</si>
  <si>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</si>
  <si>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</si>
  <si>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</si>
  <si>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</si>
  <si>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</si>
  <si>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</si>
  <si>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</si>
  <si>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</si>
  <si>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</si>
  <si>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</si>
  <si>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</si>
  <si>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</si>
  <si>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</si>
  <si>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</si>
  <si>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</si>
  <si>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</si>
  <si>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</si>
  <si>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</si>
  <si>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</si>
  <si>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</si>
  <si>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</si>
  <si>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</si>
  <si>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</si>
  <si>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</si>
  <si>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</si>
  <si>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</si>
  <si>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</si>
  <si>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</si>
  <si>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</si>
  <si>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</si>
  <si>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</si>
  <si>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</si>
  <si>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</si>
  <si>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</si>
  <si>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</si>
  <si>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</si>
  <si>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</si>
  <si>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</si>
  <si>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</si>
  <si>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</si>
  <si>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</si>
  <si>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</si>
  <si>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</si>
  <si>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</si>
  <si>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</si>
  <si>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</si>
  <si>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</si>
  <si>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</si>
  <si>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</si>
  <si>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</si>
  <si>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</si>
  <si>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</si>
  <si>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</si>
  <si>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</si>
  <si>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</si>
  <si>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</si>
  <si>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</si>
  <si>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</si>
  <si>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</si>
  <si>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</si>
  <si>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</si>
  <si>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</si>
  <si>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</si>
  <si>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</si>
  <si>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</si>
  <si>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</si>
  <si>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</si>
  <si>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</si>
  <si>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</si>
  <si>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</si>
  <si>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</si>
  <si>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</si>
  <si>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</si>
  <si>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</si>
  <si>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</si>
  <si>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</si>
  <si>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</si>
  <si>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</si>
  <si>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</si>
  <si>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</si>
  <si>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</si>
  <si>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</si>
  <si>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</si>
  <si>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</si>
  <si>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</si>
  <si>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</si>
  <si>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</si>
  <si>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</si>
  <si>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</si>
  <si>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</si>
  <si>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</si>
  <si>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</si>
  <si>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</si>
  <si>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</si>
  <si>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</si>
  <si>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</si>
  <si>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</si>
  <si>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</si>
  <si>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</si>
  <si>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</si>
  <si>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</si>
  <si>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</si>
  <si>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</si>
  <si>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</si>
  <si>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</si>
  <si>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</si>
  <si>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</si>
  <si>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</si>
  <si>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</si>
  <si>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</si>
  <si>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</si>
  <si>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</si>
  <si>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</si>
  <si>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</si>
  <si>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</si>
  <si>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</si>
  <si>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</si>
  <si>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</si>
  <si>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</si>
  <si>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中海石油化学</t>
  </si>
  <si>
    <t>3983.HK</t>
  </si>
  <si>
    <t/>
  </si>
  <si>
    <t>ENG_02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</si>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</sst>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8A0F913-4ACB-4B07-A8B4-EE1688BE7359}"/>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983.HK_Valuation_backup.xlsx" TargetMode="External"/><Relationship Id="rId1" Type="http://schemas.openxmlformats.org/officeDocument/2006/relationships/externalLinkPath" Target="39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4610000000</v>
          </cell>
        </row>
        <row r="12">
          <cell r="C12">
            <v>2.08</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中海石油化学</v>
      </c>
    </row>
    <row r="6" spans="1:10">
      <c r="B6" s="4" t="s">
        <v>481</v>
      </c>
      <c r="C6" s="34">
        <f>Common_Shares</f>
        <v>4610000000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3983.HK</v>
      </c>
      <c r="D11" s="49"/>
      <c r="E11" s="34"/>
    </row>
    <row r="12" spans="1:10">
      <c r="B12" s="4" t="s">
        <v>485</v>
      </c>
      <c r="C12" s="366">
        <f>Market_Price</f>
        <v>2.0699999999999998</v>
      </c>
      <c r="D12" s="50"/>
      <c r="E12" s="48"/>
    </row>
    <row r="13" spans="1:10">
      <c r="B13" s="1" t="s">
        <v>486</v>
      </c>
      <c r="C13" s="32" t="str">
        <f>Market_currency</f>
        <v>HKD</v>
      </c>
      <c r="D13" s="48"/>
      <c r="E13" s="5"/>
    </row>
    <row r="14" spans="1:10">
      <c r="B14" s="4" t="s">
        <v>487</v>
      </c>
      <c r="C14" s="35">
        <f>投资主题!C12*Common_Shares/1000000</f>
        <v>9542.7000000000007</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1.0950192000000001</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3.2912679649527772</v>
      </c>
      <c r="D26" s="1" t="s">
        <v>447</v>
      </c>
      <c r="E26" s="301">
        <f ca="1">Scenarios!C87</f>
        <v>0.20483254629758174</v>
      </c>
    </row>
    <row r="27" spans="2:6">
      <c r="D27" s="5"/>
      <c r="E27" s="5"/>
    </row>
    <row r="28" spans="2:6">
      <c r="B28" s="45" t="s">
        <v>449</v>
      </c>
      <c r="C28" s="309" t="str">
        <f>C145&amp;" ("&amp;Market_currency&amp;")"</f>
        <v>3983.HK (HKD)</v>
      </c>
      <c r="D28" s="309" t="str">
        <f>IF(D11="","",D145&amp;" ("&amp;D13&amp;")")</f>
        <v/>
      </c>
      <c r="E28" s="305" t="s">
        <v>454</v>
      </c>
      <c r="F28" s="361">
        <f>Thesis!F28</f>
        <v>3</v>
      </c>
    </row>
    <row r="29" spans="2:6">
      <c r="B29" s="1" t="s">
        <v>450</v>
      </c>
      <c r="C29" s="310">
        <f>C149</f>
        <v>1.490339060083433</v>
      </c>
      <c r="D29" s="310" t="str">
        <f>D149</f>
        <v/>
      </c>
      <c r="E29" s="306" t="s">
        <v>456</v>
      </c>
      <c r="F29" s="362">
        <f>Thesis!F29</f>
        <v>0.35</v>
      </c>
    </row>
    <row r="30" spans="2:6">
      <c r="B30" s="1" t="s">
        <v>451</v>
      </c>
      <c r="C30" s="311">
        <f>C157</f>
        <v>1.8608091980558219</v>
      </c>
      <c r="D30" s="311" t="str">
        <f>D157</f>
        <v/>
      </c>
      <c r="E30" s="307" t="s">
        <v>455</v>
      </c>
      <c r="F30" s="224">
        <f>Thesis!F30</f>
        <v>0.25</v>
      </c>
    </row>
    <row r="31" spans="2:6">
      <c r="B31" s="1" t="s">
        <v>452</v>
      </c>
      <c r="C31" s="311">
        <f>C165</f>
        <v>2.883388252065576</v>
      </c>
      <c r="D31" s="311" t="str">
        <f>D165</f>
        <v/>
      </c>
      <c r="E31" s="307" t="s">
        <v>492</v>
      </c>
      <c r="F31" s="224">
        <f>Thesis!F31</f>
        <v>7.4999999999999997E-2</v>
      </c>
    </row>
    <row r="32" spans="2:6">
      <c r="B32" s="1" t="s">
        <v>453</v>
      </c>
      <c r="C32" s="311">
        <f>C173</f>
        <v>2.5761848014110607</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1000</v>
      </c>
    </row>
    <row r="40" spans="1:6">
      <c r="B40" s="370" t="s">
        <v>495</v>
      </c>
      <c r="C40" s="370"/>
      <c r="D40" s="370"/>
      <c r="E40" s="370"/>
      <c r="F40" s="370"/>
    </row>
    <row r="41" spans="1:6">
      <c r="B41" s="47" t="s">
        <v>228</v>
      </c>
      <c r="C41" s="349">
        <f>Normalized_FCF!C8</f>
        <v>928439.85014218651</v>
      </c>
      <c r="D41" s="1" t="str">
        <f>Reporting_currency</f>
        <v>CNY</v>
      </c>
    </row>
    <row r="42" spans="1:6">
      <c r="B42" s="47"/>
      <c r="C42" s="76"/>
    </row>
    <row r="43" spans="1:6" ht="24.6" customHeight="1">
      <c r="B43" s="370" t="s">
        <v>496</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499</v>
      </c>
    </row>
    <row r="56" spans="2:6">
      <c r="B56" s="47" t="s">
        <v>261</v>
      </c>
      <c r="C56" s="349">
        <f>Normalized_FCF!C15</f>
        <v>-130645.02443131036</v>
      </c>
      <c r="D56" s="1" t="str">
        <f>Reporting_currency</f>
        <v>CNY</v>
      </c>
    </row>
    <row r="58" spans="2:6">
      <c r="B58" s="370" t="s">
        <v>237</v>
      </c>
      <c r="C58" s="370"/>
      <c r="D58" s="370"/>
      <c r="E58" s="370"/>
      <c r="F58" s="370"/>
    </row>
    <row r="59" spans="2:6">
      <c r="B59" s="47" t="s">
        <v>235</v>
      </c>
      <c r="C59" s="349">
        <f>Normalized_FCF!C14</f>
        <v>-233268.98647286888</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6.5310996543980357E-2</v>
      </c>
      <c r="F69" s="314"/>
    </row>
    <row r="70" spans="1:6">
      <c r="B70" s="227" t="s">
        <v>435</v>
      </c>
      <c r="C70" s="92">
        <f>Normalized_FCF!C94</f>
        <v>4.3478260869565223E-2</v>
      </c>
      <c r="E70" s="47" t="s">
        <v>504</v>
      </c>
      <c r="F70" s="315">
        <f>Normalized_FCF!C92</f>
        <v>0.80996280963569622</v>
      </c>
    </row>
    <row r="72" spans="1:6">
      <c r="B72" s="210" t="s">
        <v>514</v>
      </c>
      <c r="C72" s="323" t="s">
        <v>430</v>
      </c>
      <c r="D72" s="323" t="s">
        <v>505</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1.8025835046138576</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2119124</v>
      </c>
      <c r="D102" s="1" t="str">
        <f>Reporting_currency</f>
        <v>CNY</v>
      </c>
    </row>
    <row r="103" spans="2:6">
      <c r="B103" s="47" t="s">
        <v>276</v>
      </c>
      <c r="C103" s="223">
        <f>C102*scaling_factor*Exchange_Rate/Common_Shares</f>
        <v>0.50335823583097616</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515</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1.8682555551247155</v>
      </c>
      <c r="D110" s="1" t="str">
        <f>Market_currency</f>
        <v>HKD</v>
      </c>
    </row>
    <row r="112" spans="2:6">
      <c r="B112" s="1" t="s">
        <v>516</v>
      </c>
    </row>
    <row r="113" spans="1:6">
      <c r="B113" s="47" t="s">
        <v>253</v>
      </c>
      <c r="C113" s="349">
        <f>DCF!C9</f>
        <v>52579.6</v>
      </c>
      <c r="D113" s="1" t="str">
        <f>Reporting_currency</f>
        <v>CNY</v>
      </c>
    </row>
    <row r="114" spans="1:6">
      <c r="B114" s="47" t="s">
        <v>278</v>
      </c>
      <c r="C114" s="223">
        <f>C113*scaling_factor*Exchange_Rate/Common_Shares</f>
        <v>1.2489299680763559E-2</v>
      </c>
      <c r="D114" s="1" t="str">
        <f>Market_currency</f>
        <v>HKD</v>
      </c>
    </row>
    <row r="116" spans="1:6">
      <c r="B116" s="371" t="s">
        <v>517</v>
      </c>
      <c r="C116" s="371"/>
      <c r="D116" s="371"/>
      <c r="E116" s="371"/>
      <c r="F116" s="371"/>
    </row>
    <row r="118" spans="1:6">
      <c r="B118" s="47" t="s">
        <v>518</v>
      </c>
      <c r="C118" s="223">
        <f>IF(valuation_method="DCF",DCF!C12,DDM!C7)</f>
        <v>3.1799701235883613</v>
      </c>
      <c r="D118" s="1" t="str">
        <f>Market_currency</f>
        <v>HKD</v>
      </c>
    </row>
    <row r="119" spans="1:6">
      <c r="B119" s="296" t="s">
        <v>551</v>
      </c>
      <c r="C119" s="223">
        <f>BS!D47</f>
        <v>1.849924070675141</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0.05</v>
      </c>
      <c r="D126" s="230">
        <f>DCF!D74</f>
        <v>15</v>
      </c>
      <c r="E126" s="231" t="str">
        <f>ROUND(IF(valuation_method="DCF",DCF!E74,DDM!E69),2)&amp;" "&amp;Market_currency</f>
        <v>3.71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254</v>
      </c>
      <c r="C132" s="217">
        <f>Scenarios!C60</f>
        <v>3.2912679649527772</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9.0000000000000011E-2</v>
      </c>
      <c r="D143" s="212" t="str">
        <f>Market_currency</f>
        <v>HKD</v>
      </c>
    </row>
    <row r="145" spans="2:4">
      <c r="B145" s="210" t="s">
        <v>532</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1.3377098877011742</v>
      </c>
    </row>
    <row r="149" spans="2:4">
      <c r="B149" s="80" t="s">
        <v>256</v>
      </c>
      <c r="C149" s="215">
        <f>Scenarios!C83</f>
        <v>1.490339060083433</v>
      </c>
      <c r="D149" s="300" t="str">
        <f>IF($D$11="","",C149*$E$25)</f>
        <v/>
      </c>
    </row>
    <row r="150" spans="2:4">
      <c r="B150" s="259" t="s">
        <v>533</v>
      </c>
      <c r="C150" s="298" t="str">
        <f>Market_currency</f>
        <v>HKD</v>
      </c>
      <c r="D150" s="298" t="str">
        <f>IF($D$11="","",D$13)</f>
        <v/>
      </c>
    </row>
    <row r="151" spans="2:4">
      <c r="B151" s="214" t="s">
        <v>534</v>
      </c>
      <c r="C151" s="92">
        <f>Scenarios!F83</f>
        <v>0.54718391940328803</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1.6851291980558218</v>
      </c>
    </row>
    <row r="157" spans="2:4">
      <c r="B157" s="80" t="s">
        <v>256</v>
      </c>
      <c r="C157" s="215">
        <f>Scenarios!C93</f>
        <v>1.8608091980558219</v>
      </c>
      <c r="D157" s="300" t="str">
        <f>IF($D$11="","",C157*$E$25)</f>
        <v/>
      </c>
    </row>
    <row r="158" spans="2:4">
      <c r="B158" s="259" t="s">
        <v>533</v>
      </c>
      <c r="C158" s="298" t="str">
        <f>Market_currency</f>
        <v>HKD</v>
      </c>
      <c r="D158" s="298" t="str">
        <f>IF($D$11="","",D$13)</f>
        <v/>
      </c>
    </row>
    <row r="159" spans="2:4">
      <c r="B159" s="214" t="s">
        <v>534</v>
      </c>
      <c r="C159" s="92">
        <f>Scenarios!F93</f>
        <v>0.43462239542002146</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2.6493409354770998</v>
      </c>
    </row>
    <row r="165" spans="2:4">
      <c r="B165" s="80" t="s">
        <v>382</v>
      </c>
      <c r="C165" s="215">
        <f>Scenarios!C99</f>
        <v>2.883388252065576</v>
      </c>
      <c r="D165" s="300" t="str">
        <f>IF($D$11="","",C165*$E$25)</f>
        <v/>
      </c>
    </row>
    <row r="166" spans="2:4">
      <c r="B166" s="259" t="s">
        <v>533</v>
      </c>
      <c r="C166" s="298" t="str">
        <f>Market_currency</f>
        <v>HKD</v>
      </c>
      <c r="D166" s="298" t="str">
        <f>IF($D$11="","",D$13)</f>
        <v/>
      </c>
    </row>
    <row r="167" spans="2:4">
      <c r="B167" s="214" t="s">
        <v>534</v>
      </c>
      <c r="C167" s="92">
        <f>Scenarios!F99</f>
        <v>0.12392783487413594</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2.3590505200765821</v>
      </c>
    </row>
    <row r="173" spans="2:4">
      <c r="B173" s="80" t="s">
        <v>382</v>
      </c>
      <c r="C173" s="215">
        <f>Scenarios!C105</f>
        <v>2.5761848014110607</v>
      </c>
      <c r="D173" s="300" t="str">
        <f>IF($D$11="","",C173*$E$25)</f>
        <v/>
      </c>
    </row>
    <row r="174" spans="2:4">
      <c r="B174" s="259" t="s">
        <v>533</v>
      </c>
      <c r="C174" s="298" t="str">
        <f>Market_currency</f>
        <v>HKD</v>
      </c>
      <c r="D174" s="298" t="str">
        <f>IF($D$11="","",D$13)</f>
        <v/>
      </c>
    </row>
    <row r="175" spans="2:4">
      <c r="B175" s="214" t="s">
        <v>534</v>
      </c>
      <c r="C175" s="92">
        <f>Scenarios!F105</f>
        <v>0.21787162641462432</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4610000000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2.0699999999999998</v>
      </c>
      <c r="D12" s="50"/>
      <c r="E12" s="48"/>
    </row>
    <row r="13" spans="1:10">
      <c r="B13" s="1" t="s">
        <v>465</v>
      </c>
      <c r="C13" s="48" t="s">
        <v>377</v>
      </c>
      <c r="D13" s="48"/>
      <c r="E13" s="5"/>
    </row>
    <row r="14" spans="1:10">
      <c r="B14" s="4" t="s">
        <v>466</v>
      </c>
      <c r="C14" s="35">
        <f>Thesis!C12*Common_Shares/1000000</f>
        <v>9542.7000000000007</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1.0950192000000001</v>
      </c>
      <c r="D16" s="50"/>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3.2912679649527772</v>
      </c>
      <c r="D26" s="1" t="s">
        <v>380</v>
      </c>
      <c r="E26" s="301">
        <f ca="1">Scenarios!C87</f>
        <v>0.20483254629758174</v>
      </c>
    </row>
    <row r="27" spans="2:6">
      <c r="D27" s="5"/>
      <c r="E27" s="5"/>
    </row>
    <row r="28" spans="2:6">
      <c r="B28" s="45" t="s">
        <v>410</v>
      </c>
      <c r="C28" s="309" t="str">
        <f>C145&amp;" ("&amp;Market_currency&amp;")"</f>
        <v>3983.HK (HKD)</v>
      </c>
      <c r="D28" s="309" t="str">
        <f>IF(D11="","",D145&amp;" ("&amp;D13&amp;")")</f>
        <v/>
      </c>
      <c r="E28" s="305" t="s">
        <v>406</v>
      </c>
      <c r="F28" s="303">
        <v>3</v>
      </c>
    </row>
    <row r="29" spans="2:6">
      <c r="B29" s="1" t="s">
        <v>402</v>
      </c>
      <c r="C29" s="310">
        <f>C149</f>
        <v>1.490339060083433</v>
      </c>
      <c r="D29" s="310" t="str">
        <f>D149</f>
        <v/>
      </c>
      <c r="E29" s="306" t="s">
        <v>401</v>
      </c>
      <c r="F29" s="302">
        <v>0.35</v>
      </c>
    </row>
    <row r="30" spans="2:6">
      <c r="B30" s="1" t="s">
        <v>403</v>
      </c>
      <c r="C30" s="311">
        <f>C157</f>
        <v>1.8608091980558219</v>
      </c>
      <c r="D30" s="311" t="str">
        <f>D157</f>
        <v/>
      </c>
      <c r="E30" s="307" t="s">
        <v>414</v>
      </c>
      <c r="F30" s="312">
        <v>0.25</v>
      </c>
    </row>
    <row r="31" spans="2:6">
      <c r="B31" s="1" t="s">
        <v>404</v>
      </c>
      <c r="C31" s="311">
        <f>C165</f>
        <v>2.883388252065576</v>
      </c>
      <c r="D31" s="311" t="str">
        <f>D165</f>
        <v/>
      </c>
      <c r="E31" s="307" t="s">
        <v>413</v>
      </c>
      <c r="F31" s="312">
        <v>7.4999999999999997E-2</v>
      </c>
    </row>
    <row r="32" spans="2:6">
      <c r="B32" s="1" t="s">
        <v>405</v>
      </c>
      <c r="C32" s="311">
        <f>C173</f>
        <v>2.5761848014110607</v>
      </c>
      <c r="D32" s="311" t="str">
        <f>D173</f>
        <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928439.85014218651</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242</v>
      </c>
    </row>
    <row r="56" spans="2:6">
      <c r="B56" s="47" t="s">
        <v>261</v>
      </c>
      <c r="C56" s="349">
        <f>Normalized_FCF!C15</f>
        <v>-130645.02443131036</v>
      </c>
      <c r="D56" s="1" t="str">
        <f>Reporting_currency</f>
        <v>CNY</v>
      </c>
    </row>
    <row r="58" spans="2:6">
      <c r="B58" s="370" t="s">
        <v>237</v>
      </c>
      <c r="C58" s="370"/>
      <c r="D58" s="370"/>
      <c r="E58" s="370"/>
      <c r="F58" s="370"/>
    </row>
    <row r="59" spans="2:6">
      <c r="B59" s="47" t="s">
        <v>235</v>
      </c>
      <c r="C59" s="349">
        <f>Normalized_FCF!C14</f>
        <v>-233268.98647286888</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6.5310996543980357E-2</v>
      </c>
      <c r="F69" s="314"/>
    </row>
    <row r="70" spans="1:6">
      <c r="B70" s="227" t="s">
        <v>435</v>
      </c>
      <c r="C70" s="92">
        <f>Normalized_FCF!C94</f>
        <v>4.3478260869565223E-2</v>
      </c>
      <c r="E70" s="47" t="s">
        <v>425</v>
      </c>
      <c r="F70" s="315">
        <f>Normalized_FCF!C92</f>
        <v>0.80996280963569622</v>
      </c>
    </row>
    <row r="72" spans="1:6">
      <c r="B72" s="210" t="s">
        <v>428</v>
      </c>
      <c r="C72" s="323" t="s">
        <v>430</v>
      </c>
      <c r="D72" s="323" t="s">
        <v>431</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1.8025835046138576</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2119124</v>
      </c>
      <c r="D102" s="1" t="str">
        <f>Reporting_currency</f>
        <v>CNY</v>
      </c>
    </row>
    <row r="103" spans="2:6">
      <c r="B103" s="47" t="s">
        <v>276</v>
      </c>
      <c r="C103" s="223">
        <f>C102*scaling_factor*Exchange_Rate/Common_Shares</f>
        <v>0.50335823583097616</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250</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1.8682555551247155</v>
      </c>
      <c r="D110" s="1" t="str">
        <f>Market_currency</f>
        <v>HKD</v>
      </c>
    </row>
    <row r="112" spans="2:6">
      <c r="B112" s="1" t="s">
        <v>252</v>
      </c>
    </row>
    <row r="113" spans="1:6">
      <c r="B113" s="47" t="s">
        <v>253</v>
      </c>
      <c r="C113" s="349">
        <f>DCF!C9</f>
        <v>52579.6</v>
      </c>
      <c r="D113" s="1" t="str">
        <f>Reporting_currency</f>
        <v>CNY</v>
      </c>
    </row>
    <row r="114" spans="1:6">
      <c r="B114" s="47" t="s">
        <v>278</v>
      </c>
      <c r="C114" s="223">
        <f>C113*scaling_factor*Exchange_Rate/Common_Shares</f>
        <v>1.2489299680763559E-2</v>
      </c>
      <c r="D114" s="1" t="str">
        <f>Market_currency</f>
        <v>HKD</v>
      </c>
    </row>
    <row r="116" spans="1:6" ht="24.6" customHeight="1">
      <c r="B116" s="371" t="s">
        <v>352</v>
      </c>
      <c r="C116" s="371"/>
      <c r="D116" s="371"/>
      <c r="E116" s="371"/>
      <c r="F116" s="371"/>
    </row>
    <row r="118" spans="1:6">
      <c r="B118" s="47" t="s">
        <v>426</v>
      </c>
      <c r="C118" s="223">
        <f>IF(valuation_method="DCF",DCF!C12,DDM!C7)</f>
        <v>3.1799701235883613</v>
      </c>
      <c r="D118" s="1" t="str">
        <f>Market_currency</f>
        <v>HKD</v>
      </c>
    </row>
    <row r="119" spans="1:6">
      <c r="B119" s="296" t="s">
        <v>550</v>
      </c>
      <c r="C119" s="223">
        <f>BS!D47</f>
        <v>1.849924070675141</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3.71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254</v>
      </c>
      <c r="C132" s="217">
        <f>Scenarios!C60</f>
        <v>3.2912679649527772</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9.0000000000000011E-2</v>
      </c>
      <c r="D143" s="212" t="str">
        <f>Market_currency</f>
        <v>HKD</v>
      </c>
    </row>
    <row r="145" spans="2:4">
      <c r="B145" s="210" t="s">
        <v>388</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1.3377098877011742</v>
      </c>
    </row>
    <row r="149" spans="2:4">
      <c r="B149" s="80" t="s">
        <v>256</v>
      </c>
      <c r="C149" s="215">
        <f>Scenarios!C83</f>
        <v>1.490339060083433</v>
      </c>
      <c r="D149" s="300" t="str">
        <f>IF($D$11="","",C149*$E$25)</f>
        <v/>
      </c>
    </row>
    <row r="150" spans="2:4">
      <c r="B150" s="259" t="s">
        <v>396</v>
      </c>
      <c r="C150" s="298" t="str">
        <f>Market_currency</f>
        <v>HKD</v>
      </c>
      <c r="D150" s="298" t="str">
        <f>IF($D$11="","",D$13)</f>
        <v/>
      </c>
    </row>
    <row r="151" spans="2:4">
      <c r="B151" s="214" t="s">
        <v>258</v>
      </c>
      <c r="C151" s="92">
        <f>Scenarios!F83</f>
        <v>0.54718391940328803</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1.6851291980558218</v>
      </c>
    </row>
    <row r="157" spans="2:4">
      <c r="B157" s="80" t="s">
        <v>256</v>
      </c>
      <c r="C157" s="215">
        <f>Scenarios!C93</f>
        <v>1.8608091980558219</v>
      </c>
      <c r="D157" s="300" t="str">
        <f>IF($D$11="","",C157*$E$25)</f>
        <v/>
      </c>
    </row>
    <row r="158" spans="2:4">
      <c r="B158" s="259" t="s">
        <v>396</v>
      </c>
      <c r="C158" s="298" t="str">
        <f>Market_currency</f>
        <v>HKD</v>
      </c>
      <c r="D158" s="298" t="str">
        <f>IF($D$11="","",D$13)</f>
        <v/>
      </c>
    </row>
    <row r="159" spans="2:4">
      <c r="B159" s="214" t="s">
        <v>258</v>
      </c>
      <c r="C159" s="92">
        <f>Scenarios!F93</f>
        <v>0.43462239542002146</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2.6493409354770998</v>
      </c>
    </row>
    <row r="165" spans="2:4">
      <c r="B165" s="80" t="s">
        <v>382</v>
      </c>
      <c r="C165" s="215">
        <f>Scenarios!C99</f>
        <v>2.883388252065576</v>
      </c>
      <c r="D165" s="300" t="str">
        <f>IF($D$11="","",C165*$E$25)</f>
        <v/>
      </c>
    </row>
    <row r="166" spans="2:4">
      <c r="B166" s="259" t="s">
        <v>396</v>
      </c>
      <c r="C166" s="298" t="str">
        <f>Market_currency</f>
        <v>HKD</v>
      </c>
      <c r="D166" s="298" t="str">
        <f>IF($D$11="","",D$13)</f>
        <v/>
      </c>
    </row>
    <row r="167" spans="2:4">
      <c r="B167" s="214" t="s">
        <v>258</v>
      </c>
      <c r="C167" s="92">
        <f>Scenarios!F99</f>
        <v>0.12392783487413594</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2.3590505200765821</v>
      </c>
    </row>
    <row r="173" spans="2:4">
      <c r="B173" s="80" t="s">
        <v>382</v>
      </c>
      <c r="C173" s="215">
        <f>Scenarios!C105</f>
        <v>2.5761848014110607</v>
      </c>
      <c r="D173" s="300" t="str">
        <f>IF($D$11="","",C173*$E$25)</f>
        <v/>
      </c>
    </row>
    <row r="174" spans="2:4">
      <c r="B174" s="259" t="s">
        <v>396</v>
      </c>
      <c r="C174" s="298" t="str">
        <f>Market_currency</f>
        <v>HKD</v>
      </c>
      <c r="D174" s="298" t="str">
        <f>IF($D$11="","",D$13)</f>
        <v/>
      </c>
    </row>
    <row r="175" spans="2:4">
      <c r="B175" s="214" t="s">
        <v>258</v>
      </c>
      <c r="C175" s="92">
        <f>Scenarios!F105</f>
        <v>0.21787162641462432</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41</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52</v>
      </c>
      <c r="C6" s="351">
        <v>738313</v>
      </c>
      <c r="D6" s="351">
        <v>745298</v>
      </c>
      <c r="E6" s="351">
        <v>638514</v>
      </c>
      <c r="F6" s="351">
        <v>1023256</v>
      </c>
      <c r="G6" s="351">
        <v>847748</v>
      </c>
      <c r="H6" s="351">
        <v>907717</v>
      </c>
      <c r="I6" s="351">
        <v>732380</v>
      </c>
      <c r="J6" s="351">
        <v>852198</v>
      </c>
      <c r="K6" s="351">
        <v>806857</v>
      </c>
      <c r="L6" s="351">
        <v>842048</v>
      </c>
      <c r="M6" s="351"/>
    </row>
    <row r="7" spans="2:13">
      <c r="B7" s="69" t="s">
        <v>59</v>
      </c>
      <c r="C7" s="352">
        <v>91335</v>
      </c>
      <c r="D7" s="352">
        <v>114839</v>
      </c>
      <c r="E7" s="352">
        <v>113843</v>
      </c>
      <c r="F7" s="352">
        <v>118507</v>
      </c>
      <c r="G7" s="352">
        <v>441079</v>
      </c>
      <c r="H7" s="352">
        <v>440918</v>
      </c>
      <c r="I7" s="352">
        <v>418466</v>
      </c>
      <c r="J7" s="352">
        <v>385743</v>
      </c>
      <c r="K7" s="352">
        <v>344473</v>
      </c>
      <c r="L7" s="352">
        <v>409408</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52759</v>
      </c>
      <c r="D12" s="351">
        <v>34185</v>
      </c>
      <c r="E12" s="351">
        <v>29394</v>
      </c>
      <c r="F12" s="351">
        <v>50559</v>
      </c>
      <c r="G12" s="351">
        <v>0</v>
      </c>
      <c r="H12" s="351">
        <v>0</v>
      </c>
      <c r="I12" s="351">
        <v>0</v>
      </c>
      <c r="J12" s="351">
        <v>0</v>
      </c>
      <c r="K12" s="351">
        <v>0</v>
      </c>
      <c r="L12" s="351">
        <v>0</v>
      </c>
      <c r="M12" s="351"/>
    </row>
    <row r="13" spans="2:13">
      <c r="B13" s="40" t="s">
        <v>65</v>
      </c>
      <c r="C13" s="351">
        <v>351080</v>
      </c>
      <c r="D13" s="351">
        <v>357941</v>
      </c>
      <c r="E13" s="351">
        <v>314822</v>
      </c>
      <c r="F13" s="351">
        <v>372708</v>
      </c>
      <c r="G13" s="351">
        <v>0</v>
      </c>
      <c r="H13" s="351">
        <v>0</v>
      </c>
      <c r="I13" s="351">
        <v>0</v>
      </c>
      <c r="J13" s="351">
        <v>0</v>
      </c>
      <c r="K13" s="351">
        <v>0</v>
      </c>
      <c r="L13" s="351">
        <v>0</v>
      </c>
      <c r="M13" s="351"/>
    </row>
    <row r="14" spans="2:13">
      <c r="B14" s="40" t="s">
        <v>48</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40</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42</v>
      </c>
      <c r="C16" s="351">
        <v>79856</v>
      </c>
      <c r="D16" s="351">
        <v>-7583</v>
      </c>
      <c r="E16" s="351">
        <v>156154</v>
      </c>
      <c r="F16" s="351">
        <v>143837</v>
      </c>
      <c r="G16" s="351">
        <v>33672</v>
      </c>
      <c r="H16" s="351">
        <v>51771</v>
      </c>
      <c r="I16" s="351">
        <v>149400</v>
      </c>
      <c r="J16" s="351">
        <v>57280</v>
      </c>
      <c r="K16" s="351">
        <v>-21166</v>
      </c>
      <c r="L16" s="351">
        <v>13384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356</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355</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0.13227831936000001</v>
      </c>
      <c r="D25" s="39">
        <f>0.207*Exchange_Rate</f>
        <v>0.2266689744</v>
      </c>
      <c r="E25" s="39">
        <f>0.178*Exchange_Rate</f>
        <v>0.1949134176</v>
      </c>
      <c r="F25" s="39">
        <f>0.155*Exchange_Rate</f>
        <v>0.169727976</v>
      </c>
      <c r="G25" s="39">
        <f>0.08*Exchange_Rate</f>
        <v>8.7601536000000008E-2</v>
      </c>
      <c r="H25" s="39">
        <f>0.076*Exchange_Rate</f>
        <v>8.32214592E-2</v>
      </c>
      <c r="I25" s="39">
        <f>0.15*Exchange_Rate</f>
        <v>0.16425288000000002</v>
      </c>
      <c r="J25" s="39">
        <f>0.005*Exchange_Rate</f>
        <v>5.4750960000000005E-3</v>
      </c>
      <c r="K25" s="39">
        <f>0.05*Exchange_Rate</f>
        <v>5.4750960000000008E-2</v>
      </c>
      <c r="L25" s="39">
        <f>0.08*Exchange_Rate</f>
        <v>8.7601536000000008E-2</v>
      </c>
      <c r="M25" s="39"/>
    </row>
    <row r="27" spans="2:13">
      <c r="B27" s="16" t="s">
        <v>26</v>
      </c>
      <c r="C27" s="97" t="s">
        <v>559</v>
      </c>
    </row>
    <row r="28" spans="2:13">
      <c r="B28" s="26" t="s">
        <v>22</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30</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38</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28</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168</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41</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56</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52</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59</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62</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164</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66</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40</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42</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66</v>
      </c>
    </row>
    <row r="51" spans="2:13">
      <c r="B51" s="40" t="s">
        <v>37</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34</v>
      </c>
      <c r="C65" s="73">
        <f>IF(C$4="","",C25)</f>
        <v>0.13227831936000001</v>
      </c>
      <c r="D65" s="73">
        <f t="shared" ref="D65:M65" si="33">IF(D$4="","",D25)</f>
        <v>0.2266689744</v>
      </c>
      <c r="E65" s="73">
        <f t="shared" si="33"/>
        <v>0.1949134176</v>
      </c>
      <c r="F65" s="73">
        <f t="shared" si="33"/>
        <v>0.169727976</v>
      </c>
      <c r="G65" s="73">
        <f t="shared" si="33"/>
        <v>8.7601536000000008E-2</v>
      </c>
      <c r="H65" s="73">
        <f t="shared" si="33"/>
        <v>8.32214592E-2</v>
      </c>
      <c r="I65" s="73">
        <f t="shared" si="33"/>
        <v>0.16425288000000002</v>
      </c>
      <c r="J65" s="73">
        <f t="shared" si="33"/>
        <v>5.4750960000000005E-3</v>
      </c>
      <c r="K65" s="73">
        <f t="shared" si="33"/>
        <v>5.4750960000000008E-2</v>
      </c>
      <c r="L65" s="73">
        <f t="shared" si="33"/>
        <v>8.7601536000000008E-2</v>
      </c>
      <c r="M65" s="73" t="str">
        <f t="shared" si="33"/>
        <v/>
      </c>
    </row>
    <row r="67" spans="2:13">
      <c r="B67" s="91" t="s">
        <v>82</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56</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164</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83</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84</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38</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28</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23621+80349</f>
        <v>103970</v>
      </c>
      <c r="D4" s="261">
        <v>0.6</v>
      </c>
      <c r="E4" s="25"/>
      <c r="F4" s="4" t="s">
        <v>75</v>
      </c>
      <c r="G4" s="19">
        <f>11000000+679928</f>
        <v>11679928</v>
      </c>
      <c r="H4" s="261">
        <v>0.9</v>
      </c>
    </row>
    <row r="5" spans="2:8" ht="15" customHeight="1">
      <c r="B5" s="1" t="s">
        <v>31</v>
      </c>
      <c r="C5" s="19">
        <v>1830485</v>
      </c>
      <c r="D5" s="261">
        <v>0.6</v>
      </c>
      <c r="E5" s="25"/>
      <c r="F5" s="1" t="s">
        <v>27</v>
      </c>
      <c r="G5" s="19">
        <f>11715</f>
        <v>11715</v>
      </c>
      <c r="H5" s="261">
        <v>0.7</v>
      </c>
    </row>
    <row r="6" spans="2:8" ht="15" customHeight="1">
      <c r="B6" s="4" t="s">
        <v>8</v>
      </c>
      <c r="C6" s="19">
        <v>1124718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f>12783+436808</f>
        <v>449591</v>
      </c>
      <c r="D9" s="261">
        <v>0.1</v>
      </c>
      <c r="E9" s="25"/>
      <c r="F9" s="4" t="s">
        <v>176</v>
      </c>
      <c r="G9" s="19">
        <v>0</v>
      </c>
      <c r="H9" s="261">
        <v>0.6</v>
      </c>
    </row>
    <row r="10" spans="2:8" ht="15" customHeight="1">
      <c r="B10" s="4" t="s">
        <v>9</v>
      </c>
      <c r="C10" s="19">
        <v>156022</v>
      </c>
      <c r="D10" s="261">
        <v>0.9</v>
      </c>
      <c r="H10" s="262"/>
    </row>
    <row r="11" spans="2:8" ht="15" customHeight="1">
      <c r="B11" s="4" t="s">
        <v>10</v>
      </c>
      <c r="C11" s="19">
        <v>0</v>
      </c>
      <c r="D11" s="261">
        <v>0.05</v>
      </c>
      <c r="H11" s="262"/>
    </row>
    <row r="12" spans="2:8" ht="15" customHeight="1">
      <c r="B12" s="80" t="s">
        <v>70</v>
      </c>
      <c r="C12" s="81">
        <f>SUM(C4:C11)</f>
        <v>3664786</v>
      </c>
      <c r="D12" s="20">
        <f>C4*D4+C5*D5+C9*D9+C6*D6+C8*D8+C7*D7+C10*D10+C11*D11</f>
        <v>1908410.9000000001</v>
      </c>
      <c r="F12" s="80" t="s">
        <v>68</v>
      </c>
      <c r="G12" s="81">
        <f>SUM(G4:G9)</f>
        <v>11691643</v>
      </c>
      <c r="H12" s="20">
        <f>G4*H4+G5*H5+G6*H6+G7*H7+G8*H8+G9*H9</f>
        <v>10520135.700000001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208252</v>
      </c>
      <c r="D15" s="261">
        <v>0.4</v>
      </c>
      <c r="F15" s="4" t="s">
        <v>76</v>
      </c>
      <c r="G15" s="19">
        <v>0</v>
      </c>
      <c r="H15" s="261">
        <v>0.8</v>
      </c>
    </row>
    <row r="16" spans="2:8" ht="15" customHeight="1">
      <c r="B16" s="1" t="s">
        <v>32</v>
      </c>
      <c r="C16" s="19">
        <v>600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7177198+126839+332968+94332</f>
        <v>7731337</v>
      </c>
      <c r="D19" s="261">
        <v>0.1</v>
      </c>
      <c r="F19" s="4" t="s">
        <v>178</v>
      </c>
      <c r="G19" s="19">
        <f>333906+127404</f>
        <v>461310</v>
      </c>
      <c r="H19" s="261">
        <v>0.1</v>
      </c>
    </row>
    <row r="20" spans="2:8" ht="15" customHeight="1">
      <c r="B20" s="4" t="s">
        <v>16</v>
      </c>
      <c r="C20" s="19">
        <v>0</v>
      </c>
      <c r="D20" s="261">
        <v>0.05</v>
      </c>
      <c r="F20" s="4" t="s">
        <v>175</v>
      </c>
      <c r="G20" s="19">
        <v>0</v>
      </c>
      <c r="H20" s="261">
        <v>0.2</v>
      </c>
    </row>
    <row r="21" spans="2:8" ht="15" customHeight="1">
      <c r="B21" s="4" t="s">
        <v>17</v>
      </c>
      <c r="C21" s="19">
        <v>129691</v>
      </c>
      <c r="D21" s="261">
        <v>0.05</v>
      </c>
      <c r="F21" s="1" t="s">
        <v>176</v>
      </c>
      <c r="G21" s="19">
        <v>64486</v>
      </c>
      <c r="H21" s="261">
        <v>0.1</v>
      </c>
    </row>
    <row r="22" spans="2:8" ht="15" customHeight="1">
      <c r="B22" s="4" t="s">
        <v>18</v>
      </c>
      <c r="C22" s="19">
        <v>123890</v>
      </c>
      <c r="D22" s="261">
        <v>0.9</v>
      </c>
      <c r="H22" s="262"/>
    </row>
    <row r="23" spans="2:8" ht="15" customHeight="1">
      <c r="B23" s="4" t="s">
        <v>19</v>
      </c>
      <c r="C23" s="19">
        <v>0</v>
      </c>
      <c r="D23" s="261">
        <v>0</v>
      </c>
      <c r="H23" s="262"/>
    </row>
    <row r="24" spans="2:8" ht="15" customHeight="1">
      <c r="B24" s="80" t="s">
        <v>71</v>
      </c>
      <c r="C24" s="81">
        <f>SUM(C15:C23)</f>
        <v>8193770</v>
      </c>
      <c r="D24" s="20">
        <f>C15*D15+C16*D16+C18*D18+C17*D17+C19*D19+C20*D20+C21*D21+C22*D22+C23*D23</f>
        <v>974720.05000000016</v>
      </c>
      <c r="F24" s="80" t="s">
        <v>69</v>
      </c>
      <c r="G24" s="81">
        <f>SUM(G15:G21)</f>
        <v>525796</v>
      </c>
      <c r="H24" s="20">
        <f>G15*H15+G16*H16+G17*H17+G18*H18+G19*H19+G20*H20+G21*H21</f>
        <v>52579.6</v>
      </c>
    </row>
    <row r="26" spans="2:8" ht="15" customHeight="1">
      <c r="B26" s="16" t="s">
        <v>196</v>
      </c>
      <c r="C26" s="182" t="s">
        <v>132</v>
      </c>
      <c r="F26" s="184" t="s">
        <v>192</v>
      </c>
      <c r="G26" s="185" t="s">
        <v>132</v>
      </c>
      <c r="H26" s="186" t="s">
        <v>33</v>
      </c>
    </row>
    <row r="27" spans="2:8" ht="15" customHeight="1">
      <c r="B27" s="4" t="s">
        <v>3</v>
      </c>
      <c r="C27" s="19">
        <v>434410</v>
      </c>
      <c r="F27" s="187" t="s">
        <v>28</v>
      </c>
      <c r="G27" s="85">
        <f>G32-G30</f>
        <v>19506961</v>
      </c>
      <c r="H27" s="188">
        <f>H32-G30</f>
        <v>8886812.25</v>
      </c>
    </row>
    <row r="28" spans="2:8" ht="15" customHeight="1">
      <c r="B28" s="4" t="s">
        <v>4</v>
      </c>
      <c r="C28" s="19">
        <v>28341</v>
      </c>
      <c r="F28" s="189" t="s">
        <v>240</v>
      </c>
      <c r="G28" s="12">
        <v>1098684</v>
      </c>
      <c r="H28" s="188"/>
    </row>
    <row r="29" spans="2:8" ht="15" customHeight="1">
      <c r="B29" s="4" t="s">
        <v>5</v>
      </c>
      <c r="C29" s="19">
        <v>0</v>
      </c>
      <c r="F29" s="190" t="s">
        <v>73</v>
      </c>
      <c r="G29" s="14">
        <f>G27-G28</f>
        <v>18408277</v>
      </c>
      <c r="H29" s="188">
        <f>H27-G28</f>
        <v>7788128.25</v>
      </c>
    </row>
    <row r="30" spans="2:8" ht="15" customHeight="1">
      <c r="B30" s="2" t="s">
        <v>6</v>
      </c>
      <c r="C30" s="19">
        <v>0</v>
      </c>
      <c r="F30" s="187" t="s">
        <v>21</v>
      </c>
      <c r="G30" s="85">
        <f>C33+C42</f>
        <v>4569034</v>
      </c>
      <c r="H30" s="188"/>
    </row>
    <row r="31" spans="2:8" ht="15" customHeight="1">
      <c r="B31" s="80" t="s">
        <v>199</v>
      </c>
      <c r="C31" s="81">
        <f>SUM(C27:C30)</f>
        <v>462751</v>
      </c>
      <c r="F31" s="190" t="s">
        <v>74</v>
      </c>
      <c r="G31" s="191">
        <f>C31+C40</f>
        <v>2119124</v>
      </c>
      <c r="H31" s="188"/>
    </row>
    <row r="32" spans="2:8" ht="15" customHeight="1">
      <c r="B32" s="4" t="s">
        <v>7</v>
      </c>
      <c r="C32" s="21">
        <f>C33-C31</f>
        <v>2050197</v>
      </c>
      <c r="F32" s="192" t="s">
        <v>72</v>
      </c>
      <c r="G32" s="193">
        <f>G35+G40</f>
        <v>24075995</v>
      </c>
      <c r="H32" s="188">
        <f>H35+H40</f>
        <v>13455846.25</v>
      </c>
    </row>
    <row r="33" spans="2:8" ht="15" customHeight="1">
      <c r="B33" s="83" t="s">
        <v>2</v>
      </c>
      <c r="C33" s="84">
        <v>2512948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11858556</v>
      </c>
      <c r="H35" s="200">
        <f>D12+D24</f>
        <v>2883130.95</v>
      </c>
    </row>
    <row r="36" spans="2:8" ht="15" customHeight="1">
      <c r="B36" s="4" t="s">
        <v>11</v>
      </c>
      <c r="C36" s="19">
        <v>1626693</v>
      </c>
      <c r="F36" s="190" t="s">
        <v>193</v>
      </c>
      <c r="G36" s="191">
        <f>C4+C15</f>
        <v>312222</v>
      </c>
      <c r="H36" s="195"/>
    </row>
    <row r="37" spans="2:8" ht="15" customHeight="1">
      <c r="B37" s="4" t="s">
        <v>12</v>
      </c>
      <c r="C37" s="19">
        <v>29680</v>
      </c>
      <c r="F37" s="190" t="s">
        <v>194</v>
      </c>
      <c r="G37" s="191">
        <f>C6</f>
        <v>1124718</v>
      </c>
      <c r="H37" s="195"/>
    </row>
    <row r="38" spans="2:8" ht="15" customHeight="1">
      <c r="B38" s="4" t="s">
        <v>13</v>
      </c>
      <c r="C38" s="19">
        <v>0</v>
      </c>
      <c r="F38" s="190" t="s">
        <v>195</v>
      </c>
      <c r="G38" s="191">
        <f>C7+C17</f>
        <v>0</v>
      </c>
      <c r="H38" s="195"/>
    </row>
    <row r="39" spans="2:8" ht="15" customHeight="1">
      <c r="B39" s="2" t="s">
        <v>14</v>
      </c>
      <c r="C39" s="19">
        <v>0</v>
      </c>
      <c r="F39" s="190" t="s">
        <v>77</v>
      </c>
      <c r="G39" s="191">
        <f>C7+C17+C19+C20</f>
        <v>7731337</v>
      </c>
      <c r="H39" s="188">
        <f>C7*D7+C17*D17+C19*D19+C20*D20</f>
        <v>773133.70000000007</v>
      </c>
    </row>
    <row r="40" spans="2:8" ht="15" customHeight="1">
      <c r="B40" s="80" t="s">
        <v>200</v>
      </c>
      <c r="C40" s="81">
        <f>SUM(C36:C39)</f>
        <v>1656373</v>
      </c>
      <c r="F40" s="199" t="s">
        <v>134</v>
      </c>
      <c r="G40" s="193">
        <f>G12+G24</f>
        <v>12217439</v>
      </c>
      <c r="H40" s="200">
        <f>H12+H24</f>
        <v>10572715.300000001</v>
      </c>
    </row>
    <row r="41" spans="2:8" ht="15" customHeight="1">
      <c r="B41" s="4" t="s">
        <v>15</v>
      </c>
      <c r="C41" s="21">
        <f>C42-C40</f>
        <v>399713</v>
      </c>
      <c r="F41" s="190" t="s">
        <v>187</v>
      </c>
      <c r="G41" s="191">
        <f>C70</f>
        <v>11691643</v>
      </c>
      <c r="H41" s="200">
        <f>H40-H42</f>
        <v>10520135.700000001</v>
      </c>
    </row>
    <row r="42" spans="2:8" ht="15" customHeight="1">
      <c r="B42" s="83" t="s">
        <v>20</v>
      </c>
      <c r="C42" s="84">
        <v>2056086</v>
      </c>
      <c r="F42" s="201" t="s">
        <v>188</v>
      </c>
      <c r="G42" s="202">
        <f>C82</f>
        <v>525796</v>
      </c>
      <c r="H42" s="203">
        <f>D82</f>
        <v>52579.6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18408277</v>
      </c>
      <c r="D46" s="76">
        <f>H29</f>
        <v>7788128.25</v>
      </c>
      <c r="F46" s="253"/>
    </row>
    <row r="47" spans="2:8" ht="15" customHeight="1">
      <c r="B47" s="1" t="str">
        <f>"Equity per share ("&amp;Market_currency&amp;")"</f>
        <v>Equity per share (HKD)</v>
      </c>
      <c r="C47" s="147">
        <f>C46*H1/Common_Shares*Exchange_Rate</f>
        <v>4.3725415952100652</v>
      </c>
      <c r="D47" s="147">
        <f>D46*H1/Common_Shares*Exchange_Rate</f>
        <v>1.849924070675141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2.2824569622635926</v>
      </c>
      <c r="D50" s="95">
        <f>G31/Normalized_FCF!G8</f>
        <v>2.1930131935295925</v>
      </c>
      <c r="F50" s="253"/>
    </row>
    <row r="51" spans="2:8" ht="15" customHeight="1">
      <c r="B51" s="1" t="s">
        <v>172</v>
      </c>
      <c r="C51" s="181"/>
      <c r="D51" s="92">
        <f>G29/G32</f>
        <v>0.764590497713594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7.8292825040602462E-2</v>
      </c>
      <c r="D54" s="92">
        <f>Normalized_FCF!G8/G35</f>
        <v>8.1486059516858542E-2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0.32112222153227726</v>
      </c>
      <c r="F59" s="253"/>
    </row>
    <row r="60" spans="2:8" ht="15" customHeight="1">
      <c r="F60" s="253"/>
    </row>
    <row r="61" spans="2:8" ht="15" customHeight="1">
      <c r="B61" s="157" t="s">
        <v>269</v>
      </c>
      <c r="C61" s="235" t="s">
        <v>133</v>
      </c>
      <c r="D61" s="197" t="s">
        <v>92</v>
      </c>
      <c r="F61" s="253"/>
    </row>
    <row r="62" spans="2:8" ht="15" customHeight="1">
      <c r="B62" s="1" t="s">
        <v>241</v>
      </c>
      <c r="C62" s="92">
        <f>IF(G28&lt;=0,0,G28/G29)</f>
        <v>5.968423878019654E-2</v>
      </c>
      <c r="D62" s="92">
        <f>G28/G29</f>
        <v>5.968423878019654E-2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11691643</v>
      </c>
      <c r="D66" s="76">
        <f>C66-D75</f>
        <v>7865303.2833807282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11691643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-965829.58768746664</v>
      </c>
      <c r="D73" s="349">
        <f>(Normalized_FCF!C25+Normalized_FCF!C35-Normalized_FCF!C91)/12</f>
        <v>-956584.92915481783</v>
      </c>
      <c r="F73" s="1" t="s">
        <v>342</v>
      </c>
    </row>
    <row r="74" spans="2:6" ht="15" customHeight="1">
      <c r="B74" s="257" t="s">
        <v>312</v>
      </c>
      <c r="C74" s="258">
        <f>-$C$66/C73</f>
        <v>12.10528560011697</v>
      </c>
      <c r="D74" s="258">
        <f>-$C$66/D73</f>
        <v>12.222273886679407</v>
      </c>
      <c r="F74" s="253" t="s">
        <v>310</v>
      </c>
    </row>
    <row r="75" spans="2:6" ht="15" customHeight="1">
      <c r="B75" s="80" t="s">
        <v>311</v>
      </c>
      <c r="C75" s="320"/>
      <c r="D75" s="321">
        <f>MAX(-D73*D76,G5)</f>
        <v>3826339.7166192713</v>
      </c>
      <c r="F75" s="253" t="s">
        <v>343</v>
      </c>
    </row>
    <row r="76" spans="2:6" ht="15" customHeight="1">
      <c r="B76" s="259" t="s">
        <v>313</v>
      </c>
      <c r="C76" s="260"/>
      <c r="D76" s="290">
        <f>IF(D74&lt;=3,1,IF(D74&gt;18,6,2))*2</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461310</v>
      </c>
      <c r="D80" s="76">
        <f>G19*H19</f>
        <v>46131</v>
      </c>
      <c r="F80" s="253"/>
    </row>
    <row r="81" spans="2:8" ht="15" customHeight="1">
      <c r="B81" s="105" t="s">
        <v>176</v>
      </c>
      <c r="C81" s="20">
        <f>G9+G21</f>
        <v>64486</v>
      </c>
      <c r="D81" s="76">
        <f>G9*H9+G21*H21</f>
        <v>6448.6</v>
      </c>
      <c r="F81" s="253"/>
    </row>
    <row r="82" spans="2:8" ht="15" customHeight="1">
      <c r="B82" s="80" t="s">
        <v>185</v>
      </c>
      <c r="C82" s="81">
        <f>SUM(C79:C81)</f>
        <v>525796</v>
      </c>
      <c r="D82" s="81">
        <f>SUM(D79:D81)</f>
        <v>52579.6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-2320481.4671808002</v>
      </c>
      <c r="D86" s="223">
        <f>C86*scaling_factor/Common_Shares</f>
        <v>-0.50335823583097616</v>
      </c>
      <c r="E86" s="240" t="str">
        <f>Market_currency</f>
        <v>HKD</v>
      </c>
    </row>
    <row r="87" spans="2:8" ht="15" customHeight="1">
      <c r="B87" s="238" t="s">
        <v>282</v>
      </c>
      <c r="C87" s="76">
        <f>DCF!C8*Exchange_Rate</f>
        <v>8612658.109124938</v>
      </c>
      <c r="D87" s="223">
        <f>C87*scaling_factor/Common_Shares</f>
        <v>1.8682555551247155</v>
      </c>
      <c r="E87" s="240" t="str">
        <f>Market_currency</f>
        <v>HKD</v>
      </c>
    </row>
    <row r="88" spans="2:8" ht="15" customHeight="1">
      <c r="B88" s="239" t="s">
        <v>185</v>
      </c>
      <c r="C88" s="76">
        <f>DCF!C9*Exchange_Rate</f>
        <v>57575.671528320003</v>
      </c>
      <c r="D88" s="223">
        <f>C88*scaling_factor/Common_Shares</f>
        <v>1.2489299680763557E-2</v>
      </c>
      <c r="E88" s="240" t="str">
        <f>Market_currency</f>
        <v>HKD</v>
      </c>
    </row>
    <row r="89" spans="2:8" ht="15" customHeight="1">
      <c r="B89" s="80" t="s">
        <v>286</v>
      </c>
      <c r="C89" s="180">
        <f>SUM(C86:C88)</f>
        <v>6349752.3134724582</v>
      </c>
      <c r="D89" s="242">
        <f>SUM(D86:D88)</f>
        <v>1.377386618974503</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44</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46</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43</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148</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61</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239</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150</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60</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44</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0.85731169378306993</v>
      </c>
      <c r="D28" s="26"/>
      <c r="E28" s="266" t="s">
        <v>324</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324</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44</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-676714.25</v>
      </c>
      <c r="E33" s="266" t="s">
        <v>324</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3.0028286015917522E-2</v>
      </c>
      <c r="H53" s="169"/>
      <c r="I53" s="169"/>
      <c r="J53" s="169"/>
      <c r="K53" s="169"/>
      <c r="L53" s="169"/>
      <c r="M53" s="169"/>
      <c r="N53" s="169"/>
      <c r="O53" s="169"/>
      <c r="P53" s="169"/>
      <c r="Q53" s="169"/>
    </row>
    <row r="54" spans="1:17" ht="15.75" customHeight="1">
      <c r="A54" s="10"/>
      <c r="B54" s="8" t="s">
        <v>85</v>
      </c>
      <c r="C54" s="82">
        <f>G54</f>
        <v>2.4896608221132883E-2</v>
      </c>
      <c r="E54" s="265" t="s">
        <v>327</v>
      </c>
      <c r="G54" s="23">
        <f>IFERROR(ABS(Normalized_FCF!G47/BS!$G$31),0)</f>
        <v>2.4896608221132883E-2</v>
      </c>
      <c r="H54" s="169"/>
      <c r="I54" s="169"/>
      <c r="J54" s="169"/>
      <c r="K54" s="169"/>
      <c r="L54" s="169"/>
      <c r="M54" s="169"/>
      <c r="N54" s="169"/>
      <c r="O54" s="169"/>
      <c r="P54" s="169"/>
      <c r="Q54" s="169"/>
    </row>
    <row r="55" spans="1:17" ht="15.75" customHeight="1">
      <c r="A55" s="10"/>
      <c r="B55" s="26" t="s">
        <v>88</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191</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46</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43</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148</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61</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150</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0.1</v>
      </c>
      <c r="E90" s="268"/>
      <c r="G90" s="112">
        <f>Data!C65</f>
        <v>0.13227831936000001</v>
      </c>
      <c r="H90" s="112">
        <f>Data!D65</f>
        <v>0.2266689744</v>
      </c>
      <c r="I90" s="112">
        <f>Data!E65</f>
        <v>0.1949134176</v>
      </c>
      <c r="J90" s="112">
        <f>Data!F65</f>
        <v>0.169727976</v>
      </c>
      <c r="K90" s="112">
        <f>Data!G65</f>
        <v>8.7601536000000008E-2</v>
      </c>
      <c r="L90" s="112">
        <f>Data!H65</f>
        <v>8.32214592E-2</v>
      </c>
      <c r="M90" s="112">
        <f>Data!I65</f>
        <v>0.16425288000000002</v>
      </c>
      <c r="N90" s="112">
        <f>Data!J65</f>
        <v>5.4750960000000005E-3</v>
      </c>
      <c r="O90" s="112">
        <f>Data!K65</f>
        <v>5.4750960000000008E-2</v>
      </c>
      <c r="P90" s="112">
        <f>Data!L65</f>
        <v>8.7601536000000008E-2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609803.05224960006</v>
      </c>
      <c r="H91" s="74">
        <f t="shared" si="37"/>
        <v>1044943.9719839999</v>
      </c>
      <c r="I91" s="74">
        <f t="shared" si="37"/>
        <v>898550.85513600009</v>
      </c>
      <c r="J91" s="74">
        <f t="shared" si="37"/>
        <v>782445.96935999999</v>
      </c>
      <c r="K91" s="74">
        <f t="shared" si="37"/>
        <v>403843.08096000005</v>
      </c>
      <c r="L91" s="74">
        <f t="shared" si="37"/>
        <v>383650.926912</v>
      </c>
      <c r="M91" s="74">
        <f t="shared" si="37"/>
        <v>757205.77680000011</v>
      </c>
      <c r="N91" s="74">
        <f t="shared" si="37"/>
        <v>25240.192560000003</v>
      </c>
      <c r="O91" s="74">
        <f t="shared" si="37"/>
        <v>252401.92560000002</v>
      </c>
      <c r="P91" s="74">
        <f t="shared" si="37"/>
        <v>403843.08096000005</v>
      </c>
      <c r="Q91" s="74" t="str">
        <f t="shared" si="37"/>
        <v/>
      </c>
    </row>
    <row r="92" spans="1:17" ht="15.75" customHeight="1">
      <c r="A92" s="10"/>
      <c r="B92" s="2" t="s">
        <v>209</v>
      </c>
      <c r="C92" s="23">
        <f>C90/(C19*scaling_factor/Common_Shares)</f>
        <v>0.80996280963569622</v>
      </c>
      <c r="E92" s="268"/>
      <c r="G92" s="170">
        <f t="shared" ref="G92:Q92" si="38">IF(G$4="","",G90/(G19*scaling_factor/Common_Shares))</f>
        <v>0.9641179008274201</v>
      </c>
      <c r="H92" s="170">
        <f t="shared" si="38"/>
        <v>0.94237253411037225</v>
      </c>
      <c r="I92" s="170">
        <f t="shared" si="38"/>
        <v>0.668773507094505</v>
      </c>
      <c r="J92" s="170">
        <f t="shared" si="38"/>
        <v>0.93085978920658374</v>
      </c>
      <c r="K92" s="170">
        <f t="shared" si="38"/>
        <v>0.92666429776756942</v>
      </c>
      <c r="L92" s="170">
        <f t="shared" si="38"/>
        <v>1.1358247311419207</v>
      </c>
      <c r="M92" s="170">
        <f t="shared" si="38"/>
        <v>0.59875251103279281</v>
      </c>
      <c r="N92" s="170">
        <f t="shared" si="38"/>
        <v>6.4215421658546518E-2</v>
      </c>
      <c r="O92" s="170">
        <f t="shared" si="38"/>
        <v>-0.60896926128056295</v>
      </c>
      <c r="P92" s="170">
        <f t="shared" si="38"/>
        <v>0.67031791217747094</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4.3478260869565223E-2</v>
      </c>
      <c r="E94" s="268"/>
      <c r="G94" s="23">
        <f t="shared" ref="G94:Q94" si="39">IF(G$4="","",(G90*(1-dividend_tax_rate))/Market_Price)</f>
        <v>5.7512312765217399E-2</v>
      </c>
      <c r="H94" s="23">
        <f t="shared" si="39"/>
        <v>9.8551728000000005E-2</v>
      </c>
      <c r="I94" s="23">
        <f t="shared" si="39"/>
        <v>8.4744964173913043E-2</v>
      </c>
      <c r="J94" s="23">
        <f t="shared" si="39"/>
        <v>7.3794772173913045E-2</v>
      </c>
      <c r="K94" s="23">
        <f t="shared" si="39"/>
        <v>3.8087624347826095E-2</v>
      </c>
      <c r="L94" s="23">
        <f t="shared" si="39"/>
        <v>3.6183243130434785E-2</v>
      </c>
      <c r="M94" s="23">
        <f t="shared" si="39"/>
        <v>7.1414295652173929E-2</v>
      </c>
      <c r="N94" s="23">
        <f t="shared" si="39"/>
        <v>2.3804765217391309E-3</v>
      </c>
      <c r="O94" s="23">
        <f t="shared" si="39"/>
        <v>2.3804765217391312E-2</v>
      </c>
      <c r="P94" s="23">
        <f t="shared" si="39"/>
        <v>3.8087624347826095E-2</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c r="A98" s="10"/>
      <c r="B98" s="70" t="s">
        <v>160</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c r="A103" s="10"/>
      <c r="B103" s="93" t="s">
        <v>206</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c r="A106" s="10"/>
      <c r="B106" s="26" t="s">
        <v>28</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c r="A115" s="10"/>
      <c r="B115" s="2" t="s">
        <v>373</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c r="B119" s="7" t="s">
        <v>81</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c r="B120" s="7" t="s">
        <v>89</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c r="A121" s="10"/>
      <c r="B121" s="70" t="s">
        <v>218</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0.13519376284603934</v>
      </c>
      <c r="D125" s="27"/>
      <c r="E125" s="265"/>
      <c r="F125" s="27"/>
      <c r="G125" s="177">
        <f t="shared" ref="G125:Q125" si="49">IF(G$4="","",G16*$C$3/Common_Shares*Exchange_Rate)</f>
        <v>0.15023815999954121</v>
      </c>
      <c r="H125" s="177">
        <f t="shared" si="49"/>
        <v>0.26338509456520098</v>
      </c>
      <c r="I125" s="177">
        <f t="shared" si="49"/>
        <v>0.31914232897305456</v>
      </c>
      <c r="J125" s="177">
        <f t="shared" si="49"/>
        <v>0.1996599215608536</v>
      </c>
      <c r="K125" s="177">
        <f t="shared" si="49"/>
        <v>0.10351684434221259</v>
      </c>
      <c r="L125" s="177">
        <f t="shared" si="49"/>
        <v>8.0231652980824311E-2</v>
      </c>
      <c r="M125" s="177">
        <f t="shared" si="49"/>
        <v>0.30039132018845988</v>
      </c>
      <c r="N125" s="177">
        <f t="shared" si="49"/>
        <v>9.3362857192190896E-2</v>
      </c>
      <c r="O125" s="177">
        <f t="shared" si="49"/>
        <v>-9.8450539674793933E-2</v>
      </c>
      <c r="P125" s="177">
        <f t="shared" si="49"/>
        <v>0.14310428250065077</v>
      </c>
      <c r="Q125" s="177" t="str">
        <f t="shared" si="49"/>
        <v/>
      </c>
    </row>
    <row r="126" spans="1:17" ht="15.75" customHeight="1">
      <c r="A126" s="10"/>
      <c r="B126" s="27" t="s">
        <v>264</v>
      </c>
      <c r="C126" s="77">
        <f>C19*Exchange_Rate*$C$3/(Market_Price*Common_Shares)</f>
        <v>6.5310996543980357E-2</v>
      </c>
      <c r="D126" s="27"/>
      <c r="E126" s="265"/>
      <c r="F126" s="27"/>
      <c r="G126" s="77">
        <f t="shared" ref="G126" si="50">IF(G$4="","",G125/Market_Price)</f>
        <v>7.2578821255817022E-2</v>
      </c>
      <c r="H126" s="77">
        <f t="shared" ref="H126" si="51">IF(H$4="","",H125/Market_Price)</f>
        <v>0.12723917611845459</v>
      </c>
      <c r="I126" s="77">
        <f t="shared" ref="I126" si="52">IF(I$4="","",I125/Market_Price)</f>
        <v>0.1541750381512341</v>
      </c>
      <c r="J126" s="77">
        <f t="shared" ref="J126" si="53">IF(J$4="","",J125/Market_Price)</f>
        <v>9.6454068386885805E-2</v>
      </c>
      <c r="K126" s="77">
        <f t="shared" ref="K126" si="54">IF(K$4="","",K125/Market_Price)</f>
        <v>5.0008137363387731E-2</v>
      </c>
      <c r="L126" s="77">
        <f t="shared" ref="L126" si="55">IF(L$4="","",L125/Market_Price)</f>
        <v>3.8759252647741216E-2</v>
      </c>
      <c r="M126" s="77">
        <f t="shared" ref="M126" si="56">IF(M$4="","",M125/Market_Price)</f>
        <v>0.14511657980118836</v>
      </c>
      <c r="N126" s="77">
        <f t="shared" ref="N126" si="57">IF(N$4="","",N125/Market_Price)</f>
        <v>4.5102829561444881E-2</v>
      </c>
      <c r="O126" s="77">
        <f t="shared" ref="O126" si="58">IF(O$4="","",O125/Market_Price)</f>
        <v>-4.7560647185890793E-2</v>
      </c>
      <c r="P126" s="77">
        <f t="shared" ref="P126" si="59">IF(P$4="","",P125/Market_Price)</f>
        <v>6.9132503623502789E-2</v>
      </c>
      <c r="Q126" s="77" t="str">
        <f t="shared" ref="Q126" si="60">IF(Q$4="","",Q125/Market_Price)</f>
        <v/>
      </c>
    </row>
    <row r="127" spans="1:17" ht="15.75" customHeight="1">
      <c r="B127" s="2" t="s">
        <v>375</v>
      </c>
      <c r="C127" s="169"/>
      <c r="G127" s="23">
        <f>IF(G$4="","",(Data!C47*$C$3)/(Market_Price*Common_Shares))</f>
        <v>0.12062927682940887</v>
      </c>
      <c r="H127" s="23">
        <f>IF(H$4="","",(Data!D47*$C$3)/(Market_Price*Common_Shares))</f>
        <v>0.24878682133987237</v>
      </c>
      <c r="I127" s="23">
        <f>IF(I$4="","",(Data!E47*$C$3)/(Market_Price*Common_Shares))</f>
        <v>0.18849298416590693</v>
      </c>
      <c r="J127" s="23">
        <f>IF(J$4="","",(Data!F47*$C$3)/(Market_Price*Common_Shares))</f>
        <v>0.17200949416831715</v>
      </c>
      <c r="K127" s="23">
        <f>IF(K$4="","",(Data!G47*$C$3)/(Market_Price*Common_Shares))</f>
        <v>8.1649533150995005E-2</v>
      </c>
      <c r="L127" s="23">
        <f>IF(L$4="","",(Data!H47*$C$3)/(Market_Price*Common_Shares))</f>
        <v>7.9116811803787185E-2</v>
      </c>
      <c r="M127" s="23">
        <f>IF(M$4="","",(Data!I47*$C$3)/(Market_Price*Common_Shares))</f>
        <v>0.16015278694709045</v>
      </c>
      <c r="N127" s="23">
        <f>IF(N$4="","",(Data!J47*$C$3)/(Market_Price*Common_Shares))</f>
        <v>1.1266413069676297E-2</v>
      </c>
      <c r="O127" s="23">
        <f>IF(O$4="","",(Data!K47*$C$3)/(Market_Price*Common_Shares))</f>
        <v>-2.4801156905278381E-2</v>
      </c>
      <c r="P127" s="23">
        <f>IF(P$4="","",(Data!L47*$C$3)/(Market_Price*Common_Shares))</f>
        <v>8.8344074528173375E-2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569161.93498729635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7588825.7998306183</v>
      </c>
      <c r="D6" t="str">
        <f>Reporting_currency</f>
        <v>CNY</v>
      </c>
      <c r="E6" s="378" t="s">
        <v>245</v>
      </c>
      <c r="F6" s="378"/>
      <c r="H6" s="120"/>
    </row>
    <row r="7" spans="2:8">
      <c r="B7" s="148" t="s">
        <v>220</v>
      </c>
      <c r="C7" s="338">
        <f>BS!G31</f>
        <v>2119124</v>
      </c>
      <c r="D7" t="str">
        <f>Reporting_currency</f>
        <v>CNY</v>
      </c>
      <c r="E7" s="378"/>
      <c r="F7" s="378"/>
      <c r="H7" s="120"/>
    </row>
    <row r="8" spans="2:8">
      <c r="B8" s="148" t="s">
        <v>221</v>
      </c>
      <c r="C8" s="338">
        <f>BS!D66</f>
        <v>7865303.2833807282</v>
      </c>
      <c r="D8" t="str">
        <f>Reporting_currency</f>
        <v>CNY</v>
      </c>
      <c r="E8" s="378"/>
      <c r="F8" s="378"/>
      <c r="H8" s="120"/>
    </row>
    <row r="9" spans="2:8">
      <c r="B9" s="205" t="s">
        <v>186</v>
      </c>
      <c r="C9" s="348">
        <f>BS!H42</f>
        <v>52579.6</v>
      </c>
      <c r="D9" t="str">
        <f>Reporting_currency</f>
        <v>CNY</v>
      </c>
      <c r="E9" s="378"/>
      <c r="F9" s="378"/>
      <c r="H9" s="120"/>
    </row>
    <row r="10" spans="2:8" ht="13.15">
      <c r="B10" s="149" t="s">
        <v>223</v>
      </c>
      <c r="C10" s="347">
        <f>C6-C7+C8+C9</f>
        <v>13387584.683211347</v>
      </c>
      <c r="D10" t="str">
        <f>Reporting_currency</f>
        <v>CNY</v>
      </c>
      <c r="H10" s="120"/>
    </row>
    <row r="11" spans="2:8" ht="13.15" thickBot="1">
      <c r="B11" s="207" t="s">
        <v>162</v>
      </c>
      <c r="C11" s="208">
        <f>Exchange_Rate</f>
        <v>1.0950192000000001</v>
      </c>
      <c r="D11" t="str">
        <f>Thesis!C15</f>
        <v>CNY/HKD</v>
      </c>
      <c r="H11" s="120"/>
    </row>
    <row r="12" spans="2:8" ht="13.5" thickTop="1">
      <c r="B12" s="149" t="s">
        <v>99</v>
      </c>
      <c r="C12" s="111">
        <f>(C10*scaling_factor)/Common_Shares*Exchange_Rate</f>
        <v>3.1799701235883613</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0.02</v>
      </c>
      <c r="H16" s="120"/>
    </row>
    <row r="17" spans="2:17" ht="13.35" customHeight="1">
      <c r="B17" s="118" t="s">
        <v>130</v>
      </c>
      <c r="C17" s="162">
        <f>Scenarios!C64</f>
        <v>10</v>
      </c>
      <c r="H17" s="120"/>
    </row>
    <row r="18" spans="2:17" ht="13.35" customHeight="1">
      <c r="B18" s="153" t="s">
        <v>103</v>
      </c>
      <c r="C18" s="140">
        <f>(F52-C7+C8+C9)*Exchange_Rate/Common_Shares*scaling_factor</f>
        <v>3.2938132516552274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7740602.3158272309</v>
      </c>
      <c r="D51" s="139">
        <f>Terminal_Growth</f>
        <v>0</v>
      </c>
      <c r="E51" s="124">
        <f>1/(1+Equity_Cost)^C17</f>
        <v>0.48519392830146441</v>
      </c>
      <c r="F51" s="125">
        <f t="shared" si="1"/>
        <v>3755693.2450356269</v>
      </c>
      <c r="H51" s="120"/>
    </row>
    <row r="52" spans="1:17">
      <c r="C52" s="114"/>
      <c r="E52" s="127" t="s">
        <v>97</v>
      </c>
      <c r="F52" s="137">
        <f>SUM(F21:F51)</f>
        <v>8068102.1635585381</v>
      </c>
      <c r="H52" s="120"/>
    </row>
    <row r="53" spans="1:17">
      <c r="C53" s="114"/>
      <c r="H53" s="120"/>
    </row>
    <row r="54" spans="1:17" ht="13.15">
      <c r="B54" s="119" t="s">
        <v>125</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3.1799701235883613</v>
      </c>
      <c r="C65" s="124">
        <f>C12</f>
        <v>3.1799701235883613</v>
      </c>
      <c r="D65" s="124">
        <f>C12</f>
        <v>3.1799701235883613</v>
      </c>
      <c r="E65" s="141">
        <f>C12</f>
        <v>3.1799701235883613</v>
      </c>
      <c r="F65" s="124">
        <f>C12</f>
        <v>3.1799701235883613</v>
      </c>
      <c r="H65" s="120"/>
    </row>
    <row r="66" spans="1:8" ht="13.15">
      <c r="A66" s="143">
        <f t="shared" ref="A66:A71" si="3">A56</f>
        <v>5</v>
      </c>
      <c r="B66" s="124">
        <f t="shared" ref="B66:F71" si="4">(B56-$C$7+$C$8+$C$9)/Common_Shares*$C$3*Exchange_Rate</f>
        <v>3.1244035303042632</v>
      </c>
      <c r="C66" s="124">
        <f t="shared" si="4"/>
        <v>3.1799701235883608</v>
      </c>
      <c r="D66" s="124">
        <f t="shared" si="4"/>
        <v>3.2371309537876147</v>
      </c>
      <c r="E66" s="124">
        <f t="shared" si="4"/>
        <v>3.2663312989368127</v>
      </c>
      <c r="F66" s="124">
        <f t="shared" si="4"/>
        <v>3.3260172489464086</v>
      </c>
      <c r="H66" s="120"/>
    </row>
    <row r="67" spans="1:8" ht="13.15">
      <c r="A67" s="143">
        <f t="shared" si="3"/>
        <v>10</v>
      </c>
      <c r="B67" s="124">
        <f t="shared" si="4"/>
        <v>3.0762419833821864</v>
      </c>
      <c r="C67" s="124">
        <f t="shared" si="4"/>
        <v>3.1799701235883608</v>
      </c>
      <c r="D67" s="124">
        <f t="shared" si="4"/>
        <v>3.2938132516552279</v>
      </c>
      <c r="E67" s="124">
        <f t="shared" si="4"/>
        <v>3.3549047788025788</v>
      </c>
      <c r="F67" s="124">
        <f t="shared" si="4"/>
        <v>3.4862557555487212</v>
      </c>
      <c r="H67" s="120"/>
    </row>
    <row r="68" spans="1:8" ht="13.15">
      <c r="A68" s="143">
        <f t="shared" si="3"/>
        <v>15</v>
      </c>
      <c r="B68" s="124">
        <f t="shared" si="4"/>
        <v>3.0209292968589776</v>
      </c>
      <c r="C68" s="124">
        <f t="shared" si="4"/>
        <v>3.1799701235883608</v>
      </c>
      <c r="D68" s="124">
        <f t="shared" si="4"/>
        <v>3.3655796786154428</v>
      </c>
      <c r="E68" s="124">
        <f t="shared" si="4"/>
        <v>3.4699660106465973</v>
      </c>
      <c r="F68" s="124">
        <f t="shared" si="4"/>
        <v>3.7056972357127296</v>
      </c>
      <c r="H68" s="120"/>
    </row>
    <row r="69" spans="1:8" ht="13.15">
      <c r="A69" s="144">
        <f t="shared" si="3"/>
        <v>20</v>
      </c>
      <c r="B69" s="124">
        <f t="shared" si="4"/>
        <v>2.9686965697943895</v>
      </c>
      <c r="C69" s="124">
        <f t="shared" si="4"/>
        <v>3.1799701235883608</v>
      </c>
      <c r="D69" s="124">
        <f t="shared" si="4"/>
        <v>3.4403973495577063</v>
      </c>
      <c r="E69" s="124">
        <f t="shared" si="4"/>
        <v>3.5932049535258579</v>
      </c>
      <c r="F69" s="124">
        <f t="shared" si="4"/>
        <v>3.9544089086642384</v>
      </c>
      <c r="H69" s="120"/>
    </row>
    <row r="70" spans="1:8" ht="13.15">
      <c r="A70" s="144">
        <f t="shared" si="3"/>
        <v>25</v>
      </c>
      <c r="B70" s="124">
        <f t="shared" si="4"/>
        <v>2.9236847862713624</v>
      </c>
      <c r="C70" s="124">
        <f t="shared" si="4"/>
        <v>3.17997012358836</v>
      </c>
      <c r="D70" s="124">
        <f t="shared" si="4"/>
        <v>3.5116065044993294</v>
      </c>
      <c r="E70" s="124">
        <f t="shared" si="4"/>
        <v>3.7138450341233598</v>
      </c>
      <c r="F70" s="124">
        <f t="shared" si="4"/>
        <v>4.2128692430414008</v>
      </c>
    </row>
    <row r="71" spans="1:8" ht="13.15">
      <c r="A71" s="144">
        <f t="shared" si="3"/>
        <v>30</v>
      </c>
      <c r="B71" s="124">
        <f t="shared" si="4"/>
        <v>2.8868985646560019</v>
      </c>
      <c r="C71" s="124">
        <f t="shared" si="4"/>
        <v>3.17997012358836</v>
      </c>
      <c r="D71" s="124">
        <f t="shared" si="4"/>
        <v>3.5758924309651419</v>
      </c>
      <c r="E71" s="124">
        <f t="shared" si="4"/>
        <v>3.8259765277787317</v>
      </c>
      <c r="F71" s="124">
        <f t="shared" si="4"/>
        <v>4.4686613066880607</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3.7056972357127296</v>
      </c>
      <c r="F74" s="142">
        <f>Scenarios!C58</f>
        <v>0.05</v>
      </c>
    </row>
    <row r="75" spans="1:8">
      <c r="B75" s="127" t="str">
        <f>Scenarios!B36</f>
        <v>Optimistic</v>
      </c>
      <c r="C75" s="142">
        <f>Scenarios!C38</f>
        <v>0.03</v>
      </c>
      <c r="D75" s="145">
        <f>Scenarios!C37</f>
        <v>10</v>
      </c>
      <c r="E75" s="135">
        <f>INDEX(B$65:F$71, MATCH(D75, A$65:A$71, 0), MATCH(C75, B$64:F$64, 0))</f>
        <v>3.3549047788025788</v>
      </c>
      <c r="F75" s="142">
        <f>Scenarios!C40*(1-F$74-F$78)</f>
        <v>0.18</v>
      </c>
      <c r="H75" s="120"/>
    </row>
    <row r="76" spans="1:8">
      <c r="B76" s="127" t="str">
        <f>Scenarios!B24</f>
        <v>Base</v>
      </c>
      <c r="C76" s="142">
        <f>Scenarios!C26</f>
        <v>0.02</v>
      </c>
      <c r="D76" s="145">
        <f>Scenarios!C25</f>
        <v>10</v>
      </c>
      <c r="E76" s="135">
        <f>INDEX(B$65:F$71, MATCH(D76, A$65:A$71, 0), MATCH(C76, B$64:F$64, 0))</f>
        <v>3.2938132516552279</v>
      </c>
      <c r="F76" s="142">
        <f>Scenarios!C28*(1-F$74-F$78)</f>
        <v>0.53999999999999992</v>
      </c>
      <c r="H76" s="120"/>
    </row>
    <row r="77" spans="1:8">
      <c r="B77" s="127" t="str">
        <f>Scenarios!B30</f>
        <v>Pessimistic</v>
      </c>
      <c r="C77" s="142">
        <f>Scenarios!C32</f>
        <v>0</v>
      </c>
      <c r="D77" s="145">
        <f>Scenarios!C31</f>
        <v>10</v>
      </c>
      <c r="E77" s="135">
        <f>INDEX(B$65:F$71, MATCH(D77, A$65:A$71, 0), MATCH(C77, B$64:F$64, 0))</f>
        <v>3.1799701235883608</v>
      </c>
      <c r="F77" s="142">
        <f>Scenarios!C34*(1-F$74-F$78)</f>
        <v>0.18</v>
      </c>
      <c r="H77" s="120"/>
    </row>
    <row r="78" spans="1:8">
      <c r="B78" s="127" t="str">
        <f>Scenarios!B48</f>
        <v>Devil's advocate</v>
      </c>
      <c r="C78" s="142">
        <f>Scenarios!C50</f>
        <v>-0.02</v>
      </c>
      <c r="D78" s="145">
        <f>Scenarios!C49</f>
        <v>15</v>
      </c>
      <c r="E78" s="135">
        <f>INDEX(B$65:F$71, MATCH(D78, A$65:A$71, 0), MATCH(C78, B$64:F$64, 0))</f>
        <v>3.0209292968589776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414900</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5532000</v>
      </c>
      <c r="D6" t="str">
        <f>Reporting_currency</f>
        <v>CNY</v>
      </c>
      <c r="E6" s="378"/>
      <c r="F6" s="378"/>
      <c r="H6" s="120"/>
    </row>
    <row r="7" spans="2:8" ht="13.15">
      <c r="B7" s="149" t="s">
        <v>421</v>
      </c>
      <c r="C7" s="111">
        <f>(C6*scaling_factor)/Common_Shares*Exchange_Rate</f>
        <v>1.3140230400000001</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0.02</v>
      </c>
      <c r="H11" s="120"/>
    </row>
    <row r="12" spans="2:8" ht="13.35" customHeight="1">
      <c r="B12" s="118" t="s">
        <v>130</v>
      </c>
      <c r="C12" s="162">
        <f>Scenarios!C64</f>
        <v>10</v>
      </c>
      <c r="H12" s="120"/>
    </row>
    <row r="13" spans="2:8" ht="13.35" customHeight="1">
      <c r="B13" s="153" t="s">
        <v>103</v>
      </c>
      <c r="C13" s="140">
        <f>F47/Common_Shares*scaling_factor</f>
        <v>1.2757866436315275</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423198</v>
      </c>
      <c r="D16" s="138">
        <f>IF($C$12&lt;B16,0,DDM!$C$11)</f>
        <v>0.02</v>
      </c>
      <c r="E16" s="124">
        <f t="shared" ref="E16:E45" si="0">IF($C$12&lt;B16,0,1/(1+Equity_Cost)^B16)</f>
        <v>0.93023255813953487</v>
      </c>
      <c r="F16" s="125">
        <f t="shared" ref="F16:F46" si="1">C16*E16</f>
        <v>393672.5581395349</v>
      </c>
      <c r="H16" s="120"/>
    </row>
    <row r="17" spans="2:8">
      <c r="B17" s="122">
        <v>2</v>
      </c>
      <c r="C17" s="123">
        <f t="shared" ref="C17:C45" si="2">IF(ROW()-ROW($C$16)&lt;$C$12, $C$16*(1+D17)^(ROW()-ROW($C$16)), 0)</f>
        <v>431661.96</v>
      </c>
      <c r="D17" s="138">
        <f>IF($C$12&lt;B17,0,DDM!$C$11)</f>
        <v>0.02</v>
      </c>
      <c r="E17" s="124">
        <f t="shared" si="0"/>
        <v>0.86533261222282321</v>
      </c>
      <c r="F17" s="125">
        <f t="shared" si="1"/>
        <v>373531.17144402384</v>
      </c>
      <c r="H17" s="120"/>
    </row>
    <row r="18" spans="2:8">
      <c r="B18" s="122">
        <v>3</v>
      </c>
      <c r="C18" s="123">
        <f t="shared" si="2"/>
        <v>440295.19919999997</v>
      </c>
      <c r="D18" s="138">
        <f>IF($C$12&lt;B18,0,DDM!$C$11)</f>
        <v>0.02</v>
      </c>
      <c r="E18" s="124">
        <f t="shared" si="0"/>
        <v>0.80496056950960304</v>
      </c>
      <c r="F18" s="125">
        <f t="shared" si="1"/>
        <v>354420.27430037607</v>
      </c>
      <c r="H18" s="120"/>
    </row>
    <row r="19" spans="2:8">
      <c r="B19" s="122">
        <v>4</v>
      </c>
      <c r="C19" s="123">
        <f t="shared" si="2"/>
        <v>449101.10318399995</v>
      </c>
      <c r="D19" s="138">
        <f>IF($C$12&lt;B19,0,DDM!$C$11)</f>
        <v>0.02</v>
      </c>
      <c r="E19" s="124">
        <f t="shared" si="0"/>
        <v>0.7488005297763749</v>
      </c>
      <c r="F19" s="125">
        <f t="shared" si="1"/>
        <v>336287.14398733358</v>
      </c>
      <c r="H19" s="120"/>
    </row>
    <row r="20" spans="2:8">
      <c r="B20" s="122">
        <v>5</v>
      </c>
      <c r="C20" s="123">
        <f t="shared" si="2"/>
        <v>458083.12524768</v>
      </c>
      <c r="D20" s="138">
        <f>IF($C$12&lt;B20,0,DDM!$C$11)</f>
        <v>0.02</v>
      </c>
      <c r="E20" s="124">
        <f t="shared" si="0"/>
        <v>0.69655863235011617</v>
      </c>
      <c r="F20" s="125">
        <f t="shared" si="1"/>
        <v>319081.75522519095</v>
      </c>
      <c r="H20" s="120"/>
    </row>
    <row r="21" spans="2:8">
      <c r="B21" s="122">
        <v>6</v>
      </c>
      <c r="C21" s="123">
        <f t="shared" si="2"/>
        <v>467244.78775263362</v>
      </c>
      <c r="D21" s="138">
        <f>IF($C$12&lt;B21,0,DDM!$C$11)</f>
        <v>0.02</v>
      </c>
      <c r="E21" s="124">
        <f t="shared" si="0"/>
        <v>0.64796151846522443</v>
      </c>
      <c r="F21" s="125">
        <f t="shared" si="1"/>
        <v>302756.64216715796</v>
      </c>
      <c r="H21" s="120"/>
    </row>
    <row r="22" spans="2:8">
      <c r="B22" s="122">
        <v>7</v>
      </c>
      <c r="C22" s="123">
        <f t="shared" si="2"/>
        <v>476589.68350768631</v>
      </c>
      <c r="D22" s="138">
        <f>IF($C$12&lt;B22,0,DDM!$C$11)</f>
        <v>0.02</v>
      </c>
      <c r="E22" s="124">
        <f t="shared" si="0"/>
        <v>0.60275490089788319</v>
      </c>
      <c r="F22" s="125">
        <f t="shared" si="1"/>
        <v>287266.76745162898</v>
      </c>
      <c r="H22" s="120"/>
    </row>
    <row r="23" spans="2:8">
      <c r="B23" s="122">
        <v>8</v>
      </c>
      <c r="C23" s="123">
        <f t="shared" si="2"/>
        <v>486121.4771778399</v>
      </c>
      <c r="D23" s="138">
        <f>IF($C$12&lt;B23,0,DDM!$C$11)</f>
        <v>0.02</v>
      </c>
      <c r="E23" s="124">
        <f t="shared" si="0"/>
        <v>0.56070223339337966</v>
      </c>
      <c r="F23" s="125">
        <f t="shared" si="1"/>
        <v>272569.39795410365</v>
      </c>
      <c r="H23" s="120"/>
    </row>
    <row r="24" spans="2:8">
      <c r="B24" s="122">
        <v>9</v>
      </c>
      <c r="C24" s="123">
        <f t="shared" si="2"/>
        <v>495843.90672139678</v>
      </c>
      <c r="D24" s="138">
        <f>IF($C$12&lt;B24,0,DDM!$C$11)</f>
        <v>0.02</v>
      </c>
      <c r="E24" s="124">
        <f t="shared" si="0"/>
        <v>0.52158347292407414</v>
      </c>
      <c r="F24" s="125">
        <f t="shared" si="1"/>
        <v>258623.9868959868</v>
      </c>
      <c r="H24" s="120"/>
    </row>
    <row r="25" spans="2:8">
      <c r="B25" s="122">
        <v>10</v>
      </c>
      <c r="C25" s="123">
        <f t="shared" si="2"/>
        <v>505760.78485582472</v>
      </c>
      <c r="D25" s="138">
        <f>IF($C$12&lt;B25,0,DDM!$C$11)</f>
        <v>0.02</v>
      </c>
      <c r="E25" s="124">
        <f t="shared" si="0"/>
        <v>0.48519392830146441</v>
      </c>
      <c r="F25" s="125">
        <f t="shared" si="1"/>
        <v>245392.06198502937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5642640</v>
      </c>
      <c r="D46" s="139">
        <f>Terminal_Growth</f>
        <v>0</v>
      </c>
      <c r="E46" s="124">
        <f>1/(1+Equity_Cost)^C12</f>
        <v>0.48519392830146441</v>
      </c>
      <c r="F46" s="125">
        <f t="shared" si="1"/>
        <v>2737774.6675909753</v>
      </c>
      <c r="H46" s="120"/>
    </row>
    <row r="47" spans="2:8">
      <c r="C47" s="114"/>
      <c r="E47" s="127" t="s">
        <v>97</v>
      </c>
      <c r="F47" s="137">
        <f>SUM(F16:F46)</f>
        <v>5881376.4271413414</v>
      </c>
      <c r="H47" s="120"/>
    </row>
    <row r="48" spans="2:8">
      <c r="C48" s="114"/>
      <c r="H48" s="120"/>
    </row>
    <row r="49" spans="1:8" ht="13.15">
      <c r="B49" s="119" t="s">
        <v>125</v>
      </c>
      <c r="C49" s="136"/>
      <c r="D49" s="136"/>
      <c r="E49" s="117"/>
      <c r="F49" s="117"/>
      <c r="H49" s="120"/>
    </row>
    <row r="50" spans="1:8" ht="13.15">
      <c r="A50" s="133">
        <f>F47</f>
        <v>5881376.4271413414</v>
      </c>
      <c r="B50" s="131">
        <f>C73</f>
        <v>-0.02</v>
      </c>
      <c r="C50" s="131">
        <f>C72</f>
        <v>0</v>
      </c>
      <c r="D50" s="131">
        <f>C71</f>
        <v>0.02</v>
      </c>
      <c r="E50" s="131">
        <f>C70</f>
        <v>0.03</v>
      </c>
      <c r="F50" s="131">
        <f>C69</f>
        <v>0.05</v>
      </c>
      <c r="H50" s="120"/>
    </row>
    <row r="51" spans="1:8" ht="13.15">
      <c r="A51" s="143">
        <v>5</v>
      </c>
      <c r="B51" s="123">
        <f t="dataTable" ref="B51:F56" dt2D="1" dtr="1" r1="C11" r2="C12"/>
        <v>5361470.0948606133</v>
      </c>
      <c r="C51" s="123">
        <v>5532000</v>
      </c>
      <c r="D51" s="123">
        <v>5707422.5043405183</v>
      </c>
      <c r="E51" s="123">
        <v>5797036.2775454223</v>
      </c>
      <c r="F51" s="123">
        <v>5980208.1941905888</v>
      </c>
      <c r="H51" s="120"/>
    </row>
    <row r="52" spans="1:8" ht="13.15">
      <c r="A52" s="143">
        <v>10</v>
      </c>
      <c r="B52" s="123">
        <v>5213665.7479934748</v>
      </c>
      <c r="C52" s="123">
        <v>5532000.0000000009</v>
      </c>
      <c r="D52" s="123">
        <v>5881376.4271413414</v>
      </c>
      <c r="E52" s="123">
        <v>6068861.9596085567</v>
      </c>
      <c r="F52" s="123">
        <v>6471968.7235946804</v>
      </c>
      <c r="H52" s="120"/>
    </row>
    <row r="53" spans="1:8" ht="13.15">
      <c r="A53" s="143">
        <v>15</v>
      </c>
      <c r="B53" s="123">
        <v>5043915.0645642821</v>
      </c>
      <c r="C53" s="123">
        <v>5532000</v>
      </c>
      <c r="D53" s="123">
        <v>6101622.4645247562</v>
      </c>
      <c r="E53" s="123">
        <v>6421976.6602212535</v>
      </c>
      <c r="F53" s="123">
        <v>7145418.9494289272</v>
      </c>
      <c r="H53" s="120"/>
    </row>
    <row r="54" spans="1:8" ht="13.15">
      <c r="A54" s="144">
        <v>20</v>
      </c>
      <c r="B54" s="123">
        <v>4883616.55668284</v>
      </c>
      <c r="C54" s="123">
        <v>5532000.0000000009</v>
      </c>
      <c r="D54" s="123">
        <v>6331232.5517097404</v>
      </c>
      <c r="E54" s="123">
        <v>6800188.1717895437</v>
      </c>
      <c r="F54" s="123">
        <v>7908697.3058801517</v>
      </c>
      <c r="H54" s="120"/>
    </row>
    <row r="55" spans="1:8" ht="13.15">
      <c r="A55" s="144">
        <v>25</v>
      </c>
      <c r="B55" s="123">
        <v>4745478.6086698696</v>
      </c>
      <c r="C55" s="123">
        <v>5532000.0000000009</v>
      </c>
      <c r="D55" s="123">
        <v>6549768.3610793296</v>
      </c>
      <c r="E55" s="123">
        <v>7170423.9606765276</v>
      </c>
      <c r="F55" s="123">
        <v>8701893.6078072283</v>
      </c>
      <c r="H55" s="120"/>
    </row>
    <row r="56" spans="1:8" ht="13.15">
      <c r="A56" s="144">
        <v>30</v>
      </c>
      <c r="B56" s="123">
        <v>4632584.322521518</v>
      </c>
      <c r="C56" s="123">
        <v>5532000.0000000009</v>
      </c>
      <c r="D56" s="123">
        <v>6747057.2768486198</v>
      </c>
      <c r="E56" s="123">
        <v>7514547.5040872963</v>
      </c>
      <c r="F56" s="123">
        <v>9486901.1774823144</v>
      </c>
      <c r="H56" s="120"/>
    </row>
    <row r="57" spans="1:8">
      <c r="C57" s="114"/>
      <c r="D57" s="114"/>
      <c r="E57" s="114"/>
      <c r="F57" s="114"/>
      <c r="H57" s="120"/>
    </row>
    <row r="58" spans="1:8" ht="13.15">
      <c r="B58" s="119" t="s">
        <v>126</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1.3140230400000001</v>
      </c>
      <c r="C60" s="124">
        <f>C7</f>
        <v>1.3140230400000001</v>
      </c>
      <c r="D60" s="124">
        <f>C7</f>
        <v>1.3140230400000001</v>
      </c>
      <c r="E60" s="141">
        <f>C7</f>
        <v>1.3140230400000001</v>
      </c>
      <c r="F60" s="124">
        <f>C7</f>
        <v>1.3140230400000001</v>
      </c>
      <c r="H60" s="120"/>
    </row>
    <row r="61" spans="1:8" ht="13.15">
      <c r="A61" s="143">
        <f t="shared" ref="A61:A66" si="3">A51</f>
        <v>5</v>
      </c>
      <c r="B61" s="124">
        <f t="shared" ref="B61:F66" si="4">B51/Common_Shares*$C$3*Exchange_Rate</f>
        <v>1.2735168533835559</v>
      </c>
      <c r="C61" s="124">
        <f t="shared" si="4"/>
        <v>1.3140230400000001</v>
      </c>
      <c r="D61" s="124">
        <f t="shared" si="4"/>
        <v>1.3556913719663668</v>
      </c>
      <c r="E61" s="124">
        <f t="shared" si="4"/>
        <v>1.3769774462058062</v>
      </c>
      <c r="F61" s="124">
        <f t="shared" si="4"/>
        <v>1.4204865059947991</v>
      </c>
      <c r="H61" s="120"/>
    </row>
    <row r="62" spans="1:8" ht="13.15">
      <c r="A62" s="143">
        <f t="shared" si="3"/>
        <v>10</v>
      </c>
      <c r="B62" s="124">
        <f t="shared" si="4"/>
        <v>1.2384086977082902</v>
      </c>
      <c r="C62" s="124">
        <f t="shared" si="4"/>
        <v>1.3140230400000004</v>
      </c>
      <c r="D62" s="124">
        <f t="shared" si="4"/>
        <v>1.3970108698800805</v>
      </c>
      <c r="E62" s="124">
        <f t="shared" si="4"/>
        <v>1.4415445483559641</v>
      </c>
      <c r="F62" s="124">
        <f t="shared" si="4"/>
        <v>1.5372950139122927</v>
      </c>
      <c r="H62" s="120"/>
    </row>
    <row r="63" spans="1:8" ht="13.15">
      <c r="A63" s="143">
        <f t="shared" si="3"/>
        <v>15</v>
      </c>
      <c r="B63" s="124">
        <f t="shared" si="4"/>
        <v>1.198087600621937</v>
      </c>
      <c r="C63" s="124">
        <f t="shared" si="4"/>
        <v>1.3140230400000001</v>
      </c>
      <c r="D63" s="124">
        <f t="shared" si="4"/>
        <v>1.44932619301647</v>
      </c>
      <c r="E63" s="124">
        <f t="shared" si="4"/>
        <v>1.5254203351180369</v>
      </c>
      <c r="F63" s="124">
        <f t="shared" si="4"/>
        <v>1.6972605079541223</v>
      </c>
      <c r="H63" s="120"/>
    </row>
    <row r="64" spans="1:8" ht="13.15">
      <c r="A64" s="144">
        <f t="shared" si="3"/>
        <v>20</v>
      </c>
      <c r="B64" s="124">
        <f t="shared" si="4"/>
        <v>1.1600116908905853</v>
      </c>
      <c r="C64" s="124">
        <f t="shared" si="4"/>
        <v>1.3140230400000004</v>
      </c>
      <c r="D64" s="124">
        <f t="shared" si="4"/>
        <v>1.5038657708865855</v>
      </c>
      <c r="E64" s="124">
        <f t="shared" si="4"/>
        <v>1.6152573995059543</v>
      </c>
      <c r="F64" s="124">
        <f t="shared" si="4"/>
        <v>1.8785629928258221</v>
      </c>
      <c r="H64" s="120"/>
    </row>
    <row r="65" spans="1:8" ht="13.15">
      <c r="A65" s="144">
        <f t="shared" si="3"/>
        <v>25</v>
      </c>
      <c r="B65" s="124">
        <f t="shared" si="4"/>
        <v>1.127199607306463</v>
      </c>
      <c r="C65" s="124">
        <f t="shared" si="4"/>
        <v>1.3140230400000004</v>
      </c>
      <c r="D65" s="124">
        <f t="shared" si="4"/>
        <v>1.5557748613740563</v>
      </c>
      <c r="E65" s="124">
        <f t="shared" si="4"/>
        <v>1.7031999802778401</v>
      </c>
      <c r="F65" s="124">
        <f t="shared" si="4"/>
        <v>2.0669719255761794</v>
      </c>
    </row>
    <row r="66" spans="1:8" ht="13.15">
      <c r="A66" s="144">
        <f t="shared" si="3"/>
        <v>30</v>
      </c>
      <c r="B66" s="124">
        <f t="shared" si="4"/>
        <v>1.10038368303255</v>
      </c>
      <c r="C66" s="124">
        <f t="shared" si="4"/>
        <v>1.3140230400000004</v>
      </c>
      <c r="D66" s="124">
        <f t="shared" si="4"/>
        <v>1.6026371500323111</v>
      </c>
      <c r="E66" s="124">
        <f t="shared" si="4"/>
        <v>1.7849400859626179</v>
      </c>
      <c r="F66" s="124">
        <f t="shared" si="4"/>
        <v>2.2534357782745644</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1.6972605079541223</v>
      </c>
      <c r="F69" s="142">
        <f>Scenarios!C58</f>
        <v>0.05</v>
      </c>
    </row>
    <row r="70" spans="1:8">
      <c r="B70" s="127" t="str">
        <f>Scenarios!B36</f>
        <v>Optimistic</v>
      </c>
      <c r="C70" s="142">
        <f>Scenarios!C38</f>
        <v>0.03</v>
      </c>
      <c r="D70" s="145">
        <f>Scenarios!C37</f>
        <v>10</v>
      </c>
      <c r="E70" s="135">
        <f>INDEX(B$60:F$66, MATCH(D70, A$60:A$66, 0), MATCH(C70, B$59:F$59, 0))</f>
        <v>1.4415445483559641</v>
      </c>
      <c r="F70" s="142">
        <f>Scenarios!C40*(1-F$69-F$73)</f>
        <v>0.18</v>
      </c>
      <c r="H70" s="120"/>
    </row>
    <row r="71" spans="1:8">
      <c r="B71" s="127" t="str">
        <f>Scenarios!B24</f>
        <v>Base</v>
      </c>
      <c r="C71" s="142">
        <f>Scenarios!C26</f>
        <v>0.02</v>
      </c>
      <c r="D71" s="145">
        <f>Scenarios!C25</f>
        <v>10</v>
      </c>
      <c r="E71" s="135">
        <f>INDEX(B$60:F$66, MATCH(D71, A$60:A$66, 0), MATCH(C71, B$59:F$59, 0))</f>
        <v>1.3970108698800805</v>
      </c>
      <c r="F71" s="142">
        <f>Scenarios!C28*(1-F$69-F$73)</f>
        <v>0.53999999999999992</v>
      </c>
      <c r="H71" s="120"/>
    </row>
    <row r="72" spans="1:8">
      <c r="B72" s="127" t="str">
        <f>Scenarios!B30</f>
        <v>Pessimistic</v>
      </c>
      <c r="C72" s="142">
        <f>Scenarios!C32</f>
        <v>0</v>
      </c>
      <c r="D72" s="145">
        <f>Scenarios!C31</f>
        <v>10</v>
      </c>
      <c r="E72" s="135">
        <f>INDEX(B$60:F$66, MATCH(D72, A$60:A$66, 0), MATCH(C72, B$59:F$59, 0))</f>
        <v>1.3140230400000004</v>
      </c>
      <c r="F72" s="142">
        <f>Scenarios!C34*(1-F$69-F$73)</f>
        <v>0.18</v>
      </c>
      <c r="H72" s="120"/>
    </row>
    <row r="73" spans="1:8">
      <c r="B73" s="127" t="str">
        <f>Scenarios!B48</f>
        <v>Devil's advocate</v>
      </c>
      <c r="C73" s="142">
        <f>Scenarios!C50</f>
        <v>-0.02</v>
      </c>
      <c r="D73" s="145">
        <f>Scenarios!C49</f>
        <v>15</v>
      </c>
      <c r="E73" s="135">
        <f>INDEX(B$60:F$66, MATCH(D73, A$60:A$66, 0), MATCH(C73, B$59:F$59, 0))</f>
        <v>1.198087600621937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-2.0699999999999998</v>
      </c>
    </row>
    <row r="4" spans="2:9">
      <c r="B4" s="152" t="s">
        <v>142</v>
      </c>
      <c r="C4" s="120">
        <v>3</v>
      </c>
      <c r="D4" s="120"/>
      <c r="E4" s="155" t="s">
        <v>146</v>
      </c>
      <c r="F4" s="155"/>
      <c r="H4" s="247">
        <v>1</v>
      </c>
      <c r="I4" s="124">
        <f t="shared" ref="I4:I13" si="0">IF(ROW()-3 &lt; $C$76, $C$77, IF(ROW()-3 = $C$76, $C$77 + $C$60, ""))</f>
        <v>9.0000000000000011E-2</v>
      </c>
    </row>
    <row r="5" spans="2:9">
      <c r="H5" s="247">
        <v>2</v>
      </c>
      <c r="I5" s="124">
        <f t="shared" si="0"/>
        <v>9.0000000000000011E-2</v>
      </c>
    </row>
    <row r="6" spans="2:9" ht="13.15">
      <c r="B6" s="159" t="s">
        <v>92</v>
      </c>
      <c r="C6" s="107">
        <f>DCF!C3</f>
        <v>1000</v>
      </c>
      <c r="E6" s="100" t="s">
        <v>274</v>
      </c>
      <c r="F6" s="100"/>
      <c r="H6" s="247">
        <v>3</v>
      </c>
      <c r="I6" s="124">
        <f t="shared" si="0"/>
        <v>3.381267964952777</v>
      </c>
    </row>
    <row r="7" spans="2:9" ht="12.75" customHeight="1">
      <c r="B7" s="100" t="s">
        <v>270</v>
      </c>
      <c r="C7" s="338">
        <f>Normalized_FCF!G8</f>
        <v>966307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80"/>
      <c r="H7" s="247">
        <v>4</v>
      </c>
      <c r="I7" s="124" t="str">
        <f t="shared" si="0"/>
        <v/>
      </c>
    </row>
    <row r="8" spans="2:9">
      <c r="B8" s="100" t="s">
        <v>64</v>
      </c>
      <c r="C8" s="338">
        <f>Normalized_FCF!G19</f>
        <v>632498.42340470827</v>
      </c>
      <c r="D8" t="str">
        <f>Reporting_currency</f>
        <v>CNY</v>
      </c>
      <c r="E8" s="380"/>
      <c r="F8" s="380"/>
      <c r="H8" s="247">
        <v>5</v>
      </c>
      <c r="I8" s="124" t="str">
        <f t="shared" si="0"/>
        <v/>
      </c>
    </row>
    <row r="9" spans="2:9">
      <c r="B9" s="100" t="s">
        <v>55</v>
      </c>
      <c r="C9" s="338">
        <f>Normalized_FCF!C19</f>
        <v>569161.93498729635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-3.750240119526338E-2</v>
      </c>
      <c r="D12" s="158"/>
      <c r="E12" s="380"/>
      <c r="F12" s="380"/>
      <c r="H12" s="247">
        <v>9</v>
      </c>
      <c r="I12" s="124" t="str">
        <f t="shared" si="0"/>
        <v/>
      </c>
    </row>
    <row r="13" spans="2:9">
      <c r="B13" s="148" t="s">
        <v>148</v>
      </c>
      <c r="C13" s="158">
        <f ca="1">(Normalized_FCF!G8/OFFSET(Normalized_FCF!G8, 0, $C$4))^(1/$C$4) - 1</f>
        <v>-0.20361731775539216</v>
      </c>
      <c r="E13" s="380"/>
      <c r="F13" s="380"/>
      <c r="H13" s="247">
        <v>10</v>
      </c>
      <c r="I13" s="124" t="str">
        <f t="shared" si="0"/>
        <v/>
      </c>
    </row>
    <row r="14" spans="2:9">
      <c r="B14" s="100" t="s">
        <v>64</v>
      </c>
      <c r="C14" s="158">
        <f ca="1">(Normalized_FCF!G19/OFFSET(Normalized_FCF!G19, 0, $C$4))^(1/$C$4) - 1</f>
        <v>-9.0443280496378065E-2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2.0699999999999998</v>
      </c>
      <c r="D21" t="str">
        <f>Market_currency</f>
        <v>HKD</v>
      </c>
      <c r="E21" s="381"/>
      <c r="F21" s="381"/>
    </row>
    <row r="22" spans="2:6">
      <c r="B22" s="100" t="s">
        <v>273</v>
      </c>
      <c r="C22" s="160">
        <f>IF(valuation_method="DCF",DCF!C12,DDM!C7)</f>
        <v>3.1799701235883613</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3.2938132516552279</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3.1799701235883608</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0.03</v>
      </c>
      <c r="D38" s="164"/>
      <c r="E38" s="379"/>
      <c r="F38" s="379"/>
    </row>
    <row r="39" spans="2:6">
      <c r="B39" s="100" t="s">
        <v>109</v>
      </c>
      <c r="C39" s="160">
        <f>IF(valuation_method="DCF",DCF!E75,DDM!E70)</f>
        <v>3.3549047788025788</v>
      </c>
      <c r="D39" t="str">
        <f>Market_currency</f>
        <v>HKD</v>
      </c>
      <c r="E39" s="379"/>
      <c r="F39" s="379"/>
    </row>
    <row r="40" spans="2:6">
      <c r="B40" s="100" t="s">
        <v>143</v>
      </c>
      <c r="C40" s="167">
        <f>1-C28-C34</f>
        <v>0.2</v>
      </c>
      <c r="D40" s="165"/>
      <c r="E40" s="379"/>
      <c r="F40" s="379"/>
    </row>
    <row r="42" spans="2:6" ht="13.15">
      <c r="B42" s="100" t="s">
        <v>116</v>
      </c>
      <c r="C42" s="154">
        <f>C27*C28+C33*C34+C39*C40</f>
        <v>3.2832629314713246</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-0.02</v>
      </c>
      <c r="D50" s="164"/>
      <c r="E50" s="379"/>
      <c r="F50" s="379"/>
    </row>
    <row r="51" spans="2:6">
      <c r="B51" s="100" t="s">
        <v>109</v>
      </c>
      <c r="C51" s="160">
        <f>IF(valuation_method="DCF",DCF!E78,DDM!E73)</f>
        <v>3.0209292968589776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3.7056972357127296</v>
      </c>
      <c r="D57" t="str">
        <f>Market_currency</f>
        <v>HKD</v>
      </c>
      <c r="E57" s="379"/>
      <c r="F57" s="379"/>
    </row>
    <row r="58" spans="2:6">
      <c r="B58" s="100" t="s">
        <v>143</v>
      </c>
      <c r="C58" s="165">
        <v>0.05</v>
      </c>
      <c r="D58" s="165"/>
      <c r="E58" s="379"/>
      <c r="F58" s="379"/>
    </row>
    <row r="60" spans="2:6" ht="13.15">
      <c r="B60" s="100" t="s">
        <v>116</v>
      </c>
      <c r="C60" s="154">
        <f>C51*C52+C57*C58+C42*(1-C52-C58)</f>
        <v>3.2912679649527772</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0.02</v>
      </c>
      <c r="D65" s="151"/>
      <c r="E65" s="251" t="s">
        <v>304</v>
      </c>
    </row>
    <row r="66" spans="2:6">
      <c r="B66" s="100" t="s">
        <v>99</v>
      </c>
      <c r="C66" s="160">
        <f>IF(valuation_method="DCF",DCF!C18,DDM!C13)</f>
        <v>3.2938132516552274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0.41849725809070232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9.0000000000000011E-2</v>
      </c>
      <c r="D77" t="str">
        <f>Market_currency</f>
        <v>HKD</v>
      </c>
    </row>
    <row r="79" spans="2:6" ht="13.15">
      <c r="B79" s="109" t="s">
        <v>296</v>
      </c>
    </row>
    <row r="80" spans="2:6">
      <c r="B80" s="148" t="s">
        <v>294</v>
      </c>
      <c r="C80" s="167">
        <f>Thesis!F29</f>
        <v>0.35</v>
      </c>
    </row>
    <row r="81" spans="2:8">
      <c r="B81" s="100" t="s">
        <v>117</v>
      </c>
      <c r="C81" s="116">
        <f>PV(C80, C76, -C77, 0)</f>
        <v>0.15262917238225884</v>
      </c>
      <c r="D81" s="116"/>
      <c r="E81" s="100"/>
      <c r="F81" s="100"/>
    </row>
    <row r="82" spans="2:8">
      <c r="B82" s="100" t="s">
        <v>118</v>
      </c>
      <c r="C82" s="116">
        <f>C60/(1+C80)^C76</f>
        <v>1.3377098877011742</v>
      </c>
      <c r="D82" s="116"/>
    </row>
    <row r="83" spans="2:8" ht="13.15">
      <c r="B83" s="110" t="s">
        <v>98</v>
      </c>
      <c r="C83" s="111">
        <f>C81+C82</f>
        <v>1.490339060083433</v>
      </c>
      <c r="D83" t="str">
        <f>Market_currency</f>
        <v>HKD</v>
      </c>
      <c r="E83" s="146" t="s">
        <v>122</v>
      </c>
      <c r="F83" s="291">
        <f>(1-C83/C60)</f>
        <v>0.54718391940328803</v>
      </c>
    </row>
    <row r="84" spans="2:8">
      <c r="E84" s="120"/>
    </row>
    <row r="85" spans="2:8" ht="13.15">
      <c r="B85" s="109" t="s">
        <v>297</v>
      </c>
    </row>
    <row r="86" spans="2:8">
      <c r="B86" s="148" t="s">
        <v>295</v>
      </c>
      <c r="C86" s="116">
        <f>Market_Price</f>
        <v>2.0699999999999998</v>
      </c>
      <c r="D86" t="str">
        <f>Market_currency</f>
        <v>HKD</v>
      </c>
    </row>
    <row r="87" spans="2:8" ht="13.15">
      <c r="B87" s="100" t="s">
        <v>293</v>
      </c>
      <c r="C87" s="237">
        <f ca="1">IRR(OFFSET($I$3, 0, 0, $C$76 + 1, 1))</f>
        <v>0.20483254629758174</v>
      </c>
    </row>
    <row r="88" spans="2:8">
      <c r="B88" s="100"/>
    </row>
    <row r="89" spans="2:8" ht="13.15">
      <c r="B89" s="109" t="s">
        <v>392</v>
      </c>
    </row>
    <row r="90" spans="2:8">
      <c r="B90" s="148" t="s">
        <v>393</v>
      </c>
      <c r="C90" s="167">
        <f>Thesis!F30</f>
        <v>0.25</v>
      </c>
    </row>
    <row r="91" spans="2:8">
      <c r="B91" s="100" t="s">
        <v>117</v>
      </c>
      <c r="C91" s="116">
        <f>PV(C90, C76, -C77, 0)</f>
        <v>0.17568</v>
      </c>
      <c r="D91" s="116"/>
      <c r="E91" s="100"/>
      <c r="F91" s="100"/>
    </row>
    <row r="92" spans="2:8">
      <c r="B92" s="100" t="s">
        <v>118</v>
      </c>
      <c r="C92" s="116">
        <f>C60/(1+C90)^C76</f>
        <v>1.6851291980558218</v>
      </c>
      <c r="D92" s="116"/>
    </row>
    <row r="93" spans="2:8" ht="13.15">
      <c r="B93" s="110" t="s">
        <v>98</v>
      </c>
      <c r="C93" s="111">
        <f>C91+C92</f>
        <v>1.8608091980558219</v>
      </c>
      <c r="D93" t="str">
        <f>Market_currency</f>
        <v>HKD</v>
      </c>
      <c r="E93" s="146" t="s">
        <v>122</v>
      </c>
      <c r="F93" s="291">
        <f>(1-C93/C60)</f>
        <v>0.43462239542002146</v>
      </c>
    </row>
    <row r="95" spans="2:8" ht="13.15">
      <c r="B95" s="109" t="s">
        <v>378</v>
      </c>
      <c r="G95" s="2"/>
      <c r="H95" s="281"/>
    </row>
    <row r="96" spans="2:8">
      <c r="B96" s="148" t="s">
        <v>383</v>
      </c>
      <c r="C96" s="134">
        <f>Thesis!F31</f>
        <v>7.4999999999999997E-2</v>
      </c>
      <c r="G96" s="2"/>
      <c r="H96" s="281"/>
    </row>
    <row r="97" spans="2:8">
      <c r="B97" s="100" t="s">
        <v>117</v>
      </c>
      <c r="C97" s="116">
        <f>PV(C96, C76, -C77, 0)</f>
        <v>0.23404731658847641</v>
      </c>
      <c r="D97" s="116"/>
      <c r="G97" s="2"/>
      <c r="H97" s="281"/>
    </row>
    <row r="98" spans="2:8">
      <c r="B98" s="100" t="s">
        <v>118</v>
      </c>
      <c r="C98" s="116">
        <f>C60/(1+C96)^C76</f>
        <v>2.6493409354770998</v>
      </c>
      <c r="D98" s="116"/>
      <c r="G98" s="2"/>
      <c r="H98" s="281"/>
    </row>
    <row r="99" spans="2:8" ht="13.15">
      <c r="B99" s="110" t="s">
        <v>379</v>
      </c>
      <c r="C99" s="111">
        <f>C97+C98</f>
        <v>2.883388252065576</v>
      </c>
      <c r="D99" t="s">
        <v>377</v>
      </c>
      <c r="E99" s="146" t="s">
        <v>122</v>
      </c>
      <c r="F99" s="291">
        <f>(1-C99/C60)</f>
        <v>0.12392783487413594</v>
      </c>
    </row>
    <row r="100" spans="2:8">
      <c r="B100" s="100"/>
    </row>
    <row r="101" spans="2:8" ht="13.15">
      <c r="B101" s="109" t="s">
        <v>399</v>
      </c>
    </row>
    <row r="102" spans="2:8">
      <c r="B102" s="148" t="s">
        <v>398</v>
      </c>
      <c r="C102" s="134">
        <f>Thesis!F32</f>
        <v>0.1174</v>
      </c>
    </row>
    <row r="103" spans="2:8">
      <c r="B103" s="100" t="s">
        <v>117</v>
      </c>
      <c r="C103" s="116">
        <f>PV(C102, C76, -C77, 0)</f>
        <v>0.21713428133447846</v>
      </c>
      <c r="D103" s="116"/>
    </row>
    <row r="104" spans="2:8">
      <c r="B104" s="100" t="s">
        <v>118</v>
      </c>
      <c r="C104" s="116">
        <f>C60/(1+C102)^C76</f>
        <v>2.3590505200765821</v>
      </c>
      <c r="D104" s="116"/>
    </row>
    <row r="105" spans="2:8" ht="13.15">
      <c r="B105" s="110" t="s">
        <v>379</v>
      </c>
      <c r="C105" s="111">
        <f>C103+C104</f>
        <v>2.5761848014110607</v>
      </c>
      <c r="D105" t="s">
        <v>377</v>
      </c>
      <c r="E105" s="146" t="s">
        <v>122</v>
      </c>
      <c r="F105" s="291">
        <f>(1-C105/C66)</f>
        <v>0.21787162641462432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2B2DD-33C5-4878-B5DD-0A425E099228}">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2025-07-11T02:32:36Z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