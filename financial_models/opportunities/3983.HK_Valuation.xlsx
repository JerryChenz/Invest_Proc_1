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CAB96F-9D65-4754-9C3F-6F780724D47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<sst xmlns="http://schemas.openxmlformats.org/spreadsheetml/2006/main" count="836" uniqueCount="561">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</sst>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2.2000000000000002</v>
      </c>
      <c r="D12" s="50"/>
      <c r="E12" s="48"/>
    </row>
    <row r="13" spans="1:10">
      <c r="B13" s="1" t="s">
        <v>486</v>
      </c>
      <c r="C13" s="32" t="str">
        <f>Market_currency</f>
        <v>HKD</v>
      </c>
      <c r="D13" s="48"/>
      <c r="E13" s="5"/>
    </row>
    <row r="14" spans="1:10">
      <c r="B14" s="4" t="s">
        <v>487</v>
      </c>
      <c r="C14" s="35">
        <f>投资主题!C12*Common_Shares/1000000</f>
        <v>10142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1.0966030899999999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3.2960286179322025</v>
      </c>
      <c r="D26" s="1" t="s">
        <v>447</v>
      </c>
      <c r="E26" s="301">
        <f ca="1">Scenarios!C87</f>
        <v>0.18032331168283355</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1.4922739899130018</v>
      </c>
      <c r="D29" s="310" t="str">
        <f>D149</f>
        <v/>
      </c>
      <c r="E29" s="306" t="s">
        <v>456</v>
      </c>
      <c r="F29" s="362">
        <f>Thesis!F29</f>
        <v>0.35</v>
      </c>
    </row>
    <row r="30" spans="2:6">
      <c r="B30" s="1" t="s">
        <v>451</v>
      </c>
      <c r="C30" s="311">
        <f>C157</f>
        <v>1.8632466523812876</v>
      </c>
      <c r="D30" s="311" t="str">
        <f>D157</f>
        <v/>
      </c>
      <c r="E30" s="307" t="s">
        <v>455</v>
      </c>
      <c r="F30" s="224">
        <f>Thesis!F30</f>
        <v>0.25</v>
      </c>
    </row>
    <row r="31" spans="2:6">
      <c r="B31" s="1" t="s">
        <v>452</v>
      </c>
      <c r="C31" s="311">
        <f>C165</f>
        <v>2.8872203899991318</v>
      </c>
      <c r="D31" s="311" t="str">
        <f>D165</f>
        <v/>
      </c>
      <c r="E31" s="307" t="s">
        <v>492</v>
      </c>
      <c r="F31" s="224">
        <f>Thesis!F31</f>
        <v>7.4999999999999997E-2</v>
      </c>
    </row>
    <row r="32" spans="2:6">
      <c r="B32" s="1" t="s">
        <v>453</v>
      </c>
      <c r="C32" s="311">
        <f>C173</f>
        <v>2.5795970489116007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6.1540597181763787E-2</v>
      </c>
      <c r="F69" s="314"/>
    </row>
    <row r="70" spans="1:6">
      <c r="B70" s="227" t="s">
        <v>435</v>
      </c>
      <c r="C70" s="92">
        <f>Normalized_FCF!C94</f>
        <v>4.0909090909090909E-2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1.8051908506650707</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0.50408631811131444</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1.8709578924820935</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1.2507364822334922E-2</v>
      </c>
      <c r="D114" s="1" t="str">
        <f>Market_currency</f>
        <v>HKD</v>
      </c>
    </row>
    <row r="116" spans="1:6">
      <c r="B116" s="374" t="s">
        <v>517</v>
      </c>
      <c r="C116" s="374"/>
      <c r="D116" s="374"/>
      <c r="E116" s="374"/>
      <c r="F116" s="374"/>
    </row>
    <row r="118" spans="1:6">
      <c r="B118" s="47" t="s">
        <v>518</v>
      </c>
      <c r="C118" s="223">
        <f>IF(valuation_method="DCF",DCF!C12,DDM!C7)</f>
        <v>3.1845697898581853</v>
      </c>
      <c r="D118" s="1" t="str">
        <f>Market_currency</f>
        <v>HKD</v>
      </c>
    </row>
    <row r="119" spans="1:6">
      <c r="B119" s="296" t="s">
        <v>551</v>
      </c>
      <c r="C119" s="223">
        <f>BS!D47</f>
        <v>1.8525998924655729</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3.71 HKD</v>
      </c>
      <c r="F126" s="232">
        <f>DCF!F74</f>
        <v>0.05</v>
      </c>
    </row>
    <row r="127" spans="1:6">
      <c r="B127" s="218" t="str">
        <f>DCF!B75</f>
        <v>Optimistic</v>
      </c>
      <c r="C127" s="219">
        <f>DCF!C75</f>
        <v>0.03</v>
      </c>
      <c r="D127" s="220">
        <f>DCF!D75</f>
        <v>10</v>
      </c>
      <c r="E127" s="231" t="str">
        <f>ROUND(IF(valuation_method="DCF",DCF!E75,DDM!E70),2)&amp;" "&amp;Market_currency</f>
        <v>3.36 HKD</v>
      </c>
      <c r="F127" s="221">
        <f>DCF!F75</f>
        <v>0.18</v>
      </c>
    </row>
    <row r="128" spans="1:6">
      <c r="B128" s="218" t="str">
        <f>DCF!B76</f>
        <v>Base</v>
      </c>
      <c r="C128" s="219">
        <f>DCF!C76</f>
        <v>0.02</v>
      </c>
      <c r="D128" s="220">
        <f>DCF!D76</f>
        <v>10</v>
      </c>
      <c r="E128" s="231" t="str">
        <f>ROUND(IF(valuation_method="DCF",DCF!E76,DDM!E71),2)&amp;" "&amp;Market_currency</f>
        <v>3.3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3.03 HKD</v>
      </c>
      <c r="F130" s="221">
        <f>DCF!F78</f>
        <v>0.05</v>
      </c>
    </row>
    <row r="132" spans="1:6">
      <c r="B132" s="211" t="s">
        <v>254</v>
      </c>
      <c r="C132" s="217">
        <f>Scenarios!C60</f>
        <v>3.2960286179322025</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1.3396448175307429</v>
      </c>
    </row>
    <row r="149" spans="2:4">
      <c r="B149" s="80" t="s">
        <v>256</v>
      </c>
      <c r="C149" s="215">
        <f>Scenarios!C83</f>
        <v>1.4922739899130018</v>
      </c>
      <c r="D149" s="300" t="str">
        <f>IF($D$11="","",C149*$E$25)</f>
        <v/>
      </c>
    </row>
    <row r="150" spans="2:4">
      <c r="B150" s="259" t="s">
        <v>533</v>
      </c>
      <c r="C150" s="298" t="str">
        <f>Market_currency</f>
        <v>HKD</v>
      </c>
      <c r="D150" s="298" t="str">
        <f>IF($D$11="","",D$13)</f>
        <v/>
      </c>
    </row>
    <row r="151" spans="2:4">
      <c r="B151" s="214" t="s">
        <v>534</v>
      </c>
      <c r="C151" s="92">
        <f>Scenarios!F83</f>
        <v>0.54725090013047417</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1.6875666523812876</v>
      </c>
    </row>
    <row r="157" spans="2:4">
      <c r="B157" s="80" t="s">
        <v>256</v>
      </c>
      <c r="C157" s="215">
        <f>Scenarios!C93</f>
        <v>1.8632466523812876</v>
      </c>
      <c r="D157" s="300" t="str">
        <f>IF($D$11="","",C157*$E$25)</f>
        <v/>
      </c>
    </row>
    <row r="158" spans="2:4">
      <c r="B158" s="259" t="s">
        <v>533</v>
      </c>
      <c r="C158" s="298" t="str">
        <f>Market_currency</f>
        <v>HKD</v>
      </c>
      <c r="D158" s="298" t="str">
        <f>IF($D$11="","",D$13)</f>
        <v/>
      </c>
    </row>
    <row r="159" spans="2:4">
      <c r="B159" s="214" t="s">
        <v>534</v>
      </c>
      <c r="C159" s="92">
        <f>Scenarios!F93</f>
        <v>0.43469949191454094</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2.6531730734106556</v>
      </c>
    </row>
    <row r="165" spans="2:4">
      <c r="B165" s="80" t="s">
        <v>382</v>
      </c>
      <c r="C165" s="215">
        <f>Scenarios!C99</f>
        <v>2.8872203899991318</v>
      </c>
      <c r="D165" s="300" t="str">
        <f>IF($D$11="","",C165*$E$25)</f>
        <v/>
      </c>
    </row>
    <row r="166" spans="2:4">
      <c r="B166" s="259" t="s">
        <v>533</v>
      </c>
      <c r="C166" s="298" t="str">
        <f>Market_currency</f>
        <v>HKD</v>
      </c>
      <c r="D166" s="298" t="str">
        <f>IF($D$11="","",D$13)</f>
        <v/>
      </c>
    </row>
    <row r="167" spans="2:4">
      <c r="B167" s="214" t="s">
        <v>534</v>
      </c>
      <c r="C167" s="92">
        <f>Scenarios!F99</f>
        <v>0.12403054564178539</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2.3624627675771221</v>
      </c>
    </row>
    <row r="173" spans="2:4">
      <c r="B173" s="80" t="s">
        <v>382</v>
      </c>
      <c r="C173" s="215">
        <f>Scenarios!C105</f>
        <v>2.5795970489116007</v>
      </c>
      <c r="D173" s="300" t="str">
        <f>IF($D$11="","",C173*$E$25)</f>
        <v/>
      </c>
    </row>
    <row r="174" spans="2:4">
      <c r="B174" s="259" t="s">
        <v>533</v>
      </c>
      <c r="C174" s="298" t="str">
        <f>Market_currency</f>
        <v>HKD</v>
      </c>
      <c r="D174" s="298" t="str">
        <f>IF($D$11="","",D$13)</f>
        <v/>
      </c>
    </row>
    <row r="175" spans="2:4">
      <c r="B175" s="214" t="s">
        <v>534</v>
      </c>
      <c r="C175" s="92">
        <f>Scenarios!F105</f>
        <v>0.21796684132758182</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2.2000000000000002</v>
      </c>
      <c r="D12" s="50"/>
      <c r="E12" s="48"/>
    </row>
    <row r="13" spans="1:10">
      <c r="B13" s="1" t="s">
        <v>465</v>
      </c>
      <c r="C13" s="48" t="s">
        <v>377</v>
      </c>
      <c r="D13" s="48"/>
      <c r="E13" s="5"/>
    </row>
    <row r="14" spans="1:10">
      <c r="B14" s="4" t="s">
        <v>466</v>
      </c>
      <c r="C14" s="35">
        <f>Thesis!C12*Common_Shares/1000000</f>
        <v>10142</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1.0966030899999999</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3.2960286179322025</v>
      </c>
      <c r="D26" s="1" t="s">
        <v>380</v>
      </c>
      <c r="E26" s="301">
        <f ca="1">Scenarios!C87</f>
        <v>0.18032331168283355</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1.4922739899130018</v>
      </c>
      <c r="D29" s="310" t="str">
        <f>D149</f>
        <v/>
      </c>
      <c r="E29" s="306" t="s">
        <v>401</v>
      </c>
      <c r="F29" s="302">
        <v>0.35</v>
      </c>
    </row>
    <row r="30" spans="2:6">
      <c r="B30" s="1" t="s">
        <v>403</v>
      </c>
      <c r="C30" s="311">
        <f>C157</f>
        <v>1.8632466523812876</v>
      </c>
      <c r="D30" s="311" t="str">
        <f>D157</f>
        <v/>
      </c>
      <c r="E30" s="307" t="s">
        <v>414</v>
      </c>
      <c r="F30" s="312">
        <v>0.25</v>
      </c>
    </row>
    <row r="31" spans="2:6">
      <c r="B31" s="1" t="s">
        <v>404</v>
      </c>
      <c r="C31" s="311">
        <f>C165</f>
        <v>2.8872203899991318</v>
      </c>
      <c r="D31" s="311" t="str">
        <f>D165</f>
        <v/>
      </c>
      <c r="E31" s="307" t="s">
        <v>413</v>
      </c>
      <c r="F31" s="312">
        <v>7.4999999999999997E-2</v>
      </c>
    </row>
    <row r="32" spans="2:6">
      <c r="B32" s="1" t="s">
        <v>405</v>
      </c>
      <c r="C32" s="311">
        <f>C173</f>
        <v>2.5795970489116007</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6.1540597181763787E-2</v>
      </c>
      <c r="F69" s="314"/>
    </row>
    <row r="70" spans="1:6">
      <c r="B70" s="227" t="s">
        <v>435</v>
      </c>
      <c r="C70" s="92">
        <f>Normalized_FCF!C94</f>
        <v>4.0909090909090909E-2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1.8051908506650707</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0.50408631811131444</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1.8709578924820935</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1.2507364822334922E-2</v>
      </c>
      <c r="D114" s="1" t="str">
        <f>Market_currency</f>
        <v>HKD</v>
      </c>
    </row>
    <row r="116" spans="1:6" ht="24.6" customHeight="1">
      <c r="B116" s="374" t="s">
        <v>352</v>
      </c>
      <c r="C116" s="374"/>
      <c r="D116" s="374"/>
      <c r="E116" s="374"/>
      <c r="F116" s="374"/>
    </row>
    <row r="118" spans="1:6">
      <c r="B118" s="47" t="s">
        <v>426</v>
      </c>
      <c r="C118" s="223">
        <f>IF(valuation_method="DCF",DCF!C12,DDM!C7)</f>
        <v>3.1845697898581853</v>
      </c>
      <c r="D118" s="1" t="str">
        <f>Market_currency</f>
        <v>HKD</v>
      </c>
    </row>
    <row r="119" spans="1:6">
      <c r="B119" s="296" t="s">
        <v>550</v>
      </c>
      <c r="C119" s="223">
        <f>BS!D47</f>
        <v>1.8525998924655729</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3.71 HKD</v>
      </c>
      <c r="F126" s="232">
        <f>DCF!F74</f>
        <v>0.05</v>
      </c>
    </row>
    <row r="127" spans="1:6">
      <c r="B127" s="218" t="str">
        <f>DCF!B75</f>
        <v>Optimistic</v>
      </c>
      <c r="C127" s="219">
        <f>DCF!C75</f>
        <v>0.03</v>
      </c>
      <c r="D127" s="220">
        <f>DCF!D75</f>
        <v>10</v>
      </c>
      <c r="E127" s="231" t="str">
        <f>ROUND(IF(valuation_method="DCF",DCF!E75,DDM!E70),2)&amp;" "&amp;Market_currency</f>
        <v>3.36 HKD</v>
      </c>
      <c r="F127" s="221">
        <f>DCF!F75</f>
        <v>0.18</v>
      </c>
    </row>
    <row r="128" spans="1:6">
      <c r="B128" s="218" t="str">
        <f>DCF!B76</f>
        <v>Base</v>
      </c>
      <c r="C128" s="219">
        <f>DCF!C76</f>
        <v>0.02</v>
      </c>
      <c r="D128" s="220">
        <f>DCF!D76</f>
        <v>10</v>
      </c>
      <c r="E128" s="231" t="str">
        <f>ROUND(IF(valuation_method="DCF",DCF!E76,DDM!E71),2)&amp;" "&amp;Market_currency</f>
        <v>3.3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3.03 HKD</v>
      </c>
      <c r="F130" s="221">
        <f>DCF!F78</f>
        <v>0.05</v>
      </c>
    </row>
    <row r="132" spans="1:6">
      <c r="B132" s="211" t="s">
        <v>254</v>
      </c>
      <c r="C132" s="217">
        <f>Scenarios!C60</f>
        <v>3.2960286179322025</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1.3396448175307429</v>
      </c>
    </row>
    <row r="149" spans="2:4">
      <c r="B149" s="80" t="s">
        <v>256</v>
      </c>
      <c r="C149" s="215">
        <f>Scenarios!C83</f>
        <v>1.4922739899130018</v>
      </c>
      <c r="D149" s="300" t="str">
        <f>IF($D$11="","",C149*$E$25)</f>
        <v/>
      </c>
    </row>
    <row r="150" spans="2:4">
      <c r="B150" s="259" t="s">
        <v>396</v>
      </c>
      <c r="C150" s="298" t="str">
        <f>Market_currency</f>
        <v>HKD</v>
      </c>
      <c r="D150" s="298" t="str">
        <f>IF($D$11="","",D$13)</f>
        <v/>
      </c>
    </row>
    <row r="151" spans="2:4">
      <c r="B151" s="214" t="s">
        <v>258</v>
      </c>
      <c r="C151" s="92">
        <f>Scenarios!F83</f>
        <v>0.54725090013047417</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1.6875666523812876</v>
      </c>
    </row>
    <row r="157" spans="2:4">
      <c r="B157" s="80" t="s">
        <v>256</v>
      </c>
      <c r="C157" s="215">
        <f>Scenarios!C93</f>
        <v>1.8632466523812876</v>
      </c>
      <c r="D157" s="300" t="str">
        <f>IF($D$11="","",C157*$E$25)</f>
        <v/>
      </c>
    </row>
    <row r="158" spans="2:4">
      <c r="B158" s="259" t="s">
        <v>396</v>
      </c>
      <c r="C158" s="298" t="str">
        <f>Market_currency</f>
        <v>HKD</v>
      </c>
      <c r="D158" s="298" t="str">
        <f>IF($D$11="","",D$13)</f>
        <v/>
      </c>
    </row>
    <row r="159" spans="2:4">
      <c r="B159" s="214" t="s">
        <v>258</v>
      </c>
      <c r="C159" s="92">
        <f>Scenarios!F93</f>
        <v>0.43469949191454094</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2.6531730734106556</v>
      </c>
    </row>
    <row r="165" spans="2:4">
      <c r="B165" s="80" t="s">
        <v>382</v>
      </c>
      <c r="C165" s="215">
        <f>Scenarios!C99</f>
        <v>2.8872203899991318</v>
      </c>
      <c r="D165" s="300" t="str">
        <f>IF($D$11="","",C165*$E$25)</f>
        <v/>
      </c>
    </row>
    <row r="166" spans="2:4">
      <c r="B166" s="259" t="s">
        <v>396</v>
      </c>
      <c r="C166" s="298" t="str">
        <f>Market_currency</f>
        <v>HKD</v>
      </c>
      <c r="D166" s="298" t="str">
        <f>IF($D$11="","",D$13)</f>
        <v/>
      </c>
    </row>
    <row r="167" spans="2:4">
      <c r="B167" s="214" t="s">
        <v>258</v>
      </c>
      <c r="C167" s="92">
        <f>Scenarios!F99</f>
        <v>0.12403054564178539</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2.3624627675771221</v>
      </c>
    </row>
    <row r="173" spans="2:4">
      <c r="B173" s="80" t="s">
        <v>382</v>
      </c>
      <c r="C173" s="215">
        <f>Scenarios!C105</f>
        <v>2.5795970489116007</v>
      </c>
      <c r="D173" s="300" t="str">
        <f>IF($D$11="","",C173*$E$25)</f>
        <v/>
      </c>
    </row>
    <row r="174" spans="2:4">
      <c r="B174" s="259" t="s">
        <v>396</v>
      </c>
      <c r="C174" s="298" t="str">
        <f>Market_currency</f>
        <v>HKD</v>
      </c>
      <c r="D174" s="298" t="str">
        <f>IF($D$11="","",D$13)</f>
        <v/>
      </c>
    </row>
    <row r="175" spans="2:4">
      <c r="B175" s="214" t="s">
        <v>258</v>
      </c>
      <c r="C175" s="92">
        <f>Scenarios!F105</f>
        <v>0.21796684132758182</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0.132469653272</v>
      </c>
      <c r="D25" s="39">
        <f>0.207*Exchange_Rate</f>
        <v>0.22699683962999997</v>
      </c>
      <c r="E25" s="39">
        <f>0.178*Exchange_Rate</f>
        <v>0.19519535001999996</v>
      </c>
      <c r="F25" s="39">
        <f>0.155*Exchange_Rate</f>
        <v>0.16997347894999998</v>
      </c>
      <c r="G25" s="39">
        <f>0.08*Exchange_Rate</f>
        <v>8.7728247199999998E-2</v>
      </c>
      <c r="H25" s="39">
        <f>0.076*Exchange_Rate</f>
        <v>8.334183483999999E-2</v>
      </c>
      <c r="I25" s="39">
        <f>0.15*Exchange_Rate</f>
        <v>0.16449046349999999</v>
      </c>
      <c r="J25" s="39">
        <f>0.005*Exchange_Rate</f>
        <v>5.4830154499999999E-3</v>
      </c>
      <c r="K25" s="39">
        <f>0.05*Exchange_Rate</f>
        <v>5.4830154499999999E-2</v>
      </c>
      <c r="L25" s="39">
        <f>0.08*Exchange_Rate</f>
        <v>8.7728247199999998E-2</v>
      </c>
      <c r="M25" s="39"/>
    </row>
    <row r="27" spans="2:13">
      <c r="B27" s="16" t="s">
        <v>26</v>
      </c>
      <c r="C27" s="97" t="s">
        <v>559</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0.132469653272</v>
      </c>
      <c r="D65" s="73">
        <f t="shared" ref="D65:M65" si="33">IF(D$4="","",D25)</f>
        <v>0.22699683962999997</v>
      </c>
      <c r="E65" s="73">
        <f t="shared" si="33"/>
        <v>0.19519535001999996</v>
      </c>
      <c r="F65" s="73">
        <f t="shared" si="33"/>
        <v>0.16997347894999998</v>
      </c>
      <c r="G65" s="73">
        <f t="shared" si="33"/>
        <v>8.7728247199999998E-2</v>
      </c>
      <c r="H65" s="73">
        <f t="shared" si="33"/>
        <v>8.334183483999999E-2</v>
      </c>
      <c r="I65" s="73">
        <f t="shared" si="33"/>
        <v>0.16449046349999999</v>
      </c>
      <c r="J65" s="73">
        <f t="shared" si="33"/>
        <v>5.4830154499999999E-3</v>
      </c>
      <c r="K65" s="73">
        <f t="shared" si="33"/>
        <v>5.4830154499999999E-2</v>
      </c>
      <c r="L65" s="73">
        <f t="shared" si="33"/>
        <v>8.7728247199999998E-2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4.3788662559166873</v>
      </c>
      <c r="D47" s="147">
        <f>D46*H1/Common_Shares*Exchange_Rate</f>
        <v>1.8525998924655729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-965903.09179866</v>
      </c>
      <c r="D73" s="349">
        <f>(Normalized_FCF!C25+Normalized_FCF!C35-Normalized_FCF!C91)/12</f>
        <v>-956584.92915481783</v>
      </c>
      <c r="F73" s="1" t="s">
        <v>342</v>
      </c>
    </row>
    <row r="74" spans="2:6" ht="15" customHeight="1">
      <c r="B74" s="257" t="s">
        <v>312</v>
      </c>
      <c r="C74" s="258">
        <f>-$C$66/C73</f>
        <v>12.104364401845286</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-2323837.92649316</v>
      </c>
      <c r="D86" s="223">
        <f>C86*scaling_factor/Common_Shares</f>
        <v>-0.50408631811131444</v>
      </c>
      <c r="E86" s="240" t="str">
        <f>Market_currency</f>
        <v>HKD</v>
      </c>
    </row>
    <row r="87" spans="2:8" ht="15" customHeight="1">
      <c r="B87" s="238" t="s">
        <v>282</v>
      </c>
      <c r="C87" s="76">
        <f>DCF!C8*Exchange_Rate</f>
        <v>8625115.8843424506</v>
      </c>
      <c r="D87" s="223">
        <f>C87*scaling_factor/Common_Shares</f>
        <v>1.8709578924820935</v>
      </c>
      <c r="E87" s="240" t="str">
        <f>Market_currency</f>
        <v>HKD</v>
      </c>
    </row>
    <row r="88" spans="2:8" ht="15" customHeight="1">
      <c r="B88" s="239" t="s">
        <v>185</v>
      </c>
      <c r="C88" s="76">
        <f>DCF!C9*Exchange_Rate</f>
        <v>57658.95183096399</v>
      </c>
      <c r="D88" s="223">
        <f>C88*scaling_factor/Common_Shares</f>
        <v>1.2507364822334922E-2</v>
      </c>
      <c r="E88" s="240" t="str">
        <f>Market_currency</f>
        <v>HKD</v>
      </c>
    </row>
    <row r="89" spans="2:8" ht="15" customHeight="1">
      <c r="B89" s="80" t="s">
        <v>286</v>
      </c>
      <c r="C89" s="180">
        <f>SUM(C86:C88)</f>
        <v>6358936.9096802538</v>
      </c>
      <c r="D89" s="242">
        <f>SUM(D86:D88)</f>
        <v>1.3793789391931139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0.132469653272</v>
      </c>
      <c r="H90" s="112">
        <f>Data!D65</f>
        <v>0.22699683962999997</v>
      </c>
      <c r="I90" s="112">
        <f>Data!E65</f>
        <v>0.19519535001999996</v>
      </c>
      <c r="J90" s="112">
        <f>Data!F65</f>
        <v>0.16997347894999998</v>
      </c>
      <c r="K90" s="112">
        <f>Data!G65</f>
        <v>8.7728247199999998E-2</v>
      </c>
      <c r="L90" s="112">
        <f>Data!H65</f>
        <v>8.334183483999999E-2</v>
      </c>
      <c r="M90" s="112">
        <f>Data!I65</f>
        <v>0.16449046349999999</v>
      </c>
      <c r="N90" s="112">
        <f>Data!J65</f>
        <v>5.4830154499999999E-3</v>
      </c>
      <c r="O90" s="112">
        <f>Data!K65</f>
        <v>5.4830154499999999E-2</v>
      </c>
      <c r="P90" s="112">
        <f>Data!L65</f>
        <v>8.7728247199999998E-2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610685.10158391995</v>
      </c>
      <c r="H91" s="74">
        <f t="shared" si="37"/>
        <v>1046455.4306943</v>
      </c>
      <c r="I91" s="74">
        <f t="shared" si="37"/>
        <v>899850.56359219982</v>
      </c>
      <c r="J91" s="74">
        <f t="shared" si="37"/>
        <v>783577.73795949994</v>
      </c>
      <c r="K91" s="74">
        <f t="shared" si="37"/>
        <v>404427.21959200001</v>
      </c>
      <c r="L91" s="74">
        <f t="shared" si="37"/>
        <v>384205.85861239996</v>
      </c>
      <c r="M91" s="74">
        <f t="shared" si="37"/>
        <v>758301.03673499986</v>
      </c>
      <c r="N91" s="74">
        <f t="shared" si="37"/>
        <v>25276.701224500001</v>
      </c>
      <c r="O91" s="74">
        <f t="shared" si="37"/>
        <v>252767.01224499999</v>
      </c>
      <c r="P91" s="74">
        <f t="shared" si="37"/>
        <v>404427.21959200001</v>
      </c>
      <c r="Q91" s="74" t="str">
        <f t="shared" si="37"/>
        <v/>
      </c>
    </row>
    <row r="92" spans="1:17" ht="15.75" customHeight="1">
      <c r="A92" s="10"/>
      <c r="B92" s="2" t="s">
        <v>209</v>
      </c>
      <c r="C92" s="23">
        <f>C90/(C19*scaling_factor/Common_Shares)</f>
        <v>0.80996280963569622</v>
      </c>
      <c r="E92" s="268"/>
      <c r="G92" s="170">
        <f t="shared" ref="G92:Q92" si="38">IF(G$4="","",G90/(G19*scaling_factor/Common_Shares))</f>
        <v>0.96551244870561381</v>
      </c>
      <c r="H92" s="170">
        <f t="shared" si="38"/>
        <v>0.9437356284132411</v>
      </c>
      <c r="I92" s="170">
        <f t="shared" si="38"/>
        <v>0.66974085421513241</v>
      </c>
      <c r="J92" s="170">
        <f t="shared" si="38"/>
        <v>0.93220623090507293</v>
      </c>
      <c r="K92" s="170">
        <f t="shared" si="38"/>
        <v>0.92800467089946603</v>
      </c>
      <c r="L92" s="170">
        <f t="shared" si="38"/>
        <v>1.1374676442829945</v>
      </c>
      <c r="M92" s="170">
        <f t="shared" si="38"/>
        <v>0.59961857631703586</v>
      </c>
      <c r="N92" s="170">
        <f t="shared" si="38"/>
        <v>6.4308306024602149E-2</v>
      </c>
      <c r="O92" s="170">
        <f t="shared" si="38"/>
        <v>-0.609850104578333</v>
      </c>
      <c r="P92" s="170">
        <f t="shared" si="38"/>
        <v>0.6712874932020948</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4.0909090909090909E-2</v>
      </c>
      <c r="E94" s="268"/>
      <c r="G94" s="23">
        <f t="shared" ref="G94:Q94" si="39">IF(G$4="","",(G90*(1-dividend_tax_rate))/Market_Price)</f>
        <v>5.4192130883999996E-2</v>
      </c>
      <c r="H94" s="23">
        <f t="shared" si="39"/>
        <v>9.2862343484999985E-2</v>
      </c>
      <c r="I94" s="23">
        <f t="shared" si="39"/>
        <v>7.9852643189999989E-2</v>
      </c>
      <c r="J94" s="23">
        <f t="shared" si="39"/>
        <v>6.9534605024999988E-2</v>
      </c>
      <c r="K94" s="23">
        <f t="shared" si="39"/>
        <v>3.5888828399999996E-2</v>
      </c>
      <c r="L94" s="23">
        <f t="shared" si="39"/>
        <v>3.4094386979999995E-2</v>
      </c>
      <c r="M94" s="23">
        <f t="shared" si="39"/>
        <v>6.7291553249999997E-2</v>
      </c>
      <c r="N94" s="23">
        <f t="shared" si="39"/>
        <v>2.2430517749999998E-3</v>
      </c>
      <c r="O94" s="23">
        <f t="shared" si="39"/>
        <v>2.243051775E-2</v>
      </c>
      <c r="P94" s="23">
        <f t="shared" si="39"/>
        <v>3.5888828399999996E-2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0.13538931379988031</v>
      </c>
      <c r="D125" s="27"/>
      <c r="E125" s="265"/>
      <c r="F125" s="27"/>
      <c r="G125" s="177">
        <f t="shared" ref="G125:Q125" si="49">IF(G$4="","",G16*$C$3/Common_Shares*Exchange_Rate)</f>
        <v>0.15045547191447534</v>
      </c>
      <c r="H125" s="177">
        <f t="shared" si="49"/>
        <v>0.26376606780971656</v>
      </c>
      <c r="I125" s="177">
        <f t="shared" si="49"/>
        <v>0.31960395224270777</v>
      </c>
      <c r="J125" s="177">
        <f t="shared" si="49"/>
        <v>0.19994871955924576</v>
      </c>
      <c r="K125" s="177">
        <f t="shared" si="49"/>
        <v>0.1036665762323796</v>
      </c>
      <c r="L125" s="177">
        <f t="shared" si="49"/>
        <v>8.0347704017043386E-2</v>
      </c>
      <c r="M125" s="177">
        <f t="shared" si="49"/>
        <v>0.30082582107039263</v>
      </c>
      <c r="N125" s="177">
        <f t="shared" si="49"/>
        <v>9.3497901852483731E-2</v>
      </c>
      <c r="O125" s="177">
        <f t="shared" si="49"/>
        <v>-9.8592943410989148E-2</v>
      </c>
      <c r="P125" s="177">
        <f t="shared" si="49"/>
        <v>0.14331127562187634</v>
      </c>
      <c r="Q125" s="177" t="str">
        <f t="shared" si="49"/>
        <v/>
      </c>
    </row>
    <row r="126" spans="1:17" ht="15.75" customHeight="1">
      <c r="A126" s="10"/>
      <c r="B126" s="27" t="s">
        <v>264</v>
      </c>
      <c r="C126" s="77">
        <f>C19*Exchange_Rate*$C$3/(Market_Price*Common_Shares)</f>
        <v>6.1540597181763787E-2</v>
      </c>
      <c r="D126" s="27"/>
      <c r="E126" s="265"/>
      <c r="F126" s="27"/>
      <c r="G126" s="77">
        <f t="shared" ref="G126" si="50">IF(G$4="","",G125/Market_Price)</f>
        <v>6.8388850870216053E-2</v>
      </c>
      <c r="H126" s="77">
        <f t="shared" ref="H126" si="51">IF(H$4="","",H125/Market_Price)</f>
        <v>0.11989366718623479</v>
      </c>
      <c r="I126" s="77">
        <f t="shared" ref="I126" si="52">IF(I$4="","",I125/Market_Price)</f>
        <v>0.14527452374668534</v>
      </c>
      <c r="J126" s="77">
        <f t="shared" ref="J126" si="53">IF(J$4="","",J125/Market_Price)</f>
        <v>9.0885781617838973E-2</v>
      </c>
      <c r="K126" s="77">
        <f t="shared" ref="K126" si="54">IF(K$4="","",K125/Market_Price)</f>
        <v>4.7121171014717994E-2</v>
      </c>
      <c r="L126" s="77">
        <f t="shared" ref="L126" si="55">IF(L$4="","",L125/Market_Price)</f>
        <v>3.6521683644110625E-2</v>
      </c>
      <c r="M126" s="77">
        <f t="shared" ref="M126" si="56">IF(M$4="","",M125/Market_Price)</f>
        <v>0.13673900957745119</v>
      </c>
      <c r="N126" s="77">
        <f t="shared" ref="N126" si="57">IF(N$4="","",N125/Market_Price)</f>
        <v>4.2499046296583513E-2</v>
      </c>
      <c r="O126" s="77">
        <f t="shared" ref="O126" si="58">IF(O$4="","",O125/Market_Price)</f>
        <v>-4.4814974277722339E-2</v>
      </c>
      <c r="P126" s="77">
        <f t="shared" ref="P126" si="59">IF(P$4="","",P125/Market_Price)</f>
        <v>6.5141488919034693E-2</v>
      </c>
      <c r="Q126" s="77" t="str">
        <f t="shared" ref="Q126" si="60">IF(Q$4="","",Q125/Market_Price)</f>
        <v/>
      </c>
    </row>
    <row r="127" spans="1:17" ht="15.75" customHeight="1">
      <c r="B127" s="2" t="s">
        <v>375</v>
      </c>
      <c r="C127" s="169"/>
      <c r="G127" s="23">
        <f>IF(G$4="","",(Data!C47*$C$3)/(Market_Price*Common_Shares))</f>
        <v>0.11350118319858016</v>
      </c>
      <c r="H127" s="23">
        <f>IF(H$4="","",(Data!D47*$C$3)/(Market_Price*Common_Shares))</f>
        <v>0.23408578189706172</v>
      </c>
      <c r="I127" s="23">
        <f>IF(I$4="","",(Data!E47*$C$3)/(Market_Price*Common_Shares))</f>
        <v>0.17735476237428516</v>
      </c>
      <c r="J127" s="23">
        <f>IF(J$4="","",(Data!F47*$C$3)/(Market_Price*Common_Shares))</f>
        <v>0.16184529678564386</v>
      </c>
      <c r="K127" s="23">
        <f>IF(K$4="","",(Data!G47*$C$3)/(Market_Price*Common_Shares))</f>
        <v>7.6824788010254386E-2</v>
      </c>
      <c r="L127" s="23">
        <f>IF(L$4="","",(Data!H47*$C$3)/(Market_Price*Common_Shares))</f>
        <v>7.4441727469927041E-2</v>
      </c>
      <c r="M127" s="23">
        <f>IF(M$4="","",(Data!I47*$C$3)/(Market_Price*Common_Shares))</f>
        <v>0.1506892131729442</v>
      </c>
      <c r="N127" s="23">
        <f>IF(N$4="","",(Data!J47*$C$3)/(Market_Price*Common_Shares))</f>
        <v>1.0600670479195424E-2</v>
      </c>
      <c r="O127" s="23">
        <f>IF(O$4="","",(Data!K47*$C$3)/(Market_Price*Common_Shares))</f>
        <v>-2.3335633997239202E-2</v>
      </c>
      <c r="P127" s="23">
        <f>IF(P$4="","",(Data!L47*$C$3)/(Market_Price*Common_Shares))</f>
        <v>8.3123742851508572E-2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1.0966030899999999</v>
      </c>
      <c r="D11" t="str">
        <f>Thesis!C15</f>
        <v>CNY/HKD</v>
      </c>
      <c r="H11" s="120"/>
    </row>
    <row r="12" spans="2:8" ht="13.5" thickTop="1">
      <c r="B12" s="149" t="s">
        <v>99</v>
      </c>
      <c r="C12" s="111">
        <f>(C10*scaling_factor)/Common_Shares*Exchange_Rate</f>
        <v>3.1845697898581853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3.298577586263391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3.1845697898581853</v>
      </c>
      <c r="C65" s="124">
        <f>C12</f>
        <v>3.1845697898581853</v>
      </c>
      <c r="D65" s="124">
        <f>C12</f>
        <v>3.1845697898581853</v>
      </c>
      <c r="E65" s="141">
        <f>C12</f>
        <v>3.1845697898581853</v>
      </c>
      <c r="F65" s="124">
        <f>C12</f>
        <v>3.1845697898581853</v>
      </c>
      <c r="H65" s="120"/>
    </row>
    <row r="66" spans="1:8" ht="13.15">
      <c r="A66" s="143">
        <f t="shared" ref="A66:A71" si="3">A56</f>
        <v>5</v>
      </c>
      <c r="B66" s="124">
        <f t="shared" ref="B66:F71" si="4">(B56-$C$7+$C$8+$C$9)/Common_Shares*$C$3*Exchange_Rate</f>
        <v>3.1289228223017123</v>
      </c>
      <c r="C66" s="124">
        <f t="shared" si="4"/>
        <v>3.1845697898581848</v>
      </c>
      <c r="D66" s="124">
        <f t="shared" si="4"/>
        <v>3.2418133003130398</v>
      </c>
      <c r="E66" s="124">
        <f t="shared" si="4"/>
        <v>3.2710558822875635</v>
      </c>
      <c r="F66" s="124">
        <f t="shared" si="4"/>
        <v>3.3308281650111073</v>
      </c>
      <c r="H66" s="120"/>
    </row>
    <row r="67" spans="1:8" ht="13.15">
      <c r="A67" s="143">
        <f t="shared" si="3"/>
        <v>10</v>
      </c>
      <c r="B67" s="124">
        <f t="shared" si="4"/>
        <v>3.0806916121330419</v>
      </c>
      <c r="C67" s="124">
        <f t="shared" si="4"/>
        <v>3.1845697898581848</v>
      </c>
      <c r="D67" s="124">
        <f t="shared" si="4"/>
        <v>3.298577586263391</v>
      </c>
      <c r="E67" s="124">
        <f t="shared" si="4"/>
        <v>3.3597574792210709</v>
      </c>
      <c r="F67" s="124">
        <f t="shared" si="4"/>
        <v>3.4912984485249314</v>
      </c>
      <c r="H67" s="120"/>
    </row>
    <row r="68" spans="1:8" ht="13.15">
      <c r="A68" s="143">
        <f t="shared" si="3"/>
        <v>15</v>
      </c>
      <c r="B68" s="124">
        <f t="shared" si="4"/>
        <v>3.0252989186007713</v>
      </c>
      <c r="C68" s="124">
        <f t="shared" si="4"/>
        <v>3.1845697898581848</v>
      </c>
      <c r="D68" s="124">
        <f t="shared" si="4"/>
        <v>3.3704478197376821</v>
      </c>
      <c r="E68" s="124">
        <f t="shared" si="4"/>
        <v>3.4749851413290567</v>
      </c>
      <c r="F68" s="124">
        <f t="shared" si="4"/>
        <v>3.7110573397133462</v>
      </c>
      <c r="H68" s="120"/>
    </row>
    <row r="69" spans="1:8" ht="13.15">
      <c r="A69" s="144">
        <f t="shared" si="3"/>
        <v>20</v>
      </c>
      <c r="B69" s="124">
        <f t="shared" si="4"/>
        <v>2.9729906395330126</v>
      </c>
      <c r="C69" s="124">
        <f t="shared" si="4"/>
        <v>3.1845697898581848</v>
      </c>
      <c r="D69" s="124">
        <f t="shared" si="4"/>
        <v>3.4453737106644251</v>
      </c>
      <c r="E69" s="124">
        <f t="shared" si="4"/>
        <v>3.5984023431185146</v>
      </c>
      <c r="F69" s="124">
        <f t="shared" si="4"/>
        <v>3.9601287615456702</v>
      </c>
      <c r="H69" s="120"/>
    </row>
    <row r="70" spans="1:8" ht="13.15">
      <c r="A70" s="144">
        <f t="shared" si="3"/>
        <v>25</v>
      </c>
      <c r="B70" s="124">
        <f t="shared" si="4"/>
        <v>2.9279137487371591</v>
      </c>
      <c r="C70" s="124">
        <f t="shared" si="4"/>
        <v>3.1845697898581844</v>
      </c>
      <c r="D70" s="124">
        <f t="shared" si="4"/>
        <v>3.5166858660542784</v>
      </c>
      <c r="E70" s="124">
        <f t="shared" si="4"/>
        <v>3.7192169235031045</v>
      </c>
      <c r="F70" s="124">
        <f t="shared" si="4"/>
        <v>4.218962945750321</v>
      </c>
    </row>
    <row r="71" spans="1:8" ht="13.15">
      <c r="A71" s="144">
        <f t="shared" si="3"/>
        <v>30</v>
      </c>
      <c r="B71" s="124">
        <f t="shared" si="4"/>
        <v>2.8910743177090739</v>
      </c>
      <c r="C71" s="124">
        <f t="shared" si="4"/>
        <v>3.1845697898581844</v>
      </c>
      <c r="D71" s="124">
        <f t="shared" si="4"/>
        <v>3.5810647788677912</v>
      </c>
      <c r="E71" s="124">
        <f t="shared" si="4"/>
        <v>3.8315106097040372</v>
      </c>
      <c r="F71" s="124">
        <f t="shared" si="4"/>
        <v>4.4751249997055433</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3.7110573397133462</v>
      </c>
      <c r="F74" s="142">
        <f>Scenarios!C58</f>
        <v>0.05</v>
      </c>
    </row>
    <row r="75" spans="1:8">
      <c r="B75" s="127" t="str">
        <f>Scenarios!B36</f>
        <v>Optimistic</v>
      </c>
      <c r="C75" s="142">
        <f>Scenarios!C38</f>
        <v>0.03</v>
      </c>
      <c r="D75" s="145">
        <f>Scenarios!C37</f>
        <v>10</v>
      </c>
      <c r="E75" s="135">
        <f>INDEX(B$65:F$71, MATCH(D75, A$65:A$71, 0), MATCH(C75, B$64:F$64, 0))</f>
        <v>3.3597574792210709</v>
      </c>
      <c r="F75" s="142">
        <f>Scenarios!C40*(1-F$74-F$78)</f>
        <v>0.18</v>
      </c>
      <c r="H75" s="120"/>
    </row>
    <row r="76" spans="1:8">
      <c r="B76" s="127" t="str">
        <f>Scenarios!B24</f>
        <v>Base</v>
      </c>
      <c r="C76" s="142">
        <f>Scenarios!C26</f>
        <v>0.02</v>
      </c>
      <c r="D76" s="145">
        <f>Scenarios!C25</f>
        <v>10</v>
      </c>
      <c r="E76" s="135">
        <f>INDEX(B$65:F$71, MATCH(D76, A$65:A$71, 0), MATCH(C76, B$64:F$64, 0))</f>
        <v>3.298577586263391</v>
      </c>
      <c r="F76" s="142">
        <f>Scenarios!C28*(1-F$74-F$78)</f>
        <v>0.53999999999999992</v>
      </c>
      <c r="H76" s="120"/>
    </row>
    <row r="77" spans="1:8">
      <c r="B77" s="127" t="str">
        <f>Scenarios!B30</f>
        <v>Pessimistic</v>
      </c>
      <c r="C77" s="142">
        <f>Scenarios!C32</f>
        <v>0</v>
      </c>
      <c r="D77" s="145">
        <f>Scenarios!C31</f>
        <v>10</v>
      </c>
      <c r="E77" s="135">
        <f>INDEX(B$65:F$71, MATCH(D77, A$65:A$71, 0), MATCH(C77, B$64:F$64, 0))</f>
        <v>3.1845697898581848</v>
      </c>
      <c r="F77" s="142">
        <f>Scenarios!C34*(1-F$74-F$78)</f>
        <v>0.18</v>
      </c>
      <c r="H77" s="120"/>
    </row>
    <row r="78" spans="1:8">
      <c r="B78" s="127" t="str">
        <f>Scenarios!B48</f>
        <v>Devil's advocate</v>
      </c>
      <c r="C78" s="142">
        <f>Scenarios!C50</f>
        <v>-0.02</v>
      </c>
      <c r="D78" s="145">
        <f>Scenarios!C49</f>
        <v>15</v>
      </c>
      <c r="E78" s="135">
        <f>INDEX(B$65:F$71, MATCH(D78, A$65:A$71, 0), MATCH(C78, B$64:F$64, 0))</f>
        <v>3.0252989186007713</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1.3159237079999999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1.3159237079999999</v>
      </c>
      <c r="C60" s="124">
        <f>C7</f>
        <v>1.3159237079999999</v>
      </c>
      <c r="D60" s="124">
        <f>C7</f>
        <v>1.3159237079999999</v>
      </c>
      <c r="E60" s="141">
        <f>C7</f>
        <v>1.3159237079999999</v>
      </c>
      <c r="F60" s="124">
        <f>C7</f>
        <v>1.3159237079999999</v>
      </c>
      <c r="H60" s="120"/>
    </row>
    <row r="61" spans="1:8" ht="13.15">
      <c r="A61" s="143">
        <f t="shared" ref="A61:A66" si="3">A51</f>
        <v>5</v>
      </c>
      <c r="B61" s="124">
        <f t="shared" ref="B61:F66" si="4">B51/Common_Shares*$C$3*Exchange_Rate</f>
        <v>1.2753589312292279</v>
      </c>
      <c r="C61" s="124">
        <f t="shared" si="4"/>
        <v>1.3159237079999999</v>
      </c>
      <c r="D61" s="124">
        <f t="shared" si="4"/>
        <v>1.3576523111052818</v>
      </c>
      <c r="E61" s="124">
        <f t="shared" si="4"/>
        <v>1.378969174576661</v>
      </c>
      <c r="F61" s="124">
        <f t="shared" si="4"/>
        <v>1.4225411680244511</v>
      </c>
      <c r="H61" s="120"/>
    </row>
    <row r="62" spans="1:8" ht="13.15">
      <c r="A62" s="143">
        <f t="shared" si="3"/>
        <v>10</v>
      </c>
      <c r="B62" s="124">
        <f t="shared" si="4"/>
        <v>1.2401999933789167</v>
      </c>
      <c r="C62" s="124">
        <f t="shared" si="4"/>
        <v>1.3159237080000001</v>
      </c>
      <c r="D62" s="124">
        <f t="shared" si="4"/>
        <v>1.3990315755870617</v>
      </c>
      <c r="E62" s="124">
        <f t="shared" si="4"/>
        <v>1.4436296697809539</v>
      </c>
      <c r="F62" s="124">
        <f t="shared" si="4"/>
        <v>1.5395186335525559</v>
      </c>
      <c r="H62" s="120"/>
    </row>
    <row r="63" spans="1:8" ht="13.15">
      <c r="A63" s="143">
        <f t="shared" si="3"/>
        <v>15</v>
      </c>
      <c r="B63" s="124">
        <f t="shared" si="4"/>
        <v>1.1998205738608982</v>
      </c>
      <c r="C63" s="124">
        <f t="shared" si="4"/>
        <v>1.3159237079999999</v>
      </c>
      <c r="D63" s="124">
        <f t="shared" si="4"/>
        <v>1.4514225701976706</v>
      </c>
      <c r="E63" s="124">
        <f t="shared" si="4"/>
        <v>1.527626778634817</v>
      </c>
      <c r="F63" s="124">
        <f t="shared" si="4"/>
        <v>1.6997155096070096</v>
      </c>
      <c r="H63" s="120"/>
    </row>
    <row r="64" spans="1:8" ht="13.15">
      <c r="A64" s="144">
        <f t="shared" si="3"/>
        <v>20</v>
      </c>
      <c r="B64" s="124">
        <f t="shared" si="4"/>
        <v>1.1616895892480612</v>
      </c>
      <c r="C64" s="124">
        <f t="shared" si="4"/>
        <v>1.3159237080000001</v>
      </c>
      <c r="D64" s="124">
        <f t="shared" si="4"/>
        <v>1.5060410368142052</v>
      </c>
      <c r="E64" s="124">
        <f t="shared" si="4"/>
        <v>1.6175937878017057</v>
      </c>
      <c r="F64" s="124">
        <f t="shared" si="4"/>
        <v>1.8812802393715506</v>
      </c>
      <c r="H64" s="120"/>
    </row>
    <row r="65" spans="1:8" ht="13.15">
      <c r="A65" s="144">
        <f t="shared" si="3"/>
        <v>25</v>
      </c>
      <c r="B65" s="124">
        <f t="shared" si="4"/>
        <v>1.1288300446412756</v>
      </c>
      <c r="C65" s="124">
        <f t="shared" si="4"/>
        <v>1.3159237080000001</v>
      </c>
      <c r="D65" s="124">
        <f t="shared" si="4"/>
        <v>1.5580252111808739</v>
      </c>
      <c r="E65" s="124">
        <f t="shared" si="4"/>
        <v>1.7056635730776395</v>
      </c>
      <c r="F65" s="124">
        <f t="shared" si="4"/>
        <v>2.0699616961328968</v>
      </c>
    </row>
    <row r="66" spans="1:8" ht="13.15">
      <c r="A66" s="144">
        <f t="shared" si="3"/>
        <v>30</v>
      </c>
      <c r="B66" s="124">
        <f t="shared" si="4"/>
        <v>1.1019753324864758</v>
      </c>
      <c r="C66" s="124">
        <f t="shared" si="4"/>
        <v>1.3159237080000001</v>
      </c>
      <c r="D66" s="124">
        <f t="shared" si="4"/>
        <v>1.6049552837742256</v>
      </c>
      <c r="E66" s="124">
        <f t="shared" si="4"/>
        <v>1.7875219116993311</v>
      </c>
      <c r="F66" s="124">
        <f t="shared" si="4"/>
        <v>2.2566952593821568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1.6997155096070096</v>
      </c>
      <c r="F69" s="142">
        <f>Scenarios!C58</f>
        <v>0.05</v>
      </c>
    </row>
    <row r="70" spans="1:8">
      <c r="B70" s="127" t="str">
        <f>Scenarios!B36</f>
        <v>Optimistic</v>
      </c>
      <c r="C70" s="142">
        <f>Scenarios!C38</f>
        <v>0.03</v>
      </c>
      <c r="D70" s="145">
        <f>Scenarios!C37</f>
        <v>10</v>
      </c>
      <c r="E70" s="135">
        <f>INDEX(B$60:F$66, MATCH(D70, A$60:A$66, 0), MATCH(C70, B$59:F$59, 0))</f>
        <v>1.4436296697809539</v>
      </c>
      <c r="F70" s="142">
        <f>Scenarios!C40*(1-F$69-F$73)</f>
        <v>0.18</v>
      </c>
      <c r="H70" s="120"/>
    </row>
    <row r="71" spans="1:8">
      <c r="B71" s="127" t="str">
        <f>Scenarios!B24</f>
        <v>Base</v>
      </c>
      <c r="C71" s="142">
        <f>Scenarios!C26</f>
        <v>0.02</v>
      </c>
      <c r="D71" s="145">
        <f>Scenarios!C25</f>
        <v>10</v>
      </c>
      <c r="E71" s="135">
        <f>INDEX(B$60:F$66, MATCH(D71, A$60:A$66, 0), MATCH(C71, B$59:F$59, 0))</f>
        <v>1.3990315755870617</v>
      </c>
      <c r="F71" s="142">
        <f>Scenarios!C28*(1-F$69-F$73)</f>
        <v>0.53999999999999992</v>
      </c>
      <c r="H71" s="120"/>
    </row>
    <row r="72" spans="1:8">
      <c r="B72" s="127" t="str">
        <f>Scenarios!B30</f>
        <v>Pessimistic</v>
      </c>
      <c r="C72" s="142">
        <f>Scenarios!C32</f>
        <v>0</v>
      </c>
      <c r="D72" s="145">
        <f>Scenarios!C31</f>
        <v>10</v>
      </c>
      <c r="E72" s="135">
        <f>INDEX(B$60:F$66, MATCH(D72, A$60:A$66, 0), MATCH(C72, B$59:F$59, 0))</f>
        <v>1.3159237080000001</v>
      </c>
      <c r="F72" s="142">
        <f>Scenarios!C34*(1-F$69-F$73)</f>
        <v>0.18</v>
      </c>
      <c r="H72" s="120"/>
    </row>
    <row r="73" spans="1:8">
      <c r="B73" s="127" t="str">
        <f>Scenarios!B48</f>
        <v>Devil's advocate</v>
      </c>
      <c r="C73" s="142">
        <f>Scenarios!C50</f>
        <v>-0.02</v>
      </c>
      <c r="D73" s="145">
        <f>Scenarios!C49</f>
        <v>15</v>
      </c>
      <c r="E73" s="135">
        <f>INDEX(B$60:F$66, MATCH(D73, A$60:A$66, 0), MATCH(C73, B$59:F$59, 0))</f>
        <v>1.1998205738608982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-2.2000000000000002</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3.3860286179322023</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2.2000000000000002</v>
      </c>
      <c r="D21" t="str">
        <f>Market_currency</f>
        <v>HKD</v>
      </c>
      <c r="E21" s="381"/>
      <c r="F21" s="381"/>
    </row>
    <row r="22" spans="2:6">
      <c r="B22" s="100" t="s">
        <v>273</v>
      </c>
      <c r="C22" s="160">
        <f>IF(valuation_method="DCF",DCF!C12,DDM!C7)</f>
        <v>3.1845697898581853</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3.298577586263391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3.1845697898581848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3.3597574792210709</v>
      </c>
      <c r="D39" t="str">
        <f>Market_currency</f>
        <v>HKD</v>
      </c>
      <c r="E39" s="379"/>
      <c r="F39" s="379"/>
    </row>
    <row r="40" spans="2:6">
      <c r="B40" s="100" t="s">
        <v>143</v>
      </c>
      <c r="C40" s="167">
        <f>1-C28-C34</f>
        <v>0.2</v>
      </c>
      <c r="D40" s="165"/>
      <c r="E40" s="379"/>
      <c r="F40" s="379"/>
    </row>
    <row r="42" spans="2:6" ht="13.15">
      <c r="B42" s="100" t="s">
        <v>116</v>
      </c>
      <c r="C42" s="154">
        <f>C27*C28+C33*C34+C39*C40</f>
        <v>3.2880120055738855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3.0252989186007713</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3.7110573397133462</v>
      </c>
      <c r="D57" t="str">
        <f>Market_currency</f>
        <v>HKD</v>
      </c>
      <c r="E57" s="379"/>
      <c r="F57" s="379"/>
    </row>
    <row r="58" spans="2:6">
      <c r="B58" s="100" t="s">
        <v>143</v>
      </c>
      <c r="C58" s="165">
        <v>0.05</v>
      </c>
      <c r="D58" s="165"/>
      <c r="E58" s="379"/>
      <c r="F58" s="379"/>
    </row>
    <row r="60" spans="2:6" ht="13.15">
      <c r="B60" s="100" t="s">
        <v>116</v>
      </c>
      <c r="C60" s="154">
        <f>C51*C52+C57*C58+C42*(1-C52-C58)</f>
        <v>3.2960286179322025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3.298577586263391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1.3396448175307429</v>
      </c>
      <c r="D82" s="116"/>
    </row>
    <row r="83" spans="2:8" ht="13.15">
      <c r="B83" s="110" t="s">
        <v>98</v>
      </c>
      <c r="C83" s="111">
        <f>C81+C82</f>
        <v>1.4922739899130018</v>
      </c>
      <c r="D83" t="str">
        <f>Market_currency</f>
        <v>HKD</v>
      </c>
      <c r="E83" s="146" t="s">
        <v>122</v>
      </c>
      <c r="F83" s="291">
        <f>(1-C83/C60)</f>
        <v>0.54725090013047417</v>
      </c>
    </row>
    <row r="84" spans="2:8">
      <c r="E84" s="120"/>
    </row>
    <row r="85" spans="2:8" ht="13.15">
      <c r="B85" s="109" t="s">
        <v>297</v>
      </c>
    </row>
    <row r="86" spans="2:8">
      <c r="B86" s="148" t="s">
        <v>295</v>
      </c>
      <c r="C86" s="116">
        <f>Market_Price</f>
        <v>2.2000000000000002</v>
      </c>
      <c r="D86" t="str">
        <f>Market_currency</f>
        <v>HKD</v>
      </c>
    </row>
    <row r="87" spans="2:8" ht="13.15">
      <c r="B87" s="100" t="s">
        <v>293</v>
      </c>
      <c r="C87" s="237">
        <f ca="1">IRR(OFFSET($I$3, 0, 0, $C$76 + 1, 1))</f>
        <v>0.18032331168283355</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1.6875666523812876</v>
      </c>
      <c r="D92" s="116"/>
    </row>
    <row r="93" spans="2:8" ht="13.15">
      <c r="B93" s="110" t="s">
        <v>98</v>
      </c>
      <c r="C93" s="111">
        <f>C91+C92</f>
        <v>1.8632466523812876</v>
      </c>
      <c r="D93" t="str">
        <f>Market_currency</f>
        <v>HKD</v>
      </c>
      <c r="E93" s="146" t="s">
        <v>122</v>
      </c>
      <c r="F93" s="291">
        <f>(1-C93/C60)</f>
        <v>0.43469949191454094</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2.6531730734106556</v>
      </c>
      <c r="D98" s="116"/>
      <c r="G98" s="2"/>
      <c r="H98" s="281"/>
    </row>
    <row r="99" spans="2:8" ht="13.15">
      <c r="B99" s="110" t="s">
        <v>379</v>
      </c>
      <c r="C99" s="111">
        <f>C97+C98</f>
        <v>2.8872203899991318</v>
      </c>
      <c r="D99" t="s">
        <v>377</v>
      </c>
      <c r="E99" s="146" t="s">
        <v>122</v>
      </c>
      <c r="F99" s="291">
        <f>(1-C99/C60)</f>
        <v>0.12403054564178539</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2.3624627675771221</v>
      </c>
      <c r="D104" s="116"/>
    </row>
    <row r="105" spans="2:8" ht="13.15">
      <c r="B105" s="110" t="s">
        <v>379</v>
      </c>
      <c r="C105" s="111">
        <f>C103+C104</f>
        <v>2.5795970489116007</v>
      </c>
      <c r="D105" t="s">
        <v>377</v>
      </c>
      <c r="E105" s="146" t="s">
        <v>122</v>
      </c>
      <c r="F105" s="291">
        <f>(1-C105/C66)</f>
        <v>0.21796684132758182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