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5C47650-0BBF-4B39-96D2-22F1E601DE4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C44" i="6"/>
  <c r="C44" i="12"/>
  <c r="O94" i="2"/>
  <c r="Q92" i="2"/>
  <c r="Q94" i="2"/>
  <c r="K94" i="2"/>
  <c r="P94" i="2"/>
  <c r="L94" i="2"/>
  <c r="J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<sst xmlns="http://schemas.openxmlformats.org/spreadsheetml/2006/main" count="836" uniqueCount="561">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</sst>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48A0F913-4ACB-4B07-A8B4-EE1688BE735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2.08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2.08</v>
      </c>
      <c r="D12" s="50"/>
      <c r="E12" s="48"/>
    </row>
    <row r="13" spans="1:10">
      <c r="B13" s="1" t="s">
        <v>486</v>
      </c>
      <c r="C13" s="32" t="str">
        <f>Market_currency</f>
        <v>HKD</v>
      </c>
      <c r="D13" s="48"/>
      <c r="E13" s="5"/>
    </row>
    <row r="14" spans="1:10">
      <c r="B14" s="4" t="s">
        <v>487</v>
      </c>
      <c r="C14" s="35">
        <f>投资主题!C12*Common_Shares/1000000</f>
        <v>9588.7999999999993</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1.0942760600000001</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3.2890343302589979</v>
      </c>
      <c r="D26" s="1" t="s">
        <v>447</v>
      </c>
      <c r="E26" s="301">
        <f ca="1">Scenarios!C87</f>
        <v>0.20257445758646853</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1.4894312168913264</v>
      </c>
      <c r="D29" s="310" t="str">
        <f>D149</f>
        <v/>
      </c>
      <c r="E29" s="306" t="s">
        <v>456</v>
      </c>
      <c r="F29" s="362">
        <f>Thesis!F29</f>
        <v>0.35</v>
      </c>
    </row>
    <row r="30" spans="2:6">
      <c r="B30" s="1" t="s">
        <v>451</v>
      </c>
      <c r="C30" s="311">
        <f>C157</f>
        <v>1.8596655770926069</v>
      </c>
      <c r="D30" s="311" t="str">
        <f>D157</f>
        <v/>
      </c>
      <c r="E30" s="307" t="s">
        <v>455</v>
      </c>
      <c r="F30" s="224">
        <f>Thesis!F30</f>
        <v>0.25</v>
      </c>
    </row>
    <row r="31" spans="2:6">
      <c r="B31" s="1" t="s">
        <v>452</v>
      </c>
      <c r="C31" s="311">
        <f>C165</f>
        <v>2.881590264210395</v>
      </c>
      <c r="D31" s="311" t="str">
        <f>D165</f>
        <v/>
      </c>
      <c r="E31" s="307" t="s">
        <v>492</v>
      </c>
      <c r="F31" s="224">
        <f>Thesis!F31</f>
        <v>7.4999999999999997E-2</v>
      </c>
    </row>
    <row r="32" spans="2:6">
      <c r="B32" s="1" t="s">
        <v>453</v>
      </c>
      <c r="C32" s="311">
        <f>C173</f>
        <v>2.5745838205300959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4" t="s">
        <v>330</v>
      </c>
      <c r="C37" s="374"/>
      <c r="D37" s="374"/>
      <c r="E37" s="374"/>
      <c r="F37" s="374"/>
    </row>
    <row r="39" spans="1:6">
      <c r="B39" s="210" t="s">
        <v>494</v>
      </c>
      <c r="C39" s="108">
        <f>scaling_factor</f>
        <v>1000</v>
      </c>
    </row>
    <row r="40" spans="1:6">
      <c r="B40" s="367" t="s">
        <v>495</v>
      </c>
      <c r="C40" s="367"/>
      <c r="D40" s="367"/>
      <c r="E40" s="367"/>
      <c r="F40" s="367"/>
    </row>
    <row r="41" spans="1:6">
      <c r="B41" s="47" t="s">
        <v>228</v>
      </c>
      <c r="C41" s="349">
        <f>Normalized_FCF!C8</f>
        <v>928439.85014218651</v>
      </c>
      <c r="D41" s="1" t="str">
        <f>Reporting_currency</f>
        <v>CNY</v>
      </c>
    </row>
    <row r="42" spans="1:6">
      <c r="B42" s="47"/>
      <c r="C42" s="76"/>
    </row>
    <row r="43" spans="1:6" ht="24.6" customHeight="1">
      <c r="B43" s="367" t="s">
        <v>496</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497</v>
      </c>
      <c r="C47" s="367"/>
      <c r="D47" s="367"/>
      <c r="E47" s="367"/>
      <c r="F47" s="367"/>
    </row>
    <row r="48" spans="1:6">
      <c r="B48" s="47" t="s">
        <v>233</v>
      </c>
      <c r="C48" s="349">
        <f>Normalized_FCF!C11</f>
        <v>0</v>
      </c>
      <c r="D48" s="1" t="str">
        <f>Reporting_currency</f>
        <v>CNY</v>
      </c>
    </row>
    <row r="50" spans="2:6">
      <c r="B50" s="367" t="s">
        <v>498</v>
      </c>
      <c r="C50" s="367"/>
      <c r="D50" s="367"/>
      <c r="E50" s="367"/>
      <c r="F50" s="367"/>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67" t="s">
        <v>237</v>
      </c>
      <c r="C58" s="367"/>
      <c r="D58" s="367"/>
      <c r="E58" s="367"/>
      <c r="F58" s="367"/>
    </row>
    <row r="59" spans="2:6">
      <c r="B59" s="47" t="s">
        <v>235</v>
      </c>
      <c r="C59" s="349">
        <f>Normalized_FCF!C14</f>
        <v>-233268.98647286888</v>
      </c>
      <c r="D59" s="1" t="str">
        <f>Reporting_currency</f>
        <v>CNY</v>
      </c>
    </row>
    <row r="61" spans="2:6">
      <c r="B61" s="367"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6.4952890843471014E-2</v>
      </c>
      <c r="F69" s="314"/>
    </row>
    <row r="70" spans="1:6">
      <c r="B70" s="227" t="s">
        <v>435</v>
      </c>
      <c r="C70" s="92">
        <f>Normalized_FCF!C94</f>
        <v>4.3269230769230775E-2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1" t="s">
        <v>507</v>
      </c>
      <c r="C80" s="371"/>
      <c r="D80" s="371"/>
      <c r="E80" s="371"/>
      <c r="F80" s="371"/>
    </row>
    <row r="81" spans="1:6">
      <c r="B81" s="374" t="s">
        <v>248</v>
      </c>
      <c r="C81" s="374"/>
      <c r="D81" s="374"/>
      <c r="E81" s="374"/>
      <c r="F81" s="374"/>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1.8013601727255961</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1.8669876545863182</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1.2480823757999134E-2</v>
      </c>
      <c r="D114" s="1" t="str">
        <f>Market_currency</f>
        <v>HKD</v>
      </c>
    </row>
    <row r="116" spans="1:6">
      <c r="B116" s="371" t="s">
        <v>517</v>
      </c>
      <c r="C116" s="371"/>
      <c r="D116" s="371"/>
      <c r="E116" s="371"/>
      <c r="F116" s="371"/>
    </row>
    <row r="118" spans="1:6">
      <c r="B118" s="47" t="s">
        <v>518</v>
      </c>
      <c r="C118" s="223">
        <f>IF(valuation_method="DCF",DCF!C12,DDM!C7)</f>
        <v>3.1778120217051766</v>
      </c>
      <c r="D118" s="1" t="str">
        <f>Market_currency</f>
        <v>HKD</v>
      </c>
    </row>
    <row r="119" spans="1:6">
      <c r="B119" s="296" t="s">
        <v>551</v>
      </c>
      <c r="C119" s="223">
        <f>BS!D47</f>
        <v>1.8486686108860511</v>
      </c>
      <c r="D119" s="1" t="str">
        <f>Market_currency</f>
        <v>HKD</v>
      </c>
    </row>
    <row r="121" spans="1:6" ht="13.9">
      <c r="A121" s="222" t="s">
        <v>519</v>
      </c>
      <c r="B121" s="36"/>
      <c r="C121" s="36"/>
      <c r="D121" s="36"/>
      <c r="E121" s="36"/>
      <c r="F121" s="36"/>
    </row>
    <row r="123" spans="1:6">
      <c r="B123" s="367" t="s">
        <v>520</v>
      </c>
      <c r="C123" s="367"/>
      <c r="D123" s="367"/>
      <c r="E123" s="367"/>
      <c r="F123" s="367"/>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3.2890343302589979</v>
      </c>
      <c r="D132" s="212" t="str">
        <f>Market_currency</f>
        <v>HKD</v>
      </c>
    </row>
    <row r="134" spans="1:6">
      <c r="B134" s="369" t="s">
        <v>525</v>
      </c>
      <c r="C134" s="369"/>
      <c r="D134" s="369"/>
      <c r="E134" s="369"/>
      <c r="F134" s="369"/>
    </row>
    <row r="136" spans="1:6" ht="13.9">
      <c r="A136" s="222" t="s">
        <v>526</v>
      </c>
      <c r="B136" s="36"/>
      <c r="C136" s="36"/>
      <c r="D136" s="36"/>
      <c r="E136" s="36"/>
      <c r="F136" s="36"/>
    </row>
    <row r="138" spans="1:6">
      <c r="B138" s="370" t="s">
        <v>527</v>
      </c>
      <c r="C138" s="370"/>
      <c r="D138" s="370"/>
      <c r="E138" s="370"/>
      <c r="F138" s="370"/>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1.3368020445090676</v>
      </c>
    </row>
    <row r="149" spans="2:4">
      <c r="B149" s="80" t="s">
        <v>256</v>
      </c>
      <c r="C149" s="215">
        <f>Scenarios!C83</f>
        <v>1.4894312168913264</v>
      </c>
      <c r="D149" s="300" t="str">
        <f>IF($D$11="","",C149*$E$25)</f>
        <v/>
      </c>
    </row>
    <row r="150" spans="2:4">
      <c r="B150" s="259" t="s">
        <v>533</v>
      </c>
      <c r="C150" s="298" t="str">
        <f>Market_currency</f>
        <v>HKD</v>
      </c>
      <c r="D150" s="298" t="str">
        <f>IF($D$11="","",D$13)</f>
        <v/>
      </c>
    </row>
    <row r="151" spans="2:4">
      <c r="B151" s="214" t="s">
        <v>534</v>
      </c>
      <c r="C151" s="92">
        <f>Scenarios!F83</f>
        <v>0.54715242611224435</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1.6839855770926069</v>
      </c>
    </row>
    <row r="157" spans="2:4">
      <c r="B157" s="80" t="s">
        <v>256</v>
      </c>
      <c r="C157" s="215">
        <f>Scenarios!C93</f>
        <v>1.8596655770926069</v>
      </c>
      <c r="D157" s="300" t="str">
        <f>IF($D$11="","",C157*$E$25)</f>
        <v/>
      </c>
    </row>
    <row r="158" spans="2:4">
      <c r="B158" s="259" t="s">
        <v>533</v>
      </c>
      <c r="C158" s="298" t="str">
        <f>Market_currency</f>
        <v>HKD</v>
      </c>
      <c r="D158" s="298" t="str">
        <f>IF($D$11="","",D$13)</f>
        <v/>
      </c>
    </row>
    <row r="159" spans="2:4">
      <c r="B159" s="214" t="s">
        <v>534</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2.6475429476219188</v>
      </c>
    </row>
    <row r="165" spans="2:4">
      <c r="B165" s="80" t="s">
        <v>382</v>
      </c>
      <c r="C165" s="215">
        <f>Scenarios!C99</f>
        <v>2.881590264210395</v>
      </c>
      <c r="D165" s="300" t="str">
        <f>IF($D$11="","",C165*$E$25)</f>
        <v/>
      </c>
    </row>
    <row r="166" spans="2:4">
      <c r="B166" s="259" t="s">
        <v>533</v>
      </c>
      <c r="C166" s="298" t="str">
        <f>Market_currency</f>
        <v>HKD</v>
      </c>
      <c r="D166" s="298" t="str">
        <f>IF($D$11="","",D$13)</f>
        <v/>
      </c>
    </row>
    <row r="167" spans="2:4">
      <c r="B167" s="214" t="s">
        <v>534</v>
      </c>
      <c r="C167" s="92">
        <f>Scenarios!F99</f>
        <v>0.12387954187651129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2.3574495391956174</v>
      </c>
    </row>
    <row r="173" spans="2:4">
      <c r="B173" s="80" t="s">
        <v>382</v>
      </c>
      <c r="C173" s="215">
        <f>Scenarios!C105</f>
        <v>2.5745838205300959</v>
      </c>
      <c r="D173" s="300" t="str">
        <f>IF($D$11="","",C173*$E$25)</f>
        <v/>
      </c>
    </row>
    <row r="174" spans="2:4">
      <c r="B174" s="259" t="s">
        <v>533</v>
      </c>
      <c r="C174" s="298" t="str">
        <f>Market_currency</f>
        <v>HKD</v>
      </c>
      <c r="D174" s="298" t="str">
        <f>IF($D$11="","",D$13)</f>
        <v/>
      </c>
    </row>
    <row r="175" spans="2:4">
      <c r="B175" s="214" t="s">
        <v>534</v>
      </c>
      <c r="C175" s="92">
        <f>Scenarios!F105</f>
        <v>0.21782685785071887</v>
      </c>
    </row>
    <row r="177" spans="1:6" ht="13.9">
      <c r="A177" s="222" t="s">
        <v>357</v>
      </c>
      <c r="B177" s="36"/>
      <c r="C177" s="36"/>
      <c r="D177" s="36"/>
      <c r="E177" s="36"/>
      <c r="F177" s="36"/>
    </row>
    <row r="179" spans="1:6">
      <c r="B179" s="372"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67" t="s">
        <v>542</v>
      </c>
      <c r="C188" s="367"/>
      <c r="D188" s="367"/>
      <c r="E188" s="367"/>
      <c r="F188" s="367"/>
    </row>
    <row r="190" spans="1:6">
      <c r="B190" s="1" t="s">
        <v>543</v>
      </c>
    </row>
    <row r="191" spans="1:6">
      <c r="B191" s="368" t="s">
        <v>544</v>
      </c>
      <c r="C191" s="368"/>
      <c r="D191" s="368"/>
      <c r="E191" s="368"/>
      <c r="F191" s="368"/>
    </row>
    <row r="192" spans="1:6">
      <c r="B192" s="368" t="s">
        <v>545</v>
      </c>
      <c r="C192" s="368"/>
      <c r="D192" s="368"/>
      <c r="E192" s="368"/>
      <c r="F192" s="368"/>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2.08</v>
      </c>
      <c r="D12" s="50"/>
      <c r="E12" s="48"/>
    </row>
    <row r="13" spans="1:10">
      <c r="B13" s="1" t="s">
        <v>465</v>
      </c>
      <c r="C13" s="48" t="s">
        <v>377</v>
      </c>
      <c r="D13" s="48"/>
      <c r="E13" s="5"/>
    </row>
    <row r="14" spans="1:10">
      <c r="B14" s="4" t="s">
        <v>466</v>
      </c>
      <c r="C14" s="35">
        <f>Thesis!C12*Common_Shares/1000000</f>
        <v>9588.7999999999993</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1.0942760600000001</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3.2890343302589979</v>
      </c>
      <c r="D26" s="1" t="s">
        <v>380</v>
      </c>
      <c r="E26" s="301">
        <f ca="1">Scenarios!C87</f>
        <v>0.20257445758646853</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1.4894312168913264</v>
      </c>
      <c r="D29" s="310" t="str">
        <f>D149</f>
        <v/>
      </c>
      <c r="E29" s="306" t="s">
        <v>401</v>
      </c>
      <c r="F29" s="302">
        <v>0.35</v>
      </c>
    </row>
    <row r="30" spans="2:6">
      <c r="B30" s="1" t="s">
        <v>403</v>
      </c>
      <c r="C30" s="311">
        <f>C157</f>
        <v>1.8596655770926069</v>
      </c>
      <c r="D30" s="311" t="str">
        <f>D157</f>
        <v/>
      </c>
      <c r="E30" s="307" t="s">
        <v>414</v>
      </c>
      <c r="F30" s="312">
        <v>0.25</v>
      </c>
    </row>
    <row r="31" spans="2:6">
      <c r="B31" s="1" t="s">
        <v>404</v>
      </c>
      <c r="C31" s="311">
        <f>C165</f>
        <v>2.881590264210395</v>
      </c>
      <c r="D31" s="311" t="str">
        <f>D165</f>
        <v/>
      </c>
      <c r="E31" s="307" t="s">
        <v>413</v>
      </c>
      <c r="F31" s="312">
        <v>7.4999999999999997E-2</v>
      </c>
    </row>
    <row r="32" spans="2:6">
      <c r="B32" s="1" t="s">
        <v>405</v>
      </c>
      <c r="C32" s="311">
        <f>C173</f>
        <v>2.5745838205300959</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928439.85014218651</v>
      </c>
      <c r="D41" s="1" t="str">
        <f>Reporting_currency</f>
        <v>CNY</v>
      </c>
    </row>
    <row r="42" spans="1:6">
      <c r="B42" s="47"/>
      <c r="C42" s="76"/>
    </row>
    <row r="43" spans="1:6" ht="24.6" customHeight="1">
      <c r="B43" s="367" t="s">
        <v>229</v>
      </c>
      <c r="C43" s="367"/>
      <c r="D43" s="367"/>
      <c r="E43" s="367"/>
      <c r="F43" s="367"/>
    </row>
    <row r="44" spans="1:6">
      <c r="B44" s="47" t="s">
        <v>230</v>
      </c>
      <c r="C44" s="349">
        <f>Normalized_FCF!C9</f>
        <v>0</v>
      </c>
      <c r="D44" s="1" t="str">
        <f>Reporting_currency</f>
        <v>CNY</v>
      </c>
    </row>
    <row r="45" spans="1:6">
      <c r="B45" s="52" t="s">
        <v>231</v>
      </c>
      <c r="C45" s="349">
        <f>Normalized_FCF!C10</f>
        <v>0</v>
      </c>
      <c r="D45" s="1" t="str">
        <f>Reporting_currency</f>
        <v>CNY</v>
      </c>
    </row>
    <row r="47" spans="1:6">
      <c r="B47" s="367" t="s">
        <v>232</v>
      </c>
      <c r="C47" s="367"/>
      <c r="D47" s="367"/>
      <c r="E47" s="367"/>
      <c r="F47" s="367"/>
    </row>
    <row r="48" spans="1:6">
      <c r="B48" s="47" t="s">
        <v>233</v>
      </c>
      <c r="C48" s="349">
        <f>Normalized_FCF!C11</f>
        <v>0</v>
      </c>
      <c r="D48" s="1" t="str">
        <f>Reporting_currency</f>
        <v>CNY</v>
      </c>
    </row>
    <row r="50" spans="2:6">
      <c r="B50" s="367" t="s">
        <v>236</v>
      </c>
      <c r="C50" s="367"/>
      <c r="D50" s="367"/>
      <c r="E50" s="367"/>
      <c r="F50" s="367"/>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67" t="s">
        <v>237</v>
      </c>
      <c r="C58" s="367"/>
      <c r="D58" s="367"/>
      <c r="E58" s="367"/>
      <c r="F58" s="367"/>
    </row>
    <row r="59" spans="2:6">
      <c r="B59" s="47" t="s">
        <v>235</v>
      </c>
      <c r="C59" s="349">
        <f>Normalized_FCF!C14</f>
        <v>-233268.98647286888</v>
      </c>
      <c r="D59" s="1" t="str">
        <f>Reporting_currency</f>
        <v>CNY</v>
      </c>
    </row>
    <row r="61" spans="2:6">
      <c r="B61" s="367"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6.4952890843471014E-2</v>
      </c>
      <c r="F69" s="314"/>
    </row>
    <row r="70" spans="1:6">
      <c r="B70" s="227" t="s">
        <v>435</v>
      </c>
      <c r="C70" s="92">
        <f>Normalized_FCF!C94</f>
        <v>4.3269230769230775E-2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1" t="s">
        <v>472</v>
      </c>
      <c r="C80" s="371"/>
      <c r="D80" s="371"/>
      <c r="E80" s="371"/>
      <c r="F80" s="371"/>
    </row>
    <row r="81" spans="1:6">
      <c r="B81" s="374" t="s">
        <v>248</v>
      </c>
      <c r="C81" s="374"/>
      <c r="D81" s="374"/>
      <c r="E81" s="374"/>
      <c r="F81" s="374"/>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1.8013601727255961</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2119124</v>
      </c>
      <c r="D102" s="1" t="str">
        <f>Reporting_currency</f>
        <v>CNY</v>
      </c>
    </row>
    <row r="103" spans="2:6">
      <c r="B103" s="47" t="s">
        <v>276</v>
      </c>
      <c r="C103" s="223">
        <f>C102*scaling_factor*Exchange_Rate/Common_Shares</f>
        <v>0.50301662936473757</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1.8669876545863182</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1.2480823757999134E-2</v>
      </c>
      <c r="D114" s="1" t="str">
        <f>Market_currency</f>
        <v>HKD</v>
      </c>
    </row>
    <row r="116" spans="1:6" ht="24.6" customHeight="1">
      <c r="B116" s="371" t="s">
        <v>352</v>
      </c>
      <c r="C116" s="371"/>
      <c r="D116" s="371"/>
      <c r="E116" s="371"/>
      <c r="F116" s="371"/>
    </row>
    <row r="118" spans="1:6">
      <c r="B118" s="47" t="s">
        <v>426</v>
      </c>
      <c r="C118" s="223">
        <f>IF(valuation_method="DCF",DCF!C12,DDM!C7)</f>
        <v>3.1778120217051766</v>
      </c>
      <c r="D118" s="1" t="str">
        <f>Market_currency</f>
        <v>HKD</v>
      </c>
    </row>
    <row r="119" spans="1:6">
      <c r="B119" s="296" t="s">
        <v>550</v>
      </c>
      <c r="C119" s="223">
        <f>BS!D47</f>
        <v>1.8486686108860511</v>
      </c>
      <c r="D119" s="1" t="str">
        <f>Market_currency</f>
        <v>HKD</v>
      </c>
    </row>
    <row r="121" spans="1:6" ht="13.9">
      <c r="A121" s="222" t="s">
        <v>473</v>
      </c>
      <c r="B121" s="36"/>
      <c r="C121" s="36"/>
      <c r="D121" s="36"/>
      <c r="E121" s="36"/>
      <c r="F121" s="36"/>
    </row>
    <row r="123" spans="1:6">
      <c r="B123" s="367" t="s">
        <v>474</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254</v>
      </c>
      <c r="C132" s="217">
        <f>Scenarios!C60</f>
        <v>3.2890343302589979</v>
      </c>
      <c r="D132" s="212" t="str">
        <f>Market_currency</f>
        <v>HKD</v>
      </c>
    </row>
    <row r="134" spans="1:6" ht="24.6" customHeight="1">
      <c r="B134" s="369" t="s">
        <v>475</v>
      </c>
      <c r="C134" s="369"/>
      <c r="D134" s="369"/>
      <c r="E134" s="369"/>
      <c r="F134" s="369"/>
    </row>
    <row r="136" spans="1:6" ht="13.9">
      <c r="A136" s="222" t="s">
        <v>476</v>
      </c>
      <c r="B136" s="36"/>
      <c r="C136" s="36"/>
      <c r="D136" s="36"/>
      <c r="E136" s="36"/>
      <c r="F136" s="36"/>
    </row>
    <row r="138" spans="1:6">
      <c r="B138" s="370" t="s">
        <v>353</v>
      </c>
      <c r="C138" s="370"/>
      <c r="D138" s="370"/>
      <c r="E138" s="370"/>
      <c r="F138" s="370"/>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1.3368020445090676</v>
      </c>
    </row>
    <row r="149" spans="2:4">
      <c r="B149" s="80" t="s">
        <v>256</v>
      </c>
      <c r="C149" s="215">
        <f>Scenarios!C83</f>
        <v>1.4894312168913264</v>
      </c>
      <c r="D149" s="300" t="str">
        <f>IF($D$11="","",C149*$E$25)</f>
        <v/>
      </c>
    </row>
    <row r="150" spans="2:4">
      <c r="B150" s="259" t="s">
        <v>396</v>
      </c>
      <c r="C150" s="298" t="str">
        <f>Market_currency</f>
        <v>HKD</v>
      </c>
      <c r="D150" s="298" t="str">
        <f>IF($D$11="","",D$13)</f>
        <v/>
      </c>
    </row>
    <row r="151" spans="2:4">
      <c r="B151" s="214" t="s">
        <v>258</v>
      </c>
      <c r="C151" s="92">
        <f>Scenarios!F83</f>
        <v>0.54715242611224435</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1.6839855770926069</v>
      </c>
    </row>
    <row r="157" spans="2:4">
      <c r="B157" s="80" t="s">
        <v>256</v>
      </c>
      <c r="C157" s="215">
        <f>Scenarios!C93</f>
        <v>1.8596655770926069</v>
      </c>
      <c r="D157" s="300" t="str">
        <f>IF($D$11="","",C157*$E$25)</f>
        <v/>
      </c>
    </row>
    <row r="158" spans="2:4">
      <c r="B158" s="259" t="s">
        <v>396</v>
      </c>
      <c r="C158" s="298" t="str">
        <f>Market_currency</f>
        <v>HKD</v>
      </c>
      <c r="D158" s="298" t="str">
        <f>IF($D$11="","",D$13)</f>
        <v/>
      </c>
    </row>
    <row r="159" spans="2:4">
      <c r="B159" s="214" t="s">
        <v>258</v>
      </c>
      <c r="C159" s="92">
        <f>Scenarios!F93</f>
        <v>0.4345861458532827</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2.6475429476219188</v>
      </c>
    </row>
    <row r="165" spans="2:4">
      <c r="B165" s="80" t="s">
        <v>382</v>
      </c>
      <c r="C165" s="215">
        <f>Scenarios!C99</f>
        <v>2.881590264210395</v>
      </c>
      <c r="D165" s="300" t="str">
        <f>IF($D$11="","",C165*$E$25)</f>
        <v/>
      </c>
    </row>
    <row r="166" spans="2:4">
      <c r="B166" s="259" t="s">
        <v>396</v>
      </c>
      <c r="C166" s="298" t="str">
        <f>Market_currency</f>
        <v>HKD</v>
      </c>
      <c r="D166" s="298" t="str">
        <f>IF($D$11="","",D$13)</f>
        <v/>
      </c>
    </row>
    <row r="167" spans="2:4">
      <c r="B167" s="214" t="s">
        <v>258</v>
      </c>
      <c r="C167" s="92">
        <f>Scenarios!F99</f>
        <v>0.12387954187651129</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2.3574495391956174</v>
      </c>
    </row>
    <row r="173" spans="2:4">
      <c r="B173" s="80" t="s">
        <v>382</v>
      </c>
      <c r="C173" s="215">
        <f>Scenarios!C105</f>
        <v>2.5745838205300959</v>
      </c>
      <c r="D173" s="300" t="str">
        <f>IF($D$11="","",C173*$E$25)</f>
        <v/>
      </c>
    </row>
    <row r="174" spans="2:4">
      <c r="B174" s="259" t="s">
        <v>396</v>
      </c>
      <c r="C174" s="298" t="str">
        <f>Market_currency</f>
        <v>HKD</v>
      </c>
      <c r="D174" s="298" t="str">
        <f>IF($D$11="","",D$13)</f>
        <v/>
      </c>
    </row>
    <row r="175" spans="2:4">
      <c r="B175" s="214" t="s">
        <v>258</v>
      </c>
      <c r="C175" s="92">
        <f>Scenarios!F105</f>
        <v>0.21782685785071887</v>
      </c>
    </row>
    <row r="177" spans="1:6" ht="13.9">
      <c r="A177" s="222" t="s">
        <v>357</v>
      </c>
      <c r="B177" s="36"/>
      <c r="C177" s="36"/>
      <c r="D177" s="36"/>
      <c r="E177" s="36"/>
      <c r="F177" s="36"/>
    </row>
    <row r="179" spans="1:6">
      <c r="B179" s="372"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479</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0.13218854804800001</v>
      </c>
      <c r="D25" s="39">
        <f>0.207*Exchange_Rate</f>
        <v>0.22651514442000001</v>
      </c>
      <c r="E25" s="39">
        <f>0.178*Exchange_Rate</f>
        <v>0.19478113868000002</v>
      </c>
      <c r="F25" s="39">
        <f>0.155*Exchange_Rate</f>
        <v>0.16961278930000001</v>
      </c>
      <c r="G25" s="39">
        <f>0.08*Exchange_Rate</f>
        <v>8.7542084800000017E-2</v>
      </c>
      <c r="H25" s="39">
        <f>0.076*Exchange_Rate</f>
        <v>8.3164980560000004E-2</v>
      </c>
      <c r="I25" s="39">
        <f>0.15*Exchange_Rate</f>
        <v>0.16414140900000002</v>
      </c>
      <c r="J25" s="39">
        <f>0.005*Exchange_Rate</f>
        <v>5.471380300000001E-3</v>
      </c>
      <c r="K25" s="39">
        <f>0.05*Exchange_Rate</f>
        <v>5.4713803000000005E-2</v>
      </c>
      <c r="L25" s="39">
        <f>0.08*Exchange_Rate</f>
        <v>8.7542084800000017E-2</v>
      </c>
      <c r="M25" s="39"/>
    </row>
    <row r="27" spans="2:13">
      <c r="B27" s="16" t="s">
        <v>26</v>
      </c>
      <c r="C27" s="97" t="s">
        <v>559</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0.13218854804800001</v>
      </c>
      <c r="D65" s="73">
        <f t="shared" ref="D65:M65" si="33">IF(D$4="","",D25)</f>
        <v>0.22651514442000001</v>
      </c>
      <c r="E65" s="73">
        <f t="shared" si="33"/>
        <v>0.19478113868000002</v>
      </c>
      <c r="F65" s="73">
        <f t="shared" si="33"/>
        <v>0.16961278930000001</v>
      </c>
      <c r="G65" s="73">
        <f t="shared" si="33"/>
        <v>8.7542084800000017E-2</v>
      </c>
      <c r="H65" s="73">
        <f t="shared" si="33"/>
        <v>8.3164980560000004E-2</v>
      </c>
      <c r="I65" s="73">
        <f t="shared" si="33"/>
        <v>0.16414140900000002</v>
      </c>
      <c r="J65" s="73">
        <f t="shared" si="33"/>
        <v>5.471380300000001E-3</v>
      </c>
      <c r="K65" s="73">
        <f t="shared" si="33"/>
        <v>5.4713803000000005E-2</v>
      </c>
      <c r="L65" s="73">
        <f t="shared" si="33"/>
        <v>8.7542084800000017E-2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4.369574149012716</v>
      </c>
      <c r="D47" s="147">
        <f>D46*H1/Common_Shares*Exchange_Rate</f>
        <v>1.8486686108860511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-965795.10054177337</v>
      </c>
      <c r="D73" s="349">
        <f>(Normalized_FCF!C25+Normalized_FCF!C35-Normalized_FCF!C91)/12</f>
        <v>-956584.92915481783</v>
      </c>
      <c r="F73" s="1" t="s">
        <v>342</v>
      </c>
    </row>
    <row r="74" spans="2:6" ht="15" customHeight="1">
      <c r="B74" s="257" t="s">
        <v>312</v>
      </c>
      <c r="C74" s="258">
        <f>-$C$66/C73</f>
        <v>12.105717862351387</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-2318906.6613714402</v>
      </c>
      <c r="D86" s="223">
        <f>C86*scaling_factor/Common_Shares</f>
        <v>-0.50301662936473757</v>
      </c>
      <c r="E86" s="240" t="str">
        <f>Market_currency</f>
        <v>HKD</v>
      </c>
    </row>
    <row r="87" spans="2:8" ht="15" customHeight="1">
      <c r="B87" s="238" t="s">
        <v>282</v>
      </c>
      <c r="C87" s="76">
        <f>DCF!C8*Exchange_Rate</f>
        <v>8606813.0876429267</v>
      </c>
      <c r="D87" s="223">
        <f>C87*scaling_factor/Common_Shares</f>
        <v>1.8669876545863182</v>
      </c>
      <c r="E87" s="240" t="str">
        <f>Market_currency</f>
        <v>HKD</v>
      </c>
    </row>
    <row r="88" spans="2:8" ht="15" customHeight="1">
      <c r="B88" s="239" t="s">
        <v>185</v>
      </c>
      <c r="C88" s="76">
        <f>DCF!C9*Exchange_Rate</f>
        <v>57536.597524376004</v>
      </c>
      <c r="D88" s="223">
        <f>C88*scaling_factor/Common_Shares</f>
        <v>1.2480823757999134E-2</v>
      </c>
      <c r="E88" s="240" t="str">
        <f>Market_currency</f>
        <v>HKD</v>
      </c>
    </row>
    <row r="89" spans="2:8" ht="15" customHeight="1">
      <c r="B89" s="80" t="s">
        <v>286</v>
      </c>
      <c r="C89" s="180">
        <f>SUM(C86:C88)</f>
        <v>6345443.0237958627</v>
      </c>
      <c r="D89" s="242">
        <f>SUM(D86:D88)</f>
        <v>1.3764518489795798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0.13218854804800001</v>
      </c>
      <c r="H90" s="112">
        <f>Data!D65</f>
        <v>0.22651514442000001</v>
      </c>
      <c r="I90" s="112">
        <f>Data!E65</f>
        <v>0.19478113868000002</v>
      </c>
      <c r="J90" s="112">
        <f>Data!F65</f>
        <v>0.16961278930000001</v>
      </c>
      <c r="K90" s="112">
        <f>Data!G65</f>
        <v>8.7542084800000017E-2</v>
      </c>
      <c r="L90" s="112">
        <f>Data!H65</f>
        <v>8.3164980560000004E-2</v>
      </c>
      <c r="M90" s="112">
        <f>Data!I65</f>
        <v>0.16414140900000002</v>
      </c>
      <c r="N90" s="112">
        <f>Data!J65</f>
        <v>5.471380300000001E-3</v>
      </c>
      <c r="O90" s="112">
        <f>Data!K65</f>
        <v>5.4713803000000005E-2</v>
      </c>
      <c r="P90" s="112">
        <f>Data!L65</f>
        <v>8.7542084800000017E-2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609389.20650128007</v>
      </c>
      <c r="H91" s="74">
        <f t="shared" si="37"/>
        <v>1044234.8157762</v>
      </c>
      <c r="I91" s="74">
        <f t="shared" si="37"/>
        <v>897941.04931480018</v>
      </c>
      <c r="J91" s="74">
        <f t="shared" si="37"/>
        <v>781914.9586730001</v>
      </c>
      <c r="K91" s="74">
        <f t="shared" si="37"/>
        <v>403569.01092800009</v>
      </c>
      <c r="L91" s="74">
        <f t="shared" si="37"/>
        <v>383390.56038160005</v>
      </c>
      <c r="M91" s="74">
        <f t="shared" si="37"/>
        <v>756691.89549000014</v>
      </c>
      <c r="N91" s="74">
        <f t="shared" si="37"/>
        <v>25223.063183000006</v>
      </c>
      <c r="O91" s="74">
        <f t="shared" si="37"/>
        <v>252230.63183000003</v>
      </c>
      <c r="P91" s="74">
        <f t="shared" si="37"/>
        <v>403569.01092800009</v>
      </c>
      <c r="Q91" s="74" t="str">
        <f t="shared" si="37"/>
        <v/>
      </c>
    </row>
    <row r="92" spans="1:17" ht="15.75" customHeight="1">
      <c r="A92" s="10"/>
      <c r="B92" s="2" t="s">
        <v>209</v>
      </c>
      <c r="C92" s="23">
        <f>C90/(C19*scaling_factor/Common_Shares)</f>
        <v>0.80996280963569622</v>
      </c>
      <c r="E92" s="268"/>
      <c r="G92" s="170">
        <f t="shared" ref="G92:Q92" si="38">IF(G$4="","",G90/(G19*scaling_factor/Common_Shares))</f>
        <v>0.96346359761810563</v>
      </c>
      <c r="H92" s="170">
        <f t="shared" si="38"/>
        <v>0.94173298849783982</v>
      </c>
      <c r="I92" s="170">
        <f t="shared" si="38"/>
        <v>0.66831964076589434</v>
      </c>
      <c r="J92" s="170">
        <f t="shared" si="38"/>
        <v>0.93022805677326115</v>
      </c>
      <c r="K92" s="170">
        <f t="shared" si="38"/>
        <v>0.92603541262451172</v>
      </c>
      <c r="L92" s="170">
        <f t="shared" si="38"/>
        <v>1.1350538982736926</v>
      </c>
      <c r="M92" s="170">
        <f t="shared" si="38"/>
        <v>0.59834616478694713</v>
      </c>
      <c r="N92" s="170">
        <f t="shared" si="38"/>
        <v>6.417184155652518E-2</v>
      </c>
      <c r="O92" s="170">
        <f t="shared" si="38"/>
        <v>-0.60855598138845868</v>
      </c>
      <c r="P92" s="170">
        <f t="shared" si="38"/>
        <v>0.66986299773098867</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4.3269230769230775E-2</v>
      </c>
      <c r="E94" s="268"/>
      <c r="G94" s="23">
        <f t="shared" ref="G94:Q94" si="39">IF(G$4="","",(G90*(1-dividend_tax_rate))/Market_Price)</f>
        <v>5.7196967905384623E-2</v>
      </c>
      <c r="H94" s="23">
        <f t="shared" si="39"/>
        <v>9.8011360566346156E-2</v>
      </c>
      <c r="I94" s="23">
        <f t="shared" si="39"/>
        <v>8.428030039038463E-2</v>
      </c>
      <c r="J94" s="23">
        <f t="shared" si="39"/>
        <v>7.3390149216346165E-2</v>
      </c>
      <c r="K94" s="23">
        <f t="shared" si="39"/>
        <v>3.7878786692307702E-2</v>
      </c>
      <c r="L94" s="23">
        <f t="shared" si="39"/>
        <v>3.5984847357692307E-2</v>
      </c>
      <c r="M94" s="23">
        <f t="shared" si="39"/>
        <v>7.102272504807694E-2</v>
      </c>
      <c r="N94" s="23">
        <f t="shared" si="39"/>
        <v>2.3674241682692314E-3</v>
      </c>
      <c r="O94" s="23">
        <f t="shared" si="39"/>
        <v>2.3674241682692308E-2</v>
      </c>
      <c r="P94" s="23">
        <f t="shared" si="39"/>
        <v>3.7878786692307702E-2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0.1351020129544197</v>
      </c>
      <c r="D125" s="27"/>
      <c r="E125" s="265"/>
      <c r="F125" s="27"/>
      <c r="G125" s="177">
        <f t="shared" ref="G125:Q125" si="49">IF(G$4="","",G16*$C$3/Common_Shares*Exchange_Rate)</f>
        <v>0.15013620015607723</v>
      </c>
      <c r="H125" s="177">
        <f t="shared" si="49"/>
        <v>0.26320634701522638</v>
      </c>
      <c r="I125" s="177">
        <f t="shared" si="49"/>
        <v>0.31892574151015612</v>
      </c>
      <c r="J125" s="177">
        <f t="shared" si="49"/>
        <v>0.19952442140331414</v>
      </c>
      <c r="K125" s="177">
        <f t="shared" si="49"/>
        <v>0.10344659214233839</v>
      </c>
      <c r="L125" s="177">
        <f t="shared" si="49"/>
        <v>8.0177203387067256E-2</v>
      </c>
      <c r="M125" s="177">
        <f t="shared" si="49"/>
        <v>0.30018745818705861</v>
      </c>
      <c r="N125" s="177">
        <f t="shared" si="49"/>
        <v>9.3299496044099803E-2</v>
      </c>
      <c r="O125" s="177">
        <f t="shared" si="49"/>
        <v>-9.8383725746733194E-2</v>
      </c>
      <c r="P125" s="177">
        <f t="shared" si="49"/>
        <v>0.14300716409715836</v>
      </c>
      <c r="Q125" s="177" t="str">
        <f t="shared" si="49"/>
        <v/>
      </c>
    </row>
    <row r="126" spans="1:17" ht="15.75" customHeight="1">
      <c r="A126" s="10"/>
      <c r="B126" s="27" t="s">
        <v>264</v>
      </c>
      <c r="C126" s="77">
        <f>C19*Exchange_Rate*$C$3/(Market_Price*Common_Shares)</f>
        <v>6.4952890843471014E-2</v>
      </c>
      <c r="D126" s="27"/>
      <c r="E126" s="265"/>
      <c r="F126" s="27"/>
      <c r="G126" s="77">
        <f t="shared" ref="G126" si="50">IF(G$4="","",G125/Market_Price)</f>
        <v>7.2180865459652507E-2</v>
      </c>
      <c r="H126" s="77">
        <f t="shared" ref="H126" si="51">IF(H$4="","",H125/Market_Price)</f>
        <v>0.12654151298808961</v>
      </c>
      <c r="I126" s="77">
        <f t="shared" ref="I126" si="52">IF(I$4="","",I125/Market_Price)</f>
        <v>0.1533296834183443</v>
      </c>
      <c r="J126" s="77">
        <f t="shared" ref="J126" si="53">IF(J$4="","",J125/Market_Price)</f>
        <v>9.5925202597747172E-2</v>
      </c>
      <c r="K126" s="77">
        <f t="shared" ref="K126" si="54">IF(K$4="","",K125/Market_Price)</f>
        <v>4.9733938529970378E-2</v>
      </c>
      <c r="L126" s="77">
        <f t="shared" ref="L126" si="55">IF(L$4="","",L125/Market_Price)</f>
        <v>3.8546732397628486E-2</v>
      </c>
      <c r="M126" s="77">
        <f t="shared" ref="M126" si="56">IF(M$4="","",M125/Market_Price)</f>
        <v>0.14432089335916279</v>
      </c>
      <c r="N126" s="77">
        <f t="shared" ref="N126" si="57">IF(N$4="","",N125/Market_Price)</f>
        <v>4.4855526944278752E-2</v>
      </c>
      <c r="O126" s="77">
        <f t="shared" ref="O126" si="58">IF(O$4="","",O125/Market_Price)</f>
        <v>-4.729986814746788E-2</v>
      </c>
      <c r="P126" s="77">
        <f t="shared" ref="P126" si="59">IF(P$4="","",P125/Market_Price)</f>
        <v>6.875344427747998E-2</v>
      </c>
      <c r="Q126" s="77" t="str">
        <f t="shared" ref="Q126" si="60">IF(Q$4="","",Q125/Market_Price)</f>
        <v/>
      </c>
    </row>
    <row r="127" spans="1:17" ht="15.75" customHeight="1">
      <c r="B127" s="2" t="s">
        <v>375</v>
      </c>
      <c r="C127" s="169"/>
      <c r="G127" s="23">
        <f>IF(G$4="","",(Data!C47*$C$3)/(Market_Price*Common_Shares))</f>
        <v>0.12004932838311363</v>
      </c>
      <c r="H127" s="23">
        <f>IF(H$4="","",(Data!D47*$C$3)/(Market_Price*Common_Shares))</f>
        <v>0.24759073085266145</v>
      </c>
      <c r="I127" s="23">
        <f>IF(I$4="","",(Data!E47*$C$3)/(Market_Price*Common_Shares))</f>
        <v>0.18758676789587853</v>
      </c>
      <c r="J127" s="23">
        <f>IF(J$4="","",(Data!F47*$C$3)/(Market_Price*Common_Shares))</f>
        <v>0.17118252544635407</v>
      </c>
      <c r="K127" s="23">
        <f>IF(K$4="","",(Data!G47*$C$3)/(Market_Price*Common_Shares))</f>
        <v>8.1256987318538296E-2</v>
      </c>
      <c r="L127" s="23">
        <f>IF(L$4="","",(Data!H47*$C$3)/(Market_Price*Common_Shares))</f>
        <v>7.8736442516268976E-2</v>
      </c>
      <c r="M127" s="23">
        <f>IF(M$4="","",(Data!I47*$C$3)/(Market_Price*Common_Shares))</f>
        <v>0.15938282162522943</v>
      </c>
      <c r="N127" s="23">
        <f>IF(N$4="","",(Data!J47*$C$3)/(Market_Price*Common_Shares))</f>
        <v>1.121224762222593E-2</v>
      </c>
      <c r="O127" s="23">
        <f>IF(O$4="","",(Data!K47*$C$3)/(Market_Price*Common_Shares))</f>
        <v>-2.4681920574003004E-2</v>
      </c>
      <c r="P127" s="23">
        <f>IF(P$4="","",(Data!L47*$C$3)/(Market_Price*Common_Shares))</f>
        <v>8.7919343400634078E-2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5" t="s">
        <v>245</v>
      </c>
      <c r="F6" s="375"/>
      <c r="H6" s="120"/>
    </row>
    <row r="7" spans="2:8">
      <c r="B7" s="148" t="s">
        <v>220</v>
      </c>
      <c r="C7" s="338">
        <f>BS!G31</f>
        <v>2119124</v>
      </c>
      <c r="D7" t="str">
        <f>Reporting_currency</f>
        <v>CNY</v>
      </c>
      <c r="E7" s="375"/>
      <c r="F7" s="375"/>
      <c r="H7" s="120"/>
    </row>
    <row r="8" spans="2:8">
      <c r="B8" s="148" t="s">
        <v>221</v>
      </c>
      <c r="C8" s="338">
        <f>BS!D66</f>
        <v>7865303.2833807282</v>
      </c>
      <c r="D8" t="str">
        <f>Reporting_currency</f>
        <v>CNY</v>
      </c>
      <c r="E8" s="375"/>
      <c r="F8" s="375"/>
      <c r="H8" s="120"/>
    </row>
    <row r="9" spans="2:8">
      <c r="B9" s="205" t="s">
        <v>186</v>
      </c>
      <c r="C9" s="348">
        <f>BS!H42</f>
        <v>52579.6</v>
      </c>
      <c r="D9" t="str">
        <f>Reporting_currency</f>
        <v>CNY</v>
      </c>
      <c r="E9" s="375"/>
      <c r="F9" s="375"/>
      <c r="H9" s="120"/>
    </row>
    <row r="10" spans="2:8" ht="13.15">
      <c r="B10" s="149" t="s">
        <v>223</v>
      </c>
      <c r="C10" s="347">
        <f>C6-C7+C8+C9</f>
        <v>13387584.683211347</v>
      </c>
      <c r="D10" t="str">
        <f>Reporting_currency</f>
        <v>CNY</v>
      </c>
      <c r="H10" s="120"/>
    </row>
    <row r="11" spans="2:8" ht="13.15" thickBot="1">
      <c r="B11" s="207" t="s">
        <v>162</v>
      </c>
      <c r="C11" s="208">
        <f>Exchange_Rate</f>
        <v>1.0942760600000001</v>
      </c>
      <c r="D11" t="str">
        <f>Thesis!C15</f>
        <v>CNY/HKD</v>
      </c>
      <c r="H11" s="120"/>
    </row>
    <row r="12" spans="2:8" ht="13.5" thickTop="1">
      <c r="B12" s="149" t="s">
        <v>99</v>
      </c>
      <c r="C12" s="111">
        <f>(C10*scaling_factor)/Common_Shares*Exchange_Rate</f>
        <v>3.1778120217051766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3.2915778895904935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3.1778120217051766</v>
      </c>
      <c r="C65" s="124">
        <f>C12</f>
        <v>3.1778120217051766</v>
      </c>
      <c r="D65" s="124">
        <f>C12</f>
        <v>3.1778120217051766</v>
      </c>
      <c r="E65" s="141">
        <f>C12</f>
        <v>3.1778120217051766</v>
      </c>
      <c r="F65" s="124">
        <f>C12</f>
        <v>3.1778120217051766</v>
      </c>
      <c r="H65" s="120"/>
    </row>
    <row r="66" spans="1:8" ht="13.15">
      <c r="A66" s="143">
        <f t="shared" ref="A66:A71" si="3">A56</f>
        <v>5</v>
      </c>
      <c r="B66" s="124">
        <f t="shared" ref="B66:F71" si="4">(B56-$C$7+$C$8+$C$9)/Common_Shares*$C$3*Exchange_Rate</f>
        <v>3.1222831389544949</v>
      </c>
      <c r="C66" s="124">
        <f t="shared" si="4"/>
        <v>3.1778120217051757</v>
      </c>
      <c r="D66" s="124">
        <f t="shared" si="4"/>
        <v>3.2349340594345315</v>
      </c>
      <c r="E66" s="124">
        <f t="shared" si="4"/>
        <v>3.264114587630297</v>
      </c>
      <c r="F66" s="124">
        <f t="shared" si="4"/>
        <v>3.3237600314853983</v>
      </c>
      <c r="H66" s="120"/>
    </row>
    <row r="67" spans="1:8" ht="13.15">
      <c r="A67" s="143">
        <f t="shared" si="3"/>
        <v>10</v>
      </c>
      <c r="B67" s="124">
        <f t="shared" si="4"/>
        <v>3.0741542770958215</v>
      </c>
      <c r="C67" s="124">
        <f t="shared" si="4"/>
        <v>3.1778120217051757</v>
      </c>
      <c r="D67" s="124">
        <f t="shared" si="4"/>
        <v>3.2915778895904939</v>
      </c>
      <c r="E67" s="124">
        <f t="shared" si="4"/>
        <v>3.3526279566817254</v>
      </c>
      <c r="F67" s="124">
        <f t="shared" si="4"/>
        <v>3.4838897914613534</v>
      </c>
      <c r="H67" s="120"/>
    </row>
    <row r="68" spans="1:8" ht="13.15">
      <c r="A68" s="143">
        <f t="shared" si="3"/>
        <v>15</v>
      </c>
      <c r="B68" s="124">
        <f t="shared" si="4"/>
        <v>3.0188791287909953</v>
      </c>
      <c r="C68" s="124">
        <f t="shared" si="4"/>
        <v>3.1778120217051757</v>
      </c>
      <c r="D68" s="124">
        <f t="shared" si="4"/>
        <v>3.3632956119229442</v>
      </c>
      <c r="E68" s="124">
        <f t="shared" si="4"/>
        <v>3.4676111016722597</v>
      </c>
      <c r="F68" s="124">
        <f t="shared" si="4"/>
        <v>3.7031823466187781</v>
      </c>
      <c r="H68" s="120"/>
    </row>
    <row r="69" spans="1:8" ht="13.15">
      <c r="A69" s="144">
        <f t="shared" si="3"/>
        <v>20</v>
      </c>
      <c r="B69" s="124">
        <f t="shared" si="4"/>
        <v>2.9666818497156213</v>
      </c>
      <c r="C69" s="124">
        <f t="shared" si="4"/>
        <v>3.1778120217051757</v>
      </c>
      <c r="D69" s="124">
        <f t="shared" si="4"/>
        <v>3.4380625074961699</v>
      </c>
      <c r="E69" s="124">
        <f t="shared" si="4"/>
        <v>3.5907664078554595</v>
      </c>
      <c r="F69" s="124">
        <f t="shared" si="4"/>
        <v>3.9517252302078378</v>
      </c>
      <c r="H69" s="120"/>
    </row>
    <row r="70" spans="1:8" ht="13.15">
      <c r="A70" s="144">
        <f t="shared" si="3"/>
        <v>25</v>
      </c>
      <c r="B70" s="124">
        <f t="shared" si="4"/>
        <v>2.9217006136540515</v>
      </c>
      <c r="C70" s="124">
        <f t="shared" si="4"/>
        <v>3.1778120217051753</v>
      </c>
      <c r="D70" s="124">
        <f t="shared" si="4"/>
        <v>3.50922333600534</v>
      </c>
      <c r="E70" s="124">
        <f t="shared" si="4"/>
        <v>3.7113246154871766</v>
      </c>
      <c r="F70" s="124">
        <f t="shared" si="4"/>
        <v>4.2100101592470036</v>
      </c>
    </row>
    <row r="71" spans="1:8" ht="13.15">
      <c r="A71" s="144">
        <f t="shared" si="3"/>
        <v>30</v>
      </c>
      <c r="B71" s="124">
        <f t="shared" si="4"/>
        <v>2.8849393571833493</v>
      </c>
      <c r="C71" s="124">
        <f t="shared" si="4"/>
        <v>3.1778120217051753</v>
      </c>
      <c r="D71" s="124">
        <f t="shared" si="4"/>
        <v>3.5734656345207072</v>
      </c>
      <c r="E71" s="124">
        <f t="shared" si="4"/>
        <v>3.8233800105698523</v>
      </c>
      <c r="F71" s="124">
        <f t="shared" si="4"/>
        <v>4.4656286283903182</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3.7031823466187781</v>
      </c>
      <c r="F74" s="142">
        <f>Scenarios!C58</f>
        <v>0.05</v>
      </c>
    </row>
    <row r="75" spans="1:8">
      <c r="B75" s="127" t="str">
        <f>Scenarios!B36</f>
        <v>Optimistic</v>
      </c>
      <c r="C75" s="142">
        <f>Scenarios!C38</f>
        <v>0.03</v>
      </c>
      <c r="D75" s="145">
        <f>Scenarios!C37</f>
        <v>10</v>
      </c>
      <c r="E75" s="135">
        <f>INDEX(B$65:F$71, MATCH(D75, A$65:A$71, 0), MATCH(C75, B$64:F$64, 0))</f>
        <v>3.3526279566817254</v>
      </c>
      <c r="F75" s="142">
        <f>Scenarios!C40*(1-F$74-F$78)</f>
        <v>0.18</v>
      </c>
      <c r="H75" s="120"/>
    </row>
    <row r="76" spans="1:8">
      <c r="B76" s="127" t="str">
        <f>Scenarios!B24</f>
        <v>Base</v>
      </c>
      <c r="C76" s="142">
        <f>Scenarios!C26</f>
        <v>0.02</v>
      </c>
      <c r="D76" s="145">
        <f>Scenarios!C25</f>
        <v>10</v>
      </c>
      <c r="E76" s="135">
        <f>INDEX(B$65:F$71, MATCH(D76, A$65:A$71, 0), MATCH(C76, B$64:F$64, 0))</f>
        <v>3.2915778895904939</v>
      </c>
      <c r="F76" s="142">
        <f>Scenarios!C28*(1-F$74-F$78)</f>
        <v>0.53999999999999992</v>
      </c>
      <c r="H76" s="120"/>
    </row>
    <row r="77" spans="1:8">
      <c r="B77" s="127" t="str">
        <f>Scenarios!B30</f>
        <v>Pessimistic</v>
      </c>
      <c r="C77" s="142">
        <f>Scenarios!C32</f>
        <v>0</v>
      </c>
      <c r="D77" s="145">
        <f>Scenarios!C31</f>
        <v>10</v>
      </c>
      <c r="E77" s="135">
        <f>INDEX(B$65:F$71, MATCH(D77, A$65:A$71, 0), MATCH(C77, B$64:F$64, 0))</f>
        <v>3.1778120217051757</v>
      </c>
      <c r="F77" s="142">
        <f>Scenarios!C34*(1-F$74-F$78)</f>
        <v>0.18</v>
      </c>
      <c r="H77" s="120"/>
    </row>
    <row r="78" spans="1:8">
      <c r="B78" s="127" t="str">
        <f>Scenarios!B48</f>
        <v>Devil's advocate</v>
      </c>
      <c r="C78" s="142">
        <f>Scenarios!C50</f>
        <v>-0.02</v>
      </c>
      <c r="D78" s="145">
        <f>Scenarios!C49</f>
        <v>15</v>
      </c>
      <c r="E78" s="135">
        <f>INDEX(B$65:F$71, MATCH(D78, A$65:A$71, 0), MATCH(C78, B$64:F$64, 0))</f>
        <v>3.0188791287909953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5"/>
      <c r="F6" s="375"/>
      <c r="H6" s="120"/>
    </row>
    <row r="7" spans="2:8" ht="13.15">
      <c r="B7" s="149" t="s">
        <v>421</v>
      </c>
      <c r="C7" s="111">
        <f>(C6*scaling_factor)/Common_Shares*Exchange_Rate</f>
        <v>1.3131312720000001</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1.3131312720000001</v>
      </c>
      <c r="C60" s="124">
        <f>C7</f>
        <v>1.3131312720000001</v>
      </c>
      <c r="D60" s="124">
        <f>C7</f>
        <v>1.3131312720000001</v>
      </c>
      <c r="E60" s="141">
        <f>C7</f>
        <v>1.3131312720000001</v>
      </c>
      <c r="F60" s="124">
        <f>C7</f>
        <v>1.3131312720000001</v>
      </c>
      <c r="H60" s="120"/>
    </row>
    <row r="61" spans="1:8" ht="13.15">
      <c r="A61" s="143">
        <f t="shared" ref="A61:A66" si="3">A51</f>
        <v>5</v>
      </c>
      <c r="B61" s="124">
        <f t="shared" ref="B61:F66" si="4">B51/Common_Shares*$C$3*Exchange_Rate</f>
        <v>1.2726525751001949</v>
      </c>
      <c r="C61" s="124">
        <f t="shared" si="4"/>
        <v>1.3131312720000001</v>
      </c>
      <c r="D61" s="124">
        <f t="shared" si="4"/>
        <v>1.3547713255542462</v>
      </c>
      <c r="E61" s="124">
        <f t="shared" si="4"/>
        <v>1.3760429538979331</v>
      </c>
      <c r="F61" s="124">
        <f t="shared" si="4"/>
        <v>1.419522486056094</v>
      </c>
      <c r="H61" s="120"/>
    </row>
    <row r="62" spans="1:8" ht="13.15">
      <c r="A62" s="143">
        <f t="shared" si="3"/>
        <v>10</v>
      </c>
      <c r="B62" s="124">
        <f t="shared" si="4"/>
        <v>1.2375682457421375</v>
      </c>
      <c r="C62" s="124">
        <f t="shared" si="4"/>
        <v>1.3131312720000003</v>
      </c>
      <c r="D62" s="124">
        <f t="shared" si="4"/>
        <v>1.3960627817937321</v>
      </c>
      <c r="E62" s="124">
        <f t="shared" si="4"/>
        <v>1.4405662372764276</v>
      </c>
      <c r="F62" s="124">
        <f t="shared" si="4"/>
        <v>1.5362517213228672</v>
      </c>
      <c r="H62" s="120"/>
    </row>
    <row r="63" spans="1:8" ht="13.15">
      <c r="A63" s="143">
        <f t="shared" si="3"/>
        <v>15</v>
      </c>
      <c r="B63" s="124">
        <f t="shared" si="4"/>
        <v>1.1972745127605313</v>
      </c>
      <c r="C63" s="124">
        <f t="shared" si="4"/>
        <v>1.3131312720000001</v>
      </c>
      <c r="D63" s="124">
        <f t="shared" si="4"/>
        <v>1.44834260088669</v>
      </c>
      <c r="E63" s="124">
        <f t="shared" si="4"/>
        <v>1.5243851013359813</v>
      </c>
      <c r="F63" s="124">
        <f t="shared" si="4"/>
        <v>1.6961086540196151</v>
      </c>
      <c r="H63" s="120"/>
    </row>
    <row r="64" spans="1:8" ht="13.15">
      <c r="A64" s="144">
        <f t="shared" si="3"/>
        <v>20</v>
      </c>
      <c r="B64" s="124">
        <f t="shared" si="4"/>
        <v>1.1592244434268255</v>
      </c>
      <c r="C64" s="124">
        <f t="shared" si="4"/>
        <v>1.3131312720000003</v>
      </c>
      <c r="D64" s="124">
        <f t="shared" si="4"/>
        <v>1.5028451652122954</v>
      </c>
      <c r="E64" s="124">
        <f t="shared" si="4"/>
        <v>1.6141611973719014</v>
      </c>
      <c r="F64" s="124">
        <f t="shared" si="4"/>
        <v>1.8772880970956938</v>
      </c>
      <c r="H64" s="120"/>
    </row>
    <row r="65" spans="1:8" ht="13.15">
      <c r="A65" s="144">
        <f t="shared" si="3"/>
        <v>25</v>
      </c>
      <c r="B65" s="124">
        <f t="shared" si="4"/>
        <v>1.1264346279196416</v>
      </c>
      <c r="C65" s="124">
        <f t="shared" si="4"/>
        <v>1.3131312720000003</v>
      </c>
      <c r="D65" s="124">
        <f t="shared" si="4"/>
        <v>1.554719027348058</v>
      </c>
      <c r="E65" s="124">
        <f t="shared" si="4"/>
        <v>1.7020440954921272</v>
      </c>
      <c r="F65" s="124">
        <f t="shared" si="4"/>
        <v>2.0655691652257007</v>
      </c>
    </row>
    <row r="66" spans="1:8" ht="13.15">
      <c r="A66" s="144">
        <f t="shared" si="3"/>
        <v>30</v>
      </c>
      <c r="B66" s="124">
        <f t="shared" si="4"/>
        <v>1.0996369024005677</v>
      </c>
      <c r="C66" s="124">
        <f t="shared" si="4"/>
        <v>1.3131312720000003</v>
      </c>
      <c r="D66" s="124">
        <f t="shared" si="4"/>
        <v>1.6015495126907238</v>
      </c>
      <c r="E66" s="124">
        <f t="shared" si="4"/>
        <v>1.7837287278645295</v>
      </c>
      <c r="F66" s="124">
        <f t="shared" si="4"/>
        <v>2.2519064733415854</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1.6961086540196151</v>
      </c>
      <c r="F69" s="142">
        <f>Scenarios!C58</f>
        <v>0.05</v>
      </c>
    </row>
    <row r="70" spans="1:8">
      <c r="B70" s="127" t="str">
        <f>Scenarios!B36</f>
        <v>Optimistic</v>
      </c>
      <c r="C70" s="142">
        <f>Scenarios!C38</f>
        <v>0.03</v>
      </c>
      <c r="D70" s="145">
        <f>Scenarios!C37</f>
        <v>10</v>
      </c>
      <c r="E70" s="135">
        <f>INDEX(B$60:F$66, MATCH(D70, A$60:A$66, 0), MATCH(C70, B$59:F$59, 0))</f>
        <v>1.4405662372764276</v>
      </c>
      <c r="F70" s="142">
        <f>Scenarios!C40*(1-F$69-F$73)</f>
        <v>0.18</v>
      </c>
      <c r="H70" s="120"/>
    </row>
    <row r="71" spans="1:8">
      <c r="B71" s="127" t="str">
        <f>Scenarios!B24</f>
        <v>Base</v>
      </c>
      <c r="C71" s="142">
        <f>Scenarios!C26</f>
        <v>0.02</v>
      </c>
      <c r="D71" s="145">
        <f>Scenarios!C25</f>
        <v>10</v>
      </c>
      <c r="E71" s="135">
        <f>INDEX(B$60:F$66, MATCH(D71, A$60:A$66, 0), MATCH(C71, B$59:F$59, 0))</f>
        <v>1.3960627817937321</v>
      </c>
      <c r="F71" s="142">
        <f>Scenarios!C28*(1-F$69-F$73)</f>
        <v>0.53999999999999992</v>
      </c>
      <c r="H71" s="120"/>
    </row>
    <row r="72" spans="1:8">
      <c r="B72" s="127" t="str">
        <f>Scenarios!B30</f>
        <v>Pessimistic</v>
      </c>
      <c r="C72" s="142">
        <f>Scenarios!C32</f>
        <v>0</v>
      </c>
      <c r="D72" s="145">
        <f>Scenarios!C31</f>
        <v>10</v>
      </c>
      <c r="E72" s="135">
        <f>INDEX(B$60:F$66, MATCH(D72, A$60:A$66, 0), MATCH(C72, B$59:F$59, 0))</f>
        <v>1.3131312720000003</v>
      </c>
      <c r="F72" s="142">
        <f>Scenarios!C34*(1-F$69-F$73)</f>
        <v>0.18</v>
      </c>
      <c r="H72" s="120"/>
    </row>
    <row r="73" spans="1:8">
      <c r="B73" s="127" t="str">
        <f>Scenarios!B48</f>
        <v>Devil's advocate</v>
      </c>
      <c r="C73" s="142">
        <f>Scenarios!C50</f>
        <v>-0.02</v>
      </c>
      <c r="D73" s="145">
        <f>Scenarios!C49</f>
        <v>15</v>
      </c>
      <c r="E73" s="135">
        <f>INDEX(B$60:F$66, MATCH(D73, A$60:A$66, 0), MATCH(C73, B$59:F$59, 0))</f>
        <v>1.1972745127605313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-2.08</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3.3790343302589978</v>
      </c>
    </row>
    <row r="7" spans="2:9" ht="12.75" customHeight="1">
      <c r="B7" s="100" t="s">
        <v>270</v>
      </c>
      <c r="C7" s="338">
        <f>Normalized_FCF!G8</f>
        <v>966307</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77"/>
      <c r="H7" s="247">
        <v>4</v>
      </c>
      <c r="I7" s="124" t="str">
        <f t="shared" si="0"/>
        <v/>
      </c>
    </row>
    <row r="8" spans="2:9">
      <c r="B8" s="100" t="s">
        <v>64</v>
      </c>
      <c r="C8" s="338">
        <f>Normalized_FCF!G19</f>
        <v>632498.42340470827</v>
      </c>
      <c r="D8" t="str">
        <f>Reporting_currency</f>
        <v>CNY</v>
      </c>
      <c r="E8" s="377"/>
      <c r="F8" s="377"/>
      <c r="H8" s="247">
        <v>5</v>
      </c>
      <c r="I8" s="124" t="str">
        <f t="shared" si="0"/>
        <v/>
      </c>
    </row>
    <row r="9" spans="2:9">
      <c r="B9" s="100" t="s">
        <v>55</v>
      </c>
      <c r="C9" s="338">
        <f>Normalized_FCF!C19</f>
        <v>569161.93498729635</v>
      </c>
      <c r="D9" t="str">
        <f>Reporting_currency</f>
        <v>CNY</v>
      </c>
      <c r="E9" s="377"/>
      <c r="F9" s="377"/>
      <c r="H9" s="247">
        <v>6</v>
      </c>
      <c r="I9" s="124" t="str">
        <f t="shared" si="0"/>
        <v/>
      </c>
    </row>
    <row r="10" spans="2:9">
      <c r="E10" s="377"/>
      <c r="F10" s="377"/>
      <c r="H10" s="247">
        <v>7</v>
      </c>
      <c r="I10" s="124" t="str">
        <f t="shared" si="0"/>
        <v/>
      </c>
    </row>
    <row r="11" spans="2:9" ht="13.15">
      <c r="B11" s="159" t="s">
        <v>424</v>
      </c>
      <c r="E11" s="377"/>
      <c r="F11" s="377"/>
      <c r="H11" s="247">
        <v>8</v>
      </c>
      <c r="I11" s="124" t="str">
        <f t="shared" si="0"/>
        <v/>
      </c>
    </row>
    <row r="12" spans="2:9">
      <c r="B12" s="118" t="s">
        <v>140</v>
      </c>
      <c r="C12" s="158">
        <f ca="1">(Normalized_FCF!G4/OFFSET(Normalized_FCF!G4, 0, $C$4))^(1/$C$4) - 1</f>
        <v>-3.750240119526338E-2</v>
      </c>
      <c r="D12" s="158"/>
      <c r="E12" s="377"/>
      <c r="F12" s="377"/>
      <c r="H12" s="247">
        <v>9</v>
      </c>
      <c r="I12" s="124" t="str">
        <f t="shared" si="0"/>
        <v/>
      </c>
    </row>
    <row r="13" spans="2:9">
      <c r="B13" s="148" t="s">
        <v>148</v>
      </c>
      <c r="C13" s="158">
        <f ca="1">(Normalized_FCF!G8/OFFSET(Normalized_FCF!G8, 0, $C$4))^(1/$C$4) - 1</f>
        <v>-0.20361731775539216</v>
      </c>
      <c r="E13" s="377"/>
      <c r="F13" s="377"/>
      <c r="H13" s="247">
        <v>10</v>
      </c>
      <c r="I13" s="124" t="str">
        <f t="shared" si="0"/>
        <v/>
      </c>
    </row>
    <row r="14" spans="2:9">
      <c r="B14" s="100" t="s">
        <v>64</v>
      </c>
      <c r="C14" s="158">
        <f ca="1">(Normalized_FCF!G19/OFFSET(Normalized_FCF!G19, 0, $C$4))^(1/$C$4) - 1</f>
        <v>-9.0443280496378065E-2</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2.08</v>
      </c>
      <c r="D21" t="str">
        <f>Market_currency</f>
        <v>HKD</v>
      </c>
      <c r="E21" s="378"/>
      <c r="F21" s="378"/>
    </row>
    <row r="22" spans="2:6">
      <c r="B22" s="100" t="s">
        <v>273</v>
      </c>
      <c r="C22" s="160">
        <f>IF(valuation_method="DCF",DCF!C12,DDM!C7)</f>
        <v>3.1778120217051766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0.02</v>
      </c>
      <c r="D26" s="164"/>
      <c r="E26" s="376"/>
      <c r="F26" s="376"/>
    </row>
    <row r="27" spans="2:6">
      <c r="B27" s="100" t="s">
        <v>109</v>
      </c>
      <c r="C27" s="160">
        <f>IF(valuation_method="DCF",DCF!E76,DDM!E71)</f>
        <v>3.2915778895904939</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v>
      </c>
      <c r="D32" s="164"/>
      <c r="E32" s="376"/>
      <c r="F32" s="376"/>
    </row>
    <row r="33" spans="2:6">
      <c r="B33" s="100" t="s">
        <v>109</v>
      </c>
      <c r="C33" s="160">
        <f>IF(valuation_method="DCF",DCF!E77,DDM!E72)</f>
        <v>3.1778120217051757</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0.03</v>
      </c>
      <c r="D38" s="164"/>
      <c r="E38" s="376"/>
      <c r="F38" s="376"/>
    </row>
    <row r="39" spans="2:6">
      <c r="B39" s="100" t="s">
        <v>109</v>
      </c>
      <c r="C39" s="160">
        <f>IF(valuation_method="DCF",DCF!E75,DDM!E70)</f>
        <v>3.3526279566817254</v>
      </c>
      <c r="D39" t="str">
        <f>Market_currency</f>
        <v>HKD</v>
      </c>
      <c r="E39" s="376"/>
      <c r="F39" s="376"/>
    </row>
    <row r="40" spans="2:6">
      <c r="B40" s="100" t="s">
        <v>143</v>
      </c>
      <c r="C40" s="167">
        <f>1-C28-C34</f>
        <v>0.2</v>
      </c>
      <c r="D40" s="165"/>
      <c r="E40" s="376"/>
      <c r="F40" s="376"/>
    </row>
    <row r="42" spans="2:6" ht="13.15">
      <c r="B42" s="100" t="s">
        <v>116</v>
      </c>
      <c r="C42" s="154">
        <f>C27*C28+C33*C34+C39*C40</f>
        <v>3.2810347294316768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-0.02</v>
      </c>
      <c r="D50" s="164"/>
      <c r="E50" s="376"/>
      <c r="F50" s="376"/>
    </row>
    <row r="51" spans="2:6">
      <c r="B51" s="100" t="s">
        <v>109</v>
      </c>
      <c r="C51" s="160">
        <f>IF(valuation_method="DCF",DCF!E78,DDM!E73)</f>
        <v>3.0188791287909953</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0.05</v>
      </c>
      <c r="D56" s="164"/>
      <c r="E56" s="376"/>
      <c r="F56" s="376"/>
    </row>
    <row r="57" spans="2:6">
      <c r="B57" s="100" t="s">
        <v>109</v>
      </c>
      <c r="C57" s="160">
        <f>IF(valuation_method="DCF",DCF!E74,DDM!E69)</f>
        <v>3.7031823466187781</v>
      </c>
      <c r="D57" t="str">
        <f>Market_currency</f>
        <v>HKD</v>
      </c>
      <c r="E57" s="376"/>
      <c r="F57" s="376"/>
    </row>
    <row r="58" spans="2:6">
      <c r="B58" s="100" t="s">
        <v>143</v>
      </c>
      <c r="C58" s="165">
        <v>0.05</v>
      </c>
      <c r="D58" s="165"/>
      <c r="E58" s="376"/>
      <c r="F58" s="376"/>
    </row>
    <row r="60" spans="2:6" ht="13.15">
      <c r="B60" s="100" t="s">
        <v>116</v>
      </c>
      <c r="C60" s="154">
        <f>C51*C52+C57*C58+C42*(1-C52-C58)</f>
        <v>3.2890343302589979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3.2915778895904935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0.41849725809070226</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1.3368020445090676</v>
      </c>
      <c r="D82" s="116"/>
    </row>
    <row r="83" spans="2:8" ht="13.15">
      <c r="B83" s="110" t="s">
        <v>98</v>
      </c>
      <c r="C83" s="111">
        <f>C81+C82</f>
        <v>1.4894312168913264</v>
      </c>
      <c r="D83" t="str">
        <f>Market_currency</f>
        <v>HKD</v>
      </c>
      <c r="E83" s="146" t="s">
        <v>122</v>
      </c>
      <c r="F83" s="291">
        <f>(1-C83/C60)</f>
        <v>0.54715242611224435</v>
      </c>
    </row>
    <row r="84" spans="2:8">
      <c r="E84" s="120"/>
    </row>
    <row r="85" spans="2:8" ht="13.15">
      <c r="B85" s="109" t="s">
        <v>297</v>
      </c>
    </row>
    <row r="86" spans="2:8">
      <c r="B86" s="148" t="s">
        <v>295</v>
      </c>
      <c r="C86" s="116">
        <f>Market_Price</f>
        <v>2.08</v>
      </c>
      <c r="D86" t="str">
        <f>Market_currency</f>
        <v>HKD</v>
      </c>
    </row>
    <row r="87" spans="2:8" ht="13.15">
      <c r="B87" s="100" t="s">
        <v>293</v>
      </c>
      <c r="C87" s="237">
        <f ca="1">IRR(OFFSET($I$3, 0, 0, $C$76 + 1, 1))</f>
        <v>0.20257445758646853</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1.6839855770926069</v>
      </c>
      <c r="D92" s="116"/>
    </row>
    <row r="93" spans="2:8" ht="13.15">
      <c r="B93" s="110" t="s">
        <v>98</v>
      </c>
      <c r="C93" s="111">
        <f>C91+C92</f>
        <v>1.8596655770926069</v>
      </c>
      <c r="D93" t="str">
        <f>Market_currency</f>
        <v>HKD</v>
      </c>
      <c r="E93" s="146" t="s">
        <v>122</v>
      </c>
      <c r="F93" s="291">
        <f>(1-C93/C60)</f>
        <v>0.4345861458532827</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2.6475429476219188</v>
      </c>
      <c r="D98" s="116"/>
      <c r="G98" s="2"/>
      <c r="H98" s="281"/>
    </row>
    <row r="99" spans="2:8" ht="13.15">
      <c r="B99" s="110" t="s">
        <v>379</v>
      </c>
      <c r="C99" s="111">
        <f>C97+C98</f>
        <v>2.881590264210395</v>
      </c>
      <c r="D99" t="s">
        <v>377</v>
      </c>
      <c r="E99" s="146" t="s">
        <v>122</v>
      </c>
      <c r="F99" s="291">
        <f>(1-C99/C60)</f>
        <v>0.12387954187651129</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2.3574495391956174</v>
      </c>
      <c r="D104" s="116"/>
    </row>
    <row r="105" spans="2:8" ht="13.15">
      <c r="B105" s="110" t="s">
        <v>379</v>
      </c>
      <c r="C105" s="111">
        <f>C103+C104</f>
        <v>2.5745838205300959</v>
      </c>
      <c r="D105" t="s">
        <v>377</v>
      </c>
      <c r="E105" s="146" t="s">
        <v>122</v>
      </c>
      <c r="F105" s="291">
        <f>(1-C105/C66)</f>
        <v>0.21782685785071887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2B2DD-33C5-4878-B5DD-0A425E099228}">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437</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