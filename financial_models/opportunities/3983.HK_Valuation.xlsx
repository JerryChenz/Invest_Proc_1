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CD4521-5C5D-4238-85EB-90502DC186A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<sst xmlns="http://schemas.openxmlformats.org/spreadsheetml/2006/main" count="836" uniqueCount="560">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</sst>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2.16</v>
      </c>
      <c r="D12" s="50"/>
      <c r="E12" s="48"/>
    </row>
    <row r="13" spans="1:10">
      <c r="B13" s="1" t="s">
        <v>465</v>
      </c>
      <c r="C13" s="48" t="s">
        <v>377</v>
      </c>
      <c r="D13" s="48"/>
      <c r="E13" s="5"/>
    </row>
    <row r="14" spans="1:10">
      <c r="B14" s="4" t="s">
        <v>466</v>
      </c>
      <c r="C14" s="35">
        <f>Thesis!C12*Common_Shares/1000000</f>
        <v>9957.6</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1.0926782399999999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3.2842318082760391</v>
      </c>
      <c r="D26" s="1" t="s">
        <v>380</v>
      </c>
      <c r="E26" s="301">
        <f ca="1">Scenarios!C87</f>
        <v>0.18647692957119633</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1.4874792697357266</v>
      </c>
      <c r="D29" s="310" t="str">
        <f>D149</f>
        <v/>
      </c>
      <c r="E29" s="306" t="s">
        <v>401</v>
      </c>
      <c r="F29" s="302">
        <v>0.35</v>
      </c>
    </row>
    <row r="30" spans="2:6">
      <c r="B30" s="1" t="s">
        <v>403</v>
      </c>
      <c r="C30" s="311">
        <f>C157</f>
        <v>1.8572066858373322</v>
      </c>
      <c r="D30" s="311" t="str">
        <f>D157</f>
        <v/>
      </c>
      <c r="E30" s="307" t="s">
        <v>414</v>
      </c>
      <c r="F30" s="312">
        <v>0.25</v>
      </c>
    </row>
    <row r="31" spans="2:6">
      <c r="B31" s="1" t="s">
        <v>404</v>
      </c>
      <c r="C31" s="311">
        <f>C165</f>
        <v>2.87772442337991</v>
      </c>
      <c r="D31" s="311" t="str">
        <f>D165</f>
        <v/>
      </c>
      <c r="E31" s="307" t="s">
        <v>413</v>
      </c>
      <c r="F31" s="312">
        <v>7.4999999999999997E-2</v>
      </c>
    </row>
    <row r="32" spans="2:6">
      <c r="B32" s="1" t="s">
        <v>405</v>
      </c>
      <c r="C32" s="311">
        <f>C173</f>
        <v>2.5711415629861283</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6.245589915209622E-2</v>
      </c>
      <c r="F69" s="314"/>
    </row>
    <row r="70" spans="1:6">
      <c r="B70" s="227" t="s">
        <v>435</v>
      </c>
      <c r="C70" s="92">
        <f>Normalized_FCF!C94</f>
        <v>4.1666666666666671E-2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1.7987298955803712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0.50228214374441649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1.8642615507051352</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1.246259973707245E-2</v>
      </c>
      <c r="D114" s="1" t="str">
        <f>Market_currency</f>
        <v>HKD</v>
      </c>
    </row>
    <row r="116" spans="1:6" ht="24.6" customHeight="1">
      <c r="B116" s="370" t="s">
        <v>352</v>
      </c>
      <c r="C116" s="370"/>
      <c r="D116" s="370"/>
      <c r="E116" s="370"/>
      <c r="F116" s="370"/>
    </row>
    <row r="118" spans="1:6">
      <c r="B118" s="47" t="s">
        <v>426</v>
      </c>
      <c r="C118" s="223">
        <f>IF(valuation_method="DCF",DCF!C12,DDM!C7)</f>
        <v>3.1731719022781633</v>
      </c>
      <c r="D118" s="1" t="str">
        <f>Market_currency</f>
        <v>HKD</v>
      </c>
    </row>
    <row r="119" spans="1:6">
      <c r="B119" s="296" t="s">
        <v>550</v>
      </c>
      <c r="C119" s="223">
        <f>BS!D47</f>
        <v>1.8459692557709932</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3.2842318082760391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1.3348500973534678</v>
      </c>
    </row>
    <row r="149" spans="2:4">
      <c r="B149" s="80" t="s">
        <v>256</v>
      </c>
      <c r="C149" s="215">
        <f>Scenarios!C83</f>
        <v>1.4874792697357266</v>
      </c>
      <c r="D149" s="300" t="str">
        <f>IF($D$11="","",C149*$E$25)</f>
        <v/>
      </c>
    </row>
    <row r="150" spans="2:4">
      <c r="B150" s="259" t="s">
        <v>396</v>
      </c>
      <c r="C150" s="298" t="str">
        <f>Market_currency</f>
        <v>HKD</v>
      </c>
      <c r="D150" s="298" t="str">
        <f>IF($D$11="","",D$13)</f>
        <v/>
      </c>
    </row>
    <row r="151" spans="2:4">
      <c r="B151" s="214" t="s">
        <v>258</v>
      </c>
      <c r="C151" s="92">
        <f>Scenarios!F83</f>
        <v>0.54708456754258916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1.6815266858373321</v>
      </c>
    </row>
    <row r="157" spans="2:4">
      <c r="B157" s="80" t="s">
        <v>256</v>
      </c>
      <c r="C157" s="215">
        <f>Scenarios!C93</f>
        <v>1.8572066858373322</v>
      </c>
      <c r="D157" s="300" t="str">
        <f>IF($D$11="","",C157*$E$25)</f>
        <v/>
      </c>
    </row>
    <row r="158" spans="2:4">
      <c r="B158" s="259" t="s">
        <v>396</v>
      </c>
      <c r="C158" s="298" t="str">
        <f>Market_currency</f>
        <v>HKD</v>
      </c>
      <c r="D158" s="298" t="str">
        <f>IF($D$11="","",D$13)</f>
        <v/>
      </c>
    </row>
    <row r="159" spans="2:4">
      <c r="B159" s="214" t="s">
        <v>258</v>
      </c>
      <c r="C159" s="92">
        <f>Scenarios!F93</f>
        <v>0.43450803894009593</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2.6436771067914338</v>
      </c>
    </row>
    <row r="165" spans="2:4">
      <c r="B165" s="80" t="s">
        <v>382</v>
      </c>
      <c r="C165" s="215">
        <f>Scenarios!C99</f>
        <v>2.87772442337991</v>
      </c>
      <c r="D165" s="300" t="str">
        <f>IF($D$11="","",C165*$E$25)</f>
        <v/>
      </c>
    </row>
    <row r="166" spans="2:4">
      <c r="B166" s="259" t="s">
        <v>396</v>
      </c>
      <c r="C166" s="298" t="str">
        <f>Market_currency</f>
        <v>HKD</v>
      </c>
      <c r="D166" s="298" t="str">
        <f>IF($D$11="","",D$13)</f>
        <v/>
      </c>
    </row>
    <row r="167" spans="2:4">
      <c r="B167" s="214" t="s">
        <v>258</v>
      </c>
      <c r="C167" s="92">
        <f>Scenarios!F99</f>
        <v>0.12377548499218549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2.3540072816516497</v>
      </c>
    </row>
    <row r="173" spans="2:4">
      <c r="B173" s="80" t="s">
        <v>382</v>
      </c>
      <c r="C173" s="215">
        <f>Scenarios!C105</f>
        <v>2.5711415629861283</v>
      </c>
      <c r="D173" s="300" t="str">
        <f>IF($D$11="","",C173*$E$25)</f>
        <v/>
      </c>
    </row>
    <row r="174" spans="2:4">
      <c r="B174" s="259" t="s">
        <v>396</v>
      </c>
      <c r="C174" s="298" t="str">
        <f>Market_currency</f>
        <v>HKD</v>
      </c>
      <c r="D174" s="298" t="str">
        <f>IF($D$11="","",D$13)</f>
        <v/>
      </c>
    </row>
    <row r="175" spans="2:4">
      <c r="B175" s="214" t="s">
        <v>258</v>
      </c>
      <c r="C175" s="92">
        <f>Scenarios!F105</f>
        <v>0.21773039506097991</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0.13199553139199999</v>
      </c>
      <c r="D25" s="39">
        <f>0.207*Exchange_Rate</f>
        <v>0.22618439567999998</v>
      </c>
      <c r="E25" s="39">
        <f>0.178*Exchange_Rate</f>
        <v>0.19449672671999998</v>
      </c>
      <c r="F25" s="39">
        <f>0.155*Exchange_Rate</f>
        <v>0.16936512719999999</v>
      </c>
      <c r="G25" s="39">
        <f>0.08*Exchange_Rate</f>
        <v>8.7414259199999997E-2</v>
      </c>
      <c r="H25" s="39">
        <f>0.076*Exchange_Rate</f>
        <v>8.3043546239999988E-2</v>
      </c>
      <c r="I25" s="39">
        <f>0.15*Exchange_Rate</f>
        <v>0.16390173599999999</v>
      </c>
      <c r="J25" s="39">
        <f>0.005*Exchange_Rate</f>
        <v>5.4633911999999998E-3</v>
      </c>
      <c r="K25" s="39">
        <f>0.05*Exchange_Rate</f>
        <v>5.4633912E-2</v>
      </c>
      <c r="L25" s="39">
        <f>0.08*Exchange_Rate</f>
        <v>8.7414259199999997E-2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0.13199553139199999</v>
      </c>
      <c r="D65" s="73">
        <f t="shared" ref="D65:M65" si="33">IF(D$4="","",D25)</f>
        <v>0.22618439567999998</v>
      </c>
      <c r="E65" s="73">
        <f t="shared" si="33"/>
        <v>0.19449672671999998</v>
      </c>
      <c r="F65" s="73">
        <f t="shared" si="33"/>
        <v>0.16936512719999999</v>
      </c>
      <c r="G65" s="73">
        <f t="shared" si="33"/>
        <v>8.7414259199999997E-2</v>
      </c>
      <c r="H65" s="73">
        <f t="shared" si="33"/>
        <v>8.3043546239999988E-2</v>
      </c>
      <c r="I65" s="73">
        <f t="shared" si="33"/>
        <v>0.16390173599999999</v>
      </c>
      <c r="J65" s="73">
        <f t="shared" si="33"/>
        <v>5.4633911999999998E-3</v>
      </c>
      <c r="K65" s="73">
        <f t="shared" si="33"/>
        <v>5.4633912E-2</v>
      </c>
      <c r="L65" s="73">
        <f t="shared" si="33"/>
        <v>8.7414259199999997E-2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4.3631938641632271</v>
      </c>
      <c r="D47" s="147">
        <f>D46*H1/Common_Shares*Exchange_Rate</f>
        <v>1.8459692557709932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-965720.94997642667</v>
      </c>
      <c r="D73" s="349">
        <f>(Normalized_FCF!C25+Normalized_FCF!C35-Normalized_FCF!C91)/12</f>
        <v>-956584.92915481783</v>
      </c>
      <c r="F73" s="1" t="s">
        <v>342</v>
      </c>
    </row>
    <row r="74" spans="2:6" ht="15" customHeight="1">
      <c r="B74" s="257" t="s">
        <v>312</v>
      </c>
      <c r="C74" s="258">
        <f>-$C$66/C73</f>
        <v>12.106647370842886</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-2315520.6826617597</v>
      </c>
      <c r="D86" s="223">
        <f>C86*scaling_factor/Common_Shares</f>
        <v>-0.50228214374441649</v>
      </c>
      <c r="E86" s="240" t="str">
        <f>Market_currency</f>
        <v>HKD</v>
      </c>
    </row>
    <row r="87" spans="2:8" ht="15" customHeight="1">
      <c r="B87" s="238" t="s">
        <v>282</v>
      </c>
      <c r="C87" s="76">
        <f>DCF!C8*Exchange_Rate</f>
        <v>8594245.7487506755</v>
      </c>
      <c r="D87" s="223">
        <f>C87*scaling_factor/Common_Shares</f>
        <v>1.8642615507051357</v>
      </c>
      <c r="E87" s="240" t="str">
        <f>Market_currency</f>
        <v>HKD</v>
      </c>
    </row>
    <row r="88" spans="2:8" ht="15" customHeight="1">
      <c r="B88" s="239" t="s">
        <v>185</v>
      </c>
      <c r="C88" s="76">
        <f>DCF!C9*Exchange_Rate</f>
        <v>57452.584787903994</v>
      </c>
      <c r="D88" s="223">
        <f>C88*scaling_factor/Common_Shares</f>
        <v>1.246259973707245E-2</v>
      </c>
      <c r="E88" s="240" t="str">
        <f>Market_currency</f>
        <v>HKD</v>
      </c>
    </row>
    <row r="89" spans="2:8" ht="15" customHeight="1">
      <c r="B89" s="80" t="s">
        <v>286</v>
      </c>
      <c r="C89" s="180">
        <f>SUM(C86:C88)</f>
        <v>6336177.6508768201</v>
      </c>
      <c r="D89" s="242">
        <f>SUM(D86:D88)</f>
        <v>1.3744420066977916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0.13199553139199999</v>
      </c>
      <c r="H90" s="112">
        <f>Data!D65</f>
        <v>0.22618439567999998</v>
      </c>
      <c r="I90" s="112">
        <f>Data!E65</f>
        <v>0.19449672671999998</v>
      </c>
      <c r="J90" s="112">
        <f>Data!F65</f>
        <v>0.16936512719999999</v>
      </c>
      <c r="K90" s="112">
        <f>Data!G65</f>
        <v>8.7414259199999997E-2</v>
      </c>
      <c r="L90" s="112">
        <f>Data!H65</f>
        <v>8.3043546239999988E-2</v>
      </c>
      <c r="M90" s="112">
        <f>Data!I65</f>
        <v>0.16390173599999999</v>
      </c>
      <c r="N90" s="112">
        <f>Data!J65</f>
        <v>5.4633911999999998E-3</v>
      </c>
      <c r="O90" s="112">
        <f>Data!K65</f>
        <v>5.4633912E-2</v>
      </c>
      <c r="P90" s="112">
        <f>Data!L65</f>
        <v>8.7414259199999997E-2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608499.39971711999</v>
      </c>
      <c r="H91" s="74">
        <f t="shared" si="37"/>
        <v>1042710.0640847998</v>
      </c>
      <c r="I91" s="74">
        <f t="shared" si="37"/>
        <v>896629.91017919988</v>
      </c>
      <c r="J91" s="74">
        <f t="shared" si="37"/>
        <v>780773.23639199999</v>
      </c>
      <c r="K91" s="74">
        <f t="shared" si="37"/>
        <v>402979.73491200001</v>
      </c>
      <c r="L91" s="74">
        <f t="shared" si="37"/>
        <v>382830.74816639995</v>
      </c>
      <c r="M91" s="74">
        <f t="shared" si="37"/>
        <v>755587.00295999995</v>
      </c>
      <c r="N91" s="74">
        <f t="shared" si="37"/>
        <v>25186.233432000001</v>
      </c>
      <c r="O91" s="74">
        <f t="shared" si="37"/>
        <v>251862.33431999999</v>
      </c>
      <c r="P91" s="74">
        <f t="shared" si="37"/>
        <v>402979.73491200001</v>
      </c>
      <c r="Q91" s="74" t="str">
        <f t="shared" si="37"/>
        <v/>
      </c>
    </row>
    <row r="92" spans="1:17" ht="15.75" customHeight="1">
      <c r="A92" s="10"/>
      <c r="B92" s="2" t="s">
        <v>209</v>
      </c>
      <c r="C92" s="23">
        <f>C90/(C19*scaling_factor/Common_Shares)</f>
        <v>0.80996280963569622</v>
      </c>
      <c r="E92" s="268"/>
      <c r="G92" s="170">
        <f t="shared" ref="G92:Q92" si="38">IF(G$4="","",G90/(G19*scaling_factor/Common_Shares))</f>
        <v>0.96205678496650993</v>
      </c>
      <c r="H92" s="170">
        <f t="shared" si="38"/>
        <v>0.94035790604955738</v>
      </c>
      <c r="I92" s="170">
        <f t="shared" si="38"/>
        <v>0.66734378601822797</v>
      </c>
      <c r="J92" s="170">
        <f t="shared" si="38"/>
        <v>0.92886977338572774</v>
      </c>
      <c r="K92" s="170">
        <f t="shared" si="38"/>
        <v>0.92468325117541639</v>
      </c>
      <c r="L92" s="170">
        <f t="shared" si="38"/>
        <v>1.1333965360357399</v>
      </c>
      <c r="M92" s="170">
        <f t="shared" si="38"/>
        <v>0.5974724826294302</v>
      </c>
      <c r="N92" s="170">
        <f t="shared" si="38"/>
        <v>6.4078140290798988E-2</v>
      </c>
      <c r="O92" s="170">
        <f t="shared" si="38"/>
        <v>-0.60766739124770197</v>
      </c>
      <c r="P92" s="170">
        <f t="shared" si="38"/>
        <v>0.66888488943258118</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4.1666666666666671E-2</v>
      </c>
      <c r="E94" s="268"/>
      <c r="G94" s="23">
        <f t="shared" ref="G94:Q94" si="39">IF(G$4="","",(G90*(1-dividend_tax_rate))/Market_Price)</f>
        <v>5.4998138079999988E-2</v>
      </c>
      <c r="H94" s="23">
        <f t="shared" si="39"/>
        <v>9.4243498199999984E-2</v>
      </c>
      <c r="I94" s="23">
        <f t="shared" si="39"/>
        <v>8.1040302799999991E-2</v>
      </c>
      <c r="J94" s="23">
        <f t="shared" si="39"/>
        <v>7.0568802999999999E-2</v>
      </c>
      <c r="K94" s="23">
        <f t="shared" si="39"/>
        <v>3.6422607999999995E-2</v>
      </c>
      <c r="L94" s="23">
        <f t="shared" si="39"/>
        <v>3.46014776E-2</v>
      </c>
      <c r="M94" s="23">
        <f t="shared" si="39"/>
        <v>6.8292389999999994E-2</v>
      </c>
      <c r="N94" s="23">
        <f t="shared" si="39"/>
        <v>2.2764129999999997E-3</v>
      </c>
      <c r="O94" s="23">
        <f t="shared" si="39"/>
        <v>2.2764129999999997E-2</v>
      </c>
      <c r="P94" s="23">
        <f t="shared" si="39"/>
        <v>3.6422607999999995E-2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0.13490474216852785</v>
      </c>
      <c r="D125" s="27"/>
      <c r="E125" s="265"/>
      <c r="F125" s="27"/>
      <c r="G125" s="177">
        <f t="shared" ref="G125:Q125" si="49">IF(G$4="","",G16*$C$3/Common_Shares*Exchange_Rate)</f>
        <v>0.14991697702573348</v>
      </c>
      <c r="H125" s="177">
        <f t="shared" si="49"/>
        <v>0.2628220231862029</v>
      </c>
      <c r="I125" s="177">
        <f t="shared" si="49"/>
        <v>0.31846005835493862</v>
      </c>
      <c r="J125" s="177">
        <f t="shared" si="49"/>
        <v>0.19923308348351473</v>
      </c>
      <c r="K125" s="177">
        <f t="shared" si="49"/>
        <v>0.10329554338974402</v>
      </c>
      <c r="L125" s="177">
        <f t="shared" si="49"/>
        <v>8.0060131704885032E-2</v>
      </c>
      <c r="M125" s="177">
        <f t="shared" si="49"/>
        <v>0.29974913595560954</v>
      </c>
      <c r="N125" s="177">
        <f t="shared" si="49"/>
        <v>9.3163263692668113E-2</v>
      </c>
      <c r="O125" s="177">
        <f t="shared" si="49"/>
        <v>-9.8240069597778729E-2</v>
      </c>
      <c r="P125" s="177">
        <f t="shared" si="49"/>
        <v>0.14279835051227763</v>
      </c>
      <c r="Q125" s="177" t="str">
        <f t="shared" si="49"/>
        <v/>
      </c>
    </row>
    <row r="126" spans="1:17" ht="15.75" customHeight="1">
      <c r="A126" s="10"/>
      <c r="B126" s="27" t="s">
        <v>264</v>
      </c>
      <c r="C126" s="77">
        <f>C19*Exchange_Rate*$C$3/(Market_Price*Common_Shares)</f>
        <v>6.245589915209622E-2</v>
      </c>
      <c r="D126" s="27"/>
      <c r="E126" s="265"/>
      <c r="F126" s="27"/>
      <c r="G126" s="77">
        <f t="shared" ref="G126" si="50">IF(G$4="","",G125/Market_Price)</f>
        <v>6.9406007882284015E-2</v>
      </c>
      <c r="H126" s="77">
        <f t="shared" ref="H126" si="51">IF(H$4="","",H125/Market_Price)</f>
        <v>0.12167686258620504</v>
      </c>
      <c r="I126" s="77">
        <f t="shared" ref="I126" si="52">IF(I$4="","",I125/Market_Price)</f>
        <v>0.14743521220136047</v>
      </c>
      <c r="J126" s="77">
        <f t="shared" ref="J126" si="53">IF(J$4="","",J125/Market_Price)</f>
        <v>9.2237538649775339E-2</v>
      </c>
      <c r="K126" s="77">
        <f t="shared" ref="K126" si="54">IF(K$4="","",K125/Market_Price)</f>
        <v>4.7822010828585192E-2</v>
      </c>
      <c r="L126" s="77">
        <f t="shared" ref="L126" si="55">IF(L$4="","",L125/Market_Price)</f>
        <v>3.7064875789298624E-2</v>
      </c>
      <c r="M126" s="77">
        <f t="shared" ref="M126" si="56">IF(M$4="","",M125/Market_Price)</f>
        <v>0.13877274812759699</v>
      </c>
      <c r="N126" s="77">
        <f t="shared" ref="N126" si="57">IF(N$4="","",N125/Market_Price)</f>
        <v>4.3131140598457456E-2</v>
      </c>
      <c r="O126" s="77">
        <f t="shared" ref="O126" si="58">IF(O$4="","",O125/Market_Price)</f>
        <v>-4.5481513702675336E-2</v>
      </c>
      <c r="P126" s="77">
        <f t="shared" ref="P126" si="59">IF(P$4="","",P125/Market_Price)</f>
        <v>6.6110347459387792E-2</v>
      </c>
      <c r="Q126" s="77" t="str">
        <f t="shared" ref="Q126" si="60">IF(Q$4="","",Q125/Market_Price)</f>
        <v/>
      </c>
    </row>
    <row r="127" spans="1:17" ht="15.75" customHeight="1">
      <c r="B127" s="2" t="s">
        <v>375</v>
      </c>
      <c r="C127" s="169"/>
      <c r="G127" s="23">
        <f>IF(G$4="","",(Data!C47*$C$3)/(Market_Price*Common_Shares))</f>
        <v>0.11560305696151683</v>
      </c>
      <c r="H127" s="23">
        <f>IF(H$4="","",(Data!D47*$C$3)/(Market_Price*Common_Shares))</f>
        <v>0.23842070378404434</v>
      </c>
      <c r="I127" s="23">
        <f>IF(I$4="","",(Data!E47*$C$3)/(Market_Price*Common_Shares))</f>
        <v>0.18063910982566081</v>
      </c>
      <c r="J127" s="23">
        <f>IF(J$4="","",(Data!F47*$C$3)/(Market_Price*Common_Shares))</f>
        <v>0.16484243191130393</v>
      </c>
      <c r="K127" s="23">
        <f>IF(K$4="","",(Data!G47*$C$3)/(Market_Price*Common_Shares))</f>
        <v>7.8247469269703537E-2</v>
      </c>
      <c r="L127" s="23">
        <f>IF(L$4="","",(Data!H47*$C$3)/(Market_Price*Common_Shares))</f>
        <v>7.5820277978629391E-2</v>
      </c>
      <c r="M127" s="23">
        <f>IF(M$4="","",(Data!I47*$C$3)/(Market_Price*Common_Shares))</f>
        <v>0.15347975415762835</v>
      </c>
      <c r="N127" s="23">
        <f>IF(N$4="","",(Data!J47*$C$3)/(Market_Price*Common_Shares))</f>
        <v>1.0796979191773118E-2</v>
      </c>
      <c r="O127" s="23">
        <f>IF(O$4="","",(Data!K47*$C$3)/(Market_Price*Common_Shares))</f>
        <v>-2.3767775367558447E-2</v>
      </c>
      <c r="P127" s="23">
        <f>IF(P$4="","",(Data!L47*$C$3)/(Market_Price*Common_Shares))</f>
        <v>8.4663071422832817E-2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1.0926782399999999</v>
      </c>
      <c r="D11" t="str">
        <f>Thesis!C15</f>
        <v>CNY/HKD</v>
      </c>
      <c r="H11" s="120"/>
    </row>
    <row r="12" spans="2:8" ht="13.5" thickTop="1">
      <c r="B12" s="149" t="s">
        <v>99</v>
      </c>
      <c r="C12" s="111">
        <f>(C10*scaling_factor)/Common_Shares*Exchange_Rate</f>
        <v>3.1731719022781633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3.2867716535995992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3.1731719022781633</v>
      </c>
      <c r="C65" s="124">
        <f>C12</f>
        <v>3.1731719022781633</v>
      </c>
      <c r="D65" s="124">
        <f>C12</f>
        <v>3.1731719022781633</v>
      </c>
      <c r="E65" s="141">
        <f>C12</f>
        <v>3.1731719022781633</v>
      </c>
      <c r="F65" s="124">
        <f>C12</f>
        <v>3.1731719022781633</v>
      </c>
      <c r="H65" s="120"/>
    </row>
    <row r="66" spans="1:8" ht="13.15">
      <c r="A66" s="143">
        <f t="shared" ref="A66:A71" si="3">A56</f>
        <v>5</v>
      </c>
      <c r="B66" s="124">
        <f t="shared" ref="B66:F71" si="4">(B56-$C$7+$C$8+$C$9)/Common_Shares*$C$3*Exchange_Rate</f>
        <v>3.1177241006757219</v>
      </c>
      <c r="C66" s="124">
        <f t="shared" si="4"/>
        <v>3.1731719022781628</v>
      </c>
      <c r="D66" s="124">
        <f t="shared" si="4"/>
        <v>3.2302105325953843</v>
      </c>
      <c r="E66" s="124">
        <f t="shared" si="4"/>
        <v>3.2593484525012806</v>
      </c>
      <c r="F66" s="124">
        <f t="shared" si="4"/>
        <v>3.3189068043632508</v>
      </c>
      <c r="H66" s="120"/>
    </row>
    <row r="67" spans="1:8" ht="13.15">
      <c r="A67" s="143">
        <f t="shared" si="3"/>
        <v>10</v>
      </c>
      <c r="B67" s="124">
        <f t="shared" si="4"/>
        <v>3.0696655147381491</v>
      </c>
      <c r="C67" s="124">
        <f t="shared" si="4"/>
        <v>3.1731719022781628</v>
      </c>
      <c r="D67" s="124">
        <f t="shared" si="4"/>
        <v>3.2867716535995997</v>
      </c>
      <c r="E67" s="124">
        <f t="shared" si="4"/>
        <v>3.3477325777206377</v>
      </c>
      <c r="F67" s="124">
        <f t="shared" si="4"/>
        <v>3.4788027489954936</v>
      </c>
      <c r="H67" s="120"/>
    </row>
    <row r="68" spans="1:8" ht="13.15">
      <c r="A68" s="143">
        <f t="shared" si="3"/>
        <v>15</v>
      </c>
      <c r="B68" s="124">
        <f t="shared" si="4"/>
        <v>3.0144710770882419</v>
      </c>
      <c r="C68" s="124">
        <f t="shared" si="4"/>
        <v>3.1731719022781628</v>
      </c>
      <c r="D68" s="124">
        <f t="shared" si="4"/>
        <v>3.3583846564601672</v>
      </c>
      <c r="E68" s="124">
        <f t="shared" si="4"/>
        <v>3.4625478287258749</v>
      </c>
      <c r="F68" s="124">
        <f t="shared" si="4"/>
        <v>3.697775101561187</v>
      </c>
      <c r="H68" s="120"/>
    </row>
    <row r="69" spans="1:8" ht="13.15">
      <c r="A69" s="144">
        <f t="shared" si="3"/>
        <v>20</v>
      </c>
      <c r="B69" s="124">
        <f t="shared" si="4"/>
        <v>2.9623500144809976</v>
      </c>
      <c r="C69" s="124">
        <f t="shared" si="4"/>
        <v>3.1731719022781628</v>
      </c>
      <c r="D69" s="124">
        <f t="shared" si="4"/>
        <v>3.4330423802755048</v>
      </c>
      <c r="E69" s="124">
        <f t="shared" si="4"/>
        <v>3.585523308246938</v>
      </c>
      <c r="F69" s="124">
        <f t="shared" si="4"/>
        <v>3.9459550723490144</v>
      </c>
      <c r="H69" s="120"/>
    </row>
    <row r="70" spans="1:8" ht="13.15">
      <c r="A70" s="144">
        <f t="shared" si="3"/>
        <v>25</v>
      </c>
      <c r="B70" s="124">
        <f t="shared" si="4"/>
        <v>2.9174344582978708</v>
      </c>
      <c r="C70" s="124">
        <f t="shared" si="4"/>
        <v>3.1731719022781624</v>
      </c>
      <c r="D70" s="124">
        <f t="shared" si="4"/>
        <v>3.5040993024678277</v>
      </c>
      <c r="E70" s="124">
        <f t="shared" si="4"/>
        <v>3.7059054814003733</v>
      </c>
      <c r="F70" s="124">
        <f t="shared" si="4"/>
        <v>4.2038628636252309</v>
      </c>
    </row>
    <row r="71" spans="1:8" ht="13.15">
      <c r="A71" s="144">
        <f t="shared" si="3"/>
        <v>30</v>
      </c>
      <c r="B71" s="124">
        <f t="shared" si="4"/>
        <v>2.8807268792061782</v>
      </c>
      <c r="C71" s="124">
        <f t="shared" si="4"/>
        <v>3.1731719022781624</v>
      </c>
      <c r="D71" s="124">
        <f t="shared" si="4"/>
        <v>3.5682477968389157</v>
      </c>
      <c r="E71" s="124">
        <f t="shared" si="4"/>
        <v>3.8177972574860557</v>
      </c>
      <c r="F71" s="124">
        <f t="shared" si="4"/>
        <v>4.4591080884682297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3.697775101561187</v>
      </c>
      <c r="F74" s="142">
        <f>Scenarios!C58</f>
        <v>0.05</v>
      </c>
    </row>
    <row r="75" spans="1:8">
      <c r="B75" s="127" t="str">
        <f>Scenarios!B36</f>
        <v>Optimistic</v>
      </c>
      <c r="C75" s="142">
        <f>Scenarios!C38</f>
        <v>0.03</v>
      </c>
      <c r="D75" s="145">
        <f>Scenarios!C37</f>
        <v>10</v>
      </c>
      <c r="E75" s="135">
        <f>INDEX(B$65:F$71, MATCH(D75, A$65:A$71, 0), MATCH(C75, B$64:F$64, 0))</f>
        <v>3.3477325777206377</v>
      </c>
      <c r="F75" s="142">
        <f>Scenarios!C40*(1-F$74-F$78)</f>
        <v>0.18</v>
      </c>
      <c r="H75" s="120"/>
    </row>
    <row r="76" spans="1:8">
      <c r="B76" s="127" t="str">
        <f>Scenarios!B24</f>
        <v>Base</v>
      </c>
      <c r="C76" s="142">
        <f>Scenarios!C26</f>
        <v>0.02</v>
      </c>
      <c r="D76" s="145">
        <f>Scenarios!C25</f>
        <v>10</v>
      </c>
      <c r="E76" s="135">
        <f>INDEX(B$65:F$71, MATCH(D76, A$65:A$71, 0), MATCH(C76, B$64:F$64, 0))</f>
        <v>3.2867716535995997</v>
      </c>
      <c r="F76" s="142">
        <f>Scenarios!C28*(1-F$74-F$78)</f>
        <v>0.53999999999999992</v>
      </c>
      <c r="H76" s="120"/>
    </row>
    <row r="77" spans="1:8">
      <c r="B77" s="127" t="str">
        <f>Scenarios!B30</f>
        <v>Pessimistic</v>
      </c>
      <c r="C77" s="142">
        <f>Scenarios!C32</f>
        <v>0</v>
      </c>
      <c r="D77" s="145">
        <f>Scenarios!C31</f>
        <v>10</v>
      </c>
      <c r="E77" s="135">
        <f>INDEX(B$65:F$71, MATCH(D77, A$65:A$71, 0), MATCH(C77, B$64:F$64, 0))</f>
        <v>3.1731719022781628</v>
      </c>
      <c r="F77" s="142">
        <f>Scenarios!C34*(1-F$74-F$78)</f>
        <v>0.18</v>
      </c>
      <c r="H77" s="120"/>
    </row>
    <row r="78" spans="1:8">
      <c r="B78" s="127" t="str">
        <f>Scenarios!B48</f>
        <v>Devil's advocate</v>
      </c>
      <c r="C78" s="142">
        <f>Scenarios!C50</f>
        <v>-0.02</v>
      </c>
      <c r="D78" s="145">
        <f>Scenarios!C49</f>
        <v>15</v>
      </c>
      <c r="E78" s="135">
        <f>INDEX(B$65:F$71, MATCH(D78, A$65:A$71, 0), MATCH(C78, B$64:F$64, 0))</f>
        <v>3.0144710770882419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1.3112138879999999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1.3112138879999999</v>
      </c>
      <c r="C60" s="124">
        <f>C7</f>
        <v>1.3112138879999999</v>
      </c>
      <c r="D60" s="124">
        <f>C7</f>
        <v>1.3112138879999999</v>
      </c>
      <c r="E60" s="141">
        <f>C7</f>
        <v>1.3112138879999999</v>
      </c>
      <c r="F60" s="124">
        <f>C7</f>
        <v>1.3112138879999999</v>
      </c>
      <c r="H60" s="120"/>
    </row>
    <row r="61" spans="1:8" ht="13.15">
      <c r="A61" s="143">
        <f t="shared" ref="A61:A66" si="3">A51</f>
        <v>5</v>
      </c>
      <c r="B61" s="124">
        <f t="shared" ref="B61:F66" si="4">B51/Common_Shares*$C$3*Exchange_Rate</f>
        <v>1.2707942965433681</v>
      </c>
      <c r="C61" s="124">
        <f t="shared" si="4"/>
        <v>1.3112138879999999</v>
      </c>
      <c r="D61" s="124">
        <f t="shared" si="4"/>
        <v>1.3527931403425573</v>
      </c>
      <c r="E61" s="124">
        <f t="shared" si="4"/>
        <v>1.3740337086690853</v>
      </c>
      <c r="F61" s="124">
        <f t="shared" si="4"/>
        <v>1.4174497536793385</v>
      </c>
      <c r="H61" s="120"/>
    </row>
    <row r="62" spans="1:8" ht="13.15">
      <c r="A62" s="143">
        <f t="shared" si="3"/>
        <v>10</v>
      </c>
      <c r="B62" s="124">
        <f t="shared" si="4"/>
        <v>1.2357611959795649</v>
      </c>
      <c r="C62" s="124">
        <f t="shared" si="4"/>
        <v>1.3112138880000002</v>
      </c>
      <c r="D62" s="124">
        <f t="shared" si="4"/>
        <v>1.3940243043788045</v>
      </c>
      <c r="E62" s="124">
        <f t="shared" si="4"/>
        <v>1.4384627776199628</v>
      </c>
      <c r="F62" s="124">
        <f t="shared" si="4"/>
        <v>1.5340085453866557</v>
      </c>
      <c r="H62" s="120"/>
    </row>
    <row r="63" spans="1:8" ht="13.15">
      <c r="A63" s="143">
        <f t="shared" si="3"/>
        <v>15</v>
      </c>
      <c r="B63" s="124">
        <f t="shared" si="4"/>
        <v>1.1955262983639015</v>
      </c>
      <c r="C63" s="124">
        <f t="shared" si="4"/>
        <v>1.3112138879999999</v>
      </c>
      <c r="D63" s="124">
        <f t="shared" si="4"/>
        <v>1.4462277864818596</v>
      </c>
      <c r="E63" s="124">
        <f t="shared" si="4"/>
        <v>1.5221592525838692</v>
      </c>
      <c r="F63" s="124">
        <f t="shared" si="4"/>
        <v>1.6936320611116373</v>
      </c>
      <c r="H63" s="120"/>
    </row>
    <row r="64" spans="1:8" ht="13.15">
      <c r="A64" s="144">
        <f t="shared" si="3"/>
        <v>20</v>
      </c>
      <c r="B64" s="124">
        <f t="shared" si="4"/>
        <v>1.1575317882843961</v>
      </c>
      <c r="C64" s="124">
        <f t="shared" si="4"/>
        <v>1.3112138880000002</v>
      </c>
      <c r="D64" s="124">
        <f t="shared" si="4"/>
        <v>1.5006507682500885</v>
      </c>
      <c r="E64" s="124">
        <f t="shared" si="4"/>
        <v>1.6118042610021293</v>
      </c>
      <c r="F64" s="124">
        <f t="shared" si="4"/>
        <v>1.8745469529027907</v>
      </c>
      <c r="H64" s="120"/>
    </row>
    <row r="65" spans="1:8" ht="13.15">
      <c r="A65" s="144">
        <f t="shared" si="3"/>
        <v>25</v>
      </c>
      <c r="B65" s="124">
        <f t="shared" si="4"/>
        <v>1.1247898512102044</v>
      </c>
      <c r="C65" s="124">
        <f t="shared" si="4"/>
        <v>1.3112138880000002</v>
      </c>
      <c r="D65" s="124">
        <f t="shared" si="4"/>
        <v>1.552448886158752</v>
      </c>
      <c r="E65" s="124">
        <f t="shared" si="4"/>
        <v>1.6995588358797953</v>
      </c>
      <c r="F65" s="124">
        <f t="shared" si="4"/>
        <v>2.0625531002269093</v>
      </c>
    </row>
    <row r="66" spans="1:8" ht="13.15">
      <c r="A66" s="144">
        <f t="shared" si="3"/>
        <v>30</v>
      </c>
      <c r="B66" s="124">
        <f t="shared" si="4"/>
        <v>1.0980312547037754</v>
      </c>
      <c r="C66" s="124">
        <f t="shared" si="4"/>
        <v>1.3112138880000002</v>
      </c>
      <c r="D66" s="124">
        <f t="shared" si="4"/>
        <v>1.5992109914199872</v>
      </c>
      <c r="E66" s="124">
        <f t="shared" si="4"/>
        <v>1.7811241954799348</v>
      </c>
      <c r="F66" s="124">
        <f t="shared" si="4"/>
        <v>2.2486183257408463</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1.6936320611116373</v>
      </c>
      <c r="F69" s="142">
        <f>Scenarios!C58</f>
        <v>0.05</v>
      </c>
    </row>
    <row r="70" spans="1:8">
      <c r="B70" s="127" t="str">
        <f>Scenarios!B36</f>
        <v>Optimistic</v>
      </c>
      <c r="C70" s="142">
        <f>Scenarios!C38</f>
        <v>0.03</v>
      </c>
      <c r="D70" s="145">
        <f>Scenarios!C37</f>
        <v>10</v>
      </c>
      <c r="E70" s="135">
        <f>INDEX(B$60:F$66, MATCH(D70, A$60:A$66, 0), MATCH(C70, B$59:F$59, 0))</f>
        <v>1.4384627776199628</v>
      </c>
      <c r="F70" s="142">
        <f>Scenarios!C40*(1-F$69-F$73)</f>
        <v>0.18</v>
      </c>
      <c r="H70" s="120"/>
    </row>
    <row r="71" spans="1:8">
      <c r="B71" s="127" t="str">
        <f>Scenarios!B24</f>
        <v>Base</v>
      </c>
      <c r="C71" s="142">
        <f>Scenarios!C26</f>
        <v>0.02</v>
      </c>
      <c r="D71" s="145">
        <f>Scenarios!C25</f>
        <v>10</v>
      </c>
      <c r="E71" s="135">
        <f>INDEX(B$60:F$66, MATCH(D71, A$60:A$66, 0), MATCH(C71, B$59:F$59, 0))</f>
        <v>1.3940243043788045</v>
      </c>
      <c r="F71" s="142">
        <f>Scenarios!C28*(1-F$69-F$73)</f>
        <v>0.53999999999999992</v>
      </c>
      <c r="H71" s="120"/>
    </row>
    <row r="72" spans="1:8">
      <c r="B72" s="127" t="str">
        <f>Scenarios!B30</f>
        <v>Pessimistic</v>
      </c>
      <c r="C72" s="142">
        <f>Scenarios!C32</f>
        <v>0</v>
      </c>
      <c r="D72" s="145">
        <f>Scenarios!C31</f>
        <v>10</v>
      </c>
      <c r="E72" s="135">
        <f>INDEX(B$60:F$66, MATCH(D72, A$60:A$66, 0), MATCH(C72, B$59:F$59, 0))</f>
        <v>1.3112138880000002</v>
      </c>
      <c r="F72" s="142">
        <f>Scenarios!C34*(1-F$69-F$73)</f>
        <v>0.18</v>
      </c>
      <c r="H72" s="120"/>
    </row>
    <row r="73" spans="1:8">
      <c r="B73" s="127" t="str">
        <f>Scenarios!B48</f>
        <v>Devil's advocate</v>
      </c>
      <c r="C73" s="142">
        <f>Scenarios!C50</f>
        <v>-0.02</v>
      </c>
      <c r="D73" s="145">
        <f>Scenarios!C49</f>
        <v>15</v>
      </c>
      <c r="E73" s="135">
        <f>INDEX(B$60:F$66, MATCH(D73, A$60:A$66, 0), MATCH(C73, B$59:F$59, 0))</f>
        <v>1.1955262983639015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-2.16</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3.374231808276039</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2.16</v>
      </c>
      <c r="D21" t="str">
        <f>Market_currency</f>
        <v>HKD</v>
      </c>
      <c r="E21" s="381"/>
      <c r="F21" s="381"/>
    </row>
    <row r="22" spans="2:6">
      <c r="B22" s="100" t="s">
        <v>273</v>
      </c>
      <c r="C22" s="160">
        <f>IF(valuation_method="DCF",DCF!C12,DDM!C7)</f>
        <v>3.1731719022781633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3.2867716535995997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3.1731719022781628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3.3477325777206377</v>
      </c>
      <c r="D39" t="str">
        <f>Market_currency</f>
        <v>HKD</v>
      </c>
      <c r="E39" s="379"/>
      <c r="F39" s="379"/>
    </row>
    <row r="40" spans="2:6">
      <c r="B40" s="100" t="s">
        <v>143</v>
      </c>
      <c r="C40" s="167">
        <f>1-C28-C34</f>
        <v>0.2</v>
      </c>
      <c r="D40" s="165"/>
      <c r="E40" s="379"/>
      <c r="F40" s="379"/>
    </row>
    <row r="42" spans="2:6" ht="13.15">
      <c r="B42" s="100" t="s">
        <v>116</v>
      </c>
      <c r="C42" s="154">
        <f>C27*C28+C33*C34+C39*C40</f>
        <v>3.2762438881595202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3.0144710770882419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3.697775101561187</v>
      </c>
      <c r="D57" t="str">
        <f>Market_currency</f>
        <v>HKD</v>
      </c>
      <c r="E57" s="379"/>
      <c r="F57" s="379"/>
    </row>
    <row r="58" spans="2:6">
      <c r="B58" s="100" t="s">
        <v>143</v>
      </c>
      <c r="C58" s="165">
        <v>0.05</v>
      </c>
      <c r="D58" s="165"/>
      <c r="E58" s="379"/>
      <c r="F58" s="379"/>
    </row>
    <row r="60" spans="2:6" ht="13.15">
      <c r="B60" s="100" t="s">
        <v>116</v>
      </c>
      <c r="C60" s="154">
        <f>C51*C52+C57*C58+C42*(1-C52-C58)</f>
        <v>3.2842318082760391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3.2867716535995992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1.3348500973534678</v>
      </c>
      <c r="D82" s="116"/>
    </row>
    <row r="83" spans="2:8" ht="13.15">
      <c r="B83" s="110" t="s">
        <v>98</v>
      </c>
      <c r="C83" s="111">
        <f>C81+C82</f>
        <v>1.4874792697357266</v>
      </c>
      <c r="D83" t="str">
        <f>Market_currency</f>
        <v>HKD</v>
      </c>
      <c r="E83" s="146" t="s">
        <v>122</v>
      </c>
      <c r="F83" s="291">
        <f>(1-C83/C60)</f>
        <v>0.54708456754258916</v>
      </c>
    </row>
    <row r="84" spans="2:8">
      <c r="E84" s="120"/>
    </row>
    <row r="85" spans="2:8" ht="13.15">
      <c r="B85" s="109" t="s">
        <v>297</v>
      </c>
    </row>
    <row r="86" spans="2:8">
      <c r="B86" s="148" t="s">
        <v>295</v>
      </c>
      <c r="C86" s="116">
        <f>Market_Price</f>
        <v>2.16</v>
      </c>
      <c r="D86" t="str">
        <f>Market_currency</f>
        <v>HKD</v>
      </c>
    </row>
    <row r="87" spans="2:8" ht="13.15">
      <c r="B87" s="100" t="s">
        <v>293</v>
      </c>
      <c r="C87" s="237">
        <f ca="1">IRR(OFFSET($I$3, 0, 0, $C$76 + 1, 1))</f>
        <v>0.18647692957119633</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1.6815266858373321</v>
      </c>
      <c r="D92" s="116"/>
    </row>
    <row r="93" spans="2:8" ht="13.15">
      <c r="B93" s="110" t="s">
        <v>98</v>
      </c>
      <c r="C93" s="111">
        <f>C91+C92</f>
        <v>1.8572066858373322</v>
      </c>
      <c r="D93" t="str">
        <f>Market_currency</f>
        <v>HKD</v>
      </c>
      <c r="E93" s="146" t="s">
        <v>122</v>
      </c>
      <c r="F93" s="291">
        <f>(1-C93/C60)</f>
        <v>0.43450803894009593</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2.6436771067914338</v>
      </c>
      <c r="D98" s="116"/>
      <c r="G98" s="2"/>
      <c r="H98" s="281"/>
    </row>
    <row r="99" spans="2:8" ht="13.15">
      <c r="B99" s="110" t="s">
        <v>379</v>
      </c>
      <c r="C99" s="111">
        <f>C97+C98</f>
        <v>2.87772442337991</v>
      </c>
      <c r="D99" t="s">
        <v>377</v>
      </c>
      <c r="E99" s="146" t="s">
        <v>122</v>
      </c>
      <c r="F99" s="291">
        <f>(1-C99/C60)</f>
        <v>0.12377548499218549</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2.3540072816516497</v>
      </c>
      <c r="D104" s="116"/>
    </row>
    <row r="105" spans="2:8" ht="13.15">
      <c r="B105" s="110" t="s">
        <v>379</v>
      </c>
      <c r="C105" s="111">
        <f>C103+C104</f>
        <v>2.5711415629861283</v>
      </c>
      <c r="D105" t="s">
        <v>377</v>
      </c>
      <c r="E105" s="146" t="s">
        <v>122</v>
      </c>
      <c r="F105" s="291">
        <f>(1-C105/C66)</f>
        <v>0.21773039506097991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2.16</v>
      </c>
      <c r="D12" s="50"/>
      <c r="E12" s="48"/>
    </row>
    <row r="13" spans="1:10">
      <c r="B13" s="1" t="s">
        <v>486</v>
      </c>
      <c r="C13" s="32" t="str">
        <f>Market_currency</f>
        <v>HKD</v>
      </c>
      <c r="D13" s="48"/>
      <c r="E13" s="5"/>
    </row>
    <row r="14" spans="1:10">
      <c r="B14" s="4" t="s">
        <v>487</v>
      </c>
      <c r="C14" s="35">
        <f>投资主题!C12*Common_Shares/1000000</f>
        <v>9957.6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1.0926782399999999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3.2842318082760391</v>
      </c>
      <c r="D26" s="1" t="s">
        <v>447</v>
      </c>
      <c r="E26" s="301">
        <f ca="1">Scenarios!C87</f>
        <v>0.18647692957119633</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1.4874792697357266</v>
      </c>
      <c r="D29" s="310" t="str">
        <f>D149</f>
        <v/>
      </c>
      <c r="E29" s="306" t="s">
        <v>456</v>
      </c>
      <c r="F29" s="362">
        <f>Thesis!F29</f>
        <v>0.35</v>
      </c>
    </row>
    <row r="30" spans="2:6">
      <c r="B30" s="1" t="s">
        <v>451</v>
      </c>
      <c r="C30" s="311">
        <f>C157</f>
        <v>1.8572066858373322</v>
      </c>
      <c r="D30" s="311" t="str">
        <f>D157</f>
        <v/>
      </c>
      <c r="E30" s="307" t="s">
        <v>455</v>
      </c>
      <c r="F30" s="224">
        <f>Thesis!F30</f>
        <v>0.25</v>
      </c>
    </row>
    <row r="31" spans="2:6">
      <c r="B31" s="1" t="s">
        <v>452</v>
      </c>
      <c r="C31" s="311">
        <f>C165</f>
        <v>2.87772442337991</v>
      </c>
      <c r="D31" s="311" t="str">
        <f>D165</f>
        <v/>
      </c>
      <c r="E31" s="307" t="s">
        <v>492</v>
      </c>
      <c r="F31" s="224">
        <f>Thesis!F31</f>
        <v>7.4999999999999997E-2</v>
      </c>
    </row>
    <row r="32" spans="2:6">
      <c r="B32" s="1" t="s">
        <v>453</v>
      </c>
      <c r="C32" s="311">
        <f>C173</f>
        <v>2.5711415629861283</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v>
      </c>
    </row>
    <row r="40" spans="1:6">
      <c r="B40" s="371" t="s">
        <v>495</v>
      </c>
      <c r="C40" s="371"/>
      <c r="D40" s="371"/>
      <c r="E40" s="371"/>
      <c r="F40" s="371"/>
    </row>
    <row r="41" spans="1:6">
      <c r="B41" s="47" t="s">
        <v>228</v>
      </c>
      <c r="C41" s="349">
        <f>Normalized_FCF!C8</f>
        <v>928439.85014218651</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0</v>
      </c>
      <c r="D48" s="1" t="str">
        <f>Reporting_currency</f>
        <v>CNY</v>
      </c>
    </row>
    <row r="50" spans="2:6">
      <c r="B50" s="371" t="s">
        <v>498</v>
      </c>
      <c r="C50" s="371"/>
      <c r="D50" s="371"/>
      <c r="E50" s="371"/>
      <c r="F50" s="371"/>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1" t="s">
        <v>237</v>
      </c>
      <c r="C58" s="371"/>
      <c r="D58" s="371"/>
      <c r="E58" s="371"/>
      <c r="F58" s="371"/>
    </row>
    <row r="59" spans="2:6">
      <c r="B59" s="47" t="s">
        <v>235</v>
      </c>
      <c r="C59" s="349">
        <f>Normalized_FCF!C14</f>
        <v>-233268.98647286888</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6.245589915209622E-2</v>
      </c>
      <c r="F69" s="314"/>
    </row>
    <row r="70" spans="1:6">
      <c r="B70" s="227" t="s">
        <v>435</v>
      </c>
      <c r="C70" s="92">
        <f>Normalized_FCF!C94</f>
        <v>4.1666666666666671E-2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1.7987298955803712</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2119124</v>
      </c>
      <c r="D102" s="1" t="str">
        <f>Reporting_currency</f>
        <v>CNY</v>
      </c>
    </row>
    <row r="103" spans="2:6">
      <c r="B103" s="47" t="s">
        <v>276</v>
      </c>
      <c r="C103" s="223">
        <f>C102*scaling_factor*Exchange_Rate/Common_Shares</f>
        <v>0.50228214374441649</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1.8642615507051352</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1.246259973707245E-2</v>
      </c>
      <c r="D114" s="1" t="str">
        <f>Market_currency</f>
        <v>HKD</v>
      </c>
    </row>
    <row r="116" spans="1:6">
      <c r="B116" s="370" t="s">
        <v>517</v>
      </c>
      <c r="C116" s="370"/>
      <c r="D116" s="370"/>
      <c r="E116" s="370"/>
      <c r="F116" s="370"/>
    </row>
    <row r="118" spans="1:6">
      <c r="B118" s="47" t="s">
        <v>518</v>
      </c>
      <c r="C118" s="223">
        <f>IF(valuation_method="DCF",DCF!C12,DDM!C7)</f>
        <v>3.1731719022781633</v>
      </c>
      <c r="D118" s="1" t="str">
        <f>Market_currency</f>
        <v>HKD</v>
      </c>
    </row>
    <row r="119" spans="1:6">
      <c r="B119" s="296" t="s">
        <v>551</v>
      </c>
      <c r="C119" s="223">
        <f>BS!D47</f>
        <v>1.8459692557709932</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3.2842318082760391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1.3348500973534678</v>
      </c>
    </row>
    <row r="149" spans="2:4">
      <c r="B149" s="80" t="s">
        <v>256</v>
      </c>
      <c r="C149" s="215">
        <f>Scenarios!C83</f>
        <v>1.4874792697357266</v>
      </c>
      <c r="D149" s="300" t="str">
        <f>IF($D$11="","",C149*$E$25)</f>
        <v/>
      </c>
    </row>
    <row r="150" spans="2:4">
      <c r="B150" s="259" t="s">
        <v>533</v>
      </c>
      <c r="C150" s="298" t="str">
        <f>Market_currency</f>
        <v>HKD</v>
      </c>
      <c r="D150" s="298" t="str">
        <f>IF($D$11="","",D$13)</f>
        <v/>
      </c>
    </row>
    <row r="151" spans="2:4">
      <c r="B151" s="214" t="s">
        <v>534</v>
      </c>
      <c r="C151" s="92">
        <f>Scenarios!F83</f>
        <v>0.54708456754258916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1.6815266858373321</v>
      </c>
    </row>
    <row r="157" spans="2:4">
      <c r="B157" s="80" t="s">
        <v>256</v>
      </c>
      <c r="C157" s="215">
        <f>Scenarios!C93</f>
        <v>1.8572066858373322</v>
      </c>
      <c r="D157" s="300" t="str">
        <f>IF($D$11="","",C157*$E$25)</f>
        <v/>
      </c>
    </row>
    <row r="158" spans="2:4">
      <c r="B158" s="259" t="s">
        <v>533</v>
      </c>
      <c r="C158" s="298" t="str">
        <f>Market_currency</f>
        <v>HKD</v>
      </c>
      <c r="D158" s="298" t="str">
        <f>IF($D$11="","",D$13)</f>
        <v/>
      </c>
    </row>
    <row r="159" spans="2:4">
      <c r="B159" s="214" t="s">
        <v>534</v>
      </c>
      <c r="C159" s="92">
        <f>Scenarios!F93</f>
        <v>0.43450803894009593</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2.6436771067914338</v>
      </c>
    </row>
    <row r="165" spans="2:4">
      <c r="B165" s="80" t="s">
        <v>382</v>
      </c>
      <c r="C165" s="215">
        <f>Scenarios!C99</f>
        <v>2.87772442337991</v>
      </c>
      <c r="D165" s="300" t="str">
        <f>IF($D$11="","",C165*$E$25)</f>
        <v/>
      </c>
    </row>
    <row r="166" spans="2:4">
      <c r="B166" s="259" t="s">
        <v>533</v>
      </c>
      <c r="C166" s="298" t="str">
        <f>Market_currency</f>
        <v>HKD</v>
      </c>
      <c r="D166" s="298" t="str">
        <f>IF($D$11="","",D$13)</f>
        <v/>
      </c>
    </row>
    <row r="167" spans="2:4">
      <c r="B167" s="214" t="s">
        <v>534</v>
      </c>
      <c r="C167" s="92">
        <f>Scenarios!F99</f>
        <v>0.12377548499218549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2.3540072816516497</v>
      </c>
    </row>
    <row r="173" spans="2:4">
      <c r="B173" s="80" t="s">
        <v>382</v>
      </c>
      <c r="C173" s="215">
        <f>Scenarios!C105</f>
        <v>2.5711415629861283</v>
      </c>
      <c r="D173" s="300" t="str">
        <f>IF($D$11="","",C173*$E$25)</f>
        <v/>
      </c>
    </row>
    <row r="174" spans="2:4">
      <c r="B174" s="259" t="s">
        <v>533</v>
      </c>
      <c r="C174" s="298" t="str">
        <f>Market_currency</f>
        <v>HKD</v>
      </c>
      <c r="D174" s="298" t="str">
        <f>IF($D$11="","",D$13)</f>
        <v/>
      </c>
    </row>
    <row r="175" spans="2:4">
      <c r="B175" s="214" t="s">
        <v>534</v>
      </c>
      <c r="C175" s="92">
        <f>Scenarios!F105</f>
        <v>0.21773039506097991</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