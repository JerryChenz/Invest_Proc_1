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BA24618-E112-4692-8B64-7661FE80FF3B}"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<sst xmlns="http://schemas.openxmlformats.org/spreadsheetml/2006/main" count="686" uniqueCount="466">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</sst>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1.98</v>
      </c>
      <c r="D12" s="50"/>
      <c r="E12" s="48"/>
    </row>
    <row r="13" spans="1:10">
      <c r="B13" s="1" t="s">
        <v>413</v>
      </c>
      <c r="C13" s="48" t="s">
        <v>393</v>
      </c>
      <c r="D13" s="48"/>
      <c r="E13" s="5"/>
    </row>
    <row r="14" spans="1:10">
      <c r="B14" s="4" t="s">
        <v>417</v>
      </c>
      <c r="C14" s="35">
        <f>Thesis!C12*Common_Shares/1000000</f>
        <v>9127.7999999999993</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1.09186545</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3.2817888285646024</v>
      </c>
      <c r="D26" s="1" t="s">
        <v>396</v>
      </c>
      <c r="E26" s="301">
        <f ca="1">Scenarios!C87</f>
        <v>0.22235901596750041</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1.4327361880996046</v>
      </c>
      <c r="D29" s="310" t="str">
        <f>D149</f>
        <v/>
      </c>
      <c r="E29" s="306" t="s">
        <v>421</v>
      </c>
      <c r="F29" s="302">
        <v>0.3674</v>
      </c>
    </row>
    <row r="30" spans="2:6">
      <c r="B30" s="1" t="s">
        <v>423</v>
      </c>
      <c r="C30" s="311">
        <f>C157</f>
        <v>2.0034441033341164</v>
      </c>
      <c r="D30" s="311" t="str">
        <f>D157</f>
        <v/>
      </c>
      <c r="E30" s="307" t="s">
        <v>434</v>
      </c>
      <c r="F30" s="312">
        <v>0.21740000000000001</v>
      </c>
    </row>
    <row r="31" spans="2:6">
      <c r="B31" s="1" t="s">
        <v>424</v>
      </c>
      <c r="C31" s="311">
        <f>C165</f>
        <v>2.8757579210400914</v>
      </c>
      <c r="D31" s="311" t="str">
        <f>D165</f>
        <v/>
      </c>
      <c r="E31" s="307" t="s">
        <v>433</v>
      </c>
      <c r="F31" s="312">
        <v>7.4999999999999997E-2</v>
      </c>
    </row>
    <row r="32" spans="2:6">
      <c r="B32" s="1" t="s">
        <v>425</v>
      </c>
      <c r="C32" s="311">
        <f>C173</f>
        <v>2.5693905318880317</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928439.85014218651</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59" t="s">
        <v>240</v>
      </c>
      <c r="C58" s="359"/>
      <c r="D58" s="359"/>
      <c r="E58" s="359"/>
      <c r="F58" s="359"/>
    </row>
    <row r="59" spans="2:6">
      <c r="B59" s="47" t="s">
        <v>238</v>
      </c>
      <c r="C59" s="349">
        <f>Normalized_FCF!C14</f>
        <v>-233268.98647286888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6.8083026826592952E-2</v>
      </c>
      <c r="F69" s="314"/>
    </row>
    <row r="70" spans="1:6">
      <c r="B70" s="227" t="s">
        <v>455</v>
      </c>
      <c r="C70" s="92">
        <f>Normalized_FCF!C94</f>
        <v>4.5454545454545463E-2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1.7973919082220537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2119124</v>
      </c>
      <c r="D102" s="1" t="str">
        <f>Reporting_currency</f>
        <v>CNY</v>
      </c>
    </row>
    <row r="103" spans="2:6">
      <c r="B103" s="47" t="s">
        <v>280</v>
      </c>
      <c r="C103" s="223">
        <f>C102*scaling_factor*Exchange_Rate/Common_Shares</f>
        <v>0.50190852057826463</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1.862874817547717</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1.2453329417531455E-2</v>
      </c>
      <c r="D114" s="1" t="str">
        <f>Market_currency</f>
        <v>HKD</v>
      </c>
    </row>
    <row r="116" spans="1:6" ht="24.6" customHeight="1">
      <c r="B116" s="358" t="s">
        <v>363</v>
      </c>
      <c r="C116" s="358"/>
      <c r="D116" s="358"/>
      <c r="E116" s="358"/>
      <c r="F116" s="358"/>
    </row>
    <row r="118" spans="1:6">
      <c r="B118" s="47" t="s">
        <v>446</v>
      </c>
      <c r="C118" s="223">
        <f>IF(valuation_method="DCF",DCF!C12,DDM!C7)</f>
        <v>3.170811534609038</v>
      </c>
      <c r="D118" s="1" t="str">
        <f>Market_currency</f>
        <v>HKD</v>
      </c>
    </row>
    <row r="119" spans="1:6">
      <c r="B119" s="296" t="s">
        <v>402</v>
      </c>
      <c r="C119" s="223">
        <f>BS!D47</f>
        <v>1.8445961293587769</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v>
      </c>
      <c r="D129" s="220">
        <f>DCF!D77</f>
        <v>10</v>
      </c>
      <c r="E129" s="231" t="str">
        <f>ROUND(IF(valuation_method="DCF",DCF!E77,DDM!E72),2)&amp;" "&amp;Market_currency</f>
        <v>3.17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257</v>
      </c>
      <c r="C132" s="217">
        <f>Scenarios!C60</f>
        <v>3.2817888285646024</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0.3674</v>
      </c>
    </row>
    <row r="147" spans="2:4">
      <c r="B147" s="212" t="str">
        <f>"PV("&amp;C141&amp;" yrs of Dividends)"</f>
        <v>PV(3 yrs of Dividends)</v>
      </c>
      <c r="C147" s="216">
        <f>Scenarios!C81</f>
        <v>0.14915333874283732</v>
      </c>
    </row>
    <row r="148" spans="2:4">
      <c r="B148" s="212" t="str">
        <f>"+ PV(Equity Value realized at year "&amp;C141&amp;")"</f>
        <v>+ PV(Equity Value realized at year 3)</v>
      </c>
      <c r="C148" s="216">
        <f>Scenarios!C82</f>
        <v>1.2835828493567674</v>
      </c>
    </row>
    <row r="149" spans="2:4">
      <c r="B149" s="80" t="s">
        <v>259</v>
      </c>
      <c r="C149" s="215">
        <f>Scenarios!C83</f>
        <v>1.4327361880996046</v>
      </c>
      <c r="D149" s="300" t="str">
        <f>IF($D$11="","",C149*$E$25)</f>
        <v/>
      </c>
    </row>
    <row r="150" spans="2:4">
      <c r="B150" s="259" t="s">
        <v>413</v>
      </c>
      <c r="C150" s="298" t="str">
        <f>Market_currency</f>
        <v>HKD</v>
      </c>
      <c r="D150" s="298" t="str">
        <f>IF($D$11="","",D$13)</f>
        <v/>
      </c>
    </row>
    <row r="151" spans="2:4">
      <c r="B151" s="214" t="s">
        <v>261</v>
      </c>
      <c r="C151" s="92">
        <f>Scenarios!F83</f>
        <v>0.56342828166483261</v>
      </c>
    </row>
    <row r="153" spans="2:4">
      <c r="B153" s="210" t="s">
        <v>408</v>
      </c>
    </row>
    <row r="154" spans="2:4">
      <c r="B154" s="1" t="s">
        <v>407</v>
      </c>
      <c r="C154" s="297">
        <f>Scenarios!C90</f>
        <v>0.21740000000000001</v>
      </c>
    </row>
    <row r="155" spans="2:4">
      <c r="B155" s="212" t="str">
        <f>"PV("&amp;C141&amp;" yrs of Dividends)"</f>
        <v>PV(3 yrs of Dividends)</v>
      </c>
      <c r="C155" s="216">
        <f>Scenarios!C91</f>
        <v>0.18453607414784434</v>
      </c>
    </row>
    <row r="156" spans="2:4">
      <c r="B156" s="212" t="str">
        <f>"+ PV(Equity Value realized at year "&amp;C141&amp;")"</f>
        <v>+ PV(Equity Value realized at year 3)</v>
      </c>
      <c r="C156" s="216">
        <f>Scenarios!C92</f>
        <v>1.8189080291862718</v>
      </c>
    </row>
    <row r="157" spans="2:4">
      <c r="B157" s="80" t="s">
        <v>259</v>
      </c>
      <c r="C157" s="215">
        <f>Scenarios!C93</f>
        <v>2.0034441033341164</v>
      </c>
      <c r="D157" s="300" t="str">
        <f>IF($D$11="","",C157*$E$25)</f>
        <v/>
      </c>
    </row>
    <row r="158" spans="2:4">
      <c r="B158" s="259" t="s">
        <v>413</v>
      </c>
      <c r="C158" s="298" t="str">
        <f>Market_currency</f>
        <v>HKD</v>
      </c>
      <c r="D158" s="298" t="str">
        <f>IF($D$11="","",D$13)</f>
        <v/>
      </c>
    </row>
    <row r="159" spans="2:4">
      <c r="B159" s="214" t="s">
        <v>261</v>
      </c>
      <c r="C159" s="92">
        <f>Scenarios!F93</f>
        <v>0.38952680748493251</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2.6417106044516152</v>
      </c>
    </row>
    <row r="165" spans="2:4">
      <c r="B165" s="80" t="s">
        <v>398</v>
      </c>
      <c r="C165" s="215">
        <f>Scenarios!C99</f>
        <v>2.8757579210400914</v>
      </c>
      <c r="D165" s="300" t="str">
        <f>IF($D$11="","",C165*$E$25)</f>
        <v/>
      </c>
    </row>
    <row r="166" spans="2:4">
      <c r="B166" s="259" t="s">
        <v>413</v>
      </c>
      <c r="C166" s="298" t="str">
        <f>Market_currency</f>
        <v>HKD</v>
      </c>
      <c r="D166" s="298" t="str">
        <f>IF($D$11="","",D$13)</f>
        <v/>
      </c>
    </row>
    <row r="167" spans="2:4">
      <c r="B167" s="214" t="s">
        <v>261</v>
      </c>
      <c r="C167" s="92">
        <f>Scenarios!F99</f>
        <v>0.12372243576138375</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2.3522562505535531</v>
      </c>
    </row>
    <row r="173" spans="2:4">
      <c r="B173" s="80" t="s">
        <v>398</v>
      </c>
      <c r="C173" s="215">
        <f>Scenarios!C105</f>
        <v>2.5693905318880317</v>
      </c>
      <c r="D173" s="300" t="str">
        <f>IF($D$11="","",C173*$E$25)</f>
        <v/>
      </c>
    </row>
    <row r="174" spans="2:4">
      <c r="B174" s="259" t="s">
        <v>413</v>
      </c>
      <c r="C174" s="298" t="str">
        <f>Market_currency</f>
        <v>HKD</v>
      </c>
      <c r="D174" s="298" t="str">
        <f>IF($D$11="","",D$13)</f>
        <v/>
      </c>
    </row>
    <row r="175" spans="2:4">
      <c r="B175" s="214" t="s">
        <v>261</v>
      </c>
      <c r="C175" s="92">
        <f>Scenarios!F105</f>
        <v>0.21768121737485391</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0.13189734636</v>
      </c>
      <c r="D25" s="39">
        <f>0.207*Exchange_Rate</f>
        <v>0.22601614814999998</v>
      </c>
      <c r="E25" s="39">
        <f>0.178*Exchange_Rate</f>
        <v>0.19435205010000001</v>
      </c>
      <c r="F25" s="39">
        <f>0.155*Exchange_Rate</f>
        <v>0.16923914475000001</v>
      </c>
      <c r="G25" s="39">
        <f>0.08*Exchange_Rate</f>
        <v>8.7349235999999997E-2</v>
      </c>
      <c r="H25" s="39">
        <f>0.076*Exchange_Rate</f>
        <v>8.2981774199999997E-2</v>
      </c>
      <c r="I25" s="39">
        <f>0.15*Exchange_Rate</f>
        <v>0.16377981750000001</v>
      </c>
      <c r="J25" s="39">
        <f>0.005*Exchange_Rate</f>
        <v>5.4593272499999998E-3</v>
      </c>
      <c r="K25" s="39">
        <f>0.05*Exchange_Rate</f>
        <v>5.4593272500000005E-2</v>
      </c>
      <c r="L25" s="39">
        <f>0.08*Exchange_Rate</f>
        <v>8.7349235999999997E-2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0.13189734636</v>
      </c>
      <c r="D65" s="73">
        <f t="shared" ref="D65:M65" si="33">IF(D$4="","",D25)</f>
        <v>0.22601614814999998</v>
      </c>
      <c r="E65" s="73">
        <f t="shared" si="33"/>
        <v>0.19435205010000001</v>
      </c>
      <c r="F65" s="73">
        <f t="shared" si="33"/>
        <v>0.16923914475000001</v>
      </c>
      <c r="G65" s="73">
        <f t="shared" si="33"/>
        <v>8.7349235999999997E-2</v>
      </c>
      <c r="H65" s="73">
        <f t="shared" si="33"/>
        <v>8.2981774199999997E-2</v>
      </c>
      <c r="I65" s="73">
        <f t="shared" si="33"/>
        <v>0.16377981750000001</v>
      </c>
      <c r="J65" s="73">
        <f t="shared" si="33"/>
        <v>5.4593272499999998E-3</v>
      </c>
      <c r="K65" s="73">
        <f t="shared" si="33"/>
        <v>5.4593272500000005E-2</v>
      </c>
      <c r="L65" s="73">
        <f t="shared" si="33"/>
        <v>8.7349235999999997E-2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4.3599482972515506</v>
      </c>
      <c r="D47" s="147">
        <f>D46*H1/Common_Shares*Exchange_Rate</f>
        <v>1.8445961293587769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-965683.23055996664</v>
      </c>
      <c r="D73" s="349">
        <f>(Normalized_FCF!C25+Normalized_FCF!C35-Normalized_FCF!C91)/12</f>
        <v>-956584.92915481783</v>
      </c>
      <c r="F73" s="1" t="s">
        <v>348</v>
      </c>
    </row>
    <row r="74" spans="2:6" ht="15" customHeight="1">
      <c r="B74" s="257" t="s">
        <v>318</v>
      </c>
      <c r="C74" s="258">
        <f>-$C$66/C73</f>
        <v>12.107120254351333</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-2313798.2798657999</v>
      </c>
      <c r="D86" s="223">
        <f>C86*scaling_factor/Common_Shares</f>
        <v>-0.50190852057826463</v>
      </c>
      <c r="E86" s="240" t="str">
        <f>Market_currency</f>
        <v>HKD</v>
      </c>
    </row>
    <row r="87" spans="2:8" ht="15" customHeight="1">
      <c r="B87" s="238" t="s">
        <v>286</v>
      </c>
      <c r="C87" s="76">
        <f>DCF!C8*Exchange_Rate</f>
        <v>8587852.9088949766</v>
      </c>
      <c r="D87" s="223">
        <f>C87*scaling_factor/Common_Shares</f>
        <v>1.8628748175477172</v>
      </c>
      <c r="E87" s="240" t="str">
        <f>Market_currency</f>
        <v>HKD</v>
      </c>
    </row>
    <row r="88" spans="2:8" ht="15" customHeight="1">
      <c r="B88" s="239" t="s">
        <v>188</v>
      </c>
      <c r="C88" s="76">
        <f>DCF!C9*Exchange_Rate</f>
        <v>57409.848614820003</v>
      </c>
      <c r="D88" s="223">
        <f>C88*scaling_factor/Common_Shares</f>
        <v>1.2453329417531455E-2</v>
      </c>
      <c r="E88" s="240" t="str">
        <f>Market_currency</f>
        <v>HKD</v>
      </c>
    </row>
    <row r="89" spans="2:8" ht="15" customHeight="1">
      <c r="B89" s="80" t="s">
        <v>290</v>
      </c>
      <c r="C89" s="180">
        <f>SUM(C86:C88)</f>
        <v>6331464.4776439974</v>
      </c>
      <c r="D89" s="242">
        <f>SUM(D86:D88)</f>
        <v>1.373419626386984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0.13189734636</v>
      </c>
      <c r="H90" s="112">
        <f>Data!D65</f>
        <v>0.22601614814999998</v>
      </c>
      <c r="I90" s="112">
        <f>Data!E65</f>
        <v>0.19435205010000001</v>
      </c>
      <c r="J90" s="112">
        <f>Data!F65</f>
        <v>0.16923914475000001</v>
      </c>
      <c r="K90" s="112">
        <f>Data!G65</f>
        <v>8.7349235999999997E-2</v>
      </c>
      <c r="L90" s="112">
        <f>Data!H65</f>
        <v>8.2981774199999997E-2</v>
      </c>
      <c r="M90" s="112">
        <f>Data!I65</f>
        <v>0.16377981750000001</v>
      </c>
      <c r="N90" s="112">
        <f>Data!J65</f>
        <v>5.4593272499999998E-3</v>
      </c>
      <c r="O90" s="112">
        <f>Data!K65</f>
        <v>5.4593272500000005E-2</v>
      </c>
      <c r="P90" s="112">
        <f>Data!L65</f>
        <v>8.7349235999999997E-2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608046.76671959995</v>
      </c>
      <c r="H91" s="74">
        <f t="shared" si="37"/>
        <v>1041934.4429714999</v>
      </c>
      <c r="I91" s="74">
        <f t="shared" si="37"/>
        <v>895962.95096100005</v>
      </c>
      <c r="J91" s="74">
        <f t="shared" si="37"/>
        <v>780192.45729749999</v>
      </c>
      <c r="K91" s="74">
        <f t="shared" si="37"/>
        <v>402679.97795999999</v>
      </c>
      <c r="L91" s="74">
        <f t="shared" si="37"/>
        <v>382545.979062</v>
      </c>
      <c r="M91" s="74">
        <f t="shared" si="37"/>
        <v>755024.95867500012</v>
      </c>
      <c r="N91" s="74">
        <f t="shared" si="37"/>
        <v>25167.498622499999</v>
      </c>
      <c r="O91" s="74">
        <f t="shared" si="37"/>
        <v>251674.98622500003</v>
      </c>
      <c r="P91" s="74">
        <f t="shared" si="37"/>
        <v>402679.97795999999</v>
      </c>
      <c r="Q91" s="74" t="str">
        <f t="shared" si="37"/>
        <v/>
      </c>
    </row>
    <row r="92" spans="1:17" ht="15.75" customHeight="1">
      <c r="A92" s="10"/>
      <c r="B92" s="2" t="s">
        <v>212</v>
      </c>
      <c r="C92" s="23">
        <f>C90/(C19*scaling_factor/Common_Shares)</f>
        <v>0.80996280963569622</v>
      </c>
      <c r="E92" s="268"/>
      <c r="G92" s="170">
        <f t="shared" ref="G92:Q92" si="38">IF(G$4="","",G90/(G19*scaling_factor/Common_Shares))</f>
        <v>0.96134115789018704</v>
      </c>
      <c r="H92" s="170">
        <f t="shared" si="38"/>
        <v>0.93965841970995745</v>
      </c>
      <c r="I92" s="170">
        <f t="shared" si="38"/>
        <v>0.6668473815544238</v>
      </c>
      <c r="J92" s="170">
        <f t="shared" si="38"/>
        <v>0.92817883250718503</v>
      </c>
      <c r="K92" s="170">
        <f t="shared" si="38"/>
        <v>0.92399542444636684</v>
      </c>
      <c r="L92" s="170">
        <f t="shared" si="38"/>
        <v>1.1325534576831184</v>
      </c>
      <c r="M92" s="170">
        <f t="shared" si="38"/>
        <v>0.59702805201721598</v>
      </c>
      <c r="N92" s="170">
        <f t="shared" si="38"/>
        <v>6.4030475690424998E-2</v>
      </c>
      <c r="O92" s="170">
        <f t="shared" si="38"/>
        <v>-0.60721537714066509</v>
      </c>
      <c r="P92" s="170">
        <f t="shared" si="38"/>
        <v>0.66838733861718114</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4.5454545454545463E-2</v>
      </c>
      <c r="E94" s="268"/>
      <c r="G94" s="23">
        <f t="shared" ref="G94:Q94" si="39">IF(G$4="","",(G90*(1-dividend_tax_rate))/Market_Price)</f>
        <v>5.9953339254545455E-2</v>
      </c>
      <c r="H94" s="23">
        <f t="shared" si="39"/>
        <v>0.10273461279545454</v>
      </c>
      <c r="I94" s="23">
        <f t="shared" si="39"/>
        <v>8.8341840954545461E-2</v>
      </c>
      <c r="J94" s="23">
        <f t="shared" si="39"/>
        <v>7.6926883977272736E-2</v>
      </c>
      <c r="K94" s="23">
        <f t="shared" si="39"/>
        <v>3.9704198181818182E-2</v>
      </c>
      <c r="L94" s="23">
        <f t="shared" si="39"/>
        <v>3.7718988272727273E-2</v>
      </c>
      <c r="M94" s="23">
        <f t="shared" si="39"/>
        <v>7.4445371590909096E-2</v>
      </c>
      <c r="N94" s="23">
        <f t="shared" si="39"/>
        <v>2.4815123863636364E-3</v>
      </c>
      <c r="O94" s="23">
        <f t="shared" si="39"/>
        <v>2.4815123863636365E-2</v>
      </c>
      <c r="P94" s="23">
        <f t="shared" si="39"/>
        <v>3.9704198181818182E-2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0.13480439311665404</v>
      </c>
      <c r="D125" s="27"/>
      <c r="E125" s="265"/>
      <c r="F125" s="27"/>
      <c r="G125" s="177">
        <f t="shared" ref="G125:Q125" si="49">IF(G$4="","",G16*$C$3/Common_Shares*Exchange_Rate)</f>
        <v>0.14980546110522175</v>
      </c>
      <c r="H125" s="177">
        <f t="shared" si="49"/>
        <v>0.26262652271368914</v>
      </c>
      <c r="I125" s="177">
        <f t="shared" si="49"/>
        <v>0.31822317146421925</v>
      </c>
      <c r="J125" s="177">
        <f t="shared" si="49"/>
        <v>0.19908488371893945</v>
      </c>
      <c r="K125" s="177">
        <f t="shared" si="49"/>
        <v>0.10321870687773319</v>
      </c>
      <c r="L125" s="177">
        <f t="shared" si="49"/>
        <v>8.0000578881312373E-2</v>
      </c>
      <c r="M125" s="177">
        <f t="shared" si="49"/>
        <v>0.29952616720662689</v>
      </c>
      <c r="N125" s="177">
        <f t="shared" si="49"/>
        <v>9.3093964088882875E-2</v>
      </c>
      <c r="O125" s="177">
        <f t="shared" si="49"/>
        <v>-9.8166993605921904E-2</v>
      </c>
      <c r="P125" s="177">
        <f t="shared" si="49"/>
        <v>0.14269212979050974</v>
      </c>
      <c r="Q125" s="177" t="str">
        <f t="shared" si="49"/>
        <v/>
      </c>
    </row>
    <row r="126" spans="1:17" ht="15.75" customHeight="1">
      <c r="A126" s="10"/>
      <c r="B126" s="27" t="s">
        <v>268</v>
      </c>
      <c r="C126" s="77">
        <f>C19*Exchange_Rate*$C$3/(Market_Price*Common_Shares)</f>
        <v>6.8083026826592952E-2</v>
      </c>
      <c r="D126" s="27"/>
      <c r="E126" s="265"/>
      <c r="F126" s="27"/>
      <c r="G126" s="77">
        <f t="shared" ref="G126" si="50">IF(G$4="","",G125/Market_Price)</f>
        <v>7.5659323790516042E-2</v>
      </c>
      <c r="H126" s="77">
        <f t="shared" ref="H126" si="51">IF(H$4="","",H125/Market_Price)</f>
        <v>0.13263965793620663</v>
      </c>
      <c r="I126" s="77">
        <f t="shared" ref="I126" si="52">IF(I$4="","",I125/Market_Price)</f>
        <v>0.1607187734667774</v>
      </c>
      <c r="J126" s="77">
        <f t="shared" ref="J126" si="53">IF(J$4="","",J125/Market_Price)</f>
        <v>0.10054792107017144</v>
      </c>
      <c r="K126" s="77">
        <f t="shared" ref="K126" si="54">IF(K$4="","",K125/Market_Price)</f>
        <v>5.2130660039259182E-2</v>
      </c>
      <c r="L126" s="77">
        <f t="shared" ref="L126" si="55">IF(L$4="","",L125/Market_Price)</f>
        <v>4.0404332768339581E-2</v>
      </c>
      <c r="M126" s="77">
        <f t="shared" ref="M126" si="56">IF(M$4="","",M125/Market_Price)</f>
        <v>0.15127584202354893</v>
      </c>
      <c r="N126" s="77">
        <f t="shared" ref="N126" si="57">IF(N$4="","",N125/Market_Price)</f>
        <v>4.701715358024388E-2</v>
      </c>
      <c r="O126" s="77">
        <f t="shared" ref="O126" si="58">IF(O$4="","",O125/Market_Price)</f>
        <v>-4.957928969996056E-2</v>
      </c>
      <c r="P126" s="77">
        <f t="shared" ref="P126" si="59">IF(P$4="","",P125/Market_Price)</f>
        <v>7.2066732217429166E-2</v>
      </c>
      <c r="Q126" s="77" t="str">
        <f t="shared" ref="Q126" si="60">IF(Q$4="","",Q125/Market_Price)</f>
        <v/>
      </c>
    </row>
    <row r="127" spans="1:17" ht="15.75" customHeight="1">
      <c r="B127" s="2" t="s">
        <v>391</v>
      </c>
      <c r="C127" s="169"/>
      <c r="G127" s="23">
        <f>IF(G$4="","",(Data!C47*$C$3)/(Market_Price*Common_Shares))</f>
        <v>0.12611242577620019</v>
      </c>
      <c r="H127" s="23">
        <f>IF(H$4="","",(Data!D47*$C$3)/(Market_Price*Common_Shares))</f>
        <v>0.26009531321895746</v>
      </c>
      <c r="I127" s="23">
        <f>IF(I$4="","",(Data!E47*$C$3)/(Market_Price*Common_Shares))</f>
        <v>0.19706084708253907</v>
      </c>
      <c r="J127" s="23">
        <f>IF(J$4="","",(Data!F47*$C$3)/(Market_Price*Common_Shares))</f>
        <v>0.17982810753960429</v>
      </c>
      <c r="K127" s="23">
        <f>IF(K$4="","",(Data!G47*$C$3)/(Market_Price*Common_Shares))</f>
        <v>8.5360875566949324E-2</v>
      </c>
      <c r="L127" s="23">
        <f>IF(L$4="","",(Data!H47*$C$3)/(Market_Price*Common_Shares))</f>
        <v>8.2713030522141157E-2</v>
      </c>
      <c r="M127" s="23">
        <f>IF(M$4="","",(Data!I47*$C$3)/(Market_Price*Common_Shares))</f>
        <v>0.16743245908104909</v>
      </c>
      <c r="N127" s="23">
        <f>IF(N$4="","",(Data!J47*$C$3)/(Market_Price*Common_Shares))</f>
        <v>1.1778522754661583E-2</v>
      </c>
      <c r="O127" s="23">
        <f>IF(O$4="","",(Data!K47*$C$3)/(Market_Price*Common_Shares))</f>
        <v>-2.5928482219154669E-2</v>
      </c>
      <c r="P127" s="23">
        <f>IF(P$4="","",(Data!L47*$C$3)/(Market_Price*Common_Shares))</f>
        <v>9.2359714279453969E-2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1.09186545</v>
      </c>
      <c r="D11" t="str">
        <f>Thesis!C15</f>
        <v>CNY/HKD</v>
      </c>
      <c r="H11" s="120"/>
    </row>
    <row r="12" spans="2:8" ht="13.5" thickTop="1">
      <c r="B12" s="149" t="s">
        <v>102</v>
      </c>
      <c r="C12" s="111">
        <f>(C10*scaling_factor)/Common_Shares*Exchange_Rate</f>
        <v>3.170811534609038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3.2843267846212179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3.170811534609038</v>
      </c>
      <c r="C65" s="124">
        <f>C12</f>
        <v>3.170811534609038</v>
      </c>
      <c r="D65" s="124">
        <f>C12</f>
        <v>3.170811534609038</v>
      </c>
      <c r="E65" s="141">
        <f>C12</f>
        <v>3.170811534609038</v>
      </c>
      <c r="F65" s="124">
        <f>C12</f>
        <v>3.170811534609038</v>
      </c>
      <c r="H65" s="120"/>
    </row>
    <row r="66" spans="1:8" ht="13.15">
      <c r="A66" s="143">
        <f t="shared" ref="A66:A71" si="3">A56</f>
        <v>5</v>
      </c>
      <c r="B66" s="124">
        <f t="shared" ref="B66:F71" si="4">(B56-$C$7+$C$8+$C$9)/Common_Shares*$C$3*Exchange_Rate</f>
        <v>3.1154049779193396</v>
      </c>
      <c r="C66" s="124">
        <f t="shared" si="4"/>
        <v>3.1708115346090375</v>
      </c>
      <c r="D66" s="124">
        <f t="shared" si="4"/>
        <v>3.2278077366736975</v>
      </c>
      <c r="E66" s="124">
        <f t="shared" si="4"/>
        <v>3.2569239823034404</v>
      </c>
      <c r="F66" s="124">
        <f t="shared" si="4"/>
        <v>3.3164380316150006</v>
      </c>
      <c r="H66" s="120"/>
    </row>
    <row r="67" spans="1:8" ht="13.15">
      <c r="A67" s="143">
        <f t="shared" si="3"/>
        <v>10</v>
      </c>
      <c r="B67" s="124">
        <f t="shared" si="4"/>
        <v>3.0673821404177053</v>
      </c>
      <c r="C67" s="124">
        <f t="shared" si="4"/>
        <v>3.1708115346090375</v>
      </c>
      <c r="D67" s="124">
        <f t="shared" si="4"/>
        <v>3.2843267846212179</v>
      </c>
      <c r="E67" s="124">
        <f t="shared" si="4"/>
        <v>3.3452423628868133</v>
      </c>
      <c r="F67" s="124">
        <f t="shared" si="4"/>
        <v>3.4762150374598857</v>
      </c>
      <c r="H67" s="120"/>
    </row>
    <row r="68" spans="1:8" ht="13.15">
      <c r="A68" s="143">
        <f t="shared" si="3"/>
        <v>15</v>
      </c>
      <c r="B68" s="124">
        <f t="shared" si="4"/>
        <v>3.0122287592154651</v>
      </c>
      <c r="C68" s="124">
        <f t="shared" si="4"/>
        <v>3.1708115346090375</v>
      </c>
      <c r="D68" s="124">
        <f t="shared" si="4"/>
        <v>3.3558865180649851</v>
      </c>
      <c r="E68" s="124">
        <f t="shared" si="4"/>
        <v>3.4599722084319176</v>
      </c>
      <c r="F68" s="124">
        <f t="shared" si="4"/>
        <v>3.6950245071823717</v>
      </c>
      <c r="H68" s="120"/>
    </row>
    <row r="69" spans="1:8" ht="13.15">
      <c r="A69" s="144">
        <f t="shared" si="3"/>
        <v>20</v>
      </c>
      <c r="B69" s="124">
        <f t="shared" si="4"/>
        <v>2.9601464669222306</v>
      </c>
      <c r="C69" s="124">
        <f t="shared" si="4"/>
        <v>3.1708115346090375</v>
      </c>
      <c r="D69" s="124">
        <f t="shared" si="4"/>
        <v>3.4304887076442423</v>
      </c>
      <c r="E69" s="124">
        <f t="shared" si="4"/>
        <v>3.5828562124972234</v>
      </c>
      <c r="F69" s="124">
        <f t="shared" si="4"/>
        <v>3.9430198690056644</v>
      </c>
      <c r="H69" s="120"/>
    </row>
    <row r="70" spans="1:8" ht="13.15">
      <c r="A70" s="144">
        <f t="shared" si="3"/>
        <v>25</v>
      </c>
      <c r="B70" s="124">
        <f t="shared" si="4"/>
        <v>2.915264321228646</v>
      </c>
      <c r="C70" s="124">
        <f t="shared" si="4"/>
        <v>3.1708115346090371</v>
      </c>
      <c r="D70" s="124">
        <f t="shared" si="4"/>
        <v>3.5014927740610275</v>
      </c>
      <c r="E70" s="124">
        <f t="shared" si="4"/>
        <v>3.7031488392289078</v>
      </c>
      <c r="F70" s="124">
        <f t="shared" si="4"/>
        <v>4.2007358152665795</v>
      </c>
    </row>
    <row r="71" spans="1:8" ht="13.15">
      <c r="A71" s="144">
        <f t="shared" si="3"/>
        <v>30</v>
      </c>
      <c r="B71" s="124">
        <f t="shared" si="4"/>
        <v>2.8785840471130366</v>
      </c>
      <c r="C71" s="124">
        <f t="shared" si="4"/>
        <v>3.1708115346090371</v>
      </c>
      <c r="D71" s="124">
        <f t="shared" si="4"/>
        <v>3.5655935514987758</v>
      </c>
      <c r="E71" s="124">
        <f t="shared" si="4"/>
        <v>3.8149573844847304</v>
      </c>
      <c r="F71" s="124">
        <f t="shared" si="4"/>
        <v>4.455791175647466</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3.6950245071823717</v>
      </c>
      <c r="F74" s="142">
        <f>Scenarios!C58</f>
        <v>0.05</v>
      </c>
    </row>
    <row r="75" spans="1:8">
      <c r="B75" s="127" t="str">
        <f>Scenarios!B36</f>
        <v>Optimistic</v>
      </c>
      <c r="C75" s="142">
        <f>Scenarios!C38</f>
        <v>0.03</v>
      </c>
      <c r="D75" s="145">
        <f>Scenarios!C37</f>
        <v>10</v>
      </c>
      <c r="E75" s="135">
        <f>INDEX(B$65:F$71, MATCH(D75, A$65:A$71, 0), MATCH(C75, B$64:F$64, 0))</f>
        <v>3.3452423628868133</v>
      </c>
      <c r="F75" s="142">
        <f>Scenarios!C40*(1-F$74-F$78)</f>
        <v>0.18</v>
      </c>
      <c r="H75" s="120"/>
    </row>
    <row r="76" spans="1:8">
      <c r="B76" s="127" t="str">
        <f>Scenarios!B24</f>
        <v>Base</v>
      </c>
      <c r="C76" s="142">
        <f>Scenarios!C26</f>
        <v>0.02</v>
      </c>
      <c r="D76" s="145">
        <f>Scenarios!C25</f>
        <v>10</v>
      </c>
      <c r="E76" s="135">
        <f>INDEX(B$65:F$71, MATCH(D76, A$65:A$71, 0), MATCH(C76, B$64:F$64, 0))</f>
        <v>3.2843267846212179</v>
      </c>
      <c r="F76" s="142">
        <f>Scenarios!C28*(1-F$74-F$78)</f>
        <v>0.53999999999999992</v>
      </c>
      <c r="H76" s="120"/>
    </row>
    <row r="77" spans="1:8">
      <c r="B77" s="127" t="str">
        <f>Scenarios!B30</f>
        <v>Pessimistic</v>
      </c>
      <c r="C77" s="142">
        <f>Scenarios!C32</f>
        <v>0</v>
      </c>
      <c r="D77" s="145">
        <f>Scenarios!C31</f>
        <v>10</v>
      </c>
      <c r="E77" s="135">
        <f>INDEX(B$65:F$71, MATCH(D77, A$65:A$71, 0), MATCH(C77, B$64:F$64, 0))</f>
        <v>3.1708115346090375</v>
      </c>
      <c r="F77" s="142">
        <f>Scenarios!C34*(1-F$74-F$78)</f>
        <v>0.18</v>
      </c>
      <c r="H77" s="120"/>
    </row>
    <row r="78" spans="1:8">
      <c r="B78" s="127" t="str">
        <f>Scenarios!B48</f>
        <v>Devil's advocate</v>
      </c>
      <c r="C78" s="142">
        <f>Scenarios!C50</f>
        <v>-0.02</v>
      </c>
      <c r="D78" s="145">
        <f>Scenarios!C49</f>
        <v>15</v>
      </c>
      <c r="E78" s="135">
        <f>INDEX(B$65:F$71, MATCH(D78, A$65:A$71, 0), MATCH(C78, B$64:F$64, 0))</f>
        <v>3.0122287592154651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1.3102385400000001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1.3102385400000001</v>
      </c>
      <c r="C60" s="124">
        <f>C7</f>
        <v>1.3102385400000001</v>
      </c>
      <c r="D60" s="124">
        <f>C7</f>
        <v>1.3102385400000001</v>
      </c>
      <c r="E60" s="141">
        <f>C7</f>
        <v>1.3102385400000001</v>
      </c>
      <c r="F60" s="124">
        <f>C7</f>
        <v>1.3102385400000001</v>
      </c>
      <c r="H60" s="120"/>
    </row>
    <row r="61" spans="1:8" ht="13.15">
      <c r="A61" s="143">
        <f t="shared" ref="A61:A66" si="3">A51</f>
        <v>5</v>
      </c>
      <c r="B61" s="124">
        <f t="shared" ref="B61:F66" si="4">B51/Common_Shares*$C$3*Exchange_Rate</f>
        <v>1.2698490147042356</v>
      </c>
      <c r="C61" s="124">
        <f t="shared" si="4"/>
        <v>1.3102385400000001</v>
      </c>
      <c r="D61" s="124">
        <f t="shared" si="4"/>
        <v>1.3517868635665697</v>
      </c>
      <c r="E61" s="124">
        <f t="shared" si="4"/>
        <v>1.3730116320712489</v>
      </c>
      <c r="F61" s="124">
        <f t="shared" si="4"/>
        <v>1.4163953820051183</v>
      </c>
      <c r="H61" s="120"/>
    </row>
    <row r="62" spans="1:8" ht="13.15">
      <c r="A62" s="143">
        <f t="shared" si="3"/>
        <v>10</v>
      </c>
      <c r="B62" s="124">
        <f t="shared" si="4"/>
        <v>1.234841973553684</v>
      </c>
      <c r="C62" s="124">
        <f t="shared" si="4"/>
        <v>1.3102385400000003</v>
      </c>
      <c r="D62" s="124">
        <f t="shared" si="4"/>
        <v>1.3929873577527274</v>
      </c>
      <c r="E62" s="124">
        <f t="shared" si="4"/>
        <v>1.437392775383054</v>
      </c>
      <c r="F62" s="124">
        <f t="shared" si="4"/>
        <v>1.5328674713174908</v>
      </c>
      <c r="H62" s="120"/>
    </row>
    <row r="63" spans="1:8" ht="13.15">
      <c r="A63" s="143">
        <f t="shared" si="3"/>
        <v>15</v>
      </c>
      <c r="B63" s="124">
        <f t="shared" si="4"/>
        <v>1.1946370047141561</v>
      </c>
      <c r="C63" s="124">
        <f t="shared" si="4"/>
        <v>1.3102385400000001</v>
      </c>
      <c r="D63" s="124">
        <f t="shared" si="4"/>
        <v>1.4451520082339331</v>
      </c>
      <c r="E63" s="124">
        <f t="shared" si="4"/>
        <v>1.5210269926251576</v>
      </c>
      <c r="F63" s="124">
        <f t="shared" si="4"/>
        <v>1.6923722509016794</v>
      </c>
      <c r="H63" s="120"/>
    </row>
    <row r="64" spans="1:8" ht="13.15">
      <c r="A64" s="144">
        <f t="shared" si="3"/>
        <v>20</v>
      </c>
      <c r="B64" s="124">
        <f t="shared" si="4"/>
        <v>1.1566707568958698</v>
      </c>
      <c r="C64" s="124">
        <f t="shared" si="4"/>
        <v>1.3102385400000003</v>
      </c>
      <c r="D64" s="124">
        <f t="shared" si="4"/>
        <v>1.4995345074028643</v>
      </c>
      <c r="E64" s="124">
        <f t="shared" si="4"/>
        <v>1.6106053184979756</v>
      </c>
      <c r="F64" s="124">
        <f t="shared" si="4"/>
        <v>1.8731525689367938</v>
      </c>
      <c r="H64" s="120"/>
    </row>
    <row r="65" spans="1:8" ht="13.15">
      <c r="A65" s="144">
        <f t="shared" si="3"/>
        <v>25</v>
      </c>
      <c r="B65" s="124">
        <f t="shared" si="4"/>
        <v>1.1239531749502607</v>
      </c>
      <c r="C65" s="124">
        <f t="shared" si="4"/>
        <v>1.3102385400000003</v>
      </c>
      <c r="D65" s="124">
        <f t="shared" si="4"/>
        <v>1.5512940952203136</v>
      </c>
      <c r="E65" s="124">
        <f t="shared" si="4"/>
        <v>1.6982946170314228</v>
      </c>
      <c r="F65" s="124">
        <f t="shared" si="4"/>
        <v>2.0610188676660659</v>
      </c>
    </row>
    <row r="66" spans="1:8" ht="13.15">
      <c r="A66" s="144">
        <f t="shared" si="3"/>
        <v>30</v>
      </c>
      <c r="B66" s="124">
        <f t="shared" si="4"/>
        <v>1.0972144828574628</v>
      </c>
      <c r="C66" s="124">
        <f t="shared" si="4"/>
        <v>1.3102385400000003</v>
      </c>
      <c r="D66" s="124">
        <f t="shared" si="4"/>
        <v>1.5980214164342932</v>
      </c>
      <c r="E66" s="124">
        <f t="shared" si="4"/>
        <v>1.7797993041424409</v>
      </c>
      <c r="F66" s="124">
        <f t="shared" si="4"/>
        <v>2.2469456883421381</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1.6923722509016794</v>
      </c>
      <c r="F69" s="142">
        <f>Scenarios!C58</f>
        <v>0.05</v>
      </c>
    </row>
    <row r="70" spans="1:8">
      <c r="B70" s="127" t="str">
        <f>Scenarios!B36</f>
        <v>Optimistic</v>
      </c>
      <c r="C70" s="142">
        <f>Scenarios!C38</f>
        <v>0.03</v>
      </c>
      <c r="D70" s="145">
        <f>Scenarios!C37</f>
        <v>10</v>
      </c>
      <c r="E70" s="135">
        <f>INDEX(B$60:F$66, MATCH(D70, A$60:A$66, 0), MATCH(C70, B$59:F$59, 0))</f>
        <v>1.437392775383054</v>
      </c>
      <c r="F70" s="142">
        <f>Scenarios!C40*(1-F$69-F$73)</f>
        <v>0.18</v>
      </c>
      <c r="H70" s="120"/>
    </row>
    <row r="71" spans="1:8">
      <c r="B71" s="127" t="str">
        <f>Scenarios!B24</f>
        <v>Base</v>
      </c>
      <c r="C71" s="142">
        <f>Scenarios!C26</f>
        <v>0.02</v>
      </c>
      <c r="D71" s="145">
        <f>Scenarios!C25</f>
        <v>10</v>
      </c>
      <c r="E71" s="135">
        <f>INDEX(B$60:F$66, MATCH(D71, A$60:A$66, 0), MATCH(C71, B$59:F$59, 0))</f>
        <v>1.3929873577527274</v>
      </c>
      <c r="F71" s="142">
        <f>Scenarios!C28*(1-F$69-F$73)</f>
        <v>0.53999999999999992</v>
      </c>
      <c r="H71" s="120"/>
    </row>
    <row r="72" spans="1:8">
      <c r="B72" s="127" t="str">
        <f>Scenarios!B30</f>
        <v>Pessimistic</v>
      </c>
      <c r="C72" s="142">
        <f>Scenarios!C32</f>
        <v>0</v>
      </c>
      <c r="D72" s="145">
        <f>Scenarios!C31</f>
        <v>10</v>
      </c>
      <c r="E72" s="135">
        <f>INDEX(B$60:F$66, MATCH(D72, A$60:A$66, 0), MATCH(C72, B$59:F$59, 0))</f>
        <v>1.3102385400000003</v>
      </c>
      <c r="F72" s="142">
        <f>Scenarios!C34*(1-F$69-F$73)</f>
        <v>0.18</v>
      </c>
      <c r="H72" s="120"/>
    </row>
    <row r="73" spans="1:8">
      <c r="B73" s="127" t="str">
        <f>Scenarios!B48</f>
        <v>Devil's advocate</v>
      </c>
      <c r="C73" s="142">
        <f>Scenarios!C50</f>
        <v>-0.02</v>
      </c>
      <c r="D73" s="145">
        <f>Scenarios!C49</f>
        <v>15</v>
      </c>
      <c r="E73" s="135">
        <f>INDEX(B$60:F$66, MATCH(D73, A$60:A$66, 0), MATCH(C73, B$59:F$59, 0))</f>
        <v>1.1946370047141561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-1.98</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3.3717888285646023</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1.98</v>
      </c>
      <c r="D21" t="str">
        <f>Market_currency</f>
        <v>HKD</v>
      </c>
      <c r="E21" s="369"/>
      <c r="F21" s="369"/>
    </row>
    <row r="22" spans="2:6">
      <c r="B22" s="100" t="s">
        <v>277</v>
      </c>
      <c r="C22" s="160">
        <f>IF(valuation_method="DCF",DCF!C12,DDM!C7)</f>
        <v>3.170811534609038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3.2843267846212179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3.1708115346090375</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3.3452423628868133</v>
      </c>
      <c r="D39" t="str">
        <f>Market_currency</f>
        <v>HKD</v>
      </c>
      <c r="E39" s="367"/>
      <c r="F39" s="367"/>
    </row>
    <row r="40" spans="2:6">
      <c r="B40" s="100" t="s">
        <v>146</v>
      </c>
      <c r="C40" s="167">
        <f>1-C28-C34</f>
        <v>0.2</v>
      </c>
      <c r="D40" s="165"/>
      <c r="E40" s="367"/>
      <c r="F40" s="367"/>
    </row>
    <row r="42" spans="2:6" ht="13.15">
      <c r="B42" s="100" t="s">
        <v>119</v>
      </c>
      <c r="C42" s="154">
        <f>C27*C28+C33*C34+C39*C40</f>
        <v>3.2738068502719009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3.0122287592154651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3.6950245071823717</v>
      </c>
      <c r="D57" t="str">
        <f>Market_currency</f>
        <v>HKD</v>
      </c>
      <c r="E57" s="367"/>
      <c r="F57" s="367"/>
    </row>
    <row r="58" spans="2:6">
      <c r="B58" s="100" t="s">
        <v>146</v>
      </c>
      <c r="C58" s="165">
        <v>0.05</v>
      </c>
      <c r="D58" s="165"/>
      <c r="E58" s="367"/>
      <c r="F58" s="367"/>
    </row>
    <row r="60" spans="2:6" ht="13.15">
      <c r="B60" s="100" t="s">
        <v>119</v>
      </c>
      <c r="C60" s="154">
        <f>C51*C52+C57*C58+C42*(1-C52-C58)</f>
        <v>3.2817888285646024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3.2843267846212179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0.41849725809070232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0.3674</v>
      </c>
    </row>
    <row r="81" spans="2:8">
      <c r="B81" s="100" t="s">
        <v>120</v>
      </c>
      <c r="C81" s="116">
        <f>PV(C80, C76, -C77, 0)</f>
        <v>0.14915333874283732</v>
      </c>
      <c r="D81" s="116"/>
      <c r="E81" s="100"/>
      <c r="F81" s="100"/>
    </row>
    <row r="82" spans="2:8">
      <c r="B82" s="100" t="s">
        <v>121</v>
      </c>
      <c r="C82" s="116">
        <f>C60/(1+C80)^C76</f>
        <v>1.2835828493567674</v>
      </c>
      <c r="D82" s="116"/>
    </row>
    <row r="83" spans="2:8" ht="13.15">
      <c r="B83" s="110" t="s">
        <v>101</v>
      </c>
      <c r="C83" s="111">
        <f>C81+C82</f>
        <v>1.4327361880996046</v>
      </c>
      <c r="D83" t="str">
        <f>Market_currency</f>
        <v>HKD</v>
      </c>
      <c r="E83" s="146" t="s">
        <v>125</v>
      </c>
      <c r="F83" s="291">
        <f>(1-C83/C60)</f>
        <v>0.56342828166483261</v>
      </c>
    </row>
    <row r="84" spans="2:8">
      <c r="E84" s="120"/>
    </row>
    <row r="85" spans="2:8" ht="13.15">
      <c r="B85" s="109" t="s">
        <v>301</v>
      </c>
    </row>
    <row r="86" spans="2:8">
      <c r="B86" s="148" t="s">
        <v>299</v>
      </c>
      <c r="C86" s="116">
        <f>Market_Price</f>
        <v>1.98</v>
      </c>
      <c r="D86" t="str">
        <f>Market_currency</f>
        <v>HKD</v>
      </c>
    </row>
    <row r="87" spans="2:8" ht="13.15">
      <c r="B87" s="100" t="s">
        <v>297</v>
      </c>
      <c r="C87" s="237">
        <f ca="1">IRR(OFFSET($I$3, 0, 0, $C$76 + 1, 1))</f>
        <v>0.22235901596750041</v>
      </c>
    </row>
    <row r="88" spans="2:8">
      <c r="B88" s="100"/>
    </row>
    <row r="89" spans="2:8" ht="13.15">
      <c r="B89" s="109" t="s">
        <v>409</v>
      </c>
    </row>
    <row r="90" spans="2:8">
      <c r="B90" s="148" t="s">
        <v>410</v>
      </c>
      <c r="C90" s="167">
        <f>Thesis!F30</f>
        <v>0.21740000000000001</v>
      </c>
    </row>
    <row r="91" spans="2:8">
      <c r="B91" s="100" t="s">
        <v>120</v>
      </c>
      <c r="C91" s="116">
        <f>PV(C90, C76, -C77, 0)</f>
        <v>0.18453607414784434</v>
      </c>
      <c r="D91" s="116"/>
      <c r="E91" s="100"/>
      <c r="F91" s="100"/>
    </row>
    <row r="92" spans="2:8">
      <c r="B92" s="100" t="s">
        <v>121</v>
      </c>
      <c r="C92" s="116">
        <f>C60/(1+C90)^C76</f>
        <v>1.8189080291862718</v>
      </c>
      <c r="D92" s="116"/>
    </row>
    <row r="93" spans="2:8" ht="13.15">
      <c r="B93" s="110" t="s">
        <v>101</v>
      </c>
      <c r="C93" s="111">
        <f>C91+C92</f>
        <v>2.0034441033341164</v>
      </c>
      <c r="D93" t="str">
        <f>Market_currency</f>
        <v>HKD</v>
      </c>
      <c r="E93" s="146" t="s">
        <v>125</v>
      </c>
      <c r="F93" s="291">
        <f>(1-C93/C60)</f>
        <v>0.38952680748493251</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2.6417106044516152</v>
      </c>
      <c r="D98" s="116"/>
      <c r="G98" s="2"/>
      <c r="H98" s="281"/>
    </row>
    <row r="99" spans="2:8" ht="13.15">
      <c r="B99" s="110" t="s">
        <v>395</v>
      </c>
      <c r="C99" s="111">
        <f>C97+C98</f>
        <v>2.8757579210400914</v>
      </c>
      <c r="D99" t="s">
        <v>393</v>
      </c>
      <c r="E99" s="146" t="s">
        <v>125</v>
      </c>
      <c r="F99" s="291">
        <f>(1-C99/C60)</f>
        <v>0.12372243576138375</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2.3522562505535531</v>
      </c>
      <c r="D104" s="116"/>
    </row>
    <row r="105" spans="2:8" ht="13.15">
      <c r="B105" s="110" t="s">
        <v>395</v>
      </c>
      <c r="C105" s="111">
        <f>C103+C104</f>
        <v>2.5693905318880317</v>
      </c>
      <c r="D105" t="s">
        <v>393</v>
      </c>
      <c r="E105" s="146" t="s">
        <v>125</v>
      </c>
      <c r="F105" s="291">
        <f>(1-C105/C66)</f>
        <v>0.21768121737485391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