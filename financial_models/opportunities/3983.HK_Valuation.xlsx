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273BCD3-9F5F-4D81-A7EC-EA2BE81259E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D68" i="8"/>
  <c r="C68" i="8"/>
  <c r="F70" i="8"/>
  <c r="E67" i="8"/>
  <c r="B70" i="8"/>
  <c r="C66" i="8"/>
  <c r="E70" i="8"/>
  <c r="F71" i="8"/>
  <c r="E69" i="8"/>
  <c r="C69" i="8"/>
  <c r="B68" i="8"/>
  <c r="B67" i="8"/>
  <c r="D66" i="8"/>
  <c r="B66" i="8"/>
  <c r="G54" i="2"/>
  <c r="F69" i="8" l="1"/>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<sst xmlns="http://schemas.openxmlformats.org/spreadsheetml/2006/main" count="626" uniqueCount="440">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</sst>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1.95</v>
      </c>
      <c r="D12" s="50"/>
      <c r="E12" s="48"/>
    </row>
    <row r="13" spans="1:10">
      <c r="B13" s="1" t="s">
        <v>426</v>
      </c>
      <c r="C13" s="48" t="s">
        <v>404</v>
      </c>
      <c r="D13" s="48"/>
      <c r="E13" s="5"/>
    </row>
    <row r="14" spans="1:10">
      <c r="B14" s="4" t="s">
        <v>430</v>
      </c>
      <c r="C14" s="35">
        <f>Thesis!C12*Common_Shares/1000000</f>
        <v>8989.5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1.582657938626912</v>
      </c>
      <c r="D25" s="1" t="s">
        <v>315</v>
      </c>
      <c r="E25" s="330">
        <v>3</v>
      </c>
    </row>
    <row r="26" spans="1:6">
      <c r="B26" s="1" t="s">
        <v>407</v>
      </c>
      <c r="C26" s="280">
        <f ca="1">Scenarios!C87</f>
        <v>0.20890029037251456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928439.85014218651</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4" t="s">
        <v>242</v>
      </c>
      <c r="C52" s="344"/>
      <c r="D52" s="344"/>
      <c r="E52" s="344"/>
      <c r="F52" s="344"/>
    </row>
    <row r="53" spans="2:6">
      <c r="B53" s="47" t="s">
        <v>240</v>
      </c>
      <c r="C53" s="188">
        <f>Normalized_FCF!C14</f>
        <v>-233268.98647286888</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6.7112926312535084E-2</v>
      </c>
    </row>
    <row r="64" spans="2:6">
      <c r="B64" s="254" t="s">
        <v>316</v>
      </c>
      <c r="C64" s="92">
        <f>Normalized_FCF!C93</f>
        <v>5.1282051282051287E-2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1.6358775788680426</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2119124</v>
      </c>
      <c r="D91" s="1" t="str">
        <f>Reporting_currency</f>
        <v>CNY</v>
      </c>
    </row>
    <row r="92" spans="1:6">
      <c r="B92" s="47" t="s">
        <v>285</v>
      </c>
      <c r="C92" s="248">
        <f>C91*scaling_factor*Exchange_Rate/Common_Shares</f>
        <v>0.48726061605206072</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1.8085079133153084</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1.20898863340564E-2</v>
      </c>
      <c r="D104" s="1" t="str">
        <f>Market_currency</f>
        <v>HKD</v>
      </c>
    </row>
    <row r="106" spans="1:6" ht="24.4" customHeight="1">
      <c r="B106" s="343" t="s">
        <v>374</v>
      </c>
      <c r="C106" s="343"/>
      <c r="D106" s="343"/>
      <c r="E106" s="343"/>
      <c r="F106" s="343"/>
    </row>
    <row r="108" spans="1:6">
      <c r="B108" s="47" t="s">
        <v>283</v>
      </c>
      <c r="C108" s="248">
        <f>Valuation_Model!C12</f>
        <v>2.9692147624653469</v>
      </c>
      <c r="D108" s="1" t="str">
        <f>Market_currency</f>
        <v>HKD</v>
      </c>
    </row>
    <row r="109" spans="1:6">
      <c r="B109" s="336" t="s">
        <v>414</v>
      </c>
      <c r="C109" s="248">
        <f>BS!D47</f>
        <v>1.7907626778741865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3.24 HKD</v>
      </c>
      <c r="F116" s="259">
        <f>Valuation_Model!F74</f>
        <v>0.05</v>
      </c>
    </row>
    <row r="117" spans="1:6">
      <c r="B117" s="242" t="str">
        <f>Valuation_Model!B75</f>
        <v>Optimistic</v>
      </c>
      <c r="C117" s="243">
        <f>Valuation_Model!C75</f>
        <v>0.03</v>
      </c>
      <c r="D117" s="244">
        <f>Valuation_Model!D75</f>
        <v>10</v>
      </c>
      <c r="E117" s="245" t="str">
        <f>ROUND(Valuation_Model!E75,2)&amp;" "&amp;Market_currency</f>
        <v>3.13 HKD</v>
      </c>
      <c r="F117" s="246">
        <f>Valuation_Model!F75</f>
        <v>0.18</v>
      </c>
    </row>
    <row r="118" spans="1:6">
      <c r="B118" s="242" t="str">
        <f>Valuation_Model!B76</f>
        <v>Base</v>
      </c>
      <c r="C118" s="243">
        <f>Valuation_Model!C76</f>
        <v>0.02</v>
      </c>
      <c r="D118" s="244">
        <f>Valuation_Model!D76</f>
        <v>10</v>
      </c>
      <c r="E118" s="245" t="str">
        <f>ROUND(Valuation_Model!E76,2)&amp;" "&amp;Market_currency</f>
        <v>3.07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2.97 HKD</v>
      </c>
      <c r="F120" s="246">
        <f>Valuation_Model!F78</f>
        <v>0.05</v>
      </c>
    </row>
    <row r="122" spans="1:6">
      <c r="B122" s="235" t="s">
        <v>259</v>
      </c>
      <c r="C122" s="241">
        <f>Scenarios!C60</f>
        <v>3.0780994911633259</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0.3</v>
      </c>
    </row>
    <row r="137" spans="2:6">
      <c r="B137" s="236" t="str">
        <f>"PV("&amp;C131&amp;" yrs of Dividends)"</f>
        <v>PV(3 yrs of Dividends)</v>
      </c>
      <c r="C137" s="240">
        <f>Scenarios!C81</f>
        <v>0.18161128812016392</v>
      </c>
    </row>
    <row r="138" spans="2:6">
      <c r="B138" s="236" t="str">
        <f>"+ PV(Equity Value realized at year "&amp;C131&amp;")"</f>
        <v>+ PV(Equity Value realized at year 3)</v>
      </c>
      <c r="C138" s="240">
        <f>Scenarios!C82</f>
        <v>1.401046650506748</v>
      </c>
    </row>
    <row r="139" spans="2:6">
      <c r="B139" s="80" t="s">
        <v>261</v>
      </c>
      <c r="C139" s="239">
        <f>Scenarios!C83</f>
        <v>1.582657938626912</v>
      </c>
      <c r="D139" s="342" t="str">
        <f>IF($D$11="","",C139*$E$22)</f>
        <v/>
      </c>
    </row>
    <row r="140" spans="2:6">
      <c r="B140" s="290" t="s">
        <v>426</v>
      </c>
      <c r="C140" s="340" t="str">
        <f>Market_currency</f>
        <v>HKD</v>
      </c>
      <c r="D140" s="340" t="str">
        <f>IF($D$11="","",D$13)</f>
        <v/>
      </c>
    </row>
    <row r="141" spans="2:6">
      <c r="B141" s="238" t="s">
        <v>263</v>
      </c>
      <c r="C141" s="92">
        <f>Scenarios!F83</f>
        <v>0.48583275388906688</v>
      </c>
    </row>
    <row r="143" spans="2:6">
      <c r="B143" s="234" t="s">
        <v>421</v>
      </c>
    </row>
    <row r="144" spans="2:6">
      <c r="B144" s="1" t="s">
        <v>420</v>
      </c>
      <c r="C144" s="337">
        <f>Scenarios!C90</f>
        <v>0.2</v>
      </c>
    </row>
    <row r="145" spans="1:6">
      <c r="B145" s="236" t="str">
        <f>"PV("&amp;C131&amp;" yrs of Dividends)"</f>
        <v>PV(3 yrs of Dividends)</v>
      </c>
      <c r="C145" s="240">
        <f>Scenarios!C91</f>
        <v>0.21064814814814814</v>
      </c>
    </row>
    <row r="146" spans="1:6">
      <c r="B146" s="236" t="str">
        <f>"+ PV(Equity Value realized at year "&amp;C131&amp;")"</f>
        <v>+ PV(Equity Value realized at year 3)</v>
      </c>
      <c r="C146" s="240">
        <f>Scenarios!C92</f>
        <v>1.7813075759047026</v>
      </c>
    </row>
    <row r="147" spans="1:6">
      <c r="B147" s="80" t="s">
        <v>261</v>
      </c>
      <c r="C147" s="239">
        <f>Scenarios!C93</f>
        <v>1.9919557240528507</v>
      </c>
      <c r="D147" s="342" t="str">
        <f>IF($D$11="","",C147*$E$22)</f>
        <v/>
      </c>
    </row>
    <row r="148" spans="1:6">
      <c r="B148" s="290" t="s">
        <v>426</v>
      </c>
      <c r="C148" s="340" t="str">
        <f>Market_currency</f>
        <v>HKD</v>
      </c>
      <c r="D148" s="340" t="str">
        <f>IF($D$11="","",D$13)</f>
        <v/>
      </c>
    </row>
    <row r="149" spans="1:6">
      <c r="B149" s="238" t="s">
        <v>263</v>
      </c>
      <c r="C149" s="92">
        <f>Scenarios!F93</f>
        <v>0.35286181302085917</v>
      </c>
    </row>
    <row r="151" spans="1:6">
      <c r="B151" s="234" t="s">
        <v>408</v>
      </c>
    </row>
    <row r="152" spans="1:6">
      <c r="B152" s="1" t="s">
        <v>419</v>
      </c>
      <c r="C152" s="92">
        <f>Scenarios!C96</f>
        <v>0.08</v>
      </c>
    </row>
    <row r="153" spans="1:6">
      <c r="B153" s="236" t="str">
        <f>"PV("&amp;C131&amp;" yrs of Dividends)"</f>
        <v>PV(3 yrs of Dividends)</v>
      </c>
      <c r="C153" s="240">
        <f>Scenarios!C97</f>
        <v>0.25770969872478805</v>
      </c>
    </row>
    <row r="154" spans="1:6">
      <c r="B154" s="236" t="str">
        <f>"+ PV(Equity Value realized at year "&amp;C131&amp;")"</f>
        <v>+ PV(Equity Value realized at year 3)</v>
      </c>
      <c r="C154" s="240">
        <f>Scenarios!C98</f>
        <v>2.4434946171532266</v>
      </c>
    </row>
    <row r="155" spans="1:6">
      <c r="B155" s="80" t="s">
        <v>409</v>
      </c>
      <c r="C155" s="239">
        <f>Scenarios!C99</f>
        <v>2.7012043158780146</v>
      </c>
      <c r="D155" s="342" t="str">
        <f>IF($D$11="","",C155*$E$22)</f>
        <v/>
      </c>
    </row>
    <row r="156" spans="1:6">
      <c r="B156" s="290" t="s">
        <v>426</v>
      </c>
      <c r="C156" s="340" t="str">
        <f>Market_currency</f>
        <v>HKD</v>
      </c>
      <c r="D156" s="340" t="str">
        <f>IF($D$11="","",D$13)</f>
        <v/>
      </c>
    </row>
    <row r="157" spans="1:6">
      <c r="B157" s="238" t="s">
        <v>263</v>
      </c>
      <c r="C157" s="92">
        <f>Scenarios!F99</f>
        <v>0.12244411734166172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437</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81">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-964204.44</v>
      </c>
      <c r="D73" s="188">
        <f>(Normalized_FCF!C25+Normalized_FCF!C35-Normalized_FCF!C91)/12</f>
        <v>-956584.92915481783</v>
      </c>
      <c r="F73" s="1" t="s">
        <v>359</v>
      </c>
    </row>
    <row r="74" spans="2:6" ht="15" customHeight="1">
      <c r="B74" s="288" t="s">
        <v>329</v>
      </c>
      <c r="C74" s="289">
        <f>-$C$66/C73</f>
        <v>12.125688821760663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-2246271.44</v>
      </c>
      <c r="D86" s="248">
        <f>C86*scaling_factor/Common_Shares</f>
        <v>-0.48726061605206072</v>
      </c>
      <c r="E86" s="269" t="str">
        <f>Market_currency</f>
        <v>HKD</v>
      </c>
    </row>
    <row r="87" spans="2:8" ht="15" customHeight="1">
      <c r="B87" s="267" t="s">
        <v>294</v>
      </c>
      <c r="C87" s="188">
        <f>Valuation_Model!C8*Exchange_Rate</f>
        <v>8337221.4803835722</v>
      </c>
      <c r="D87" s="248">
        <f>C87*scaling_factor/Common_Shares</f>
        <v>1.8085079133153086</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298</v>
      </c>
      <c r="C89" s="187">
        <f>SUM(C86:C88)</f>
        <v>6146684.4163835719</v>
      </c>
      <c r="D89" s="271">
        <f>SUM(D86:D88)</f>
        <v>1.3333371835973042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0.80996280963569622</v>
      </c>
      <c r="E92" s="302"/>
      <c r="G92" s="171">
        <f t="shared" ref="G92:Q92" si="38">IF(G$4="","",G90/(G19*scaling_factor/Common_Shares))</f>
        <v>0.9332849824706867</v>
      </c>
      <c r="H92" s="171">
        <f t="shared" si="38"/>
        <v>0.91223504223213125</v>
      </c>
      <c r="I92" s="171">
        <f t="shared" si="38"/>
        <v>0.64738583352709733</v>
      </c>
      <c r="J92" s="171">
        <f t="shared" si="38"/>
        <v>0.90109048001987424</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317</v>
      </c>
      <c r="C93" s="23">
        <f>C90/Market_Price</f>
        <v>5.1282051282051287E-2</v>
      </c>
      <c r="E93" s="302"/>
      <c r="G93" s="23">
        <f t="shared" ref="G93:Q93" si="39">IF(G$4="","",G90/Market_Price)</f>
        <v>6.5665641025641042E-2</v>
      </c>
      <c r="H93" s="23">
        <f t="shared" si="39"/>
        <v>0.11252307692307693</v>
      </c>
      <c r="I93" s="23">
        <f t="shared" si="39"/>
        <v>9.6758974358974362E-2</v>
      </c>
      <c r="J93" s="23">
        <f t="shared" si="39"/>
        <v>8.4256410256410258E-2</v>
      </c>
      <c r="K93" s="23">
        <f t="shared" si="39"/>
        <v>4.3487179487179485E-2</v>
      </c>
      <c r="L93" s="23">
        <f t="shared" si="39"/>
        <v>4.1312820512820515E-2</v>
      </c>
      <c r="M93" s="23">
        <f t="shared" si="39"/>
        <v>8.1538461538461546E-2</v>
      </c>
      <c r="N93" s="23">
        <f t="shared" si="39"/>
        <v>2.7179487179487178E-3</v>
      </c>
      <c r="O93" s="23">
        <f t="shared" si="39"/>
        <v>2.7179487179487184E-2</v>
      </c>
      <c r="P93" s="23">
        <f t="shared" si="39"/>
        <v>4.3487179487179485E-2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0.13087020630944343</v>
      </c>
      <c r="D124" s="27"/>
      <c r="E124" s="299"/>
      <c r="F124" s="27"/>
      <c r="G124" s="178">
        <f t="shared" ref="G124:Q124" si="49">IF(G$4="","",G16*$C$3/Common_Shares*Exchange_Rate)</f>
        <v>0.14543347696507392</v>
      </c>
      <c r="H124" s="178">
        <f t="shared" si="49"/>
        <v>0.25496192234721826</v>
      </c>
      <c r="I124" s="178">
        <f t="shared" si="49"/>
        <v>0.30893601565291073</v>
      </c>
      <c r="J124" s="178">
        <f t="shared" si="49"/>
        <v>0.19327470865762428</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6.7112926312535084E-2</v>
      </c>
      <c r="D125" s="27"/>
      <c r="E125" s="299"/>
      <c r="F125" s="27"/>
      <c r="G125" s="77">
        <f t="shared" ref="G125" si="50">IF(G$4="","",G124/Market_Price)</f>
        <v>7.4581270238499447E-2</v>
      </c>
      <c r="H125" s="77">
        <f t="shared" ref="H125" si="51">IF(H$4="","",H124/Market_Price)</f>
        <v>0.13074970376780423</v>
      </c>
      <c r="I125" s="77">
        <f t="shared" ref="I125" si="52">IF(I$4="","",I124/Market_Price)</f>
        <v>0.15842872597585167</v>
      </c>
      <c r="J125" s="77">
        <f t="shared" ref="J125" si="53">IF(J$4="","",J124/Market_Price)</f>
        <v>9.9115235209038088E-2</v>
      </c>
      <c r="K125" s="77">
        <f t="shared" ref="K125" si="54">IF(K$4="","",K124/Market_Price)</f>
        <v>5.1387861393848377E-2</v>
      </c>
      <c r="L125" s="77">
        <f t="shared" ref="L125" si="55">IF(L$4="","",L124/Market_Price)</f>
        <v>3.9828620056732864E-2</v>
      </c>
      <c r="M125" s="77">
        <f t="shared" ref="M125" si="56">IF(M$4="","",M124/Market_Price)</f>
        <v>0.1491203448467657</v>
      </c>
      <c r="N125" s="77">
        <f t="shared" ref="N125" si="57">IF(N$4="","",N124/Market_Price)</f>
        <v>4.6347216196673903E-2</v>
      </c>
      <c r="O125" s="77">
        <f t="shared" ref="O125" si="58">IF(O$4="","",O124/Market_Price)</f>
        <v>-4.8872844985816795E-2</v>
      </c>
      <c r="P125" s="77">
        <f t="shared" ref="P125" si="59">IF(P$4="","",P124/Market_Price)</f>
        <v>7.1039868735747261E-2</v>
      </c>
      <c r="Q125" s="77" t="str">
        <f t="shared" ref="Q125" si="60">IF(Q$4="","",Q124/Market_Price)</f>
        <v/>
      </c>
    </row>
    <row r="126" spans="1:17" ht="15.75" customHeight="1">
      <c r="B126" s="2" t="s">
        <v>402</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2.9692147624653469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3.0748273144719884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2.9692147624653469</v>
      </c>
      <c r="C65" s="125">
        <f>C12</f>
        <v>2.9692147624653469</v>
      </c>
      <c r="D65" s="125">
        <f>C12</f>
        <v>2.9692147624653469</v>
      </c>
      <c r="E65" s="142">
        <f>C12</f>
        <v>2.9692147624653469</v>
      </c>
      <c r="F65" s="125">
        <f>C12</f>
        <v>2.9692147624653469</v>
      </c>
      <c r="H65" s="121"/>
    </row>
    <row r="66" spans="1:8" ht="13.15">
      <c r="A66" s="144">
        <f t="shared" ref="A66:A71" si="3">A56</f>
        <v>5</v>
      </c>
      <c r="B66" s="125">
        <f t="shared" ref="B66:F71" si="4">(B56-$C$7+$C$8+$C$9)/Common_Shares*$C$3*Exchange_Rate</f>
        <v>2.9692147624653464</v>
      </c>
      <c r="C66" s="125">
        <f t="shared" si="4"/>
        <v>2.9954124025546811</v>
      </c>
      <c r="D66" s="125">
        <f t="shared" si="4"/>
        <v>3.0219967365400393</v>
      </c>
      <c r="E66" s="125">
        <f t="shared" si="4"/>
        <v>3.0489762367715612</v>
      </c>
      <c r="F66" s="125">
        <f t="shared" si="4"/>
        <v>3.0489762367715612</v>
      </c>
      <c r="H66" s="121"/>
    </row>
    <row r="67" spans="1:8" ht="13.15">
      <c r="A67" s="144">
        <f t="shared" si="3"/>
        <v>10</v>
      </c>
      <c r="B67" s="125">
        <f t="shared" si="4"/>
        <v>2.9692147624653464</v>
      </c>
      <c r="C67" s="125">
        <f t="shared" si="4"/>
        <v>3.0207718880041314</v>
      </c>
      <c r="D67" s="125">
        <f t="shared" si="4"/>
        <v>3.0748273144719884</v>
      </c>
      <c r="E67" s="125">
        <f t="shared" si="4"/>
        <v>3.131527041127085</v>
      </c>
      <c r="F67" s="125">
        <f t="shared" si="4"/>
        <v>3.131527041127085</v>
      </c>
      <c r="H67" s="121"/>
    </row>
    <row r="68" spans="1:8" ht="13.15">
      <c r="A68" s="144">
        <f t="shared" si="3"/>
        <v>15</v>
      </c>
      <c r="B68" s="125">
        <f t="shared" si="4"/>
        <v>2.9692147624653464</v>
      </c>
      <c r="C68" s="125">
        <f t="shared" si="4"/>
        <v>3.0513809961825542</v>
      </c>
      <c r="D68" s="125">
        <f t="shared" si="4"/>
        <v>3.1402198032093755</v>
      </c>
      <c r="E68" s="125">
        <f t="shared" si="4"/>
        <v>3.2363639196313208</v>
      </c>
      <c r="F68" s="125">
        <f t="shared" si="4"/>
        <v>3.2363639196313208</v>
      </c>
      <c r="H68" s="121"/>
    </row>
    <row r="69" spans="1:8" ht="13.15">
      <c r="A69" s="145">
        <f t="shared" si="3"/>
        <v>20</v>
      </c>
      <c r="B69" s="125">
        <f t="shared" si="4"/>
        <v>2.9692147624653464</v>
      </c>
      <c r="C69" s="125">
        <f t="shared" si="4"/>
        <v>3.0817621988834265</v>
      </c>
      <c r="D69" s="125">
        <f t="shared" si="4"/>
        <v>3.2068442623999878</v>
      </c>
      <c r="E69" s="125">
        <f t="shared" si="4"/>
        <v>3.3461014384251904</v>
      </c>
      <c r="F69" s="125">
        <f t="shared" si="4"/>
        <v>3.3461014384251904</v>
      </c>
      <c r="H69" s="121"/>
    </row>
    <row r="70" spans="1:8" ht="13.15">
      <c r="A70" s="145">
        <f t="shared" si="3"/>
        <v>25</v>
      </c>
      <c r="B70" s="125">
        <f t="shared" si="4"/>
        <v>2.9692147624653464</v>
      </c>
      <c r="C70" s="125">
        <f t="shared" si="4"/>
        <v>3.109269645562903</v>
      </c>
      <c r="D70" s="125">
        <f t="shared" si="4"/>
        <v>3.2688087064391378</v>
      </c>
      <c r="E70" s="125">
        <f t="shared" si="4"/>
        <v>3.4510738566972656</v>
      </c>
      <c r="F70" s="125">
        <f t="shared" si="4"/>
        <v>3.4510738566972656</v>
      </c>
    </row>
    <row r="71" spans="1:8" ht="13.15">
      <c r="A71" s="145">
        <f t="shared" si="3"/>
        <v>30</v>
      </c>
      <c r="B71" s="125">
        <f t="shared" si="4"/>
        <v>2.9692147624653464</v>
      </c>
      <c r="C71" s="125">
        <f t="shared" si="4"/>
        <v>3.1328766143069529</v>
      </c>
      <c r="D71" s="125">
        <f t="shared" si="4"/>
        <v>3.3234699658426679</v>
      </c>
      <c r="E71" s="125">
        <f t="shared" si="4"/>
        <v>3.5464121589049959</v>
      </c>
      <c r="F71" s="125">
        <f t="shared" si="4"/>
        <v>3.5464121589049959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3.2363639196313208</v>
      </c>
      <c r="F74" s="143">
        <f>Scenarios!C58</f>
        <v>0.05</v>
      </c>
    </row>
    <row r="75" spans="1:8">
      <c r="B75" s="128" t="str">
        <f>Scenarios!B36</f>
        <v>Optimistic</v>
      </c>
      <c r="C75" s="143">
        <f>Scenarios!C38</f>
        <v>0.03</v>
      </c>
      <c r="D75" s="146">
        <f>Scenarios!C37</f>
        <v>10</v>
      </c>
      <c r="E75" s="136">
        <f>INDEX(B$65:F$71, MATCH(D75, A$65:A$71, 0), MATCH(C75, B$64:F$64, 0))</f>
        <v>3.131527041127085</v>
      </c>
      <c r="F75" s="143">
        <f>Scenarios!C40*(1-F$74-F$78)</f>
        <v>0.18</v>
      </c>
      <c r="H75" s="121"/>
    </row>
    <row r="76" spans="1:8">
      <c r="B76" s="128" t="str">
        <f>Scenarios!B24</f>
        <v>Base</v>
      </c>
      <c r="C76" s="143">
        <f>Scenarios!C26</f>
        <v>0.02</v>
      </c>
      <c r="D76" s="146">
        <f>Scenarios!C25</f>
        <v>10</v>
      </c>
      <c r="E76" s="136">
        <f>INDEX(B$65:F$71, MATCH(D76, A$65:A$71, 0), MATCH(C76, B$64:F$64, 0))</f>
        <v>3.0748273144719884</v>
      </c>
      <c r="F76" s="143">
        <f>Scenarios!C28*(1-F$74-F$78)</f>
        <v>0.53999999999999992</v>
      </c>
      <c r="H76" s="121"/>
    </row>
    <row r="77" spans="1:8">
      <c r="B77" s="128" t="str">
        <f>Scenarios!B30</f>
        <v>Pessimistic</v>
      </c>
      <c r="C77" s="143">
        <f>Scenarios!C32</f>
        <v>0.01</v>
      </c>
      <c r="D77" s="146">
        <f>Scenarios!C31</f>
        <v>10</v>
      </c>
      <c r="E77" s="136">
        <f>INDEX(B$65:F$71, MATCH(D77, A$65:A$71, 0), MATCH(C77, B$64:F$64, 0))</f>
        <v>3.0207718880041314</v>
      </c>
      <c r="F77" s="143">
        <f>Scenarios!C34*(1-F$74-F$78)</f>
        <v>0.18</v>
      </c>
      <c r="H77" s="121"/>
    </row>
    <row r="78" spans="1:8">
      <c r="B78" s="128" t="str">
        <f>Scenarios!B48</f>
        <v>Devil's advocate</v>
      </c>
      <c r="C78" s="143">
        <f>Scenarios!C50</f>
        <v>0</v>
      </c>
      <c r="D78" s="146">
        <f>Scenarios!C49</f>
        <v>15</v>
      </c>
      <c r="E78" s="136">
        <f>INDEX(B$65:F$71, MATCH(D78, A$65:A$71, 0), MATCH(C78, B$64:F$64, 0))</f>
        <v>2.9692147624653464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3.178099491163326</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1.95</v>
      </c>
      <c r="D21" t="str">
        <f>Market_currency</f>
        <v>HKD</v>
      </c>
      <c r="E21" s="354"/>
      <c r="F21" s="354"/>
    </row>
    <row r="22" spans="2:6">
      <c r="B22" s="100" t="s">
        <v>281</v>
      </c>
      <c r="C22" s="161">
        <f>Valuation_Model!C12</f>
        <v>2.9692147624653469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3.0748273144719884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3.0207718880041314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3.131527041127085</v>
      </c>
      <c r="D39" t="str">
        <f>Market_currency</f>
        <v>HKD</v>
      </c>
      <c r="E39" s="352"/>
      <c r="F39" s="352"/>
    </row>
    <row r="40" spans="2:6">
      <c r="B40" s="100" t="s">
        <v>148</v>
      </c>
      <c r="C40" s="168">
        <f>1-C28-C34</f>
        <v>0.2</v>
      </c>
      <c r="D40" s="166"/>
      <c r="E40" s="352"/>
      <c r="F40" s="352"/>
    </row>
    <row r="42" spans="2:6" ht="13.15">
      <c r="B42" s="100" t="s">
        <v>121</v>
      </c>
      <c r="C42" s="155">
        <f>C27*C28+C33*C34+C39*C40</f>
        <v>3.0753561745094364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2.9692147624653464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3.2363639196313208</v>
      </c>
      <c r="D57" t="str">
        <f>Market_currency</f>
        <v>HKD</v>
      </c>
      <c r="E57" s="352"/>
      <c r="F57" s="352"/>
    </row>
    <row r="58" spans="2:6">
      <c r="B58" s="100" t="s">
        <v>148</v>
      </c>
      <c r="C58" s="166">
        <v>0.05</v>
      </c>
      <c r="D58" s="166"/>
      <c r="E58" s="352"/>
      <c r="F58" s="352"/>
    </row>
    <row r="60" spans="2:6" ht="13.15">
      <c r="B60" s="100" t="s">
        <v>121</v>
      </c>
      <c r="C60" s="155">
        <f>C51*C52+C57*C58+C42*(1-C52-C58)</f>
        <v>3.0780994911633259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3.0748273144719884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0.3</v>
      </c>
    </row>
    <row r="81" spans="2:8">
      <c r="B81" s="100" t="s">
        <v>122</v>
      </c>
      <c r="C81" s="117">
        <f>PV(C80, C76, -C77, 0)</f>
        <v>0.18161128812016392</v>
      </c>
      <c r="D81" s="117"/>
      <c r="E81" s="100"/>
      <c r="F81" s="100"/>
    </row>
    <row r="82" spans="2:8">
      <c r="B82" s="100" t="s">
        <v>123</v>
      </c>
      <c r="C82" s="117">
        <f>C60/(1+C80)^C76</f>
        <v>1.401046650506748</v>
      </c>
      <c r="D82" s="117"/>
    </row>
    <row r="83" spans="2:8" ht="13.15">
      <c r="B83" s="111" t="s">
        <v>102</v>
      </c>
      <c r="C83" s="112">
        <f>C81+C82</f>
        <v>1.582657938626912</v>
      </c>
      <c r="D83" t="str">
        <f>Market_currency</f>
        <v>HKD</v>
      </c>
      <c r="E83" s="147" t="s">
        <v>127</v>
      </c>
      <c r="F83" s="329">
        <f>(1-C83/C60)</f>
        <v>0.48583275388906688</v>
      </c>
    </row>
    <row r="84" spans="2:8">
      <c r="E84" s="121"/>
    </row>
    <row r="85" spans="2:8" ht="13.15">
      <c r="B85" s="109" t="s">
        <v>309</v>
      </c>
    </row>
    <row r="86" spans="2:8">
      <c r="B86" s="149" t="s">
        <v>307</v>
      </c>
      <c r="C86" s="266">
        <f>Market_Price</f>
        <v>1.95</v>
      </c>
      <c r="D86" t="str">
        <f>Market_currency</f>
        <v>HKD</v>
      </c>
    </row>
    <row r="87" spans="2:8" ht="13.15">
      <c r="B87" s="100" t="s">
        <v>305</v>
      </c>
      <c r="C87" s="265">
        <f ca="1">IRR(OFFSET($I$3, 0, 0, $C$76 + 1, 1))</f>
        <v>0.20890029037251456</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1.7813075759047026</v>
      </c>
      <c r="D92" s="117"/>
    </row>
    <row r="93" spans="2:8" ht="13.15">
      <c r="B93" s="111" t="s">
        <v>102</v>
      </c>
      <c r="C93" s="112">
        <f>C91+C92</f>
        <v>1.9919557240528507</v>
      </c>
      <c r="D93" t="str">
        <f>Market_currency</f>
        <v>HKD</v>
      </c>
      <c r="E93" s="147" t="s">
        <v>127</v>
      </c>
      <c r="F93" s="329">
        <f>(1-C93/C60)</f>
        <v>0.35286181302085917</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2.4434946171532266</v>
      </c>
      <c r="D98" s="117"/>
      <c r="G98" s="2"/>
      <c r="H98" s="316"/>
    </row>
    <row r="99" spans="2:8" ht="13.15">
      <c r="B99" s="111" t="s">
        <v>406</v>
      </c>
      <c r="C99" s="112">
        <f>C97+C98</f>
        <v>2.7012043158780146</v>
      </c>
      <c r="D99" t="s">
        <v>404</v>
      </c>
      <c r="E99" s="147" t="s">
        <v>127</v>
      </c>
      <c r="F99" s="329">
        <f>(1-C99/C60)</f>
        <v>0.12244411734166172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