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060558E-97E7-42B4-9BCC-9C6E63B4F085}"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Q92" i="2"/>
  <c r="Q94" i="2"/>
  <c r="J94" i="2"/>
  <c r="K94" i="2"/>
  <c r="L94" i="2"/>
  <c r="P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<sst xmlns="http://schemas.openxmlformats.org/spreadsheetml/2006/main" count="836" uniqueCount="560">
  <si>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</si>
  <si>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</si>
  <si>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</si>
  <si>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</si>
  <si>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</si>
  <si>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</si>
  <si>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</si>
  <si>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</si>
  <si>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</si>
  <si>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</si>
  <si>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</si>
  <si>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</si>
  <si>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</si>
  <si>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</si>
  <si>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</si>
  <si>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</si>
  <si>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</si>
  <si>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</si>
  <si>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</si>
  <si>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</si>
  <si>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</si>
  <si>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</si>
  <si>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</si>
  <si>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</si>
  <si>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</si>
  <si>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</si>
  <si>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</si>
  <si>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</si>
  <si>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</si>
  <si>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</si>
  <si>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</si>
  <si>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</si>
  <si>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</si>
  <si>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</si>
  <si>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</si>
  <si>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</si>
  <si>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</si>
  <si>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</si>
  <si>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</si>
  <si>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</si>
  <si>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</si>
  <si>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</si>
  <si>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</si>
  <si>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</si>
  <si>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</si>
  <si>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</si>
  <si>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</si>
  <si>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</si>
  <si>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</si>
  <si>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</si>
  <si>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</si>
  <si>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</si>
  <si>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</si>
  <si>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</si>
  <si>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</si>
  <si>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</si>
  <si>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</si>
  <si>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</si>
  <si>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</si>
  <si>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</si>
  <si>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</si>
  <si>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</si>
  <si>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</si>
  <si>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</si>
  <si>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</si>
  <si>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</si>
  <si>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</si>
  <si>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</si>
  <si>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</si>
  <si>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</si>
  <si>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</si>
  <si>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</si>
  <si>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</si>
  <si>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</si>
  <si>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</si>
  <si>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</si>
  <si>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</si>
  <si>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</si>
  <si>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</si>
  <si>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</si>
  <si>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</si>
  <si>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</si>
  <si>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</si>
  <si>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</si>
  <si>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</si>
  <si>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</si>
  <si>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</si>
  <si>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</si>
  <si>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</si>
  <si>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</si>
  <si>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</si>
  <si>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</si>
  <si>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</si>
  <si>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</si>
  <si>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</si>
  <si>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</si>
  <si>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</si>
  <si>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</si>
  <si>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</si>
  <si>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</si>
  <si>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</si>
  <si>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</si>
  <si>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</si>
  <si>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</si>
  <si>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</si>
  <si>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</si>
  <si>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</si>
  <si>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</si>
  <si>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</si>
  <si>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</si>
  <si>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</si>
  <si>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</si>
  <si>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</si>
  <si>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</si>
  <si>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</si>
  <si>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</si>
  <si>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</si>
  <si>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</si>
  <si>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</si>
  <si>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</si>
  <si>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</si>
  <si>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</si>
  <si>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</si>
  <si>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</si>
  <si>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</si>
  <si>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</si>
  <si>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</si>
  <si>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</si>
  <si>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</si>
  <si>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</si>
  <si>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</si>
  <si>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</si>
  <si>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</si>
  <si>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</si>
  <si>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</si>
  <si>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</si>
  <si>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</si>
  <si>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</si>
  <si>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</si>
  <si>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</si>
  <si>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</si>
  <si>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</si>
  <si>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</si>
  <si>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</si>
  <si>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</si>
  <si>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</si>
  <si>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</si>
  <si>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</si>
  <si>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</si>
  <si>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</si>
  <si>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</si>
  <si>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</si>
  <si>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</si>
  <si>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</si>
  <si>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</si>
  <si>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</si>
  <si>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</si>
  <si>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</si>
  <si>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</si>
  <si>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</si>
  <si>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</si>
  <si>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</si>
  <si>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</si>
  <si>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</si>
  <si>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</si>
  <si>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</si>
  <si>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</si>
  <si>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</si>
  <si>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</si>
  <si>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</si>
  <si>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</si>
  <si>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</si>
  <si>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</si>
  <si>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</si>
  <si>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</si>
  <si>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</si>
  <si>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</si>
  <si>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</si>
  <si>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</si>
  <si>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</si>
  <si>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</si>
  <si>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</si>
  <si>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</si>
  <si>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</si>
  <si>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</si>
  <si>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</si>
  <si>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</si>
  <si>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</si>
  <si>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</si>
  <si>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</si>
  <si>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</si>
  <si>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</si>
  <si>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</si>
  <si>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</si>
  <si>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</si>
  <si>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</si>
  <si>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</si>
  <si>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</si>
  <si>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</si>
  <si>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</si>
  <si>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</si>
  <si>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</si>
  <si>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</si>
  <si>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</si>
  <si>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</si>
  <si>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</si>
  <si>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</si>
  <si>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</si>
  <si>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</si>
  <si>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</si>
  <si>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</si>
  <si>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</si>
  <si>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</si>
  <si>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</si>
  <si>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</si>
  <si>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</si>
  <si>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</si>
  <si>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</si>
  <si>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</si>
  <si>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</si>
  <si>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</si>
  <si>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</si>
  <si>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</si>
  <si>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</si>
  <si>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</si>
  <si>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</si>
  <si>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</si>
  <si>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</si>
  <si>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</si>
  <si>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</si>
  <si>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</si>
  <si>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</si>
  <si>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</si>
  <si>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</si>
  <si>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</si>
  <si>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</si>
  <si>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</si>
  <si>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</si>
  <si>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</si>
  <si>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</si>
  <si>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</si>
  <si>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</si>
  <si>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</si>
  <si>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</si>
  <si>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</si>
  <si>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</si>
  <si>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</si>
  <si>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</si>
  <si>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</si>
  <si>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</si>
  <si>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</si>
  <si>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</si>
  <si>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</si>
  <si>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</si>
  <si>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</si>
  <si>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</si>
  <si>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</si>
  <si>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</si>
  <si>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</si>
  <si>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</si>
  <si>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</si>
  <si>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</si>
  <si>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</si>
  <si>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</si>
  <si>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</si>
  <si>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</si>
  <si>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</si>
  <si>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</si>
  <si>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</si>
  <si>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</si>
  <si>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</si>
  <si>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</si>
  <si>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</si>
  <si>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</si>
  <si>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</si>
  <si>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</si>
  <si>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</si>
  <si>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</si>
  <si>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</si>
  <si>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</si>
  <si>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</si>
  <si>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</si>
  <si>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</si>
  <si>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</si>
  <si>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</si>
  <si>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</si>
  <si>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</si>
  <si>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</si>
  <si>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</si>
  <si>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</si>
  <si>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</si>
  <si>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</si>
  <si>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</si>
  <si>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</si>
  <si>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</si>
  <si>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</si>
  <si>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</si>
  <si>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</si>
  <si>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</si>
  <si>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</si>
  <si>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</si>
  <si>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</si>
  <si>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</si>
  <si>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</si>
  <si>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</si>
  <si>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</si>
  <si>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</si>
  <si>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</si>
  <si>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</si>
  <si>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</si>
  <si>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</si>
  <si>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</si>
  <si>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</si>
  <si>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</si>
  <si>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</si>
  <si>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</si>
  <si>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</si>
  <si>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</si>
  <si>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</si>
  <si>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</si>
  <si>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</si>
  <si>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</si>
  <si>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</si>
  <si>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</si>
  <si>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</si>
  <si>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</si>
  <si>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</si>
  <si>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</si>
  <si>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</si>
  <si>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</si>
  <si>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</si>
  <si>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</si>
  <si>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</si>
  <si>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</si>
  <si>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</si>
  <si>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</si>
  <si>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</si>
  <si>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</si>
  <si>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</si>
  <si>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</si>
  <si>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</si>
  <si>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</si>
  <si>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</si>
  <si>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</si>
  <si>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</si>
  <si>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</si>
  <si>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</si>
  <si>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</si>
  <si>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</si>
  <si>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</si>
  <si>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</si>
  <si>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</si>
  <si>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</si>
  <si>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</si>
  <si>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</si>
  <si>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</si>
  <si>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</si>
  <si>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</si>
  <si>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</si>
  <si>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</si>
  <si>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</si>
  <si>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</si>
  <si>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</si>
  <si>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</si>
  <si>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</si>
  <si>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</si>
  <si>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</si>
  <si>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</si>
  <si>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</si>
  <si>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</si>
  <si>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</si>
  <si>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</si>
  <si>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</si>
  <si>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</si>
  <si>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</si>
  <si>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</si>
  <si>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</si>
  <si>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</si>
  <si>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</si>
  <si>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</si>
  <si>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</si>
  <si>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</si>
  <si>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</si>
  <si>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</si>
  <si>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</si>
  <si>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</si>
  <si>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</si>
  <si>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</si>
  <si>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</si>
  <si>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</si>
  <si>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</si>
  <si>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</si>
  <si>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</si>
  <si>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</si>
  <si>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</si>
  <si>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</si>
  <si>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</si>
  <si>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</si>
  <si>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</si>
  <si>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</si>
  <si>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</si>
  <si>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</si>
  <si>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</si>
  <si>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</si>
  <si>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</si>
  <si>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</si>
  <si>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</si>
  <si>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</si>
  <si>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</si>
  <si>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</si>
  <si>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</si>
  <si>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</si>
  <si>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</si>
  <si>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</si>
  <si>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</si>
  <si>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</si>
  <si>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</si>
  <si>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</si>
  <si>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</si>
  <si>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</si>
  <si>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</si>
  <si>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</si>
  <si>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</si>
  <si>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</si>
  <si>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</si>
  <si>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</si>
  <si>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</si>
  <si>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</si>
  <si>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</si>
  <si>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</si>
  <si>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</si>
  <si>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</si>
  <si>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</si>
  <si>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</si>
  <si>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</si>
  <si>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</si>
  <si>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</si>
  <si>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</si>
  <si>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</si>
  <si>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</si>
  <si>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</si>
  <si>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</si>
  <si>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</si>
  <si>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</si>
  <si>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</si>
  <si>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</si>
  <si>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</si>
  <si>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</si>
  <si>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</si>
  <si>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</si>
  <si>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</si>
  <si>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</si>
  <si>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</si>
  <si>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</si>
  <si>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</si>
  <si>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</si>
  <si>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</si>
  <si>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</si>
  <si>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</si>
  <si>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</si>
  <si>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</si>
  <si>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</si>
  <si>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</si>
  <si>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</si>
  <si>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</si>
  <si>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</si>
  <si>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</si>
  <si>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</si>
  <si>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</si>
  <si>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</si>
  <si>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</si>
  <si>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</si>
  <si>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</si>
  <si>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</si>
  <si>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</si>
  <si>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</si>
  <si>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</si>
  <si>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</si>
  <si>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</si>
  <si>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</si>
  <si>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</si>
  <si>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</si>
  <si>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</si>
  <si>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</si>
  <si>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</si>
  <si>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</si>
  <si>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</si>
  <si>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</si>
  <si>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</si>
  <si>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</si>
  <si>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</si>
  <si>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</si>
  <si>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</si>
  <si>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</si>
  <si>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</si>
  <si>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</si>
  <si>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</si>
  <si>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</si>
  <si>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</si>
  <si>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</si>
  <si>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</si>
  <si>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</si>
  <si>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</si>
  <si>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</si>
  <si>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</si>
  <si>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</si>
  <si>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</si>
  <si>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</si>
  <si>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</si>
  <si>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</si>
  <si>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</si>
  <si>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</si>
  <si>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</si>
  <si>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</si>
  <si>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</si>
  <si>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</si>
  <si>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</si>
  <si>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</si>
  <si>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</si>
  <si>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</si>
  <si>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</si>
  <si>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</si>
  <si>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</si>
  <si>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</si>
  <si>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</si>
  <si>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</si>
  <si>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</si>
  <si>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</si>
  <si>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</si>
  <si>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</si>
  <si>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</si>
  <si>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</si>
  <si>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</si>
  <si>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</si>
  <si>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</si>
  <si>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</si>
  <si>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</si>
  <si>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</si>
  <si>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</si>
  <si>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</si>
  <si>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</si>
  <si>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</si>
  <si>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</si>
  <si>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</si>
  <si>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</si>
  <si>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</si>
  <si>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</si>
  <si>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</si>
  <si>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</si>
  <si>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</si>
  <si>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</si>
  <si>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</si>
  <si>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</si>
  <si>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中海石油化学</t>
  </si>
  <si>
    <t>3983.HK</t>
  </si>
  <si>
    <t/>
  </si>
  <si>
    <t>ENG_03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</si>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</sst>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F37146B4-B37D-4BFC-8190-8DC8E376F0A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4610000000</v>
          </cell>
        </row>
        <row r="12">
          <cell r="C12">
            <v>2.14</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2.14</v>
      </c>
      <c r="D12" s="50"/>
      <c r="E12" s="48"/>
    </row>
    <row r="13" spans="1:10">
      <c r="B13" s="1" t="s">
        <v>465</v>
      </c>
      <c r="C13" s="48" t="s">
        <v>377</v>
      </c>
      <c r="D13" s="48"/>
      <c r="E13" s="5"/>
    </row>
    <row r="14" spans="1:10">
      <c r="B14" s="4" t="s">
        <v>466</v>
      </c>
      <c r="C14" s="35">
        <f>Thesis!C12*Common_Shares/1000000</f>
        <v>9865.4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1.0934214200000001</v>
      </c>
      <c r="D16" s="50"/>
      <c r="E16" s="5"/>
    </row>
    <row r="17" spans="2:6">
      <c r="D17" s="5"/>
      <c r="E17" s="5"/>
    </row>
    <row r="18" spans="2:6" ht="24.6" customHeight="1">
      <c r="B18" s="367" t="s">
        <v>469</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3.2864655631966784</v>
      </c>
      <c r="D26" s="1" t="s">
        <v>380</v>
      </c>
      <c r="E26" s="301">
        <f ca="1">Scenarios!C87</f>
        <v>0.19054307365665335</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1.4883871617930917</v>
      </c>
      <c r="D29" s="310" t="str">
        <f>D149</f>
        <v/>
      </c>
      <c r="E29" s="306" t="s">
        <v>401</v>
      </c>
      <c r="F29" s="302">
        <v>0.35</v>
      </c>
    </row>
    <row r="30" spans="2:6">
      <c r="B30" s="1" t="s">
        <v>403</v>
      </c>
      <c r="C30" s="311">
        <f>C157</f>
        <v>1.8583503683566993</v>
      </c>
      <c r="D30" s="311" t="str">
        <f>D157</f>
        <v/>
      </c>
      <c r="E30" s="307" t="s">
        <v>414</v>
      </c>
      <c r="F30" s="312">
        <v>0.25</v>
      </c>
    </row>
    <row r="31" spans="2:6">
      <c r="B31" s="1" t="s">
        <v>404</v>
      </c>
      <c r="C31" s="311">
        <f>C165</f>
        <v>2.8795225080129727</v>
      </c>
      <c r="D31" s="311" t="str">
        <f>D165</f>
        <v/>
      </c>
      <c r="E31" s="307" t="s">
        <v>413</v>
      </c>
      <c r="F31" s="312">
        <v>7.4999999999999997E-2</v>
      </c>
    </row>
    <row r="32" spans="2:6">
      <c r="B32" s="1" t="s">
        <v>405</v>
      </c>
      <c r="C32" s="311">
        <f>C173</f>
        <v>2.5727426300409442</v>
      </c>
      <c r="D32" s="311" t="str">
        <f>D173</f>
        <v/>
      </c>
      <c r="E32" s="307" t="s">
        <v>415</v>
      </c>
      <c r="F32" s="312">
        <v>0.1174</v>
      </c>
    </row>
    <row r="33" spans="1:6">
      <c r="D33" s="5"/>
      <c r="E33" s="5"/>
    </row>
    <row r="34" spans="1:6" ht="13.9">
      <c r="A34" s="222" t="s">
        <v>345</v>
      </c>
      <c r="B34" s="36"/>
      <c r="C34" s="36"/>
      <c r="D34" s="36"/>
      <c r="E34" s="36"/>
      <c r="F34" s="36"/>
    </row>
    <row r="36" spans="1:6">
      <c r="B36" s="367" t="s">
        <v>470</v>
      </c>
      <c r="C36" s="367"/>
      <c r="D36" s="367"/>
      <c r="E36" s="367"/>
      <c r="F36" s="367"/>
    </row>
    <row r="37" spans="1:6" ht="24.6" customHeight="1">
      <c r="B37" s="369" t="s">
        <v>330</v>
      </c>
      <c r="C37" s="369"/>
      <c r="D37" s="369"/>
      <c r="E37" s="369"/>
      <c r="F37" s="369"/>
    </row>
    <row r="39" spans="1:6">
      <c r="B39" s="210" t="s">
        <v>226</v>
      </c>
      <c r="C39" s="108">
        <f>scaling_factor</f>
        <v>1000</v>
      </c>
    </row>
    <row r="40" spans="1:6" ht="24.6" customHeight="1">
      <c r="B40" s="368" t="s">
        <v>227</v>
      </c>
      <c r="C40" s="368"/>
      <c r="D40" s="368"/>
      <c r="E40" s="368"/>
      <c r="F40" s="368"/>
    </row>
    <row r="41" spans="1:6">
      <c r="B41" s="47" t="s">
        <v>228</v>
      </c>
      <c r="C41" s="349">
        <f>Normalized_FCF!C8</f>
        <v>928439.85014218651</v>
      </c>
      <c r="D41" s="1" t="str">
        <f>Reporting_currency</f>
        <v>CNY</v>
      </c>
    </row>
    <row r="42" spans="1:6">
      <c r="B42" s="47"/>
      <c r="C42" s="76"/>
    </row>
    <row r="43" spans="1:6" ht="24.6" customHeight="1">
      <c r="B43" s="368" t="s">
        <v>229</v>
      </c>
      <c r="C43" s="368"/>
      <c r="D43" s="368"/>
      <c r="E43" s="368"/>
      <c r="F43" s="368"/>
    </row>
    <row r="44" spans="1:6">
      <c r="B44" s="47" t="s">
        <v>230</v>
      </c>
      <c r="C44" s="349">
        <f>Normalized_FCF!C9</f>
        <v>0</v>
      </c>
      <c r="D44" s="1" t="str">
        <f>Reporting_currency</f>
        <v>CNY</v>
      </c>
    </row>
    <row r="45" spans="1:6">
      <c r="B45" s="52" t="s">
        <v>231</v>
      </c>
      <c r="C45" s="349">
        <f>Normalized_FCF!C10</f>
        <v>0</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68" t="s">
        <v>237</v>
      </c>
      <c r="C58" s="368"/>
      <c r="D58" s="368"/>
      <c r="E58" s="368"/>
      <c r="F58" s="368"/>
    </row>
    <row r="59" spans="2:6">
      <c r="B59" s="47" t="s">
        <v>235</v>
      </c>
      <c r="C59" s="349">
        <f>Normalized_FCF!C14</f>
        <v>-233268.98647286888</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6.3082475233012081E-2</v>
      </c>
      <c r="F69" s="314"/>
    </row>
    <row r="70" spans="1:6">
      <c r="B70" s="227" t="s">
        <v>435</v>
      </c>
      <c r="C70" s="92">
        <f>Normalized_FCF!C94</f>
        <v>4.2056074766355145E-2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67" t="s">
        <v>472</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1.7999532933152778</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2119124</v>
      </c>
      <c r="D102" s="1" t="str">
        <f>Reporting_currency</f>
        <v>CNY</v>
      </c>
    </row>
    <row r="103" spans="2:6">
      <c r="B103" s="47" t="s">
        <v>276</v>
      </c>
      <c r="C103" s="223">
        <f>C102*scaling_factor*Exchange_Rate/Common_Shares</f>
        <v>0.50262376859784819</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1.8655295194891146</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1.2471076116059004E-2</v>
      </c>
      <c r="D114" s="1" t="str">
        <f>Market_currency</f>
        <v>HKD</v>
      </c>
    </row>
    <row r="116" spans="1:6" ht="24.6" customHeight="1">
      <c r="B116" s="367" t="s">
        <v>352</v>
      </c>
      <c r="C116" s="367"/>
      <c r="D116" s="367"/>
      <c r="E116" s="367"/>
      <c r="F116" s="367"/>
    </row>
    <row r="118" spans="1:6">
      <c r="B118" s="47" t="s">
        <v>426</v>
      </c>
      <c r="C118" s="223">
        <f>IF(valuation_method="DCF",DCF!C12,DDM!C7)</f>
        <v>3.1753301203226036</v>
      </c>
      <c r="D118" s="1" t="str">
        <f>Market_currency</f>
        <v>HKD</v>
      </c>
    </row>
    <row r="119" spans="1:6">
      <c r="B119" s="296" t="s">
        <v>550</v>
      </c>
      <c r="C119" s="223">
        <f>BS!D47</f>
        <v>1.8472247831360336</v>
      </c>
      <c r="D119" s="1" t="str">
        <f>Market_currency</f>
        <v>HKD</v>
      </c>
    </row>
    <row r="121" spans="1:6" ht="13.9">
      <c r="A121" s="222" t="s">
        <v>473</v>
      </c>
      <c r="B121" s="36"/>
      <c r="C121" s="36"/>
      <c r="D121" s="36"/>
      <c r="E121" s="36"/>
      <c r="F121" s="36"/>
    </row>
    <row r="123" spans="1:6">
      <c r="B123" s="368" t="s">
        <v>474</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3.2864655631966784</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0" t="s">
        <v>353</v>
      </c>
      <c r="C138" s="370"/>
      <c r="D138" s="370"/>
      <c r="E138" s="370"/>
      <c r="F138" s="370"/>
    </row>
    <row r="139" spans="1:6">
      <c r="B139" s="367" t="s">
        <v>477</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1.3357579894108329</v>
      </c>
    </row>
    <row r="149" spans="2:4">
      <c r="B149" s="80" t="s">
        <v>256</v>
      </c>
      <c r="C149" s="215">
        <f>Scenarios!C83</f>
        <v>1.4883871617930917</v>
      </c>
      <c r="D149" s="300" t="str">
        <f>IF($D$11="","",C149*$E$25)</f>
        <v/>
      </c>
    </row>
    <row r="150" spans="2:4">
      <c r="B150" s="259" t="s">
        <v>396</v>
      </c>
      <c r="C150" s="298" t="str">
        <f>Market_currency</f>
        <v>HKD</v>
      </c>
      <c r="D150" s="298" t="str">
        <f>IF($D$11="","",D$13)</f>
        <v/>
      </c>
    </row>
    <row r="151" spans="2:4">
      <c r="B151" s="214" t="s">
        <v>258</v>
      </c>
      <c r="C151" s="92">
        <f>Scenarios!F83</f>
        <v>0.5471161546736647</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1.6826703683566993</v>
      </c>
    </row>
    <row r="157" spans="2:4">
      <c r="B157" s="80" t="s">
        <v>256</v>
      </c>
      <c r="C157" s="215">
        <f>Scenarios!C93</f>
        <v>1.8583503683566993</v>
      </c>
      <c r="D157" s="300" t="str">
        <f>IF($D$11="","",C157*$E$25)</f>
        <v/>
      </c>
    </row>
    <row r="158" spans="2:4">
      <c r="B158" s="259" t="s">
        <v>396</v>
      </c>
      <c r="C158" s="298" t="str">
        <f>Market_currency</f>
        <v>HKD</v>
      </c>
      <c r="D158" s="298" t="str">
        <f>IF($D$11="","",D$13)</f>
        <v/>
      </c>
    </row>
    <row r="159" spans="2:4">
      <c r="B159" s="214" t="s">
        <v>258</v>
      </c>
      <c r="C159" s="92">
        <f>Scenarios!F93</f>
        <v>0.43454439651906174</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2.6454751914244965</v>
      </c>
    </row>
    <row r="165" spans="2:4">
      <c r="B165" s="80" t="s">
        <v>382</v>
      </c>
      <c r="C165" s="215">
        <f>Scenarios!C99</f>
        <v>2.8795225080129727</v>
      </c>
      <c r="D165" s="300" t="str">
        <f>IF($D$11="","",C165*$E$25)</f>
        <v/>
      </c>
    </row>
    <row r="166" spans="2:4">
      <c r="B166" s="259" t="s">
        <v>396</v>
      </c>
      <c r="C166" s="298" t="str">
        <f>Market_currency</f>
        <v>HKD</v>
      </c>
      <c r="D166" s="298" t="str">
        <f>IF($D$11="","",D$13)</f>
        <v/>
      </c>
    </row>
    <row r="167" spans="2:4">
      <c r="B167" s="214" t="s">
        <v>258</v>
      </c>
      <c r="C167" s="92">
        <f>Scenarios!F99</f>
        <v>0.12382392188764646</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2.3556083487064656</v>
      </c>
    </row>
    <row r="173" spans="2:4">
      <c r="B173" s="80" t="s">
        <v>382</v>
      </c>
      <c r="C173" s="215">
        <f>Scenarios!C105</f>
        <v>2.5727426300409442</v>
      </c>
      <c r="D173" s="300" t="str">
        <f>IF($D$11="","",C173*$E$25)</f>
        <v/>
      </c>
    </row>
    <row r="174" spans="2:4">
      <c r="B174" s="259" t="s">
        <v>396</v>
      </c>
      <c r="C174" s="298" t="str">
        <f>Market_currency</f>
        <v>HKD</v>
      </c>
      <c r="D174" s="298" t="str">
        <f>IF($D$11="","",D$13)</f>
        <v/>
      </c>
    </row>
    <row r="175" spans="2:4">
      <c r="B175" s="214" t="s">
        <v>258</v>
      </c>
      <c r="C175" s="92">
        <f>Scenarios!F105</f>
        <v>0.2177752970210256</v>
      </c>
    </row>
    <row r="177" spans="1:6" ht="13.9">
      <c r="A177" s="222" t="s">
        <v>357</v>
      </c>
      <c r="B177" s="36"/>
      <c r="C177" s="36"/>
      <c r="D177" s="36"/>
      <c r="E177" s="36"/>
      <c r="F177" s="36"/>
    </row>
    <row r="179" spans="1:6">
      <c r="B179" s="374" t="s">
        <v>478</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479</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0.13208530753600001</v>
      </c>
      <c r="D25" s="39">
        <f>0.207*Exchange_Rate</f>
        <v>0.22633823393999999</v>
      </c>
      <c r="E25" s="39">
        <f>0.178*Exchange_Rate</f>
        <v>0.19462901276</v>
      </c>
      <c r="F25" s="39">
        <f>0.155*Exchange_Rate</f>
        <v>0.16948032010000003</v>
      </c>
      <c r="G25" s="39">
        <f>0.08*Exchange_Rate</f>
        <v>8.7473713600000003E-2</v>
      </c>
      <c r="H25" s="39">
        <f>0.076*Exchange_Rate</f>
        <v>8.310002792E-2</v>
      </c>
      <c r="I25" s="39">
        <f>0.15*Exchange_Rate</f>
        <v>0.16401321300000002</v>
      </c>
      <c r="J25" s="39">
        <f>0.005*Exchange_Rate</f>
        <v>5.4671071000000002E-3</v>
      </c>
      <c r="K25" s="39">
        <f>0.05*Exchange_Rate</f>
        <v>5.4671071000000009E-2</v>
      </c>
      <c r="L25" s="39">
        <f>0.08*Exchange_Rate</f>
        <v>8.7473713600000003E-2</v>
      </c>
      <c r="M25" s="39"/>
    </row>
    <row r="27" spans="2:13">
      <c r="B27" s="16" t="s">
        <v>26</v>
      </c>
      <c r="C27" s="97" t="s">
        <v>558</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0.13208530753600001</v>
      </c>
      <c r="D65" s="73">
        <f t="shared" ref="D65:M65" si="33">IF(D$4="","",D25)</f>
        <v>0.22633823393999999</v>
      </c>
      <c r="E65" s="73">
        <f t="shared" si="33"/>
        <v>0.19462901276</v>
      </c>
      <c r="F65" s="73">
        <f t="shared" si="33"/>
        <v>0.16948032010000003</v>
      </c>
      <c r="G65" s="73">
        <f t="shared" si="33"/>
        <v>8.7473713600000003E-2</v>
      </c>
      <c r="H65" s="73">
        <f t="shared" si="33"/>
        <v>8.310002792E-2</v>
      </c>
      <c r="I65" s="73">
        <f t="shared" si="33"/>
        <v>0.16401321300000002</v>
      </c>
      <c r="J65" s="73">
        <f t="shared" si="33"/>
        <v>5.4671071000000002E-3</v>
      </c>
      <c r="K65" s="73">
        <f t="shared" si="33"/>
        <v>5.4671071000000009E-2</v>
      </c>
      <c r="L65" s="73">
        <f t="shared" si="33"/>
        <v>8.7473713600000003E-2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4.3661614700853235</v>
      </c>
      <c r="D47" s="147">
        <f>D46*H1/Common_Shares*Exchange_Rate</f>
        <v>1.8472247831360336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-965755.43897841324</v>
      </c>
      <c r="D73" s="349">
        <f>(Normalized_FCF!C25+Normalized_FCF!C35-Normalized_FCF!C91)/12</f>
        <v>-956584.92915481783</v>
      </c>
      <c r="F73" s="1" t="s">
        <v>342</v>
      </c>
    </row>
    <row r="74" spans="2:6" ht="15" customHeight="1">
      <c r="B74" s="257" t="s">
        <v>312</v>
      </c>
      <c r="C74" s="258">
        <f>-$C$66/C73</f>
        <v>12.106215018957128</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-2317095.5732360804</v>
      </c>
      <c r="D86" s="223">
        <f>C86*scaling_factor/Common_Shares</f>
        <v>-0.50262376859784819</v>
      </c>
      <c r="E86" s="240" t="str">
        <f>Market_currency</f>
        <v>HKD</v>
      </c>
    </row>
    <row r="87" spans="2:8" ht="15" customHeight="1">
      <c r="B87" s="238" t="s">
        <v>282</v>
      </c>
      <c r="C87" s="76">
        <f>DCF!C8*Exchange_Rate</f>
        <v>8600091.0848448183</v>
      </c>
      <c r="D87" s="223">
        <f>C87*scaling_factor/Common_Shares</f>
        <v>1.8655295194891146</v>
      </c>
      <c r="E87" s="240" t="str">
        <f>Market_currency</f>
        <v>HKD</v>
      </c>
    </row>
    <row r="88" spans="2:8" ht="15" customHeight="1">
      <c r="B88" s="239" t="s">
        <v>185</v>
      </c>
      <c r="C88" s="76">
        <f>DCF!C9*Exchange_Rate</f>
        <v>57491.660895032001</v>
      </c>
      <c r="D88" s="223">
        <f>C88*scaling_factor/Common_Shares</f>
        <v>1.2471076116059004E-2</v>
      </c>
      <c r="E88" s="240" t="str">
        <f>Market_currency</f>
        <v>HKD</v>
      </c>
    </row>
    <row r="89" spans="2:8" ht="15" customHeight="1">
      <c r="B89" s="80" t="s">
        <v>286</v>
      </c>
      <c r="C89" s="180">
        <f>SUM(C86:C88)</f>
        <v>6340487.1725037703</v>
      </c>
      <c r="D89" s="242">
        <f>SUM(D86:D88)</f>
        <v>1.3753768270073254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0.13208530753600001</v>
      </c>
      <c r="H90" s="112">
        <f>Data!D65</f>
        <v>0.22633823393999999</v>
      </c>
      <c r="I90" s="112">
        <f>Data!E65</f>
        <v>0.19462901276</v>
      </c>
      <c r="J90" s="112">
        <f>Data!F65</f>
        <v>0.16948032010000003</v>
      </c>
      <c r="K90" s="112">
        <f>Data!G65</f>
        <v>8.7473713600000003E-2</v>
      </c>
      <c r="L90" s="112">
        <f>Data!H65</f>
        <v>8.310002792E-2</v>
      </c>
      <c r="M90" s="112">
        <f>Data!I65</f>
        <v>0.16401321300000002</v>
      </c>
      <c r="N90" s="112">
        <f>Data!J65</f>
        <v>5.4671071000000002E-3</v>
      </c>
      <c r="O90" s="112">
        <f>Data!K65</f>
        <v>5.4671071000000009E-2</v>
      </c>
      <c r="P90" s="112">
        <f>Data!L65</f>
        <v>8.7473713600000003E-2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608913.26774096</v>
      </c>
      <c r="H91" s="74">
        <f t="shared" si="37"/>
        <v>1043419.2584634</v>
      </c>
      <c r="I91" s="74">
        <f t="shared" si="37"/>
        <v>897239.74882359989</v>
      </c>
      <c r="J91" s="74">
        <f t="shared" si="37"/>
        <v>781304.27566100017</v>
      </c>
      <c r="K91" s="74">
        <f t="shared" si="37"/>
        <v>403253.81969600002</v>
      </c>
      <c r="L91" s="74">
        <f t="shared" si="37"/>
        <v>383091.12871119997</v>
      </c>
      <c r="M91" s="74">
        <f t="shared" si="37"/>
        <v>756100.91193000006</v>
      </c>
      <c r="N91" s="74">
        <f t="shared" si="37"/>
        <v>25203.363731000001</v>
      </c>
      <c r="O91" s="74">
        <f t="shared" si="37"/>
        <v>252033.63731000002</v>
      </c>
      <c r="P91" s="74">
        <f t="shared" si="37"/>
        <v>403253.81969600002</v>
      </c>
      <c r="Q91" s="74" t="str">
        <f t="shared" si="37"/>
        <v/>
      </c>
    </row>
    <row r="92" spans="1:17" ht="15.75" customHeight="1">
      <c r="A92" s="10"/>
      <c r="B92" s="2" t="s">
        <v>209</v>
      </c>
      <c r="C92" s="23">
        <f>C90/(C19*scaling_factor/Common_Shares)</f>
        <v>0.80996280963569622</v>
      </c>
      <c r="E92" s="268"/>
      <c r="G92" s="170">
        <f t="shared" ref="G92:Q92" si="38">IF(G$4="","",G90/(G19*scaling_factor/Common_Shares))</f>
        <v>0.96271112339412568</v>
      </c>
      <c r="H92" s="170">
        <f t="shared" si="38"/>
        <v>0.94099748608605371</v>
      </c>
      <c r="I92" s="170">
        <f t="shared" si="38"/>
        <v>0.66779767677649282</v>
      </c>
      <c r="J92" s="170">
        <f t="shared" si="38"/>
        <v>0.92950153982246486</v>
      </c>
      <c r="K92" s="170">
        <f t="shared" si="38"/>
        <v>0.92531217016863132</v>
      </c>
      <c r="L92" s="170">
        <f t="shared" si="38"/>
        <v>1.1341674103945549</v>
      </c>
      <c r="M92" s="170">
        <f t="shared" si="38"/>
        <v>0.59787885074713021</v>
      </c>
      <c r="N92" s="170">
        <f t="shared" si="38"/>
        <v>6.4121722738548034E-2</v>
      </c>
      <c r="O92" s="170">
        <f t="shared" si="38"/>
        <v>-0.6080806933848687</v>
      </c>
      <c r="P92" s="170">
        <f t="shared" si="38"/>
        <v>0.66933982836513328</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4.2056074766355145E-2</v>
      </c>
      <c r="E94" s="268"/>
      <c r="G94" s="23">
        <f t="shared" ref="G94:Q94" si="39">IF(G$4="","",(G90*(1-dividend_tax_rate))/Market_Price)</f>
        <v>5.554989569271028E-2</v>
      </c>
      <c r="H94" s="23">
        <f t="shared" si="39"/>
        <v>9.5188976890654198E-2</v>
      </c>
      <c r="I94" s="23">
        <f t="shared" si="39"/>
        <v>8.1853323123364477E-2</v>
      </c>
      <c r="J94" s="23">
        <f t="shared" si="39"/>
        <v>7.127677013551402E-2</v>
      </c>
      <c r="K94" s="23">
        <f t="shared" si="39"/>
        <v>3.6788010392523364E-2</v>
      </c>
      <c r="L94" s="23">
        <f t="shared" si="39"/>
        <v>3.4948609872897191E-2</v>
      </c>
      <c r="M94" s="23">
        <f t="shared" si="39"/>
        <v>6.8977519485981312E-2</v>
      </c>
      <c r="N94" s="23">
        <f t="shared" si="39"/>
        <v>2.2992506495327102E-3</v>
      </c>
      <c r="O94" s="23">
        <f t="shared" si="39"/>
        <v>2.2992506495327105E-2</v>
      </c>
      <c r="P94" s="23">
        <f t="shared" si="39"/>
        <v>3.6788010392523364E-2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0.13499649699864585</v>
      </c>
      <c r="D125" s="27"/>
      <c r="E125" s="265"/>
      <c r="F125" s="27"/>
      <c r="G125" s="177">
        <f t="shared" ref="G125:Q125" si="49">IF(G$4="","",G16*$C$3/Common_Shares*Exchange_Rate)</f>
        <v>0.15001894235725322</v>
      </c>
      <c r="H125" s="177">
        <f t="shared" si="49"/>
        <v>0.26300078035738217</v>
      </c>
      <c r="I125" s="177">
        <f t="shared" si="49"/>
        <v>0.31867665747579993</v>
      </c>
      <c r="J125" s="177">
        <f t="shared" si="49"/>
        <v>0.19936859093443945</v>
      </c>
      <c r="K125" s="177">
        <f t="shared" si="49"/>
        <v>0.10336579937098916</v>
      </c>
      <c r="L125" s="177">
        <f t="shared" si="49"/>
        <v>8.0114584229427341E-2</v>
      </c>
      <c r="M125" s="177">
        <f t="shared" si="49"/>
        <v>0.29995300893001736</v>
      </c>
      <c r="N125" s="177">
        <f t="shared" si="49"/>
        <v>9.3226628251214763E-2</v>
      </c>
      <c r="O125" s="177">
        <f t="shared" si="49"/>
        <v>-9.8306887122143166E-2</v>
      </c>
      <c r="P125" s="177">
        <f t="shared" si="49"/>
        <v>0.14289547414323212</v>
      </c>
      <c r="Q125" s="177" t="str">
        <f t="shared" si="49"/>
        <v/>
      </c>
    </row>
    <row r="126" spans="1:17" ht="15.75" customHeight="1">
      <c r="A126" s="10"/>
      <c r="B126" s="27" t="s">
        <v>264</v>
      </c>
      <c r="C126" s="77">
        <f>C19*Exchange_Rate*$C$3/(Market_Price*Common_Shares)</f>
        <v>6.3082475233012081E-2</v>
      </c>
      <c r="D126" s="27"/>
      <c r="E126" s="265"/>
      <c r="F126" s="27"/>
      <c r="G126" s="77">
        <f t="shared" ref="G126" si="50">IF(G$4="","",G125/Market_Price)</f>
        <v>7.0102309512735148E-2</v>
      </c>
      <c r="H126" s="77">
        <f t="shared" ref="H126" si="51">IF(H$4="","",H125/Market_Price)</f>
        <v>0.12289756091466456</v>
      </c>
      <c r="I126" s="77">
        <f t="shared" ref="I126" si="52">IF(I$4="","",I125/Market_Price)</f>
        <v>0.14891432592327097</v>
      </c>
      <c r="J126" s="77">
        <f t="shared" ref="J126" si="53">IF(J$4="","",J125/Market_Price)</f>
        <v>9.3162892960018437E-2</v>
      </c>
      <c r="K126" s="77">
        <f t="shared" ref="K126" si="54">IF(K$4="","",K125/Market_Price)</f>
        <v>4.8301775407004283E-2</v>
      </c>
      <c r="L126" s="77">
        <f t="shared" ref="L126" si="55">IF(L$4="","",L125/Market_Price)</f>
        <v>3.7436721602536138E-2</v>
      </c>
      <c r="M126" s="77">
        <f t="shared" ref="M126" si="56">IF(M$4="","",M125/Market_Price)</f>
        <v>0.14016495744393334</v>
      </c>
      <c r="N126" s="77">
        <f t="shared" ref="N126" si="57">IF(N$4="","",N125/Market_Price)</f>
        <v>4.3563844977203156E-2</v>
      </c>
      <c r="O126" s="77">
        <f t="shared" ref="O126" si="58">IF(O$4="","",O125/Market_Price)</f>
        <v>-4.5937797720627643E-2</v>
      </c>
      <c r="P126" s="77">
        <f t="shared" ref="P126" si="59">IF(P$4="","",P125/Market_Price)</f>
        <v>6.6773586048239297E-2</v>
      </c>
      <c r="Q126" s="77" t="str">
        <f t="shared" ref="Q126" si="60">IF(Q$4="","",Q125/Market_Price)</f>
        <v/>
      </c>
    </row>
    <row r="127" spans="1:17" ht="15.75" customHeight="1">
      <c r="B127" s="2" t="s">
        <v>375</v>
      </c>
      <c r="C127" s="169"/>
      <c r="G127" s="23">
        <f>IF(G$4="","",(Data!C47*$C$3)/(Market_Price*Common_Shares))</f>
        <v>0.11668345936302633</v>
      </c>
      <c r="H127" s="23">
        <f>IF(H$4="","",(Data!D47*$C$3)/(Market_Price*Common_Shares))</f>
        <v>0.24064893466053075</v>
      </c>
      <c r="I127" s="23">
        <f>IF(I$4="","",(Data!E47*$C$3)/(Market_Price*Common_Shares))</f>
        <v>0.18232732580533986</v>
      </c>
      <c r="J127" s="23">
        <f>IF(J$4="","",(Data!F47*$C$3)/(Market_Price*Common_Shares))</f>
        <v>0.16638301538711051</v>
      </c>
      <c r="K127" s="23">
        <f>IF(K$4="","",(Data!G47*$C$3)/(Market_Price*Common_Shares))</f>
        <v>7.8978754029233489E-2</v>
      </c>
      <c r="L127" s="23">
        <f>IF(L$4="","",(Data!H47*$C$3)/(Market_Price*Common_Shares))</f>
        <v>7.6528878707401632E-2</v>
      </c>
      <c r="M127" s="23">
        <f>IF(M$4="","",(Data!I47*$C$3)/(Market_Price*Common_Shares))</f>
        <v>0.15491414438340056</v>
      </c>
      <c r="N127" s="23">
        <f>IF(N$4="","",(Data!J47*$C$3)/(Market_Price*Common_Shares))</f>
        <v>1.0897885539359782E-2</v>
      </c>
      <c r="O127" s="23">
        <f>IF(O$4="","",(Data!K47*$C$3)/(Market_Price*Common_Shares))</f>
        <v>-2.398990410931133E-2</v>
      </c>
      <c r="P127" s="23">
        <f>IF(P$4="","",(Data!L47*$C$3)/(Market_Price*Common_Shares))</f>
        <v>8.545431508099012E-2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5" t="s">
        <v>245</v>
      </c>
      <c r="F6" s="375"/>
      <c r="H6" s="120"/>
    </row>
    <row r="7" spans="2:8">
      <c r="B7" s="148" t="s">
        <v>220</v>
      </c>
      <c r="C7" s="338">
        <f>BS!G31</f>
        <v>2119124</v>
      </c>
      <c r="D7" t="str">
        <f>Reporting_currency</f>
        <v>CNY</v>
      </c>
      <c r="E7" s="375"/>
      <c r="F7" s="375"/>
      <c r="H7" s="120"/>
    </row>
    <row r="8" spans="2:8">
      <c r="B8" s="148" t="s">
        <v>221</v>
      </c>
      <c r="C8" s="338">
        <f>BS!D66</f>
        <v>7865303.2833807282</v>
      </c>
      <c r="D8" t="str">
        <f>Reporting_currency</f>
        <v>CNY</v>
      </c>
      <c r="E8" s="375"/>
      <c r="F8" s="375"/>
      <c r="H8" s="120"/>
    </row>
    <row r="9" spans="2:8">
      <c r="B9" s="205" t="s">
        <v>186</v>
      </c>
      <c r="C9" s="348">
        <f>BS!H42</f>
        <v>52579.6</v>
      </c>
      <c r="D9" t="str">
        <f>Reporting_currency</f>
        <v>CNY</v>
      </c>
      <c r="E9" s="375"/>
      <c r="F9" s="375"/>
      <c r="H9" s="120"/>
    </row>
    <row r="10" spans="2:8" ht="13.15">
      <c r="B10" s="149" t="s">
        <v>223</v>
      </c>
      <c r="C10" s="347">
        <f>C6-C7+C8+C9</f>
        <v>13387584.683211347</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3.1753301203226036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3.2890071359841695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3.1753301203226036</v>
      </c>
      <c r="C65" s="124">
        <f>C12</f>
        <v>3.1753301203226036</v>
      </c>
      <c r="D65" s="124">
        <f>C12</f>
        <v>3.1753301203226036</v>
      </c>
      <c r="E65" s="141">
        <f>C12</f>
        <v>3.1753301203226036</v>
      </c>
      <c r="F65" s="124">
        <f>C12</f>
        <v>3.1753301203226036</v>
      </c>
      <c r="H65" s="120"/>
    </row>
    <row r="66" spans="1:8" ht="13.15">
      <c r="A66" s="143">
        <f t="shared" ref="A66:A71" si="3">A56</f>
        <v>5</v>
      </c>
      <c r="B66" s="124">
        <f t="shared" ref="B66:F71" si="4">(B56-$C$7+$C$8+$C$9)/Common_Shares*$C$3*Exchange_Rate</f>
        <v>3.1198446061569518</v>
      </c>
      <c r="C66" s="124">
        <f t="shared" si="4"/>
        <v>3.1753301203226032</v>
      </c>
      <c r="D66" s="124">
        <f t="shared" si="4"/>
        <v>3.2324075451977534</v>
      </c>
      <c r="E66" s="124">
        <f t="shared" si="4"/>
        <v>3.2615652831237427</v>
      </c>
      <c r="F66" s="124">
        <f t="shared" si="4"/>
        <v>3.3211641433204786</v>
      </c>
      <c r="H66" s="120"/>
    </row>
    <row r="67" spans="1:8" ht="13.15">
      <c r="A67" s="143">
        <f t="shared" si="3"/>
        <v>10</v>
      </c>
      <c r="B67" s="124">
        <f t="shared" si="4"/>
        <v>3.0717533333966811</v>
      </c>
      <c r="C67" s="124">
        <f t="shared" si="4"/>
        <v>3.1753301203226032</v>
      </c>
      <c r="D67" s="124">
        <f t="shared" si="4"/>
        <v>3.2890071359841695</v>
      </c>
      <c r="E67" s="124">
        <f t="shared" si="4"/>
        <v>3.3500095223929423</v>
      </c>
      <c r="F67" s="124">
        <f t="shared" si="4"/>
        <v>3.4811688404324377</v>
      </c>
      <c r="H67" s="120"/>
    </row>
    <row r="68" spans="1:8" ht="13.15">
      <c r="A68" s="143">
        <f t="shared" si="3"/>
        <v>15</v>
      </c>
      <c r="B68" s="124">
        <f t="shared" si="4"/>
        <v>3.0165213555078716</v>
      </c>
      <c r="C68" s="124">
        <f t="shared" si="4"/>
        <v>3.1753301203226032</v>
      </c>
      <c r="D68" s="124">
        <f t="shared" si="4"/>
        <v>3.3606688460940601</v>
      </c>
      <c r="E68" s="124">
        <f t="shared" si="4"/>
        <v>3.4649028644547397</v>
      </c>
      <c r="F68" s="124">
        <f t="shared" si="4"/>
        <v>3.7002901260207013</v>
      </c>
      <c r="H68" s="120"/>
    </row>
    <row r="69" spans="1:8" ht="13.15">
      <c r="A69" s="144">
        <f t="shared" si="3"/>
        <v>20</v>
      </c>
      <c r="B69" s="124">
        <f t="shared" si="4"/>
        <v>2.9643648430034015</v>
      </c>
      <c r="C69" s="124">
        <f t="shared" si="4"/>
        <v>3.1753301203226032</v>
      </c>
      <c r="D69" s="124">
        <f t="shared" si="4"/>
        <v>3.4353773480114538</v>
      </c>
      <c r="E69" s="124">
        <f t="shared" si="4"/>
        <v>3.5879619851736639</v>
      </c>
      <c r="F69" s="124">
        <f t="shared" si="4"/>
        <v>3.9486388952561762</v>
      </c>
      <c r="H69" s="120"/>
    </row>
    <row r="70" spans="1:8" ht="13.15">
      <c r="A70" s="144">
        <f t="shared" si="3"/>
        <v>25</v>
      </c>
      <c r="B70" s="124">
        <f t="shared" si="4"/>
        <v>2.9194187377145804</v>
      </c>
      <c r="C70" s="124">
        <f t="shared" si="4"/>
        <v>3.1753301203226028</v>
      </c>
      <c r="D70" s="124">
        <f t="shared" si="4"/>
        <v>3.5064825992374318</v>
      </c>
      <c r="E70" s="124">
        <f t="shared" si="4"/>
        <v>3.7084260356997505</v>
      </c>
      <c r="F70" s="124">
        <f t="shared" si="4"/>
        <v>4.2067221013116969</v>
      </c>
    </row>
    <row r="71" spans="1:8" ht="13.15">
      <c r="A71" s="144">
        <f t="shared" si="3"/>
        <v>30</v>
      </c>
      <c r="B71" s="124">
        <f t="shared" si="4"/>
        <v>2.8826861921344644</v>
      </c>
      <c r="C71" s="124">
        <f t="shared" si="4"/>
        <v>3.1753301203226028</v>
      </c>
      <c r="D71" s="124">
        <f t="shared" si="4"/>
        <v>3.5706747239072678</v>
      </c>
      <c r="E71" s="124">
        <f t="shared" si="4"/>
        <v>3.820393914454185</v>
      </c>
      <c r="F71" s="124">
        <f t="shared" si="4"/>
        <v>4.4621409300018806</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3.7002901260207013</v>
      </c>
      <c r="F74" s="142">
        <f>Scenarios!C58</f>
        <v>0.05</v>
      </c>
    </row>
    <row r="75" spans="1:8">
      <c r="B75" s="127" t="str">
        <f>Scenarios!B36</f>
        <v>Optimistic</v>
      </c>
      <c r="C75" s="142">
        <f>Scenarios!C38</f>
        <v>0.03</v>
      </c>
      <c r="D75" s="145">
        <f>Scenarios!C37</f>
        <v>10</v>
      </c>
      <c r="E75" s="135">
        <f>INDEX(B$65:F$71, MATCH(D75, A$65:A$71, 0), MATCH(C75, B$64:F$64, 0))</f>
        <v>3.3500095223929423</v>
      </c>
      <c r="F75" s="142">
        <f>Scenarios!C40*(1-F$74-F$78)</f>
        <v>0.18</v>
      </c>
      <c r="H75" s="120"/>
    </row>
    <row r="76" spans="1:8">
      <c r="B76" s="127" t="str">
        <f>Scenarios!B24</f>
        <v>Base</v>
      </c>
      <c r="C76" s="142">
        <f>Scenarios!C26</f>
        <v>0.02</v>
      </c>
      <c r="D76" s="145">
        <f>Scenarios!C25</f>
        <v>10</v>
      </c>
      <c r="E76" s="135">
        <f>INDEX(B$65:F$71, MATCH(D76, A$65:A$71, 0), MATCH(C76, B$64:F$64, 0))</f>
        <v>3.2890071359841695</v>
      </c>
      <c r="F76" s="142">
        <f>Scenarios!C28*(1-F$74-F$78)</f>
        <v>0.53999999999999992</v>
      </c>
      <c r="H76" s="120"/>
    </row>
    <row r="77" spans="1:8">
      <c r="B77" s="127" t="str">
        <f>Scenarios!B30</f>
        <v>Pessimistic</v>
      </c>
      <c r="C77" s="142">
        <f>Scenarios!C32</f>
        <v>0</v>
      </c>
      <c r="D77" s="145">
        <f>Scenarios!C31</f>
        <v>10</v>
      </c>
      <c r="E77" s="135">
        <f>INDEX(B$65:F$71, MATCH(D77, A$65:A$71, 0), MATCH(C77, B$64:F$64, 0))</f>
        <v>3.1753301203226032</v>
      </c>
      <c r="F77" s="142">
        <f>Scenarios!C34*(1-F$74-F$78)</f>
        <v>0.18</v>
      </c>
      <c r="H77" s="120"/>
    </row>
    <row r="78" spans="1:8">
      <c r="B78" s="127" t="str">
        <f>Scenarios!B48</f>
        <v>Devil's advocate</v>
      </c>
      <c r="C78" s="142">
        <f>Scenarios!C50</f>
        <v>-0.02</v>
      </c>
      <c r="D78" s="145">
        <f>Scenarios!C49</f>
        <v>15</v>
      </c>
      <c r="E78" s="135">
        <f>INDEX(B$65:F$71, MATCH(D78, A$65:A$71, 0), MATCH(C78, B$64:F$64, 0))</f>
        <v>3.0165213555078716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5"/>
      <c r="F6" s="375"/>
      <c r="H6" s="120"/>
    </row>
    <row r="7" spans="2:8" ht="13.15">
      <c r="B7" s="149" t="s">
        <v>421</v>
      </c>
      <c r="C7" s="111">
        <f>(C6*scaling_factor)/Common_Shares*Exchange_Rate</f>
        <v>1.3121057040000002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1.3121057040000002</v>
      </c>
      <c r="C60" s="124">
        <f>C7</f>
        <v>1.3121057040000002</v>
      </c>
      <c r="D60" s="124">
        <f>C7</f>
        <v>1.3121057040000002</v>
      </c>
      <c r="E60" s="141">
        <f>C7</f>
        <v>1.3121057040000002</v>
      </c>
      <c r="F60" s="124">
        <f>C7</f>
        <v>1.3121057040000002</v>
      </c>
      <c r="H60" s="120"/>
    </row>
    <row r="61" spans="1:8" ht="13.15">
      <c r="A61" s="143">
        <f t="shared" ref="A61:A66" si="3">A51</f>
        <v>5</v>
      </c>
      <c r="B61" s="124">
        <f t="shared" ref="B61:F66" si="4">B51/Common_Shares*$C$3*Exchange_Rate</f>
        <v>1.2716586213470773</v>
      </c>
      <c r="C61" s="124">
        <f t="shared" si="4"/>
        <v>1.3121057040000002</v>
      </c>
      <c r="D61" s="124">
        <f t="shared" si="4"/>
        <v>1.3537132362767821</v>
      </c>
      <c r="E61" s="124">
        <f t="shared" si="4"/>
        <v>1.3749682512766226</v>
      </c>
      <c r="F61" s="124">
        <f t="shared" si="4"/>
        <v>1.4184138255070522</v>
      </c>
      <c r="H61" s="120"/>
    </row>
    <row r="62" spans="1:8" ht="13.15">
      <c r="A62" s="143">
        <f t="shared" si="3"/>
        <v>10</v>
      </c>
      <c r="B62" s="124">
        <f t="shared" si="4"/>
        <v>1.2366016931835984</v>
      </c>
      <c r="C62" s="124">
        <f t="shared" si="4"/>
        <v>1.3121057040000004</v>
      </c>
      <c r="D62" s="124">
        <f t="shared" si="4"/>
        <v>1.3949724434966189</v>
      </c>
      <c r="E62" s="124">
        <f t="shared" si="4"/>
        <v>1.4394411413577377</v>
      </c>
      <c r="F62" s="124">
        <f t="shared" si="4"/>
        <v>1.5350518941319924</v>
      </c>
      <c r="H62" s="120"/>
    </row>
    <row r="63" spans="1:8" ht="13.15">
      <c r="A63" s="143">
        <f t="shared" si="3"/>
        <v>15</v>
      </c>
      <c r="B63" s="124">
        <f t="shared" si="4"/>
        <v>1.1963394299902972</v>
      </c>
      <c r="C63" s="124">
        <f t="shared" si="4"/>
        <v>1.3121057040000002</v>
      </c>
      <c r="D63" s="124">
        <f t="shared" si="4"/>
        <v>1.4472114315541342</v>
      </c>
      <c r="E63" s="124">
        <f t="shared" si="4"/>
        <v>1.5231945420880655</v>
      </c>
      <c r="F63" s="124">
        <f t="shared" si="4"/>
        <v>1.6947839770454416</v>
      </c>
      <c r="H63" s="120"/>
    </row>
    <row r="64" spans="1:8" ht="13.15">
      <c r="A64" s="144">
        <f t="shared" si="3"/>
        <v>20</v>
      </c>
      <c r="B64" s="124">
        <f t="shared" si="4"/>
        <v>1.1583190781222694</v>
      </c>
      <c r="C64" s="124">
        <f t="shared" si="4"/>
        <v>1.3121057040000004</v>
      </c>
      <c r="D64" s="124">
        <f t="shared" si="4"/>
        <v>1.5016714288591515</v>
      </c>
      <c r="E64" s="124">
        <f t="shared" si="4"/>
        <v>1.6129005221399841</v>
      </c>
      <c r="F64" s="124">
        <f t="shared" si="4"/>
        <v>1.8758219172550219</v>
      </c>
      <c r="H64" s="120"/>
    </row>
    <row r="65" spans="1:8" ht="13.15">
      <c r="A65" s="144">
        <f t="shared" si="3"/>
        <v>25</v>
      </c>
      <c r="B65" s="124">
        <f t="shared" si="4"/>
        <v>1.1255548717725454</v>
      </c>
      <c r="C65" s="124">
        <f t="shared" si="4"/>
        <v>1.3121057040000004</v>
      </c>
      <c r="D65" s="124">
        <f t="shared" si="4"/>
        <v>1.5535047770157124</v>
      </c>
      <c r="E65" s="124">
        <f t="shared" si="4"/>
        <v>1.7007147828817686</v>
      </c>
      <c r="F65" s="124">
        <f t="shared" si="4"/>
        <v>2.063955936081888</v>
      </c>
    </row>
    <row r="66" spans="1:8" ht="13.15">
      <c r="A66" s="144">
        <f t="shared" si="3"/>
        <v>30</v>
      </c>
      <c r="B66" s="124">
        <f t="shared" si="4"/>
        <v>1.0987780755317174</v>
      </c>
      <c r="C66" s="124">
        <f t="shared" si="4"/>
        <v>1.3121057040000004</v>
      </c>
      <c r="D66" s="124">
        <f t="shared" si="4"/>
        <v>1.600298687304371</v>
      </c>
      <c r="E66" s="124">
        <f t="shared" si="4"/>
        <v>1.7823356187801709</v>
      </c>
      <c r="F66" s="124">
        <f t="shared" si="4"/>
        <v>2.2501477129896714</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1.6947839770454416</v>
      </c>
      <c r="F69" s="142">
        <f>Scenarios!C58</f>
        <v>0.05</v>
      </c>
    </row>
    <row r="70" spans="1:8">
      <c r="B70" s="127" t="str">
        <f>Scenarios!B36</f>
        <v>Optimistic</v>
      </c>
      <c r="C70" s="142">
        <f>Scenarios!C38</f>
        <v>0.03</v>
      </c>
      <c r="D70" s="145">
        <f>Scenarios!C37</f>
        <v>10</v>
      </c>
      <c r="E70" s="135">
        <f>INDEX(B$60:F$66, MATCH(D70, A$60:A$66, 0), MATCH(C70, B$59:F$59, 0))</f>
        <v>1.4394411413577377</v>
      </c>
      <c r="F70" s="142">
        <f>Scenarios!C40*(1-F$69-F$73)</f>
        <v>0.18</v>
      </c>
      <c r="H70" s="120"/>
    </row>
    <row r="71" spans="1:8">
      <c r="B71" s="127" t="str">
        <f>Scenarios!B24</f>
        <v>Base</v>
      </c>
      <c r="C71" s="142">
        <f>Scenarios!C26</f>
        <v>0.02</v>
      </c>
      <c r="D71" s="145">
        <f>Scenarios!C25</f>
        <v>10</v>
      </c>
      <c r="E71" s="135">
        <f>INDEX(B$60:F$66, MATCH(D71, A$60:A$66, 0), MATCH(C71, B$59:F$59, 0))</f>
        <v>1.3949724434966189</v>
      </c>
      <c r="F71" s="142">
        <f>Scenarios!C28*(1-F$69-F$73)</f>
        <v>0.53999999999999992</v>
      </c>
      <c r="H71" s="120"/>
    </row>
    <row r="72" spans="1:8">
      <c r="B72" s="127" t="str">
        <f>Scenarios!B30</f>
        <v>Pessimistic</v>
      </c>
      <c r="C72" s="142">
        <f>Scenarios!C32</f>
        <v>0</v>
      </c>
      <c r="D72" s="145">
        <f>Scenarios!C31</f>
        <v>10</v>
      </c>
      <c r="E72" s="135">
        <f>INDEX(B$60:F$66, MATCH(D72, A$60:A$66, 0), MATCH(C72, B$59:F$59, 0))</f>
        <v>1.3121057040000004</v>
      </c>
      <c r="F72" s="142">
        <f>Scenarios!C34*(1-F$69-F$73)</f>
        <v>0.18</v>
      </c>
      <c r="H72" s="120"/>
    </row>
    <row r="73" spans="1:8">
      <c r="B73" s="127" t="str">
        <f>Scenarios!B48</f>
        <v>Devil's advocate</v>
      </c>
      <c r="C73" s="142">
        <f>Scenarios!C50</f>
        <v>-0.02</v>
      </c>
      <c r="D73" s="145">
        <f>Scenarios!C49</f>
        <v>15</v>
      </c>
      <c r="E73" s="135">
        <f>INDEX(B$60:F$66, MATCH(D73, A$60:A$66, 0), MATCH(C73, B$59:F$59, 0))</f>
        <v>1.1963394299902972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-2.14</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3.3764655631966782</v>
      </c>
    </row>
    <row r="7" spans="2:9" ht="12.75" customHeight="1">
      <c r="B7" s="100" t="s">
        <v>270</v>
      </c>
      <c r="C7" s="338">
        <f>Normalized_FCF!G8</f>
        <v>966307</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77"/>
      <c r="H7" s="247">
        <v>4</v>
      </c>
      <c r="I7" s="124" t="str">
        <f t="shared" si="0"/>
        <v/>
      </c>
    </row>
    <row r="8" spans="2:9">
      <c r="B8" s="100" t="s">
        <v>64</v>
      </c>
      <c r="C8" s="338">
        <f>Normalized_FCF!G19</f>
        <v>632498.42340470827</v>
      </c>
      <c r="D8" t="str">
        <f>Reporting_currency</f>
        <v>CNY</v>
      </c>
      <c r="E8" s="377"/>
      <c r="F8" s="377"/>
      <c r="H8" s="247">
        <v>5</v>
      </c>
      <c r="I8" s="124" t="str">
        <f t="shared" si="0"/>
        <v/>
      </c>
    </row>
    <row r="9" spans="2:9">
      <c r="B9" s="100" t="s">
        <v>55</v>
      </c>
      <c r="C9" s="338">
        <f>Normalized_FCF!C19</f>
        <v>569161.93498729635</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-3.750240119526338E-2</v>
      </c>
      <c r="D12" s="158"/>
      <c r="E12" s="377"/>
      <c r="F12" s="377"/>
      <c r="H12" s="247">
        <v>9</v>
      </c>
      <c r="I12" s="124" t="str">
        <f t="shared" si="0"/>
        <v/>
      </c>
    </row>
    <row r="13" spans="2:9">
      <c r="B13" s="148" t="s">
        <v>148</v>
      </c>
      <c r="C13" s="158">
        <f ca="1">(Normalized_FCF!G8/OFFSET(Normalized_FCF!G8, 0, $C$4))^(1/$C$4) - 1</f>
        <v>-0.20361731775539216</v>
      </c>
      <c r="E13" s="377"/>
      <c r="F13" s="377"/>
      <c r="H13" s="247">
        <v>10</v>
      </c>
      <c r="I13" s="124" t="str">
        <f t="shared" si="0"/>
        <v/>
      </c>
    </row>
    <row r="14" spans="2:9">
      <c r="B14" s="100" t="s">
        <v>64</v>
      </c>
      <c r="C14" s="158">
        <f ca="1">(Normalized_FCF!G19/OFFSET(Normalized_FCF!G19, 0, $C$4))^(1/$C$4) - 1</f>
        <v>-9.0443280496378065E-2</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2.14</v>
      </c>
      <c r="D21" t="str">
        <f>Market_currency</f>
        <v>HKD</v>
      </c>
      <c r="E21" s="378"/>
      <c r="F21" s="378"/>
    </row>
    <row r="22" spans="2:6">
      <c r="B22" s="100" t="s">
        <v>273</v>
      </c>
      <c r="C22" s="160">
        <f>IF(valuation_method="DCF",DCF!C12,DDM!C7)</f>
        <v>3.1753301203226036</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0.02</v>
      </c>
      <c r="D26" s="164"/>
      <c r="E26" s="376"/>
      <c r="F26" s="376"/>
    </row>
    <row r="27" spans="2:6">
      <c r="B27" s="100" t="s">
        <v>109</v>
      </c>
      <c r="C27" s="160">
        <f>IF(valuation_method="DCF",DCF!E76,DDM!E71)</f>
        <v>3.2890071359841695</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v>
      </c>
      <c r="D32" s="164"/>
      <c r="E32" s="376"/>
      <c r="F32" s="376"/>
    </row>
    <row r="33" spans="2:6">
      <c r="B33" s="100" t="s">
        <v>109</v>
      </c>
      <c r="C33" s="160">
        <f>IF(valuation_method="DCF",DCF!E77,DDM!E72)</f>
        <v>3.1753301203226032</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0.03</v>
      </c>
      <c r="D38" s="164"/>
      <c r="E38" s="376"/>
      <c r="F38" s="376"/>
    </row>
    <row r="39" spans="2:6">
      <c r="B39" s="100" t="s">
        <v>109</v>
      </c>
      <c r="C39" s="160">
        <f>IF(valuation_method="DCF",DCF!E75,DDM!E70)</f>
        <v>3.3500095223929423</v>
      </c>
      <c r="D39" t="str">
        <f>Market_currency</f>
        <v>HKD</v>
      </c>
      <c r="E39" s="376"/>
      <c r="F39" s="376"/>
    </row>
    <row r="40" spans="2:6">
      <c r="B40" s="100" t="s">
        <v>143</v>
      </c>
      <c r="C40" s="167">
        <f>1-C28-C34</f>
        <v>0.2</v>
      </c>
      <c r="D40" s="165"/>
      <c r="E40" s="376"/>
      <c r="F40" s="376"/>
    </row>
    <row r="42" spans="2:6" ht="13.15">
      <c r="B42" s="100" t="s">
        <v>116</v>
      </c>
      <c r="C42" s="154">
        <f>C27*C28+C33*C34+C39*C40</f>
        <v>3.2784722101336108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-0.02</v>
      </c>
      <c r="D50" s="164"/>
      <c r="E50" s="376"/>
      <c r="F50" s="376"/>
    </row>
    <row r="51" spans="2:6">
      <c r="B51" s="100" t="s">
        <v>109</v>
      </c>
      <c r="C51" s="160">
        <f>IF(valuation_method="DCF",DCF!E78,DDM!E73)</f>
        <v>3.0165213555078716</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0.05</v>
      </c>
      <c r="D56" s="164"/>
      <c r="E56" s="376"/>
      <c r="F56" s="376"/>
    </row>
    <row r="57" spans="2:6">
      <c r="B57" s="100" t="s">
        <v>109</v>
      </c>
      <c r="C57" s="160">
        <f>IF(valuation_method="DCF",DCF!E74,DDM!E69)</f>
        <v>3.7002901260207013</v>
      </c>
      <c r="D57" t="str">
        <f>Market_currency</f>
        <v>HKD</v>
      </c>
      <c r="E57" s="376"/>
      <c r="F57" s="376"/>
    </row>
    <row r="58" spans="2:6">
      <c r="B58" s="100" t="s">
        <v>143</v>
      </c>
      <c r="C58" s="165">
        <v>0.05</v>
      </c>
      <c r="D58" s="165"/>
      <c r="E58" s="376"/>
      <c r="F58" s="376"/>
    </row>
    <row r="60" spans="2:6" ht="13.15">
      <c r="B60" s="100" t="s">
        <v>116</v>
      </c>
      <c r="C60" s="154">
        <f>C51*C52+C57*C58+C42*(1-C52-C58)</f>
        <v>3.2864655631966784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3.2890071359841695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0.41849725809070226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1.3357579894108329</v>
      </c>
      <c r="D82" s="116"/>
    </row>
    <row r="83" spans="2:8" ht="13.15">
      <c r="B83" s="110" t="s">
        <v>98</v>
      </c>
      <c r="C83" s="111">
        <f>C81+C82</f>
        <v>1.4883871617930917</v>
      </c>
      <c r="D83" t="str">
        <f>Market_currency</f>
        <v>HKD</v>
      </c>
      <c r="E83" s="146" t="s">
        <v>122</v>
      </c>
      <c r="F83" s="291">
        <f>(1-C83/C60)</f>
        <v>0.5471161546736647</v>
      </c>
    </row>
    <row r="84" spans="2:8">
      <c r="E84" s="120"/>
    </row>
    <row r="85" spans="2:8" ht="13.15">
      <c r="B85" s="109" t="s">
        <v>297</v>
      </c>
    </row>
    <row r="86" spans="2:8">
      <c r="B86" s="148" t="s">
        <v>295</v>
      </c>
      <c r="C86" s="116">
        <f>Market_Price</f>
        <v>2.14</v>
      </c>
      <c r="D86" t="str">
        <f>Market_currency</f>
        <v>HKD</v>
      </c>
    </row>
    <row r="87" spans="2:8" ht="13.15">
      <c r="B87" s="100" t="s">
        <v>293</v>
      </c>
      <c r="C87" s="237">
        <f ca="1">IRR(OFFSET($I$3, 0, 0, $C$76 + 1, 1))</f>
        <v>0.19054307365665335</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1.6826703683566993</v>
      </c>
      <c r="D92" s="116"/>
    </row>
    <row r="93" spans="2:8" ht="13.15">
      <c r="B93" s="110" t="s">
        <v>98</v>
      </c>
      <c r="C93" s="111">
        <f>C91+C92</f>
        <v>1.8583503683566993</v>
      </c>
      <c r="D93" t="str">
        <f>Market_currency</f>
        <v>HKD</v>
      </c>
      <c r="E93" s="146" t="s">
        <v>122</v>
      </c>
      <c r="F93" s="291">
        <f>(1-C93/C60)</f>
        <v>0.43454439651906174</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2.6454751914244965</v>
      </c>
      <c r="D98" s="116"/>
      <c r="G98" s="2"/>
      <c r="H98" s="281"/>
    </row>
    <row r="99" spans="2:8" ht="13.15">
      <c r="B99" s="110" t="s">
        <v>379</v>
      </c>
      <c r="C99" s="111">
        <f>C97+C98</f>
        <v>2.8795225080129727</v>
      </c>
      <c r="D99" t="s">
        <v>377</v>
      </c>
      <c r="E99" s="146" t="s">
        <v>122</v>
      </c>
      <c r="F99" s="291">
        <f>(1-C99/C60)</f>
        <v>0.12382392188764646</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2.3556083487064656</v>
      </c>
      <c r="D104" s="116"/>
    </row>
    <row r="105" spans="2:8" ht="13.15">
      <c r="B105" s="110" t="s">
        <v>379</v>
      </c>
      <c r="C105" s="111">
        <f>C103+C104</f>
        <v>2.5727426300409442</v>
      </c>
      <c r="D105" t="s">
        <v>377</v>
      </c>
      <c r="E105" s="146" t="s">
        <v>122</v>
      </c>
      <c r="F105" s="291">
        <f>(1-C105/C66)</f>
        <v>0.2177752970210256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2.14</v>
      </c>
      <c r="D12" s="50"/>
      <c r="E12" s="48"/>
    </row>
    <row r="13" spans="1:10">
      <c r="B13" s="1" t="s">
        <v>486</v>
      </c>
      <c r="C13" s="32" t="str">
        <f>Market_currency</f>
        <v>HKD</v>
      </c>
      <c r="D13" s="48"/>
      <c r="E13" s="5"/>
    </row>
    <row r="14" spans="1:10">
      <c r="B14" s="4" t="s">
        <v>487</v>
      </c>
      <c r="C14" s="35">
        <f>投资主题!C12*Common_Shares/1000000</f>
        <v>9865.4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67" t="s">
        <v>490</v>
      </c>
      <c r="C18" s="367"/>
      <c r="D18" s="367"/>
      <c r="E18" s="367"/>
      <c r="F18" s="367"/>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3.2864655631966784</v>
      </c>
      <c r="D26" s="1" t="s">
        <v>447</v>
      </c>
      <c r="E26" s="301">
        <f ca="1">Scenarios!C87</f>
        <v>0.19054307365665335</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1.4883871617930917</v>
      </c>
      <c r="D29" s="310" t="str">
        <f>D149</f>
        <v/>
      </c>
      <c r="E29" s="306" t="s">
        <v>456</v>
      </c>
      <c r="F29" s="362">
        <f>Thesis!F29</f>
        <v>0.35</v>
      </c>
    </row>
    <row r="30" spans="2:6">
      <c r="B30" s="1" t="s">
        <v>451</v>
      </c>
      <c r="C30" s="311">
        <f>C157</f>
        <v>1.8583503683566993</v>
      </c>
      <c r="D30" s="311" t="str">
        <f>D157</f>
        <v/>
      </c>
      <c r="E30" s="307" t="s">
        <v>455</v>
      </c>
      <c r="F30" s="224">
        <f>Thesis!F30</f>
        <v>0.25</v>
      </c>
    </row>
    <row r="31" spans="2:6">
      <c r="B31" s="1" t="s">
        <v>452</v>
      </c>
      <c r="C31" s="311">
        <f>C165</f>
        <v>2.8795225080129727</v>
      </c>
      <c r="D31" s="311" t="str">
        <f>D165</f>
        <v/>
      </c>
      <c r="E31" s="307" t="s">
        <v>492</v>
      </c>
      <c r="F31" s="224">
        <f>Thesis!F31</f>
        <v>7.4999999999999997E-2</v>
      </c>
    </row>
    <row r="32" spans="2:6">
      <c r="B32" s="1" t="s">
        <v>453</v>
      </c>
      <c r="C32" s="311">
        <f>C173</f>
        <v>2.5727426300409442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67" t="s">
        <v>493</v>
      </c>
      <c r="C36" s="367"/>
      <c r="D36" s="367"/>
      <c r="E36" s="367"/>
      <c r="F36" s="367"/>
    </row>
    <row r="37" spans="1:6" ht="24.6" customHeight="1">
      <c r="B37" s="369" t="s">
        <v>330</v>
      </c>
      <c r="C37" s="369"/>
      <c r="D37" s="369"/>
      <c r="E37" s="369"/>
      <c r="F37" s="369"/>
    </row>
    <row r="39" spans="1:6">
      <c r="B39" s="210" t="s">
        <v>494</v>
      </c>
      <c r="C39" s="108">
        <f>scaling_factor</f>
        <v>1000</v>
      </c>
    </row>
    <row r="40" spans="1:6">
      <c r="B40" s="368" t="s">
        <v>495</v>
      </c>
      <c r="C40" s="368"/>
      <c r="D40" s="368"/>
      <c r="E40" s="368"/>
      <c r="F40" s="368"/>
    </row>
    <row r="41" spans="1:6">
      <c r="B41" s="47" t="s">
        <v>228</v>
      </c>
      <c r="C41" s="349">
        <f>Normalized_FCF!C8</f>
        <v>928439.85014218651</v>
      </c>
      <c r="D41" s="1" t="str">
        <f>Reporting_currency</f>
        <v>CNY</v>
      </c>
    </row>
    <row r="42" spans="1:6">
      <c r="B42" s="47"/>
      <c r="C42" s="76"/>
    </row>
    <row r="43" spans="1:6" ht="24.6" customHeight="1">
      <c r="B43" s="368" t="s">
        <v>496</v>
      </c>
      <c r="C43" s="368"/>
      <c r="D43" s="368"/>
      <c r="E43" s="368"/>
      <c r="F43" s="368"/>
    </row>
    <row r="44" spans="1:6">
      <c r="B44" s="47" t="s">
        <v>230</v>
      </c>
      <c r="C44" s="349">
        <f>Normalized_FCF!C9</f>
        <v>0</v>
      </c>
      <c r="D44" s="1" t="str">
        <f>Reporting_currency</f>
        <v>CNY</v>
      </c>
    </row>
    <row r="45" spans="1:6">
      <c r="B45" s="52" t="s">
        <v>231</v>
      </c>
      <c r="C45" s="349">
        <f>Normalized_FCF!C10</f>
        <v>0</v>
      </c>
      <c r="D45" s="1" t="str">
        <f>Reporting_currency</f>
        <v>CNY</v>
      </c>
    </row>
    <row r="47" spans="1:6">
      <c r="B47" s="368" t="s">
        <v>497</v>
      </c>
      <c r="C47" s="368"/>
      <c r="D47" s="368"/>
      <c r="E47" s="368"/>
      <c r="F47" s="368"/>
    </row>
    <row r="48" spans="1:6">
      <c r="B48" s="47" t="s">
        <v>233</v>
      </c>
      <c r="C48" s="349">
        <f>Normalized_FCF!C11</f>
        <v>0</v>
      </c>
      <c r="D48" s="1" t="str">
        <f>Reporting_currency</f>
        <v>CNY</v>
      </c>
    </row>
    <row r="50" spans="2:6">
      <c r="B50" s="368" t="s">
        <v>498</v>
      </c>
      <c r="C50" s="368"/>
      <c r="D50" s="368"/>
      <c r="E50" s="368"/>
      <c r="F50" s="368"/>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68" t="s">
        <v>237</v>
      </c>
      <c r="C58" s="368"/>
      <c r="D58" s="368"/>
      <c r="E58" s="368"/>
      <c r="F58" s="368"/>
    </row>
    <row r="59" spans="2:6">
      <c r="B59" s="47" t="s">
        <v>235</v>
      </c>
      <c r="C59" s="349">
        <f>Normalized_FCF!C14</f>
        <v>-233268.98647286888</v>
      </c>
      <c r="D59" s="1" t="str">
        <f>Reporting_currency</f>
        <v>CNY</v>
      </c>
    </row>
    <row r="61" spans="2:6">
      <c r="B61" s="368" t="s">
        <v>500</v>
      </c>
      <c r="C61" s="371"/>
      <c r="D61" s="371"/>
      <c r="E61" s="371"/>
      <c r="F61" s="371"/>
    </row>
    <row r="62" spans="2:6">
      <c r="B62" s="47" t="s">
        <v>238</v>
      </c>
      <c r="C62" s="349">
        <f>Normalized_FCF!C17</f>
        <v>0</v>
      </c>
      <c r="D62" s="1" t="str">
        <f>Reporting_currency</f>
        <v>CNY</v>
      </c>
    </row>
    <row r="64" spans="2:6">
      <c r="B64" s="367" t="s">
        <v>501</v>
      </c>
      <c r="C64" s="367"/>
      <c r="D64" s="367"/>
      <c r="E64" s="367"/>
      <c r="F64" s="367"/>
    </row>
    <row r="65" spans="1:6">
      <c r="B65" s="367" t="s">
        <v>502</v>
      </c>
      <c r="C65" s="367"/>
      <c r="D65" s="367"/>
      <c r="E65" s="367"/>
      <c r="F65" s="367"/>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6.3082475233012081E-2</v>
      </c>
      <c r="F69" s="314"/>
    </row>
    <row r="70" spans="1:6">
      <c r="B70" s="227" t="s">
        <v>435</v>
      </c>
      <c r="C70" s="92">
        <f>Normalized_FCF!C94</f>
        <v>4.2056074766355145E-2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67" t="s">
        <v>507</v>
      </c>
      <c r="C80" s="367"/>
      <c r="D80" s="367"/>
      <c r="E80" s="367"/>
      <c r="F80" s="367"/>
    </row>
    <row r="81" spans="1:6">
      <c r="B81" s="369" t="s">
        <v>248</v>
      </c>
      <c r="C81" s="369"/>
      <c r="D81" s="369"/>
      <c r="E81" s="369"/>
      <c r="F81" s="369"/>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67" t="s">
        <v>508</v>
      </c>
      <c r="C89" s="367"/>
      <c r="D89" s="367"/>
      <c r="E89" s="367"/>
      <c r="F89" s="367"/>
    </row>
    <row r="90" spans="1:6">
      <c r="B90" s="367" t="s">
        <v>509</v>
      </c>
      <c r="C90" s="367"/>
      <c r="D90" s="367"/>
      <c r="E90" s="367"/>
      <c r="F90" s="367"/>
    </row>
    <row r="92" spans="1:6">
      <c r="B92" s="47" t="s">
        <v>247</v>
      </c>
      <c r="C92" s="236">
        <v>0</v>
      </c>
    </row>
    <row r="93" spans="1:6">
      <c r="B93" s="47" t="s">
        <v>275</v>
      </c>
      <c r="C93" s="223">
        <f>DCF!C6*scaling_factor*Exchange_Rate/Common_Shares</f>
        <v>1.7999532933152778</v>
      </c>
      <c r="D93" s="1" t="str">
        <f>Market_currency</f>
        <v>HKD</v>
      </c>
    </row>
    <row r="95" spans="1:6" ht="13.9">
      <c r="A95" s="222" t="s">
        <v>510</v>
      </c>
      <c r="B95" s="36"/>
      <c r="C95" s="36"/>
      <c r="D95" s="36"/>
      <c r="E95" s="36"/>
      <c r="F95" s="36"/>
    </row>
    <row r="96" spans="1:6">
      <c r="A96" s="209"/>
    </row>
    <row r="97" spans="2:6">
      <c r="B97" s="367" t="s">
        <v>511</v>
      </c>
      <c r="C97" s="367"/>
      <c r="D97" s="367"/>
      <c r="E97" s="367"/>
      <c r="F97" s="367"/>
    </row>
    <row r="98" spans="2:6">
      <c r="B98" s="1" t="s">
        <v>249</v>
      </c>
    </row>
    <row r="100" spans="2:6">
      <c r="B100" s="210" t="s">
        <v>494</v>
      </c>
    </row>
    <row r="101" spans="2:6">
      <c r="B101" s="367" t="s">
        <v>512</v>
      </c>
      <c r="C101" s="367"/>
      <c r="D101" s="367"/>
      <c r="E101" s="367"/>
      <c r="F101" s="367"/>
    </row>
    <row r="102" spans="2:6">
      <c r="B102" s="47" t="s">
        <v>251</v>
      </c>
      <c r="C102" s="349">
        <f>DCF!C7</f>
        <v>2119124</v>
      </c>
      <c r="D102" s="1" t="str">
        <f>Reporting_currency</f>
        <v>CNY</v>
      </c>
    </row>
    <row r="103" spans="2:6">
      <c r="B103" s="47" t="s">
        <v>276</v>
      </c>
      <c r="C103" s="223">
        <f>C102*scaling_factor*Exchange_Rate/Common_Shares</f>
        <v>0.50262376859784819</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1.8655295194891146</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1.2471076116059004E-2</v>
      </c>
      <c r="D114" s="1" t="str">
        <f>Market_currency</f>
        <v>HKD</v>
      </c>
    </row>
    <row r="116" spans="1:6">
      <c r="B116" s="367" t="s">
        <v>517</v>
      </c>
      <c r="C116" s="367"/>
      <c r="D116" s="367"/>
      <c r="E116" s="367"/>
      <c r="F116" s="367"/>
    </row>
    <row r="118" spans="1:6">
      <c r="B118" s="47" t="s">
        <v>518</v>
      </c>
      <c r="C118" s="223">
        <f>IF(valuation_method="DCF",DCF!C12,DDM!C7)</f>
        <v>3.1753301203226036</v>
      </c>
      <c r="D118" s="1" t="str">
        <f>Market_currency</f>
        <v>HKD</v>
      </c>
    </row>
    <row r="119" spans="1:6">
      <c r="B119" s="296" t="s">
        <v>551</v>
      </c>
      <c r="C119" s="223">
        <f>BS!D47</f>
        <v>1.8472247831360336</v>
      </c>
      <c r="D119" s="1" t="str">
        <f>Market_currency</f>
        <v>HKD</v>
      </c>
    </row>
    <row r="121" spans="1:6" ht="13.9">
      <c r="A121" s="222" t="s">
        <v>519</v>
      </c>
      <c r="B121" s="36"/>
      <c r="C121" s="36"/>
      <c r="D121" s="36"/>
      <c r="E121" s="36"/>
      <c r="F121" s="36"/>
    </row>
    <row r="123" spans="1:6">
      <c r="B123" s="368" t="s">
        <v>520</v>
      </c>
      <c r="C123" s="368"/>
      <c r="D123" s="368"/>
      <c r="E123" s="368"/>
      <c r="F123" s="368"/>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3.2864655631966784</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0" t="s">
        <v>527</v>
      </c>
      <c r="C138" s="370"/>
      <c r="D138" s="370"/>
      <c r="E138" s="370"/>
      <c r="F138" s="370"/>
    </row>
    <row r="139" spans="1:6" ht="24.6" customHeight="1">
      <c r="B139" s="367" t="s">
        <v>528</v>
      </c>
      <c r="C139" s="367"/>
      <c r="D139" s="367"/>
      <c r="E139" s="367"/>
      <c r="F139" s="367"/>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1.3357579894108329</v>
      </c>
    </row>
    <row r="149" spans="2:4">
      <c r="B149" s="80" t="s">
        <v>256</v>
      </c>
      <c r="C149" s="215">
        <f>Scenarios!C83</f>
        <v>1.4883871617930917</v>
      </c>
      <c r="D149" s="300" t="str">
        <f>IF($D$11="","",C149*$E$25)</f>
        <v/>
      </c>
    </row>
    <row r="150" spans="2:4">
      <c r="B150" s="259" t="s">
        <v>533</v>
      </c>
      <c r="C150" s="298" t="str">
        <f>Market_currency</f>
        <v>HKD</v>
      </c>
      <c r="D150" s="298" t="str">
        <f>IF($D$11="","",D$13)</f>
        <v/>
      </c>
    </row>
    <row r="151" spans="2:4">
      <c r="B151" s="214" t="s">
        <v>534</v>
      </c>
      <c r="C151" s="92">
        <f>Scenarios!F83</f>
        <v>0.5471161546736647</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1.6826703683566993</v>
      </c>
    </row>
    <row r="157" spans="2:4">
      <c r="B157" s="80" t="s">
        <v>256</v>
      </c>
      <c r="C157" s="215">
        <f>Scenarios!C93</f>
        <v>1.8583503683566993</v>
      </c>
      <c r="D157" s="300" t="str">
        <f>IF($D$11="","",C157*$E$25)</f>
        <v/>
      </c>
    </row>
    <row r="158" spans="2:4">
      <c r="B158" s="259" t="s">
        <v>533</v>
      </c>
      <c r="C158" s="298" t="str">
        <f>Market_currency</f>
        <v>HKD</v>
      </c>
      <c r="D158" s="298" t="str">
        <f>IF($D$11="","",D$13)</f>
        <v/>
      </c>
    </row>
    <row r="159" spans="2:4">
      <c r="B159" s="214" t="s">
        <v>534</v>
      </c>
      <c r="C159" s="92">
        <f>Scenarios!F93</f>
        <v>0.43454439651906174</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2.6454751914244965</v>
      </c>
    </row>
    <row r="165" spans="2:4">
      <c r="B165" s="80" t="s">
        <v>382</v>
      </c>
      <c r="C165" s="215">
        <f>Scenarios!C99</f>
        <v>2.8795225080129727</v>
      </c>
      <c r="D165" s="300" t="str">
        <f>IF($D$11="","",C165*$E$25)</f>
        <v/>
      </c>
    </row>
    <row r="166" spans="2:4">
      <c r="B166" s="259" t="s">
        <v>533</v>
      </c>
      <c r="C166" s="298" t="str">
        <f>Market_currency</f>
        <v>HKD</v>
      </c>
      <c r="D166" s="298" t="str">
        <f>IF($D$11="","",D$13)</f>
        <v/>
      </c>
    </row>
    <row r="167" spans="2:4">
      <c r="B167" s="214" t="s">
        <v>534</v>
      </c>
      <c r="C167" s="92">
        <f>Scenarios!F99</f>
        <v>0.12382392188764646</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2.3556083487064656</v>
      </c>
    </row>
    <row r="173" spans="2:4">
      <c r="B173" s="80" t="s">
        <v>382</v>
      </c>
      <c r="C173" s="215">
        <f>Scenarios!C105</f>
        <v>2.5727426300409442</v>
      </c>
      <c r="D173" s="300" t="str">
        <f>IF($D$11="","",C173*$E$25)</f>
        <v/>
      </c>
    </row>
    <row r="174" spans="2:4">
      <c r="B174" s="259" t="s">
        <v>533</v>
      </c>
      <c r="C174" s="298" t="str">
        <f>Market_currency</f>
        <v>HKD</v>
      </c>
      <c r="D174" s="298" t="str">
        <f>IF($D$11="","",D$13)</f>
        <v/>
      </c>
    </row>
    <row r="175" spans="2:4">
      <c r="B175" s="214" t="s">
        <v>534</v>
      </c>
      <c r="C175" s="92">
        <f>Scenarios!F105</f>
        <v>0.2177752970210256</v>
      </c>
    </row>
    <row r="177" spans="1:6" ht="13.9">
      <c r="A177" s="222" t="s">
        <v>357</v>
      </c>
      <c r="B177" s="36"/>
      <c r="C177" s="36"/>
      <c r="D177" s="36"/>
      <c r="E177" s="36"/>
      <c r="F177" s="36"/>
    </row>
    <row r="179" spans="1:6">
      <c r="B179" s="374" t="s">
        <v>535</v>
      </c>
      <c r="C179" s="367"/>
      <c r="D179" s="367"/>
      <c r="E179" s="367"/>
      <c r="F179" s="367"/>
    </row>
    <row r="181" spans="1:6">
      <c r="B181" s="210" t="s">
        <v>536</v>
      </c>
    </row>
    <row r="182" spans="1:6">
      <c r="B182" s="371" t="s">
        <v>537</v>
      </c>
      <c r="C182" s="371"/>
      <c r="D182" s="371"/>
      <c r="E182" s="371"/>
      <c r="F182" s="371"/>
    </row>
    <row r="183" spans="1:6">
      <c r="B183" s="214" t="s">
        <v>538</v>
      </c>
    </row>
    <row r="184" spans="1:6">
      <c r="B184" s="214" t="s">
        <v>539</v>
      </c>
    </row>
    <row r="185" spans="1:6">
      <c r="B185" s="214" t="s">
        <v>540</v>
      </c>
    </row>
    <row r="187" spans="1:6">
      <c r="B187" s="1" t="s">
        <v>541</v>
      </c>
    </row>
    <row r="188" spans="1:6" ht="24.6" customHeight="1">
      <c r="B188" s="368" t="s">
        <v>542</v>
      </c>
      <c r="C188" s="368"/>
      <c r="D188" s="368"/>
      <c r="E188" s="368"/>
      <c r="F188" s="368"/>
    </row>
    <row r="190" spans="1:6">
      <c r="B190" s="1" t="s">
        <v>543</v>
      </c>
    </row>
    <row r="191" spans="1:6">
      <c r="B191" s="373" t="s">
        <v>544</v>
      </c>
      <c r="C191" s="373"/>
      <c r="D191" s="373"/>
      <c r="E191" s="373"/>
      <c r="F191" s="373"/>
    </row>
    <row r="192" spans="1:6">
      <c r="B192" s="373" t="s">
        <v>545</v>
      </c>
      <c r="C192" s="373"/>
      <c r="D192" s="373"/>
      <c r="E192" s="373"/>
      <c r="F192" s="373"/>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73EE4-A9FC-4C5C-B2DC-5900E4B00A01}">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