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51E8A4B-4C6B-E449-AAAB-74CD8BF6B9FC}"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30" i="6" l="1"/>
  <c r="B130" i="12"/>
  <c r="B128" i="6"/>
  <c r="B128" i="12"/>
  <c r="C66" i="2"/>
  <c r="C58" i="2" s="1"/>
  <c r="B129" i="6"/>
  <c r="B129" i="1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34" i="2" l="1"/>
  <c r="C77" i="9"/>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4" i="2" l="1"/>
  <c r="C4" i="2"/>
  <c r="C33" i="2"/>
  <c r="C31" i="4"/>
  <c r="N94" i="2"/>
  <c r="I94" i="2"/>
  <c r="C44" i="6"/>
  <c r="C44" i="12"/>
  <c r="O94" i="2"/>
  <c r="Q92" i="2"/>
  <c r="Q94" i="2"/>
  <c r="J94" i="2"/>
  <c r="K94" i="2"/>
  <c r="L94" i="2"/>
  <c r="P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C78" i="2"/>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<sst xmlns="http://schemas.openxmlformats.org/spreadsheetml/2006/main" count="836" uniqueCount="560">
  <si>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</si>
  <si>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</si>
  <si>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</si>
  <si>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</si>
  <si>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</si>
  <si>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</si>
  <si>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</si>
  <si>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</si>
  <si>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</si>
  <si>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</si>
  <si>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</si>
  <si>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</si>
  <si>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</si>
  <si>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</si>
  <si>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</si>
  <si>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</si>
  <si>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</si>
  <si>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</si>
  <si>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</si>
  <si>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</si>
  <si>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</si>
  <si>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</si>
  <si>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</si>
  <si>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</si>
  <si>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</si>
  <si>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</si>
  <si>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</si>
  <si>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</si>
  <si>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</si>
  <si>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</si>
  <si>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</si>
  <si>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</si>
  <si>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</si>
  <si>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</si>
  <si>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</si>
  <si>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</si>
  <si>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</si>
  <si>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</si>
  <si>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</si>
  <si>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</si>
  <si>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</si>
  <si>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</si>
  <si>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</si>
  <si>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</si>
  <si>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</si>
  <si>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</si>
  <si>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</si>
  <si>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</si>
  <si>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</si>
  <si>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</si>
  <si>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</si>
  <si>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</si>
  <si>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</si>
  <si>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</si>
  <si>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</si>
  <si>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</si>
  <si>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</si>
  <si>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</si>
  <si>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</si>
  <si>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</si>
  <si>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</si>
  <si>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</si>
  <si>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</si>
  <si>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</si>
  <si>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</si>
  <si>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</si>
  <si>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</si>
  <si>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</si>
  <si>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</si>
  <si>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</si>
  <si>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</si>
  <si>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</si>
  <si>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</si>
  <si>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</si>
  <si>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</si>
  <si>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</si>
  <si>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</si>
  <si>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</si>
  <si>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</si>
  <si>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</si>
  <si>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</si>
  <si>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</si>
  <si>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</si>
  <si>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</si>
  <si>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</si>
  <si>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</si>
  <si>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</si>
  <si>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</si>
  <si>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</si>
  <si>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</si>
  <si>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</si>
  <si>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</si>
  <si>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</si>
  <si>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</si>
  <si>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</si>
  <si>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</si>
  <si>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</si>
  <si>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</si>
  <si>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</si>
  <si>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</si>
  <si>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</si>
  <si>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</si>
  <si>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</si>
  <si>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</si>
  <si>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</si>
  <si>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</si>
  <si>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</si>
  <si>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</si>
  <si>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</si>
  <si>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</si>
  <si>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</si>
  <si>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</si>
  <si>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</si>
  <si>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</si>
  <si>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</si>
  <si>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</si>
  <si>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</si>
  <si>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</si>
  <si>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</si>
  <si>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</si>
  <si>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</si>
  <si>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</si>
  <si>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</si>
  <si>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</si>
  <si>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</si>
  <si>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</si>
  <si>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</si>
  <si>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</si>
  <si>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</si>
  <si>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</si>
  <si>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</si>
  <si>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</si>
  <si>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</si>
  <si>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</si>
  <si>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</si>
  <si>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</si>
  <si>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</si>
  <si>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</si>
  <si>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</si>
  <si>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</si>
  <si>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</si>
  <si>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</si>
  <si>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</si>
  <si>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</si>
  <si>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</si>
  <si>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</si>
  <si>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</si>
  <si>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</si>
  <si>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</si>
  <si>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</si>
  <si>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</si>
  <si>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</si>
  <si>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</si>
  <si>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</si>
  <si>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</si>
  <si>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</si>
  <si>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</si>
  <si>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</si>
  <si>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</si>
  <si>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</si>
  <si>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</si>
  <si>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</si>
  <si>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</si>
  <si>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</si>
  <si>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</si>
  <si>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</si>
  <si>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</si>
  <si>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</si>
  <si>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</si>
  <si>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</si>
  <si>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</si>
  <si>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</si>
  <si>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</si>
  <si>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</si>
  <si>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</si>
  <si>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</si>
  <si>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</si>
  <si>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</si>
  <si>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</si>
  <si>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</si>
  <si>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</si>
  <si>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</si>
  <si>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</si>
  <si>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</si>
  <si>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</si>
  <si>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</si>
  <si>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</si>
  <si>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</si>
  <si>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</si>
  <si>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</si>
  <si>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</si>
  <si>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</si>
  <si>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</si>
  <si>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</si>
  <si>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</si>
  <si>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</si>
  <si>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</si>
  <si>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</si>
  <si>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</si>
  <si>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</si>
  <si>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</si>
  <si>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</si>
  <si>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</si>
  <si>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</si>
  <si>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</si>
  <si>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</si>
  <si>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</si>
  <si>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</si>
  <si>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</si>
  <si>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</si>
  <si>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</si>
  <si>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</si>
  <si>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</si>
  <si>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</si>
  <si>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</si>
  <si>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</si>
  <si>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</si>
  <si>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</si>
  <si>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</si>
  <si>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</si>
  <si>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</si>
  <si>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</si>
  <si>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</si>
  <si>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</si>
  <si>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</si>
  <si>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</si>
  <si>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</si>
  <si>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</si>
  <si>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</si>
  <si>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</si>
  <si>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</si>
  <si>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</si>
  <si>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</si>
  <si>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</si>
  <si>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</si>
  <si>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</si>
  <si>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</si>
  <si>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</si>
  <si>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</si>
  <si>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</si>
  <si>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</si>
  <si>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</si>
  <si>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</si>
  <si>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</si>
  <si>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</si>
  <si>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</si>
  <si>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</si>
  <si>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</si>
  <si>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</si>
  <si>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</si>
  <si>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</si>
  <si>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</si>
  <si>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</si>
  <si>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</si>
  <si>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</si>
  <si>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</si>
  <si>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</si>
  <si>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</si>
  <si>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</si>
  <si>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</si>
  <si>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</si>
  <si>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</si>
  <si>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</si>
  <si>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</si>
  <si>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</si>
  <si>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</si>
  <si>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</si>
  <si>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</si>
  <si>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</si>
  <si>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</si>
  <si>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</si>
  <si>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</si>
  <si>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</si>
  <si>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</si>
  <si>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</si>
  <si>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</si>
  <si>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</si>
  <si>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</si>
  <si>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</si>
  <si>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</si>
  <si>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</si>
  <si>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</si>
  <si>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</si>
  <si>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</si>
  <si>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</si>
  <si>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</si>
  <si>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</si>
  <si>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</si>
  <si>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</si>
  <si>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</si>
  <si>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</si>
  <si>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</si>
  <si>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</si>
  <si>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</si>
  <si>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</si>
  <si>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</si>
  <si>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</si>
  <si>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</si>
  <si>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</si>
  <si>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</si>
  <si>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</si>
  <si>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</si>
  <si>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</si>
  <si>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</si>
  <si>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</si>
  <si>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</si>
  <si>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</si>
  <si>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</si>
  <si>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</si>
  <si>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</si>
  <si>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</si>
  <si>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</si>
  <si>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</si>
  <si>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</si>
  <si>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</si>
  <si>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</si>
  <si>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</si>
  <si>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</si>
  <si>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</si>
  <si>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</si>
  <si>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</si>
  <si>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</si>
  <si>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</si>
  <si>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</si>
  <si>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</si>
  <si>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</si>
  <si>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</si>
  <si>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</si>
  <si>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</si>
  <si>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</si>
  <si>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</si>
  <si>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</si>
  <si>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</si>
  <si>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</si>
  <si>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</si>
  <si>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</si>
  <si>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</si>
  <si>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</si>
  <si>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</si>
  <si>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</si>
  <si>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</si>
  <si>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</si>
  <si>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</si>
  <si>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</si>
  <si>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</si>
  <si>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</si>
  <si>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</si>
  <si>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</si>
  <si>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</si>
  <si>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</si>
  <si>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</si>
  <si>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</si>
  <si>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</si>
  <si>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</si>
  <si>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</si>
  <si>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</si>
  <si>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</si>
  <si>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</si>
  <si>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</si>
  <si>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</si>
  <si>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</si>
  <si>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</si>
  <si>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</si>
  <si>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</si>
  <si>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</si>
  <si>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</si>
  <si>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</si>
  <si>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</si>
  <si>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</si>
  <si>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</si>
  <si>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</si>
  <si>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</si>
  <si>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</si>
  <si>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</si>
  <si>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</si>
  <si>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</si>
  <si>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</si>
  <si>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</si>
  <si>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</si>
  <si>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</si>
  <si>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</si>
  <si>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</si>
  <si>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</si>
  <si>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</si>
  <si>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</si>
  <si>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</si>
  <si>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</si>
  <si>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</si>
  <si>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</si>
  <si>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</si>
  <si>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</si>
  <si>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</si>
  <si>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</si>
  <si>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</si>
  <si>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</si>
  <si>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</si>
  <si>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</si>
  <si>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</si>
  <si>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</si>
  <si>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</si>
  <si>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</si>
  <si>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</si>
  <si>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</si>
  <si>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</si>
  <si>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</si>
  <si>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</si>
  <si>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</si>
  <si>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</si>
  <si>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</si>
  <si>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</si>
  <si>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</si>
  <si>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</si>
  <si>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</si>
  <si>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</si>
  <si>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</si>
  <si>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</si>
  <si>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</si>
  <si>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</si>
  <si>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</si>
  <si>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</si>
  <si>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</si>
  <si>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</si>
  <si>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</si>
  <si>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</si>
  <si>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</si>
  <si>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</si>
  <si>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</si>
  <si>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</si>
  <si>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</si>
  <si>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</si>
  <si>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</si>
  <si>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</si>
  <si>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</si>
  <si>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</si>
  <si>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</si>
  <si>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</si>
  <si>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</si>
  <si>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</si>
  <si>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</si>
  <si>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</si>
  <si>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</si>
  <si>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</si>
  <si>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</si>
  <si>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</si>
  <si>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</si>
  <si>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</si>
  <si>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</si>
  <si>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</si>
  <si>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</si>
  <si>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</si>
  <si>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</si>
  <si>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</si>
  <si>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</si>
  <si>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</si>
  <si>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</si>
  <si>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</si>
  <si>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</si>
  <si>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</si>
  <si>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</si>
  <si>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</si>
  <si>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</si>
  <si>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</si>
  <si>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</si>
  <si>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</si>
  <si>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</si>
  <si>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</si>
  <si>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</si>
  <si>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</si>
  <si>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</si>
  <si>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</si>
  <si>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</si>
  <si>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</si>
  <si>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</si>
  <si>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</si>
  <si>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</si>
  <si>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</si>
  <si>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</si>
  <si>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</si>
  <si>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</si>
  <si>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</si>
  <si>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</si>
  <si>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</si>
  <si>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</si>
  <si>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</si>
  <si>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</si>
  <si>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</si>
  <si>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</si>
  <si>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</si>
  <si>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</si>
  <si>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</si>
  <si>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</si>
  <si>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</si>
  <si>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</si>
  <si>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</si>
  <si>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</si>
  <si>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</si>
  <si>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</si>
  <si>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</si>
  <si>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</si>
  <si>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</si>
  <si>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</si>
  <si>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</si>
  <si>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</si>
  <si>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</si>
  <si>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</si>
  <si>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</si>
  <si>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</si>
  <si>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</si>
  <si>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</si>
  <si>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</si>
  <si>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</si>
  <si>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</si>
  <si>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</si>
  <si>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</si>
  <si>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</si>
  <si>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</si>
  <si>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</si>
  <si>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</si>
  <si>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</si>
  <si>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</si>
  <si>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</si>
  <si>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</si>
  <si>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</si>
  <si>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</si>
  <si>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</si>
  <si>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</si>
  <si>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</si>
  <si>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</si>
  <si>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</si>
  <si>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</si>
  <si>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</si>
  <si>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</si>
  <si>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</si>
  <si>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</si>
  <si>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</si>
  <si>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</si>
  <si>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</si>
  <si>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</si>
  <si>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</si>
  <si>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</si>
  <si>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</si>
  <si>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</si>
  <si>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</si>
  <si>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</si>
  <si>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</si>
  <si>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</si>
  <si>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</si>
  <si>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</si>
  <si>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</si>
  <si>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</si>
  <si>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</si>
  <si>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</si>
  <si>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</si>
  <si>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中海石油化学</t>
  </si>
  <si>
    <t>3983.HK</t>
  </si>
  <si>
    <t/>
  </si>
  <si>
    <t>ENG_03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</si>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</sst>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F37146B4-B37D-4BFC-8190-8DC8E376F0A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file:///C:/Users/jerry/PycharmProjects/Invest_Proc/financial_models/opportunities/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4610000000</v>
          </cell>
        </row>
        <row r="12">
          <cell r="C12">
            <v>2.14</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45754</v>
      </c>
      <c r="D1" s="316" t="s">
        <v>427</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459</v>
      </c>
      <c r="C5" s="294" t="s">
        <v>553</v>
      </c>
    </row>
    <row r="6" spans="1:10" x14ac:dyDescent="0.15">
      <c r="B6" s="4" t="s">
        <v>460</v>
      </c>
      <c r="C6" s="51">
        <v>4610000000</v>
      </c>
      <c r="E6" s="48"/>
    </row>
    <row r="7" spans="1:10" x14ac:dyDescent="0.15">
      <c r="B7" s="2" t="s">
        <v>461</v>
      </c>
      <c r="C7" s="250">
        <v>6</v>
      </c>
      <c r="D7" s="48"/>
      <c r="E7" s="48"/>
    </row>
    <row r="8" spans="1:10" x14ac:dyDescent="0.15">
      <c r="B8" s="1" t="s">
        <v>462</v>
      </c>
      <c r="C8" s="33">
        <f>EOMONTH(EDATE(BS!C1,C7+2),0)</f>
        <v>45900</v>
      </c>
      <c r="E8" s="48"/>
    </row>
    <row r="9" spans="1:10" x14ac:dyDescent="0.15">
      <c r="E9" s="34"/>
    </row>
    <row r="10" spans="1:10" x14ac:dyDescent="0.15">
      <c r="B10" s="45" t="s">
        <v>397</v>
      </c>
      <c r="C10" s="46"/>
      <c r="E10" s="34"/>
    </row>
    <row r="11" spans="1:10" x14ac:dyDescent="0.15">
      <c r="B11" s="1" t="s">
        <v>463</v>
      </c>
      <c r="C11" s="49" t="s">
        <v>554</v>
      </c>
      <c r="D11" s="49" t="s">
        <v>555</v>
      </c>
      <c r="E11" s="34"/>
    </row>
    <row r="12" spans="1:10" x14ac:dyDescent="0.15">
      <c r="B12" s="4" t="s">
        <v>464</v>
      </c>
      <c r="C12" s="50">
        <v>2.19</v>
      </c>
      <c r="D12" s="50"/>
      <c r="E12" s="48"/>
    </row>
    <row r="13" spans="1:10" x14ac:dyDescent="0.15">
      <c r="B13" s="1" t="s">
        <v>465</v>
      </c>
      <c r="C13" s="48" t="s">
        <v>377</v>
      </c>
      <c r="D13" s="48"/>
      <c r="E13" s="5"/>
    </row>
    <row r="14" spans="1:10" x14ac:dyDescent="0.15">
      <c r="B14" s="4" t="s">
        <v>466</v>
      </c>
      <c r="C14" s="35">
        <f>Thesis!C12*Common_Shares/1000000</f>
        <v>10095.9</v>
      </c>
      <c r="D14" s="35" t="str">
        <f>IF(D11="","",Thesis!D12*Common_Shares/1000000)</f>
        <v/>
      </c>
      <c r="E14" s="5"/>
    </row>
    <row r="15" spans="1:10" x14ac:dyDescent="0.15">
      <c r="B15" s="4" t="s">
        <v>467</v>
      </c>
      <c r="C15" s="32" t="str">
        <f>IF(C25=C13,C13,C25&amp;"/"&amp;C13)</f>
        <v>CNY/HKD</v>
      </c>
      <c r="D15" s="32" t="str">
        <f>IF(D11="","",IF(C25=D13,D13,C25&amp;"/"&amp;D13))</f>
        <v/>
      </c>
      <c r="E15" s="5"/>
    </row>
    <row r="16" spans="1:10" x14ac:dyDescent="0.15">
      <c r="B16" s="4" t="s">
        <v>468</v>
      </c>
      <c r="C16" s="50">
        <v>1.0940809</v>
      </c>
      <c r="D16" s="50"/>
      <c r="E16" s="5"/>
    </row>
    <row r="17" spans="2:6" x14ac:dyDescent="0.15">
      <c r="D17" s="5"/>
      <c r="E17" s="5"/>
    </row>
    <row r="18" spans="2:6" ht="24.5" customHeight="1" x14ac:dyDescent="0.15">
      <c r="B18" s="370" t="s">
        <v>469</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557</v>
      </c>
    </row>
    <row r="22" spans="2:6" x14ac:dyDescent="0.15">
      <c r="B22" s="2" t="s">
        <v>54</v>
      </c>
      <c r="C22" s="48" t="s">
        <v>556</v>
      </c>
      <c r="D22" s="1" t="str">
        <f>IF(valuation_method="DDM","Terminal Value Discount Rate","")</f>
        <v/>
      </c>
      <c r="E22" s="313"/>
    </row>
    <row r="23" spans="2:6" x14ac:dyDescent="0.15">
      <c r="B23" s="1" t="s">
        <v>411</v>
      </c>
      <c r="C23" s="262" t="s">
        <v>552</v>
      </c>
    </row>
    <row r="24" spans="2:6" x14ac:dyDescent="0.15">
      <c r="B24" s="1" t="s">
        <v>412</v>
      </c>
      <c r="C24" s="262" t="s">
        <v>552</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(HKD) :</v>
      </c>
      <c r="C26" s="304">
        <f>C132</f>
        <v>3.2884477434155519</v>
      </c>
      <c r="D26" s="1" t="s">
        <v>380</v>
      </c>
      <c r="E26" s="301">
        <f ca="1">Scenarios!C87</f>
        <v>0.18132383775566518</v>
      </c>
    </row>
    <row r="27" spans="2:6" x14ac:dyDescent="0.15">
      <c r="D27" s="5"/>
      <c r="E27" s="5"/>
    </row>
    <row r="28" spans="2:6" x14ac:dyDescent="0.15">
      <c r="B28" s="45" t="s">
        <v>410</v>
      </c>
      <c r="C28" s="309" t="str">
        <f>C145&amp;" ("&amp;Market_currency&amp;")"</f>
        <v>3983.HK (HKD)</v>
      </c>
      <c r="D28" s="309" t="str">
        <f>IF(D11="","",D145&amp;" ("&amp;D13&amp;")")</f>
        <v/>
      </c>
      <c r="E28" s="305" t="s">
        <v>406</v>
      </c>
      <c r="F28" s="303">
        <v>3</v>
      </c>
    </row>
    <row r="29" spans="2:6" x14ac:dyDescent="0.15">
      <c r="B29" s="1" t="s">
        <v>402</v>
      </c>
      <c r="C29" s="310">
        <f>C149</f>
        <v>1.4891928032985018</v>
      </c>
      <c r="D29" s="310" t="str">
        <f>D149</f>
        <v/>
      </c>
      <c r="E29" s="306" t="s">
        <v>401</v>
      </c>
      <c r="F29" s="302">
        <v>0.35</v>
      </c>
    </row>
    <row r="30" spans="2:6" x14ac:dyDescent="0.15">
      <c r="B30" s="1" t="s">
        <v>403</v>
      </c>
      <c r="C30" s="311">
        <f>C157</f>
        <v>1.8593652446287627</v>
      </c>
      <c r="D30" s="311" t="str">
        <f>D157</f>
        <v/>
      </c>
      <c r="E30" s="307" t="s">
        <v>414</v>
      </c>
      <c r="F30" s="312">
        <v>0.25</v>
      </c>
    </row>
    <row r="31" spans="2:6" x14ac:dyDescent="0.15">
      <c r="B31" s="1" t="s">
        <v>404</v>
      </c>
      <c r="C31" s="311">
        <f>C165</f>
        <v>2.881118084930828</v>
      </c>
      <c r="D31" s="311" t="str">
        <f>D165</f>
        <v/>
      </c>
      <c r="E31" s="307" t="s">
        <v>413</v>
      </c>
      <c r="F31" s="312">
        <v>7.4999999999999997E-2</v>
      </c>
    </row>
    <row r="32" spans="2:6" x14ac:dyDescent="0.15">
      <c r="B32" s="1" t="s">
        <v>405</v>
      </c>
      <c r="C32" s="311">
        <f>C173</f>
        <v>2.5741633783136502</v>
      </c>
      <c r="D32" s="311" t="str">
        <f>D173</f>
        <v/>
      </c>
      <c r="E32" s="307" t="s">
        <v>415</v>
      </c>
      <c r="F32" s="312">
        <v>0.1174</v>
      </c>
    </row>
    <row r="33" spans="1:6" x14ac:dyDescent="0.15">
      <c r="D33" s="5"/>
      <c r="E33" s="5"/>
    </row>
    <row r="34" spans="1:6" ht="16" x14ac:dyDescent="0.25">
      <c r="A34" s="222" t="s">
        <v>345</v>
      </c>
      <c r="B34" s="36"/>
      <c r="C34" s="36"/>
      <c r="D34" s="36"/>
      <c r="E34" s="36"/>
      <c r="F34" s="36"/>
    </row>
    <row r="36" spans="1:6" x14ac:dyDescent="0.15">
      <c r="B36" s="370" t="s">
        <v>470</v>
      </c>
      <c r="C36" s="370"/>
      <c r="D36" s="370"/>
      <c r="E36" s="370"/>
      <c r="F36" s="370"/>
    </row>
    <row r="37" spans="1:6" ht="24.5" customHeight="1" x14ac:dyDescent="0.15">
      <c r="B37" s="372" t="s">
        <v>330</v>
      </c>
      <c r="C37" s="372"/>
      <c r="D37" s="372"/>
      <c r="E37" s="372"/>
      <c r="F37" s="372"/>
    </row>
    <row r="39" spans="1:6" x14ac:dyDescent="0.15">
      <c r="B39" s="210" t="s">
        <v>226</v>
      </c>
      <c r="C39" s="108">
        <f>scaling_factor</f>
        <v>1000</v>
      </c>
    </row>
    <row r="40" spans="1:6" ht="24.5" customHeight="1" x14ac:dyDescent="0.15">
      <c r="B40" s="371" t="s">
        <v>227</v>
      </c>
      <c r="C40" s="371"/>
      <c r="D40" s="371"/>
      <c r="E40" s="371"/>
      <c r="F40" s="371"/>
    </row>
    <row r="41" spans="1:6" x14ac:dyDescent="0.15">
      <c r="B41" s="47" t="s">
        <v>228</v>
      </c>
      <c r="C41" s="349">
        <f>Normalized_FCF!C8</f>
        <v>928439.85014218651</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0</v>
      </c>
      <c r="D44" s="1" t="str">
        <f>Reporting_currency</f>
        <v>CNY</v>
      </c>
    </row>
    <row r="45" spans="1:6" x14ac:dyDescent="0.15">
      <c r="B45" s="52" t="s">
        <v>231</v>
      </c>
      <c r="C45" s="349">
        <f>Normalized_FCF!C10</f>
        <v>0</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57395.095749289067</v>
      </c>
      <c r="D51" s="1" t="str">
        <f>Reporting_currency</f>
        <v>CNY</v>
      </c>
      <c r="E51" s="286"/>
      <c r="F51" s="286"/>
    </row>
    <row r="52" spans="2:6" x14ac:dyDescent="0.15">
      <c r="B52" s="47" t="s">
        <v>332</v>
      </c>
      <c r="C52" s="350">
        <f>Normalized_FCF!C47</f>
        <v>-52759</v>
      </c>
      <c r="D52" s="1" t="str">
        <f>Reporting_currency</f>
        <v>CNY</v>
      </c>
      <c r="E52" s="286"/>
      <c r="F52" s="286"/>
    </row>
    <row r="53" spans="2:6" x14ac:dyDescent="0.15">
      <c r="B53" s="47" t="s">
        <v>234</v>
      </c>
      <c r="C53" s="349">
        <f>Normalized_FCF!C12</f>
        <v>4636.0957492890666</v>
      </c>
      <c r="D53" s="1" t="str">
        <f>Reporting_currency</f>
        <v>CNY</v>
      </c>
    </row>
    <row r="55" spans="2:6" x14ac:dyDescent="0.15">
      <c r="B55" s="1" t="s">
        <v>242</v>
      </c>
    </row>
    <row r="56" spans="2:6" x14ac:dyDescent="0.15">
      <c r="B56" s="47" t="s">
        <v>261</v>
      </c>
      <c r="C56" s="349">
        <f>Normalized_FCF!C15</f>
        <v>-130645.02443131036</v>
      </c>
      <c r="D56" s="1" t="str">
        <f>Reporting_currency</f>
        <v>CNY</v>
      </c>
    </row>
    <row r="58" spans="2:6" x14ac:dyDescent="0.15">
      <c r="B58" s="371" t="s">
        <v>237</v>
      </c>
      <c r="C58" s="371"/>
      <c r="D58" s="371"/>
      <c r="E58" s="371"/>
      <c r="F58" s="371"/>
    </row>
    <row r="59" spans="2:6" x14ac:dyDescent="0.15">
      <c r="B59" s="47" t="s">
        <v>235</v>
      </c>
      <c r="C59" s="349">
        <f>Normalized_FCF!C14</f>
        <v>-233268.98647286888</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632498.42340470827</v>
      </c>
      <c r="D67" s="1" t="str">
        <f>Reporting_currency</f>
        <v>CNY</v>
      </c>
    </row>
    <row r="68" spans="1:6" x14ac:dyDescent="0.15">
      <c r="B68" s="47" t="s">
        <v>244</v>
      </c>
      <c r="C68" s="349">
        <f>Normalized_FCF!C19</f>
        <v>569161.93498729635</v>
      </c>
      <c r="D68" s="1" t="str">
        <f>Reporting_currency</f>
        <v>CNY</v>
      </c>
    </row>
    <row r="69" spans="1:6" x14ac:dyDescent="0.15">
      <c r="B69" s="227" t="s">
        <v>371</v>
      </c>
      <c r="C69" s="92">
        <f>Normalized_FCF!C126</f>
        <v>6.1679414621444613E-2</v>
      </c>
      <c r="F69" s="314"/>
    </row>
    <row r="70" spans="1:6" x14ac:dyDescent="0.15">
      <c r="B70" s="227" t="s">
        <v>435</v>
      </c>
      <c r="C70" s="92">
        <f>Normalized_FCF!C94</f>
        <v>4.1095890410958909E-2</v>
      </c>
      <c r="E70" s="47" t="s">
        <v>425</v>
      </c>
      <c r="F70" s="315">
        <f>Normalized_FCF!C92</f>
        <v>0.80996280963569622</v>
      </c>
    </row>
    <row r="72" spans="1:6" x14ac:dyDescent="0.15">
      <c r="B72" s="210" t="s">
        <v>428</v>
      </c>
      <c r="C72" s="323" t="s">
        <v>430</v>
      </c>
      <c r="D72" s="323" t="s">
        <v>431</v>
      </c>
    </row>
    <row r="73" spans="1:6" x14ac:dyDescent="0.15">
      <c r="B73" s="47" t="s">
        <v>429</v>
      </c>
      <c r="C73" s="92">
        <f>Normalized_FCF!C121</f>
        <v>4.7832973362251327E-2</v>
      </c>
      <c r="D73" s="92">
        <f>Normalized_FCF!G121</f>
        <v>5.2722021815940899E-2</v>
      </c>
    </row>
    <row r="74" spans="1:6" x14ac:dyDescent="0.15">
      <c r="B74" s="259" t="str">
        <f>Normalized_FCF!B118</f>
        <v>Pre-tax Profit/Sales</v>
      </c>
      <c r="C74" s="322">
        <f>Normalized_FCF!C118</f>
        <v>7.8104812973574481E-2</v>
      </c>
      <c r="D74" s="322">
        <f>Normalized_FCF!G118</f>
        <v>8.6087971624454432E-2</v>
      </c>
    </row>
    <row r="75" spans="1:6" x14ac:dyDescent="0.15">
      <c r="B75" s="259" t="str">
        <f>Normalized_FCF!B119</f>
        <v>Sales/Total Assets</v>
      </c>
      <c r="C75" s="324">
        <f>Normalized_FCF!C119</f>
        <v>0.49619793491400876</v>
      </c>
      <c r="D75" s="324">
        <f>Normalized_FCF!G119</f>
        <v>0.49619793491400876</v>
      </c>
    </row>
    <row r="76" spans="1:6" x14ac:dyDescent="0.15">
      <c r="B76" s="259" t="str">
        <f>Normalized_FCF!B120</f>
        <v>Total Assets/Equity</v>
      </c>
      <c r="C76" s="324">
        <f>Normalized_FCF!C120</f>
        <v>1.2342258232843137</v>
      </c>
      <c r="D76" s="324">
        <f>Normalized_FCF!G120</f>
        <v>1.2342258232843137</v>
      </c>
    </row>
    <row r="78" spans="1:6" ht="16" x14ac:dyDescent="0.25">
      <c r="A78" s="222" t="s">
        <v>471</v>
      </c>
      <c r="B78" s="36"/>
      <c r="C78" s="36"/>
      <c r="D78" s="36"/>
      <c r="E78" s="36"/>
      <c r="F78" s="36"/>
    </row>
    <row r="79" spans="1:6" x14ac:dyDescent="0.15">
      <c r="A79" s="209"/>
    </row>
    <row r="80" spans="1:6" x14ac:dyDescent="0.15">
      <c r="A80" s="17"/>
      <c r="B80" s="370" t="s">
        <v>472</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1.8010389069461827</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2119124</v>
      </c>
      <c r="D102" s="1" t="str">
        <f>Reporting_currency</f>
        <v>CNY</v>
      </c>
    </row>
    <row r="103" spans="2:6" x14ac:dyDescent="0.15">
      <c r="B103" s="47" t="s">
        <v>276</v>
      </c>
      <c r="C103" s="223">
        <f>C102*scaling_factor*Exchange_Rate/Common_Shares</f>
        <v>0.50292691824980473</v>
      </c>
      <c r="D103" s="1" t="str">
        <f>Market_currency</f>
        <v>HKD</v>
      </c>
    </row>
    <row r="104" spans="2:6" x14ac:dyDescent="0.15">
      <c r="B104" s="296" t="s">
        <v>384</v>
      </c>
      <c r="C104" s="325">
        <f>IF(BS!G31/BS!G27&gt;300%,"nm",BS!G31/BS!G27)</f>
        <v>0.10863424600069688</v>
      </c>
    </row>
    <row r="105" spans="2:6" x14ac:dyDescent="0.15">
      <c r="B105" s="296" t="s">
        <v>386</v>
      </c>
      <c r="C105" s="326">
        <f>IF(BS!C50&gt;30,"nm",BS!C50)</f>
        <v>2.2824569622635926</v>
      </c>
    </row>
    <row r="107" spans="2:6" x14ac:dyDescent="0.15">
      <c r="B107" s="1" t="s">
        <v>250</v>
      </c>
    </row>
    <row r="108" spans="2:6" x14ac:dyDescent="0.15">
      <c r="B108" s="47" t="s">
        <v>260</v>
      </c>
      <c r="C108" s="349">
        <f>BS!C66</f>
        <v>11691643</v>
      </c>
      <c r="D108" s="1" t="str">
        <f>Reporting_currency</f>
        <v>CNY</v>
      </c>
    </row>
    <row r="109" spans="2:6" x14ac:dyDescent="0.15">
      <c r="B109" s="47" t="s">
        <v>262</v>
      </c>
      <c r="C109" s="349">
        <f>DCF!C8</f>
        <v>7865303.2833807282</v>
      </c>
      <c r="D109" s="1" t="str">
        <f>Reporting_currency</f>
        <v>CNY</v>
      </c>
    </row>
    <row r="110" spans="2:6" x14ac:dyDescent="0.15">
      <c r="B110" s="47" t="s">
        <v>277</v>
      </c>
      <c r="C110" s="223">
        <f>C109*scaling_factor*Exchange_Rate/Common_Shares</f>
        <v>1.8666546843935232</v>
      </c>
      <c r="D110" s="1" t="str">
        <f>Market_currency</f>
        <v>HKD</v>
      </c>
    </row>
    <row r="112" spans="2:6" x14ac:dyDescent="0.15">
      <c r="B112" s="1" t="s">
        <v>252</v>
      </c>
    </row>
    <row r="113" spans="1:6" x14ac:dyDescent="0.15">
      <c r="B113" s="47" t="s">
        <v>253</v>
      </c>
      <c r="C113" s="349">
        <f>DCF!C9</f>
        <v>52579.6</v>
      </c>
      <c r="D113" s="1" t="str">
        <f>Reporting_currency</f>
        <v>CNY</v>
      </c>
    </row>
    <row r="114" spans="1:6" x14ac:dyDescent="0.15">
      <c r="B114" s="47" t="s">
        <v>278</v>
      </c>
      <c r="C114" s="223">
        <f>C113*scaling_factor*Exchange_Rate/Common_Shares</f>
        <v>1.2478597850247289E-2</v>
      </c>
      <c r="D114" s="1" t="str">
        <f>Market_currency</f>
        <v>HKD</v>
      </c>
    </row>
    <row r="116" spans="1:6" ht="24.5" customHeight="1" x14ac:dyDescent="0.15">
      <c r="B116" s="370" t="s">
        <v>352</v>
      </c>
      <c r="C116" s="370"/>
      <c r="D116" s="370"/>
      <c r="E116" s="370"/>
      <c r="F116" s="370"/>
    </row>
    <row r="118" spans="1:6" x14ac:dyDescent="0.15">
      <c r="B118" s="47" t="s">
        <v>426</v>
      </c>
      <c r="C118" s="223">
        <f>IF(valuation_method="DCF",DCF!C12,DDM!C7)</f>
        <v>3.1772452709401491</v>
      </c>
      <c r="D118" s="1" t="str">
        <f>Market_currency</f>
        <v>HKD</v>
      </c>
    </row>
    <row r="119" spans="1:6" x14ac:dyDescent="0.15">
      <c r="B119" s="296" t="s">
        <v>550</v>
      </c>
      <c r="C119" s="223">
        <f>BS!D47</f>
        <v>1.8483389078254717</v>
      </c>
      <c r="D119" s="1" t="str">
        <f>Market_currency</f>
        <v>HKD</v>
      </c>
    </row>
    <row r="121" spans="1:6" ht="16" x14ac:dyDescent="0.25">
      <c r="A121" s="222" t="s">
        <v>473</v>
      </c>
      <c r="B121" s="36"/>
      <c r="C121" s="36"/>
      <c r="D121" s="36"/>
      <c r="E121" s="36"/>
      <c r="F121" s="36"/>
    </row>
    <row r="123" spans="1:6" x14ac:dyDescent="0.15">
      <c r="B123" s="371" t="s">
        <v>474</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0.05</v>
      </c>
      <c r="D126" s="230">
        <f>DCF!D74</f>
        <v>15</v>
      </c>
      <c r="E126" s="231" t="str">
        <f>ROUND(IF(valuation_method="DCF",DCF!E74,DDM!E69),2)&amp;" "&amp;Market_currency</f>
        <v>3.7 HKD</v>
      </c>
      <c r="F126" s="232">
        <f>DCF!F74</f>
        <v>0.05</v>
      </c>
    </row>
    <row r="127" spans="1:6" x14ac:dyDescent="0.15">
      <c r="B127" s="218" t="str">
        <f>DCF!B75</f>
        <v>Optimistic</v>
      </c>
      <c r="C127" s="219">
        <f>DCF!C75</f>
        <v>0.03</v>
      </c>
      <c r="D127" s="220">
        <f>DCF!D75</f>
        <v>10</v>
      </c>
      <c r="E127" s="231" t="str">
        <f>ROUND(IF(valuation_method="DCF",DCF!E75,DDM!E70),2)&amp;" "&amp;Market_currency</f>
        <v>3.35 HKD</v>
      </c>
      <c r="F127" s="221">
        <f>DCF!F75</f>
        <v>0.18</v>
      </c>
    </row>
    <row r="128" spans="1:6" x14ac:dyDescent="0.15">
      <c r="B128" s="218" t="str">
        <f>DCF!B76</f>
        <v>Base</v>
      </c>
      <c r="C128" s="219">
        <f>DCF!C76</f>
        <v>0.02</v>
      </c>
      <c r="D128" s="220">
        <f>DCF!D76</f>
        <v>10</v>
      </c>
      <c r="E128" s="231" t="str">
        <f>ROUND(IF(valuation_method="DCF",DCF!E76,DDM!E71),2)&amp;" "&amp;Market_currency</f>
        <v>3.29 HKD</v>
      </c>
      <c r="F128" s="221">
        <f>DCF!F76</f>
        <v>0.53999999999999992</v>
      </c>
    </row>
    <row r="129" spans="1:6" x14ac:dyDescent="0.15">
      <c r="B129" s="218" t="str">
        <f>DCF!B77</f>
        <v>Pessimistic</v>
      </c>
      <c r="C129" s="219">
        <f>DCF!C77</f>
        <v>0</v>
      </c>
      <c r="D129" s="220">
        <f>DCF!D77</f>
        <v>10</v>
      </c>
      <c r="E129" s="231" t="str">
        <f>ROUND(IF(valuation_method="DCF",DCF!E77,DDM!E72),2)&amp;" "&amp;Market_currency</f>
        <v>3.18 HKD</v>
      </c>
      <c r="F129" s="221">
        <f>DCF!F77</f>
        <v>0.18</v>
      </c>
    </row>
    <row r="130" spans="1:6" x14ac:dyDescent="0.15">
      <c r="B130" s="218" t="str">
        <f>DCF!B78</f>
        <v>Devil's advocate</v>
      </c>
      <c r="C130" s="219">
        <f>DCF!C78</f>
        <v>-0.02</v>
      </c>
      <c r="D130" s="220">
        <f>DCF!D78</f>
        <v>15</v>
      </c>
      <c r="E130" s="231" t="str">
        <f>ROUND(IF(valuation_method="DCF",DCF!E78,DDM!E73),2)&amp;" "&amp;Market_currency</f>
        <v>3.02 HKD</v>
      </c>
      <c r="F130" s="221">
        <f>DCF!F78</f>
        <v>0.05</v>
      </c>
    </row>
    <row r="132" spans="1:6" x14ac:dyDescent="0.15">
      <c r="B132" s="211" t="s">
        <v>254</v>
      </c>
      <c r="C132" s="217">
        <f>Scenarios!C60</f>
        <v>3.2884477434155519</v>
      </c>
      <c r="D132" s="212" t="str">
        <f>Market_currency</f>
        <v>HKD</v>
      </c>
    </row>
    <row r="134" spans="1:6" ht="24.5" customHeight="1" x14ac:dyDescent="0.15">
      <c r="B134" s="375" t="s">
        <v>475</v>
      </c>
      <c r="C134" s="375"/>
      <c r="D134" s="375"/>
      <c r="E134" s="375"/>
      <c r="F134" s="375"/>
    </row>
    <row r="136" spans="1:6" ht="16" x14ac:dyDescent="0.25">
      <c r="A136" s="222" t="s">
        <v>476</v>
      </c>
      <c r="B136" s="36"/>
      <c r="C136" s="36"/>
      <c r="D136" s="36"/>
      <c r="E136" s="36"/>
      <c r="F136" s="36"/>
    </row>
    <row r="138" spans="1:6" x14ac:dyDescent="0.15">
      <c r="B138" s="373" t="s">
        <v>353</v>
      </c>
      <c r="C138" s="373"/>
      <c r="D138" s="373"/>
      <c r="E138" s="373"/>
      <c r="F138" s="373"/>
    </row>
    <row r="139" spans="1:6" x14ac:dyDescent="0.15">
      <c r="B139" s="370" t="s">
        <v>477</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9.0000000000000011E-2</v>
      </c>
      <c r="D143" s="212" t="str">
        <f>Market_currency</f>
        <v>HKD</v>
      </c>
    </row>
    <row r="145" spans="2:4" x14ac:dyDescent="0.15">
      <c r="B145" s="210" t="s">
        <v>388</v>
      </c>
      <c r="C145" s="241" t="str">
        <f>C11</f>
        <v>3983.HK</v>
      </c>
      <c r="D145" s="241" t="str">
        <f>IF(D11="","",D11)</f>
        <v/>
      </c>
    </row>
    <row r="146" spans="2:4" x14ac:dyDescent="0.15">
      <c r="B146" s="1" t="s">
        <v>387</v>
      </c>
      <c r="C146" s="297">
        <f>F29</f>
        <v>0.35</v>
      </c>
    </row>
    <row r="147" spans="2:4" x14ac:dyDescent="0.15">
      <c r="B147" s="212" t="str">
        <f>"PV("&amp;C141&amp;" yrs of Dividends)"</f>
        <v>PV(3 yrs of Dividends)</v>
      </c>
      <c r="C147" s="216">
        <f>Scenarios!C81</f>
        <v>0.15262917238225884</v>
      </c>
    </row>
    <row r="148" spans="2:4" x14ac:dyDescent="0.15">
      <c r="B148" s="212" t="str">
        <f>"+ PV(Equity Value realized at year "&amp;C141&amp;")"</f>
        <v>+ PV(Equity Value realized at year 3)</v>
      </c>
      <c r="C148" s="216">
        <f>Scenarios!C82</f>
        <v>1.336563630916243</v>
      </c>
    </row>
    <row r="149" spans="2:4" x14ac:dyDescent="0.15">
      <c r="B149" s="80" t="s">
        <v>256</v>
      </c>
      <c r="C149" s="215">
        <f>Scenarios!C83</f>
        <v>1.4891928032985018</v>
      </c>
      <c r="D149" s="300" t="str">
        <f>IF($D$11="","",C149*$E$25)</f>
        <v/>
      </c>
    </row>
    <row r="150" spans="2:4" x14ac:dyDescent="0.15">
      <c r="B150" s="259" t="s">
        <v>396</v>
      </c>
      <c r="C150" s="298" t="str">
        <f>Market_currency</f>
        <v>HKD</v>
      </c>
      <c r="D150" s="298" t="str">
        <f>IF($D$11="","",D$13)</f>
        <v/>
      </c>
    </row>
    <row r="151" spans="2:4" x14ac:dyDescent="0.15">
      <c r="B151" s="214" t="s">
        <v>258</v>
      </c>
      <c r="C151" s="92">
        <f>Scenarios!F83</f>
        <v>0.54714414839636494</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0.17568</v>
      </c>
    </row>
    <row r="156" spans="2:4" x14ac:dyDescent="0.15">
      <c r="B156" s="212" t="str">
        <f>"+ PV(Equity Value realized at year "&amp;C141&amp;")"</f>
        <v>+ PV(Equity Value realized at year 3)</v>
      </c>
      <c r="C156" s="216">
        <f>Scenarios!C92</f>
        <v>1.6836852446287627</v>
      </c>
    </row>
    <row r="157" spans="2:4" x14ac:dyDescent="0.15">
      <c r="B157" s="80" t="s">
        <v>256</v>
      </c>
      <c r="C157" s="215">
        <f>Scenarios!C93</f>
        <v>1.8593652446287627</v>
      </c>
      <c r="D157" s="300" t="str">
        <f>IF($D$11="","",C157*$E$25)</f>
        <v/>
      </c>
    </row>
    <row r="158" spans="2:4" x14ac:dyDescent="0.15">
      <c r="B158" s="259" t="s">
        <v>396</v>
      </c>
      <c r="C158" s="298" t="str">
        <f>Market_currency</f>
        <v>HKD</v>
      </c>
      <c r="D158" s="298" t="str">
        <f>IF($D$11="","",D$13)</f>
        <v/>
      </c>
    </row>
    <row r="159" spans="2:4" x14ac:dyDescent="0.15">
      <c r="B159" s="214" t="s">
        <v>258</v>
      </c>
      <c r="C159" s="92">
        <f>Scenarios!F93</f>
        <v>0.43457661799499059</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0.23404731658847641</v>
      </c>
    </row>
    <row r="164" spans="2:4" x14ac:dyDescent="0.15">
      <c r="B164" s="212" t="str">
        <f>"+ PV(Equity Value realized at year "&amp;C141&amp;")"</f>
        <v>+ PV(Equity Value realized at year 3)</v>
      </c>
      <c r="C164" s="216">
        <f>Scenarios!C98</f>
        <v>2.6470707683423518</v>
      </c>
    </row>
    <row r="165" spans="2:4" x14ac:dyDescent="0.15">
      <c r="B165" s="80" t="s">
        <v>382</v>
      </c>
      <c r="C165" s="215">
        <f>Scenarios!C99</f>
        <v>2.881118084930828</v>
      </c>
      <c r="D165" s="300" t="str">
        <f>IF($D$11="","",C165*$E$25)</f>
        <v/>
      </c>
    </row>
    <row r="166" spans="2:4" x14ac:dyDescent="0.15">
      <c r="B166" s="259" t="s">
        <v>396</v>
      </c>
      <c r="C166" s="298" t="str">
        <f>Market_currency</f>
        <v>HKD</v>
      </c>
      <c r="D166" s="298" t="str">
        <f>IF($D$11="","",D$13)</f>
        <v/>
      </c>
    </row>
    <row r="167" spans="2:4" x14ac:dyDescent="0.15">
      <c r="B167" s="214" t="s">
        <v>258</v>
      </c>
      <c r="C167" s="92">
        <f>Scenarios!F99</f>
        <v>0.12386684851547936</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0.21713428133447846</v>
      </c>
    </row>
    <row r="172" spans="2:4" x14ac:dyDescent="0.15">
      <c r="B172" s="212" t="str">
        <f>"+ PV(Equity Value realized at year "&amp;C141&amp;")"</f>
        <v>+ PV(Equity Value realized at year 3)</v>
      </c>
      <c r="C172" s="216">
        <f>Scenarios!C104</f>
        <v>2.3570290969791716</v>
      </c>
    </row>
    <row r="173" spans="2:4" x14ac:dyDescent="0.15">
      <c r="B173" s="80" t="s">
        <v>382</v>
      </c>
      <c r="C173" s="215">
        <f>Scenarios!C105</f>
        <v>2.5741633783136502</v>
      </c>
      <c r="D173" s="300" t="str">
        <f>IF($D$11="","",C173*$E$25)</f>
        <v/>
      </c>
    </row>
    <row r="174" spans="2:4" x14ac:dyDescent="0.15">
      <c r="B174" s="259" t="s">
        <v>396</v>
      </c>
      <c r="C174" s="298" t="str">
        <f>Market_currency</f>
        <v>HKD</v>
      </c>
      <c r="D174" s="298" t="str">
        <f>IF($D$11="","",D$13)</f>
        <v/>
      </c>
    </row>
    <row r="175" spans="2:4" x14ac:dyDescent="0.15">
      <c r="B175" s="214" t="s">
        <v>258</v>
      </c>
      <c r="C175" s="92">
        <f>Scenarios!F105</f>
        <v>0.21781509085400153</v>
      </c>
    </row>
    <row r="177" spans="1:6" ht="16" x14ac:dyDescent="0.25">
      <c r="A177" s="222" t="s">
        <v>357</v>
      </c>
      <c r="B177" s="36"/>
      <c r="C177" s="36"/>
      <c r="D177" s="36"/>
      <c r="E177" s="36"/>
      <c r="F177" s="36"/>
    </row>
    <row r="179" spans="1:6" x14ac:dyDescent="0.15">
      <c r="B179" s="377" t="s">
        <v>478</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479</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v>
      </c>
    </row>
    <row r="4" spans="2:13" x14ac:dyDescent="0.15">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x14ac:dyDescent="0.15">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x14ac:dyDescent="0.15">
      <c r="B6" s="40" t="s">
        <v>52</v>
      </c>
      <c r="C6" s="351">
        <v>738313</v>
      </c>
      <c r="D6" s="351">
        <v>745298</v>
      </c>
      <c r="E6" s="351">
        <v>638514</v>
      </c>
      <c r="F6" s="351">
        <v>1023256</v>
      </c>
      <c r="G6" s="351">
        <v>847748</v>
      </c>
      <c r="H6" s="351">
        <v>907717</v>
      </c>
      <c r="I6" s="351">
        <v>732380</v>
      </c>
      <c r="J6" s="351">
        <v>852198</v>
      </c>
      <c r="K6" s="351">
        <v>806857</v>
      </c>
      <c r="L6" s="351">
        <v>842048</v>
      </c>
      <c r="M6" s="351"/>
    </row>
    <row r="7" spans="2:13" x14ac:dyDescent="0.15">
      <c r="B7" s="69" t="s">
        <v>59</v>
      </c>
      <c r="C7" s="352">
        <v>91335</v>
      </c>
      <c r="D7" s="352">
        <v>114839</v>
      </c>
      <c r="E7" s="352">
        <v>113843</v>
      </c>
      <c r="F7" s="352">
        <v>118507</v>
      </c>
      <c r="G7" s="352">
        <v>441079</v>
      </c>
      <c r="H7" s="352">
        <v>440918</v>
      </c>
      <c r="I7" s="352">
        <v>418466</v>
      </c>
      <c r="J7" s="352">
        <v>385743</v>
      </c>
      <c r="K7" s="352">
        <v>344473</v>
      </c>
      <c r="L7" s="352">
        <v>409408</v>
      </c>
      <c r="M7" s="352"/>
    </row>
    <row r="8" spans="2:13" x14ac:dyDescent="0.15">
      <c r="B8" s="40" t="s">
        <v>47</v>
      </c>
      <c r="C8" s="351"/>
      <c r="D8" s="351"/>
      <c r="E8" s="351"/>
      <c r="F8" s="351"/>
      <c r="G8" s="351"/>
      <c r="H8" s="351"/>
      <c r="I8" s="351"/>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52759</v>
      </c>
      <c r="D12" s="351">
        <v>34185</v>
      </c>
      <c r="E12" s="351">
        <v>29394</v>
      </c>
      <c r="F12" s="351">
        <v>50559</v>
      </c>
      <c r="G12" s="351">
        <v>0</v>
      </c>
      <c r="H12" s="351">
        <v>0</v>
      </c>
      <c r="I12" s="351">
        <v>0</v>
      </c>
      <c r="J12" s="351">
        <v>0</v>
      </c>
      <c r="K12" s="351">
        <v>0</v>
      </c>
      <c r="L12" s="351">
        <v>0</v>
      </c>
      <c r="M12" s="351"/>
    </row>
    <row r="13" spans="2:13" x14ac:dyDescent="0.15">
      <c r="B13" s="40" t="s">
        <v>65</v>
      </c>
      <c r="C13" s="351">
        <v>351080</v>
      </c>
      <c r="D13" s="351">
        <v>357941</v>
      </c>
      <c r="E13" s="351">
        <v>314822</v>
      </c>
      <c r="F13" s="351">
        <v>372708</v>
      </c>
      <c r="G13" s="351">
        <v>0</v>
      </c>
      <c r="H13" s="351">
        <v>0</v>
      </c>
      <c r="I13" s="351">
        <v>0</v>
      </c>
      <c r="J13" s="351">
        <v>0</v>
      </c>
      <c r="K13" s="351">
        <v>0</v>
      </c>
      <c r="L13" s="351">
        <v>0</v>
      </c>
      <c r="M13" s="351"/>
    </row>
    <row r="14" spans="2:13" x14ac:dyDescent="0.15">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x14ac:dyDescent="0.15">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x14ac:dyDescent="0.15">
      <c r="B16" s="28" t="s">
        <v>42</v>
      </c>
      <c r="C16" s="351">
        <v>79856</v>
      </c>
      <c r="D16" s="351">
        <v>-7583</v>
      </c>
      <c r="E16" s="351">
        <v>156154</v>
      </c>
      <c r="F16" s="351">
        <v>143837</v>
      </c>
      <c r="G16" s="351">
        <v>33672</v>
      </c>
      <c r="H16" s="351">
        <v>51771</v>
      </c>
      <c r="I16" s="351">
        <v>149400</v>
      </c>
      <c r="J16" s="351">
        <v>57280</v>
      </c>
      <c r="K16" s="351">
        <v>-21166</v>
      </c>
      <c r="L16" s="351">
        <v>13384</v>
      </c>
      <c r="M16" s="351"/>
    </row>
    <row r="18" spans="2:13" x14ac:dyDescent="0.15">
      <c r="B18" s="16" t="s">
        <v>49</v>
      </c>
      <c r="C18" s="9"/>
    </row>
    <row r="19" spans="2:13" ht="13" x14ac:dyDescent="0.15">
      <c r="B19" s="27" t="s">
        <v>45</v>
      </c>
      <c r="C19" s="351"/>
      <c r="D19" s="351"/>
      <c r="E19" s="351"/>
      <c r="F19" s="351"/>
      <c r="G19" s="351"/>
      <c r="H19" s="351"/>
      <c r="I19" s="351"/>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ht="13" x14ac:dyDescent="0.15">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ht="13" x14ac:dyDescent="0.15">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x14ac:dyDescent="0.15">
      <c r="B25" s="24" t="str">
        <f>"Dividend per share ("&amp;Market_currency&amp;")"</f>
        <v>Dividend per share (HKD)</v>
      </c>
      <c r="C25" s="39">
        <f>0.1208*Exchange_Rate</f>
        <v>0.13216497272</v>
      </c>
      <c r="D25" s="39">
        <f>0.207*Exchange_Rate</f>
        <v>0.2264747463</v>
      </c>
      <c r="E25" s="39">
        <f>0.178*Exchange_Rate</f>
        <v>0.1947464002</v>
      </c>
      <c r="F25" s="39">
        <f>0.155*Exchange_Rate</f>
        <v>0.16958253949999999</v>
      </c>
      <c r="G25" s="39">
        <f>0.08*Exchange_Rate</f>
        <v>8.7526472000000008E-2</v>
      </c>
      <c r="H25" s="39">
        <f>0.076*Exchange_Rate</f>
        <v>8.3150148399999999E-2</v>
      </c>
      <c r="I25" s="39">
        <f>0.15*Exchange_Rate</f>
        <v>0.16411213499999999</v>
      </c>
      <c r="J25" s="39">
        <f>0.005*Exchange_Rate</f>
        <v>5.4704045000000005E-3</v>
      </c>
      <c r="K25" s="39">
        <f>0.05*Exchange_Rate</f>
        <v>5.4704045000000007E-2</v>
      </c>
      <c r="L25" s="39">
        <f>0.08*Exchange_Rate</f>
        <v>8.7526472000000008E-2</v>
      </c>
      <c r="M25" s="39"/>
    </row>
    <row r="27" spans="2:13" x14ac:dyDescent="0.15">
      <c r="B27" s="16" t="s">
        <v>26</v>
      </c>
      <c r="C27" s="97" t="s">
        <v>558</v>
      </c>
    </row>
    <row r="28" spans="2:13" ht="13" x14ac:dyDescent="0.15">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ht="13" x14ac:dyDescent="0.15">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ht="13" x14ac:dyDescent="0.15">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ht="13" x14ac:dyDescent="0.15">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ht="13" x14ac:dyDescent="0.15">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x14ac:dyDescent="0.15">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ht="13" x14ac:dyDescent="0.15">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x14ac:dyDescent="0.15">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x14ac:dyDescent="0.15">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x14ac:dyDescent="0.15">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x14ac:dyDescent="0.15">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x14ac:dyDescent="0.15">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x14ac:dyDescent="0.15">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x14ac:dyDescent="0.15">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x14ac:dyDescent="0.15">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x14ac:dyDescent="0.15">
      <c r="B50" s="16" t="s">
        <v>66</v>
      </c>
    </row>
    <row r="51" spans="2:13" x14ac:dyDescent="0.15">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x14ac:dyDescent="0.15">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x14ac:dyDescent="0.15">
      <c r="B60" s="16" t="s">
        <v>49</v>
      </c>
      <c r="C60" s="9"/>
    </row>
    <row r="61" spans="2:13" ht="13" x14ac:dyDescent="0.15">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x14ac:dyDescent="0.15">
      <c r="B65" s="24" t="s">
        <v>34</v>
      </c>
      <c r="C65" s="73">
        <f>IF(C$4="","",C25)</f>
        <v>0.13216497272</v>
      </c>
      <c r="D65" s="73">
        <f t="shared" ref="D65:M65" si="33">IF(D$4="","",D25)</f>
        <v>0.2264747463</v>
      </c>
      <c r="E65" s="73">
        <f t="shared" si="33"/>
        <v>0.1947464002</v>
      </c>
      <c r="F65" s="73">
        <f t="shared" si="33"/>
        <v>0.16958253949999999</v>
      </c>
      <c r="G65" s="73">
        <f t="shared" si="33"/>
        <v>8.7526472000000008E-2</v>
      </c>
      <c r="H65" s="73">
        <f t="shared" si="33"/>
        <v>8.3150148399999999E-2</v>
      </c>
      <c r="I65" s="73">
        <f t="shared" si="33"/>
        <v>0.16411213499999999</v>
      </c>
      <c r="J65" s="73">
        <f t="shared" si="33"/>
        <v>5.4704045000000005E-3</v>
      </c>
      <c r="K65" s="73">
        <f t="shared" si="33"/>
        <v>5.4704045000000007E-2</v>
      </c>
      <c r="L65" s="73">
        <f t="shared" si="33"/>
        <v>8.7526472000000008E-2</v>
      </c>
      <c r="M65" s="73" t="str">
        <f t="shared" si="33"/>
        <v/>
      </c>
    </row>
    <row r="67" spans="2:13" x14ac:dyDescent="0.15">
      <c r="B67" s="91" t="s">
        <v>82</v>
      </c>
    </row>
    <row r="68" spans="2:13" x14ac:dyDescent="0.15">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ht="13" x14ac:dyDescent="0.15">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x14ac:dyDescent="0.15">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x14ac:dyDescent="0.15">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x14ac:dyDescent="0.15">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ht="13" x14ac:dyDescent="0.15">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ht="13" x14ac:dyDescent="0.15">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ht="13" x14ac:dyDescent="0.15">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ht="13" x14ac:dyDescent="0.15">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23621+80349</f>
        <v>103970</v>
      </c>
      <c r="D4" s="261">
        <v>0.6</v>
      </c>
      <c r="E4" s="25"/>
      <c r="F4" s="4" t="s">
        <v>75</v>
      </c>
      <c r="G4" s="19">
        <f>11000000+679928</f>
        <v>11679928</v>
      </c>
      <c r="H4" s="261">
        <v>0.9</v>
      </c>
    </row>
    <row r="5" spans="2:8" ht="15" customHeight="1" x14ac:dyDescent="0.15">
      <c r="B5" s="1" t="s">
        <v>31</v>
      </c>
      <c r="C5" s="19">
        <v>1830485</v>
      </c>
      <c r="D5" s="261">
        <v>0.6</v>
      </c>
      <c r="E5" s="25"/>
      <c r="F5" s="1" t="s">
        <v>27</v>
      </c>
      <c r="G5" s="19">
        <f>11715</f>
        <v>11715</v>
      </c>
      <c r="H5" s="261">
        <v>0.7</v>
      </c>
    </row>
    <row r="6" spans="2:8" ht="15" customHeight="1" x14ac:dyDescent="0.15">
      <c r="B6" s="4" t="s">
        <v>8</v>
      </c>
      <c r="C6" s="19">
        <v>1124718</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f>12783+436808</f>
        <v>449591</v>
      </c>
      <c r="D9" s="261">
        <v>0.1</v>
      </c>
      <c r="E9" s="25"/>
      <c r="F9" s="4" t="s">
        <v>176</v>
      </c>
      <c r="G9" s="19">
        <v>0</v>
      </c>
      <c r="H9" s="261">
        <v>0.6</v>
      </c>
    </row>
    <row r="10" spans="2:8" ht="15" customHeight="1" x14ac:dyDescent="0.15">
      <c r="B10" s="4" t="s">
        <v>9</v>
      </c>
      <c r="C10" s="19">
        <v>156022</v>
      </c>
      <c r="D10" s="261">
        <v>0.9</v>
      </c>
      <c r="H10" s="262"/>
    </row>
    <row r="11" spans="2:8" ht="15" customHeight="1" x14ac:dyDescent="0.15">
      <c r="B11" s="4" t="s">
        <v>10</v>
      </c>
      <c r="C11" s="19">
        <v>0</v>
      </c>
      <c r="D11" s="261">
        <v>0.05</v>
      </c>
      <c r="H11" s="262"/>
    </row>
    <row r="12" spans="2:8" ht="15" customHeight="1" x14ac:dyDescent="0.15">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432</v>
      </c>
      <c r="C15" s="19">
        <v>208252</v>
      </c>
      <c r="D15" s="261">
        <v>0.4</v>
      </c>
      <c r="F15" s="4" t="s">
        <v>76</v>
      </c>
      <c r="G15" s="19">
        <v>0</v>
      </c>
      <c r="H15" s="261">
        <v>0.8</v>
      </c>
    </row>
    <row r="16" spans="2:8" ht="15" customHeight="1" x14ac:dyDescent="0.15">
      <c r="B16" s="1" t="s">
        <v>32</v>
      </c>
      <c r="C16" s="19">
        <v>600</v>
      </c>
      <c r="D16" s="261">
        <v>0.5</v>
      </c>
      <c r="F16" s="4" t="s">
        <v>173</v>
      </c>
      <c r="G16" s="19">
        <v>0</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7177198+126839+332968+94332</f>
        <v>7731337</v>
      </c>
      <c r="D19" s="261">
        <v>0.1</v>
      </c>
      <c r="F19" s="4" t="s">
        <v>178</v>
      </c>
      <c r="G19" s="19">
        <f>333906+127404</f>
        <v>461310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129691</v>
      </c>
      <c r="D21" s="261">
        <v>0.05</v>
      </c>
      <c r="F21" s="1" t="s">
        <v>176</v>
      </c>
      <c r="G21" s="19">
        <v>64486</v>
      </c>
      <c r="H21" s="261">
        <v>0.1</v>
      </c>
    </row>
    <row r="22" spans="2:8" ht="15" customHeight="1" x14ac:dyDescent="0.15">
      <c r="B22" s="4" t="s">
        <v>18</v>
      </c>
      <c r="C22" s="19">
        <v>123890</v>
      </c>
      <c r="D22" s="261">
        <v>0.9</v>
      </c>
      <c r="H22" s="262"/>
    </row>
    <row r="23" spans="2:8" ht="15" customHeight="1" x14ac:dyDescent="0.15">
      <c r="B23" s="4" t="s">
        <v>19</v>
      </c>
      <c r="C23" s="19">
        <v>0</v>
      </c>
      <c r="D23" s="261">
        <v>0</v>
      </c>
      <c r="H23" s="262"/>
    </row>
    <row r="24" spans="2:8" ht="15" customHeight="1" x14ac:dyDescent="0.15">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x14ac:dyDescent="0.15">
      <c r="B26" s="16" t="s">
        <v>196</v>
      </c>
      <c r="C26" s="182" t="s">
        <v>132</v>
      </c>
      <c r="F26" s="184" t="s">
        <v>192</v>
      </c>
      <c r="G26" s="185" t="s">
        <v>132</v>
      </c>
      <c r="H26" s="186" t="s">
        <v>33</v>
      </c>
    </row>
    <row r="27" spans="2:8" ht="15" customHeight="1" x14ac:dyDescent="0.15">
      <c r="B27" s="4" t="s">
        <v>3</v>
      </c>
      <c r="C27" s="19">
        <v>434410</v>
      </c>
      <c r="F27" s="187" t="s">
        <v>28</v>
      </c>
      <c r="G27" s="85">
        <f>G32-G30</f>
        <v>19506961</v>
      </c>
      <c r="H27" s="188">
        <f>H32-G30</f>
        <v>8886812.25</v>
      </c>
    </row>
    <row r="28" spans="2:8" ht="15" customHeight="1" x14ac:dyDescent="0.15">
      <c r="B28" s="4" t="s">
        <v>4</v>
      </c>
      <c r="C28" s="19">
        <v>28341</v>
      </c>
      <c r="F28" s="189" t="s">
        <v>240</v>
      </c>
      <c r="G28" s="12">
        <v>1098684</v>
      </c>
      <c r="H28" s="188"/>
    </row>
    <row r="29" spans="2:8" ht="15" customHeight="1" x14ac:dyDescent="0.15">
      <c r="B29" s="4" t="s">
        <v>5</v>
      </c>
      <c r="C29" s="19">
        <v>0</v>
      </c>
      <c r="F29" s="190" t="s">
        <v>73</v>
      </c>
      <c r="G29" s="14">
        <f>G27-G28</f>
        <v>18408277</v>
      </c>
      <c r="H29" s="188">
        <f>H27-G28</f>
        <v>7788128.25</v>
      </c>
    </row>
    <row r="30" spans="2:8" ht="15" customHeight="1" x14ac:dyDescent="0.15">
      <c r="B30" s="2" t="s">
        <v>6</v>
      </c>
      <c r="C30" s="19">
        <v>0</v>
      </c>
      <c r="F30" s="187" t="s">
        <v>21</v>
      </c>
      <c r="G30" s="85">
        <f>C33+C42</f>
        <v>4569034</v>
      </c>
      <c r="H30" s="188"/>
    </row>
    <row r="31" spans="2:8" ht="15" customHeight="1" x14ac:dyDescent="0.15">
      <c r="B31" s="80" t="s">
        <v>199</v>
      </c>
      <c r="C31" s="81">
        <f>SUM(C27:C30)</f>
        <v>462751</v>
      </c>
      <c r="F31" s="190" t="s">
        <v>74</v>
      </c>
      <c r="G31" s="191">
        <f>C31+C40</f>
        <v>2119124</v>
      </c>
      <c r="H31" s="188"/>
    </row>
    <row r="32" spans="2:8" ht="15" customHeight="1" x14ac:dyDescent="0.15">
      <c r="B32" s="4" t="s">
        <v>7</v>
      </c>
      <c r="C32" s="21">
        <f>C33-C31</f>
        <v>2050197</v>
      </c>
      <c r="F32" s="192" t="s">
        <v>72</v>
      </c>
      <c r="G32" s="193">
        <f>G35+G40</f>
        <v>24075995</v>
      </c>
      <c r="H32" s="188">
        <f>H35+H40</f>
        <v>13455846.25</v>
      </c>
    </row>
    <row r="33" spans="2:8" ht="15" customHeight="1" x14ac:dyDescent="0.15">
      <c r="B33" s="83" t="s">
        <v>2</v>
      </c>
      <c r="C33" s="84">
        <v>2512948</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11858556</v>
      </c>
      <c r="H35" s="200">
        <f>D12+D24</f>
        <v>2883130.95</v>
      </c>
    </row>
    <row r="36" spans="2:8" ht="15" customHeight="1" x14ac:dyDescent="0.15">
      <c r="B36" s="4" t="s">
        <v>11</v>
      </c>
      <c r="C36" s="19">
        <v>1626693</v>
      </c>
      <c r="F36" s="190" t="s">
        <v>193</v>
      </c>
      <c r="G36" s="191">
        <f>C4+C15</f>
        <v>312222</v>
      </c>
      <c r="H36" s="195"/>
    </row>
    <row r="37" spans="2:8" ht="15" customHeight="1" x14ac:dyDescent="0.15">
      <c r="B37" s="4" t="s">
        <v>12</v>
      </c>
      <c r="C37" s="19">
        <v>29680</v>
      </c>
      <c r="F37" s="190" t="s">
        <v>194</v>
      </c>
      <c r="G37" s="191">
        <f>C6</f>
        <v>1124718</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7731337</v>
      </c>
      <c r="H39" s="188">
        <f>C7*D7+C17*D17+C19*D19+C20*D20</f>
        <v>773133.70000000007</v>
      </c>
    </row>
    <row r="40" spans="2:8" ht="15" customHeight="1" x14ac:dyDescent="0.15">
      <c r="B40" s="80" t="s">
        <v>200</v>
      </c>
      <c r="C40" s="81">
        <f>SUM(C36:C39)</f>
        <v>1656373</v>
      </c>
      <c r="F40" s="199" t="s">
        <v>134</v>
      </c>
      <c r="G40" s="193">
        <f>G12+G24</f>
        <v>12217439</v>
      </c>
      <c r="H40" s="200">
        <f>H12+H24</f>
        <v>10572715.300000001</v>
      </c>
    </row>
    <row r="41" spans="2:8" ht="15" customHeight="1" x14ac:dyDescent="0.15">
      <c r="B41" s="4" t="s">
        <v>15</v>
      </c>
      <c r="C41" s="21">
        <f>C42-C40</f>
        <v>399713</v>
      </c>
      <c r="F41" s="190" t="s">
        <v>187</v>
      </c>
      <c r="G41" s="191">
        <f>C70</f>
        <v>11691643</v>
      </c>
      <c r="H41" s="200">
        <f>H40-H42</f>
        <v>10520135.700000001</v>
      </c>
    </row>
    <row r="42" spans="2:8" ht="15" customHeight="1" x14ac:dyDescent="0.15">
      <c r="B42" s="83" t="s">
        <v>20</v>
      </c>
      <c r="C42" s="84">
        <v>2056086</v>
      </c>
      <c r="F42" s="201" t="s">
        <v>188</v>
      </c>
      <c r="G42" s="202">
        <f>C82</f>
        <v>525796</v>
      </c>
      <c r="H42" s="203">
        <f>D82</f>
        <v>52579.6</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18408277</v>
      </c>
      <c r="D46" s="76">
        <f>H29</f>
        <v>7788128.25</v>
      </c>
      <c r="F46" s="253"/>
    </row>
    <row r="47" spans="2:8" ht="15" customHeight="1" x14ac:dyDescent="0.15">
      <c r="B47" s="1" t="str">
        <f>"Equity per share ("&amp;Market_currency&amp;")"</f>
        <v>Equity per share (HKD)</v>
      </c>
      <c r="C47" s="147">
        <f>C46*H1/Common_Shares*Exchange_Rate</f>
        <v>4.3687948519759869</v>
      </c>
      <c r="D47" s="147">
        <f>D46*H1/Common_Shares*Exchange_Rate</f>
        <v>1.8483389078254717</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2.2824569622635926</v>
      </c>
      <c r="D50" s="95">
        <f>G31/Normalized_FCF!G8</f>
        <v>2.1930131935295925</v>
      </c>
      <c r="F50" s="253"/>
    </row>
    <row r="51" spans="2:8" ht="15" customHeight="1" x14ac:dyDescent="0.15">
      <c r="B51" s="1" t="s">
        <v>172</v>
      </c>
      <c r="C51" s="181"/>
      <c r="D51" s="92">
        <f>G29/G32</f>
        <v>0.764590497713594</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7.8292825040602462E-2</v>
      </c>
      <c r="D54" s="92">
        <f>Normalized_FCF!G8/G35</f>
        <v>8.1486059516858542E-2</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v>
      </c>
      <c r="F58" s="5"/>
    </row>
    <row r="59" spans="2:8" ht="15" customHeight="1" x14ac:dyDescent="0.15">
      <c r="B59" s="1" t="s">
        <v>90</v>
      </c>
      <c r="C59" s="98"/>
      <c r="D59" s="92">
        <f>G39/G32</f>
        <v>0.32112222153227726</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5.968423878019654E-2</v>
      </c>
      <c r="D62" s="92">
        <f>G28/G29</f>
        <v>5.968423878019654E-2</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11691643</v>
      </c>
      <c r="D66" s="76">
        <f>C66-D75</f>
        <v>7865303.2833807282</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11691643</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-965786.04368659994</v>
      </c>
      <c r="D73" s="349">
        <f>(Normalized_FCF!C25+Normalized_FCF!C35-Normalized_FCF!C91)/12</f>
        <v>-956584.92915481783</v>
      </c>
      <c r="F73" s="1" t="s">
        <v>342</v>
      </c>
    </row>
    <row r="74" spans="2:6" ht="15" customHeight="1" x14ac:dyDescent="0.15">
      <c r="B74" s="257" t="s">
        <v>312</v>
      </c>
      <c r="C74" s="258">
        <f>-$C$66/C73</f>
        <v>12.105831386184297</v>
      </c>
      <c r="D74" s="258">
        <f>-$C$66/D73</f>
        <v>12.222273886679407</v>
      </c>
      <c r="F74" s="253" t="s">
        <v>310</v>
      </c>
    </row>
    <row r="75" spans="2:6" ht="15" customHeight="1" x14ac:dyDescent="0.15">
      <c r="B75" s="80" t="s">
        <v>311</v>
      </c>
      <c r="C75" s="320"/>
      <c r="D75" s="321">
        <f>MAX(-D73*D76,G5)</f>
        <v>3826339.7166192713</v>
      </c>
      <c r="F75" s="253" t="s">
        <v>343</v>
      </c>
    </row>
    <row r="76" spans="2:6" ht="15" customHeight="1" x14ac:dyDescent="0.15">
      <c r="B76" s="259" t="s">
        <v>313</v>
      </c>
      <c r="C76" s="260"/>
      <c r="D76" s="290">
        <f>IF(D74&lt;=3,1,IF(D74&gt;18,6,2))*2</f>
        <v>4</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0</v>
      </c>
      <c r="D79" s="76">
        <f>G7*H7+G17*H17</f>
        <v>0</v>
      </c>
      <c r="F79" s="253"/>
    </row>
    <row r="80" spans="2:6" ht="15" customHeight="1" x14ac:dyDescent="0.15">
      <c r="B80" s="105" t="s">
        <v>178</v>
      </c>
      <c r="C80" s="20">
        <f>G19</f>
        <v>461310</v>
      </c>
      <c r="D80" s="76">
        <f>G19*H19</f>
        <v>46131</v>
      </c>
      <c r="F80" s="253"/>
    </row>
    <row r="81" spans="2:8" ht="15" customHeight="1" x14ac:dyDescent="0.15">
      <c r="B81" s="105" t="s">
        <v>176</v>
      </c>
      <c r="C81" s="20">
        <f>G9+G21</f>
        <v>64486</v>
      </c>
      <c r="D81" s="76">
        <f>G9*H9+G21*H21</f>
        <v>6448.6</v>
      </c>
      <c r="F81" s="253"/>
    </row>
    <row r="82" spans="2:8" ht="15" customHeight="1" x14ac:dyDescent="0.15">
      <c r="B82" s="80" t="s">
        <v>185</v>
      </c>
      <c r="C82" s="81">
        <f>SUM(C79:C81)</f>
        <v>525796</v>
      </c>
      <c r="D82" s="81">
        <f>SUM(D79:D81)</f>
        <v>52579.6</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-2318493.0931315999</v>
      </c>
      <c r="D86" s="223">
        <f>C86*scaling_factor/Common_Shares</f>
        <v>-0.50292691824980473</v>
      </c>
      <c r="E86" s="240" t="str">
        <f>Market_currency</f>
        <v>HKD</v>
      </c>
    </row>
    <row r="87" spans="2:8" ht="15" customHeight="1" x14ac:dyDescent="0.15">
      <c r="B87" s="238" t="s">
        <v>282</v>
      </c>
      <c r="C87" s="76">
        <f>DCF!C8*Exchange_Rate</f>
        <v>8605278.0950541422</v>
      </c>
      <c r="D87" s="223">
        <f>C87*scaling_factor/Common_Shares</f>
        <v>1.8666546843935232</v>
      </c>
      <c r="E87" s="240" t="str">
        <f>Market_currency</f>
        <v>HKD</v>
      </c>
    </row>
    <row r="88" spans="2:8" ht="15" customHeight="1" x14ac:dyDescent="0.15">
      <c r="B88" s="239" t="s">
        <v>185</v>
      </c>
      <c r="C88" s="76">
        <f>DCF!C9*Exchange_Rate</f>
        <v>57526.336089639997</v>
      </c>
      <c r="D88" s="223">
        <f>C88*scaling_factor/Common_Shares</f>
        <v>1.2478597850247289E-2</v>
      </c>
      <c r="E88" s="240" t="str">
        <f>Market_currency</f>
        <v>HKD</v>
      </c>
    </row>
    <row r="89" spans="2:8" ht="15" customHeight="1" x14ac:dyDescent="0.15">
      <c r="B89" s="80" t="s">
        <v>286</v>
      </c>
      <c r="C89" s="180">
        <f>SUM(C86:C88)</f>
        <v>6344311.3380121822</v>
      </c>
      <c r="D89" s="242">
        <f>SUM(D86:D88)</f>
        <v>1.3762063639939659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v>
      </c>
      <c r="D3" s="9"/>
      <c r="E3" s="268"/>
      <c r="F3" s="9"/>
      <c r="G3" s="9"/>
    </row>
    <row r="4" spans="1:17" ht="15.75" customHeight="1" x14ac:dyDescent="0.15">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x14ac:dyDescent="0.15">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x14ac:dyDescent="0.15">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x14ac:dyDescent="0.15">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x14ac:dyDescent="0.15">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x14ac:dyDescent="0.15">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x14ac:dyDescent="0.15">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x14ac:dyDescent="0.15">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x14ac:dyDescent="0.15">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x14ac:dyDescent="0.15">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x14ac:dyDescent="0.2">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x14ac:dyDescent="0.15">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x14ac:dyDescent="0.2">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x14ac:dyDescent="0.15">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x14ac:dyDescent="0.15">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x14ac:dyDescent="0.15">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x14ac:dyDescent="0.15">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x14ac:dyDescent="0.15">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x14ac:dyDescent="0.15">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x14ac:dyDescent="0.15">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x14ac:dyDescent="0.15">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x14ac:dyDescent="0.15">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x14ac:dyDescent="0.15">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x14ac:dyDescent="0.15">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15">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x14ac:dyDescent="0.15">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x14ac:dyDescent="0.15">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x14ac:dyDescent="0.15">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v>0.1</v>
      </c>
      <c r="E90" s="268"/>
      <c r="G90" s="112">
        <f>Data!C65</f>
        <v>0.13216497272</v>
      </c>
      <c r="H90" s="112">
        <f>Data!D65</f>
        <v>0.2264747463</v>
      </c>
      <c r="I90" s="112">
        <f>Data!E65</f>
        <v>0.1947464002</v>
      </c>
      <c r="J90" s="112">
        <f>Data!F65</f>
        <v>0.16958253949999999</v>
      </c>
      <c r="K90" s="112">
        <f>Data!G65</f>
        <v>8.7526472000000008E-2</v>
      </c>
      <c r="L90" s="112">
        <f>Data!H65</f>
        <v>8.3150148399999999E-2</v>
      </c>
      <c r="M90" s="112">
        <f>Data!I65</f>
        <v>0.16411213499999999</v>
      </c>
      <c r="N90" s="112">
        <f>Data!J65</f>
        <v>5.4704045000000005E-3</v>
      </c>
      <c r="O90" s="112">
        <f>Data!K65</f>
        <v>5.4704045000000007E-2</v>
      </c>
      <c r="P90" s="112">
        <f>Data!L65</f>
        <v>8.7526472000000008E-2</v>
      </c>
      <c r="Q90" s="112" t="str">
        <f>Data!M65</f>
        <v/>
      </c>
    </row>
    <row r="91" spans="1:17" ht="15.75" customHeight="1" x14ac:dyDescent="0.15">
      <c r="A91" s="10"/>
      <c r="B91" s="2" t="str">
        <f>"Dividend ("&amp;Market_currency&amp;")"</f>
        <v>Dividend (HKD)</v>
      </c>
      <c r="C91" s="74">
        <f>C90*Common_Shares/scaling_factor</f>
        <v>461000</v>
      </c>
      <c r="E91" s="268"/>
      <c r="G91" s="74">
        <f t="shared" ref="G91:Q91" si="37">IF(G$4="","",G90*Common_Shares/scaling_factor)</f>
        <v>609280.52423920005</v>
      </c>
      <c r="H91" s="74">
        <f t="shared" si="37"/>
        <v>1044048.580443</v>
      </c>
      <c r="I91" s="74">
        <f t="shared" si="37"/>
        <v>897780.90492200002</v>
      </c>
      <c r="J91" s="74">
        <f t="shared" si="37"/>
        <v>781775.50709499989</v>
      </c>
      <c r="K91" s="74">
        <f t="shared" si="37"/>
        <v>403497.03591999999</v>
      </c>
      <c r="L91" s="74">
        <f t="shared" si="37"/>
        <v>383322.18412400002</v>
      </c>
      <c r="M91" s="74">
        <f t="shared" si="37"/>
        <v>756556.94235000003</v>
      </c>
      <c r="N91" s="74">
        <f t="shared" si="37"/>
        <v>25218.564745</v>
      </c>
      <c r="O91" s="74">
        <f t="shared" si="37"/>
        <v>252185.64745000002</v>
      </c>
      <c r="P91" s="74">
        <f t="shared" si="37"/>
        <v>403497.03591999999</v>
      </c>
      <c r="Q91" s="74" t="str">
        <f t="shared" si="37"/>
        <v/>
      </c>
    </row>
    <row r="92" spans="1:17" ht="15.75" customHeight="1" x14ac:dyDescent="0.15">
      <c r="A92" s="10"/>
      <c r="B92" s="2" t="s">
        <v>209</v>
      </c>
      <c r="C92" s="23">
        <f>C90/(C19*scaling_factor/Common_Shares)</f>
        <v>0.80996280963569622</v>
      </c>
      <c r="E92" s="268"/>
      <c r="G92" s="170">
        <f t="shared" ref="G92:Q92" si="38">IF(G$4="","",G90/(G19*scaling_factor/Common_Shares))</f>
        <v>0.96329176752642731</v>
      </c>
      <c r="H92" s="170">
        <f t="shared" si="38"/>
        <v>0.94156503397817748</v>
      </c>
      <c r="I92" s="170">
        <f t="shared" si="38"/>
        <v>0.66820044848356308</v>
      </c>
      <c r="J92" s="170">
        <f t="shared" si="38"/>
        <v>0.93006215411469439</v>
      </c>
      <c r="K92" s="170">
        <f t="shared" si="38"/>
        <v>0.92587025770818476</v>
      </c>
      <c r="L92" s="170">
        <f t="shared" si="38"/>
        <v>1.1348514657003372</v>
      </c>
      <c r="M92" s="170">
        <f t="shared" si="38"/>
        <v>0.59823945200962481</v>
      </c>
      <c r="N92" s="170">
        <f t="shared" si="38"/>
        <v>6.4160396751090823E-2</v>
      </c>
      <c r="O92" s="170">
        <f t="shared" si="38"/>
        <v>-0.60844744772892878</v>
      </c>
      <c r="P92" s="170">
        <f t="shared" si="38"/>
        <v>0.66974353019677502</v>
      </c>
      <c r="Q92" s="170" t="str">
        <f t="shared" si="38"/>
        <v/>
      </c>
    </row>
    <row r="93" spans="1:17" ht="15.75" customHeight="1" x14ac:dyDescent="0.15">
      <c r="A93" s="10"/>
      <c r="B93" s="2" t="s">
        <v>434</v>
      </c>
      <c r="C93" s="356">
        <v>0.1</v>
      </c>
      <c r="E93" s="268"/>
      <c r="G93" s="357"/>
      <c r="H93" s="357"/>
      <c r="I93" s="357"/>
      <c r="J93" s="357"/>
      <c r="K93" s="357"/>
      <c r="L93" s="357"/>
      <c r="M93" s="357"/>
      <c r="N93" s="357"/>
      <c r="O93" s="357"/>
      <c r="P93" s="357"/>
      <c r="Q93" s="357"/>
    </row>
    <row r="94" spans="1:17" ht="15.75" customHeight="1" x14ac:dyDescent="0.15">
      <c r="A94" s="10"/>
      <c r="B94" s="2" t="s">
        <v>433</v>
      </c>
      <c r="C94" s="23">
        <f>(C90*(1-dividend_tax_rate))/Market_Price</f>
        <v>4.1095890410958909E-2</v>
      </c>
      <c r="E94" s="268"/>
      <c r="G94" s="23">
        <f t="shared" ref="G94:Q94" si="39">IF(G$4="","",(G90*(1-dividend_tax_rate))/Market_Price)</f>
        <v>5.4314372350684932E-2</v>
      </c>
      <c r="H94" s="23">
        <f t="shared" si="39"/>
        <v>9.3071813547945206E-2</v>
      </c>
      <c r="I94" s="23">
        <f t="shared" si="39"/>
        <v>8.0032767205479458E-2</v>
      </c>
      <c r="J94" s="23">
        <f t="shared" si="39"/>
        <v>6.9691454589041094E-2</v>
      </c>
      <c r="K94" s="23">
        <f t="shared" si="39"/>
        <v>3.5969783013698631E-2</v>
      </c>
      <c r="L94" s="23">
        <f t="shared" si="39"/>
        <v>3.4171293863013701E-2</v>
      </c>
      <c r="M94" s="23">
        <f t="shared" si="39"/>
        <v>6.7443343150684926E-2</v>
      </c>
      <c r="N94" s="23">
        <f t="shared" si="39"/>
        <v>2.2481114383561644E-3</v>
      </c>
      <c r="O94" s="23">
        <f t="shared" si="39"/>
        <v>2.2481114383561648E-2</v>
      </c>
      <c r="P94" s="23">
        <f t="shared" si="39"/>
        <v>3.5969783013698631E-2</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x14ac:dyDescent="0.15">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x14ac:dyDescent="0.15">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x14ac:dyDescent="0.15">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x14ac:dyDescent="0.15">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x14ac:dyDescent="0.15">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x14ac:dyDescent="0.15">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x14ac:dyDescent="0.15">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0.13507791802096372</v>
      </c>
      <c r="D125" s="27"/>
      <c r="E125" s="265"/>
      <c r="F125" s="27"/>
      <c r="G125" s="177">
        <f t="shared" ref="G125:Q125" si="49">IF(G$4="","",G16*$C$3/Common_Shares*Exchange_Rate)</f>
        <v>0.15010942393214843</v>
      </c>
      <c r="H125" s="177">
        <f t="shared" si="49"/>
        <v>0.26315940515790059</v>
      </c>
      <c r="I125" s="177">
        <f t="shared" si="49"/>
        <v>0.31886886230938744</v>
      </c>
      <c r="J125" s="177">
        <f t="shared" si="49"/>
        <v>0.19948883697676542</v>
      </c>
      <c r="K125" s="177">
        <f t="shared" si="49"/>
        <v>0.10342814283355749</v>
      </c>
      <c r="L125" s="177">
        <f t="shared" si="49"/>
        <v>8.0162904085835152E-2</v>
      </c>
      <c r="M125" s="177">
        <f t="shared" si="49"/>
        <v>0.30013392088830804</v>
      </c>
      <c r="N125" s="177">
        <f t="shared" si="49"/>
        <v>9.3282856431561825E-2</v>
      </c>
      <c r="O125" s="177">
        <f t="shared" si="49"/>
        <v>-9.8366179381041211E-2</v>
      </c>
      <c r="P125" s="177">
        <f t="shared" si="49"/>
        <v>0.14298165930986984</v>
      </c>
      <c r="Q125" s="177" t="str">
        <f t="shared" si="49"/>
        <v/>
      </c>
    </row>
    <row r="126" spans="1:17" ht="15.75" customHeight="1" x14ac:dyDescent="0.15">
      <c r="A126" s="10"/>
      <c r="B126" s="27" t="s">
        <v>264</v>
      </c>
      <c r="C126" s="77">
        <f>C19*Exchange_Rate*$C$3/(Market_Price*Common_Shares)</f>
        <v>6.1679414621444613E-2</v>
      </c>
      <c r="D126" s="27"/>
      <c r="E126" s="265"/>
      <c r="F126" s="27"/>
      <c r="G126" s="77">
        <f t="shared" ref="G126" si="50">IF(G$4="","",G125/Market_Price)</f>
        <v>6.8543115950752714E-2</v>
      </c>
      <c r="H126" s="77">
        <f t="shared" ref="H126" si="51">IF(H$4="","",H125/Market_Price)</f>
        <v>0.12016411194424685</v>
      </c>
      <c r="I126" s="77">
        <f t="shared" ref="I126" si="52">IF(I$4="","",I125/Market_Price)</f>
        <v>0.145602220232597</v>
      </c>
      <c r="J126" s="77">
        <f t="shared" ref="J126" si="53">IF(J$4="","",J125/Market_Price)</f>
        <v>9.1090793140075538E-2</v>
      </c>
      <c r="K126" s="77">
        <f t="shared" ref="K126" si="54">IF(K$4="","",K125/Market_Price)</f>
        <v>4.7227462481076482E-2</v>
      </c>
      <c r="L126" s="77">
        <f t="shared" ref="L126" si="55">IF(L$4="","",L125/Market_Price)</f>
        <v>3.6604065792618788E-2</v>
      </c>
      <c r="M126" s="77">
        <f t="shared" ref="M126" si="56">IF(M$4="","",M125/Market_Price)</f>
        <v>0.13704745246041464</v>
      </c>
      <c r="N126" s="77">
        <f t="shared" ref="N126" si="57">IF(N$4="","",N125/Market_Price)</f>
        <v>4.2594911612585308E-2</v>
      </c>
      <c r="O126" s="77">
        <f t="shared" ref="O126" si="58">IF(O$4="","",O125/Market_Price)</f>
        <v>-4.4916063644311055E-2</v>
      </c>
      <c r="P126" s="77">
        <f t="shared" ref="P126" si="59">IF(P$4="","",P125/Market_Price)</f>
        <v>6.5288428908616358E-2</v>
      </c>
      <c r="Q126" s="77" t="str">
        <f t="shared" ref="Q126" si="60">IF(Q$4="","",Q125/Market_Price)</f>
        <v/>
      </c>
    </row>
    <row r="127" spans="1:17" ht="15.75" customHeight="1" x14ac:dyDescent="0.15">
      <c r="B127" s="2" t="s">
        <v>375</v>
      </c>
      <c r="C127" s="169"/>
      <c r="G127" s="23">
        <f>IF(G$4="","",(Data!C47*$C$3)/(Market_Price*Common_Shares))</f>
        <v>0.11401945344149605</v>
      </c>
      <c r="H127" s="23">
        <f>IF(H$4="","",(Data!D47*$C$3)/(Market_Price*Common_Shares))</f>
        <v>0.23515466674590677</v>
      </c>
      <c r="I127" s="23">
        <f>IF(I$4="","",(Data!E47*$C$3)/(Market_Price*Common_Shares))</f>
        <v>0.17816460147188462</v>
      </c>
      <c r="J127" s="23">
        <f>IF(J$4="","",(Data!F47*$C$3)/(Market_Price*Common_Shares))</f>
        <v>0.16258431640566962</v>
      </c>
      <c r="K127" s="23">
        <f>IF(K$4="","",(Data!G47*$C$3)/(Market_Price*Common_Shares))</f>
        <v>7.7175586129022672E-2</v>
      </c>
      <c r="L127" s="23">
        <f>IF(L$4="","",(Data!H47*$C$3)/(Market_Price*Common_Shares))</f>
        <v>7.4781644033716663E-2</v>
      </c>
      <c r="M127" s="23">
        <f>IF(M$4="","",(Data!I47*$C$3)/(Market_Price*Common_Shares))</f>
        <v>0.1513772917719074</v>
      </c>
      <c r="N127" s="23">
        <f>IF(N$4="","",(Data!J47*$C$3)/(Market_Price*Common_Shares))</f>
        <v>1.064907536722828E-2</v>
      </c>
      <c r="O127" s="23">
        <f>IF(O$4="","",(Data!K47*$C$3)/(Market_Price*Common_Shares))</f>
        <v>-2.3442189403619289E-2</v>
      </c>
      <c r="P127" s="23">
        <f>IF(P$4="","",(Data!L47*$C$3)/(Market_Price*Common_Shares))</f>
        <v>8.3503303321150163E-2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v>
      </c>
      <c r="E3" s="109" t="s">
        <v>120</v>
      </c>
      <c r="H3" s="120"/>
    </row>
    <row r="4" spans="2:8" x14ac:dyDescent="0.15">
      <c r="B4" s="100" t="s">
        <v>124</v>
      </c>
      <c r="C4" s="338">
        <f>Normalized_FCF!C19</f>
        <v>569161.93498729635</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7588825.7998306183</v>
      </c>
      <c r="D6" t="str">
        <f>Reporting_currency</f>
        <v>CNY</v>
      </c>
      <c r="E6" s="378" t="s">
        <v>245</v>
      </c>
      <c r="F6" s="378"/>
      <c r="H6" s="120"/>
    </row>
    <row r="7" spans="2:8" x14ac:dyDescent="0.15">
      <c r="B7" s="148" t="s">
        <v>220</v>
      </c>
      <c r="C7" s="338">
        <f>BS!G31</f>
        <v>2119124</v>
      </c>
      <c r="D7" t="str">
        <f>Reporting_currency</f>
        <v>CNY</v>
      </c>
      <c r="E7" s="378"/>
      <c r="F7" s="378"/>
      <c r="H7" s="120"/>
    </row>
    <row r="8" spans="2:8" x14ac:dyDescent="0.15">
      <c r="B8" s="148" t="s">
        <v>221</v>
      </c>
      <c r="C8" s="338">
        <f>BS!D66</f>
        <v>7865303.2833807282</v>
      </c>
      <c r="D8" t="str">
        <f>Reporting_currency</f>
        <v>CNY</v>
      </c>
      <c r="E8" s="378"/>
      <c r="F8" s="378"/>
      <c r="H8" s="120"/>
    </row>
    <row r="9" spans="2:8" x14ac:dyDescent="0.15">
      <c r="B9" s="205" t="s">
        <v>186</v>
      </c>
      <c r="C9" s="348">
        <f>BS!H42</f>
        <v>52579.6</v>
      </c>
      <c r="D9" t="str">
        <f>Reporting_currency</f>
        <v>CNY</v>
      </c>
      <c r="E9" s="378"/>
      <c r="F9" s="378"/>
      <c r="H9" s="120"/>
    </row>
    <row r="10" spans="2:8" x14ac:dyDescent="0.15">
      <c r="B10" s="149" t="s">
        <v>223</v>
      </c>
      <c r="C10" s="347">
        <f>C6-C7+C8+C9</f>
        <v>13387584.683211347</v>
      </c>
      <c r="D10" t="str">
        <f>Reporting_currency</f>
        <v>CNY</v>
      </c>
      <c r="H10" s="120"/>
    </row>
    <row r="11" spans="2:8" ht="14" thickBot="1" x14ac:dyDescent="0.2">
      <c r="B11" s="207" t="s">
        <v>162</v>
      </c>
      <c r="C11" s="208">
        <f>Exchange_Rate</f>
        <v>1.0940809</v>
      </c>
      <c r="D11" t="str">
        <f>Thesis!C15</f>
        <v>CNY/HKD</v>
      </c>
      <c r="H11" s="120"/>
    </row>
    <row r="12" spans="2:8" ht="14" thickTop="1" x14ac:dyDescent="0.15">
      <c r="B12" s="149" t="s">
        <v>99</v>
      </c>
      <c r="C12" s="111">
        <f>(C10*scaling_factor)/Common_Shares*Exchange_Rate</f>
        <v>3.1772452709401491</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0.02</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3.2909908491128541</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x14ac:dyDescent="0.15">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x14ac:dyDescent="0.15">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x14ac:dyDescent="0.15">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x14ac:dyDescent="0.15">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x14ac:dyDescent="0.15">
      <c r="B26" s="122">
        <v>6</v>
      </c>
      <c r="C26" s="123">
        <f t="shared" si="2"/>
        <v>640968.78165827319</v>
      </c>
      <c r="D26" s="138">
        <f>IF($C$17&lt;B26,0,DCF!$C$16)</f>
        <v>0.02</v>
      </c>
      <c r="E26" s="124">
        <f t="shared" si="0"/>
        <v>0.64796151846522443</v>
      </c>
      <c r="F26" s="125">
        <f t="shared" si="1"/>
        <v>415323.10505209956</v>
      </c>
      <c r="H26" s="120"/>
    </row>
    <row r="27" spans="2:17" x14ac:dyDescent="0.15">
      <c r="B27" s="122">
        <v>7</v>
      </c>
      <c r="C27" s="123">
        <f t="shared" si="2"/>
        <v>653788.15729143866</v>
      </c>
      <c r="D27" s="138">
        <f>IF($C$17&lt;B27,0,DCF!$C$16)</f>
        <v>0.02</v>
      </c>
      <c r="E27" s="124">
        <f t="shared" si="0"/>
        <v>0.60275490089788319</v>
      </c>
      <c r="F27" s="125">
        <f t="shared" si="1"/>
        <v>394074.01595641079</v>
      </c>
      <c r="H27" s="120"/>
    </row>
    <row r="28" spans="2:17" x14ac:dyDescent="0.15">
      <c r="B28" s="122">
        <v>8</v>
      </c>
      <c r="C28" s="123">
        <f t="shared" si="2"/>
        <v>666863.92043726728</v>
      </c>
      <c r="D28" s="138">
        <f>IF($C$17&lt;B28,0,DCF!$C$16)</f>
        <v>0.02</v>
      </c>
      <c r="E28" s="124">
        <f t="shared" si="0"/>
        <v>0.56070223339337966</v>
      </c>
      <c r="F28" s="125">
        <f t="shared" si="1"/>
        <v>373912.08955864079</v>
      </c>
      <c r="H28" s="120"/>
    </row>
    <row r="29" spans="2:17" x14ac:dyDescent="0.15">
      <c r="B29" s="122">
        <v>9</v>
      </c>
      <c r="C29" s="123">
        <f t="shared" si="2"/>
        <v>680201.1988460127</v>
      </c>
      <c r="D29" s="138">
        <f>IF($C$17&lt;B29,0,DCF!$C$16)</f>
        <v>0.02</v>
      </c>
      <c r="E29" s="124">
        <f t="shared" si="0"/>
        <v>0.52158347292407414</v>
      </c>
      <c r="F29" s="125">
        <f t="shared" si="1"/>
        <v>354781.70358122204</v>
      </c>
      <c r="H29" s="120"/>
    </row>
    <row r="30" spans="2:17" x14ac:dyDescent="0.15">
      <c r="B30" s="122">
        <v>10</v>
      </c>
      <c r="C30" s="123">
        <f t="shared" si="2"/>
        <v>693805.22282293299</v>
      </c>
      <c r="D30" s="138">
        <f>IF($C$17&lt;B30,0,DCF!$C$16)</f>
        <v>0.02</v>
      </c>
      <c r="E30" s="124">
        <f t="shared" si="0"/>
        <v>0.48519392830146441</v>
      </c>
      <c r="F30" s="125">
        <f t="shared" si="1"/>
        <v>336630.08153753169</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7740602.3158272309</v>
      </c>
      <c r="D51" s="139">
        <f>Terminal_Growth</f>
        <v>0</v>
      </c>
      <c r="E51" s="124">
        <f>1/(1+Equity_Cost)^C17</f>
        <v>0.48519392830146441</v>
      </c>
      <c r="F51" s="125">
        <f t="shared" si="1"/>
        <v>3755693.2450356269</v>
      </c>
      <c r="H51" s="120"/>
    </row>
    <row r="52" spans="1:17" x14ac:dyDescent="0.15">
      <c r="C52" s="114"/>
      <c r="E52" s="127" t="s">
        <v>97</v>
      </c>
      <c r="F52" s="137">
        <f>SUM(F21:F51)</f>
        <v>8068102.1635585381</v>
      </c>
      <c r="H52" s="120"/>
    </row>
    <row r="53" spans="1:17" x14ac:dyDescent="0.15">
      <c r="C53" s="114"/>
      <c r="H53" s="120"/>
    </row>
    <row r="54" spans="1:17" x14ac:dyDescent="0.15">
      <c r="B54" s="119" t="s">
        <v>125</v>
      </c>
      <c r="C54" s="136"/>
      <c r="D54" s="136"/>
      <c r="E54" s="117"/>
      <c r="F54" s="117"/>
      <c r="H54" s="120"/>
    </row>
    <row r="55" spans="1:17" x14ac:dyDescent="0.15">
      <c r="A55" s="133">
        <f>F52</f>
        <v>8068102.1635585381</v>
      </c>
      <c r="B55" s="131">
        <f>C78</f>
        <v>-0.02</v>
      </c>
      <c r="C55" s="131">
        <f>C77</f>
        <v>0</v>
      </c>
      <c r="D55" s="131">
        <f>C76</f>
        <v>0.02</v>
      </c>
      <c r="E55" s="131">
        <f>C75</f>
        <v>0.03</v>
      </c>
      <c r="F55" s="131">
        <f>C74</f>
        <v>0.05</v>
      </c>
      <c r="H55" s="120"/>
    </row>
    <row r="56" spans="1:17" x14ac:dyDescent="0.15">
      <c r="A56" s="143">
        <v>5</v>
      </c>
      <c r="B56" s="123">
        <f t="dataTable" ref="B56:F61" dt2D="1" dtr="1" r1="C16" r2="C17"/>
        <v>7354892.0066700177</v>
      </c>
      <c r="C56" s="123">
        <v>7588825.7998306192</v>
      </c>
      <c r="D56" s="123">
        <v>7829471.2855157647</v>
      </c>
      <c r="E56" s="123">
        <v>7952403.9164119214</v>
      </c>
      <c r="F56" s="123">
        <v>8203680.0853998577</v>
      </c>
      <c r="H56" s="120"/>
    </row>
    <row r="57" spans="1:17" x14ac:dyDescent="0.15">
      <c r="A57" s="143">
        <v>10</v>
      </c>
      <c r="B57" s="123">
        <v>7152133.2501927111</v>
      </c>
      <c r="C57" s="123">
        <v>7588825.7998306202</v>
      </c>
      <c r="D57" s="123">
        <v>8068102.1635585381</v>
      </c>
      <c r="E57" s="123">
        <v>8325295.7727201767</v>
      </c>
      <c r="F57" s="123">
        <v>8878279.6864266358</v>
      </c>
      <c r="H57" s="120"/>
    </row>
    <row r="58" spans="1:17" x14ac:dyDescent="0.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x14ac:dyDescent="0.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x14ac:dyDescent="0.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x14ac:dyDescent="0.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-0.02</v>
      </c>
      <c r="C64" s="132">
        <f>C55</f>
        <v>0</v>
      </c>
      <c r="D64" s="132">
        <f>D55</f>
        <v>0.02</v>
      </c>
      <c r="E64" s="132">
        <f>E55</f>
        <v>0.03</v>
      </c>
      <c r="F64" s="132">
        <f>F55</f>
        <v>0.05</v>
      </c>
      <c r="H64" s="120"/>
    </row>
    <row r="65" spans="1:8" x14ac:dyDescent="0.15">
      <c r="A65" s="143">
        <v>0</v>
      </c>
      <c r="B65" s="124">
        <f>C12</f>
        <v>3.1772452709401491</v>
      </c>
      <c r="C65" s="124">
        <f>C12</f>
        <v>3.1772452709401491</v>
      </c>
      <c r="D65" s="124">
        <f>C12</f>
        <v>3.1772452709401491</v>
      </c>
      <c r="E65" s="141">
        <f>C12</f>
        <v>3.1772452709401491</v>
      </c>
      <c r="F65" s="124">
        <f>C12</f>
        <v>3.1772452709401491</v>
      </c>
      <c r="H65" s="120"/>
    </row>
    <row r="66" spans="1:8" x14ac:dyDescent="0.15">
      <c r="A66" s="143">
        <f t="shared" ref="A66:A71" si="3">A56</f>
        <v>5</v>
      </c>
      <c r="B66" s="124">
        <f t="shared" ref="B66:F71" si="4">(B56-$C$7+$C$8+$C$9)/Common_Shares*$C$3*Exchange_Rate</f>
        <v>3.121726291555861</v>
      </c>
      <c r="C66" s="124">
        <f t="shared" si="4"/>
        <v>3.1772452709401486</v>
      </c>
      <c r="D66" s="124">
        <f t="shared" si="4"/>
        <v>3.2343571211699409</v>
      </c>
      <c r="E66" s="124">
        <f t="shared" si="4"/>
        <v>3.263532445128777</v>
      </c>
      <c r="F66" s="124">
        <f t="shared" si="4"/>
        <v>3.3231672514443682</v>
      </c>
      <c r="H66" s="120"/>
    </row>
    <row r="67" spans="1:8" x14ac:dyDescent="0.15">
      <c r="A67" s="143">
        <f t="shared" si="3"/>
        <v>10</v>
      </c>
      <c r="B67" s="124">
        <f t="shared" si="4"/>
        <v>3.0736060132978191</v>
      </c>
      <c r="C67" s="124">
        <f t="shared" si="4"/>
        <v>3.1772452709401486</v>
      </c>
      <c r="D67" s="124">
        <f t="shared" si="4"/>
        <v>3.2909908491128537</v>
      </c>
      <c r="E67" s="124">
        <f t="shared" si="4"/>
        <v>3.3520300281553292</v>
      </c>
      <c r="F67" s="124">
        <f t="shared" si="4"/>
        <v>3.4832684528827667</v>
      </c>
      <c r="H67" s="120"/>
    </row>
    <row r="68" spans="1:8" x14ac:dyDescent="0.15">
      <c r="A68" s="143">
        <f t="shared" si="3"/>
        <v>15</v>
      </c>
      <c r="B68" s="124">
        <f t="shared" si="4"/>
        <v>3.0183407231068071</v>
      </c>
      <c r="C68" s="124">
        <f t="shared" si="4"/>
        <v>3.1772452709401486</v>
      </c>
      <c r="D68" s="124">
        <f t="shared" si="4"/>
        <v>3.3626957808605495</v>
      </c>
      <c r="E68" s="124">
        <f t="shared" si="4"/>
        <v>3.4669926663364792</v>
      </c>
      <c r="F68" s="124">
        <f t="shared" si="4"/>
        <v>3.7025218980416916</v>
      </c>
      <c r="H68" s="120"/>
    </row>
    <row r="69" spans="1:8" x14ac:dyDescent="0.15">
      <c r="A69" s="144">
        <f t="shared" si="3"/>
        <v>20</v>
      </c>
      <c r="B69" s="124">
        <f t="shared" si="4"/>
        <v>2.9661527532189012</v>
      </c>
      <c r="C69" s="124">
        <f t="shared" si="4"/>
        <v>3.1772452709401486</v>
      </c>
      <c r="D69" s="124">
        <f t="shared" si="4"/>
        <v>3.4374493420404955</v>
      </c>
      <c r="E69" s="124">
        <f t="shared" si="4"/>
        <v>3.5901260082362287</v>
      </c>
      <c r="F69" s="124">
        <f t="shared" si="4"/>
        <v>3.9510204549467147</v>
      </c>
      <c r="H69" s="120"/>
    </row>
    <row r="70" spans="1:8" x14ac:dyDescent="0.15">
      <c r="A70" s="144">
        <f t="shared" si="3"/>
        <v>25</v>
      </c>
      <c r="B70" s="124">
        <f t="shared" si="4"/>
        <v>2.9211795393907978</v>
      </c>
      <c r="C70" s="124">
        <f t="shared" si="4"/>
        <v>3.1772452709401482</v>
      </c>
      <c r="D70" s="124">
        <f t="shared" si="4"/>
        <v>3.5085974792848202</v>
      </c>
      <c r="E70" s="124">
        <f t="shared" si="4"/>
        <v>3.7106627147672073</v>
      </c>
      <c r="F70" s="124">
        <f t="shared" si="4"/>
        <v>4.2092593198448522</v>
      </c>
    </row>
    <row r="71" spans="1:8" x14ac:dyDescent="0.15">
      <c r="A71" s="144">
        <f t="shared" si="3"/>
        <v>30</v>
      </c>
      <c r="B71" s="124">
        <f t="shared" si="4"/>
        <v>2.884424839151265</v>
      </c>
      <c r="C71" s="124">
        <f t="shared" si="4"/>
        <v>3.1772452709401482</v>
      </c>
      <c r="D71" s="124">
        <f t="shared" si="4"/>
        <v>3.5728283204290205</v>
      </c>
      <c r="E71" s="124">
        <f t="shared" si="4"/>
        <v>3.8226981251936309</v>
      </c>
      <c r="F71" s="124">
        <f t="shared" si="4"/>
        <v>4.4648322004001839</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0.05</v>
      </c>
      <c r="D74" s="145">
        <f>Scenarios!C55</f>
        <v>15</v>
      </c>
      <c r="E74" s="135">
        <f>INDEX(B$65:F$71, MATCH(D74, A$65:A$71, 0), MATCH(C74, B$64:F$64, 0))</f>
        <v>3.7025218980416916</v>
      </c>
      <c r="F74" s="142">
        <f>Scenarios!C58</f>
        <v>0.05</v>
      </c>
    </row>
    <row r="75" spans="1:8" x14ac:dyDescent="0.15">
      <c r="B75" s="127" t="str">
        <f>Scenarios!B36</f>
        <v>Optimistic</v>
      </c>
      <c r="C75" s="142">
        <f>Scenarios!C38</f>
        <v>0.03</v>
      </c>
      <c r="D75" s="145">
        <f>Scenarios!C37</f>
        <v>10</v>
      </c>
      <c r="E75" s="135">
        <f>INDEX(B$65:F$71, MATCH(D75, A$65:A$71, 0), MATCH(C75, B$64:F$64, 0))</f>
        <v>3.3520300281553292</v>
      </c>
      <c r="F75" s="142">
        <f>Scenarios!C40*(1-F$74-F$78)</f>
        <v>0.18</v>
      </c>
      <c r="H75" s="120"/>
    </row>
    <row r="76" spans="1:8" x14ac:dyDescent="0.15">
      <c r="B76" s="127" t="str">
        <f>Scenarios!B24</f>
        <v>Base</v>
      </c>
      <c r="C76" s="142">
        <f>Scenarios!C26</f>
        <v>0.02</v>
      </c>
      <c r="D76" s="145">
        <f>Scenarios!C25</f>
        <v>10</v>
      </c>
      <c r="E76" s="135">
        <f>INDEX(B$65:F$71, MATCH(D76, A$65:A$71, 0), MATCH(C76, B$64:F$64, 0))</f>
        <v>3.2909908491128537</v>
      </c>
      <c r="F76" s="142">
        <f>Scenarios!C28*(1-F$74-F$78)</f>
        <v>0.53999999999999992</v>
      </c>
      <c r="H76" s="120"/>
    </row>
    <row r="77" spans="1:8" x14ac:dyDescent="0.15">
      <c r="B77" s="127" t="str">
        <f>Scenarios!B30</f>
        <v>Pessimistic</v>
      </c>
      <c r="C77" s="142">
        <f>Scenarios!C32</f>
        <v>0</v>
      </c>
      <c r="D77" s="145">
        <f>Scenarios!C31</f>
        <v>10</v>
      </c>
      <c r="E77" s="135">
        <f>INDEX(B$65:F$71, MATCH(D77, A$65:A$71, 0), MATCH(C77, B$64:F$64, 0))</f>
        <v>3.1772452709401486</v>
      </c>
      <c r="F77" s="142">
        <f>Scenarios!C34*(1-F$74-F$78)</f>
        <v>0.18</v>
      </c>
      <c r="H77" s="120"/>
    </row>
    <row r="78" spans="1:8" x14ac:dyDescent="0.15">
      <c r="B78" s="127" t="str">
        <f>Scenarios!B48</f>
        <v>Devil's advocate</v>
      </c>
      <c r="C78" s="142">
        <f>Scenarios!C50</f>
        <v>-0.02</v>
      </c>
      <c r="D78" s="145">
        <f>Scenarios!C49</f>
        <v>15</v>
      </c>
      <c r="E78" s="135">
        <f>INDEX(B$65:F$71, MATCH(D78, A$65:A$71, 0), MATCH(C78, B$64:F$64, 0))</f>
        <v>3.0183407231068071</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1000</v>
      </c>
      <c r="E3" s="109" t="s">
        <v>120</v>
      </c>
      <c r="H3" s="120"/>
    </row>
    <row r="4" spans="2:8" x14ac:dyDescent="0.15">
      <c r="B4" s="100" t="s">
        <v>417</v>
      </c>
      <c r="C4" s="114">
        <f>Normalized_FCF!C91*(1-dividend_tax_rate)</f>
        <v>414900</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5532000</v>
      </c>
      <c r="D6" t="str">
        <f>Reporting_currency</f>
        <v>CNY</v>
      </c>
      <c r="E6" s="378"/>
      <c r="F6" s="378"/>
      <c r="H6" s="120"/>
    </row>
    <row r="7" spans="2:8" x14ac:dyDescent="0.15">
      <c r="B7" s="149" t="s">
        <v>421</v>
      </c>
      <c r="C7" s="111">
        <f>(C6*scaling_factor)/Common_Shares*Exchange_Rate</f>
        <v>1.3128970799999999</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0.02</v>
      </c>
      <c r="H11" s="120"/>
    </row>
    <row r="12" spans="2:8" ht="13.25" customHeight="1" x14ac:dyDescent="0.15">
      <c r="B12" s="118" t="s">
        <v>130</v>
      </c>
      <c r="C12" s="162">
        <f>Scenarios!C64</f>
        <v>10</v>
      </c>
      <c r="H12" s="120"/>
    </row>
    <row r="13" spans="2:8" ht="13.25" customHeight="1" x14ac:dyDescent="0.15">
      <c r="B13" s="153" t="s">
        <v>103</v>
      </c>
      <c r="C13" s="140">
        <f>F47/Common_Shares*scaling_factor</f>
        <v>1.2757866436315275</v>
      </c>
      <c r="D13" t="str">
        <f>Market_currency</f>
        <v>HKD</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423198</v>
      </c>
      <c r="D16" s="138">
        <f>IF($C$12&lt;B16,0,DDM!$C$11)</f>
        <v>0.02</v>
      </c>
      <c r="E16" s="124">
        <f t="shared" ref="E16:E45" si="0">IF($C$12&lt;B16,0,1/(1+Equity_Cost)^B16)</f>
        <v>0.93023255813953487</v>
      </c>
      <c r="F16" s="125">
        <f t="shared" ref="F16:F46" si="1">C16*E16</f>
        <v>393672.5581395349</v>
      </c>
      <c r="H16" s="120"/>
    </row>
    <row r="17" spans="2:8" x14ac:dyDescent="0.15">
      <c r="B17" s="122">
        <v>2</v>
      </c>
      <c r="C17" s="123">
        <f t="shared" ref="C17:C45" si="2">IF(ROW()-ROW($C$16)&lt;$C$12, $C$16*(1+D17)^(ROW()-ROW($C$16)), 0)</f>
        <v>431661.96</v>
      </c>
      <c r="D17" s="138">
        <f>IF($C$12&lt;B17,0,DDM!$C$11)</f>
        <v>0.02</v>
      </c>
      <c r="E17" s="124">
        <f t="shared" si="0"/>
        <v>0.86533261222282321</v>
      </c>
      <c r="F17" s="125">
        <f t="shared" si="1"/>
        <v>373531.17144402384</v>
      </c>
      <c r="H17" s="120"/>
    </row>
    <row r="18" spans="2:8" x14ac:dyDescent="0.15">
      <c r="B18" s="122">
        <v>3</v>
      </c>
      <c r="C18" s="123">
        <f t="shared" si="2"/>
        <v>440295.19919999997</v>
      </c>
      <c r="D18" s="138">
        <f>IF($C$12&lt;B18,0,DDM!$C$11)</f>
        <v>0.02</v>
      </c>
      <c r="E18" s="124">
        <f t="shared" si="0"/>
        <v>0.80496056950960304</v>
      </c>
      <c r="F18" s="125">
        <f t="shared" si="1"/>
        <v>354420.27430037607</v>
      </c>
      <c r="H18" s="120"/>
    </row>
    <row r="19" spans="2:8" x14ac:dyDescent="0.15">
      <c r="B19" s="122">
        <v>4</v>
      </c>
      <c r="C19" s="123">
        <f t="shared" si="2"/>
        <v>449101.10318399995</v>
      </c>
      <c r="D19" s="138">
        <f>IF($C$12&lt;B19,0,DDM!$C$11)</f>
        <v>0.02</v>
      </c>
      <c r="E19" s="124">
        <f t="shared" si="0"/>
        <v>0.7488005297763749</v>
      </c>
      <c r="F19" s="125">
        <f t="shared" si="1"/>
        <v>336287.14398733358</v>
      </c>
      <c r="H19" s="120"/>
    </row>
    <row r="20" spans="2:8" x14ac:dyDescent="0.15">
      <c r="B20" s="122">
        <v>5</v>
      </c>
      <c r="C20" s="123">
        <f t="shared" si="2"/>
        <v>458083.12524768</v>
      </c>
      <c r="D20" s="138">
        <f>IF($C$12&lt;B20,0,DDM!$C$11)</f>
        <v>0.02</v>
      </c>
      <c r="E20" s="124">
        <f t="shared" si="0"/>
        <v>0.69655863235011617</v>
      </c>
      <c r="F20" s="125">
        <f t="shared" si="1"/>
        <v>319081.75522519095</v>
      </c>
      <c r="H20" s="120"/>
    </row>
    <row r="21" spans="2:8" x14ac:dyDescent="0.15">
      <c r="B21" s="122">
        <v>6</v>
      </c>
      <c r="C21" s="123">
        <f t="shared" si="2"/>
        <v>467244.78775263362</v>
      </c>
      <c r="D21" s="138">
        <f>IF($C$12&lt;B21,0,DDM!$C$11)</f>
        <v>0.02</v>
      </c>
      <c r="E21" s="124">
        <f t="shared" si="0"/>
        <v>0.64796151846522443</v>
      </c>
      <c r="F21" s="125">
        <f t="shared" si="1"/>
        <v>302756.64216715796</v>
      </c>
      <c r="H21" s="120"/>
    </row>
    <row r="22" spans="2:8" x14ac:dyDescent="0.15">
      <c r="B22" s="122">
        <v>7</v>
      </c>
      <c r="C22" s="123">
        <f t="shared" si="2"/>
        <v>476589.68350768631</v>
      </c>
      <c r="D22" s="138">
        <f>IF($C$12&lt;B22,0,DDM!$C$11)</f>
        <v>0.02</v>
      </c>
      <c r="E22" s="124">
        <f t="shared" si="0"/>
        <v>0.60275490089788319</v>
      </c>
      <c r="F22" s="125">
        <f t="shared" si="1"/>
        <v>287266.76745162898</v>
      </c>
      <c r="H22" s="120"/>
    </row>
    <row r="23" spans="2:8" x14ac:dyDescent="0.15">
      <c r="B23" s="122">
        <v>8</v>
      </c>
      <c r="C23" s="123">
        <f t="shared" si="2"/>
        <v>486121.4771778399</v>
      </c>
      <c r="D23" s="138">
        <f>IF($C$12&lt;B23,0,DDM!$C$11)</f>
        <v>0.02</v>
      </c>
      <c r="E23" s="124">
        <f t="shared" si="0"/>
        <v>0.56070223339337966</v>
      </c>
      <c r="F23" s="125">
        <f t="shared" si="1"/>
        <v>272569.39795410365</v>
      </c>
      <c r="H23" s="120"/>
    </row>
    <row r="24" spans="2:8" x14ac:dyDescent="0.15">
      <c r="B24" s="122">
        <v>9</v>
      </c>
      <c r="C24" s="123">
        <f t="shared" si="2"/>
        <v>495843.90672139678</v>
      </c>
      <c r="D24" s="138">
        <f>IF($C$12&lt;B24,0,DDM!$C$11)</f>
        <v>0.02</v>
      </c>
      <c r="E24" s="124">
        <f t="shared" si="0"/>
        <v>0.52158347292407414</v>
      </c>
      <c r="F24" s="125">
        <f t="shared" si="1"/>
        <v>258623.9868959868</v>
      </c>
      <c r="H24" s="120"/>
    </row>
    <row r="25" spans="2:8" x14ac:dyDescent="0.15">
      <c r="B25" s="122">
        <v>10</v>
      </c>
      <c r="C25" s="123">
        <f t="shared" si="2"/>
        <v>505760.78485582472</v>
      </c>
      <c r="D25" s="138">
        <f>IF($C$12&lt;B25,0,DDM!$C$11)</f>
        <v>0.02</v>
      </c>
      <c r="E25" s="124">
        <f t="shared" si="0"/>
        <v>0.48519392830146441</v>
      </c>
      <c r="F25" s="125">
        <f t="shared" si="1"/>
        <v>245392.06198502937</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5642640</v>
      </c>
      <c r="D46" s="139">
        <f>Terminal_Growth</f>
        <v>0</v>
      </c>
      <c r="E46" s="124">
        <f>1/(1+Equity_Cost)^C12</f>
        <v>0.48519392830146441</v>
      </c>
      <c r="F46" s="125">
        <f t="shared" si="1"/>
        <v>2737774.6675909753</v>
      </c>
      <c r="H46" s="120"/>
    </row>
    <row r="47" spans="2:8" x14ac:dyDescent="0.15">
      <c r="C47" s="114"/>
      <c r="E47" s="127" t="s">
        <v>97</v>
      </c>
      <c r="F47" s="137">
        <f>SUM(F16:F46)</f>
        <v>5881376.4271413414</v>
      </c>
      <c r="H47" s="120"/>
    </row>
    <row r="48" spans="2:8" x14ac:dyDescent="0.15">
      <c r="C48" s="114"/>
      <c r="H48" s="120"/>
    </row>
    <row r="49" spans="1:8" x14ac:dyDescent="0.15">
      <c r="B49" s="119" t="s">
        <v>125</v>
      </c>
      <c r="C49" s="136"/>
      <c r="D49" s="136"/>
      <c r="E49" s="117"/>
      <c r="F49" s="117"/>
      <c r="H49" s="120"/>
    </row>
    <row r="50" spans="1:8" x14ac:dyDescent="0.15">
      <c r="A50" s="133">
        <f>F47</f>
        <v>5881376.4271413414</v>
      </c>
      <c r="B50" s="131">
        <f>C73</f>
        <v>-0.02</v>
      </c>
      <c r="C50" s="131">
        <f>C72</f>
        <v>0</v>
      </c>
      <c r="D50" s="131">
        <f>C71</f>
        <v>0.02</v>
      </c>
      <c r="E50" s="131">
        <f>C70</f>
        <v>0.03</v>
      </c>
      <c r="F50" s="131">
        <f>C69</f>
        <v>0.05</v>
      </c>
      <c r="H50" s="120"/>
    </row>
    <row r="51" spans="1:8" x14ac:dyDescent="0.15">
      <c r="A51" s="143">
        <v>5</v>
      </c>
      <c r="B51" s="123">
        <f t="dataTable" ref="B51:F56" dt2D="1" dtr="1" r1="C11" r2="C12"/>
        <v>5361470.0948606133</v>
      </c>
      <c r="C51" s="123">
        <v>5532000</v>
      </c>
      <c r="D51" s="123">
        <v>5707422.5043405183</v>
      </c>
      <c r="E51" s="123">
        <v>5797036.2775454223</v>
      </c>
      <c r="F51" s="123">
        <v>5980208.1941905888</v>
      </c>
      <c r="H51" s="120"/>
    </row>
    <row r="52" spans="1:8" x14ac:dyDescent="0.15">
      <c r="A52" s="143">
        <v>10</v>
      </c>
      <c r="B52" s="123">
        <v>5213665.7479934748</v>
      </c>
      <c r="C52" s="123">
        <v>5532000.0000000009</v>
      </c>
      <c r="D52" s="123">
        <v>5881376.4271413414</v>
      </c>
      <c r="E52" s="123">
        <v>6068861.9596085567</v>
      </c>
      <c r="F52" s="123">
        <v>6471968.7235946804</v>
      </c>
      <c r="H52" s="120"/>
    </row>
    <row r="53" spans="1:8" x14ac:dyDescent="0.15">
      <c r="A53" s="143">
        <v>15</v>
      </c>
      <c r="B53" s="123">
        <v>5043915.0645642821</v>
      </c>
      <c r="C53" s="123">
        <v>5532000</v>
      </c>
      <c r="D53" s="123">
        <v>6101622.4645247562</v>
      </c>
      <c r="E53" s="123">
        <v>6421976.6602212535</v>
      </c>
      <c r="F53" s="123">
        <v>7145418.9494289272</v>
      </c>
      <c r="H53" s="120"/>
    </row>
    <row r="54" spans="1:8" x14ac:dyDescent="0.15">
      <c r="A54" s="144">
        <v>20</v>
      </c>
      <c r="B54" s="123">
        <v>4883616.55668284</v>
      </c>
      <c r="C54" s="123">
        <v>5532000.0000000009</v>
      </c>
      <c r="D54" s="123">
        <v>6331232.5517097404</v>
      </c>
      <c r="E54" s="123">
        <v>6800188.1717895437</v>
      </c>
      <c r="F54" s="123">
        <v>7908697.3058801517</v>
      </c>
      <c r="H54" s="120"/>
    </row>
    <row r="55" spans="1:8" x14ac:dyDescent="0.15">
      <c r="A55" s="144">
        <v>25</v>
      </c>
      <c r="B55" s="123">
        <v>4745478.6086698696</v>
      </c>
      <c r="C55" s="123">
        <v>5532000.0000000009</v>
      </c>
      <c r="D55" s="123">
        <v>6549768.3610793296</v>
      </c>
      <c r="E55" s="123">
        <v>7170423.9606765276</v>
      </c>
      <c r="F55" s="123">
        <v>8701893.6078072283</v>
      </c>
      <c r="H55" s="120"/>
    </row>
    <row r="56" spans="1:8" x14ac:dyDescent="0.15">
      <c r="A56" s="144">
        <v>30</v>
      </c>
      <c r="B56" s="123">
        <v>4632584.322521518</v>
      </c>
      <c r="C56" s="123">
        <v>5532000.0000000009</v>
      </c>
      <c r="D56" s="123">
        <v>6747057.2768486198</v>
      </c>
      <c r="E56" s="123">
        <v>7514547.5040872963</v>
      </c>
      <c r="F56" s="123">
        <v>9486901.1774823144</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-0.02</v>
      </c>
      <c r="C59" s="132">
        <f>C50</f>
        <v>0</v>
      </c>
      <c r="D59" s="132">
        <f>D50</f>
        <v>0.02</v>
      </c>
      <c r="E59" s="132">
        <f>E50</f>
        <v>0.03</v>
      </c>
      <c r="F59" s="132">
        <f>F50</f>
        <v>0.05</v>
      </c>
      <c r="H59" s="120"/>
    </row>
    <row r="60" spans="1:8" x14ac:dyDescent="0.15">
      <c r="A60" s="143">
        <v>0</v>
      </c>
      <c r="B60" s="124">
        <f>C7</f>
        <v>1.3128970799999999</v>
      </c>
      <c r="C60" s="124">
        <f>C7</f>
        <v>1.3128970799999999</v>
      </c>
      <c r="D60" s="124">
        <f>C7</f>
        <v>1.3128970799999999</v>
      </c>
      <c r="E60" s="141">
        <f>C7</f>
        <v>1.3128970799999999</v>
      </c>
      <c r="F60" s="124">
        <f>C7</f>
        <v>1.3128970799999999</v>
      </c>
      <c r="H60" s="120"/>
    </row>
    <row r="61" spans="1:8" x14ac:dyDescent="0.15">
      <c r="A61" s="143">
        <f t="shared" ref="A61:A66" si="3">A51</f>
        <v>5</v>
      </c>
      <c r="B61" s="124">
        <f t="shared" ref="B61:F66" si="4">B51/Common_Shares*$C$3*Exchange_Rate</f>
        <v>1.2724256023228167</v>
      </c>
      <c r="C61" s="124">
        <f t="shared" si="4"/>
        <v>1.3128970799999999</v>
      </c>
      <c r="D61" s="124">
        <f t="shared" si="4"/>
        <v>1.3545297072080538</v>
      </c>
      <c r="E61" s="124">
        <f t="shared" si="4"/>
        <v>1.3757975418372115</v>
      </c>
      <c r="F61" s="124">
        <f t="shared" si="4"/>
        <v>1.4192693195851225</v>
      </c>
      <c r="H61" s="120"/>
    </row>
    <row r="62" spans="1:8" x14ac:dyDescent="0.15">
      <c r="A62" s="143">
        <f t="shared" si="3"/>
        <v>10</v>
      </c>
      <c r="B62" s="124">
        <f t="shared" si="4"/>
        <v>1.2373475301223156</v>
      </c>
      <c r="C62" s="124">
        <f t="shared" si="4"/>
        <v>1.3128970800000002</v>
      </c>
      <c r="D62" s="124">
        <f t="shared" si="4"/>
        <v>1.3958137992723609</v>
      </c>
      <c r="E62" s="124">
        <f t="shared" si="4"/>
        <v>1.4403093177319508</v>
      </c>
      <c r="F62" s="124">
        <f t="shared" si="4"/>
        <v>1.5359777366339089</v>
      </c>
      <c r="H62" s="120"/>
    </row>
    <row r="63" spans="1:8" x14ac:dyDescent="0.15">
      <c r="A63" s="143">
        <f t="shared" si="3"/>
        <v>15</v>
      </c>
      <c r="B63" s="124">
        <f t="shared" si="4"/>
        <v>1.1970609833757155</v>
      </c>
      <c r="C63" s="124">
        <f t="shared" si="4"/>
        <v>1.3128970799999999</v>
      </c>
      <c r="D63" s="124">
        <f t="shared" si="4"/>
        <v>1.4480842944571504</v>
      </c>
      <c r="E63" s="124">
        <f t="shared" si="4"/>
        <v>1.5241132330138534</v>
      </c>
      <c r="F63" s="124">
        <f t="shared" si="4"/>
        <v>1.6958061594508145</v>
      </c>
      <c r="H63" s="120"/>
    </row>
    <row r="64" spans="1:8" x14ac:dyDescent="0.15">
      <c r="A64" s="144">
        <f t="shared" si="3"/>
        <v>20</v>
      </c>
      <c r="B64" s="124">
        <f t="shared" si="4"/>
        <v>1.159017700128083</v>
      </c>
      <c r="C64" s="124">
        <f t="shared" si="4"/>
        <v>1.3128970800000002</v>
      </c>
      <c r="D64" s="124">
        <f t="shared" si="4"/>
        <v>1.5025771384563753</v>
      </c>
      <c r="E64" s="124">
        <f t="shared" si="4"/>
        <v>1.6138733178223121</v>
      </c>
      <c r="F64" s="124">
        <f t="shared" si="4"/>
        <v>1.8769532898579029</v>
      </c>
      <c r="H64" s="120"/>
    </row>
    <row r="65" spans="1:8" x14ac:dyDescent="0.15">
      <c r="A65" s="144">
        <f t="shared" si="3"/>
        <v>25</v>
      </c>
      <c r="B65" s="124">
        <f t="shared" si="4"/>
        <v>1.1262337325605811</v>
      </c>
      <c r="C65" s="124">
        <f t="shared" si="4"/>
        <v>1.3128970800000002</v>
      </c>
      <c r="D65" s="124">
        <f t="shared" si="4"/>
        <v>1.5544417490848588</v>
      </c>
      <c r="E65" s="124">
        <f t="shared" si="4"/>
        <v>1.70174054235977</v>
      </c>
      <c r="F65" s="124">
        <f t="shared" si="4"/>
        <v>2.0652007787709286</v>
      </c>
    </row>
    <row r="66" spans="1:8" x14ac:dyDescent="0.15">
      <c r="A66" s="144">
        <f t="shared" si="3"/>
        <v>30</v>
      </c>
      <c r="B66" s="124">
        <f t="shared" si="4"/>
        <v>1.0994407863145843</v>
      </c>
      <c r="C66" s="124">
        <f t="shared" si="4"/>
        <v>1.3128970800000002</v>
      </c>
      <c r="D66" s="124">
        <f t="shared" si="4"/>
        <v>1.6012638823874374</v>
      </c>
      <c r="E66" s="124">
        <f t="shared" si="4"/>
        <v>1.7834106065866775</v>
      </c>
      <c r="F66" s="124">
        <f t="shared" si="4"/>
        <v>2.2515048543320848</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0.05</v>
      </c>
      <c r="D69" s="145">
        <f>Scenarios!C55</f>
        <v>15</v>
      </c>
      <c r="E69" s="135">
        <f>INDEX(B$60:F$66, MATCH(D69, A$60:A$66, 0), MATCH(C69, B$59:F$59, 0))</f>
        <v>1.6958061594508145</v>
      </c>
      <c r="F69" s="142">
        <f>Scenarios!C58</f>
        <v>0.05</v>
      </c>
    </row>
    <row r="70" spans="1:8" x14ac:dyDescent="0.15">
      <c r="B70" s="127" t="str">
        <f>Scenarios!B36</f>
        <v>Optimistic</v>
      </c>
      <c r="C70" s="142">
        <f>Scenarios!C38</f>
        <v>0.03</v>
      </c>
      <c r="D70" s="145">
        <f>Scenarios!C37</f>
        <v>10</v>
      </c>
      <c r="E70" s="135">
        <f>INDEX(B$60:F$66, MATCH(D70, A$60:A$66, 0), MATCH(C70, B$59:F$59, 0))</f>
        <v>1.4403093177319508</v>
      </c>
      <c r="F70" s="142">
        <f>Scenarios!C40*(1-F$69-F$73)</f>
        <v>0.18</v>
      </c>
      <c r="H70" s="120"/>
    </row>
    <row r="71" spans="1:8" x14ac:dyDescent="0.15">
      <c r="B71" s="127" t="str">
        <f>Scenarios!B24</f>
        <v>Base</v>
      </c>
      <c r="C71" s="142">
        <f>Scenarios!C26</f>
        <v>0.02</v>
      </c>
      <c r="D71" s="145">
        <f>Scenarios!C25</f>
        <v>10</v>
      </c>
      <c r="E71" s="135">
        <f>INDEX(B$60:F$66, MATCH(D71, A$60:A$66, 0), MATCH(C71, B$59:F$59, 0))</f>
        <v>1.3958137992723609</v>
      </c>
      <c r="F71" s="142">
        <f>Scenarios!C28*(1-F$69-F$73)</f>
        <v>0.53999999999999992</v>
      </c>
      <c r="H71" s="120"/>
    </row>
    <row r="72" spans="1:8" x14ac:dyDescent="0.15">
      <c r="B72" s="127" t="str">
        <f>Scenarios!B30</f>
        <v>Pessimistic</v>
      </c>
      <c r="C72" s="142">
        <f>Scenarios!C32</f>
        <v>0</v>
      </c>
      <c r="D72" s="145">
        <f>Scenarios!C31</f>
        <v>10</v>
      </c>
      <c r="E72" s="135">
        <f>INDEX(B$60:F$66, MATCH(D72, A$60:A$66, 0), MATCH(C72, B$59:F$59, 0))</f>
        <v>1.3128970800000002</v>
      </c>
      <c r="F72" s="142">
        <f>Scenarios!C34*(1-F$69-F$73)</f>
        <v>0.18</v>
      </c>
      <c r="H72" s="120"/>
    </row>
    <row r="73" spans="1:8" x14ac:dyDescent="0.15">
      <c r="B73" s="127" t="str">
        <f>Scenarios!B48</f>
        <v>Devil's advocate</v>
      </c>
      <c r="C73" s="142">
        <f>Scenarios!C50</f>
        <v>-0.02</v>
      </c>
      <c r="D73" s="145">
        <f>Scenarios!C49</f>
        <v>15</v>
      </c>
      <c r="E73" s="135">
        <f>INDEX(B$60:F$66, MATCH(D73, A$60:A$66, 0), MATCH(C73, B$59:F$59, 0))</f>
        <v>1.1970609833757155</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-2.19</v>
      </c>
    </row>
    <row r="4" spans="2:9" x14ac:dyDescent="0.15">
      <c r="B4" s="152" t="s">
        <v>142</v>
      </c>
      <c r="C4" s="120">
        <v>3</v>
      </c>
      <c r="D4" s="120"/>
      <c r="E4" s="155" t="s">
        <v>146</v>
      </c>
      <c r="F4" s="155"/>
      <c r="H4" s="247">
        <v>1</v>
      </c>
      <c r="I4" s="124">
        <f t="shared" ref="I4:I13" si="0">IF(ROW()-3 &lt; $C$76, $C$77, IF(ROW()-3 = $C$76, $C$77 + $C$60, ""))</f>
        <v>9.0000000000000011E-2</v>
      </c>
    </row>
    <row r="5" spans="2:9" x14ac:dyDescent="0.15">
      <c r="H5" s="247">
        <v>2</v>
      </c>
      <c r="I5" s="124">
        <f t="shared" si="0"/>
        <v>9.0000000000000011E-2</v>
      </c>
    </row>
    <row r="6" spans="2:9" x14ac:dyDescent="0.15">
      <c r="B6" s="159" t="s">
        <v>92</v>
      </c>
      <c r="C6" s="107">
        <f>DCF!C3</f>
        <v>1000</v>
      </c>
      <c r="E6" s="100" t="s">
        <v>274</v>
      </c>
      <c r="F6" s="100"/>
      <c r="H6" s="247">
        <v>3</v>
      </c>
      <c r="I6" s="124">
        <f t="shared" si="0"/>
        <v>3.3784477434155518</v>
      </c>
    </row>
    <row r="7" spans="2:9" ht="12.75" customHeight="1" x14ac:dyDescent="0.15">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x14ac:dyDescent="0.15">
      <c r="B8" s="100" t="s">
        <v>64</v>
      </c>
      <c r="C8" s="338">
        <f>Normalized_FCF!G19</f>
        <v>632498.42340470827</v>
      </c>
      <c r="D8" t="str">
        <f>Reporting_currency</f>
        <v>CNY</v>
      </c>
      <c r="E8" s="380"/>
      <c r="F8" s="380"/>
      <c r="H8" s="247">
        <v>5</v>
      </c>
      <c r="I8" s="124" t="str">
        <f t="shared" si="0"/>
        <v/>
      </c>
    </row>
    <row r="9" spans="2:9" x14ac:dyDescent="0.15">
      <c r="B9" s="100" t="s">
        <v>55</v>
      </c>
      <c r="C9" s="338">
        <f>Normalized_FCF!C19</f>
        <v>569161.93498729635</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-3.750240119526338E-2</v>
      </c>
      <c r="D12" s="158"/>
      <c r="E12" s="380"/>
      <c r="F12" s="380"/>
      <c r="H12" s="247">
        <v>9</v>
      </c>
      <c r="I12" s="124" t="str">
        <f t="shared" si="0"/>
        <v/>
      </c>
    </row>
    <row r="13" spans="2:9" x14ac:dyDescent="0.15">
      <c r="B13" s="148" t="s">
        <v>148</v>
      </c>
      <c r="C13" s="158">
        <f ca="1">(Normalized_FCF!G8/OFFSET(Normalized_FCF!G8, 0, $C$4))^(1/$C$4) - 1</f>
        <v>-0.20361731775539216</v>
      </c>
      <c r="E13" s="380"/>
      <c r="F13" s="380"/>
      <c r="H13" s="247">
        <v>10</v>
      </c>
      <c r="I13" s="124" t="str">
        <f t="shared" si="0"/>
        <v/>
      </c>
    </row>
    <row r="14" spans="2:9" x14ac:dyDescent="0.15">
      <c r="B14" s="100" t="s">
        <v>64</v>
      </c>
      <c r="C14" s="158">
        <f ca="1">(Normalized_FCF!G19/OFFSET(Normalized_FCF!G19, 0, $C$4))^(1/$C$4) - 1</f>
        <v>-9.0443280496378065E-2</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2.19</v>
      </c>
      <c r="D21" t="str">
        <f>Market_currency</f>
        <v>HKD</v>
      </c>
      <c r="E21" s="381"/>
      <c r="F21" s="381"/>
    </row>
    <row r="22" spans="2:6" x14ac:dyDescent="0.15">
      <c r="B22" s="100" t="s">
        <v>273</v>
      </c>
      <c r="C22" s="160">
        <f>IF(valuation_method="DCF",DCF!C12,DDM!C7)</f>
        <v>3.1772452709401491</v>
      </c>
      <c r="D22" t="str">
        <f>Market_currency</f>
        <v>HKD</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0.02</v>
      </c>
      <c r="D26" s="164"/>
      <c r="E26" s="379"/>
      <c r="F26" s="379"/>
    </row>
    <row r="27" spans="2:6" x14ac:dyDescent="0.15">
      <c r="B27" s="100" t="s">
        <v>109</v>
      </c>
      <c r="C27" s="160">
        <f>IF(valuation_method="DCF",DCF!E76,DDM!E71)</f>
        <v>3.2909908491128537</v>
      </c>
      <c r="D27" s="160" t="str">
        <f>Market_currency</f>
        <v>HKD</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v>
      </c>
      <c r="D32" s="164"/>
      <c r="E32" s="379"/>
      <c r="F32" s="379"/>
    </row>
    <row r="33" spans="2:6" x14ac:dyDescent="0.15">
      <c r="B33" s="100" t="s">
        <v>109</v>
      </c>
      <c r="C33" s="160">
        <f>IF(valuation_method="DCF",DCF!E77,DDM!E72)</f>
        <v>3.1772452709401486</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0.03</v>
      </c>
      <c r="D38" s="164"/>
      <c r="E38" s="379"/>
      <c r="F38" s="379"/>
    </row>
    <row r="39" spans="2:6" x14ac:dyDescent="0.15">
      <c r="B39" s="100" t="s">
        <v>109</v>
      </c>
      <c r="C39" s="160">
        <f>IF(valuation_method="DCF",DCF!E75,DDM!E70)</f>
        <v>3.3520300281553292</v>
      </c>
      <c r="D39" t="str">
        <f>Market_currency</f>
        <v>HKD</v>
      </c>
      <c r="E39" s="379"/>
      <c r="F39" s="379"/>
    </row>
    <row r="40" spans="2:6" x14ac:dyDescent="0.15">
      <c r="B40" s="100" t="s">
        <v>143</v>
      </c>
      <c r="C40" s="167">
        <f>1-C28-C34</f>
        <v>0.2</v>
      </c>
      <c r="D40" s="165"/>
      <c r="E40" s="379"/>
      <c r="F40" s="379"/>
    </row>
    <row r="42" spans="2:6" x14ac:dyDescent="0.15">
      <c r="B42" s="100" t="s">
        <v>116</v>
      </c>
      <c r="C42" s="154">
        <f>C27*C28+C33*C34+C39*C40</f>
        <v>3.2804495692868079</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-0.02</v>
      </c>
      <c r="D50" s="164"/>
      <c r="E50" s="379"/>
      <c r="F50" s="379"/>
    </row>
    <row r="51" spans="2:6" x14ac:dyDescent="0.15">
      <c r="B51" s="100" t="s">
        <v>109</v>
      </c>
      <c r="C51" s="160">
        <f>IF(valuation_method="DCF",DCF!E78,DDM!E73)</f>
        <v>3.0183407231068071</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0.05</v>
      </c>
      <c r="D56" s="164"/>
      <c r="E56" s="379"/>
      <c r="F56" s="379"/>
    </row>
    <row r="57" spans="2:6" x14ac:dyDescent="0.15">
      <c r="B57" s="100" t="s">
        <v>109</v>
      </c>
      <c r="C57" s="160">
        <f>IF(valuation_method="DCF",DCF!E74,DDM!E69)</f>
        <v>3.7025218980416916</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3.2884477434155519</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0.02</v>
      </c>
      <c r="D65" s="151"/>
      <c r="E65" s="251" t="s">
        <v>304</v>
      </c>
    </row>
    <row r="66" spans="2:6" x14ac:dyDescent="0.15">
      <c r="B66" s="100" t="s">
        <v>99</v>
      </c>
      <c r="C66" s="160">
        <f>IF(valuation_method="DCF",DCF!C18,DDM!C13)</f>
        <v>3.2909908491128541</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0.41849725809070232</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436</v>
      </c>
      <c r="C77" s="173">
        <f>Normalized_FCF!C90*(1-dividend_tax_rate)</f>
        <v>9.0000000000000011E-2</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0.15262917238225884</v>
      </c>
      <c r="D81" s="116"/>
      <c r="E81" s="100"/>
      <c r="F81" s="100"/>
    </row>
    <row r="82" spans="2:8" x14ac:dyDescent="0.15">
      <c r="B82" s="100" t="s">
        <v>118</v>
      </c>
      <c r="C82" s="116">
        <f>C60/(1+C80)^C76</f>
        <v>1.336563630916243</v>
      </c>
      <c r="D82" s="116"/>
    </row>
    <row r="83" spans="2:8" x14ac:dyDescent="0.15">
      <c r="B83" s="110" t="s">
        <v>98</v>
      </c>
      <c r="C83" s="111">
        <f>C81+C82</f>
        <v>1.4891928032985018</v>
      </c>
      <c r="D83" t="str">
        <f>Market_currency</f>
        <v>HKD</v>
      </c>
      <c r="E83" s="146" t="s">
        <v>122</v>
      </c>
      <c r="F83" s="291">
        <f>(1-C83/C60)</f>
        <v>0.54714414839636494</v>
      </c>
    </row>
    <row r="84" spans="2:8" x14ac:dyDescent="0.15">
      <c r="E84" s="120"/>
    </row>
    <row r="85" spans="2:8" x14ac:dyDescent="0.15">
      <c r="B85" s="109" t="s">
        <v>297</v>
      </c>
    </row>
    <row r="86" spans="2:8" x14ac:dyDescent="0.15">
      <c r="B86" s="148" t="s">
        <v>295</v>
      </c>
      <c r="C86" s="116">
        <f>Market_Price</f>
        <v>2.19</v>
      </c>
      <c r="D86" t="str">
        <f>Market_currency</f>
        <v>HKD</v>
      </c>
    </row>
    <row r="87" spans="2:8" x14ac:dyDescent="0.15">
      <c r="B87" s="100" t="s">
        <v>293</v>
      </c>
      <c r="C87" s="237">
        <f ca="1">IRR(OFFSET($I$3, 0, 0, $C$76 + 1, 1))</f>
        <v>0.18132383775566518</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0.17568</v>
      </c>
      <c r="D91" s="116"/>
      <c r="E91" s="100"/>
      <c r="F91" s="100"/>
    </row>
    <row r="92" spans="2:8" x14ac:dyDescent="0.15">
      <c r="B92" s="100" t="s">
        <v>118</v>
      </c>
      <c r="C92" s="116">
        <f>C60/(1+C90)^C76</f>
        <v>1.6836852446287627</v>
      </c>
      <c r="D92" s="116"/>
    </row>
    <row r="93" spans="2:8" x14ac:dyDescent="0.15">
      <c r="B93" s="110" t="s">
        <v>98</v>
      </c>
      <c r="C93" s="111">
        <f>C91+C92</f>
        <v>1.8593652446287627</v>
      </c>
      <c r="D93" t="str">
        <f>Market_currency</f>
        <v>HKD</v>
      </c>
      <c r="E93" s="146" t="s">
        <v>122</v>
      </c>
      <c r="F93" s="291">
        <f>(1-C93/C60)</f>
        <v>0.43457661799499059</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0.23404731658847641</v>
      </c>
      <c r="D97" s="116"/>
      <c r="G97" s="2"/>
      <c r="H97" s="281"/>
    </row>
    <row r="98" spans="2:8" x14ac:dyDescent="0.15">
      <c r="B98" s="100" t="s">
        <v>118</v>
      </c>
      <c r="C98" s="116">
        <f>C60/(1+C96)^C76</f>
        <v>2.6470707683423518</v>
      </c>
      <c r="D98" s="116"/>
      <c r="G98" s="2"/>
      <c r="H98" s="281"/>
    </row>
    <row r="99" spans="2:8" x14ac:dyDescent="0.15">
      <c r="B99" s="110" t="s">
        <v>379</v>
      </c>
      <c r="C99" s="111">
        <f>C97+C98</f>
        <v>2.881118084930828</v>
      </c>
      <c r="D99" t="s">
        <v>377</v>
      </c>
      <c r="E99" s="146" t="s">
        <v>122</v>
      </c>
      <c r="F99" s="291">
        <f>(1-C99/C60)</f>
        <v>0.12386684851547936</v>
      </c>
    </row>
    <row r="100" spans="2:8" x14ac:dyDescent="0.15">
      <c r="B100" s="100"/>
    </row>
    <row r="101" spans="2:8" x14ac:dyDescent="0.15">
      <c r="B101" s="109" t="s">
        <v>399</v>
      </c>
    </row>
    <row r="102" spans="2:8" x14ac:dyDescent="0.15">
      <c r="B102" s="148" t="s">
        <v>398</v>
      </c>
      <c r="C102" s="134">
        <f>Thesis!F32</f>
        <v>0.1174</v>
      </c>
    </row>
    <row r="103" spans="2:8" x14ac:dyDescent="0.15">
      <c r="B103" s="100" t="s">
        <v>117</v>
      </c>
      <c r="C103" s="116">
        <f>PV(C102, C76, -C77, 0)</f>
        <v>0.21713428133447846</v>
      </c>
      <c r="D103" s="116"/>
    </row>
    <row r="104" spans="2:8" x14ac:dyDescent="0.15">
      <c r="B104" s="100" t="s">
        <v>118</v>
      </c>
      <c r="C104" s="116">
        <f>C60/(1+C102)^C76</f>
        <v>2.3570290969791716</v>
      </c>
      <c r="D104" s="116"/>
    </row>
    <row r="105" spans="2:8" x14ac:dyDescent="0.15">
      <c r="B105" s="110" t="s">
        <v>379</v>
      </c>
      <c r="C105" s="111">
        <f>C103+C104</f>
        <v>2.5741633783136502</v>
      </c>
      <c r="D105" t="s">
        <v>377</v>
      </c>
      <c r="E105" s="146" t="s">
        <v>122</v>
      </c>
      <c r="F105" s="291">
        <f>(1-C105/C66)</f>
        <v>0.21781509085400153</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438</v>
      </c>
      <c r="C1" s="33">
        <f>Thesis!C1</f>
        <v>45754</v>
      </c>
      <c r="D1" s="358" t="str">
        <f>Thesis!D1</f>
        <v>INT</v>
      </c>
      <c r="E1" s="292" t="s">
        <v>344</v>
      </c>
      <c r="F1" s="307" t="str">
        <f>Thesis!F1</f>
        <v>N</v>
      </c>
    </row>
    <row r="2" spans="1:10" ht="16" x14ac:dyDescent="0.25">
      <c r="A2" s="222" t="s">
        <v>439</v>
      </c>
      <c r="B2" s="36"/>
      <c r="C2" s="36"/>
      <c r="D2" s="36"/>
      <c r="E2" s="36"/>
      <c r="F2" s="36"/>
      <c r="G2" s="22"/>
      <c r="H2" s="22"/>
      <c r="I2" s="22"/>
      <c r="J2" s="22"/>
    </row>
    <row r="4" spans="1:10" x14ac:dyDescent="0.15">
      <c r="B4" s="45" t="s">
        <v>440</v>
      </c>
      <c r="C4" s="46"/>
      <c r="D4" s="5"/>
      <c r="E4" s="2"/>
      <c r="F4" s="2"/>
    </row>
    <row r="5" spans="1:10" ht="14" x14ac:dyDescent="0.2">
      <c r="B5" s="4" t="s">
        <v>480</v>
      </c>
      <c r="C5" s="359" t="str">
        <f>Thesis!C5</f>
        <v>中海石油化学</v>
      </c>
    </row>
    <row r="6" spans="1:10" x14ac:dyDescent="0.15">
      <c r="B6" s="4" t="s">
        <v>481</v>
      </c>
      <c r="C6" s="34">
        <f>Common_Shares</f>
        <v>4610000000</v>
      </c>
      <c r="E6" s="48"/>
    </row>
    <row r="7" spans="1:10" x14ac:dyDescent="0.15">
      <c r="B7" s="2" t="s">
        <v>482</v>
      </c>
      <c r="C7" s="360">
        <f>Thesis!C7</f>
        <v>6</v>
      </c>
      <c r="D7" s="48"/>
      <c r="E7" s="48"/>
    </row>
    <row r="8" spans="1:10" x14ac:dyDescent="0.15">
      <c r="B8" s="1" t="s">
        <v>483</v>
      </c>
      <c r="C8" s="33">
        <f>EOMONTH(EDATE(BS!C1,C7+2),0)</f>
        <v>45900</v>
      </c>
      <c r="E8" s="48"/>
    </row>
    <row r="9" spans="1:10" x14ac:dyDescent="0.15">
      <c r="E9" s="34"/>
    </row>
    <row r="10" spans="1:10" x14ac:dyDescent="0.15">
      <c r="B10" s="45" t="s">
        <v>441</v>
      </c>
      <c r="C10" s="46"/>
      <c r="E10" s="34"/>
    </row>
    <row r="11" spans="1:10" x14ac:dyDescent="0.15">
      <c r="B11" s="1" t="s">
        <v>484</v>
      </c>
      <c r="C11" s="365" t="str">
        <f>Thesis!C11</f>
        <v>3983.HK</v>
      </c>
      <c r="D11" s="49"/>
      <c r="E11" s="34"/>
    </row>
    <row r="12" spans="1:10" x14ac:dyDescent="0.15">
      <c r="B12" s="4" t="s">
        <v>485</v>
      </c>
      <c r="C12" s="366">
        <f>Market_Price</f>
        <v>2.19</v>
      </c>
      <c r="D12" s="50"/>
      <c r="E12" s="48"/>
    </row>
    <row r="13" spans="1:10" x14ac:dyDescent="0.15">
      <c r="B13" s="1" t="s">
        <v>486</v>
      </c>
      <c r="C13" s="32" t="str">
        <f>Market_currency</f>
        <v>HKD</v>
      </c>
      <c r="D13" s="48"/>
      <c r="E13" s="5"/>
    </row>
    <row r="14" spans="1:10" x14ac:dyDescent="0.15">
      <c r="B14" s="4" t="s">
        <v>487</v>
      </c>
      <c r="C14" s="35">
        <f>投资主题!C12*Common_Shares/1000000</f>
        <v>10095.9</v>
      </c>
      <c r="D14" s="35" t="str">
        <f>IF(D11="","",投资主题!D12*Common_Shares/1000000)</f>
        <v/>
      </c>
      <c r="E14" s="5"/>
    </row>
    <row r="15" spans="1:10" x14ac:dyDescent="0.15">
      <c r="B15" s="4" t="s">
        <v>488</v>
      </c>
      <c r="C15" s="32" t="str">
        <f>IF(C25=C13,C13,C25&amp;"/"&amp;C13)</f>
        <v>CNY/HKD</v>
      </c>
      <c r="D15" s="32" t="str">
        <f>IF(D11="","",IF(C25=D13,D13,C25&amp;"/"&amp;D13))</f>
        <v/>
      </c>
      <c r="E15" s="5"/>
    </row>
    <row r="16" spans="1:10" x14ac:dyDescent="0.15">
      <c r="B16" s="4" t="s">
        <v>489</v>
      </c>
      <c r="C16" s="366">
        <f>Exchange_Rate</f>
        <v>1.0940809</v>
      </c>
      <c r="D16" s="50"/>
      <c r="E16" s="5"/>
    </row>
    <row r="17" spans="2:6" x14ac:dyDescent="0.15">
      <c r="D17" s="5"/>
      <c r="E17" s="5"/>
    </row>
    <row r="18" spans="2:6" ht="24.5" customHeight="1" x14ac:dyDescent="0.15">
      <c r="B18" s="370" t="s">
        <v>490</v>
      </c>
      <c r="C18" s="370"/>
      <c r="D18" s="370"/>
      <c r="E18" s="370"/>
      <c r="F18" s="370"/>
    </row>
    <row r="20" spans="2:6" x14ac:dyDescent="0.15">
      <c r="B20" s="45" t="s">
        <v>491</v>
      </c>
      <c r="C20" s="46"/>
      <c r="D20" s="5"/>
    </row>
    <row r="21" spans="2:6" x14ac:dyDescent="0.15">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x14ac:dyDescent="0.15">
      <c r="B22" s="2" t="s">
        <v>443</v>
      </c>
      <c r="C22" s="32" t="str">
        <f>Thesis!C22</f>
        <v>ENG_03</v>
      </c>
      <c r="D22" s="1" t="str">
        <f>IF(valuation_method="DDM","终值贴现率","")</f>
        <v/>
      </c>
      <c r="E22" s="364">
        <f>Thesis!E22</f>
        <v>0</v>
      </c>
    </row>
    <row r="23" spans="2:6" x14ac:dyDescent="0.15">
      <c r="B23" s="1" t="s">
        <v>444</v>
      </c>
      <c r="C23" s="253" t="str">
        <f>Thesis!C23</f>
        <v>N</v>
      </c>
    </row>
    <row r="24" spans="2:6" x14ac:dyDescent="0.15">
      <c r="B24" s="1" t="s">
        <v>445</v>
      </c>
      <c r="C24" s="253" t="str">
        <f>Thesis!C24</f>
        <v>N</v>
      </c>
    </row>
    <row r="25" spans="2:6" x14ac:dyDescent="0.15">
      <c r="B25" s="4" t="s">
        <v>446</v>
      </c>
      <c r="C25" s="32" t="str">
        <f>Reporting_currency</f>
        <v>CNY</v>
      </c>
      <c r="D25" s="32" t="str">
        <f>IF(D11="","",Market_currency&amp;"/"&amp;D13&amp;":")</f>
        <v/>
      </c>
      <c r="E25" s="299" t="str">
        <f>IF(D11="","",1/Exchange_Rate*D16)</f>
        <v/>
      </c>
    </row>
    <row r="26" spans="2:6" x14ac:dyDescent="0.15">
      <c r="B26" s="1" t="str">
        <f>"预期股权价值 ("&amp;C13&amp;") :"</f>
        <v>预期股权价值 (HKD) :</v>
      </c>
      <c r="C26" s="304">
        <f>C132</f>
        <v>3.2884477434155519</v>
      </c>
      <c r="D26" s="1" t="s">
        <v>447</v>
      </c>
      <c r="E26" s="301">
        <f ca="1">Scenarios!C87</f>
        <v>0.18132383775566518</v>
      </c>
    </row>
    <row r="27" spans="2:6" x14ac:dyDescent="0.15">
      <c r="D27" s="5"/>
      <c r="E27" s="5"/>
    </row>
    <row r="28" spans="2:6" x14ac:dyDescent="0.15">
      <c r="B28" s="45" t="s">
        <v>449</v>
      </c>
      <c r="C28" s="309" t="str">
        <f>C145&amp;" ("&amp;Market_currency&amp;")"</f>
        <v>3983.HK (HKD)</v>
      </c>
      <c r="D28" s="309" t="str">
        <f>IF(D11="","",D145&amp;" ("&amp;D13&amp;")")</f>
        <v/>
      </c>
      <c r="E28" s="305" t="s">
        <v>454</v>
      </c>
      <c r="F28" s="361">
        <f>Thesis!F28</f>
        <v>3</v>
      </c>
    </row>
    <row r="29" spans="2:6" x14ac:dyDescent="0.15">
      <c r="B29" s="1" t="s">
        <v>450</v>
      </c>
      <c r="C29" s="310">
        <f>C149</f>
        <v>1.4891928032985018</v>
      </c>
      <c r="D29" s="310" t="str">
        <f>D149</f>
        <v/>
      </c>
      <c r="E29" s="306" t="s">
        <v>456</v>
      </c>
      <c r="F29" s="362">
        <f>Thesis!F29</f>
        <v>0.35</v>
      </c>
    </row>
    <row r="30" spans="2:6" x14ac:dyDescent="0.15">
      <c r="B30" s="1" t="s">
        <v>451</v>
      </c>
      <c r="C30" s="311">
        <f>C157</f>
        <v>1.8593652446287627</v>
      </c>
      <c r="D30" s="311" t="str">
        <f>D157</f>
        <v/>
      </c>
      <c r="E30" s="307" t="s">
        <v>455</v>
      </c>
      <c r="F30" s="224">
        <f>Thesis!F30</f>
        <v>0.25</v>
      </c>
    </row>
    <row r="31" spans="2:6" x14ac:dyDescent="0.15">
      <c r="B31" s="1" t="s">
        <v>452</v>
      </c>
      <c r="C31" s="311">
        <f>C165</f>
        <v>2.881118084930828</v>
      </c>
      <c r="D31" s="311" t="str">
        <f>D165</f>
        <v/>
      </c>
      <c r="E31" s="307" t="s">
        <v>492</v>
      </c>
      <c r="F31" s="224">
        <f>Thesis!F31</f>
        <v>7.4999999999999997E-2</v>
      </c>
    </row>
    <row r="32" spans="2:6" x14ac:dyDescent="0.15">
      <c r="B32" s="1" t="s">
        <v>453</v>
      </c>
      <c r="C32" s="311">
        <f>C173</f>
        <v>2.5741633783136502</v>
      </c>
      <c r="D32" s="311" t="str">
        <f>D173</f>
        <v/>
      </c>
      <c r="E32" s="307" t="s">
        <v>457</v>
      </c>
      <c r="F32" s="224">
        <f>Thesis!F32</f>
        <v>0.1174</v>
      </c>
    </row>
    <row r="33" spans="1:6" x14ac:dyDescent="0.15">
      <c r="D33" s="5"/>
      <c r="E33" s="5"/>
    </row>
    <row r="34" spans="1:6" ht="16" x14ac:dyDescent="0.25">
      <c r="A34" s="222" t="s">
        <v>458</v>
      </c>
      <c r="B34" s="36"/>
      <c r="C34" s="36"/>
      <c r="D34" s="36"/>
      <c r="E34" s="36"/>
      <c r="F34" s="36"/>
    </row>
    <row r="36" spans="1:6" ht="24.5" customHeight="1" x14ac:dyDescent="0.15">
      <c r="B36" s="370" t="s">
        <v>493</v>
      </c>
      <c r="C36" s="370"/>
      <c r="D36" s="370"/>
      <c r="E36" s="370"/>
      <c r="F36" s="370"/>
    </row>
    <row r="37" spans="1:6" ht="24.5" customHeight="1" x14ac:dyDescent="0.15">
      <c r="B37" s="372" t="s">
        <v>330</v>
      </c>
      <c r="C37" s="372"/>
      <c r="D37" s="372"/>
      <c r="E37" s="372"/>
      <c r="F37" s="372"/>
    </row>
    <row r="39" spans="1:6" x14ac:dyDescent="0.15">
      <c r="B39" s="210" t="s">
        <v>494</v>
      </c>
      <c r="C39" s="108">
        <f>scaling_factor</f>
        <v>1000</v>
      </c>
    </row>
    <row r="40" spans="1:6" x14ac:dyDescent="0.15">
      <c r="B40" s="371" t="s">
        <v>495</v>
      </c>
      <c r="C40" s="371"/>
      <c r="D40" s="371"/>
      <c r="E40" s="371"/>
      <c r="F40" s="371"/>
    </row>
    <row r="41" spans="1:6" x14ac:dyDescent="0.15">
      <c r="B41" s="47" t="s">
        <v>228</v>
      </c>
      <c r="C41" s="349">
        <f>Normalized_FCF!C8</f>
        <v>928439.85014218651</v>
      </c>
      <c r="D41" s="1" t="str">
        <f>Reporting_currency</f>
        <v>CNY</v>
      </c>
    </row>
    <row r="42" spans="1:6" x14ac:dyDescent="0.15">
      <c r="B42" s="47"/>
      <c r="C42" s="76"/>
    </row>
    <row r="43" spans="1:6" ht="24.5" customHeight="1" x14ac:dyDescent="0.15">
      <c r="B43" s="371" t="s">
        <v>496</v>
      </c>
      <c r="C43" s="371"/>
      <c r="D43" s="371"/>
      <c r="E43" s="371"/>
      <c r="F43" s="371"/>
    </row>
    <row r="44" spans="1:6" x14ac:dyDescent="0.15">
      <c r="B44" s="47" t="s">
        <v>230</v>
      </c>
      <c r="C44" s="349">
        <f>Normalized_FCF!C9</f>
        <v>0</v>
      </c>
      <c r="D44" s="1" t="str">
        <f>Reporting_currency</f>
        <v>CNY</v>
      </c>
    </row>
    <row r="45" spans="1:6" x14ac:dyDescent="0.15">
      <c r="B45" s="52" t="s">
        <v>231</v>
      </c>
      <c r="C45" s="349">
        <f>Normalized_FCF!C10</f>
        <v>0</v>
      </c>
      <c r="D45" s="1" t="str">
        <f>Reporting_currency</f>
        <v>CNY</v>
      </c>
    </row>
    <row r="47" spans="1:6" x14ac:dyDescent="0.15">
      <c r="B47" s="371" t="s">
        <v>497</v>
      </c>
      <c r="C47" s="371"/>
      <c r="D47" s="371"/>
      <c r="E47" s="371"/>
      <c r="F47" s="371"/>
    </row>
    <row r="48" spans="1:6" x14ac:dyDescent="0.15">
      <c r="B48" s="47" t="s">
        <v>233</v>
      </c>
      <c r="C48" s="349">
        <f>Normalized_FCF!C11</f>
        <v>0</v>
      </c>
      <c r="D48" s="1" t="str">
        <f>Reporting_currency</f>
        <v>CNY</v>
      </c>
    </row>
    <row r="50" spans="2:6" x14ac:dyDescent="0.15">
      <c r="B50" s="371" t="s">
        <v>498</v>
      </c>
      <c r="C50" s="371"/>
      <c r="D50" s="371"/>
      <c r="E50" s="371"/>
      <c r="F50" s="371"/>
    </row>
    <row r="51" spans="2:6" x14ac:dyDescent="0.15">
      <c r="B51" s="47" t="s">
        <v>331</v>
      </c>
      <c r="C51" s="350">
        <f>Normalized_FCF!C48</f>
        <v>57395.095749289067</v>
      </c>
      <c r="D51" s="1" t="str">
        <f>Reporting_currency</f>
        <v>CNY</v>
      </c>
      <c r="E51" s="286"/>
      <c r="F51" s="286"/>
    </row>
    <row r="52" spans="2:6" x14ac:dyDescent="0.15">
      <c r="B52" s="47" t="s">
        <v>332</v>
      </c>
      <c r="C52" s="350">
        <f>Normalized_FCF!C47</f>
        <v>-52759</v>
      </c>
      <c r="D52" s="1" t="str">
        <f>Reporting_currency</f>
        <v>CNY</v>
      </c>
      <c r="E52" s="286"/>
      <c r="F52" s="286"/>
    </row>
    <row r="53" spans="2:6" x14ac:dyDescent="0.15">
      <c r="B53" s="47" t="s">
        <v>234</v>
      </c>
      <c r="C53" s="349">
        <f>Normalized_FCF!C12</f>
        <v>4636.0957492890666</v>
      </c>
      <c r="D53" s="1" t="str">
        <f>Reporting_currency</f>
        <v>CNY</v>
      </c>
    </row>
    <row r="55" spans="2:6" x14ac:dyDescent="0.15">
      <c r="B55" s="1" t="s">
        <v>499</v>
      </c>
    </row>
    <row r="56" spans="2:6" x14ac:dyDescent="0.15">
      <c r="B56" s="47" t="s">
        <v>261</v>
      </c>
      <c r="C56" s="349">
        <f>Normalized_FCF!C15</f>
        <v>-130645.02443131036</v>
      </c>
      <c r="D56" s="1" t="str">
        <f>Reporting_currency</f>
        <v>CNY</v>
      </c>
    </row>
    <row r="58" spans="2:6" x14ac:dyDescent="0.15">
      <c r="B58" s="371" t="s">
        <v>237</v>
      </c>
      <c r="C58" s="371"/>
      <c r="D58" s="371"/>
      <c r="E58" s="371"/>
      <c r="F58" s="371"/>
    </row>
    <row r="59" spans="2:6" x14ac:dyDescent="0.15">
      <c r="B59" s="47" t="s">
        <v>235</v>
      </c>
      <c r="C59" s="349">
        <f>Normalized_FCF!C14</f>
        <v>-233268.98647286888</v>
      </c>
      <c r="D59" s="1" t="str">
        <f>Reporting_currency</f>
        <v>CNY</v>
      </c>
    </row>
    <row r="61" spans="2:6" x14ac:dyDescent="0.15">
      <c r="B61" s="371" t="s">
        <v>500</v>
      </c>
      <c r="C61" s="374"/>
      <c r="D61" s="374"/>
      <c r="E61" s="374"/>
      <c r="F61" s="374"/>
    </row>
    <row r="62" spans="2:6" x14ac:dyDescent="0.15">
      <c r="B62" s="47" t="s">
        <v>238</v>
      </c>
      <c r="C62" s="349">
        <f>Normalized_FCF!C17</f>
        <v>0</v>
      </c>
      <c r="D62" s="1" t="str">
        <f>Reporting_currency</f>
        <v>CNY</v>
      </c>
    </row>
    <row r="64" spans="2:6" x14ac:dyDescent="0.15">
      <c r="B64" s="370" t="s">
        <v>501</v>
      </c>
      <c r="C64" s="370"/>
      <c r="D64" s="370"/>
      <c r="E64" s="370"/>
      <c r="F64" s="370"/>
    </row>
    <row r="65" spans="1:6" x14ac:dyDescent="0.15">
      <c r="B65" s="370" t="s">
        <v>502</v>
      </c>
      <c r="C65" s="370"/>
      <c r="D65" s="370"/>
      <c r="E65" s="370"/>
      <c r="F65" s="370"/>
    </row>
    <row r="67" spans="1:6" x14ac:dyDescent="0.15">
      <c r="B67" s="47" t="s">
        <v>503</v>
      </c>
      <c r="C67" s="349">
        <f>Normalized_FCF!G19</f>
        <v>632498.42340470827</v>
      </c>
      <c r="D67" s="1" t="str">
        <f>Reporting_currency</f>
        <v>CNY</v>
      </c>
    </row>
    <row r="68" spans="1:6" x14ac:dyDescent="0.15">
      <c r="B68" s="47" t="s">
        <v>244</v>
      </c>
      <c r="C68" s="349">
        <f>Normalized_FCF!C19</f>
        <v>569161.93498729635</v>
      </c>
      <c r="D68" s="1" t="str">
        <f>Reporting_currency</f>
        <v>CNY</v>
      </c>
    </row>
    <row r="69" spans="1:6" x14ac:dyDescent="0.15">
      <c r="B69" s="227" t="s">
        <v>371</v>
      </c>
      <c r="C69" s="92">
        <f>Normalized_FCF!C126</f>
        <v>6.1679414621444613E-2</v>
      </c>
      <c r="F69" s="314"/>
    </row>
    <row r="70" spans="1:6" x14ac:dyDescent="0.15">
      <c r="B70" s="227" t="s">
        <v>435</v>
      </c>
      <c r="C70" s="92">
        <f>Normalized_FCF!C94</f>
        <v>4.1095890410958909E-2</v>
      </c>
      <c r="E70" s="47" t="s">
        <v>504</v>
      </c>
      <c r="F70" s="315">
        <f>Normalized_FCF!C92</f>
        <v>0.80996280963569622</v>
      </c>
    </row>
    <row r="72" spans="1:6" x14ac:dyDescent="0.15">
      <c r="B72" s="210" t="s">
        <v>514</v>
      </c>
      <c r="C72" s="323" t="s">
        <v>430</v>
      </c>
      <c r="D72" s="323" t="s">
        <v>505</v>
      </c>
    </row>
    <row r="73" spans="1:6" x14ac:dyDescent="0.15">
      <c r="B73" s="47" t="s">
        <v>429</v>
      </c>
      <c r="C73" s="92">
        <f>Normalized_FCF!C121</f>
        <v>4.7832973362251327E-2</v>
      </c>
      <c r="D73" s="92">
        <f>Normalized_FCF!G121</f>
        <v>5.2722021815940899E-2</v>
      </c>
    </row>
    <row r="74" spans="1:6" x14ac:dyDescent="0.15">
      <c r="B74" s="259" t="str">
        <f>Normalized_FCF!B118</f>
        <v>Pre-tax Profit/Sales</v>
      </c>
      <c r="C74" s="322">
        <f>Normalized_FCF!C118</f>
        <v>7.8104812973574481E-2</v>
      </c>
      <c r="D74" s="322">
        <f>Normalized_FCF!G118</f>
        <v>8.6087971624454432E-2</v>
      </c>
    </row>
    <row r="75" spans="1:6" x14ac:dyDescent="0.15">
      <c r="B75" s="259" t="str">
        <f>Normalized_FCF!B119</f>
        <v>Sales/Total Assets</v>
      </c>
      <c r="C75" s="324">
        <f>Normalized_FCF!C119</f>
        <v>0.49619793491400876</v>
      </c>
      <c r="D75" s="324">
        <f>Normalized_FCF!G119</f>
        <v>0.49619793491400876</v>
      </c>
    </row>
    <row r="76" spans="1:6" x14ac:dyDescent="0.15">
      <c r="B76" s="259" t="str">
        <f>Normalized_FCF!B120</f>
        <v>Total Assets/Equity</v>
      </c>
      <c r="C76" s="324">
        <f>Normalized_FCF!C120</f>
        <v>1.2342258232843137</v>
      </c>
      <c r="D76" s="324">
        <f>Normalized_FCF!G120</f>
        <v>1.2342258232843137</v>
      </c>
    </row>
    <row r="78" spans="1:6" ht="16" x14ac:dyDescent="0.25">
      <c r="A78" s="222" t="s">
        <v>506</v>
      </c>
      <c r="B78" s="36"/>
      <c r="C78" s="36"/>
      <c r="D78" s="36"/>
      <c r="E78" s="36"/>
      <c r="F78" s="36"/>
    </row>
    <row r="79" spans="1:6" x14ac:dyDescent="0.15">
      <c r="A79" s="209"/>
    </row>
    <row r="80" spans="1:6" x14ac:dyDescent="0.15">
      <c r="A80" s="17"/>
      <c r="B80" s="370" t="s">
        <v>507</v>
      </c>
      <c r="C80" s="370"/>
      <c r="D80" s="370"/>
      <c r="E80" s="370"/>
      <c r="F80" s="370"/>
    </row>
    <row r="81" spans="1:6" x14ac:dyDescent="0.15">
      <c r="B81" s="372" t="s">
        <v>248</v>
      </c>
      <c r="C81" s="372"/>
      <c r="D81" s="372"/>
      <c r="E81" s="372"/>
      <c r="F81" s="372"/>
    </row>
    <row r="83" spans="1:6" x14ac:dyDescent="0.15">
      <c r="B83" s="210" t="s">
        <v>494</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513</v>
      </c>
      <c r="C88" s="121"/>
    </row>
    <row r="89" spans="1:6" x14ac:dyDescent="0.15">
      <c r="B89" s="370" t="s">
        <v>508</v>
      </c>
      <c r="C89" s="370"/>
      <c r="D89" s="370"/>
      <c r="E89" s="370"/>
      <c r="F89" s="370"/>
    </row>
    <row r="90" spans="1:6" x14ac:dyDescent="0.15">
      <c r="B90" s="370" t="s">
        <v>509</v>
      </c>
      <c r="C90" s="370"/>
      <c r="D90" s="370"/>
      <c r="E90" s="370"/>
      <c r="F90" s="370"/>
    </row>
    <row r="92" spans="1:6" x14ac:dyDescent="0.15">
      <c r="B92" s="47" t="s">
        <v>247</v>
      </c>
      <c r="C92" s="236">
        <v>0</v>
      </c>
    </row>
    <row r="93" spans="1:6" x14ac:dyDescent="0.15">
      <c r="B93" s="47" t="s">
        <v>275</v>
      </c>
      <c r="C93" s="223">
        <f>DCF!C6*scaling_factor*Exchange_Rate/Common_Shares</f>
        <v>1.8010389069461827</v>
      </c>
      <c r="D93" s="1" t="str">
        <f>Market_currency</f>
        <v>HKD</v>
      </c>
    </row>
    <row r="95" spans="1:6" ht="16" x14ac:dyDescent="0.25">
      <c r="A95" s="222" t="s">
        <v>510</v>
      </c>
      <c r="B95" s="36"/>
      <c r="C95" s="36"/>
      <c r="D95" s="36"/>
      <c r="E95" s="36"/>
      <c r="F95" s="36"/>
    </row>
    <row r="96" spans="1:6" x14ac:dyDescent="0.15">
      <c r="A96" s="209"/>
    </row>
    <row r="97" spans="2:6" x14ac:dyDescent="0.15">
      <c r="B97" s="370" t="s">
        <v>511</v>
      </c>
      <c r="C97" s="370"/>
      <c r="D97" s="370"/>
      <c r="E97" s="370"/>
      <c r="F97" s="370"/>
    </row>
    <row r="98" spans="2:6" x14ac:dyDescent="0.15">
      <c r="B98" s="1" t="s">
        <v>249</v>
      </c>
    </row>
    <row r="100" spans="2:6" x14ac:dyDescent="0.15">
      <c r="B100" s="210" t="s">
        <v>494</v>
      </c>
    </row>
    <row r="101" spans="2:6" x14ac:dyDescent="0.15">
      <c r="B101" s="370" t="s">
        <v>512</v>
      </c>
      <c r="C101" s="370"/>
      <c r="D101" s="370"/>
      <c r="E101" s="370"/>
      <c r="F101" s="370"/>
    </row>
    <row r="102" spans="2:6" x14ac:dyDescent="0.15">
      <c r="B102" s="47" t="s">
        <v>251</v>
      </c>
      <c r="C102" s="349">
        <f>DCF!C7</f>
        <v>2119124</v>
      </c>
      <c r="D102" s="1" t="str">
        <f>Reporting_currency</f>
        <v>CNY</v>
      </c>
    </row>
    <row r="103" spans="2:6" x14ac:dyDescent="0.15">
      <c r="B103" s="47" t="s">
        <v>276</v>
      </c>
      <c r="C103" s="223">
        <f>C102*scaling_factor*Exchange_Rate/Common_Shares</f>
        <v>0.50292691824980473</v>
      </c>
      <c r="D103" s="1" t="str">
        <f>Market_currency</f>
        <v>HKD</v>
      </c>
    </row>
    <row r="104" spans="2:6" x14ac:dyDescent="0.15">
      <c r="B104" s="296" t="s">
        <v>384</v>
      </c>
      <c r="C104" s="325">
        <f>IF(BS!G31/BS!G27&gt;300%,"nm",BS!G31/BS!G27)</f>
        <v>0.10863424600069688</v>
      </c>
    </row>
    <row r="105" spans="2:6" x14ac:dyDescent="0.15">
      <c r="B105" s="296" t="s">
        <v>386</v>
      </c>
      <c r="C105" s="326">
        <f>IF(BS!C50&gt;30,"nm",BS!C50)</f>
        <v>2.2824569622635926</v>
      </c>
    </row>
    <row r="107" spans="2:6" x14ac:dyDescent="0.15">
      <c r="B107" s="1" t="s">
        <v>515</v>
      </c>
    </row>
    <row r="108" spans="2:6" x14ac:dyDescent="0.15">
      <c r="B108" s="47" t="s">
        <v>260</v>
      </c>
      <c r="C108" s="349">
        <f>BS!C66</f>
        <v>11691643</v>
      </c>
      <c r="D108" s="1" t="str">
        <f>Reporting_currency</f>
        <v>CNY</v>
      </c>
    </row>
    <row r="109" spans="2:6" x14ac:dyDescent="0.15">
      <c r="B109" s="47" t="s">
        <v>262</v>
      </c>
      <c r="C109" s="349">
        <f>DCF!C8</f>
        <v>7865303.2833807282</v>
      </c>
      <c r="D109" s="1" t="str">
        <f>Reporting_currency</f>
        <v>CNY</v>
      </c>
    </row>
    <row r="110" spans="2:6" x14ac:dyDescent="0.15">
      <c r="B110" s="47" t="s">
        <v>277</v>
      </c>
      <c r="C110" s="223">
        <f>C109*scaling_factor*Exchange_Rate/Common_Shares</f>
        <v>1.8666546843935232</v>
      </c>
      <c r="D110" s="1" t="str">
        <f>Market_currency</f>
        <v>HKD</v>
      </c>
    </row>
    <row r="112" spans="2:6" x14ac:dyDescent="0.15">
      <c r="B112" s="1" t="s">
        <v>516</v>
      </c>
    </row>
    <row r="113" spans="1:6" x14ac:dyDescent="0.15">
      <c r="B113" s="47" t="s">
        <v>253</v>
      </c>
      <c r="C113" s="349">
        <f>DCF!C9</f>
        <v>52579.6</v>
      </c>
      <c r="D113" s="1" t="str">
        <f>Reporting_currency</f>
        <v>CNY</v>
      </c>
    </row>
    <row r="114" spans="1:6" x14ac:dyDescent="0.15">
      <c r="B114" s="47" t="s">
        <v>278</v>
      </c>
      <c r="C114" s="223">
        <f>C113*scaling_factor*Exchange_Rate/Common_Shares</f>
        <v>1.2478597850247289E-2</v>
      </c>
      <c r="D114" s="1" t="str">
        <f>Market_currency</f>
        <v>HKD</v>
      </c>
    </row>
    <row r="116" spans="1:6" x14ac:dyDescent="0.15">
      <c r="B116" s="370" t="s">
        <v>517</v>
      </c>
      <c r="C116" s="370"/>
      <c r="D116" s="370"/>
      <c r="E116" s="370"/>
      <c r="F116" s="370"/>
    </row>
    <row r="118" spans="1:6" x14ac:dyDescent="0.15">
      <c r="B118" s="47" t="s">
        <v>518</v>
      </c>
      <c r="C118" s="223">
        <f>IF(valuation_method="DCF",DCF!C12,DDM!C7)</f>
        <v>3.1772452709401491</v>
      </c>
      <c r="D118" s="1" t="str">
        <f>Market_currency</f>
        <v>HKD</v>
      </c>
    </row>
    <row r="119" spans="1:6" x14ac:dyDescent="0.15">
      <c r="B119" s="296" t="s">
        <v>551</v>
      </c>
      <c r="C119" s="223">
        <f>BS!D47</f>
        <v>1.8483389078254717</v>
      </c>
      <c r="D119" s="1" t="str">
        <f>Market_currency</f>
        <v>HKD</v>
      </c>
    </row>
    <row r="121" spans="1:6" ht="16" x14ac:dyDescent="0.25">
      <c r="A121" s="222" t="s">
        <v>519</v>
      </c>
      <c r="B121" s="36"/>
      <c r="C121" s="36"/>
      <c r="D121" s="36"/>
      <c r="E121" s="36"/>
      <c r="F121" s="36"/>
    </row>
    <row r="123" spans="1:6" x14ac:dyDescent="0.15">
      <c r="B123" s="371" t="s">
        <v>520</v>
      </c>
      <c r="C123" s="371"/>
      <c r="D123" s="371"/>
      <c r="E123" s="371"/>
      <c r="F123" s="371"/>
    </row>
    <row r="125" spans="1:6" ht="14" x14ac:dyDescent="0.2">
      <c r="B125" s="233" t="s">
        <v>521</v>
      </c>
      <c r="C125" s="233" t="s">
        <v>522</v>
      </c>
      <c r="D125" s="233" t="s">
        <v>108</v>
      </c>
      <c r="E125" s="233" t="s">
        <v>523</v>
      </c>
      <c r="F125" s="233" t="s">
        <v>524</v>
      </c>
    </row>
    <row r="126" spans="1:6" x14ac:dyDescent="0.15">
      <c r="B126" s="228" t="str">
        <f>DCF!B74</f>
        <v>Snowball Scenario</v>
      </c>
      <c r="C126" s="229">
        <f>DCF!C74</f>
        <v>0.05</v>
      </c>
      <c r="D126" s="230">
        <f>DCF!D74</f>
        <v>15</v>
      </c>
      <c r="E126" s="231" t="str">
        <f>ROUND(IF(valuation_method="DCF",DCF!E74,DDM!E69),2)&amp;" "&amp;Market_currency</f>
        <v>3.7 HKD</v>
      </c>
      <c r="F126" s="232">
        <f>DCF!F74</f>
        <v>0.05</v>
      </c>
    </row>
    <row r="127" spans="1:6" x14ac:dyDescent="0.15">
      <c r="B127" s="218" t="str">
        <f>DCF!B75</f>
        <v>Optimistic</v>
      </c>
      <c r="C127" s="219">
        <f>DCF!C75</f>
        <v>0.03</v>
      </c>
      <c r="D127" s="220">
        <f>DCF!D75</f>
        <v>10</v>
      </c>
      <c r="E127" s="231" t="str">
        <f>ROUND(IF(valuation_method="DCF",DCF!E75,DDM!E70),2)&amp;" "&amp;Market_currency</f>
        <v>3.35 HKD</v>
      </c>
      <c r="F127" s="221">
        <f>DCF!F75</f>
        <v>0.18</v>
      </c>
    </row>
    <row r="128" spans="1:6" x14ac:dyDescent="0.15">
      <c r="B128" s="218" t="str">
        <f>DCF!B76</f>
        <v>Base</v>
      </c>
      <c r="C128" s="219">
        <f>DCF!C76</f>
        <v>0.02</v>
      </c>
      <c r="D128" s="220">
        <f>DCF!D76</f>
        <v>10</v>
      </c>
      <c r="E128" s="231" t="str">
        <f>ROUND(IF(valuation_method="DCF",DCF!E76,DDM!E71),2)&amp;" "&amp;Market_currency</f>
        <v>3.29 HKD</v>
      </c>
      <c r="F128" s="221">
        <f>DCF!F76</f>
        <v>0.53999999999999992</v>
      </c>
    </row>
    <row r="129" spans="1:6" x14ac:dyDescent="0.15">
      <c r="B129" s="218" t="str">
        <f>DCF!B77</f>
        <v>Pessimistic</v>
      </c>
      <c r="C129" s="219">
        <f>DCF!C77</f>
        <v>0</v>
      </c>
      <c r="D129" s="220">
        <f>DCF!D77</f>
        <v>10</v>
      </c>
      <c r="E129" s="231" t="str">
        <f>ROUND(IF(valuation_method="DCF",DCF!E77,DDM!E72),2)&amp;" "&amp;Market_currency</f>
        <v>3.18 HKD</v>
      </c>
      <c r="F129" s="221">
        <f>DCF!F77</f>
        <v>0.18</v>
      </c>
    </row>
    <row r="130" spans="1:6" x14ac:dyDescent="0.15">
      <c r="B130" s="218" t="str">
        <f>DCF!B78</f>
        <v>Devil's advocate</v>
      </c>
      <c r="C130" s="219">
        <f>DCF!C78</f>
        <v>-0.02</v>
      </c>
      <c r="D130" s="220">
        <f>DCF!D78</f>
        <v>15</v>
      </c>
      <c r="E130" s="231" t="str">
        <f>ROUND(IF(valuation_method="DCF",DCF!E78,DDM!E73),2)&amp;" "&amp;Market_currency</f>
        <v>3.02 HKD</v>
      </c>
      <c r="F130" s="221">
        <f>DCF!F78</f>
        <v>0.05</v>
      </c>
    </row>
    <row r="132" spans="1:6" x14ac:dyDescent="0.15">
      <c r="B132" s="211" t="s">
        <v>254</v>
      </c>
      <c r="C132" s="217">
        <f>Scenarios!C60</f>
        <v>3.2884477434155519</v>
      </c>
      <c r="D132" s="212" t="str">
        <f>Market_currency</f>
        <v>HKD</v>
      </c>
    </row>
    <row r="134" spans="1:6" x14ac:dyDescent="0.15">
      <c r="B134" s="375" t="s">
        <v>525</v>
      </c>
      <c r="C134" s="375"/>
      <c r="D134" s="375"/>
      <c r="E134" s="375"/>
      <c r="F134" s="375"/>
    </row>
    <row r="136" spans="1:6" ht="16" x14ac:dyDescent="0.25">
      <c r="A136" s="222" t="s">
        <v>526</v>
      </c>
      <c r="B136" s="36"/>
      <c r="C136" s="36"/>
      <c r="D136" s="36"/>
      <c r="E136" s="36"/>
      <c r="F136" s="36"/>
    </row>
    <row r="138" spans="1:6" x14ac:dyDescent="0.15">
      <c r="B138" s="373" t="s">
        <v>527</v>
      </c>
      <c r="C138" s="373"/>
      <c r="D138" s="373"/>
      <c r="E138" s="373"/>
      <c r="F138" s="373"/>
    </row>
    <row r="139" spans="1:6" ht="24.5" customHeight="1" x14ac:dyDescent="0.15">
      <c r="B139" s="370" t="s">
        <v>528</v>
      </c>
      <c r="C139" s="370"/>
      <c r="D139" s="370"/>
      <c r="E139" s="370"/>
      <c r="F139" s="370"/>
    </row>
    <row r="140" spans="1:6" x14ac:dyDescent="0.15">
      <c r="B140" s="210" t="s">
        <v>494</v>
      </c>
    </row>
    <row r="141" spans="1:6" x14ac:dyDescent="0.15">
      <c r="B141" s="1" t="s">
        <v>529</v>
      </c>
      <c r="C141" s="225">
        <f>F28</f>
        <v>3</v>
      </c>
    </row>
    <row r="142" spans="1:6" x14ac:dyDescent="0.15">
      <c r="B142" s="1" t="s">
        <v>530</v>
      </c>
      <c r="C142" s="224">
        <f>F29</f>
        <v>0.35</v>
      </c>
    </row>
    <row r="143" spans="1:6" x14ac:dyDescent="0.15">
      <c r="B143" s="212" t="s">
        <v>531</v>
      </c>
      <c r="C143" s="213">
        <f>Scenarios!C77</f>
        <v>9.0000000000000011E-2</v>
      </c>
      <c r="D143" s="212" t="str">
        <f>Market_currency</f>
        <v>HKD</v>
      </c>
    </row>
    <row r="145" spans="2:4" x14ac:dyDescent="0.15">
      <c r="B145" s="210" t="s">
        <v>532</v>
      </c>
      <c r="C145" s="241" t="str">
        <f>C11</f>
        <v>3983.HK</v>
      </c>
      <c r="D145" s="241" t="str">
        <f>IF(D11="","",D11)</f>
        <v/>
      </c>
    </row>
    <row r="146" spans="2:4" x14ac:dyDescent="0.15">
      <c r="B146" s="1" t="s">
        <v>387</v>
      </c>
      <c r="C146" s="297">
        <f>F29</f>
        <v>0.35</v>
      </c>
    </row>
    <row r="147" spans="2:4" x14ac:dyDescent="0.15">
      <c r="B147" s="212" t="str">
        <f>"PV("&amp;C141&amp;" yrs of Dividends)"</f>
        <v>PV(3 yrs of Dividends)</v>
      </c>
      <c r="C147" s="216">
        <f>Scenarios!C81</f>
        <v>0.15262917238225884</v>
      </c>
    </row>
    <row r="148" spans="2:4" x14ac:dyDescent="0.15">
      <c r="B148" s="212" t="str">
        <f>"+ PV(Equity Value realized at year "&amp;C141&amp;")"</f>
        <v>+ PV(Equity Value realized at year 3)</v>
      </c>
      <c r="C148" s="216">
        <f>Scenarios!C82</f>
        <v>1.336563630916243</v>
      </c>
    </row>
    <row r="149" spans="2:4" x14ac:dyDescent="0.15">
      <c r="B149" s="80" t="s">
        <v>256</v>
      </c>
      <c r="C149" s="215">
        <f>Scenarios!C83</f>
        <v>1.4891928032985018</v>
      </c>
      <c r="D149" s="300" t="str">
        <f>IF($D$11="","",C149*$E$25)</f>
        <v/>
      </c>
    </row>
    <row r="150" spans="2:4" x14ac:dyDescent="0.15">
      <c r="B150" s="259" t="s">
        <v>533</v>
      </c>
      <c r="C150" s="298" t="str">
        <f>Market_currency</f>
        <v>HKD</v>
      </c>
      <c r="D150" s="298" t="str">
        <f>IF($D$11="","",D$13)</f>
        <v/>
      </c>
    </row>
    <row r="151" spans="2:4" x14ac:dyDescent="0.15">
      <c r="B151" s="214" t="s">
        <v>534</v>
      </c>
      <c r="C151" s="92">
        <f>Scenarios!F83</f>
        <v>0.54714414839636494</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0.17568</v>
      </c>
    </row>
    <row r="156" spans="2:4" x14ac:dyDescent="0.15">
      <c r="B156" s="212" t="str">
        <f>"+ PV(Equity Value realized at year "&amp;C141&amp;")"</f>
        <v>+ PV(Equity Value realized at year 3)</v>
      </c>
      <c r="C156" s="216">
        <f>Scenarios!C92</f>
        <v>1.6836852446287627</v>
      </c>
    </row>
    <row r="157" spans="2:4" x14ac:dyDescent="0.15">
      <c r="B157" s="80" t="s">
        <v>256</v>
      </c>
      <c r="C157" s="215">
        <f>Scenarios!C93</f>
        <v>1.8593652446287627</v>
      </c>
      <c r="D157" s="300" t="str">
        <f>IF($D$11="","",C157*$E$25)</f>
        <v/>
      </c>
    </row>
    <row r="158" spans="2:4" x14ac:dyDescent="0.15">
      <c r="B158" s="259" t="s">
        <v>533</v>
      </c>
      <c r="C158" s="298" t="str">
        <f>Market_currency</f>
        <v>HKD</v>
      </c>
      <c r="D158" s="298" t="str">
        <f>IF($D$11="","",D$13)</f>
        <v/>
      </c>
    </row>
    <row r="159" spans="2:4" x14ac:dyDescent="0.15">
      <c r="B159" s="214" t="s">
        <v>534</v>
      </c>
      <c r="C159" s="92">
        <f>Scenarios!F93</f>
        <v>0.43457661799499059</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0.23404731658847641</v>
      </c>
    </row>
    <row r="164" spans="2:4" x14ac:dyDescent="0.15">
      <c r="B164" s="212" t="str">
        <f>"+ PV(Equity Value realized at year "&amp;C141&amp;")"</f>
        <v>+ PV(Equity Value realized at year 3)</v>
      </c>
      <c r="C164" s="216">
        <f>Scenarios!C98</f>
        <v>2.6470707683423518</v>
      </c>
    </row>
    <row r="165" spans="2:4" x14ac:dyDescent="0.15">
      <c r="B165" s="80" t="s">
        <v>382</v>
      </c>
      <c r="C165" s="215">
        <f>Scenarios!C99</f>
        <v>2.881118084930828</v>
      </c>
      <c r="D165" s="300" t="str">
        <f>IF($D$11="","",C165*$E$25)</f>
        <v/>
      </c>
    </row>
    <row r="166" spans="2:4" x14ac:dyDescent="0.15">
      <c r="B166" s="259" t="s">
        <v>533</v>
      </c>
      <c r="C166" s="298" t="str">
        <f>Market_currency</f>
        <v>HKD</v>
      </c>
      <c r="D166" s="298" t="str">
        <f>IF($D$11="","",D$13)</f>
        <v/>
      </c>
    </row>
    <row r="167" spans="2:4" x14ac:dyDescent="0.15">
      <c r="B167" s="214" t="s">
        <v>534</v>
      </c>
      <c r="C167" s="92">
        <f>Scenarios!F99</f>
        <v>0.12386684851547936</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0.21713428133447846</v>
      </c>
    </row>
    <row r="172" spans="2:4" x14ac:dyDescent="0.15">
      <c r="B172" s="212" t="str">
        <f>"+ PV(Equity Value realized at year "&amp;C141&amp;")"</f>
        <v>+ PV(Equity Value realized at year 3)</v>
      </c>
      <c r="C172" s="216">
        <f>Scenarios!C104</f>
        <v>2.3570290969791716</v>
      </c>
    </row>
    <row r="173" spans="2:4" x14ac:dyDescent="0.15">
      <c r="B173" s="80" t="s">
        <v>382</v>
      </c>
      <c r="C173" s="215">
        <f>Scenarios!C105</f>
        <v>2.5741633783136502</v>
      </c>
      <c r="D173" s="300" t="str">
        <f>IF($D$11="","",C173*$E$25)</f>
        <v/>
      </c>
    </row>
    <row r="174" spans="2:4" x14ac:dyDescent="0.15">
      <c r="B174" s="259" t="s">
        <v>533</v>
      </c>
      <c r="C174" s="298" t="str">
        <f>Market_currency</f>
        <v>HKD</v>
      </c>
      <c r="D174" s="298" t="str">
        <f>IF($D$11="","",D$13)</f>
        <v/>
      </c>
    </row>
    <row r="175" spans="2:4" x14ac:dyDescent="0.15">
      <c r="B175" s="214" t="s">
        <v>534</v>
      </c>
      <c r="C175" s="92">
        <f>Scenarios!F105</f>
        <v>0.21781509085400153</v>
      </c>
    </row>
    <row r="177" spans="1:6" ht="16" x14ac:dyDescent="0.25">
      <c r="A177" s="222" t="s">
        <v>357</v>
      </c>
      <c r="B177" s="36"/>
      <c r="C177" s="36"/>
      <c r="D177" s="36"/>
      <c r="E177" s="36"/>
      <c r="F177" s="36"/>
    </row>
    <row r="179" spans="1:6" x14ac:dyDescent="0.15">
      <c r="B179" s="377" t="s">
        <v>535</v>
      </c>
      <c r="C179" s="370"/>
      <c r="D179" s="370"/>
      <c r="E179" s="370"/>
      <c r="F179" s="370"/>
    </row>
    <row r="181" spans="1:6" x14ac:dyDescent="0.15">
      <c r="B181" s="210" t="s">
        <v>536</v>
      </c>
    </row>
    <row r="182" spans="1:6" x14ac:dyDescent="0.15">
      <c r="B182" s="374" t="s">
        <v>537</v>
      </c>
      <c r="C182" s="374"/>
      <c r="D182" s="374"/>
      <c r="E182" s="374"/>
      <c r="F182" s="374"/>
    </row>
    <row r="183" spans="1:6" x14ac:dyDescent="0.15">
      <c r="B183" s="214" t="s">
        <v>538</v>
      </c>
    </row>
    <row r="184" spans="1:6" x14ac:dyDescent="0.15">
      <c r="B184" s="214" t="s">
        <v>539</v>
      </c>
    </row>
    <row r="185" spans="1:6" x14ac:dyDescent="0.15">
      <c r="B185" s="214" t="s">
        <v>540</v>
      </c>
    </row>
    <row r="187" spans="1:6" x14ac:dyDescent="0.15">
      <c r="B187" s="1" t="s">
        <v>541</v>
      </c>
    </row>
    <row r="188" spans="1:6" ht="24.5" customHeight="1" x14ac:dyDescent="0.15">
      <c r="B188" s="371" t="s">
        <v>542</v>
      </c>
      <c r="C188" s="371"/>
      <c r="D188" s="371"/>
      <c r="E188" s="371"/>
      <c r="F188" s="371"/>
    </row>
    <row r="190" spans="1:6" x14ac:dyDescent="0.15">
      <c r="B190" s="1" t="s">
        <v>543</v>
      </c>
    </row>
    <row r="191" spans="1:6" x14ac:dyDescent="0.15">
      <c r="B191" s="376" t="s">
        <v>544</v>
      </c>
      <c r="C191" s="376"/>
      <c r="D191" s="376"/>
      <c r="E191" s="376"/>
      <c r="F191" s="376"/>
    </row>
    <row r="192" spans="1:6" x14ac:dyDescent="0.15">
      <c r="B192" s="376" t="s">
        <v>545</v>
      </c>
      <c r="C192" s="376"/>
      <c r="D192" s="376"/>
      <c r="E192" s="376"/>
      <c r="F192" s="376"/>
    </row>
    <row r="194" spans="2:2" x14ac:dyDescent="0.15">
      <c r="B194" s="1" t="s">
        <v>546</v>
      </c>
    </row>
    <row r="195" spans="2:2" x14ac:dyDescent="0.15">
      <c r="B195" s="214" t="s">
        <v>547</v>
      </c>
    </row>
    <row r="196" spans="2:2" x14ac:dyDescent="0.15">
      <c r="B196" s="214" t="s">
        <v>548</v>
      </c>
    </row>
    <row r="197" spans="2:2" x14ac:dyDescent="0.15">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73EE4-A9FC-4C5C-B2DC-5900E4B00A01}">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