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C835356-A6C4-463C-85A0-A9F8B68E9A8C}"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28" i="4" s="1"/>
  <c r="C9" i="3"/>
  <c r="C25" i="4"/>
  <c r="D25" i="4"/>
  <c r="E25" i="4"/>
  <c r="F25" i="4"/>
  <c r="G25" i="4"/>
  <c r="H25" i="4"/>
  <c r="I25" i="4"/>
  <c r="J25" i="4"/>
  <c r="K25" i="4"/>
  <c r="L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<sst xmlns="http://schemas.openxmlformats.org/spreadsheetml/2006/main" count="687" uniqueCount="467">
  <si>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</si>
  <si>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</si>
  <si>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</si>
  <si>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</si>
  <si>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</si>
  <si>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</si>
  <si>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</si>
  <si>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</si>
  <si>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</si>
  <si>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</si>
  <si>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</si>
  <si>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</si>
  <si>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</si>
  <si>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</si>
  <si>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</si>
  <si>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</si>
  <si>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</si>
  <si>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</si>
  <si>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</si>
  <si>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</si>
  <si>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</si>
  <si>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</si>
  <si>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</si>
  <si>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</si>
  <si>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</si>
  <si>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</si>
  <si>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</si>
  <si>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</si>
  <si>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</si>
  <si>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</si>
  <si>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</si>
  <si>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</si>
  <si>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</si>
  <si>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</si>
  <si>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</si>
  <si>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</si>
  <si>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</si>
  <si>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</si>
  <si>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</si>
  <si>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</si>
  <si>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</si>
  <si>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</si>
  <si>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</si>
  <si>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</si>
  <si>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</si>
  <si>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</si>
  <si>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</si>
  <si>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</si>
  <si>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</si>
  <si>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</si>
  <si>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</si>
  <si>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</si>
  <si>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</si>
  <si>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</si>
  <si>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</si>
  <si>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</si>
  <si>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</si>
  <si>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</si>
  <si>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</si>
  <si>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</si>
  <si>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</si>
  <si>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</si>
  <si>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</si>
  <si>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</si>
  <si>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</si>
  <si>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</si>
  <si>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</si>
  <si>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</si>
  <si>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</si>
  <si>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</si>
  <si>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</si>
  <si>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</si>
  <si>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</si>
  <si>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</si>
  <si>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</si>
  <si>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</si>
  <si>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</si>
  <si>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</si>
  <si>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</si>
  <si>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</si>
  <si>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</si>
  <si>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</si>
  <si>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</si>
  <si>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</si>
  <si>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</si>
  <si>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</si>
  <si>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</si>
  <si>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</si>
  <si>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</si>
  <si>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</si>
  <si>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</si>
  <si>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</si>
  <si>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</si>
  <si>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</si>
  <si>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</si>
  <si>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</si>
  <si>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</si>
  <si>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</si>
  <si>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</si>
  <si>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</si>
  <si>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</si>
  <si>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</si>
  <si>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</si>
  <si>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</si>
  <si>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</si>
  <si>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</si>
  <si>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</si>
  <si>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</si>
  <si>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</si>
  <si>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</si>
  <si>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</si>
  <si>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</si>
  <si>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</si>
  <si>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</si>
  <si>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</si>
  <si>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</si>
  <si>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</si>
  <si>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</si>
  <si>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</si>
  <si>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</si>
  <si>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</si>
  <si>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</si>
  <si>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</si>
  <si>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</si>
  <si>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</si>
  <si>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</si>
  <si>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</si>
  <si>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</si>
  <si>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</si>
  <si>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</si>
  <si>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</si>
  <si>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</si>
  <si>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</si>
  <si>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</si>
  <si>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</si>
  <si>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</si>
  <si>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</si>
  <si>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</si>
  <si>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</si>
  <si>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</si>
  <si>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</si>
  <si>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</si>
  <si>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</si>
  <si>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</si>
  <si>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</si>
  <si>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</si>
  <si>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</si>
  <si>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</si>
  <si>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</si>
  <si>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</si>
  <si>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</si>
  <si>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</si>
  <si>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</si>
  <si>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</si>
  <si>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</si>
  <si>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</si>
  <si>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</si>
  <si>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</si>
  <si>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</si>
  <si>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</si>
  <si>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</si>
  <si>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</si>
  <si>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</si>
  <si>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</si>
  <si>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</si>
  <si>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</si>
  <si>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</si>
  <si>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</si>
  <si>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</si>
  <si>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</si>
  <si>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</si>
  <si>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</si>
  <si>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</si>
  <si>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</si>
  <si>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</si>
  <si>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</si>
  <si>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</si>
  <si>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</si>
  <si>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</si>
  <si>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</si>
  <si>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</si>
  <si>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</si>
  <si>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</si>
  <si>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</si>
  <si>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</si>
  <si>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</si>
  <si>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</si>
  <si>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</si>
  <si>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</si>
  <si>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</si>
  <si>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</si>
  <si>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</si>
  <si>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</si>
  <si>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</si>
  <si>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</si>
  <si>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</si>
  <si>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</si>
  <si>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</si>
  <si>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</si>
  <si>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</si>
  <si>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</si>
  <si>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</si>
  <si>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</si>
  <si>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</si>
  <si>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</si>
  <si>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</si>
  <si>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</si>
  <si>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</si>
  <si>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</si>
  <si>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</si>
  <si>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</si>
  <si>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</si>
  <si>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</si>
  <si>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</si>
  <si>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</si>
  <si>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</si>
  <si>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</si>
  <si>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</si>
  <si>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</si>
  <si>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</si>
  <si>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</si>
  <si>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</si>
  <si>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</si>
  <si>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</si>
  <si>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</si>
  <si>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</si>
  <si>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</si>
  <si>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</si>
  <si>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</si>
  <si>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</si>
  <si>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</si>
  <si>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</si>
  <si>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</si>
  <si>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</si>
  <si>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</si>
  <si>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</si>
  <si>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</si>
  <si>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</si>
  <si>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</si>
  <si>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</si>
  <si>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</si>
  <si>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</si>
  <si>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</si>
  <si>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</si>
  <si>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</si>
  <si>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</si>
  <si>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</si>
  <si>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</si>
  <si>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</si>
  <si>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</si>
  <si>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</si>
  <si>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</si>
  <si>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</si>
  <si>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</si>
  <si>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</si>
  <si>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</si>
  <si>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</si>
  <si>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</si>
  <si>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</si>
  <si>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</si>
  <si>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</si>
  <si>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</si>
  <si>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</si>
  <si>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</si>
  <si>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</si>
  <si>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</si>
  <si>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</si>
  <si>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</si>
  <si>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</si>
  <si>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</si>
  <si>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</si>
  <si>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</si>
  <si>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</si>
  <si>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</si>
  <si>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</si>
  <si>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</si>
  <si>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</si>
  <si>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</si>
  <si>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</si>
  <si>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</si>
  <si>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</si>
  <si>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</si>
  <si>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</si>
  <si>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</si>
  <si>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</si>
  <si>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</si>
  <si>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</si>
  <si>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</si>
  <si>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</si>
  <si>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</si>
  <si>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</si>
  <si>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</si>
  <si>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</si>
  <si>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</si>
  <si>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</si>
  <si>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</si>
  <si>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</si>
  <si>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</si>
  <si>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</si>
  <si>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</si>
  <si>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</si>
  <si>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</si>
  <si>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</si>
  <si>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</si>
  <si>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</si>
  <si>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</si>
  <si>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</si>
  <si>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</si>
  <si>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</si>
  <si>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</si>
  <si>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</si>
  <si>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</si>
  <si>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</si>
  <si>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</si>
  <si>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</si>
  <si>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</si>
  <si>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</si>
  <si>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</si>
  <si>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</si>
  <si>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</si>
  <si>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</si>
  <si>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</si>
  <si>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</si>
  <si>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</si>
  <si>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</si>
  <si>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</si>
  <si>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</si>
  <si>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</si>
  <si>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</si>
  <si>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</si>
  <si>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</si>
  <si>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</si>
  <si>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</si>
  <si>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</si>
  <si>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</si>
  <si>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</si>
  <si>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</si>
  <si>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</si>
  <si>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</si>
  <si>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</si>
  <si>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</si>
  <si>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</si>
  <si>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</si>
  <si>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</si>
  <si>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</si>
  <si>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</si>
  <si>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</si>
  <si>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</si>
  <si>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</si>
  <si>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</si>
  <si>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</si>
  <si>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</si>
  <si>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</si>
  <si>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</si>
  <si>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</si>
  <si>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</si>
  <si>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</si>
  <si>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</si>
  <si>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</si>
  <si>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</si>
  <si>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</si>
  <si>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</si>
  <si>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</si>
  <si>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</si>
  <si>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</si>
  <si>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</si>
  <si>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</si>
  <si>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</si>
  <si>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</si>
  <si>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</si>
  <si>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</si>
  <si>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</si>
  <si>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</si>
  <si>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</si>
  <si>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</si>
  <si>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</si>
  <si>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</si>
  <si>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</si>
  <si>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</si>
  <si>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</si>
  <si>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</si>
  <si>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</si>
  <si>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</si>
  <si>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</si>
  <si>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</si>
  <si>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</si>
  <si>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</si>
  <si>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</si>
  <si>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</si>
  <si>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</si>
  <si>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</si>
  <si>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</si>
  <si>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</si>
  <si>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</si>
  <si>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</si>
  <si>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</si>
  <si>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</si>
  <si>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</si>
  <si>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</si>
  <si>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</si>
  <si>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</si>
  <si>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</si>
  <si>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</si>
  <si>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</si>
  <si>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</si>
  <si>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</si>
  <si>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</si>
  <si>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</si>
  <si>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</si>
  <si>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</si>
  <si>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</si>
  <si>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</si>
  <si>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</si>
  <si>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</si>
  <si>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</si>
  <si>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</si>
  <si>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</si>
  <si>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</si>
  <si>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</si>
  <si>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</si>
  <si>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</si>
  <si>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</si>
  <si>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</si>
  <si>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</si>
  <si>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</si>
  <si>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</si>
  <si>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</si>
  <si>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</si>
  <si>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</si>
  <si>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</si>
  <si>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</si>
  <si>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</si>
  <si>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</si>
  <si>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</si>
  <si>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</si>
  <si>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</si>
  <si>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</si>
  <si>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</si>
  <si>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</si>
  <si>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</si>
  <si>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</si>
  <si>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</si>
  <si>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</si>
  <si>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</si>
  <si>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</si>
  <si>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</si>
  <si>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</si>
  <si>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</si>
  <si>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</si>
  <si>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</si>
  <si>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</si>
  <si>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</si>
  <si>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</si>
  <si>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</si>
  <si>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</si>
  <si>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</si>
  <si>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</si>
  <si>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</si>
  <si>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</si>
  <si>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中海石油化学</t>
  </si>
  <si>
    <t>3983.HK</t>
  </si>
  <si>
    <t/>
  </si>
  <si>
    <t>ENG_02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</si>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</sst>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2775738-9CCC-458F-8AD5-2B8012B569A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983.HK_Valuation_backup.xlsx" TargetMode="External"/><Relationship Id="rId1" Type="http://schemas.openxmlformats.org/officeDocument/2006/relationships/externalLinkPath" Target="39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4610000000</v>
          </cell>
        </row>
        <row r="12">
          <cell r="C12">
            <v>2.1</v>
          </cell>
        </row>
        <row r="13">
          <cell r="C13" t="str">
            <v>HKD</v>
          </cell>
        </row>
        <row r="16">
          <cell r="C16">
            <v>1.09426212</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4610000000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2.08</v>
      </c>
      <c r="D12" s="50"/>
      <c r="E12" s="48"/>
    </row>
    <row r="13" spans="1:10">
      <c r="B13" s="1" t="s">
        <v>413</v>
      </c>
      <c r="C13" s="48" t="s">
        <v>393</v>
      </c>
      <c r="D13" s="48"/>
      <c r="E13" s="5"/>
    </row>
    <row r="14" spans="1:10">
      <c r="B14" s="4" t="s">
        <v>417</v>
      </c>
      <c r="C14" s="35">
        <f>Thesis!C12*Common_Shares/1000000</f>
        <v>9588.7999999999993</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1.0942760599999999</v>
      </c>
      <c r="D16" s="50"/>
      <c r="E16" s="5"/>
    </row>
    <row r="17" spans="2:6">
      <c r="D17" s="5"/>
      <c r="E17" s="5"/>
    </row>
    <row r="18" spans="2:6" ht="24.6" customHeight="1">
      <c r="B18" s="361" t="s">
        <v>356</v>
      </c>
      <c r="C18" s="361"/>
      <c r="D18" s="361"/>
      <c r="E18" s="361"/>
      <c r="F18" s="361"/>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464</v>
      </c>
    </row>
    <row r="22" spans="2:6">
      <c r="B22" s="2" t="s">
        <v>56</v>
      </c>
      <c r="C22" s="48" t="s">
        <v>462</v>
      </c>
      <c r="D22" s="1" t="str">
        <f>IF(valuation_method="DDM","DDM Terminal Value","")</f>
        <v/>
      </c>
      <c r="E22" s="313"/>
    </row>
    <row r="23" spans="2:6">
      <c r="B23" s="1" t="s">
        <v>431</v>
      </c>
      <c r="C23" s="262" t="s">
        <v>463</v>
      </c>
    </row>
    <row r="24" spans="2:6">
      <c r="B24" s="1" t="s">
        <v>432</v>
      </c>
      <c r="C24" s="262" t="s">
        <v>463</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3.2890343302589971</v>
      </c>
      <c r="D26" s="1" t="s">
        <v>396</v>
      </c>
      <c r="E26" s="301">
        <f ca="1">Scenarios!C87</f>
        <v>0.20257445758646853</v>
      </c>
    </row>
    <row r="27" spans="2:6">
      <c r="D27" s="5"/>
      <c r="E27" s="5"/>
    </row>
    <row r="28" spans="2:6">
      <c r="B28" s="45" t="s">
        <v>430</v>
      </c>
      <c r="C28" s="309" t="str">
        <f>C145&amp;" ("&amp;Market_currency&amp;")"</f>
        <v>3983.HK (HKD)</v>
      </c>
      <c r="D28" s="309" t="str">
        <f>IF(D11="","",D145&amp;" ("&amp;D13&amp;")")</f>
        <v/>
      </c>
      <c r="E28" s="305" t="s">
        <v>426</v>
      </c>
      <c r="F28" s="303">
        <v>3</v>
      </c>
    </row>
    <row r="29" spans="2:6">
      <c r="B29" s="1" t="s">
        <v>422</v>
      </c>
      <c r="C29" s="310">
        <f>C149</f>
        <v>1.4894312168913262</v>
      </c>
      <c r="D29" s="310" t="str">
        <f>D149</f>
        <v/>
      </c>
      <c r="E29" s="306" t="s">
        <v>421</v>
      </c>
      <c r="F29" s="302">
        <v>0.35</v>
      </c>
    </row>
    <row r="30" spans="2:6">
      <c r="B30" s="1" t="s">
        <v>423</v>
      </c>
      <c r="C30" s="311">
        <f>C157</f>
        <v>1.8596655770926065</v>
      </c>
      <c r="D30" s="311" t="str">
        <f>D157</f>
        <v/>
      </c>
      <c r="E30" s="307" t="s">
        <v>434</v>
      </c>
      <c r="F30" s="312">
        <v>0.25</v>
      </c>
    </row>
    <row r="31" spans="2:6">
      <c r="B31" s="1" t="s">
        <v>424</v>
      </c>
      <c r="C31" s="311">
        <f>C165</f>
        <v>2.8815902642103941</v>
      </c>
      <c r="D31" s="311" t="str">
        <f>D165</f>
        <v/>
      </c>
      <c r="E31" s="307" t="s">
        <v>433</v>
      </c>
      <c r="F31" s="312">
        <v>7.4999999999999997E-2</v>
      </c>
    </row>
    <row r="32" spans="2:6">
      <c r="B32" s="1" t="s">
        <v>425</v>
      </c>
      <c r="C32" s="311">
        <f>C173</f>
        <v>2.5745838205300955</v>
      </c>
      <c r="D32" s="311" t="str">
        <f>D173</f>
        <v/>
      </c>
      <c r="E32" s="307" t="s">
        <v>435</v>
      </c>
      <c r="F32" s="312">
        <v>0.1174</v>
      </c>
    </row>
    <row r="33" spans="1:6">
      <c r="D33" s="5"/>
      <c r="E33" s="5"/>
    </row>
    <row r="34" spans="1:6" ht="13.9">
      <c r="A34" s="222" t="s">
        <v>351</v>
      </c>
      <c r="B34" s="36"/>
      <c r="C34" s="36"/>
      <c r="D34" s="36"/>
      <c r="E34" s="36"/>
      <c r="F34" s="36"/>
    </row>
    <row r="36" spans="1:6" ht="24.6" customHeight="1">
      <c r="B36" s="361" t="s">
        <v>357</v>
      </c>
      <c r="C36" s="361"/>
      <c r="D36" s="361"/>
      <c r="E36" s="361"/>
      <c r="F36" s="361"/>
    </row>
    <row r="37" spans="1:6" ht="24.6" customHeight="1">
      <c r="B37" s="363" t="s">
        <v>336</v>
      </c>
      <c r="C37" s="363"/>
      <c r="D37" s="363"/>
      <c r="E37" s="363"/>
      <c r="F37" s="363"/>
    </row>
    <row r="39" spans="1:6">
      <c r="B39" s="210" t="s">
        <v>229</v>
      </c>
      <c r="C39" s="108">
        <f>scaling_factor</f>
        <v>1000</v>
      </c>
    </row>
    <row r="40" spans="1:6" ht="24.6" customHeight="1">
      <c r="B40" s="362" t="s">
        <v>230</v>
      </c>
      <c r="C40" s="362"/>
      <c r="D40" s="362"/>
      <c r="E40" s="362"/>
      <c r="F40" s="362"/>
    </row>
    <row r="41" spans="1:6">
      <c r="B41" s="47" t="s">
        <v>231</v>
      </c>
      <c r="C41" s="349">
        <f>Normalized_FCF!C8</f>
        <v>928439.85014218651</v>
      </c>
      <c r="D41" s="1" t="str">
        <f>Reporting_currency</f>
        <v>CNY</v>
      </c>
    </row>
    <row r="42" spans="1:6">
      <c r="B42" s="47"/>
      <c r="C42" s="76"/>
    </row>
    <row r="43" spans="1:6" ht="24.6" customHeight="1">
      <c r="B43" s="362" t="s">
        <v>232</v>
      </c>
      <c r="C43" s="362"/>
      <c r="D43" s="362"/>
      <c r="E43" s="362"/>
      <c r="F43" s="362"/>
    </row>
    <row r="44" spans="1:6">
      <c r="B44" s="47" t="s">
        <v>233</v>
      </c>
      <c r="C44" s="349">
        <f>Normalized_FCF!C9</f>
        <v>0</v>
      </c>
      <c r="D44" s="1" t="str">
        <f>Reporting_currency</f>
        <v>CNY</v>
      </c>
    </row>
    <row r="45" spans="1:6">
      <c r="B45" s="52" t="s">
        <v>234</v>
      </c>
      <c r="C45" s="349">
        <f>Normalized_FCF!C10</f>
        <v>0</v>
      </c>
      <c r="D45" s="1" t="str">
        <f>Reporting_currency</f>
        <v>CNY</v>
      </c>
    </row>
    <row r="47" spans="1:6">
      <c r="B47" s="362" t="s">
        <v>235</v>
      </c>
      <c r="C47" s="362"/>
      <c r="D47" s="362"/>
      <c r="E47" s="362"/>
      <c r="F47" s="362"/>
    </row>
    <row r="48" spans="1:6">
      <c r="B48" s="47" t="s">
        <v>236</v>
      </c>
      <c r="C48" s="349">
        <f>Normalized_FCF!C11</f>
        <v>0</v>
      </c>
      <c r="D48" s="1" t="str">
        <f>Reporting_currency</f>
        <v>CNY</v>
      </c>
    </row>
    <row r="50" spans="2:6">
      <c r="B50" s="362" t="s">
        <v>239</v>
      </c>
      <c r="C50" s="362"/>
      <c r="D50" s="362"/>
      <c r="E50" s="362"/>
      <c r="F50" s="362"/>
    </row>
    <row r="51" spans="2:6">
      <c r="B51" s="47" t="s">
        <v>337</v>
      </c>
      <c r="C51" s="350">
        <f>Normalized_FCF!C48</f>
        <v>57395.095749289067</v>
      </c>
      <c r="D51" s="1" t="str">
        <f>Reporting_currency</f>
        <v>CNY</v>
      </c>
      <c r="E51" s="286"/>
      <c r="F51" s="286"/>
    </row>
    <row r="52" spans="2:6">
      <c r="B52" s="47" t="s">
        <v>338</v>
      </c>
      <c r="C52" s="350">
        <f>Normalized_FCF!C47</f>
        <v>-52759</v>
      </c>
      <c r="D52" s="1" t="str">
        <f>Reporting_currency</f>
        <v>CNY</v>
      </c>
      <c r="E52" s="286"/>
      <c r="F52" s="286"/>
    </row>
    <row r="53" spans="2:6">
      <c r="B53" s="47" t="s">
        <v>237</v>
      </c>
      <c r="C53" s="349">
        <f>Normalized_FCF!C12</f>
        <v>4636.0957492890666</v>
      </c>
      <c r="D53" s="1" t="str">
        <f>Reporting_currency</f>
        <v>CNY</v>
      </c>
    </row>
    <row r="55" spans="2:6">
      <c r="B55" s="1" t="s">
        <v>245</v>
      </c>
    </row>
    <row r="56" spans="2:6">
      <c r="B56" s="47" t="s">
        <v>264</v>
      </c>
      <c r="C56" s="349">
        <f>Normalized_FCF!C15</f>
        <v>-130645.02443131036</v>
      </c>
      <c r="D56" s="1" t="str">
        <f>Reporting_currency</f>
        <v>CNY</v>
      </c>
    </row>
    <row r="58" spans="2:6">
      <c r="B58" s="362" t="s">
        <v>240</v>
      </c>
      <c r="C58" s="362"/>
      <c r="D58" s="362"/>
      <c r="E58" s="362"/>
      <c r="F58" s="362"/>
    </row>
    <row r="59" spans="2:6">
      <c r="B59" s="47" t="s">
        <v>238</v>
      </c>
      <c r="C59" s="349">
        <f>Normalized_FCF!C14</f>
        <v>-233268.98647286888</v>
      </c>
      <c r="D59" s="1" t="str">
        <f>Reporting_currency</f>
        <v>CNY</v>
      </c>
    </row>
    <row r="61" spans="2:6">
      <c r="B61" s="362" t="s">
        <v>335</v>
      </c>
      <c r="C61" s="365"/>
      <c r="D61" s="365"/>
      <c r="E61" s="365"/>
      <c r="F61" s="365"/>
    </row>
    <row r="62" spans="2:6">
      <c r="B62" s="47" t="s">
        <v>241</v>
      </c>
      <c r="C62" s="349">
        <f>Normalized_FCF!C17</f>
        <v>0</v>
      </c>
      <c r="D62" s="1" t="str">
        <f>Reporting_currency</f>
        <v>CNY</v>
      </c>
    </row>
    <row r="64" spans="2:6" ht="24.6" customHeight="1">
      <c r="B64" s="361" t="s">
        <v>340</v>
      </c>
      <c r="C64" s="361"/>
      <c r="D64" s="361"/>
      <c r="E64" s="361"/>
      <c r="F64" s="361"/>
    </row>
    <row r="65" spans="1:6" ht="24.6" customHeight="1">
      <c r="B65" s="361" t="s">
        <v>358</v>
      </c>
      <c r="C65" s="361"/>
      <c r="D65" s="361"/>
      <c r="E65" s="361"/>
      <c r="F65" s="361"/>
    </row>
    <row r="67" spans="1:6">
      <c r="B67" s="47" t="s">
        <v>269</v>
      </c>
      <c r="C67" s="349">
        <f>Normalized_FCF!G19</f>
        <v>632498.42340470827</v>
      </c>
      <c r="D67" s="1" t="str">
        <f>Reporting_currency</f>
        <v>CNY</v>
      </c>
    </row>
    <row r="68" spans="1:6">
      <c r="B68" s="47" t="s">
        <v>247</v>
      </c>
      <c r="C68" s="349">
        <f>Normalized_FCF!C19</f>
        <v>569161.93498729635</v>
      </c>
      <c r="D68" s="1" t="str">
        <f>Reporting_currency</f>
        <v>CNY</v>
      </c>
    </row>
    <row r="69" spans="1:6">
      <c r="B69" s="227" t="s">
        <v>387</v>
      </c>
      <c r="C69" s="92">
        <f>Normalized_FCF!C126</f>
        <v>6.4952890843471001E-2</v>
      </c>
      <c r="F69" s="314"/>
    </row>
    <row r="70" spans="1:6">
      <c r="B70" s="227" t="s">
        <v>455</v>
      </c>
      <c r="C70" s="92">
        <f>Normalized_FCF!C94</f>
        <v>4.3269230769230775E-2</v>
      </c>
      <c r="E70" s="47" t="s">
        <v>445</v>
      </c>
      <c r="F70" s="315">
        <f>Normalized_FCF!C92</f>
        <v>0.80996280963569622</v>
      </c>
    </row>
    <row r="72" spans="1:6">
      <c r="B72" s="210" t="s">
        <v>448</v>
      </c>
      <c r="C72" s="323" t="s">
        <v>450</v>
      </c>
      <c r="D72" s="323" t="s">
        <v>451</v>
      </c>
    </row>
    <row r="73" spans="1:6">
      <c r="B73" s="47" t="s">
        <v>449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352</v>
      </c>
      <c r="B78" s="36"/>
      <c r="C78" s="36"/>
      <c r="D78" s="36"/>
      <c r="E78" s="36"/>
      <c r="F78" s="36"/>
    </row>
    <row r="79" spans="1:6">
      <c r="A79" s="209"/>
    </row>
    <row r="80" spans="1:6" ht="24.6" customHeight="1">
      <c r="A80" s="17"/>
      <c r="B80" s="361" t="s">
        <v>359</v>
      </c>
      <c r="C80" s="361"/>
      <c r="D80" s="361"/>
      <c r="E80" s="361"/>
      <c r="F80" s="361"/>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1" t="s">
        <v>360</v>
      </c>
      <c r="C89" s="361"/>
      <c r="D89" s="361"/>
      <c r="E89" s="361"/>
      <c r="F89" s="361"/>
    </row>
    <row r="90" spans="1:6" ht="24.6" customHeight="1">
      <c r="B90" s="361" t="s">
        <v>361</v>
      </c>
      <c r="C90" s="361"/>
      <c r="D90" s="361"/>
      <c r="E90" s="361"/>
      <c r="F90" s="361"/>
    </row>
    <row r="92" spans="1:6">
      <c r="B92" s="47" t="s">
        <v>250</v>
      </c>
      <c r="C92" s="236">
        <v>0</v>
      </c>
    </row>
    <row r="93" spans="1:6">
      <c r="B93" s="47" t="s">
        <v>279</v>
      </c>
      <c r="C93" s="223">
        <f>DCF!C6*scaling_factor*Exchange_Rate/Common_Shares</f>
        <v>1.8013601727255957</v>
      </c>
      <c r="D93" s="1" t="str">
        <f>Market_currency</f>
        <v>HKD</v>
      </c>
    </row>
    <row r="95" spans="1:6" ht="13.9">
      <c r="A95" s="222" t="s">
        <v>354</v>
      </c>
      <c r="B95" s="36"/>
      <c r="C95" s="36"/>
      <c r="D95" s="36"/>
      <c r="E95" s="36"/>
      <c r="F95" s="36"/>
    </row>
    <row r="96" spans="1:6">
      <c r="A96" s="209"/>
    </row>
    <row r="97" spans="2:6">
      <c r="B97" s="361" t="s">
        <v>362</v>
      </c>
      <c r="C97" s="361"/>
      <c r="D97" s="361"/>
      <c r="E97" s="361"/>
      <c r="F97" s="361"/>
    </row>
    <row r="98" spans="2:6">
      <c r="B98" s="1" t="s">
        <v>252</v>
      </c>
    </row>
    <row r="100" spans="2:6">
      <c r="B100" s="210" t="s">
        <v>229</v>
      </c>
    </row>
    <row r="101" spans="2:6" ht="24.6" customHeight="1">
      <c r="B101" s="361" t="s">
        <v>341</v>
      </c>
      <c r="C101" s="361"/>
      <c r="D101" s="361"/>
      <c r="E101" s="361"/>
      <c r="F101" s="361"/>
    </row>
    <row r="102" spans="2:6">
      <c r="B102" s="47" t="s">
        <v>254</v>
      </c>
      <c r="C102" s="349">
        <f>DCF!C7</f>
        <v>2119124</v>
      </c>
      <c r="D102" s="1" t="str">
        <f>Reporting_currency</f>
        <v>CNY</v>
      </c>
    </row>
    <row r="103" spans="2:6">
      <c r="B103" s="47" t="s">
        <v>280</v>
      </c>
      <c r="C103" s="223">
        <f>C102*scaling_factor*Exchange_Rate/Common_Shares</f>
        <v>0.50301662936473757</v>
      </c>
      <c r="D103" s="1" t="str">
        <f>Market_currency</f>
        <v>HKD</v>
      </c>
    </row>
    <row r="104" spans="2:6">
      <c r="B104" s="296" t="s">
        <v>401</v>
      </c>
      <c r="C104" s="325">
        <f>IF(BS!G31/BS!G27&gt;300%,"nm",BS!G31/BS!G27)</f>
        <v>0.10863424600069688</v>
      </c>
    </row>
    <row r="105" spans="2:6">
      <c r="B105" s="296" t="s">
        <v>403</v>
      </c>
      <c r="C105" s="326">
        <f>IF(BS!C50&gt;30,"nm",BS!C50)</f>
        <v>2.2824569622635926</v>
      </c>
    </row>
    <row r="107" spans="2:6">
      <c r="B107" s="1" t="s">
        <v>253</v>
      </c>
    </row>
    <row r="108" spans="2:6">
      <c r="B108" s="47" t="s">
        <v>263</v>
      </c>
      <c r="C108" s="349">
        <f>BS!C66</f>
        <v>11691643</v>
      </c>
      <c r="D108" s="1" t="str">
        <f>Reporting_currency</f>
        <v>CNY</v>
      </c>
    </row>
    <row r="109" spans="2:6">
      <c r="B109" s="47" t="s">
        <v>265</v>
      </c>
      <c r="C109" s="349">
        <f>DCF!C8</f>
        <v>7865303.2833807282</v>
      </c>
      <c r="D109" s="1" t="str">
        <f>Reporting_currency</f>
        <v>CNY</v>
      </c>
    </row>
    <row r="110" spans="2:6">
      <c r="B110" s="47" t="s">
        <v>281</v>
      </c>
      <c r="C110" s="223">
        <f>C109*scaling_factor*Exchange_Rate/Common_Shares</f>
        <v>1.8669876545863178</v>
      </c>
      <c r="D110" s="1" t="str">
        <f>Market_currency</f>
        <v>HKD</v>
      </c>
    </row>
    <row r="112" spans="2:6">
      <c r="B112" s="1" t="s">
        <v>255</v>
      </c>
    </row>
    <row r="113" spans="1:6">
      <c r="B113" s="47" t="s">
        <v>256</v>
      </c>
      <c r="C113" s="349">
        <f>DCF!C9</f>
        <v>52579.6</v>
      </c>
      <c r="D113" s="1" t="str">
        <f>Reporting_currency</f>
        <v>CNY</v>
      </c>
    </row>
    <row r="114" spans="1:6">
      <c r="B114" s="47" t="s">
        <v>282</v>
      </c>
      <c r="C114" s="223">
        <f>C113*scaling_factor*Exchange_Rate/Common_Shares</f>
        <v>1.2480823757999132E-2</v>
      </c>
      <c r="D114" s="1" t="str">
        <f>Market_currency</f>
        <v>HKD</v>
      </c>
    </row>
    <row r="116" spans="1:6" ht="24.6" customHeight="1">
      <c r="B116" s="361" t="s">
        <v>363</v>
      </c>
      <c r="C116" s="361"/>
      <c r="D116" s="361"/>
      <c r="E116" s="361"/>
      <c r="F116" s="361"/>
    </row>
    <row r="118" spans="1:6">
      <c r="B118" s="47" t="s">
        <v>446</v>
      </c>
      <c r="C118" s="223">
        <f>IF(valuation_method="DCF",DCF!C12,DDM!C7)</f>
        <v>3.1778120217051757</v>
      </c>
      <c r="D118" s="1" t="str">
        <f>Market_currency</f>
        <v>HKD</v>
      </c>
    </row>
    <row r="119" spans="1:6">
      <c r="B119" s="296" t="s">
        <v>402</v>
      </c>
      <c r="C119" s="223">
        <f>BS!D47</f>
        <v>1.8486686108860506</v>
      </c>
      <c r="D119" s="1" t="str">
        <f>Market_currency</f>
        <v>HKD</v>
      </c>
    </row>
    <row r="121" spans="1:6" ht="13.9">
      <c r="A121" s="222" t="s">
        <v>355</v>
      </c>
      <c r="B121" s="36"/>
      <c r="C121" s="36"/>
      <c r="D121" s="36"/>
      <c r="E121" s="36"/>
      <c r="F121" s="36"/>
    </row>
    <row r="123" spans="1:6" ht="24.6" customHeight="1">
      <c r="B123" s="362" t="s">
        <v>364</v>
      </c>
      <c r="C123" s="362"/>
      <c r="D123" s="362"/>
      <c r="E123" s="362"/>
      <c r="F123" s="362"/>
    </row>
    <row r="125" spans="1:6" ht="12.4">
      <c r="B125" s="233" t="s">
        <v>116</v>
      </c>
      <c r="C125" s="233" t="s">
        <v>131</v>
      </c>
      <c r="D125" s="233" t="s">
        <v>111</v>
      </c>
      <c r="E125" s="233" t="s">
        <v>258</v>
      </c>
      <c r="F125" s="233" t="s">
        <v>146</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257</v>
      </c>
      <c r="C132" s="217">
        <f>Scenarios!C60</f>
        <v>3.2890343302589971</v>
      </c>
      <c r="D132" s="212" t="str">
        <f>Market_currency</f>
        <v>HKD</v>
      </c>
    </row>
    <row r="134" spans="1:6" ht="24.6" customHeight="1">
      <c r="B134" s="366" t="s">
        <v>367</v>
      </c>
      <c r="C134" s="366"/>
      <c r="D134" s="366"/>
      <c r="E134" s="366"/>
      <c r="F134" s="366"/>
    </row>
    <row r="136" spans="1:6" ht="13.9">
      <c r="A136" s="222" t="s">
        <v>399</v>
      </c>
      <c r="B136" s="36"/>
      <c r="C136" s="36"/>
      <c r="D136" s="36"/>
      <c r="E136" s="36"/>
      <c r="F136" s="36"/>
    </row>
    <row r="138" spans="1:6">
      <c r="B138" s="364" t="s">
        <v>365</v>
      </c>
      <c r="C138" s="364"/>
      <c r="D138" s="364"/>
      <c r="E138" s="364"/>
      <c r="F138" s="364"/>
    </row>
    <row r="139" spans="1:6" ht="24.6" customHeight="1">
      <c r="B139" s="361" t="s">
        <v>366</v>
      </c>
      <c r="C139" s="361"/>
      <c r="D139" s="361"/>
      <c r="E139" s="361"/>
      <c r="F139" s="361"/>
    </row>
    <row r="140" spans="1:6">
      <c r="B140" s="210" t="s">
        <v>229</v>
      </c>
    </row>
    <row r="141" spans="1:6">
      <c r="B141" s="1" t="s">
        <v>262</v>
      </c>
      <c r="C141" s="225">
        <f>F28</f>
        <v>3</v>
      </c>
    </row>
    <row r="142" spans="1:6">
      <c r="B142" s="1" t="s">
        <v>275</v>
      </c>
      <c r="C142" s="224">
        <f>F29</f>
        <v>0.35</v>
      </c>
    </row>
    <row r="143" spans="1:6">
      <c r="B143" s="212" t="s">
        <v>260</v>
      </c>
      <c r="C143" s="213">
        <f>Scenarios!C77</f>
        <v>9.0000000000000011E-2</v>
      </c>
      <c r="D143" s="212" t="str">
        <f>Market_currency</f>
        <v>HKD</v>
      </c>
    </row>
    <row r="145" spans="2:4">
      <c r="B145" s="210" t="s">
        <v>405</v>
      </c>
      <c r="C145" s="241" t="str">
        <f>C11</f>
        <v>3983.HK</v>
      </c>
      <c r="D145" s="241" t="str">
        <f>IF(D11="","",D11)</f>
        <v/>
      </c>
    </row>
    <row r="146" spans="2:4">
      <c r="B146" s="1" t="s">
        <v>404</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1.3368020445090674</v>
      </c>
    </row>
    <row r="149" spans="2:4">
      <c r="B149" s="80" t="s">
        <v>259</v>
      </c>
      <c r="C149" s="215">
        <f>Scenarios!C83</f>
        <v>1.4894312168913262</v>
      </c>
      <c r="D149" s="300" t="str">
        <f>IF($D$11="","",C149*$E$25)</f>
        <v/>
      </c>
    </row>
    <row r="150" spans="2:4">
      <c r="B150" s="259" t="s">
        <v>413</v>
      </c>
      <c r="C150" s="298" t="str">
        <f>Market_currency</f>
        <v>HKD</v>
      </c>
      <c r="D150" s="298" t="str">
        <f>IF($D$11="","",D$13)</f>
        <v/>
      </c>
    </row>
    <row r="151" spans="2:4">
      <c r="B151" s="214" t="s">
        <v>261</v>
      </c>
      <c r="C151" s="92">
        <f>Scenarios!F83</f>
        <v>0.54715242611224424</v>
      </c>
    </row>
    <row r="153" spans="2:4">
      <c r="B153" s="210" t="s">
        <v>408</v>
      </c>
    </row>
    <row r="154" spans="2:4">
      <c r="B154" s="1" t="s">
        <v>407</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1.6839855770926064</v>
      </c>
    </row>
    <row r="157" spans="2:4">
      <c r="B157" s="80" t="s">
        <v>259</v>
      </c>
      <c r="C157" s="215">
        <f>Scenarios!C93</f>
        <v>1.8596655770926065</v>
      </c>
      <c r="D157" s="300" t="str">
        <f>IF($D$11="","",C157*$E$25)</f>
        <v/>
      </c>
    </row>
    <row r="158" spans="2:4">
      <c r="B158" s="259" t="s">
        <v>413</v>
      </c>
      <c r="C158" s="298" t="str">
        <f>Market_currency</f>
        <v>HKD</v>
      </c>
      <c r="D158" s="298" t="str">
        <f>IF($D$11="","",D$13)</f>
        <v/>
      </c>
    </row>
    <row r="159" spans="2:4">
      <c r="B159" s="214" t="s">
        <v>261</v>
      </c>
      <c r="C159" s="92">
        <f>Scenarios!F93</f>
        <v>0.4345861458532827</v>
      </c>
    </row>
    <row r="161" spans="2:4">
      <c r="B161" s="210" t="s">
        <v>397</v>
      </c>
    </row>
    <row r="162" spans="2:4">
      <c r="B162" s="1" t="s">
        <v>406</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2.6475429476219179</v>
      </c>
    </row>
    <row r="165" spans="2:4">
      <c r="B165" s="80" t="s">
        <v>398</v>
      </c>
      <c r="C165" s="215">
        <f>Scenarios!C99</f>
        <v>2.8815902642103941</v>
      </c>
      <c r="D165" s="300" t="str">
        <f>IF($D$11="","",C165*$E$25)</f>
        <v/>
      </c>
    </row>
    <row r="166" spans="2:4">
      <c r="B166" s="259" t="s">
        <v>413</v>
      </c>
      <c r="C166" s="298" t="str">
        <f>Market_currency</f>
        <v>HKD</v>
      </c>
      <c r="D166" s="298" t="str">
        <f>IF($D$11="","",D$13)</f>
        <v/>
      </c>
    </row>
    <row r="167" spans="2:4">
      <c r="B167" s="214" t="s">
        <v>261</v>
      </c>
      <c r="C167" s="92">
        <f>Scenarios!F99</f>
        <v>0.1238795418765114</v>
      </c>
    </row>
    <row r="169" spans="2:4">
      <c r="B169" s="210" t="s">
        <v>429</v>
      </c>
    </row>
    <row r="170" spans="2:4">
      <c r="B170" s="1" t="s">
        <v>420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2.3574495391956169</v>
      </c>
    </row>
    <row r="173" spans="2:4">
      <c r="B173" s="80" t="s">
        <v>398</v>
      </c>
      <c r="C173" s="215">
        <f>Scenarios!C105</f>
        <v>2.5745838205300955</v>
      </c>
      <c r="D173" s="300" t="str">
        <f>IF($D$11="","",C173*$E$25)</f>
        <v/>
      </c>
    </row>
    <row r="174" spans="2:4">
      <c r="B174" s="259" t="s">
        <v>413</v>
      </c>
      <c r="C174" s="298" t="str">
        <f>Market_currency</f>
        <v>HKD</v>
      </c>
      <c r="D174" s="298" t="str">
        <f>IF($D$11="","",D$13)</f>
        <v/>
      </c>
    </row>
    <row r="175" spans="2:4">
      <c r="B175" s="214" t="s">
        <v>261</v>
      </c>
      <c r="C175" s="92">
        <f>Scenarios!F105</f>
        <v>0.21782685785071887</v>
      </c>
    </row>
    <row r="177" spans="1:6" ht="13.9">
      <c r="A177" s="222" t="s">
        <v>371</v>
      </c>
      <c r="B177" s="36"/>
      <c r="C177" s="36"/>
      <c r="D177" s="36"/>
      <c r="E177" s="36"/>
      <c r="F177" s="36"/>
    </row>
    <row r="179" spans="1:6">
      <c r="B179" s="368" t="s">
        <v>373</v>
      </c>
      <c r="C179" s="361"/>
      <c r="D179" s="361"/>
      <c r="E179" s="361"/>
      <c r="F179" s="361"/>
    </row>
    <row r="181" spans="1:6">
      <c r="B181" s="210" t="s">
        <v>372</v>
      </c>
    </row>
    <row r="182" spans="1:6">
      <c r="B182" s="365" t="s">
        <v>377</v>
      </c>
      <c r="C182" s="365"/>
      <c r="D182" s="365"/>
      <c r="E182" s="365"/>
      <c r="F182" s="365"/>
    </row>
    <row r="183" spans="1:6">
      <c r="B183" s="214" t="s">
        <v>374</v>
      </c>
    </row>
    <row r="184" spans="1:6">
      <c r="B184" s="214" t="s">
        <v>375</v>
      </c>
    </row>
    <row r="185" spans="1:6">
      <c r="B185" s="214" t="s">
        <v>376</v>
      </c>
    </row>
    <row r="187" spans="1:6">
      <c r="B187" s="1" t="s">
        <v>381</v>
      </c>
    </row>
    <row r="188" spans="1:6" ht="46.5" customHeight="1">
      <c r="B188" s="362" t="s">
        <v>378</v>
      </c>
      <c r="C188" s="362"/>
      <c r="D188" s="362"/>
      <c r="E188" s="362"/>
      <c r="F188" s="362"/>
    </row>
    <row r="190" spans="1:6">
      <c r="B190" s="1" t="s">
        <v>382</v>
      </c>
    </row>
    <row r="191" spans="1:6" ht="24.6" customHeight="1">
      <c r="B191" s="367" t="s">
        <v>379</v>
      </c>
      <c r="C191" s="367"/>
      <c r="D191" s="367"/>
      <c r="E191" s="367"/>
      <c r="F191" s="367"/>
    </row>
    <row r="192" spans="1:6" ht="24.6" customHeight="1">
      <c r="B192" s="367" t="s">
        <v>380</v>
      </c>
      <c r="C192" s="367"/>
      <c r="D192" s="367"/>
      <c r="E192" s="367"/>
      <c r="F192" s="367"/>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43</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54</v>
      </c>
      <c r="C6" s="351">
        <v>738313</v>
      </c>
      <c r="D6" s="351">
        <v>745298</v>
      </c>
      <c r="E6" s="351">
        <v>638514</v>
      </c>
      <c r="F6" s="351">
        <v>1023256</v>
      </c>
      <c r="G6" s="351">
        <v>847748</v>
      </c>
      <c r="H6" s="351">
        <v>907717</v>
      </c>
      <c r="I6" s="351">
        <v>732380</v>
      </c>
      <c r="J6" s="351">
        <v>852198</v>
      </c>
      <c r="K6" s="351">
        <v>806857</v>
      </c>
      <c r="L6" s="351">
        <v>842048</v>
      </c>
      <c r="M6" s="351"/>
    </row>
    <row r="7" spans="2:13">
      <c r="B7" s="69" t="s">
        <v>61</v>
      </c>
      <c r="C7" s="352">
        <v>91335</v>
      </c>
      <c r="D7" s="352">
        <v>114839</v>
      </c>
      <c r="E7" s="352">
        <v>113843</v>
      </c>
      <c r="F7" s="352">
        <v>118507</v>
      </c>
      <c r="G7" s="352">
        <v>441079</v>
      </c>
      <c r="H7" s="352">
        <v>440918</v>
      </c>
      <c r="I7" s="352">
        <v>418466</v>
      </c>
      <c r="J7" s="352">
        <v>385743</v>
      </c>
      <c r="K7" s="352">
        <v>344473</v>
      </c>
      <c r="L7" s="352">
        <v>409408</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52759</v>
      </c>
      <c r="D12" s="351">
        <v>34185</v>
      </c>
      <c r="E12" s="351">
        <v>29394</v>
      </c>
      <c r="F12" s="351">
        <v>50559</v>
      </c>
      <c r="G12" s="351">
        <v>0</v>
      </c>
      <c r="H12" s="351">
        <v>0</v>
      </c>
      <c r="I12" s="351">
        <v>0</v>
      </c>
      <c r="J12" s="351">
        <v>0</v>
      </c>
      <c r="K12" s="351">
        <v>0</v>
      </c>
      <c r="L12" s="351">
        <v>0</v>
      </c>
      <c r="M12" s="351"/>
    </row>
    <row r="13" spans="2:13">
      <c r="B13" s="40" t="s">
        <v>67</v>
      </c>
      <c r="C13" s="351">
        <v>351080</v>
      </c>
      <c r="D13" s="351">
        <v>357941</v>
      </c>
      <c r="E13" s="351">
        <v>314822</v>
      </c>
      <c r="F13" s="351">
        <v>372708</v>
      </c>
      <c r="G13" s="351">
        <v>0</v>
      </c>
      <c r="H13" s="351">
        <v>0</v>
      </c>
      <c r="I13" s="351">
        <v>0</v>
      </c>
      <c r="J13" s="351">
        <v>0</v>
      </c>
      <c r="K13" s="351">
        <v>0</v>
      </c>
      <c r="L13" s="351">
        <v>0</v>
      </c>
      <c r="M13" s="351"/>
    </row>
    <row r="14" spans="2:13">
      <c r="B14" s="40" t="s">
        <v>50</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42</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44</v>
      </c>
      <c r="C16" s="351">
        <v>79856</v>
      </c>
      <c r="D16" s="351">
        <v>-7583</v>
      </c>
      <c r="E16" s="351">
        <v>156154</v>
      </c>
      <c r="F16" s="351">
        <v>143837</v>
      </c>
      <c r="G16" s="351">
        <v>33672</v>
      </c>
      <c r="H16" s="351">
        <v>51771</v>
      </c>
      <c r="I16" s="351">
        <v>149400</v>
      </c>
      <c r="J16" s="351">
        <v>57280</v>
      </c>
      <c r="K16" s="351">
        <v>-21166</v>
      </c>
      <c r="L16" s="351">
        <v>13384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370</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369</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0.13218854804799998</v>
      </c>
      <c r="D25" s="39">
        <f>0.207*Exchange_Rate</f>
        <v>0.22651514441999995</v>
      </c>
      <c r="E25" s="39">
        <f>0.178*Exchange_Rate</f>
        <v>0.19478113867999997</v>
      </c>
      <c r="F25" s="39">
        <f>0.155*Exchange_Rate</f>
        <v>0.16961278929999998</v>
      </c>
      <c r="G25" s="39">
        <f>0.08*Exchange_Rate</f>
        <v>8.7542084799999989E-2</v>
      </c>
      <c r="H25" s="39">
        <f>0.076*Exchange_Rate</f>
        <v>8.316498055999999E-2</v>
      </c>
      <c r="I25" s="39">
        <f>0.15*Exchange_Rate</f>
        <v>0.16414140899999999</v>
      </c>
      <c r="J25" s="39">
        <f>0.005*Exchange_Rate</f>
        <v>5.4713802999999993E-3</v>
      </c>
      <c r="K25" s="39">
        <f>0.05*Exchange_Rate</f>
        <v>5.4713802999999998E-2</v>
      </c>
      <c r="L25" s="39">
        <f>0.08*Exchange_Rate</f>
        <v>8.7542084799999989E-2</v>
      </c>
      <c r="M25" s="39"/>
    </row>
    <row r="27" spans="2:13">
      <c r="B27" s="16" t="s">
        <v>28</v>
      </c>
      <c r="C27" s="97" t="s">
        <v>465</v>
      </c>
    </row>
    <row r="28" spans="2:13">
      <c r="B28" s="26" t="s">
        <v>24</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32</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40</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30</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171</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43</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58</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54</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61</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64</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167</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68</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42</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44</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68</v>
      </c>
    </row>
    <row r="51" spans="2:13">
      <c r="B51" s="40" t="s">
        <v>39</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36</v>
      </c>
      <c r="C65" s="73">
        <f>IF(C$4="","",C25)</f>
        <v>0.13218854804799998</v>
      </c>
      <c r="D65" s="73">
        <f t="shared" ref="D65:M65" si="33">IF(D$4="","",D25)</f>
        <v>0.22651514441999995</v>
      </c>
      <c r="E65" s="73">
        <f t="shared" si="33"/>
        <v>0.19478113867999997</v>
      </c>
      <c r="F65" s="73">
        <f t="shared" si="33"/>
        <v>0.16961278929999998</v>
      </c>
      <c r="G65" s="73">
        <f t="shared" si="33"/>
        <v>8.7542084799999989E-2</v>
      </c>
      <c r="H65" s="73">
        <f t="shared" si="33"/>
        <v>8.316498055999999E-2</v>
      </c>
      <c r="I65" s="73">
        <f t="shared" si="33"/>
        <v>0.16414140899999999</v>
      </c>
      <c r="J65" s="73">
        <f t="shared" si="33"/>
        <v>5.4713802999999993E-3</v>
      </c>
      <c r="K65" s="73">
        <f t="shared" si="33"/>
        <v>5.4713802999999998E-2</v>
      </c>
      <c r="L65" s="73">
        <f t="shared" si="33"/>
        <v>8.7542084799999989E-2</v>
      </c>
      <c r="M65" s="73" t="str">
        <f t="shared" si="33"/>
        <v/>
      </c>
    </row>
    <row r="67" spans="2:13">
      <c r="B67" s="91" t="s">
        <v>84</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167</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85</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86</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40</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30</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23621+80349</f>
        <v>103970</v>
      </c>
      <c r="D4" s="261">
        <v>0.6</v>
      </c>
      <c r="E4" s="25"/>
      <c r="F4" s="4" t="s">
        <v>77</v>
      </c>
      <c r="G4" s="19">
        <f>11000000+679928</f>
        <v>11679928</v>
      </c>
      <c r="H4" s="261">
        <v>0.9</v>
      </c>
    </row>
    <row r="5" spans="2:8" ht="15" customHeight="1">
      <c r="B5" s="1" t="s">
        <v>33</v>
      </c>
      <c r="C5" s="19">
        <v>1830485</v>
      </c>
      <c r="D5" s="261">
        <v>0.6</v>
      </c>
      <c r="E5" s="25"/>
      <c r="F5" s="1" t="s">
        <v>29</v>
      </c>
      <c r="G5" s="19">
        <f>11715</f>
        <v>11715</v>
      </c>
      <c r="H5" s="261">
        <v>0.7</v>
      </c>
    </row>
    <row r="6" spans="2:8" ht="15" customHeight="1">
      <c r="B6" s="4" t="s">
        <v>10</v>
      </c>
      <c r="C6" s="19">
        <v>1124718</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f>12783+436808</f>
        <v>449591</v>
      </c>
      <c r="D9" s="261">
        <v>0.1</v>
      </c>
      <c r="E9" s="25"/>
      <c r="F9" s="4" t="s">
        <v>179</v>
      </c>
      <c r="G9" s="19">
        <v>0</v>
      </c>
      <c r="H9" s="261">
        <v>0.6</v>
      </c>
    </row>
    <row r="10" spans="2:8" ht="15" customHeight="1">
      <c r="B10" s="4" t="s">
        <v>11</v>
      </c>
      <c r="C10" s="19">
        <v>156022</v>
      </c>
      <c r="D10" s="261">
        <v>0.9</v>
      </c>
      <c r="H10" s="262"/>
    </row>
    <row r="11" spans="2:8" ht="15" customHeight="1">
      <c r="B11" s="4" t="s">
        <v>12</v>
      </c>
      <c r="C11" s="19">
        <v>0</v>
      </c>
      <c r="D11" s="261">
        <v>0.05</v>
      </c>
      <c r="H11" s="262"/>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208252</v>
      </c>
      <c r="D15" s="261">
        <v>0.4</v>
      </c>
      <c r="F15" s="4" t="s">
        <v>78</v>
      </c>
      <c r="G15" s="19">
        <v>0</v>
      </c>
      <c r="H15" s="261">
        <v>0.8</v>
      </c>
    </row>
    <row r="16" spans="2:8" ht="15" customHeight="1">
      <c r="B16" s="1" t="s">
        <v>34</v>
      </c>
      <c r="C16" s="19">
        <v>600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7177198+126839+332968+94332</f>
        <v>7731337</v>
      </c>
      <c r="D19" s="261">
        <v>0.1</v>
      </c>
      <c r="F19" s="4" t="s">
        <v>181</v>
      </c>
      <c r="G19" s="19">
        <f>333906+127404</f>
        <v>461310</v>
      </c>
      <c r="H19" s="261">
        <v>0.1</v>
      </c>
    </row>
    <row r="20" spans="2:8" ht="15" customHeight="1">
      <c r="B20" s="4" t="s">
        <v>18</v>
      </c>
      <c r="C20" s="19">
        <v>0</v>
      </c>
      <c r="D20" s="261">
        <v>0.05</v>
      </c>
      <c r="F20" s="4" t="s">
        <v>178</v>
      </c>
      <c r="G20" s="19">
        <v>0</v>
      </c>
      <c r="H20" s="261">
        <v>0.2</v>
      </c>
    </row>
    <row r="21" spans="2:8" ht="15" customHeight="1">
      <c r="B21" s="4" t="s">
        <v>19</v>
      </c>
      <c r="C21" s="19">
        <v>129691</v>
      </c>
      <c r="D21" s="261">
        <v>0.05</v>
      </c>
      <c r="F21" s="1" t="s">
        <v>179</v>
      </c>
      <c r="G21" s="19">
        <v>64486</v>
      </c>
      <c r="H21" s="261">
        <v>0.1</v>
      </c>
    </row>
    <row r="22" spans="2:8" ht="15" customHeight="1">
      <c r="B22" s="4" t="s">
        <v>20</v>
      </c>
      <c r="C22" s="19">
        <v>123890</v>
      </c>
      <c r="D22" s="261">
        <v>0.9</v>
      </c>
      <c r="H22" s="262"/>
    </row>
    <row r="23" spans="2:8" ht="15" customHeight="1">
      <c r="B23" s="4" t="s">
        <v>21</v>
      </c>
      <c r="C23" s="19">
        <v>0</v>
      </c>
      <c r="D23" s="261">
        <v>0</v>
      </c>
      <c r="H23" s="262"/>
    </row>
    <row r="24" spans="2:8" ht="15" customHeight="1">
      <c r="B24" s="80" t="s">
        <v>73</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199</v>
      </c>
      <c r="C26" s="182" t="s">
        <v>135</v>
      </c>
      <c r="F26" s="184" t="s">
        <v>195</v>
      </c>
      <c r="G26" s="185" t="s">
        <v>135</v>
      </c>
      <c r="H26" s="186" t="s">
        <v>35</v>
      </c>
    </row>
    <row r="27" spans="2:8" ht="15" customHeight="1">
      <c r="B27" s="4" t="s">
        <v>5</v>
      </c>
      <c r="C27" s="19">
        <v>434410</v>
      </c>
      <c r="F27" s="187" t="s">
        <v>30</v>
      </c>
      <c r="G27" s="85">
        <f>G32-G30</f>
        <v>19506961</v>
      </c>
      <c r="H27" s="188">
        <f>H32-G30</f>
        <v>8886812.25</v>
      </c>
    </row>
    <row r="28" spans="2:8" ht="15" customHeight="1">
      <c r="B28" s="4" t="s">
        <v>6</v>
      </c>
      <c r="C28" s="19">
        <v>28341</v>
      </c>
      <c r="F28" s="189" t="s">
        <v>243</v>
      </c>
      <c r="G28" s="12">
        <v>1098684</v>
      </c>
      <c r="H28" s="188"/>
    </row>
    <row r="29" spans="2:8" ht="15" customHeight="1">
      <c r="B29" s="4" t="s">
        <v>7</v>
      </c>
      <c r="C29" s="19">
        <v>0</v>
      </c>
      <c r="F29" s="190" t="s">
        <v>75</v>
      </c>
      <c r="G29" s="14">
        <f>G27-G28</f>
        <v>18408277</v>
      </c>
      <c r="H29" s="188">
        <f>H27-G28</f>
        <v>7788128.25</v>
      </c>
    </row>
    <row r="30" spans="2:8" ht="15" customHeight="1">
      <c r="B30" s="2" t="s">
        <v>8</v>
      </c>
      <c r="C30" s="19">
        <v>0</v>
      </c>
      <c r="F30" s="187" t="s">
        <v>23</v>
      </c>
      <c r="G30" s="85">
        <f>C33+C42</f>
        <v>4569034</v>
      </c>
      <c r="H30" s="188"/>
    </row>
    <row r="31" spans="2:8" ht="15" customHeight="1">
      <c r="B31" s="80" t="s">
        <v>202</v>
      </c>
      <c r="C31" s="81">
        <f>SUM(C27:C30)</f>
        <v>462751</v>
      </c>
      <c r="F31" s="190" t="s">
        <v>76</v>
      </c>
      <c r="G31" s="191">
        <f>C31+C40</f>
        <v>2119124</v>
      </c>
      <c r="H31" s="188"/>
    </row>
    <row r="32" spans="2:8" ht="15" customHeight="1">
      <c r="B32" s="4" t="s">
        <v>9</v>
      </c>
      <c r="C32" s="21">
        <f>C33-C31</f>
        <v>2050197</v>
      </c>
      <c r="F32" s="192" t="s">
        <v>74</v>
      </c>
      <c r="G32" s="193">
        <f>G35+G40</f>
        <v>24075995</v>
      </c>
      <c r="H32" s="188">
        <f>H35+H40</f>
        <v>13455846.25</v>
      </c>
    </row>
    <row r="33" spans="2:8" ht="15" customHeight="1">
      <c r="B33" s="83" t="s">
        <v>4</v>
      </c>
      <c r="C33" s="84">
        <v>2512948</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11858556</v>
      </c>
      <c r="H35" s="200">
        <f>D12+D24</f>
        <v>2883130.95</v>
      </c>
    </row>
    <row r="36" spans="2:8" ht="15" customHeight="1">
      <c r="B36" s="4" t="s">
        <v>13</v>
      </c>
      <c r="C36" s="19">
        <v>1626693</v>
      </c>
      <c r="F36" s="190" t="s">
        <v>196</v>
      </c>
      <c r="G36" s="191">
        <f>C4+C15</f>
        <v>312222</v>
      </c>
      <c r="H36" s="195"/>
    </row>
    <row r="37" spans="2:8" ht="15" customHeight="1">
      <c r="B37" s="4" t="s">
        <v>14</v>
      </c>
      <c r="C37" s="19">
        <v>29680</v>
      </c>
      <c r="F37" s="190" t="s">
        <v>197</v>
      </c>
      <c r="G37" s="191">
        <f>C6</f>
        <v>1124718</v>
      </c>
      <c r="H37" s="195"/>
    </row>
    <row r="38" spans="2:8" ht="15" customHeight="1">
      <c r="B38" s="4" t="s">
        <v>15</v>
      </c>
      <c r="C38" s="19">
        <v>0</v>
      </c>
      <c r="F38" s="190" t="s">
        <v>198</v>
      </c>
      <c r="G38" s="191">
        <f>C7+C17</f>
        <v>0</v>
      </c>
      <c r="H38" s="195"/>
    </row>
    <row r="39" spans="2:8" ht="15" customHeight="1">
      <c r="B39" s="2" t="s">
        <v>16</v>
      </c>
      <c r="C39" s="19">
        <v>0</v>
      </c>
      <c r="F39" s="190" t="s">
        <v>79</v>
      </c>
      <c r="G39" s="191">
        <f>C7+C17+C19+C20</f>
        <v>7731337</v>
      </c>
      <c r="H39" s="188">
        <f>C7*D7+C17*D17+C19*D19+C20*D20</f>
        <v>773133.70000000007</v>
      </c>
    </row>
    <row r="40" spans="2:8" ht="15" customHeight="1">
      <c r="B40" s="80" t="s">
        <v>203</v>
      </c>
      <c r="C40" s="81">
        <f>SUM(C36:C39)</f>
        <v>1656373</v>
      </c>
      <c r="F40" s="199" t="s">
        <v>137</v>
      </c>
      <c r="G40" s="193">
        <f>G12+G24</f>
        <v>12217439</v>
      </c>
      <c r="H40" s="200">
        <f>H12+H24</f>
        <v>10572715.300000001</v>
      </c>
    </row>
    <row r="41" spans="2:8" ht="15" customHeight="1">
      <c r="B41" s="4" t="s">
        <v>17</v>
      </c>
      <c r="C41" s="21">
        <f>C42-C40</f>
        <v>399713</v>
      </c>
      <c r="F41" s="190" t="s">
        <v>190</v>
      </c>
      <c r="G41" s="191">
        <f>C70</f>
        <v>11691643</v>
      </c>
      <c r="H41" s="200">
        <f>H40-H42</f>
        <v>10520135.700000001</v>
      </c>
    </row>
    <row r="42" spans="2:8" ht="15" customHeight="1">
      <c r="B42" s="83" t="s">
        <v>22</v>
      </c>
      <c r="C42" s="84">
        <v>2056086</v>
      </c>
      <c r="F42" s="201" t="s">
        <v>191</v>
      </c>
      <c r="G42" s="202">
        <f>C82</f>
        <v>525796</v>
      </c>
      <c r="H42" s="203">
        <f>D82</f>
        <v>52579.6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18408277</v>
      </c>
      <c r="D46" s="76">
        <f>H29</f>
        <v>7788128.25</v>
      </c>
      <c r="F46" s="253"/>
    </row>
    <row r="47" spans="2:8" ht="15" customHeight="1">
      <c r="B47" s="1" t="str">
        <f>"Equity per share ("&amp;Market_currency&amp;")"</f>
        <v>Equity per share (HKD)</v>
      </c>
      <c r="C47" s="147">
        <f>C46*H1/Common_Shares*Exchange_Rate</f>
        <v>4.3695741490127151</v>
      </c>
      <c r="D47" s="147">
        <f>D46*H1/Common_Shares*Exchange_Rate</f>
        <v>1.8486686108860506</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2.2824569622635926</v>
      </c>
      <c r="D50" s="95">
        <f>G31/Normalized_FCF!G8</f>
        <v>2.1930131935295925</v>
      </c>
      <c r="F50" s="253"/>
    </row>
    <row r="51" spans="2:8" ht="15" customHeight="1">
      <c r="B51" s="1" t="s">
        <v>175</v>
      </c>
      <c r="C51" s="181"/>
      <c r="D51" s="92">
        <f>G29/G32</f>
        <v>0.764590497713594</v>
      </c>
      <c r="F51" s="253"/>
    </row>
    <row r="52" spans="2:8" ht="15" customHeight="1">
      <c r="F52" s="253"/>
    </row>
    <row r="53" spans="2:8" ht="15" customHeight="1">
      <c r="B53" s="157" t="s">
        <v>141</v>
      </c>
      <c r="C53" s="235" t="s">
        <v>57</v>
      </c>
      <c r="D53" s="197" t="s">
        <v>95</v>
      </c>
      <c r="F53" s="253"/>
    </row>
    <row r="54" spans="2:8" ht="15" customHeight="1">
      <c r="B54" s="1" t="s">
        <v>138</v>
      </c>
      <c r="C54" s="92">
        <f>Normalized_FCF!C8/G35</f>
        <v>7.8292825040602462E-2</v>
      </c>
      <c r="D54" s="92">
        <f>Normalized_FCF!G8/G35</f>
        <v>8.1486059516858542E-2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0.32112222153227726</v>
      </c>
      <c r="F59" s="253"/>
    </row>
    <row r="60" spans="2:8" ht="15" customHeight="1">
      <c r="F60" s="253"/>
    </row>
    <row r="61" spans="2:8" ht="15" customHeight="1">
      <c r="B61" s="157" t="s">
        <v>273</v>
      </c>
      <c r="C61" s="235" t="s">
        <v>136</v>
      </c>
      <c r="D61" s="197" t="s">
        <v>95</v>
      </c>
      <c r="F61" s="253"/>
    </row>
    <row r="62" spans="2:8" ht="15" customHeight="1">
      <c r="B62" s="1" t="s">
        <v>244</v>
      </c>
      <c r="C62" s="92">
        <f>IF(G28&lt;=0,0,G28/G29)</f>
        <v>5.968423878019654E-2</v>
      </c>
      <c r="D62" s="92">
        <f>G28/G29</f>
        <v>5.968423878019654E-2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11691643</v>
      </c>
      <c r="D66" s="76">
        <f>C66-D75</f>
        <v>7865303.2833807282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11691643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-965795.10054177325</v>
      </c>
      <c r="D73" s="349">
        <f>(Normalized_FCF!C25+Normalized_FCF!C35-Normalized_FCF!C91)/12</f>
        <v>-956584.92915481783</v>
      </c>
      <c r="F73" s="1" t="s">
        <v>348</v>
      </c>
    </row>
    <row r="74" spans="2:6" ht="15" customHeight="1">
      <c r="B74" s="257" t="s">
        <v>318</v>
      </c>
      <c r="C74" s="258">
        <f>-$C$66/C73</f>
        <v>12.105717862351389</v>
      </c>
      <c r="D74" s="258">
        <f>-$C$66/D73</f>
        <v>12.222273886679407</v>
      </c>
      <c r="F74" s="253" t="s">
        <v>316</v>
      </c>
    </row>
    <row r="75" spans="2:6" ht="15" customHeight="1">
      <c r="B75" s="80" t="s">
        <v>317</v>
      </c>
      <c r="C75" s="320"/>
      <c r="D75" s="321">
        <f>MAX(-D73*D76,G5)</f>
        <v>3826339.7166192713</v>
      </c>
      <c r="F75" s="253" t="s">
        <v>349</v>
      </c>
    </row>
    <row r="76" spans="2:6" ht="15" customHeight="1">
      <c r="B76" s="259" t="s">
        <v>319</v>
      </c>
      <c r="C76" s="260"/>
      <c r="D76" s="290">
        <f>IF(D74&lt;=3,1,IF(D74&gt;18,6,2))*2</f>
        <v>4</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461310</v>
      </c>
      <c r="D80" s="76">
        <f>G19*H19</f>
        <v>46131</v>
      </c>
      <c r="F80" s="253"/>
    </row>
    <row r="81" spans="2:8" ht="15" customHeight="1">
      <c r="B81" s="105" t="s">
        <v>179</v>
      </c>
      <c r="C81" s="20">
        <f>G9+G21</f>
        <v>64486</v>
      </c>
      <c r="D81" s="76">
        <f>G9*H9+G21*H21</f>
        <v>6448.6</v>
      </c>
      <c r="F81" s="253"/>
    </row>
    <row r="82" spans="2:8" ht="15" customHeight="1">
      <c r="B82" s="80" t="s">
        <v>188</v>
      </c>
      <c r="C82" s="81">
        <f>SUM(C79:C81)</f>
        <v>525796</v>
      </c>
      <c r="D82" s="81">
        <f>SUM(D79:D81)</f>
        <v>52579.6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-2318906.6613714397</v>
      </c>
      <c r="D86" s="223">
        <f>C86*scaling_factor/Common_Shares</f>
        <v>-0.50301662936473757</v>
      </c>
      <c r="E86" s="240" t="str">
        <f>Market_currency</f>
        <v>HKD</v>
      </c>
    </row>
    <row r="87" spans="2:8" ht="15" customHeight="1">
      <c r="B87" s="238" t="s">
        <v>286</v>
      </c>
      <c r="C87" s="76">
        <f>DCF!C8*Exchange_Rate</f>
        <v>8606813.0876429267</v>
      </c>
      <c r="D87" s="223">
        <f>C87*scaling_factor/Common_Shares</f>
        <v>1.8669876545863182</v>
      </c>
      <c r="E87" s="240" t="str">
        <f>Market_currency</f>
        <v>HKD</v>
      </c>
    </row>
    <row r="88" spans="2:8" ht="15" customHeight="1">
      <c r="B88" s="239" t="s">
        <v>188</v>
      </c>
      <c r="C88" s="76">
        <f>DCF!C9*Exchange_Rate</f>
        <v>57536.597524375989</v>
      </c>
      <c r="D88" s="223">
        <f>C88*scaling_factor/Common_Shares</f>
        <v>1.2480823757999131E-2</v>
      </c>
      <c r="E88" s="240" t="str">
        <f>Market_currency</f>
        <v>HKD</v>
      </c>
    </row>
    <row r="89" spans="2:8" ht="15" customHeight="1">
      <c r="B89" s="80" t="s">
        <v>290</v>
      </c>
      <c r="C89" s="180">
        <f>SUM(C86:C88)</f>
        <v>6345443.0237958627</v>
      </c>
      <c r="D89" s="242">
        <f>SUM(D86:D88)</f>
        <v>1.3764518489795798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46</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48</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45</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151</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63</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242</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153</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62</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46</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0.85731169378306993</v>
      </c>
      <c r="D28" s="26"/>
      <c r="E28" s="266" t="s">
        <v>330</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330</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-676714.25</v>
      </c>
      <c r="E33" s="266" t="s">
        <v>330</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3.0028286015917522E-2</v>
      </c>
      <c r="H53" s="169"/>
      <c r="I53" s="169"/>
      <c r="J53" s="169"/>
      <c r="K53" s="169"/>
      <c r="L53" s="169"/>
      <c r="M53" s="169"/>
      <c r="N53" s="169"/>
      <c r="O53" s="169"/>
      <c r="P53" s="169"/>
      <c r="Q53" s="169"/>
    </row>
    <row r="54" spans="1:17" ht="15.75" customHeight="1">
      <c r="A54" s="10"/>
      <c r="B54" s="8" t="s">
        <v>87</v>
      </c>
      <c r="C54" s="82">
        <f>G54</f>
        <v>2.4896608221132883E-2</v>
      </c>
      <c r="E54" s="265" t="s">
        <v>333</v>
      </c>
      <c r="G54" s="23">
        <f>IFERROR(ABS(Normalized_FCF!G47/BS!$G$31),0)</f>
        <v>2.4896608221132883E-2</v>
      </c>
      <c r="H54" s="169"/>
      <c r="I54" s="169"/>
      <c r="J54" s="169"/>
      <c r="K54" s="169"/>
      <c r="L54" s="169"/>
      <c r="M54" s="169"/>
      <c r="N54" s="169"/>
      <c r="O54" s="169"/>
      <c r="P54" s="169"/>
      <c r="Q54" s="169"/>
    </row>
    <row r="55" spans="1:17" ht="15.75" customHeight="1">
      <c r="A55" s="10"/>
      <c r="B55" s="26" t="s">
        <v>90</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194</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151</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153</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v>0.1</v>
      </c>
      <c r="E90" s="268"/>
      <c r="G90" s="112">
        <f>Data!C65</f>
        <v>0.13218854804799998</v>
      </c>
      <c r="H90" s="112">
        <f>Data!D65</f>
        <v>0.22651514441999995</v>
      </c>
      <c r="I90" s="112">
        <f>Data!E65</f>
        <v>0.19478113867999997</v>
      </c>
      <c r="J90" s="112">
        <f>Data!F65</f>
        <v>0.16961278929999998</v>
      </c>
      <c r="K90" s="112">
        <f>Data!G65</f>
        <v>8.7542084799999989E-2</v>
      </c>
      <c r="L90" s="112">
        <f>Data!H65</f>
        <v>8.316498055999999E-2</v>
      </c>
      <c r="M90" s="112">
        <f>Data!I65</f>
        <v>0.16414140899999999</v>
      </c>
      <c r="N90" s="112">
        <f>Data!J65</f>
        <v>5.4713802999999993E-3</v>
      </c>
      <c r="O90" s="112">
        <f>Data!K65</f>
        <v>5.4713802999999998E-2</v>
      </c>
      <c r="P90" s="112">
        <f>Data!L65</f>
        <v>8.7542084799999989E-2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609389.20650127996</v>
      </c>
      <c r="H91" s="74">
        <f t="shared" si="37"/>
        <v>1044234.8157761998</v>
      </c>
      <c r="I91" s="74">
        <f t="shared" si="37"/>
        <v>897941.04931479983</v>
      </c>
      <c r="J91" s="74">
        <f t="shared" si="37"/>
        <v>781914.95867299999</v>
      </c>
      <c r="K91" s="74">
        <f t="shared" si="37"/>
        <v>403569.01092799997</v>
      </c>
      <c r="L91" s="74">
        <f t="shared" si="37"/>
        <v>383390.56038159993</v>
      </c>
      <c r="M91" s="74">
        <f t="shared" si="37"/>
        <v>756691.89548999991</v>
      </c>
      <c r="N91" s="74">
        <f t="shared" si="37"/>
        <v>25223.063182999998</v>
      </c>
      <c r="O91" s="74">
        <f t="shared" si="37"/>
        <v>252230.63182999997</v>
      </c>
      <c r="P91" s="74">
        <f t="shared" si="37"/>
        <v>403569.01092799997</v>
      </c>
      <c r="Q91" s="74" t="str">
        <f t="shared" si="37"/>
        <v/>
      </c>
    </row>
    <row r="92" spans="1:17" ht="15.75" customHeight="1">
      <c r="A92" s="10"/>
      <c r="B92" s="2" t="s">
        <v>212</v>
      </c>
      <c r="C92" s="23">
        <f>C90/(C19*scaling_factor/Common_Shares)</f>
        <v>0.80996280963569622</v>
      </c>
      <c r="E92" s="268"/>
      <c r="G92" s="170">
        <f t="shared" ref="G92:Q92" si="38">IF(G$4="","",G90/(G19*scaling_factor/Common_Shares))</f>
        <v>0.96346359761810552</v>
      </c>
      <c r="H92" s="170">
        <f t="shared" si="38"/>
        <v>0.9417329884978396</v>
      </c>
      <c r="I92" s="170">
        <f t="shared" si="38"/>
        <v>0.66831964076589423</v>
      </c>
      <c r="J92" s="170">
        <f t="shared" si="38"/>
        <v>0.93022805677326104</v>
      </c>
      <c r="K92" s="170">
        <f t="shared" si="38"/>
        <v>0.9260354126245115</v>
      </c>
      <c r="L92" s="170">
        <f t="shared" si="38"/>
        <v>1.1350538982736924</v>
      </c>
      <c r="M92" s="170">
        <f t="shared" si="38"/>
        <v>0.59834616478694702</v>
      </c>
      <c r="N92" s="170">
        <f t="shared" si="38"/>
        <v>6.4171841556525153E-2</v>
      </c>
      <c r="O92" s="170">
        <f t="shared" si="38"/>
        <v>-0.60855598138845868</v>
      </c>
      <c r="P92" s="170">
        <f t="shared" si="38"/>
        <v>0.66986299773098845</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4.3269230769230775E-2</v>
      </c>
      <c r="E94" s="268"/>
      <c r="G94" s="23">
        <f t="shared" ref="G94:Q94" si="39">IF(G$4="","",(G90*(1-dividend_tax_rate))/Market_Price)</f>
        <v>5.7196967905384609E-2</v>
      </c>
      <c r="H94" s="23">
        <f t="shared" si="39"/>
        <v>9.8011360566346128E-2</v>
      </c>
      <c r="I94" s="23">
        <f t="shared" si="39"/>
        <v>8.4280300390384602E-2</v>
      </c>
      <c r="J94" s="23">
        <f t="shared" si="39"/>
        <v>7.3390149216346151E-2</v>
      </c>
      <c r="K94" s="23">
        <f t="shared" si="39"/>
        <v>3.7878786692307688E-2</v>
      </c>
      <c r="L94" s="23">
        <f t="shared" si="39"/>
        <v>3.59848473576923E-2</v>
      </c>
      <c r="M94" s="23">
        <f t="shared" si="39"/>
        <v>7.1022725048076926E-2</v>
      </c>
      <c r="N94" s="23">
        <f t="shared" si="39"/>
        <v>2.3674241682692305E-3</v>
      </c>
      <c r="O94" s="23">
        <f t="shared" si="39"/>
        <v>2.3674241682692304E-2</v>
      </c>
      <c r="P94" s="23">
        <f t="shared" si="39"/>
        <v>3.7878786692307688E-2</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163</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209</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30</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389</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83</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91</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221</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0.13510201295441968</v>
      </c>
      <c r="D125" s="27"/>
      <c r="E125" s="265"/>
      <c r="F125" s="27"/>
      <c r="G125" s="177">
        <f t="shared" ref="G125:Q125" si="49">IF(G$4="","",G16*$C$3/Common_Shares*Exchange_Rate)</f>
        <v>0.15013620015607718</v>
      </c>
      <c r="H125" s="177">
        <f t="shared" si="49"/>
        <v>0.26320634701522633</v>
      </c>
      <c r="I125" s="177">
        <f t="shared" si="49"/>
        <v>0.31892574151015607</v>
      </c>
      <c r="J125" s="177">
        <f t="shared" si="49"/>
        <v>0.19952442140331411</v>
      </c>
      <c r="K125" s="177">
        <f t="shared" si="49"/>
        <v>0.10344659214233838</v>
      </c>
      <c r="L125" s="177">
        <f t="shared" si="49"/>
        <v>8.0177203387067242E-2</v>
      </c>
      <c r="M125" s="177">
        <f t="shared" si="49"/>
        <v>0.30018745818705855</v>
      </c>
      <c r="N125" s="177">
        <f t="shared" si="49"/>
        <v>9.3299496044099775E-2</v>
      </c>
      <c r="O125" s="177">
        <f t="shared" si="49"/>
        <v>-9.838372574673318E-2</v>
      </c>
      <c r="P125" s="177">
        <f t="shared" si="49"/>
        <v>0.14300716409715833</v>
      </c>
      <c r="Q125" s="177" t="str">
        <f t="shared" si="49"/>
        <v/>
      </c>
    </row>
    <row r="126" spans="1:17" ht="15.75" customHeight="1">
      <c r="A126" s="10"/>
      <c r="B126" s="27" t="s">
        <v>268</v>
      </c>
      <c r="C126" s="77">
        <f>C19*Exchange_Rate*$C$3/(Market_Price*Common_Shares)</f>
        <v>6.4952890843471001E-2</v>
      </c>
      <c r="D126" s="27"/>
      <c r="E126" s="265"/>
      <c r="F126" s="27"/>
      <c r="G126" s="77">
        <f t="shared" ref="G126" si="50">IF(G$4="","",G125/Market_Price)</f>
        <v>7.218086545965248E-2</v>
      </c>
      <c r="H126" s="77">
        <f t="shared" ref="H126" si="51">IF(H$4="","",H125/Market_Price)</f>
        <v>0.12654151298808958</v>
      </c>
      <c r="I126" s="77">
        <f t="shared" ref="I126" si="52">IF(I$4="","",I125/Market_Price)</f>
        <v>0.15332968341834427</v>
      </c>
      <c r="J126" s="77">
        <f t="shared" ref="J126" si="53">IF(J$4="","",J125/Market_Price)</f>
        <v>9.5925202597747172E-2</v>
      </c>
      <c r="K126" s="77">
        <f t="shared" ref="K126" si="54">IF(K$4="","",K125/Market_Price)</f>
        <v>4.9733938529970372E-2</v>
      </c>
      <c r="L126" s="77">
        <f t="shared" ref="L126" si="55">IF(L$4="","",L125/Market_Price)</f>
        <v>3.8546732397628479E-2</v>
      </c>
      <c r="M126" s="77">
        <f t="shared" ref="M126" si="56">IF(M$4="","",M125/Market_Price)</f>
        <v>0.14432089335916276</v>
      </c>
      <c r="N126" s="77">
        <f t="shared" ref="N126" si="57">IF(N$4="","",N125/Market_Price)</f>
        <v>4.4855526944278738E-2</v>
      </c>
      <c r="O126" s="77">
        <f t="shared" ref="O126" si="58">IF(O$4="","",O125/Market_Price)</f>
        <v>-4.7299868147467873E-2</v>
      </c>
      <c r="P126" s="77">
        <f t="shared" ref="P126" si="59">IF(P$4="","",P125/Market_Price)</f>
        <v>6.8753444277479966E-2</v>
      </c>
      <c r="Q126" s="77" t="str">
        <f t="shared" ref="Q126" si="60">IF(Q$4="","",Q125/Market_Price)</f>
        <v/>
      </c>
    </row>
    <row r="127" spans="1:17" ht="15.75" customHeight="1">
      <c r="B127" s="2" t="s">
        <v>391</v>
      </c>
      <c r="C127" s="169"/>
      <c r="G127" s="23">
        <f>IF(G$4="","",(Data!C47*$C$3)/(Market_Price*Common_Shares))</f>
        <v>0.12004932838311363</v>
      </c>
      <c r="H127" s="23">
        <f>IF(H$4="","",(Data!D47*$C$3)/(Market_Price*Common_Shares))</f>
        <v>0.24759073085266145</v>
      </c>
      <c r="I127" s="23">
        <f>IF(I$4="","",(Data!E47*$C$3)/(Market_Price*Common_Shares))</f>
        <v>0.18758676789587853</v>
      </c>
      <c r="J127" s="23">
        <f>IF(J$4="","",(Data!F47*$C$3)/(Market_Price*Common_Shares))</f>
        <v>0.17118252544635407</v>
      </c>
      <c r="K127" s="23">
        <f>IF(K$4="","",(Data!G47*$C$3)/(Market_Price*Common_Shares))</f>
        <v>8.1256987318538296E-2</v>
      </c>
      <c r="L127" s="23">
        <f>IF(L$4="","",(Data!H47*$C$3)/(Market_Price*Common_Shares))</f>
        <v>7.8736442516268976E-2</v>
      </c>
      <c r="M127" s="23">
        <f>IF(M$4="","",(Data!I47*$C$3)/(Market_Price*Common_Shares))</f>
        <v>0.15938282162522943</v>
      </c>
      <c r="N127" s="23">
        <f>IF(N$4="","",(Data!J47*$C$3)/(Market_Price*Common_Shares))</f>
        <v>1.121224762222593E-2</v>
      </c>
      <c r="O127" s="23">
        <f>IF(O$4="","",(Data!K47*$C$3)/(Market_Price*Common_Shares))</f>
        <v>-2.4681920574003004E-2</v>
      </c>
      <c r="P127" s="23">
        <f>IF(P$4="","",(Data!L47*$C$3)/(Market_Price*Common_Shares))</f>
        <v>8.7919343400634078E-2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569161.93498729635</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7588825.7998306183</v>
      </c>
      <c r="D6" t="str">
        <f>Reporting_currency</f>
        <v>CNY</v>
      </c>
      <c r="E6" s="369" t="s">
        <v>248</v>
      </c>
      <c r="F6" s="369"/>
      <c r="H6" s="120"/>
    </row>
    <row r="7" spans="2:8">
      <c r="B7" s="148" t="s">
        <v>223</v>
      </c>
      <c r="C7" s="338">
        <f>BS!G31</f>
        <v>2119124</v>
      </c>
      <c r="D7" t="str">
        <f>Reporting_currency</f>
        <v>CNY</v>
      </c>
      <c r="E7" s="369"/>
      <c r="F7" s="369"/>
      <c r="H7" s="120"/>
    </row>
    <row r="8" spans="2:8">
      <c r="B8" s="148" t="s">
        <v>224</v>
      </c>
      <c r="C8" s="338">
        <f>BS!D66</f>
        <v>7865303.2833807282</v>
      </c>
      <c r="D8" t="str">
        <f>Reporting_currency</f>
        <v>CNY</v>
      </c>
      <c r="E8" s="369"/>
      <c r="F8" s="369"/>
      <c r="H8" s="120"/>
    </row>
    <row r="9" spans="2:8">
      <c r="B9" s="205" t="s">
        <v>189</v>
      </c>
      <c r="C9" s="348">
        <f>BS!H42</f>
        <v>52579.6</v>
      </c>
      <c r="D9" t="str">
        <f>Reporting_currency</f>
        <v>CNY</v>
      </c>
      <c r="E9" s="369"/>
      <c r="F9" s="369"/>
      <c r="H9" s="120"/>
    </row>
    <row r="10" spans="2:8" ht="13.15">
      <c r="B10" s="149" t="s">
        <v>226</v>
      </c>
      <c r="C10" s="347">
        <f>C6-C7+C8+C9</f>
        <v>13387584.683211347</v>
      </c>
      <c r="D10" t="str">
        <f>Reporting_currency</f>
        <v>CNY</v>
      </c>
      <c r="H10" s="120"/>
    </row>
    <row r="11" spans="2:8" ht="13.15" thickBot="1">
      <c r="B11" s="207" t="s">
        <v>165</v>
      </c>
      <c r="C11" s="208">
        <f>Exchange_Rate</f>
        <v>1.0942760599999999</v>
      </c>
      <c r="D11" t="str">
        <f>Thesis!C15</f>
        <v>CNY/HKD</v>
      </c>
      <c r="H11" s="120"/>
    </row>
    <row r="12" spans="2:8" ht="13.5" thickTop="1">
      <c r="B12" s="149" t="s">
        <v>102</v>
      </c>
      <c r="C12" s="111">
        <f>(C10*scaling_factor)/Common_Shares*Exchange_Rate</f>
        <v>3.1778120217051757</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0.02</v>
      </c>
      <c r="H16" s="120"/>
    </row>
    <row r="17" spans="2:17" ht="13.35" customHeight="1">
      <c r="B17" s="118" t="s">
        <v>133</v>
      </c>
      <c r="C17" s="162">
        <f>Scenarios!C64</f>
        <v>10</v>
      </c>
      <c r="H17" s="120"/>
    </row>
    <row r="18" spans="2:17" ht="13.35" customHeight="1">
      <c r="B18" s="153" t="s">
        <v>106</v>
      </c>
      <c r="C18" s="140">
        <f>(F52-C7+C8+C9)*Exchange_Rate/Common_Shares*scaling_factor</f>
        <v>3.291577889590493</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7740602.3158272309</v>
      </c>
      <c r="D51" s="139">
        <f>Terminal_Growth</f>
        <v>0</v>
      </c>
      <c r="E51" s="124">
        <f>1/(1+Equity_Cost)^C17</f>
        <v>0.48519392830146441</v>
      </c>
      <c r="F51" s="125">
        <f t="shared" si="1"/>
        <v>3755693.2450356269</v>
      </c>
      <c r="H51" s="120"/>
    </row>
    <row r="52" spans="1:17">
      <c r="C52" s="114"/>
      <c r="E52" s="127" t="s">
        <v>100</v>
      </c>
      <c r="F52" s="137">
        <f>SUM(F21:F51)</f>
        <v>8068102.1635585381</v>
      </c>
      <c r="H52" s="120"/>
    </row>
    <row r="53" spans="1:17">
      <c r="C53" s="114"/>
      <c r="H53" s="120"/>
    </row>
    <row r="54" spans="1:17" ht="13.15">
      <c r="B54" s="119" t="s">
        <v>128</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3.1778120217051757</v>
      </c>
      <c r="C65" s="124">
        <f>C12</f>
        <v>3.1778120217051757</v>
      </c>
      <c r="D65" s="124">
        <f>C12</f>
        <v>3.1778120217051757</v>
      </c>
      <c r="E65" s="141">
        <f>C12</f>
        <v>3.1778120217051757</v>
      </c>
      <c r="F65" s="124">
        <f>C12</f>
        <v>3.1778120217051757</v>
      </c>
      <c r="H65" s="120"/>
    </row>
    <row r="66" spans="1:8" ht="13.15">
      <c r="A66" s="143">
        <f t="shared" ref="A66:A71" si="3">A56</f>
        <v>5</v>
      </c>
      <c r="B66" s="124">
        <f t="shared" ref="B66:F71" si="4">(B56-$C$7+$C$8+$C$9)/Common_Shares*$C$3*Exchange_Rate</f>
        <v>3.1222831389544945</v>
      </c>
      <c r="C66" s="124">
        <f t="shared" si="4"/>
        <v>3.1778120217051753</v>
      </c>
      <c r="D66" s="124">
        <f t="shared" si="4"/>
        <v>3.2349340594345306</v>
      </c>
      <c r="E66" s="124">
        <f t="shared" si="4"/>
        <v>3.2641145876302966</v>
      </c>
      <c r="F66" s="124">
        <f t="shared" si="4"/>
        <v>3.3237600314853974</v>
      </c>
      <c r="H66" s="120"/>
    </row>
    <row r="67" spans="1:8" ht="13.15">
      <c r="A67" s="143">
        <f t="shared" si="3"/>
        <v>10</v>
      </c>
      <c r="B67" s="124">
        <f t="shared" si="4"/>
        <v>3.0741542770958206</v>
      </c>
      <c r="C67" s="124">
        <f t="shared" si="4"/>
        <v>3.1778120217051753</v>
      </c>
      <c r="D67" s="124">
        <f t="shared" si="4"/>
        <v>3.2915778895904935</v>
      </c>
      <c r="E67" s="124">
        <f t="shared" si="4"/>
        <v>3.3526279566817245</v>
      </c>
      <c r="F67" s="124">
        <f t="shared" si="4"/>
        <v>3.4838897914613525</v>
      </c>
      <c r="H67" s="120"/>
    </row>
    <row r="68" spans="1:8" ht="13.15">
      <c r="A68" s="143">
        <f t="shared" si="3"/>
        <v>15</v>
      </c>
      <c r="B68" s="124">
        <f t="shared" si="4"/>
        <v>3.0188791287909948</v>
      </c>
      <c r="C68" s="124">
        <f t="shared" si="4"/>
        <v>3.1778120217051753</v>
      </c>
      <c r="D68" s="124">
        <f t="shared" si="4"/>
        <v>3.3632956119229438</v>
      </c>
      <c r="E68" s="124">
        <f t="shared" si="4"/>
        <v>3.4676111016722588</v>
      </c>
      <c r="F68" s="124">
        <f t="shared" si="4"/>
        <v>3.7031823466187772</v>
      </c>
      <c r="H68" s="120"/>
    </row>
    <row r="69" spans="1:8" ht="13.15">
      <c r="A69" s="144">
        <f t="shared" si="3"/>
        <v>20</v>
      </c>
      <c r="B69" s="124">
        <f t="shared" si="4"/>
        <v>2.9666818497156204</v>
      </c>
      <c r="C69" s="124">
        <f t="shared" si="4"/>
        <v>3.1778120217051753</v>
      </c>
      <c r="D69" s="124">
        <f t="shared" si="4"/>
        <v>3.438062507496169</v>
      </c>
      <c r="E69" s="124">
        <f t="shared" si="4"/>
        <v>3.5907664078554586</v>
      </c>
      <c r="F69" s="124">
        <f t="shared" si="4"/>
        <v>3.9517252302078374</v>
      </c>
      <c r="H69" s="120"/>
    </row>
    <row r="70" spans="1:8" ht="13.15">
      <c r="A70" s="144">
        <f t="shared" si="3"/>
        <v>25</v>
      </c>
      <c r="B70" s="124">
        <f t="shared" si="4"/>
        <v>2.9217006136540511</v>
      </c>
      <c r="C70" s="124">
        <f t="shared" si="4"/>
        <v>3.1778120217051748</v>
      </c>
      <c r="D70" s="124">
        <f t="shared" si="4"/>
        <v>3.5092233360053395</v>
      </c>
      <c r="E70" s="124">
        <f t="shared" si="4"/>
        <v>3.7113246154871757</v>
      </c>
      <c r="F70" s="124">
        <f t="shared" si="4"/>
        <v>4.2100101592470027</v>
      </c>
    </row>
    <row r="71" spans="1:8" ht="13.15">
      <c r="A71" s="144">
        <f t="shared" si="3"/>
        <v>30</v>
      </c>
      <c r="B71" s="124">
        <f t="shared" si="4"/>
        <v>2.8849393571833484</v>
      </c>
      <c r="C71" s="124">
        <f t="shared" si="4"/>
        <v>3.1778120217051748</v>
      </c>
      <c r="D71" s="124">
        <f t="shared" si="4"/>
        <v>3.5734656345207068</v>
      </c>
      <c r="E71" s="124">
        <f t="shared" si="4"/>
        <v>3.8233800105698514</v>
      </c>
      <c r="F71" s="124">
        <f t="shared" si="4"/>
        <v>4.4656286283903173</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15</v>
      </c>
      <c r="E74" s="135">
        <f>INDEX(B$65:F$71, MATCH(D74, A$65:A$71, 0), MATCH(C74, B$64:F$64, 0))</f>
        <v>3.7031823466187772</v>
      </c>
      <c r="F74" s="142">
        <f>Scenarios!C58</f>
        <v>0.05</v>
      </c>
    </row>
    <row r="75" spans="1:8">
      <c r="B75" s="127" t="str">
        <f>Scenarios!B36</f>
        <v>Optimistic</v>
      </c>
      <c r="C75" s="142">
        <f>Scenarios!C38</f>
        <v>0.03</v>
      </c>
      <c r="D75" s="145">
        <f>Scenarios!C37</f>
        <v>10</v>
      </c>
      <c r="E75" s="135">
        <f>INDEX(B$65:F$71, MATCH(D75, A$65:A$71, 0), MATCH(C75, B$64:F$64, 0))</f>
        <v>3.3526279566817245</v>
      </c>
      <c r="F75" s="142">
        <f>Scenarios!C40*(1-F$74-F$78)</f>
        <v>0.18</v>
      </c>
      <c r="H75" s="120"/>
    </row>
    <row r="76" spans="1:8">
      <c r="B76" s="127" t="str">
        <f>Scenarios!B24</f>
        <v>Base</v>
      </c>
      <c r="C76" s="142">
        <f>Scenarios!C26</f>
        <v>0.02</v>
      </c>
      <c r="D76" s="145">
        <f>Scenarios!C25</f>
        <v>10</v>
      </c>
      <c r="E76" s="135">
        <f>INDEX(B$65:F$71, MATCH(D76, A$65:A$71, 0), MATCH(C76, B$64:F$64, 0))</f>
        <v>3.2915778895904935</v>
      </c>
      <c r="F76" s="142">
        <f>Scenarios!C28*(1-F$74-F$78)</f>
        <v>0.53999999999999992</v>
      </c>
      <c r="H76" s="120"/>
    </row>
    <row r="77" spans="1:8">
      <c r="B77" s="127" t="str">
        <f>Scenarios!B30</f>
        <v>Pessimistic</v>
      </c>
      <c r="C77" s="142">
        <f>Scenarios!C32</f>
        <v>0</v>
      </c>
      <c r="D77" s="145">
        <f>Scenarios!C31</f>
        <v>10</v>
      </c>
      <c r="E77" s="135">
        <f>INDEX(B$65:F$71, MATCH(D77, A$65:A$71, 0), MATCH(C77, B$64:F$64, 0))</f>
        <v>3.1778120217051753</v>
      </c>
      <c r="F77" s="142">
        <f>Scenarios!C34*(1-F$74-F$78)</f>
        <v>0.18</v>
      </c>
      <c r="H77" s="120"/>
    </row>
    <row r="78" spans="1:8">
      <c r="B78" s="127" t="str">
        <f>Scenarios!B48</f>
        <v>Devil's advocate</v>
      </c>
      <c r="C78" s="142">
        <f>Scenarios!C50</f>
        <v>-0.02</v>
      </c>
      <c r="D78" s="145">
        <f>Scenarios!C49</f>
        <v>15</v>
      </c>
      <c r="E78" s="135">
        <f>INDEX(B$65:F$71, MATCH(D78, A$65:A$71, 0), MATCH(C78, B$64:F$64, 0))</f>
        <v>3.0188791287909948</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414900</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5532000</v>
      </c>
      <c r="D6" t="str">
        <f>Reporting_currency</f>
        <v>CNY</v>
      </c>
      <c r="E6" s="369"/>
      <c r="F6" s="369"/>
      <c r="H6" s="120"/>
    </row>
    <row r="7" spans="2:8" ht="13.15">
      <c r="B7" s="149" t="s">
        <v>441</v>
      </c>
      <c r="C7" s="111">
        <f>(C6*scaling_factor)/Common_Shares*Exchange_Rate</f>
        <v>1.3131312719999999</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0.02</v>
      </c>
      <c r="H11" s="120"/>
    </row>
    <row r="12" spans="2:8" ht="13.35" customHeight="1">
      <c r="B12" s="118" t="s">
        <v>133</v>
      </c>
      <c r="C12" s="162">
        <f>Scenarios!C64</f>
        <v>10</v>
      </c>
      <c r="H12" s="120"/>
    </row>
    <row r="13" spans="2:8" ht="13.35" customHeight="1">
      <c r="B13" s="153" t="s">
        <v>106</v>
      </c>
      <c r="C13" s="140">
        <f>F47/Common_Shares*scaling_factor</f>
        <v>1.2757866436315275</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5642640</v>
      </c>
      <c r="D46" s="139">
        <f>Terminal_Growth</f>
        <v>0</v>
      </c>
      <c r="E46" s="124">
        <f>1/(1+Equity_Cost)^C12</f>
        <v>0.48519392830146441</v>
      </c>
      <c r="F46" s="125">
        <f t="shared" si="1"/>
        <v>2737774.6675909753</v>
      </c>
      <c r="H46" s="120"/>
    </row>
    <row r="47" spans="2:8">
      <c r="C47" s="114"/>
      <c r="E47" s="127" t="s">
        <v>100</v>
      </c>
      <c r="F47" s="137">
        <f>SUM(F16:F46)</f>
        <v>5881376.4271413414</v>
      </c>
      <c r="H47" s="120"/>
    </row>
    <row r="48" spans="2:8">
      <c r="C48" s="114"/>
      <c r="H48" s="120"/>
    </row>
    <row r="49" spans="1:8" ht="13.15">
      <c r="B49" s="119" t="s">
        <v>128</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129</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1.3131312719999999</v>
      </c>
      <c r="C60" s="124">
        <f>C7</f>
        <v>1.3131312719999999</v>
      </c>
      <c r="D60" s="124">
        <f>C7</f>
        <v>1.3131312719999999</v>
      </c>
      <c r="E60" s="141">
        <f>C7</f>
        <v>1.3131312719999999</v>
      </c>
      <c r="F60" s="124">
        <f>C7</f>
        <v>1.3131312719999999</v>
      </c>
      <c r="H60" s="120"/>
    </row>
    <row r="61" spans="1:8" ht="13.15">
      <c r="A61" s="143">
        <f t="shared" ref="A61:A66" si="3">A51</f>
        <v>5</v>
      </c>
      <c r="B61" s="124">
        <f t="shared" ref="B61:F66" si="4">B51/Common_Shares*$C$3*Exchange_Rate</f>
        <v>1.2726525751001947</v>
      </c>
      <c r="C61" s="124">
        <f t="shared" si="4"/>
        <v>1.3131312719999999</v>
      </c>
      <c r="D61" s="124">
        <f t="shared" si="4"/>
        <v>1.354771325554246</v>
      </c>
      <c r="E61" s="124">
        <f t="shared" si="4"/>
        <v>1.3760429538979329</v>
      </c>
      <c r="F61" s="124">
        <f t="shared" si="4"/>
        <v>1.4195224860560938</v>
      </c>
      <c r="H61" s="120"/>
    </row>
    <row r="62" spans="1:8" ht="13.15">
      <c r="A62" s="143">
        <f t="shared" si="3"/>
        <v>10</v>
      </c>
      <c r="B62" s="124">
        <f t="shared" si="4"/>
        <v>1.2375682457421373</v>
      </c>
      <c r="C62" s="124">
        <f t="shared" si="4"/>
        <v>1.3131312720000001</v>
      </c>
      <c r="D62" s="124">
        <f t="shared" si="4"/>
        <v>1.3960627817937319</v>
      </c>
      <c r="E62" s="124">
        <f t="shared" si="4"/>
        <v>1.4405662372764272</v>
      </c>
      <c r="F62" s="124">
        <f t="shared" si="4"/>
        <v>1.5362517213228668</v>
      </c>
      <c r="H62" s="120"/>
    </row>
    <row r="63" spans="1:8" ht="13.15">
      <c r="A63" s="143">
        <f t="shared" si="3"/>
        <v>15</v>
      </c>
      <c r="B63" s="124">
        <f t="shared" si="4"/>
        <v>1.1972745127605311</v>
      </c>
      <c r="C63" s="124">
        <f t="shared" si="4"/>
        <v>1.3131312719999999</v>
      </c>
      <c r="D63" s="124">
        <f t="shared" si="4"/>
        <v>1.4483426008866895</v>
      </c>
      <c r="E63" s="124">
        <f t="shared" si="4"/>
        <v>1.5243851013359808</v>
      </c>
      <c r="F63" s="124">
        <f t="shared" si="4"/>
        <v>1.6961086540196149</v>
      </c>
      <c r="H63" s="120"/>
    </row>
    <row r="64" spans="1:8" ht="13.15">
      <c r="A64" s="144">
        <f t="shared" si="3"/>
        <v>20</v>
      </c>
      <c r="B64" s="124">
        <f t="shared" si="4"/>
        <v>1.1592244434268253</v>
      </c>
      <c r="C64" s="124">
        <f t="shared" si="4"/>
        <v>1.3131312720000001</v>
      </c>
      <c r="D64" s="124">
        <f t="shared" si="4"/>
        <v>1.5028451652122952</v>
      </c>
      <c r="E64" s="124">
        <f t="shared" si="4"/>
        <v>1.614161197371901</v>
      </c>
      <c r="F64" s="124">
        <f t="shared" si="4"/>
        <v>1.8772880970956933</v>
      </c>
      <c r="H64" s="120"/>
    </row>
    <row r="65" spans="1:8" ht="13.15">
      <c r="A65" s="144">
        <f t="shared" si="3"/>
        <v>25</v>
      </c>
      <c r="B65" s="124">
        <f t="shared" si="4"/>
        <v>1.1264346279196413</v>
      </c>
      <c r="C65" s="124">
        <f t="shared" si="4"/>
        <v>1.3131312720000001</v>
      </c>
      <c r="D65" s="124">
        <f t="shared" si="4"/>
        <v>1.5547190273480578</v>
      </c>
      <c r="E65" s="124">
        <f t="shared" si="4"/>
        <v>1.7020440954921268</v>
      </c>
      <c r="F65" s="124">
        <f t="shared" si="4"/>
        <v>2.0655691652257002</v>
      </c>
    </row>
    <row r="66" spans="1:8" ht="13.15">
      <c r="A66" s="144">
        <f t="shared" si="3"/>
        <v>30</v>
      </c>
      <c r="B66" s="124">
        <f t="shared" si="4"/>
        <v>1.0996369024005674</v>
      </c>
      <c r="C66" s="124">
        <f t="shared" si="4"/>
        <v>1.3131312720000001</v>
      </c>
      <c r="D66" s="124">
        <f t="shared" si="4"/>
        <v>1.6015495126907235</v>
      </c>
      <c r="E66" s="124">
        <f t="shared" si="4"/>
        <v>1.7837287278645293</v>
      </c>
      <c r="F66" s="124">
        <f t="shared" si="4"/>
        <v>2.251906473341585</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15</v>
      </c>
      <c r="E69" s="135">
        <f>INDEX(B$60:F$66, MATCH(D69, A$60:A$66, 0), MATCH(C69, B$59:F$59, 0))</f>
        <v>1.6961086540196149</v>
      </c>
      <c r="F69" s="142">
        <f>Scenarios!C58</f>
        <v>0.05</v>
      </c>
    </row>
    <row r="70" spans="1:8">
      <c r="B70" s="127" t="str">
        <f>Scenarios!B36</f>
        <v>Optimistic</v>
      </c>
      <c r="C70" s="142">
        <f>Scenarios!C38</f>
        <v>0.03</v>
      </c>
      <c r="D70" s="145">
        <f>Scenarios!C37</f>
        <v>10</v>
      </c>
      <c r="E70" s="135">
        <f>INDEX(B$60:F$66, MATCH(D70, A$60:A$66, 0), MATCH(C70, B$59:F$59, 0))</f>
        <v>1.4405662372764272</v>
      </c>
      <c r="F70" s="142">
        <f>Scenarios!C40*(1-F$69-F$73)</f>
        <v>0.18</v>
      </c>
      <c r="H70" s="120"/>
    </row>
    <row r="71" spans="1:8">
      <c r="B71" s="127" t="str">
        <f>Scenarios!B24</f>
        <v>Base</v>
      </c>
      <c r="C71" s="142">
        <f>Scenarios!C26</f>
        <v>0.02</v>
      </c>
      <c r="D71" s="145">
        <f>Scenarios!C25</f>
        <v>10</v>
      </c>
      <c r="E71" s="135">
        <f>INDEX(B$60:F$66, MATCH(D71, A$60:A$66, 0), MATCH(C71, B$59:F$59, 0))</f>
        <v>1.3960627817937319</v>
      </c>
      <c r="F71" s="142">
        <f>Scenarios!C28*(1-F$69-F$73)</f>
        <v>0.53999999999999992</v>
      </c>
      <c r="H71" s="120"/>
    </row>
    <row r="72" spans="1:8">
      <c r="B72" s="127" t="str">
        <f>Scenarios!B30</f>
        <v>Pessimistic</v>
      </c>
      <c r="C72" s="142">
        <f>Scenarios!C32</f>
        <v>0</v>
      </c>
      <c r="D72" s="145">
        <f>Scenarios!C31</f>
        <v>10</v>
      </c>
      <c r="E72" s="135">
        <f>INDEX(B$60:F$66, MATCH(D72, A$60:A$66, 0), MATCH(C72, B$59:F$59, 0))</f>
        <v>1.3131312720000001</v>
      </c>
      <c r="F72" s="142">
        <f>Scenarios!C34*(1-F$69-F$73)</f>
        <v>0.18</v>
      </c>
      <c r="H72" s="120"/>
    </row>
    <row r="73" spans="1:8">
      <c r="B73" s="127" t="str">
        <f>Scenarios!B48</f>
        <v>Devil's advocate</v>
      </c>
      <c r="C73" s="142">
        <f>Scenarios!C50</f>
        <v>-0.02</v>
      </c>
      <c r="D73" s="145">
        <f>Scenarios!C49</f>
        <v>15</v>
      </c>
      <c r="E73" s="135">
        <f>INDEX(B$60:F$66, MATCH(D73, A$60:A$66, 0), MATCH(C73, B$59:F$59, 0))</f>
        <v>1.1972745127605311</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-2.08</v>
      </c>
    </row>
    <row r="4" spans="2:9">
      <c r="B4" s="152" t="s">
        <v>145</v>
      </c>
      <c r="C4" s="120">
        <v>3</v>
      </c>
      <c r="D4" s="120"/>
      <c r="E4" s="155" t="s">
        <v>149</v>
      </c>
      <c r="F4" s="155"/>
      <c r="H4" s="247">
        <v>1</v>
      </c>
      <c r="I4" s="124">
        <f t="shared" ref="I4:I13" si="0">IF(ROW()-3 &lt; $C$76, $C$77, IF(ROW()-3 = $C$76, $C$77 + $C$60, ""))</f>
        <v>9.0000000000000011E-2</v>
      </c>
    </row>
    <row r="5" spans="2:9">
      <c r="H5" s="247">
        <v>2</v>
      </c>
      <c r="I5" s="124">
        <f t="shared" si="0"/>
        <v>9.0000000000000011E-2</v>
      </c>
    </row>
    <row r="6" spans="2:9" ht="13.15">
      <c r="B6" s="159" t="s">
        <v>95</v>
      </c>
      <c r="C6" s="107">
        <f>DCF!C3</f>
        <v>1000</v>
      </c>
      <c r="E6" s="100" t="s">
        <v>278</v>
      </c>
      <c r="F6" s="100"/>
      <c r="H6" s="247">
        <v>3</v>
      </c>
      <c r="I6" s="124">
        <f t="shared" si="0"/>
        <v>3.3790343302589969</v>
      </c>
    </row>
    <row r="7" spans="2:9" ht="12.75" customHeight="1">
      <c r="B7" s="100" t="s">
        <v>274</v>
      </c>
      <c r="C7" s="338">
        <f>Normalized_FCF!G8</f>
        <v>966307</v>
      </c>
      <c r="D7" t="str">
        <f>Reporting_currency</f>
        <v>CNY</v>
      </c>
      <c r="E7" s="371"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71"/>
      <c r="H7" s="247">
        <v>4</v>
      </c>
      <c r="I7" s="124" t="str">
        <f t="shared" si="0"/>
        <v/>
      </c>
    </row>
    <row r="8" spans="2:9">
      <c r="B8" s="100" t="s">
        <v>66</v>
      </c>
      <c r="C8" s="338">
        <f>Normalized_FCF!G19</f>
        <v>632498.42340470827</v>
      </c>
      <c r="D8" t="str">
        <f>Reporting_currency</f>
        <v>CNY</v>
      </c>
      <c r="E8" s="371"/>
      <c r="F8" s="371"/>
      <c r="H8" s="247">
        <v>5</v>
      </c>
      <c r="I8" s="124" t="str">
        <f t="shared" si="0"/>
        <v/>
      </c>
    </row>
    <row r="9" spans="2:9">
      <c r="B9" s="100" t="s">
        <v>57</v>
      </c>
      <c r="C9" s="338">
        <f>Normalized_FCF!C19</f>
        <v>569161.93498729635</v>
      </c>
      <c r="D9" t="str">
        <f>Reporting_currency</f>
        <v>CNY</v>
      </c>
      <c r="E9" s="371"/>
      <c r="F9" s="371"/>
      <c r="H9" s="247">
        <v>6</v>
      </c>
      <c r="I9" s="124" t="str">
        <f t="shared" si="0"/>
        <v/>
      </c>
    </row>
    <row r="10" spans="2:9">
      <c r="E10" s="371"/>
      <c r="F10" s="371"/>
      <c r="H10" s="247">
        <v>7</v>
      </c>
      <c r="I10" s="124" t="str">
        <f t="shared" si="0"/>
        <v/>
      </c>
    </row>
    <row r="11" spans="2:9" ht="13.15">
      <c r="B11" s="159" t="s">
        <v>444</v>
      </c>
      <c r="E11" s="371"/>
      <c r="F11" s="371"/>
      <c r="H11" s="247">
        <v>8</v>
      </c>
      <c r="I11" s="124" t="str">
        <f t="shared" si="0"/>
        <v/>
      </c>
    </row>
    <row r="12" spans="2:9">
      <c r="B12" s="118" t="s">
        <v>143</v>
      </c>
      <c r="C12" s="158">
        <f ca="1">(Normalized_FCF!G4/OFFSET(Normalized_FCF!G4, 0, $C$4))^(1/$C$4) - 1</f>
        <v>-3.750240119526338E-2</v>
      </c>
      <c r="D12" s="158"/>
      <c r="E12" s="371"/>
      <c r="F12" s="371"/>
      <c r="H12" s="247">
        <v>9</v>
      </c>
      <c r="I12" s="124" t="str">
        <f t="shared" si="0"/>
        <v/>
      </c>
    </row>
    <row r="13" spans="2:9">
      <c r="B13" s="148" t="s">
        <v>151</v>
      </c>
      <c r="C13" s="158">
        <f ca="1">(Normalized_FCF!G8/OFFSET(Normalized_FCF!G8, 0, $C$4))^(1/$C$4) - 1</f>
        <v>-0.20361731775539216</v>
      </c>
      <c r="E13" s="371"/>
      <c r="F13" s="371"/>
      <c r="H13" s="247">
        <v>10</v>
      </c>
      <c r="I13" s="124" t="str">
        <f t="shared" si="0"/>
        <v/>
      </c>
    </row>
    <row r="14" spans="2:9">
      <c r="B14" s="100" t="s">
        <v>66</v>
      </c>
      <c r="C14" s="158">
        <f ca="1">(Normalized_FCF!G19/OFFSET(Normalized_FCF!G19, 0, $C$4))^(1/$C$4) - 1</f>
        <v>-9.0443280496378065E-2</v>
      </c>
      <c r="E14" s="371"/>
      <c r="F14" s="371"/>
    </row>
    <row r="16" spans="2:9" ht="13.9">
      <c r="B16" s="36" t="s">
        <v>161</v>
      </c>
      <c r="C16" s="37"/>
      <c r="D16" s="37"/>
      <c r="E16" s="37"/>
      <c r="F16" s="37"/>
    </row>
    <row r="17" spans="2:6" ht="13.15">
      <c r="B17" s="109" t="s">
        <v>150</v>
      </c>
      <c r="E17" s="159" t="s">
        <v>326</v>
      </c>
    </row>
    <row r="18" spans="2:6">
      <c r="B18" s="152" t="s">
        <v>132</v>
      </c>
      <c r="C18" s="150">
        <v>10</v>
      </c>
      <c r="E18" s="371" t="s">
        <v>327</v>
      </c>
      <c r="F18" s="372"/>
    </row>
    <row r="19" spans="2:6">
      <c r="E19" s="372"/>
      <c r="F19" s="372"/>
    </row>
    <row r="20" spans="2:6" ht="13.15">
      <c r="B20" s="159" t="s">
        <v>302</v>
      </c>
      <c r="E20" s="372"/>
      <c r="F20" s="372"/>
    </row>
    <row r="21" spans="2:6">
      <c r="B21" s="100" t="s">
        <v>276</v>
      </c>
      <c r="C21" s="160">
        <f>Market_Price</f>
        <v>2.08</v>
      </c>
      <c r="D21" t="str">
        <f>Market_currency</f>
        <v>HKD</v>
      </c>
      <c r="E21" s="372"/>
      <c r="F21" s="372"/>
    </row>
    <row r="22" spans="2:6">
      <c r="B22" s="100" t="s">
        <v>277</v>
      </c>
      <c r="C22" s="160">
        <f>IF(valuation_method="DCF",DCF!C12,DDM!C7)</f>
        <v>3.1778120217051757</v>
      </c>
      <c r="D22" t="str">
        <f>Market_currency</f>
        <v>HKD</v>
      </c>
      <c r="E22" s="372"/>
      <c r="F22" s="372"/>
    </row>
    <row r="24" spans="2:6" ht="13.15">
      <c r="B24" s="159" t="s">
        <v>114</v>
      </c>
      <c r="E24" s="159" t="s">
        <v>148</v>
      </c>
      <c r="F24" s="159"/>
    </row>
    <row r="25" spans="2:6">
      <c r="B25" s="152" t="s">
        <v>132</v>
      </c>
      <c r="C25" s="166">
        <f>C18</f>
        <v>10</v>
      </c>
      <c r="D25" s="163"/>
      <c r="E25" s="370"/>
      <c r="F25" s="370"/>
    </row>
    <row r="26" spans="2:6">
      <c r="B26" s="118" t="s">
        <v>133</v>
      </c>
      <c r="C26" s="164">
        <v>0.02</v>
      </c>
      <c r="D26" s="164"/>
      <c r="E26" s="370"/>
      <c r="F26" s="370"/>
    </row>
    <row r="27" spans="2:6">
      <c r="B27" s="100" t="s">
        <v>112</v>
      </c>
      <c r="C27" s="160">
        <f>IF(valuation_method="DCF",DCF!E76,DDM!E71)</f>
        <v>3.2915778895904935</v>
      </c>
      <c r="D27" s="160" t="str">
        <f>Market_currency</f>
        <v>HKD</v>
      </c>
      <c r="E27" s="370"/>
      <c r="F27" s="370"/>
    </row>
    <row r="28" spans="2:6">
      <c r="B28" s="100" t="s">
        <v>146</v>
      </c>
      <c r="C28" s="165">
        <v>0.6</v>
      </c>
      <c r="D28" s="165"/>
      <c r="E28" s="370"/>
      <c r="F28" s="370"/>
    </row>
    <row r="30" spans="2:6" ht="13.15">
      <c r="B30" s="159" t="s">
        <v>115</v>
      </c>
      <c r="E30" s="159" t="s">
        <v>148</v>
      </c>
      <c r="F30" s="159"/>
    </row>
    <row r="31" spans="2:6">
      <c r="B31" s="152" t="s">
        <v>132</v>
      </c>
      <c r="C31" s="166">
        <f>C18</f>
        <v>10</v>
      </c>
      <c r="D31" s="163"/>
      <c r="E31" s="370"/>
      <c r="F31" s="370"/>
    </row>
    <row r="32" spans="2:6">
      <c r="B32" s="118" t="s">
        <v>133</v>
      </c>
      <c r="C32" s="164">
        <v>0</v>
      </c>
      <c r="D32" s="164"/>
      <c r="E32" s="370"/>
      <c r="F32" s="370"/>
    </row>
    <row r="33" spans="2:6">
      <c r="B33" s="100" t="s">
        <v>112</v>
      </c>
      <c r="C33" s="160">
        <f>IF(valuation_method="DCF",DCF!E77,DDM!E72)</f>
        <v>3.1778120217051753</v>
      </c>
      <c r="D33" t="str">
        <f>Market_currency</f>
        <v>HKD</v>
      </c>
      <c r="E33" s="370"/>
      <c r="F33" s="370"/>
    </row>
    <row r="34" spans="2:6">
      <c r="B34" s="100" t="s">
        <v>146</v>
      </c>
      <c r="C34" s="165">
        <v>0.2</v>
      </c>
      <c r="D34" s="165"/>
      <c r="E34" s="370"/>
      <c r="F34" s="370"/>
    </row>
    <row r="36" spans="2:6" ht="13.15">
      <c r="B36" s="159" t="s">
        <v>113</v>
      </c>
      <c r="E36" s="159" t="s">
        <v>148</v>
      </c>
      <c r="F36" s="159"/>
    </row>
    <row r="37" spans="2:6">
      <c r="B37" s="152" t="s">
        <v>132</v>
      </c>
      <c r="C37" s="166">
        <f>C18</f>
        <v>10</v>
      </c>
      <c r="D37" s="163"/>
      <c r="E37" s="370"/>
      <c r="F37" s="370"/>
    </row>
    <row r="38" spans="2:6">
      <c r="B38" s="118" t="s">
        <v>133</v>
      </c>
      <c r="C38" s="164">
        <v>0.03</v>
      </c>
      <c r="D38" s="164"/>
      <c r="E38" s="370"/>
      <c r="F38" s="370"/>
    </row>
    <row r="39" spans="2:6">
      <c r="B39" s="100" t="s">
        <v>112</v>
      </c>
      <c r="C39" s="160">
        <f>IF(valuation_method="DCF",DCF!E75,DDM!E70)</f>
        <v>3.3526279566817245</v>
      </c>
      <c r="D39" t="str">
        <f>Market_currency</f>
        <v>HKD</v>
      </c>
      <c r="E39" s="370"/>
      <c r="F39" s="370"/>
    </row>
    <row r="40" spans="2:6">
      <c r="B40" s="100" t="s">
        <v>146</v>
      </c>
      <c r="C40" s="167">
        <f>1-C28-C34</f>
        <v>0.2</v>
      </c>
      <c r="D40" s="165"/>
      <c r="E40" s="370"/>
      <c r="F40" s="370"/>
    </row>
    <row r="42" spans="2:6" ht="13.15">
      <c r="B42" s="100" t="s">
        <v>119</v>
      </c>
      <c r="C42" s="154">
        <f>C27*C28+C33*C34+C39*C40</f>
        <v>3.281034729431676</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70"/>
      <c r="F49" s="370"/>
    </row>
    <row r="50" spans="2:6">
      <c r="B50" s="118" t="s">
        <v>133</v>
      </c>
      <c r="C50" s="164">
        <v>-0.02</v>
      </c>
      <c r="D50" s="164"/>
      <c r="E50" s="370"/>
      <c r="F50" s="370"/>
    </row>
    <row r="51" spans="2:6">
      <c r="B51" s="100" t="s">
        <v>112</v>
      </c>
      <c r="C51" s="160">
        <f>IF(valuation_method="DCF",DCF!E78,DDM!E73)</f>
        <v>3.0188791287909948</v>
      </c>
      <c r="D51" t="str">
        <f>Market_currency</f>
        <v>HKD</v>
      </c>
      <c r="E51" s="370"/>
      <c r="F51" s="370"/>
    </row>
    <row r="52" spans="2:6">
      <c r="B52" s="100" t="s">
        <v>146</v>
      </c>
      <c r="C52" s="165">
        <v>0.05</v>
      </c>
      <c r="D52" s="165"/>
      <c r="E52" s="370"/>
      <c r="F52" s="370"/>
    </row>
    <row r="54" spans="2:6" ht="13.15">
      <c r="B54" s="159" t="s">
        <v>313</v>
      </c>
      <c r="E54" s="159" t="s">
        <v>148</v>
      </c>
      <c r="F54" s="159"/>
    </row>
    <row r="55" spans="2:6">
      <c r="B55" s="152" t="s">
        <v>132</v>
      </c>
      <c r="C55" s="166">
        <f>C46</f>
        <v>15</v>
      </c>
      <c r="D55" s="163"/>
      <c r="E55" s="370"/>
      <c r="F55" s="370"/>
    </row>
    <row r="56" spans="2:6">
      <c r="B56" s="118" t="s">
        <v>133</v>
      </c>
      <c r="C56" s="164">
        <v>0.05</v>
      </c>
      <c r="D56" s="164"/>
      <c r="E56" s="370"/>
      <c r="F56" s="370"/>
    </row>
    <row r="57" spans="2:6">
      <c r="B57" s="100" t="s">
        <v>112</v>
      </c>
      <c r="C57" s="160">
        <f>IF(valuation_method="DCF",DCF!E74,DDM!E69)</f>
        <v>3.7031823466187772</v>
      </c>
      <c r="D57" t="str">
        <f>Market_currency</f>
        <v>HKD</v>
      </c>
      <c r="E57" s="370"/>
      <c r="F57" s="370"/>
    </row>
    <row r="58" spans="2:6">
      <c r="B58" s="100" t="s">
        <v>146</v>
      </c>
      <c r="C58" s="165">
        <v>0.05</v>
      </c>
      <c r="D58" s="165"/>
      <c r="E58" s="370"/>
      <c r="F58" s="370"/>
    </row>
    <row r="60" spans="2:6" ht="13.15">
      <c r="B60" s="100" t="s">
        <v>119</v>
      </c>
      <c r="C60" s="154">
        <f>C51*C52+C57*C58+C42*(1-C52-C58)</f>
        <v>3.2890343302589971</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0.02</v>
      </c>
      <c r="D65" s="151"/>
      <c r="E65" s="251" t="s">
        <v>309</v>
      </c>
    </row>
    <row r="66" spans="2:6">
      <c r="B66" s="100" t="s">
        <v>102</v>
      </c>
      <c r="C66" s="160">
        <f>IF(valuation_method="DCF",DCF!C18,DDM!C13)</f>
        <v>3.291577889590493</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0.41849725809070237</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9.0000000000000011E-2</v>
      </c>
      <c r="D77" t="str">
        <f>Market_currency</f>
        <v>HKD</v>
      </c>
    </row>
    <row r="79" spans="2:6" ht="13.15">
      <c r="B79" s="109" t="s">
        <v>300</v>
      </c>
    </row>
    <row r="80" spans="2:6">
      <c r="B80" s="148" t="s">
        <v>298</v>
      </c>
      <c r="C80" s="167">
        <f>Thesis!F29</f>
        <v>0.35</v>
      </c>
    </row>
    <row r="81" spans="2:8">
      <c r="B81" s="100" t="s">
        <v>120</v>
      </c>
      <c r="C81" s="116">
        <f>PV(C80, C76, -C77, 0)</f>
        <v>0.15262917238225884</v>
      </c>
      <c r="D81" s="116"/>
      <c r="E81" s="100"/>
      <c r="F81" s="100"/>
    </row>
    <row r="82" spans="2:8">
      <c r="B82" s="100" t="s">
        <v>121</v>
      </c>
      <c r="C82" s="116">
        <f>C60/(1+C80)^C76</f>
        <v>1.3368020445090674</v>
      </c>
      <c r="D82" s="116"/>
    </row>
    <row r="83" spans="2:8" ht="13.15">
      <c r="B83" s="110" t="s">
        <v>101</v>
      </c>
      <c r="C83" s="111">
        <f>C81+C82</f>
        <v>1.4894312168913262</v>
      </c>
      <c r="D83" t="str">
        <f>Market_currency</f>
        <v>HKD</v>
      </c>
      <c r="E83" s="146" t="s">
        <v>125</v>
      </c>
      <c r="F83" s="291">
        <f>(1-C83/C60)</f>
        <v>0.54715242611224424</v>
      </c>
    </row>
    <row r="84" spans="2:8">
      <c r="E84" s="120"/>
    </row>
    <row r="85" spans="2:8" ht="13.15">
      <c r="B85" s="109" t="s">
        <v>301</v>
      </c>
    </row>
    <row r="86" spans="2:8">
      <c r="B86" s="148" t="s">
        <v>299</v>
      </c>
      <c r="C86" s="116">
        <f>Market_Price</f>
        <v>2.08</v>
      </c>
      <c r="D86" t="str">
        <f>Market_currency</f>
        <v>HKD</v>
      </c>
    </row>
    <row r="87" spans="2:8" ht="13.15">
      <c r="B87" s="100" t="s">
        <v>297</v>
      </c>
      <c r="C87" s="237">
        <f ca="1">IRR(OFFSET($I$3, 0, 0, $C$76 + 1, 1))</f>
        <v>0.20257445758646853</v>
      </c>
    </row>
    <row r="88" spans="2:8">
      <c r="B88" s="100"/>
    </row>
    <row r="89" spans="2:8" ht="13.15">
      <c r="B89" s="109" t="s">
        <v>409</v>
      </c>
    </row>
    <row r="90" spans="2:8">
      <c r="B90" s="148" t="s">
        <v>410</v>
      </c>
      <c r="C90" s="167">
        <f>Thesis!F30</f>
        <v>0.25</v>
      </c>
    </row>
    <row r="91" spans="2:8">
      <c r="B91" s="100" t="s">
        <v>120</v>
      </c>
      <c r="C91" s="116">
        <f>PV(C90, C76, -C77, 0)</f>
        <v>0.17568</v>
      </c>
      <c r="D91" s="116"/>
      <c r="E91" s="100"/>
      <c r="F91" s="100"/>
    </row>
    <row r="92" spans="2:8">
      <c r="B92" s="100" t="s">
        <v>121</v>
      </c>
      <c r="C92" s="116">
        <f>C60/(1+C90)^C76</f>
        <v>1.6839855770926064</v>
      </c>
      <c r="D92" s="116"/>
    </row>
    <row r="93" spans="2:8" ht="13.15">
      <c r="B93" s="110" t="s">
        <v>101</v>
      </c>
      <c r="C93" s="111">
        <f>C91+C92</f>
        <v>1.8596655770926065</v>
      </c>
      <c r="D93" t="str">
        <f>Market_currency</f>
        <v>HKD</v>
      </c>
      <c r="E93" s="146" t="s">
        <v>125</v>
      </c>
      <c r="F93" s="291">
        <f>(1-C93/C60)</f>
        <v>0.4345861458532827</v>
      </c>
    </row>
    <row r="95" spans="2:8" ht="13.15">
      <c r="B95" s="109" t="s">
        <v>394</v>
      </c>
      <c r="G95" s="2"/>
      <c r="H95" s="281"/>
    </row>
    <row r="96" spans="2:8">
      <c r="B96" s="148" t="s">
        <v>400</v>
      </c>
      <c r="C96" s="134">
        <f>Thesis!F31</f>
        <v>7.4999999999999997E-2</v>
      </c>
      <c r="G96" s="2"/>
      <c r="H96" s="281"/>
    </row>
    <row r="97" spans="2:8">
      <c r="B97" s="100" t="s">
        <v>120</v>
      </c>
      <c r="C97" s="116">
        <f>PV(C96, C76, -C77, 0)</f>
        <v>0.23404731658847641</v>
      </c>
      <c r="D97" s="116"/>
      <c r="G97" s="2"/>
      <c r="H97" s="281"/>
    </row>
    <row r="98" spans="2:8">
      <c r="B98" s="100" t="s">
        <v>121</v>
      </c>
      <c r="C98" s="116">
        <f>C60/(1+C96)^C76</f>
        <v>2.6475429476219179</v>
      </c>
      <c r="D98" s="116"/>
      <c r="G98" s="2"/>
      <c r="H98" s="281"/>
    </row>
    <row r="99" spans="2:8" ht="13.15">
      <c r="B99" s="110" t="s">
        <v>395</v>
      </c>
      <c r="C99" s="111">
        <f>C97+C98</f>
        <v>2.8815902642103941</v>
      </c>
      <c r="D99" t="s">
        <v>393</v>
      </c>
      <c r="E99" s="146" t="s">
        <v>125</v>
      </c>
      <c r="F99" s="291">
        <f>(1-C99/C60)</f>
        <v>0.1238795418765114</v>
      </c>
    </row>
    <row r="100" spans="2:8">
      <c r="B100" s="100"/>
    </row>
    <row r="101" spans="2:8" ht="13.15">
      <c r="B101" s="109" t="s">
        <v>419</v>
      </c>
    </row>
    <row r="102" spans="2:8">
      <c r="B102" s="148" t="s">
        <v>418</v>
      </c>
      <c r="C102" s="134">
        <f>Thesis!F32</f>
        <v>0.1174</v>
      </c>
    </row>
    <row r="103" spans="2:8">
      <c r="B103" s="100" t="s">
        <v>120</v>
      </c>
      <c r="C103" s="116">
        <f>PV(C102, C76, -C77, 0)</f>
        <v>0.21713428133447846</v>
      </c>
      <c r="D103" s="116"/>
    </row>
    <row r="104" spans="2:8">
      <c r="B104" s="100" t="s">
        <v>121</v>
      </c>
      <c r="C104" s="116">
        <f>C60/(1+C102)^C76</f>
        <v>2.3574495391956169</v>
      </c>
      <c r="D104" s="116"/>
    </row>
    <row r="105" spans="2:8" ht="13.15">
      <c r="B105" s="110" t="s">
        <v>395</v>
      </c>
      <c r="C105" s="111">
        <f>C103+C104</f>
        <v>2.5745838205300955</v>
      </c>
      <c r="D105" t="s">
        <v>393</v>
      </c>
      <c r="E105" s="146" t="s">
        <v>125</v>
      </c>
      <c r="F105" s="291">
        <f>(1-C105/C66)</f>
        <v>0.21782685785071887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743227-EA41-4167-920B-2F5E993933DC}">
  <dimension ref="B2:E2"/>
  <sheetViews>
    <sheetView showGridLines="0" tabSelected="1" workbookViewId="0">
      <selection activeCell="E38" sqref="E38"/>
    </sheetView>
  </sheetViews>
  <sheetFormatPr defaultRowHeight="12.75"/>
  <cols>
    <col min="1" max="1" width="2.59765625" style="360" customWidth="1"/>
    <col min="2" max="2" width="22.73046875" style="360" customWidth="1"/>
    <col min="3" max="5" width="20.73046875" style="360" customWidth="1"/>
    <col min="6" max="16384" width="9.06640625" style="360"/>
  </cols>
  <sheetData>
    <row r="2" spans="2:5" ht="13.9">
      <c r="B2" s="358" t="s">
        <v>457</v>
      </c>
      <c r="C2" s="359"/>
      <c r="D2" s="359"/>
      <c r="E2" s="35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2025-07-10T09:22:26Z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