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31BCF16-82DA-4E09-8522-E8DBA6A41BC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<sst xmlns="http://schemas.openxmlformats.org/spreadsheetml/2006/main" count="685" uniqueCount="466">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</sst>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2.0299999999999998</v>
      </c>
      <c r="D12" s="50"/>
      <c r="E12" s="48"/>
    </row>
    <row r="13" spans="1:10">
      <c r="B13" s="1" t="s">
        <v>416</v>
      </c>
      <c r="C13" s="48" t="s">
        <v>396</v>
      </c>
      <c r="D13" s="48"/>
      <c r="E13" s="5"/>
    </row>
    <row r="14" spans="1:10">
      <c r="B14" s="4" t="s">
        <v>420</v>
      </c>
      <c r="C14" s="35">
        <f>Thesis!C12*Common_Shares/1000000</f>
        <v>9358.2999999999993</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1.0894403000000001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3.2806387620728756</v>
      </c>
      <c r="D26" s="1" t="s">
        <v>399</v>
      </c>
      <c r="E26" s="301">
        <f ca="1">Scenarios!C87</f>
        <v>0.21600826601499645</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1.4488589639218394</v>
      </c>
      <c r="D29" s="310" t="str">
        <f>D149</f>
        <v/>
      </c>
      <c r="E29" s="306" t="s">
        <v>424</v>
      </c>
      <c r="F29" s="302">
        <v>0.3674</v>
      </c>
    </row>
    <row r="30" spans="2:6">
      <c r="B30" s="1" t="s">
        <v>426</v>
      </c>
      <c r="C30" s="311">
        <f>C157</f>
        <v>2.0233106954301752</v>
      </c>
      <c r="D30" s="311" t="str">
        <f>D157</f>
        <v/>
      </c>
      <c r="E30" s="307" t="s">
        <v>437</v>
      </c>
      <c r="F30" s="312">
        <v>0.21740000000000001</v>
      </c>
    </row>
    <row r="31" spans="2:6">
      <c r="B31" s="1" t="s">
        <v>427</v>
      </c>
      <c r="C31" s="311">
        <f>C165</f>
        <v>2.9008374202606571</v>
      </c>
      <c r="D31" s="311" t="str">
        <f>D165</f>
        <v/>
      </c>
      <c r="E31" s="307" t="s">
        <v>436</v>
      </c>
      <c r="F31" s="312">
        <v>7.4999999999999997E-2</v>
      </c>
    </row>
    <row r="32" spans="2:6">
      <c r="B32" s="1" t="s">
        <v>428</v>
      </c>
      <c r="C32" s="311">
        <f>C173</f>
        <v>2.5926922410368149</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928439.85014218651</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9" t="s">
        <v>241</v>
      </c>
      <c r="C58" s="359"/>
      <c r="D58" s="359"/>
      <c r="E58" s="359"/>
      <c r="F58" s="359"/>
    </row>
    <row r="59" spans="2:6">
      <c r="B59" s="47" t="s">
        <v>239</v>
      </c>
      <c r="C59" s="349">
        <f>Normalized_FCF!C14</f>
        <v>-233268.98647286888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6.6258609918589978E-2</v>
      </c>
      <c r="F69" s="314"/>
    </row>
    <row r="70" spans="1:6">
      <c r="B70" s="227" t="s">
        <v>308</v>
      </c>
      <c r="C70" s="92">
        <f>Normalized_FCF!C93</f>
        <v>4.9261083743842374E-2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1.793399708463169</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2119124</v>
      </c>
      <c r="D102" s="1" t="str">
        <f>Reporting_currency</f>
        <v>CNY</v>
      </c>
    </row>
    <row r="103" spans="2:6">
      <c r="B103" s="47" t="s">
        <v>281</v>
      </c>
      <c r="C103" s="223">
        <f>C102*scaling_factor*Exchange_Rate/Common_Shares</f>
        <v>0.50079372804711497</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1.8587371732401923</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1.2425669240321043E-2</v>
      </c>
      <c r="D114" s="1" t="str">
        <f>Market_currency</f>
        <v>HKD</v>
      </c>
    </row>
    <row r="116" spans="1:6" ht="24.5" customHeight="1">
      <c r="B116" s="358" t="s">
        <v>366</v>
      </c>
      <c r="C116" s="358"/>
      <c r="D116" s="358"/>
      <c r="E116" s="358"/>
      <c r="F116" s="358"/>
    </row>
    <row r="118" spans="1:6">
      <c r="B118" s="47" t="s">
        <v>449</v>
      </c>
      <c r="C118" s="223">
        <f>IF(valuation_method="DCF",DCF!C12,DDM!C7)</f>
        <v>3.1637688228965679</v>
      </c>
      <c r="D118" s="1" t="str">
        <f>Market_currency</f>
        <v>HKD</v>
      </c>
    </row>
    <row r="119" spans="1:6">
      <c r="B119" s="296" t="s">
        <v>405</v>
      </c>
      <c r="C119" s="223">
        <f>BS!D47</f>
        <v>1.840499083973639</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3.45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3.16 HKD</v>
      </c>
      <c r="F130" s="221">
        <f>DCF!F78</f>
        <v>0.05</v>
      </c>
    </row>
    <row r="132" spans="1:6">
      <c r="B132" s="211" t="s">
        <v>258</v>
      </c>
      <c r="C132" s="217">
        <f>Scenarios!C60</f>
        <v>3.2806387620728756</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1.2831330319853536</v>
      </c>
    </row>
    <row r="149" spans="2:4">
      <c r="B149" s="80" t="s">
        <v>260</v>
      </c>
      <c r="C149" s="215">
        <f>Scenarios!C83</f>
        <v>1.4488589639218394</v>
      </c>
      <c r="D149" s="300" t="str">
        <f>IF($D$11="","",C149*$E$25)</f>
        <v/>
      </c>
    </row>
    <row r="150" spans="2:4">
      <c r="B150" s="259" t="s">
        <v>416</v>
      </c>
      <c r="C150" s="298" t="str">
        <f>Market_currency</f>
        <v>HKD</v>
      </c>
      <c r="D150" s="298" t="str">
        <f>IF($D$11="","",D$13)</f>
        <v/>
      </c>
    </row>
    <row r="151" spans="2:4">
      <c r="B151" s="214" t="s">
        <v>262</v>
      </c>
      <c r="C151" s="92">
        <f>Scenarios!F83</f>
        <v>0.55836071295872391</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1.8182706130436814</v>
      </c>
    </row>
    <row r="157" spans="2:4">
      <c r="B157" s="80" t="s">
        <v>260</v>
      </c>
      <c r="C157" s="215">
        <f>Scenarios!C93</f>
        <v>2.0233106954301752</v>
      </c>
      <c r="D157" s="300" t="str">
        <f>IF($D$11="","",C157*$E$25)</f>
        <v/>
      </c>
    </row>
    <row r="158" spans="2:4">
      <c r="B158" s="259" t="s">
        <v>416</v>
      </c>
      <c r="C158" s="298" t="str">
        <f>Market_currency</f>
        <v>HKD</v>
      </c>
      <c r="D158" s="298" t="str">
        <f>IF($D$11="","",D$13)</f>
        <v/>
      </c>
    </row>
    <row r="159" spans="2:4">
      <c r="B159" s="214" t="s">
        <v>262</v>
      </c>
      <c r="C159" s="92">
        <f>Scenarios!F93</f>
        <v>0.38325709041133693</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2.6407848462734611</v>
      </c>
    </row>
    <row r="165" spans="2:4">
      <c r="B165" s="80" t="s">
        <v>401</v>
      </c>
      <c r="C165" s="215">
        <f>Scenarios!C99</f>
        <v>2.9008374202606571</v>
      </c>
      <c r="D165" s="300" t="str">
        <f>IF($D$11="","",C165*$E$25)</f>
        <v/>
      </c>
    </row>
    <row r="166" spans="2:4">
      <c r="B166" s="259" t="s">
        <v>416</v>
      </c>
      <c r="C166" s="298" t="str">
        <f>Market_currency</f>
        <v>HKD</v>
      </c>
      <c r="D166" s="298" t="str">
        <f>IF($D$11="","",D$13)</f>
        <v/>
      </c>
    </row>
    <row r="167" spans="2:4">
      <c r="B167" s="214" t="s">
        <v>262</v>
      </c>
      <c r="C167" s="92">
        <f>Scenarios!F99</f>
        <v>0.11577054633477557</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2.3514319284429499</v>
      </c>
    </row>
    <row r="173" spans="2:4">
      <c r="B173" s="80" t="s">
        <v>401</v>
      </c>
      <c r="C173" s="215">
        <f>Scenarios!C105</f>
        <v>2.5926922410368149</v>
      </c>
      <c r="D173" s="300" t="str">
        <f>IF($D$11="","",C173*$E$25)</f>
        <v/>
      </c>
    </row>
    <row r="174" spans="2:4">
      <c r="B174" s="259" t="s">
        <v>416</v>
      </c>
      <c r="C174" s="298" t="str">
        <f>Market_currency</f>
        <v>HKD</v>
      </c>
      <c r="D174" s="298" t="str">
        <f>IF($D$11="","",D$13)</f>
        <v/>
      </c>
    </row>
    <row r="175" spans="2:4">
      <c r="B175" s="214" t="s">
        <v>262</v>
      </c>
      <c r="C175" s="92">
        <f>Scenarios!F105</f>
        <v>0.20882912164921263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0.13160438824000001</v>
      </c>
      <c r="D25" s="39">
        <f>0.207*Exchange_Rate</f>
        <v>0.22551414210000001</v>
      </c>
      <c r="E25" s="39">
        <f>0.178*Exchange_Rate</f>
        <v>0.19392037340000001</v>
      </c>
      <c r="F25" s="39">
        <f>0.155*Exchange_Rate</f>
        <v>0.16886324650000001</v>
      </c>
      <c r="G25" s="39">
        <f>0.08*Exchange_Rate</f>
        <v>8.7155224000000017E-2</v>
      </c>
      <c r="H25" s="39">
        <f>0.076*Exchange_Rate</f>
        <v>8.2797462800000013E-2</v>
      </c>
      <c r="I25" s="39">
        <f>0.15*Exchange_Rate</f>
        <v>0.16341604500000001</v>
      </c>
      <c r="J25" s="39">
        <f>0.005*Exchange_Rate</f>
        <v>5.4472015000000011E-3</v>
      </c>
      <c r="K25" s="39">
        <f>0.05*Exchange_Rate</f>
        <v>5.4472015000000013E-2</v>
      </c>
      <c r="L25" s="39">
        <f>0.08*Exchange_Rate</f>
        <v>8.7155224000000017E-2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0.13160438824000001</v>
      </c>
      <c r="D65" s="73">
        <f t="shared" ref="D65:M65" si="33">IF(D$4="","",D25)</f>
        <v>0.22551414210000001</v>
      </c>
      <c r="E65" s="73">
        <f t="shared" si="33"/>
        <v>0.19392037340000001</v>
      </c>
      <c r="F65" s="73">
        <f t="shared" si="33"/>
        <v>0.16886324650000001</v>
      </c>
      <c r="G65" s="73">
        <f t="shared" si="33"/>
        <v>8.7155224000000017E-2</v>
      </c>
      <c r="H65" s="73">
        <f t="shared" si="33"/>
        <v>8.2797462800000013E-2</v>
      </c>
      <c r="I65" s="73">
        <f t="shared" si="33"/>
        <v>0.16341604500000001</v>
      </c>
      <c r="J65" s="73">
        <f t="shared" si="33"/>
        <v>5.4472015000000011E-3</v>
      </c>
      <c r="K65" s="73">
        <f t="shared" si="33"/>
        <v>5.4472015000000013E-2</v>
      </c>
      <c r="L65" s="73">
        <f t="shared" si="33"/>
        <v>8.7155224000000017E-2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4.3502643855451417</v>
      </c>
      <c r="D47" s="147">
        <f>D46*H1/Common_Shares*Exchange_Rate</f>
        <v>1.840499083973639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-965570.68581553327</v>
      </c>
      <c r="D73" s="349">
        <f>(Normalized_FCF!C25+Normalized_FCF!C35-Normalized_FCF!C91)/12</f>
        <v>-956584.92915481783</v>
      </c>
      <c r="F73" s="1" t="s">
        <v>351</v>
      </c>
    </row>
    <row r="74" spans="2:6" ht="15" customHeight="1">
      <c r="B74" s="257" t="s">
        <v>321</v>
      </c>
      <c r="C74" s="258">
        <f>-$C$66/C73</f>
        <v>12.108531433019934</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-2308659.0862972005</v>
      </c>
      <c r="D86" s="223">
        <f>C86*scaling_factor/Common_Shares</f>
        <v>-0.50079372804711508</v>
      </c>
      <c r="E86" s="240" t="str">
        <f>Market_currency</f>
        <v>HKD</v>
      </c>
    </row>
    <row r="87" spans="2:8" ht="15" customHeight="1">
      <c r="B87" s="238" t="s">
        <v>287</v>
      </c>
      <c r="C87" s="76">
        <f>DCF!C8*Exchange_Rate</f>
        <v>8568778.3686372861</v>
      </c>
      <c r="D87" s="223">
        <f>C87*scaling_factor/Common_Shares</f>
        <v>1.8587371732401923</v>
      </c>
      <c r="E87" s="240" t="str">
        <f>Market_currency</f>
        <v>HKD</v>
      </c>
    </row>
    <row r="88" spans="2:8" ht="15" customHeight="1">
      <c r="B88" s="239" t="s">
        <v>189</v>
      </c>
      <c r="C88" s="76">
        <f>DCF!C9*Exchange_Rate</f>
        <v>57282.335197880006</v>
      </c>
      <c r="D88" s="223">
        <f>C88*scaling_factor/Common_Shares</f>
        <v>1.2425669240321043E-2</v>
      </c>
      <c r="E88" s="240" t="str">
        <f>Market_currency</f>
        <v>HKD</v>
      </c>
    </row>
    <row r="89" spans="2:8" ht="15" customHeight="1">
      <c r="B89" s="80" t="s">
        <v>291</v>
      </c>
      <c r="C89" s="180">
        <f>SUM(C86:C88)</f>
        <v>6317401.6175379651</v>
      </c>
      <c r="D89" s="242">
        <f>SUM(D86:D88)</f>
        <v>1.3703691144333983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0.13160438824000001</v>
      </c>
      <c r="H90" s="112">
        <f>Data!D65</f>
        <v>0.22551414210000001</v>
      </c>
      <c r="I90" s="112">
        <f>Data!E65</f>
        <v>0.19392037340000001</v>
      </c>
      <c r="J90" s="112">
        <f>Data!F65</f>
        <v>0.16886324650000001</v>
      </c>
      <c r="K90" s="112">
        <f>Data!G65</f>
        <v>8.7155224000000017E-2</v>
      </c>
      <c r="L90" s="112">
        <f>Data!H65</f>
        <v>8.2797462800000013E-2</v>
      </c>
      <c r="M90" s="112">
        <f>Data!I65</f>
        <v>0.16341604500000001</v>
      </c>
      <c r="N90" s="112">
        <f>Data!J65</f>
        <v>5.4472015000000011E-3</v>
      </c>
      <c r="O90" s="112">
        <f>Data!K65</f>
        <v>5.4472015000000013E-2</v>
      </c>
      <c r="P90" s="112">
        <f>Data!L65</f>
        <v>8.7155224000000017E-2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606696.2297864001</v>
      </c>
      <c r="H91" s="74">
        <f t="shared" si="37"/>
        <v>1039620.1950810001</v>
      </c>
      <c r="I91" s="74">
        <f t="shared" si="37"/>
        <v>893972.92137400003</v>
      </c>
      <c r="J91" s="74">
        <f t="shared" si="37"/>
        <v>778459.56636499998</v>
      </c>
      <c r="K91" s="74">
        <f t="shared" si="37"/>
        <v>401785.5826400001</v>
      </c>
      <c r="L91" s="74">
        <f t="shared" si="37"/>
        <v>381696.3035080001</v>
      </c>
      <c r="M91" s="74">
        <f t="shared" si="37"/>
        <v>753347.96745</v>
      </c>
      <c r="N91" s="74">
        <f t="shared" si="37"/>
        <v>25111.598915000006</v>
      </c>
      <c r="O91" s="74">
        <f t="shared" si="37"/>
        <v>251115.98915000007</v>
      </c>
      <c r="P91" s="74">
        <f t="shared" si="37"/>
        <v>401785.5826400001</v>
      </c>
      <c r="Q91" s="74" t="str">
        <f t="shared" si="37"/>
        <v/>
      </c>
    </row>
    <row r="92" spans="1:17" ht="15.75" customHeight="1">
      <c r="A92" s="10"/>
      <c r="B92" s="2" t="s">
        <v>213</v>
      </c>
      <c r="C92" s="23">
        <f>C90/(C19*scaling_factor/Common_Shares)</f>
        <v>0.80996280963569622</v>
      </c>
      <c r="E92" s="268"/>
      <c r="G92" s="170">
        <f t="shared" ref="G92:Q92" si="38">IF(G$4="","",G90/(G19*scaling_factor/Common_Shares))</f>
        <v>0.95920591630977314</v>
      </c>
      <c r="H92" s="170">
        <f t="shared" si="38"/>
        <v>0.93757133781121305</v>
      </c>
      <c r="I92" s="170">
        <f t="shared" si="38"/>
        <v>0.66536624216368967</v>
      </c>
      <c r="J92" s="170">
        <f t="shared" si="38"/>
        <v>0.92611724799999617</v>
      </c>
      <c r="K92" s="170">
        <f t="shared" si="38"/>
        <v>0.92194313173612874</v>
      </c>
      <c r="L92" s="170">
        <f t="shared" si="38"/>
        <v>1.130037935264216</v>
      </c>
      <c r="M92" s="170">
        <f t="shared" si="38"/>
        <v>0.5957019888284325</v>
      </c>
      <c r="N92" s="170">
        <f t="shared" si="38"/>
        <v>6.3888257152306935E-2</v>
      </c>
      <c r="O92" s="170">
        <f t="shared" si="38"/>
        <v>-0.60586668681268319</v>
      </c>
      <c r="P92" s="170">
        <f t="shared" si="38"/>
        <v>0.66690277881702686</v>
      </c>
      <c r="Q92" s="170" t="str">
        <f t="shared" si="38"/>
        <v/>
      </c>
    </row>
    <row r="93" spans="1:17" ht="15.75" customHeight="1">
      <c r="A93" s="10"/>
      <c r="B93" s="2" t="s">
        <v>309</v>
      </c>
      <c r="C93" s="23">
        <f>C90/Market_Price</f>
        <v>4.9261083743842374E-2</v>
      </c>
      <c r="E93" s="268"/>
      <c r="G93" s="23">
        <f t="shared" ref="G93:Q93" si="39">IF(G$4="","",G90/Market_Price)</f>
        <v>6.4829747901477844E-2</v>
      </c>
      <c r="H93" s="23">
        <f t="shared" si="39"/>
        <v>0.11109071039408869</v>
      </c>
      <c r="I93" s="23">
        <f t="shared" si="39"/>
        <v>9.5527277536945829E-2</v>
      </c>
      <c r="J93" s="23">
        <f t="shared" si="39"/>
        <v>8.3183865270935978E-2</v>
      </c>
      <c r="K93" s="23">
        <f t="shared" si="39"/>
        <v>4.293360788177341E-2</v>
      </c>
      <c r="L93" s="23">
        <f t="shared" si="39"/>
        <v>4.078692748768474E-2</v>
      </c>
      <c r="M93" s="23">
        <f t="shared" si="39"/>
        <v>8.0500514778325136E-2</v>
      </c>
      <c r="N93" s="23">
        <f t="shared" si="39"/>
        <v>2.6833504926108381E-3</v>
      </c>
      <c r="O93" s="23">
        <f t="shared" si="39"/>
        <v>2.6833504926108382E-2</v>
      </c>
      <c r="P93" s="23">
        <f t="shared" si="39"/>
        <v>4.293360788177341E-2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0.13450497813473769</v>
      </c>
      <c r="D124" s="27"/>
      <c r="E124" s="265"/>
      <c r="F124" s="27"/>
      <c r="G124" s="177">
        <f t="shared" ref="G124:Q124" si="49">IF(G$4="","",G16*$C$3/Common_Shares*Exchange_Rate)</f>
        <v>0.14947272714610682</v>
      </c>
      <c r="H124" s="177">
        <f t="shared" si="49"/>
        <v>0.26204320110427376</v>
      </c>
      <c r="I124" s="177">
        <f t="shared" si="49"/>
        <v>0.31751636374878472</v>
      </c>
      <c r="J124" s="177">
        <f t="shared" si="49"/>
        <v>0.19864269488903283</v>
      </c>
      <c r="K124" s="177">
        <f t="shared" si="49"/>
        <v>0.10298944708479393</v>
      </c>
      <c r="L124" s="177">
        <f t="shared" si="49"/>
        <v>7.9822889035119318E-2</v>
      </c>
      <c r="M124" s="177">
        <f t="shared" si="49"/>
        <v>0.29886088753832979</v>
      </c>
      <c r="N124" s="177">
        <f t="shared" si="49"/>
        <v>9.2887192433080273E-2</v>
      </c>
      <c r="O124" s="177">
        <f t="shared" si="49"/>
        <v>-9.7948954208720185E-2</v>
      </c>
      <c r="P124" s="177">
        <f t="shared" si="49"/>
        <v>0.14237519530140999</v>
      </c>
      <c r="Q124" s="177" t="str">
        <f t="shared" si="49"/>
        <v/>
      </c>
    </row>
    <row r="125" spans="1:17" ht="15.75" customHeight="1">
      <c r="A125" s="10"/>
      <c r="B125" s="27" t="s">
        <v>269</v>
      </c>
      <c r="C125" s="77">
        <f>C19*Exchange_Rate*$C$3/(Market_Price*Common_Shares)</f>
        <v>6.6258609918589978E-2</v>
      </c>
      <c r="D125" s="27"/>
      <c r="E125" s="265"/>
      <c r="F125" s="27"/>
      <c r="G125" s="77">
        <f t="shared" ref="G125" si="50">IF(G$4="","",G124/Market_Price)</f>
        <v>7.3631885293648683E-2</v>
      </c>
      <c r="H125" s="77">
        <f t="shared" ref="H125" si="51">IF(H$4="","",H124/Market_Price)</f>
        <v>0.12908532074102158</v>
      </c>
      <c r="I125" s="77">
        <f t="shared" ref="I125" si="52">IF(I$4="","",I124/Market_Price)</f>
        <v>0.15641200184669199</v>
      </c>
      <c r="J125" s="77">
        <f t="shared" ref="J125" si="53">IF(J$4="","",J124/Market_Price)</f>
        <v>9.7853544280311747E-2</v>
      </c>
      <c r="K125" s="77">
        <f t="shared" ref="K125" si="54">IF(K$4="","",K124/Market_Price)</f>
        <v>5.0733717775760565E-2</v>
      </c>
      <c r="L125" s="77">
        <f t="shared" ref="L125" si="55">IF(L$4="","",L124/Market_Price)</f>
        <v>3.9321620214344495E-2</v>
      </c>
      <c r="M125" s="77">
        <f t="shared" ref="M125" si="56">IF(M$4="","",M124/Market_Price)</f>
        <v>0.14722211208784719</v>
      </c>
      <c r="N125" s="77">
        <f t="shared" ref="N125" si="57">IF(N$4="","",N124/Market_Price)</f>
        <v>4.5757237651763684E-2</v>
      </c>
      <c r="O125" s="77">
        <f t="shared" ref="O125" si="58">IF(O$4="","",O124/Market_Price)</f>
        <v>-4.8250716358975466E-2</v>
      </c>
      <c r="P125" s="77">
        <f t="shared" ref="P125" si="59">IF(P$4="","",P124/Market_Price)</f>
        <v>7.0135564187886704E-2</v>
      </c>
      <c r="Q125" s="77" t="str">
        <f t="shared" ref="Q125" si="60">IF(Q$4="","",Q124/Market_Price)</f>
        <v/>
      </c>
    </row>
    <row r="126" spans="1:17" ht="15.75" customHeight="1">
      <c r="B126" s="2" t="s">
        <v>394</v>
      </c>
      <c r="C126" s="169"/>
      <c r="G126" s="23">
        <f>IF(G$4="","",(Data!C47*$C$3)/(Market_Price*Common_Shares))</f>
        <v>0.12300620839254993</v>
      </c>
      <c r="H126" s="23">
        <f>IF(H$4="","",(Data!D47*$C$3)/(Market_Price*Common_Shares))</f>
        <v>0.2536890247160275</v>
      </c>
      <c r="I126" s="23">
        <f>IF(I$4="","",(Data!E47*$C$3)/(Market_Price*Common_Shares))</f>
        <v>0.19220713163715633</v>
      </c>
      <c r="J126" s="23">
        <f>IF(J$4="","",(Data!F47*$C$3)/(Market_Price*Common_Shares))</f>
        <v>0.17539884380710172</v>
      </c>
      <c r="K126" s="23">
        <f>IF(K$4="","",(Data!G47*$C$3)/(Market_Price*Common_Shares))</f>
        <v>8.3258390947073727E-2</v>
      </c>
      <c r="L126" s="23">
        <f>IF(L$4="","",(Data!H47*$C$3)/(Market_Price*Common_Shares))</f>
        <v>8.0675763760512054E-2</v>
      </c>
      <c r="M126" s="23">
        <f>IF(M$4="","",(Data!I47*$C$3)/(Market_Price*Common_Shares))</f>
        <v>0.1633085068869346</v>
      </c>
      <c r="N126" s="23">
        <f>IF(N$4="","",(Data!J47*$C$3)/(Market_Price*Common_Shares))</f>
        <v>1.1488411356763515E-2</v>
      </c>
      <c r="O126" s="23">
        <f>IF(O$4="","",(Data!K47*$C$3)/(Market_Price*Common_Shares))</f>
        <v>-2.5289849652180417E-2</v>
      </c>
      <c r="P126" s="23">
        <f>IF(P$4="","",(Data!L47*$C$3)/(Market_Price*Common_Shares))</f>
        <v>9.0084844469615205E-2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3.1637688228965679</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3.2770319433917203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3.1637688228965679</v>
      </c>
      <c r="C65" s="124">
        <f>C12</f>
        <v>3.1637688228965679</v>
      </c>
      <c r="D65" s="124">
        <f>C12</f>
        <v>3.1637688228965679</v>
      </c>
      <c r="E65" s="141">
        <f>C12</f>
        <v>3.1637688228965679</v>
      </c>
      <c r="F65" s="124">
        <f>C12</f>
        <v>3.1637688228965679</v>
      </c>
      <c r="H65" s="120"/>
    </row>
    <row r="66" spans="1:8" ht="13.15">
      <c r="A66" s="143">
        <f t="shared" ref="A66:A71" si="3">A56</f>
        <v>5</v>
      </c>
      <c r="B66" s="124">
        <f t="shared" ref="B66:F71" si="4">(B56-$C$7+$C$8+$C$9)/Common_Shares*$C$3*Exchange_Rate</f>
        <v>3.1637688228965675</v>
      </c>
      <c r="C66" s="124">
        <f t="shared" si="4"/>
        <v>3.192001000915587</v>
      </c>
      <c r="D66" s="124">
        <f t="shared" si="4"/>
        <v>3.2206384302975373</v>
      </c>
      <c r="E66" s="124">
        <f t="shared" si="4"/>
        <v>3.2496900056301401</v>
      </c>
      <c r="F66" s="124">
        <f t="shared" si="4"/>
        <v>3.2496900056301401</v>
      </c>
      <c r="H66" s="120"/>
    </row>
    <row r="67" spans="1:8" ht="13.15">
      <c r="A67" s="143">
        <f t="shared" si="3"/>
        <v>10</v>
      </c>
      <c r="B67" s="124">
        <f t="shared" si="4"/>
        <v>3.1637688228965675</v>
      </c>
      <c r="C67" s="124">
        <f t="shared" si="4"/>
        <v>3.2190694978073253</v>
      </c>
      <c r="D67" s="124">
        <f t="shared" si="4"/>
        <v>3.2770319433917203</v>
      </c>
      <c r="E67" s="124">
        <f t="shared" si="4"/>
        <v>3.3378122216396893</v>
      </c>
      <c r="F67" s="124">
        <f t="shared" si="4"/>
        <v>3.3378122216396893</v>
      </c>
      <c r="H67" s="120"/>
    </row>
    <row r="68" spans="1:8" ht="13.15">
      <c r="A68" s="143">
        <f t="shared" si="3"/>
        <v>15</v>
      </c>
      <c r="B68" s="124">
        <f t="shared" si="4"/>
        <v>3.1637688228965675</v>
      </c>
      <c r="C68" s="124">
        <f t="shared" si="4"/>
        <v>3.2524893797668231</v>
      </c>
      <c r="D68" s="124">
        <f t="shared" si="4"/>
        <v>3.3484327350102281</v>
      </c>
      <c r="E68" s="124">
        <f t="shared" si="4"/>
        <v>3.4522872399211195</v>
      </c>
      <c r="F68" s="124">
        <f t="shared" si="4"/>
        <v>3.4522872399211195</v>
      </c>
      <c r="H68" s="120"/>
    </row>
    <row r="69" spans="1:8" ht="13.15">
      <c r="A69" s="144">
        <f t="shared" si="3"/>
        <v>20</v>
      </c>
      <c r="B69" s="124">
        <f t="shared" si="4"/>
        <v>3.1637688228965675</v>
      </c>
      <c r="C69" s="124">
        <f t="shared" si="4"/>
        <v>3.2864312432148575</v>
      </c>
      <c r="D69" s="124">
        <f t="shared" si="4"/>
        <v>3.422869225143589</v>
      </c>
      <c r="E69" s="124">
        <f t="shared" si="4"/>
        <v>3.5748983054641386</v>
      </c>
      <c r="F69" s="124">
        <f t="shared" si="4"/>
        <v>3.5748983054641386</v>
      </c>
      <c r="H69" s="120"/>
    </row>
    <row r="70" spans="1:8" ht="13.15">
      <c r="A70" s="144">
        <f t="shared" si="3"/>
        <v>25</v>
      </c>
      <c r="B70" s="124">
        <f t="shared" si="4"/>
        <v>3.163768822896567</v>
      </c>
      <c r="C70" s="124">
        <f t="shared" si="4"/>
        <v>3.3178799860977093</v>
      </c>
      <c r="D70" s="124">
        <f t="shared" si="4"/>
        <v>3.4937155839310408</v>
      </c>
      <c r="E70" s="124">
        <f t="shared" si="4"/>
        <v>3.6949237493998859</v>
      </c>
      <c r="F70" s="124">
        <f t="shared" si="4"/>
        <v>3.6949237493998859</v>
      </c>
    </row>
    <row r="71" spans="1:8" ht="13.15">
      <c r="A71" s="144">
        <f t="shared" si="3"/>
        <v>30</v>
      </c>
      <c r="B71" s="124">
        <f t="shared" si="4"/>
        <v>3.163768822896567</v>
      </c>
      <c r="C71" s="124">
        <f t="shared" si="4"/>
        <v>3.3455007542190378</v>
      </c>
      <c r="D71" s="124">
        <f t="shared" si="4"/>
        <v>3.5576739866829672</v>
      </c>
      <c r="E71" s="124">
        <f t="shared" si="4"/>
        <v>3.8064839559125723</v>
      </c>
      <c r="F71" s="124">
        <f t="shared" si="4"/>
        <v>3.8064839559125723</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3.4522872399211195</v>
      </c>
      <c r="F74" s="142">
        <f>Scenarios!C58</f>
        <v>0.05</v>
      </c>
    </row>
    <row r="75" spans="1:8">
      <c r="B75" s="127" t="str">
        <f>Scenarios!B36</f>
        <v>Optimistic</v>
      </c>
      <c r="C75" s="142">
        <f>Scenarios!C38</f>
        <v>0.03</v>
      </c>
      <c r="D75" s="145">
        <f>Scenarios!C37</f>
        <v>10</v>
      </c>
      <c r="E75" s="135">
        <f>INDEX(B$65:F$71, MATCH(D75, A$65:A$71, 0), MATCH(C75, B$64:F$64, 0))</f>
        <v>3.3378122216396893</v>
      </c>
      <c r="F75" s="142">
        <f>Scenarios!C40*(1-F$74-F$78)</f>
        <v>0.18</v>
      </c>
      <c r="H75" s="120"/>
    </row>
    <row r="76" spans="1:8">
      <c r="B76" s="127" t="str">
        <f>Scenarios!B24</f>
        <v>Base</v>
      </c>
      <c r="C76" s="142">
        <f>Scenarios!C26</f>
        <v>0.02</v>
      </c>
      <c r="D76" s="145">
        <f>Scenarios!C25</f>
        <v>10</v>
      </c>
      <c r="E76" s="135">
        <f>INDEX(B$65:F$71, MATCH(D76, A$65:A$71, 0), MATCH(C76, B$64:F$64, 0))</f>
        <v>3.2770319433917203</v>
      </c>
      <c r="F76" s="142">
        <f>Scenarios!C28*(1-F$74-F$78)</f>
        <v>0.53999999999999992</v>
      </c>
      <c r="H76" s="120"/>
    </row>
    <row r="77" spans="1:8">
      <c r="B77" s="127" t="str">
        <f>Scenarios!B30</f>
        <v>Pessimistic</v>
      </c>
      <c r="C77" s="142">
        <f>Scenarios!C32</f>
        <v>0.01</v>
      </c>
      <c r="D77" s="145">
        <f>Scenarios!C31</f>
        <v>10</v>
      </c>
      <c r="E77" s="135">
        <f>INDEX(B$65:F$71, MATCH(D77, A$65:A$71, 0), MATCH(C77, B$64:F$64, 0))</f>
        <v>3.2190694978073253</v>
      </c>
      <c r="F77" s="142">
        <f>Scenarios!C34*(1-F$74-F$78)</f>
        <v>0.18</v>
      </c>
      <c r="H77" s="120"/>
    </row>
    <row r="78" spans="1:8">
      <c r="B78" s="127" t="str">
        <f>Scenarios!B48</f>
        <v>Devil's advocate</v>
      </c>
      <c r="C78" s="142">
        <f>Scenarios!C50</f>
        <v>0</v>
      </c>
      <c r="D78" s="145">
        <f>Scenarios!C49</f>
        <v>15</v>
      </c>
      <c r="E78" s="135">
        <f>INDEX(B$65:F$71, MATCH(D78, A$65:A$71, 0), MATCH(C78, B$64:F$64, 0))</f>
        <v>3.1637688228965675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1.4525870666666669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1.4525870666666669</v>
      </c>
      <c r="C60" s="124">
        <f>C7</f>
        <v>1.4525870666666669</v>
      </c>
      <c r="D60" s="124">
        <f>C7</f>
        <v>1.4525870666666669</v>
      </c>
      <c r="E60" s="141">
        <f>C7</f>
        <v>1.4525870666666669</v>
      </c>
      <c r="F60" s="124">
        <f>C7</f>
        <v>1.4525870666666669</v>
      </c>
      <c r="H60" s="120"/>
    </row>
    <row r="61" spans="1:8" ht="13.15">
      <c r="A61" s="143">
        <f t="shared" ref="A61:A66" si="3">A51</f>
        <v>5</v>
      </c>
      <c r="B61" s="124">
        <f t="shared" ref="B61:F66" si="4">B51/Common_Shares*$C$3*Exchange_Rate</f>
        <v>1.4525870666666669</v>
      </c>
      <c r="C61" s="124">
        <f t="shared" si="4"/>
        <v>1.4754540808970871</v>
      </c>
      <c r="D61" s="124">
        <f t="shared" si="4"/>
        <v>1.4986493336600353</v>
      </c>
      <c r="E61" s="124">
        <f t="shared" si="4"/>
        <v>1.5221800292407734</v>
      </c>
      <c r="F61" s="124">
        <f t="shared" si="4"/>
        <v>1.5221800292407734</v>
      </c>
      <c r="H61" s="120"/>
    </row>
    <row r="62" spans="1:8" ht="13.15">
      <c r="A62" s="143">
        <f t="shared" si="3"/>
        <v>10</v>
      </c>
      <c r="B62" s="124">
        <f t="shared" si="4"/>
        <v>1.4525870666666669</v>
      </c>
      <c r="C62" s="124">
        <f t="shared" si="4"/>
        <v>1.4973785566921343</v>
      </c>
      <c r="D62" s="124">
        <f t="shared" si="4"/>
        <v>1.5443259819710271</v>
      </c>
      <c r="E62" s="124">
        <f t="shared" si="4"/>
        <v>1.5935557469111916</v>
      </c>
      <c r="F62" s="124">
        <f t="shared" si="4"/>
        <v>1.5935557469111916</v>
      </c>
      <c r="H62" s="120"/>
    </row>
    <row r="63" spans="1:8" ht="13.15">
      <c r="A63" s="143">
        <f t="shared" si="3"/>
        <v>15</v>
      </c>
      <c r="B63" s="124">
        <f t="shared" si="4"/>
        <v>1.4525870666666669</v>
      </c>
      <c r="C63" s="124">
        <f t="shared" si="4"/>
        <v>1.5244474181817427</v>
      </c>
      <c r="D63" s="124">
        <f t="shared" si="4"/>
        <v>1.6021579677605666</v>
      </c>
      <c r="E63" s="124">
        <f t="shared" si="4"/>
        <v>1.6862762543515164</v>
      </c>
      <c r="F63" s="124">
        <f t="shared" si="4"/>
        <v>1.6862762543515164</v>
      </c>
      <c r="H63" s="120"/>
    </row>
    <row r="64" spans="1:8" ht="13.15">
      <c r="A64" s="144">
        <f t="shared" si="3"/>
        <v>20</v>
      </c>
      <c r="B64" s="124">
        <f t="shared" si="4"/>
        <v>1.4525870666666669</v>
      </c>
      <c r="C64" s="124">
        <f t="shared" si="4"/>
        <v>1.5519390652643834</v>
      </c>
      <c r="D64" s="124">
        <f t="shared" si="4"/>
        <v>1.6624487564484036</v>
      </c>
      <c r="E64" s="124">
        <f t="shared" si="4"/>
        <v>1.7855866574911665</v>
      </c>
      <c r="F64" s="124">
        <f t="shared" si="4"/>
        <v>1.7855866574911665</v>
      </c>
      <c r="H64" s="120"/>
    </row>
    <row r="65" spans="1:8" ht="13.15">
      <c r="A65" s="144">
        <f t="shared" si="3"/>
        <v>25</v>
      </c>
      <c r="B65" s="124">
        <f t="shared" si="4"/>
        <v>1.4525870666666671</v>
      </c>
      <c r="C65" s="124">
        <f t="shared" si="4"/>
        <v>1.5774113774092891</v>
      </c>
      <c r="D65" s="124">
        <f t="shared" si="4"/>
        <v>1.7198316722643467</v>
      </c>
      <c r="E65" s="124">
        <f t="shared" si="4"/>
        <v>1.8828028032891351</v>
      </c>
      <c r="F65" s="124">
        <f t="shared" si="4"/>
        <v>1.8828028032891351</v>
      </c>
    </row>
    <row r="66" spans="1:8" ht="13.15">
      <c r="A66" s="144">
        <f t="shared" si="3"/>
        <v>30</v>
      </c>
      <c r="B66" s="124">
        <f t="shared" si="4"/>
        <v>1.4525870666666671</v>
      </c>
      <c r="C66" s="124">
        <f t="shared" si="4"/>
        <v>1.5997831723611369</v>
      </c>
      <c r="D66" s="124">
        <f t="shared" si="4"/>
        <v>1.7716355998571085</v>
      </c>
      <c r="E66" s="124">
        <f t="shared" si="4"/>
        <v>1.9731624215996895</v>
      </c>
      <c r="F66" s="124">
        <f t="shared" si="4"/>
        <v>1.9731624215996895</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1.6862762543515164</v>
      </c>
      <c r="F69" s="142">
        <f>Scenarios!C58</f>
        <v>0.05</v>
      </c>
    </row>
    <row r="70" spans="1:8">
      <c r="B70" s="127" t="str">
        <f>Scenarios!B36</f>
        <v>Optimistic</v>
      </c>
      <c r="C70" s="142">
        <f>Scenarios!C38</f>
        <v>0.03</v>
      </c>
      <c r="D70" s="145">
        <f>Scenarios!C37</f>
        <v>10</v>
      </c>
      <c r="E70" s="135">
        <f>INDEX(B$60:F$66, MATCH(D70, A$60:A$66, 0), MATCH(C70, B$59:F$59, 0))</f>
        <v>1.5935557469111916</v>
      </c>
      <c r="F70" s="142">
        <f>Scenarios!C40*(1-F$69-F$73)</f>
        <v>0.18</v>
      </c>
      <c r="H70" s="120"/>
    </row>
    <row r="71" spans="1:8">
      <c r="B71" s="127" t="str">
        <f>Scenarios!B24</f>
        <v>Base</v>
      </c>
      <c r="C71" s="142">
        <f>Scenarios!C26</f>
        <v>0.02</v>
      </c>
      <c r="D71" s="145">
        <f>Scenarios!C25</f>
        <v>10</v>
      </c>
      <c r="E71" s="135">
        <f>INDEX(B$60:F$66, MATCH(D71, A$60:A$66, 0), MATCH(C71, B$59:F$59, 0))</f>
        <v>1.5443259819710271</v>
      </c>
      <c r="F71" s="142">
        <f>Scenarios!C28*(1-F$69-F$73)</f>
        <v>0.53999999999999992</v>
      </c>
      <c r="H71" s="120"/>
    </row>
    <row r="72" spans="1:8">
      <c r="B72" s="127" t="str">
        <f>Scenarios!B30</f>
        <v>Pessimistic</v>
      </c>
      <c r="C72" s="142">
        <f>Scenarios!C32</f>
        <v>0.01</v>
      </c>
      <c r="D72" s="145">
        <f>Scenarios!C31</f>
        <v>10</v>
      </c>
      <c r="E72" s="135">
        <f>INDEX(B$60:F$66, MATCH(D72, A$60:A$66, 0), MATCH(C72, B$59:F$59, 0))</f>
        <v>1.4973785566921343</v>
      </c>
      <c r="F72" s="142">
        <f>Scenarios!C34*(1-F$69-F$73)</f>
        <v>0.18</v>
      </c>
      <c r="H72" s="120"/>
    </row>
    <row r="73" spans="1:8">
      <c r="B73" s="127" t="str">
        <f>Scenarios!B48</f>
        <v>Devil's advocate</v>
      </c>
      <c r="C73" s="142">
        <f>Scenarios!C50</f>
        <v>0</v>
      </c>
      <c r="D73" s="145">
        <f>Scenarios!C49</f>
        <v>15</v>
      </c>
      <c r="E73" s="135">
        <f>INDEX(B$60:F$66, MATCH(D73, A$60:A$66, 0), MATCH(C73, B$59:F$59, 0))</f>
        <v>1.4525870666666669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-2.0299999999999998</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3.3806387620728757</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2.0299999999999998</v>
      </c>
      <c r="D21" t="str">
        <f>Market_currency</f>
        <v>HKD</v>
      </c>
      <c r="E21" s="367"/>
      <c r="F21" s="367"/>
    </row>
    <row r="22" spans="2:6">
      <c r="B22" s="100" t="s">
        <v>278</v>
      </c>
      <c r="C22" s="160">
        <f>IF(valuation_method="DCF",DCF!C12,DDM!C7)</f>
        <v>3.1637688228965679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3.2770319433917203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3.2190694978073253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3.3378122216396893</v>
      </c>
      <c r="D39" t="str">
        <f>Market_currency</f>
        <v>HKD</v>
      </c>
      <c r="E39" s="365"/>
      <c r="F39" s="365"/>
    </row>
    <row r="40" spans="2:6">
      <c r="B40" s="100" t="s">
        <v>147</v>
      </c>
      <c r="C40" s="167">
        <f>1-C28-C34</f>
        <v>0.2</v>
      </c>
      <c r="D40" s="165"/>
      <c r="E40" s="365"/>
      <c r="F40" s="365"/>
    </row>
    <row r="42" spans="2:6" ht="13.15">
      <c r="B42" s="100" t="s">
        <v>120</v>
      </c>
      <c r="C42" s="154">
        <f>C27*C28+C33*C34+C39*C40</f>
        <v>3.2775955099244349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3.1637688228965675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3.4522872399211195</v>
      </c>
      <c r="D57" t="str">
        <f>Market_currency</f>
        <v>HKD</v>
      </c>
      <c r="E57" s="365"/>
      <c r="F57" s="365"/>
    </row>
    <row r="58" spans="2:6">
      <c r="B58" s="100" t="s">
        <v>147</v>
      </c>
      <c r="C58" s="165">
        <v>0.05</v>
      </c>
      <c r="D58" s="165"/>
      <c r="E58" s="365"/>
      <c r="F58" s="365"/>
    </row>
    <row r="60" spans="2:6" ht="13.15">
      <c r="B60" s="100" t="s">
        <v>120</v>
      </c>
      <c r="C60" s="154">
        <f>C51*C52+C57*C58+C42*(1-C52-C58)</f>
        <v>3.2806387620728756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3.2770319433917203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0.41771411417681625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1.2831330319853536</v>
      </c>
      <c r="D82" s="116"/>
    </row>
    <row r="83" spans="2:8" ht="13.15">
      <c r="B83" s="110" t="s">
        <v>101</v>
      </c>
      <c r="C83" s="111">
        <f>C81+C82</f>
        <v>1.4488589639218394</v>
      </c>
      <c r="D83" t="str">
        <f>Market_currency</f>
        <v>HKD</v>
      </c>
      <c r="E83" s="146" t="s">
        <v>126</v>
      </c>
      <c r="F83" s="291">
        <f>(1-C83/C60)</f>
        <v>0.55836071295872391</v>
      </c>
    </row>
    <row r="84" spans="2:8">
      <c r="E84" s="120"/>
    </row>
    <row r="85" spans="2:8" ht="13.15">
      <c r="B85" s="109" t="s">
        <v>302</v>
      </c>
    </row>
    <row r="86" spans="2:8">
      <c r="B86" s="148" t="s">
        <v>300</v>
      </c>
      <c r="C86" s="116">
        <f>Market_Price</f>
        <v>2.0299999999999998</v>
      </c>
      <c r="D86" t="str">
        <f>Market_currency</f>
        <v>HKD</v>
      </c>
    </row>
    <row r="87" spans="2:8" ht="13.15">
      <c r="B87" s="100" t="s">
        <v>298</v>
      </c>
      <c r="C87" s="237">
        <f ca="1">IRR(OFFSET($I$3, 0, 0, $C$76 + 1, 1))</f>
        <v>0.21600826601499645</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1.8182706130436814</v>
      </c>
      <c r="D92" s="116"/>
    </row>
    <row r="93" spans="2:8" ht="13.15">
      <c r="B93" s="110" t="s">
        <v>101</v>
      </c>
      <c r="C93" s="111">
        <f>C91+C92</f>
        <v>2.0233106954301752</v>
      </c>
      <c r="D93" t="str">
        <f>Market_currency</f>
        <v>HKD</v>
      </c>
      <c r="E93" s="146" t="s">
        <v>126</v>
      </c>
      <c r="F93" s="291">
        <f>(1-C93/C60)</f>
        <v>0.38325709041133693</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2.6407848462734611</v>
      </c>
      <c r="D98" s="116"/>
      <c r="G98" s="2"/>
      <c r="H98" s="281"/>
    </row>
    <row r="99" spans="2:8" ht="13.15">
      <c r="B99" s="110" t="s">
        <v>398</v>
      </c>
      <c r="C99" s="111">
        <f>C97+C98</f>
        <v>2.9008374202606571</v>
      </c>
      <c r="D99" t="s">
        <v>396</v>
      </c>
      <c r="E99" s="146" t="s">
        <v>126</v>
      </c>
      <c r="F99" s="291">
        <f>(1-C99/C60)</f>
        <v>0.11577054633477557</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2.3514319284429499</v>
      </c>
      <c r="D104" s="116"/>
    </row>
    <row r="105" spans="2:8" ht="13.15">
      <c r="B105" s="110" t="s">
        <v>398</v>
      </c>
      <c r="C105" s="111">
        <f>C103+C104</f>
        <v>2.5926922410368149</v>
      </c>
      <c r="D105" t="s">
        <v>396</v>
      </c>
      <c r="E105" s="146" t="s">
        <v>126</v>
      </c>
      <c r="F105" s="291">
        <f>(1-C105/C66)</f>
        <v>0.20882912164921263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