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CD40288-8275-4FBA-A01C-A537F256426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L25" i="4" l="1"/>
  <c r="K25" i="4"/>
  <c r="J25" i="4"/>
  <c r="I25" i="4"/>
  <c r="H25" i="4"/>
  <c r="G25" i="4"/>
  <c r="F25" i="4"/>
  <c r="E25" i="4"/>
  <c r="D25" i="4"/>
  <c r="C25" i="4"/>
  <c r="C28" i="2"/>
  <c r="C4" i="2"/>
  <c r="G4" i="3"/>
  <c r="G5" i="3"/>
  <c r="C9" i="3"/>
  <c r="C4" i="3"/>
  <c r="C19" i="3"/>
  <c r="G19" i="3"/>
  <c r="B138" i="6" l="1"/>
  <c r="B137" i="6"/>
  <c r="C136" i="6"/>
  <c r="D139" i="6"/>
  <c r="C90" i="9"/>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G70" i="4" l="1"/>
  <c r="K70" i="4"/>
  <c r="F70" i="4"/>
  <c r="K58" i="4"/>
  <c r="O62" i="2" s="1"/>
  <c r="K71" i="4"/>
  <c r="H70" i="4"/>
  <c r="N126" i="2"/>
  <c r="N91" i="2"/>
  <c r="J69" i="4"/>
  <c r="G69" i="4"/>
  <c r="O126" i="2"/>
  <c r="O91" i="2"/>
  <c r="J71" i="4"/>
  <c r="P126" i="2"/>
  <c r="P91" i="2"/>
  <c r="J70" i="4"/>
  <c r="I69" i="4"/>
  <c r="L126" i="2"/>
  <c r="L91" i="2"/>
  <c r="K69" i="4"/>
  <c r="H69" i="4"/>
  <c r="I70" i="4"/>
  <c r="M126" i="2"/>
  <c r="M91" i="2"/>
  <c r="I71" i="4"/>
  <c r="D70" i="4"/>
  <c r="C70" i="4"/>
  <c r="D69" i="4"/>
  <c r="I91" i="2"/>
  <c r="K126" i="2"/>
  <c r="K91" i="2"/>
  <c r="J91" i="2"/>
  <c r="H91" i="2"/>
  <c r="E69" i="4"/>
  <c r="C69" i="4"/>
  <c r="C31" i="4"/>
  <c r="C80" i="4" s="1"/>
  <c r="C76" i="4" s="1"/>
  <c r="C88" i="6"/>
  <c r="G113" i="2"/>
  <c r="G126" i="2"/>
  <c r="H113" i="2"/>
  <c r="H126" i="2"/>
  <c r="J113" i="2"/>
  <c r="J126" i="2"/>
  <c r="I113" i="2"/>
  <c r="I126" i="2"/>
  <c r="K113" i="2"/>
  <c r="M113" i="2"/>
  <c r="L113" i="2"/>
  <c r="N113" i="2"/>
  <c r="P113" i="2"/>
  <c r="C3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75" i="2" s="1"/>
  <c r="O82" i="2"/>
  <c r="O28" i="2"/>
  <c r="O30" i="2" l="1"/>
  <c r="O6" i="2"/>
  <c r="O40" i="2"/>
  <c r="H58" i="4"/>
  <c r="L62" i="2" s="1"/>
  <c r="G71" i="4"/>
  <c r="H71" i="4"/>
  <c r="C58" i="4"/>
  <c r="G62" i="2" s="1"/>
  <c r="G63" i="2" s="1"/>
  <c r="C71" i="4"/>
  <c r="E58" i="4"/>
  <c r="I62" i="2" s="1"/>
  <c r="E71" i="4"/>
  <c r="D71" i="4"/>
  <c r="G105" i="2"/>
  <c r="G101" i="2" s="1"/>
  <c r="G119" i="2" s="1"/>
  <c r="P40" i="2"/>
  <c r="P30" i="2"/>
  <c r="P63" i="2"/>
  <c r="P6" i="2"/>
  <c r="P73" i="2"/>
  <c r="C23" i="2"/>
  <c r="C49" i="2"/>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8" i="2" l="1"/>
  <c r="O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76" i="2" l="1"/>
  <c r="O55" i="2"/>
  <c r="O120"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O48" i="2" l="1"/>
  <c r="O50" i="2" s="1"/>
  <c r="O12" i="2" s="1"/>
  <c r="N48" i="2"/>
  <c r="N50" i="2" s="1"/>
  <c r="N12" i="2" s="1"/>
  <c r="L48" i="2"/>
  <c r="L50" i="2" s="1"/>
  <c r="L12" i="2" s="1"/>
  <c r="M48" i="2"/>
  <c r="M50" i="2" s="1"/>
  <c r="M12" i="2" s="1"/>
  <c r="P48" i="2"/>
  <c r="P50" i="2" s="1"/>
  <c r="P12" i="2" s="1"/>
  <c r="K48" i="2"/>
  <c r="K50" i="2" s="1"/>
  <c r="K12" i="2" s="1"/>
  <c r="K43" i="2" s="1"/>
  <c r="G48" i="2"/>
  <c r="G50" i="2" s="1"/>
  <c r="G12" i="2" s="1"/>
  <c r="G43" i="2" s="1"/>
  <c r="J48" i="2"/>
  <c r="J50" i="2" s="1"/>
  <c r="J12" i="2" s="1"/>
  <c r="J80" i="2" s="1"/>
  <c r="I48" i="2"/>
  <c r="I50" i="2" s="1"/>
  <c r="I12" i="2" s="1"/>
  <c r="I80" i="2" s="1"/>
  <c r="H48" i="2"/>
  <c r="H50" i="2" s="1"/>
  <c r="H12" i="2" s="1"/>
  <c r="H80" i="2" s="1"/>
  <c r="C40" i="6"/>
  <c r="C87" i="3"/>
  <c r="D87" i="3" s="1"/>
  <c r="C31" i="3"/>
  <c r="L80" i="2" l="1"/>
  <c r="L43" i="2"/>
  <c r="O80" i="2"/>
  <c r="O13" i="2"/>
  <c r="O43" i="2"/>
  <c r="K80" i="2"/>
  <c r="P80" i="2"/>
  <c r="P13" i="2"/>
  <c r="P43" i="2"/>
  <c r="M80" i="2"/>
  <c r="M43" i="2"/>
  <c r="J43" i="2"/>
  <c r="H43" i="2"/>
  <c r="I43" i="2"/>
  <c r="N80" i="2"/>
  <c r="N43" i="2"/>
  <c r="G80" i="2"/>
  <c r="C30" i="6"/>
  <c r="C74" i="2"/>
  <c r="C32" i="3"/>
  <c r="G31" i="3"/>
  <c r="B1" i="2"/>
  <c r="O16" i="2" l="1"/>
  <c r="O81" i="2"/>
  <c r="O117" i="2" s="1"/>
  <c r="C7" i="8"/>
  <c r="C86" i="3" s="1"/>
  <c r="D86" i="3" s="1"/>
  <c r="D89" i="3" s="1"/>
  <c r="C89" i="6"/>
  <c r="P81" i="2"/>
  <c r="P117" i="2" s="1"/>
  <c r="P16" i="2"/>
  <c r="O97" i="2"/>
  <c r="C89" i="3"/>
  <c r="F69" i="8"/>
  <c r="B69" i="8"/>
  <c r="E68" i="8"/>
  <c r="D69" i="8"/>
  <c r="F66" i="8"/>
  <c r="F68" i="8"/>
  <c r="F67" i="8"/>
  <c r="C70" i="8"/>
  <c r="E66" i="8"/>
  <c r="D71" i="8"/>
  <c r="D70" i="8"/>
  <c r="D68" i="8"/>
  <c r="F70" i="8"/>
  <c r="E67" i="8"/>
  <c r="B70" i="8"/>
  <c r="C66" i="8"/>
  <c r="E70" i="8"/>
  <c r="F71" i="8"/>
  <c r="E69" i="8"/>
  <c r="B68" i="8"/>
  <c r="B67" i="8"/>
  <c r="D66" i="8"/>
  <c r="B66" i="8"/>
  <c r="G54" i="2"/>
  <c r="C54" i="2" s="1"/>
  <c r="C67" i="8" l="1"/>
  <c r="C71" i="8"/>
  <c r="C86" i="6"/>
  <c r="C87" i="6" s="1"/>
  <c r="C69" i="8"/>
  <c r="C68" i="8"/>
  <c r="D67" i="8"/>
  <c r="E71" i="8"/>
  <c r="B71" i="8"/>
  <c r="O84" i="2"/>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<sst xmlns="http://schemas.openxmlformats.org/spreadsheetml/2006/main" count="616" uniqueCount="431">
  <si>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</si>
  <si>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</si>
  <si>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</si>
  <si>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</si>
  <si>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</si>
  <si>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</si>
  <si>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</si>
  <si>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</si>
  <si>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</si>
  <si>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</si>
  <si>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</si>
  <si>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</si>
  <si>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</si>
  <si>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</si>
  <si>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</si>
  <si>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</si>
  <si>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</si>
  <si>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</si>
  <si>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</si>
  <si>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</si>
  <si>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</si>
  <si>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</si>
  <si>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</si>
  <si>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</si>
  <si>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</si>
  <si>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</si>
  <si>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</si>
  <si>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</si>
  <si>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</si>
  <si>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</si>
  <si>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</si>
  <si>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</si>
  <si>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</si>
  <si>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</si>
  <si>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</si>
  <si>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</si>
  <si>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</si>
  <si>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</si>
  <si>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</si>
  <si>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</si>
  <si>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</si>
  <si>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</si>
  <si>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</si>
  <si>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</si>
  <si>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</si>
  <si>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</si>
  <si>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</si>
  <si>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</si>
  <si>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</si>
  <si>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</si>
  <si>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</si>
  <si>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</si>
  <si>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</si>
  <si>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</si>
  <si>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</si>
  <si>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</si>
  <si>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</si>
  <si>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</si>
  <si>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</si>
  <si>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</si>
  <si>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</si>
  <si>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</si>
  <si>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</si>
  <si>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</si>
  <si>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</si>
  <si>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</si>
  <si>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</si>
  <si>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</si>
  <si>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</si>
  <si>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</si>
  <si>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</si>
  <si>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</si>
  <si>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</si>
  <si>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</si>
  <si>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</si>
  <si>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</si>
  <si>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</si>
  <si>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</si>
  <si>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</si>
  <si>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</si>
  <si>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</si>
  <si>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</si>
  <si>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</si>
  <si>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</si>
  <si>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</si>
  <si>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</si>
  <si>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</si>
  <si>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</si>
  <si>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</si>
  <si>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</si>
  <si>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</si>
  <si>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</si>
  <si>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</si>
  <si>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</si>
  <si>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</si>
  <si>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</si>
  <si>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</si>
  <si>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</si>
  <si>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</si>
  <si>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</si>
  <si>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</si>
  <si>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</si>
  <si>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</si>
  <si>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</si>
  <si>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</si>
  <si>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</si>
  <si>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</si>
  <si>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</si>
  <si>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</si>
  <si>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</si>
  <si>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</si>
  <si>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</si>
  <si>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</si>
  <si>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</si>
  <si>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</si>
  <si>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</si>
  <si>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</si>
  <si>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</si>
  <si>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</si>
  <si>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</si>
  <si>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</si>
  <si>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</si>
  <si>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</si>
  <si>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</si>
  <si>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</si>
  <si>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</si>
  <si>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</si>
  <si>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</si>
  <si>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</si>
  <si>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</si>
  <si>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</si>
  <si>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</si>
  <si>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</si>
  <si>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</si>
  <si>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</si>
  <si>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</si>
  <si>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</si>
  <si>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</si>
  <si>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</si>
  <si>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</si>
  <si>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</si>
  <si>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</si>
  <si>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</si>
  <si>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</si>
  <si>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</si>
  <si>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</si>
  <si>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</si>
  <si>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</si>
  <si>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</si>
  <si>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</si>
  <si>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</si>
  <si>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</si>
  <si>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</si>
  <si>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</si>
  <si>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</si>
  <si>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</si>
  <si>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</si>
  <si>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</si>
  <si>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</si>
  <si>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</si>
  <si>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</si>
  <si>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</si>
  <si>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</si>
  <si>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</si>
  <si>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</si>
  <si>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</si>
  <si>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</si>
  <si>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</si>
  <si>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</si>
  <si>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</si>
  <si>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</si>
  <si>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</si>
  <si>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</si>
  <si>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</si>
  <si>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</si>
  <si>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</si>
  <si>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</si>
  <si>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</si>
  <si>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</si>
  <si>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</si>
  <si>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</si>
  <si>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</si>
  <si>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</si>
  <si>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</si>
  <si>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</si>
  <si>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</si>
  <si>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</si>
  <si>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</si>
  <si>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</si>
  <si>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</si>
  <si>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</si>
  <si>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</si>
  <si>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</si>
  <si>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</si>
  <si>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</si>
  <si>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</si>
  <si>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</si>
  <si>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</si>
  <si>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</si>
  <si>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</si>
  <si>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</si>
  <si>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</si>
  <si>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</si>
  <si>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</si>
  <si>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</si>
  <si>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</si>
  <si>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</si>
  <si>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</si>
  <si>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</si>
  <si>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</si>
  <si>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</si>
  <si>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</si>
  <si>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</si>
  <si>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</si>
  <si>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</si>
  <si>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</si>
  <si>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</si>
  <si>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</si>
  <si>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</si>
  <si>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</si>
  <si>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</si>
  <si>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</si>
  <si>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</si>
  <si>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</si>
  <si>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</si>
  <si>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</si>
  <si>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</si>
  <si>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</si>
  <si>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</si>
  <si>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</si>
  <si>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</si>
  <si>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</si>
  <si>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</si>
  <si>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</si>
  <si>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</si>
  <si>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</si>
  <si>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</si>
  <si>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</si>
  <si>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</si>
  <si>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</si>
  <si>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</si>
  <si>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</si>
  <si>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</si>
  <si>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</si>
  <si>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</si>
  <si>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</si>
  <si>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</si>
  <si>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</si>
  <si>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</si>
  <si>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</si>
  <si>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</si>
  <si>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</si>
  <si>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</si>
  <si>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</si>
  <si>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</si>
  <si>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</si>
  <si>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</si>
  <si>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</si>
  <si>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</si>
  <si>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</si>
  <si>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</si>
  <si>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</si>
  <si>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</si>
  <si>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</si>
  <si>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</si>
  <si>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</si>
  <si>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</si>
  <si>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</si>
  <si>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</si>
  <si>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</si>
  <si>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</si>
  <si>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</si>
  <si>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</si>
  <si>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</si>
  <si>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</si>
  <si>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</si>
  <si>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</si>
  <si>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</si>
  <si>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</si>
  <si>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</si>
  <si>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</si>
  <si>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</si>
  <si>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</si>
  <si>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</si>
  <si>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</si>
  <si>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</si>
  <si>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</si>
  <si>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</si>
  <si>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</si>
  <si>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</si>
  <si>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</si>
  <si>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</si>
  <si>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</si>
  <si>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</si>
  <si>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</si>
  <si>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</si>
  <si>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</si>
  <si>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</si>
  <si>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</si>
  <si>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</si>
  <si>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</si>
  <si>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</si>
  <si>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</si>
  <si>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</si>
  <si>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</si>
  <si>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</si>
  <si>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</si>
  <si>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</si>
  <si>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</si>
  <si>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</si>
  <si>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</si>
  <si>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</si>
  <si>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</si>
  <si>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</si>
  <si>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</si>
  <si>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</si>
  <si>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</si>
  <si>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</si>
  <si>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</si>
  <si>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</si>
  <si>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</si>
  <si>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</si>
  <si>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</si>
  <si>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</si>
  <si>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</si>
  <si>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</si>
  <si>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</si>
  <si>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</si>
  <si>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</si>
  <si>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</si>
  <si>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</si>
  <si>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</si>
  <si>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</si>
  <si>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</si>
  <si>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</si>
  <si>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</si>
  <si>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</si>
  <si>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</si>
  <si>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</si>
  <si>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</si>
  <si>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</si>
  <si>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</si>
  <si>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</si>
  <si>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</si>
  <si>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</si>
  <si>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</si>
  <si>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</si>
  <si>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</si>
  <si>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</si>
  <si>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</si>
  <si>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</si>
  <si>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</si>
  <si>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</si>
  <si>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</si>
  <si>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</si>
  <si>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</si>
  <si>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</si>
  <si>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</si>
  <si>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</si>
  <si>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</si>
  <si>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</si>
  <si>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</si>
  <si>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</si>
  <si>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</si>
  <si>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</si>
  <si>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</si>
  <si>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</si>
  <si>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</si>
  <si>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</si>
  <si>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</si>
  <si>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</si>
  <si>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</si>
  <si>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</si>
  <si>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</si>
  <si>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</si>
  <si>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</si>
  <si>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</si>
  <si>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</si>
  <si>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</si>
  <si>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</si>
  <si>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</si>
  <si>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</si>
  <si>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</si>
  <si>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</si>
  <si>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</si>
  <si>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</si>
  <si>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</si>
  <si>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</si>
  <si>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</si>
  <si>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</si>
  <si>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</si>
  <si>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</si>
  <si>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</si>
  <si>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</si>
  <si>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</si>
  <si>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</si>
  <si>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</si>
  <si>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</si>
  <si>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</si>
  <si>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</si>
  <si>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</si>
  <si>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</si>
  <si>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</si>
  <si>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</si>
  <si>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</si>
  <si>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</si>
  <si>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</si>
  <si>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</si>
  <si>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</si>
  <si>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</si>
  <si>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</si>
  <si>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</si>
  <si>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</si>
  <si>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</si>
  <si>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</si>
  <si>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</si>
  <si>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</si>
  <si>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</si>
  <si>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</si>
  <si>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</si>
  <si>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</si>
  <si>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</si>
  <si>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</si>
  <si>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</si>
  <si>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</si>
  <si>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</si>
  <si>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</si>
  <si>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3983.HK</t>
  </si>
  <si>
    <t>中海石油化学</t>
  </si>
  <si>
    <t>CNY</t>
  </si>
  <si>
    <t>ENG_02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</si>
</sst>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B17" sqref="B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tr">
        <f>D5&amp;" Stock Information"</f>
        <v>3983.HK Stock Information</v>
      </c>
      <c r="C4" s="46"/>
      <c r="D4" s="5"/>
      <c r="E4" s="2"/>
      <c r="F4" s="2"/>
    </row>
    <row r="5" spans="1:10" ht="12.4">
      <c r="B5" s="4" t="s">
        <v>324</v>
      </c>
      <c r="C5" s="333" t="s">
        <v>428</v>
      </c>
      <c r="D5" s="49" t="s">
        <v>427</v>
      </c>
    </row>
    <row r="6" spans="1:10">
      <c r="B6" s="4" t="s">
        <v>95</v>
      </c>
      <c r="C6" s="50">
        <v>1.95</v>
      </c>
      <c r="D6" s="48" t="s">
        <v>407</v>
      </c>
      <c r="E6" s="48"/>
    </row>
    <row r="7" spans="1:10">
      <c r="B7" s="4" t="s">
        <v>0</v>
      </c>
      <c r="C7" s="51">
        <v>4610000000</v>
      </c>
      <c r="D7" s="34"/>
      <c r="E7" s="34"/>
    </row>
    <row r="8" spans="1:10">
      <c r="B8" s="2" t="s">
        <v>315</v>
      </c>
      <c r="C8" s="279">
        <v>6</v>
      </c>
      <c r="D8" s="5"/>
      <c r="E8" s="48"/>
    </row>
    <row r="9" spans="1:10">
      <c r="B9" s="1" t="s">
        <v>269</v>
      </c>
      <c r="C9" s="33">
        <f>EOMONTH(EDATE(BS!C1,C8+2),0)</f>
        <v>45900</v>
      </c>
      <c r="D9" s="5"/>
      <c r="E9" s="5"/>
    </row>
    <row r="10" spans="1:10">
      <c r="B10" s="4" t="str">
        <f>"Capitalization ("&amp;Market_currency&amp;"):"</f>
        <v>Capitalization (HKD):</v>
      </c>
      <c r="C10" s="35">
        <f>Thesis!C6*Thesis!C7/1000000</f>
        <v>8989.5</v>
      </c>
      <c r="D10" s="32"/>
      <c r="E10" s="5"/>
    </row>
    <row r="11" spans="1:10">
      <c r="D11" s="5"/>
      <c r="E11" s="5"/>
    </row>
    <row r="12" spans="1:10" ht="24.4" customHeight="1">
      <c r="B12" s="340" t="s">
        <v>370</v>
      </c>
      <c r="C12" s="340"/>
      <c r="D12" s="340"/>
      <c r="E12" s="340"/>
      <c r="F12" s="340"/>
    </row>
    <row r="14" spans="1:10">
      <c r="B14" s="45" t="s">
        <v>314</v>
      </c>
      <c r="C14" s="46"/>
      <c r="D14" s="5"/>
    </row>
    <row r="15" spans="1:10">
      <c r="B15" s="2" t="s">
        <v>358</v>
      </c>
      <c r="C15" s="32" t="str">
        <f>IF(Scenarios!C69="Y",Scenarios!B69,"")&amp;IF(Scenarios!C70="Y",Scenarios!B70,"")&amp;IF(Scenarios!C71="Y",Scenarios!B71,"")&amp;" "&amp;IF(Scenarios!C72="Y",Scenarios!B72,"")</f>
        <v>Low Growth Asset Play</v>
      </c>
      <c r="E15" s="5"/>
    </row>
    <row r="16" spans="1:10">
      <c r="B16" s="4" t="s">
        <v>357</v>
      </c>
      <c r="C16" s="48" t="s">
        <v>429</v>
      </c>
      <c r="D16" s="32"/>
      <c r="E16" s="5"/>
    </row>
    <row r="17" spans="1:6">
      <c r="B17" s="4" t="s">
        <v>1</v>
      </c>
      <c r="C17" s="50">
        <v>1.06</v>
      </c>
      <c r="D17" s="32" t="str">
        <f>IF(C16=D6,D6,C16&amp;"/"&amp;D6)</f>
        <v>CNY/HKD</v>
      </c>
      <c r="E17" s="5"/>
    </row>
    <row r="18" spans="1:6">
      <c r="B18" s="2" t="s">
        <v>56</v>
      </c>
      <c r="C18" s="48" t="s">
        <v>430</v>
      </c>
      <c r="E18" s="5"/>
    </row>
    <row r="19" spans="1:6">
      <c r="B19" s="2" t="s">
        <v>277</v>
      </c>
      <c r="C19" s="249">
        <v>0.3</v>
      </c>
      <c r="D19" s="1" t="s">
        <v>420</v>
      </c>
      <c r="E19" s="339">
        <v>0.2</v>
      </c>
    </row>
    <row r="20" spans="1:6">
      <c r="B20" s="2" t="str">
        <f>"Target Buy Price ("&amp;Market_currency&amp;"):"</f>
        <v>Target Buy Price (HKD):</v>
      </c>
      <c r="C20" s="252">
        <f>C133</f>
        <v>1.7528561419286872</v>
      </c>
      <c r="D20" s="1" t="s">
        <v>316</v>
      </c>
      <c r="E20" s="330">
        <v>3</v>
      </c>
    </row>
    <row r="21" spans="1:6">
      <c r="B21" s="1" t="s">
        <v>410</v>
      </c>
      <c r="C21" s="280">
        <f ca="1">Scenarios!C87</f>
        <v>0.25280122918191261</v>
      </c>
      <c r="D21" s="5"/>
      <c r="E21" s="5"/>
    </row>
    <row r="22" spans="1:6">
      <c r="D22" s="5"/>
      <c r="E22" s="5"/>
    </row>
    <row r="23" spans="1:6" ht="13.9">
      <c r="A23" s="247" t="s">
        <v>365</v>
      </c>
      <c r="B23" s="36"/>
      <c r="C23" s="36"/>
      <c r="D23" s="36"/>
      <c r="E23" s="36"/>
      <c r="F23" s="36"/>
    </row>
    <row r="25" spans="1:6" ht="24.4" customHeight="1">
      <c r="B25" s="340" t="s">
        <v>371</v>
      </c>
      <c r="C25" s="340"/>
      <c r="D25" s="340"/>
      <c r="E25" s="340"/>
      <c r="F25" s="340"/>
    </row>
    <row r="26" spans="1:6" ht="24.4" customHeight="1">
      <c r="B26" s="342" t="s">
        <v>349</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928439.85014218651</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350</v>
      </c>
      <c r="C40" s="322">
        <f>Normalized_FCF!C48</f>
        <v>28697.547874644533</v>
      </c>
      <c r="D40" s="1" t="str">
        <f>Reporting_currency</f>
        <v>CNY</v>
      </c>
      <c r="E40" s="321"/>
      <c r="F40" s="321"/>
    </row>
    <row r="41" spans="2:6">
      <c r="B41" s="47" t="s">
        <v>351</v>
      </c>
      <c r="C41" s="322">
        <f>Normalized_FCF!C47</f>
        <v>-52759</v>
      </c>
      <c r="D41" s="1" t="str">
        <f>Reporting_currency</f>
        <v>CNY</v>
      </c>
      <c r="E41" s="321"/>
      <c r="F41" s="321"/>
    </row>
    <row r="42" spans="2:6">
      <c r="B42" s="47" t="s">
        <v>239</v>
      </c>
      <c r="C42" s="188">
        <f>Normalized_FCF!C12</f>
        <v>-24061.452125355467</v>
      </c>
      <c r="D42" s="1" t="str">
        <f>Reporting_currency</f>
        <v>CNY</v>
      </c>
    </row>
    <row r="44" spans="2:6">
      <c r="B44" s="1" t="s">
        <v>247</v>
      </c>
    </row>
    <row r="45" spans="2:6">
      <c r="B45" s="47" t="s">
        <v>266</v>
      </c>
      <c r="C45" s="188">
        <f>Normalized_FCF!C15</f>
        <v>-130645.02443131036</v>
      </c>
      <c r="D45" s="1" t="str">
        <f>Reporting_currency</f>
        <v>CNY</v>
      </c>
    </row>
    <row r="47" spans="2:6">
      <c r="B47" s="341" t="s">
        <v>242</v>
      </c>
      <c r="C47" s="341"/>
      <c r="D47" s="341"/>
      <c r="E47" s="341"/>
      <c r="F47" s="341"/>
    </row>
    <row r="48" spans="2:6">
      <c r="B48" s="47" t="s">
        <v>240</v>
      </c>
      <c r="C48" s="188">
        <f>Normalized_FCF!C14</f>
        <v>-226094.59950420776</v>
      </c>
      <c r="D48" s="1" t="str">
        <f>Reporting_currency</f>
        <v>CNY</v>
      </c>
    </row>
    <row r="50" spans="1:6">
      <c r="B50" s="341" t="s">
        <v>348</v>
      </c>
      <c r="C50" s="344"/>
      <c r="D50" s="344"/>
      <c r="E50" s="344"/>
      <c r="F50" s="344"/>
    </row>
    <row r="51" spans="1:6">
      <c r="B51" s="47" t="s">
        <v>243</v>
      </c>
      <c r="C51" s="1">
        <f>Normalized_FCF!C17</f>
        <v>0</v>
      </c>
      <c r="D51" s="1" t="str">
        <f>Reporting_currency</f>
        <v>CNY</v>
      </c>
    </row>
    <row r="53" spans="1:6" ht="24.4" customHeight="1">
      <c r="B53" s="340" t="s">
        <v>353</v>
      </c>
      <c r="C53" s="340"/>
      <c r="D53" s="340"/>
      <c r="E53" s="340"/>
      <c r="F53" s="340"/>
    </row>
    <row r="54" spans="1:6" ht="24.4" customHeight="1">
      <c r="B54" s="340" t="s">
        <v>372</v>
      </c>
      <c r="C54" s="340"/>
      <c r="D54" s="340"/>
      <c r="E54" s="340"/>
      <c r="F54" s="340"/>
    </row>
    <row r="56" spans="1:6">
      <c r="B56" s="47" t="s">
        <v>271</v>
      </c>
      <c r="C56" s="188">
        <f>Normalized_FCF!G19</f>
        <v>575049.21170235414</v>
      </c>
      <c r="D56" s="1" t="str">
        <f>Reporting_currency</f>
        <v>CNY</v>
      </c>
    </row>
    <row r="57" spans="1:6">
      <c r="B57" s="47" t="s">
        <v>249</v>
      </c>
      <c r="C57" s="188">
        <f>Normalized_FCF!C19</f>
        <v>547638.77408131293</v>
      </c>
      <c r="D57" s="1" t="str">
        <f>Reporting_currency</f>
        <v>CNY</v>
      </c>
    </row>
    <row r="58" spans="1:6">
      <c r="B58" s="254" t="s">
        <v>401</v>
      </c>
      <c r="C58" s="92">
        <f>Normalized_FCF!C125</f>
        <v>6.4575015354156703E-2</v>
      </c>
    </row>
    <row r="59" spans="1:6">
      <c r="B59" s="254" t="s">
        <v>317</v>
      </c>
      <c r="C59" s="92">
        <f>Normalized_FCF!C93</f>
        <v>5.1282051282051287E-2</v>
      </c>
    </row>
    <row r="61" spans="1:6" ht="13.9">
      <c r="A61" s="247" t="s">
        <v>366</v>
      </c>
      <c r="B61" s="36"/>
      <c r="C61" s="36"/>
      <c r="D61" s="36"/>
      <c r="E61" s="36"/>
      <c r="F61" s="36"/>
    </row>
    <row r="62" spans="1:6">
      <c r="A62" s="233"/>
    </row>
    <row r="63" spans="1:6" ht="24.4" customHeight="1">
      <c r="A63" s="17"/>
      <c r="B63" s="340" t="s">
        <v>373</v>
      </c>
      <c r="C63" s="340"/>
      <c r="D63" s="340"/>
      <c r="E63" s="340"/>
      <c r="F63" s="340"/>
    </row>
    <row r="64" spans="1:6">
      <c r="B64" s="342" t="s">
        <v>253</v>
      </c>
      <c r="C64" s="342"/>
      <c r="D64" s="342"/>
      <c r="E64" s="342"/>
      <c r="F64" s="342"/>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367</v>
      </c>
      <c r="C72" s="122"/>
    </row>
    <row r="73" spans="1:6" ht="24.4" customHeight="1">
      <c r="B73" s="340" t="s">
        <v>374</v>
      </c>
      <c r="C73" s="340"/>
      <c r="D73" s="340"/>
      <c r="E73" s="340"/>
      <c r="F73" s="340"/>
    </row>
    <row r="74" spans="1:6" ht="24.4" customHeight="1">
      <c r="B74" s="340" t="s">
        <v>375</v>
      </c>
      <c r="C74" s="340"/>
      <c r="D74" s="340"/>
      <c r="E74" s="340"/>
      <c r="F74" s="340"/>
    </row>
    <row r="76" spans="1:6">
      <c r="B76" s="47" t="s">
        <v>252</v>
      </c>
      <c r="C76" s="263">
        <v>0</v>
      </c>
    </row>
    <row r="77" spans="1:6">
      <c r="B77" s="47" t="s">
        <v>284</v>
      </c>
      <c r="C77" s="248">
        <f>Valuation_Model!C6*scaling_factor*Exchange_Rate/Common_Shares</f>
        <v>1.5740159992575697</v>
      </c>
      <c r="D77" s="1" t="str">
        <f>Market_currency</f>
        <v>HKD</v>
      </c>
    </row>
    <row r="79" spans="1:6" ht="13.9">
      <c r="A79" s="247" t="s">
        <v>368</v>
      </c>
      <c r="B79" s="36"/>
      <c r="C79" s="36"/>
      <c r="D79" s="36"/>
      <c r="E79" s="36"/>
      <c r="F79" s="36"/>
    </row>
    <row r="80" spans="1:6">
      <c r="A80" s="233"/>
    </row>
    <row r="81" spans="2:6">
      <c r="B81" s="340" t="s">
        <v>376</v>
      </c>
      <c r="C81" s="340"/>
      <c r="D81" s="340"/>
      <c r="E81" s="340"/>
      <c r="F81" s="340"/>
    </row>
    <row r="82" spans="2:6">
      <c r="B82" s="1" t="s">
        <v>254</v>
      </c>
    </row>
    <row r="84" spans="2:6">
      <c r="B84" s="234" t="s">
        <v>231</v>
      </c>
    </row>
    <row r="85" spans="2:6" ht="24.4" customHeight="1">
      <c r="B85" s="340" t="s">
        <v>354</v>
      </c>
      <c r="C85" s="340"/>
      <c r="D85" s="340"/>
      <c r="E85" s="340"/>
      <c r="F85" s="340"/>
    </row>
    <row r="86" spans="2:6">
      <c r="B86" s="47" t="s">
        <v>256</v>
      </c>
      <c r="C86" s="188">
        <f>Valuation_Model!C7</f>
        <v>2119124</v>
      </c>
      <c r="D86" s="1" t="str">
        <f>Reporting_currency</f>
        <v>CNY</v>
      </c>
    </row>
    <row r="87" spans="2:6">
      <c r="B87" s="47" t="s">
        <v>285</v>
      </c>
      <c r="C87" s="248">
        <f>C86*scaling_factor*Exchange_Rate/Common_Shares</f>
        <v>0.48726061605206072</v>
      </c>
      <c r="D87" s="1" t="str">
        <f>Market_currency</f>
        <v>HKD</v>
      </c>
    </row>
    <row r="88" spans="2:6">
      <c r="B88" s="336" t="s">
        <v>415</v>
      </c>
      <c r="C88" s="337">
        <f>BS!G30/BS!G27</f>
        <v>0.23422582328431374</v>
      </c>
    </row>
    <row r="89" spans="2:6">
      <c r="B89" s="336" t="s">
        <v>416</v>
      </c>
      <c r="C89" s="337">
        <f>BS!G31/BS!G27</f>
        <v>0.10863424600069688</v>
      </c>
    </row>
    <row r="90" spans="2:6">
      <c r="B90" s="336" t="s">
        <v>418</v>
      </c>
      <c r="C90" s="338">
        <f>BS!C50</f>
        <v>2.2824569622635926</v>
      </c>
    </row>
    <row r="92" spans="2:6">
      <c r="B92" s="1" t="s">
        <v>255</v>
      </c>
    </row>
    <row r="93" spans="2:6">
      <c r="B93" s="47" t="s">
        <v>265</v>
      </c>
      <c r="C93" s="188">
        <f>BS!C66</f>
        <v>11691643</v>
      </c>
      <c r="D93" s="1" t="str">
        <f>Reporting_currency</f>
        <v>CNY</v>
      </c>
    </row>
    <row r="94" spans="2:6">
      <c r="B94" s="47" t="s">
        <v>267</v>
      </c>
      <c r="C94" s="188">
        <f>Valuation_Model!C8</f>
        <v>9778473.1416903641</v>
      </c>
      <c r="D94" s="1" t="str">
        <f>Reporting_currency</f>
        <v>CNY</v>
      </c>
    </row>
    <row r="95" spans="2:6">
      <c r="B95" s="47" t="s">
        <v>286</v>
      </c>
      <c r="C95" s="248">
        <f>C94*scaling_factor*Exchange_Rate/Common_Shares</f>
        <v>2.2484124794342271</v>
      </c>
      <c r="D95" s="1" t="str">
        <f>Market_currency</f>
        <v>HKD</v>
      </c>
    </row>
    <row r="97" spans="1:6">
      <c r="B97" s="1" t="s">
        <v>257</v>
      </c>
    </row>
    <row r="98" spans="1:6">
      <c r="B98" s="47" t="s">
        <v>258</v>
      </c>
      <c r="C98" s="188">
        <f>Valuation_Model!C9</f>
        <v>52579.6</v>
      </c>
      <c r="D98" s="1" t="str">
        <f>Reporting_currency</f>
        <v>CNY</v>
      </c>
    </row>
    <row r="99" spans="1:6">
      <c r="B99" s="47" t="s">
        <v>287</v>
      </c>
      <c r="C99" s="248">
        <f>C98*scaling_factor*Exchange_Rate/Common_Shares</f>
        <v>1.20898863340564E-2</v>
      </c>
      <c r="D99" s="1" t="str">
        <f>Market_currency</f>
        <v>HKD</v>
      </c>
    </row>
    <row r="101" spans="1:6" ht="24.4" customHeight="1">
      <c r="B101" s="340" t="s">
        <v>377</v>
      </c>
      <c r="C101" s="340"/>
      <c r="D101" s="340"/>
      <c r="E101" s="340"/>
      <c r="F101" s="340"/>
    </row>
    <row r="103" spans="1:6">
      <c r="B103" s="47" t="s">
        <v>283</v>
      </c>
      <c r="C103" s="248">
        <f>Valuation_Model!C12</f>
        <v>3.3472577489737918</v>
      </c>
      <c r="D103" s="1" t="str">
        <f>Market_currency</f>
        <v>HKD</v>
      </c>
    </row>
    <row r="104" spans="1:6">
      <c r="B104" s="336" t="s">
        <v>417</v>
      </c>
      <c r="C104" s="248">
        <f>BS!D47</f>
        <v>1.7907626778741865</v>
      </c>
      <c r="D104" s="1" t="str">
        <f>Market_currency</f>
        <v>HKD</v>
      </c>
    </row>
    <row r="106" spans="1:6" ht="13.9">
      <c r="A106" s="247" t="s">
        <v>369</v>
      </c>
      <c r="B106" s="36"/>
      <c r="C106" s="36"/>
      <c r="D106" s="36"/>
      <c r="E106" s="36"/>
      <c r="F106" s="36"/>
    </row>
    <row r="108" spans="1:6" ht="24.4" customHeight="1">
      <c r="B108" s="341" t="s">
        <v>378</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0.03</v>
      </c>
      <c r="D111" s="257">
        <f>Valuation_Model!D74</f>
        <v>15</v>
      </c>
      <c r="E111" s="258" t="str">
        <f>ROUND(Valuation_Model!E74,2)&amp;" "&amp;Market_currency</f>
        <v>3.6 HKD</v>
      </c>
      <c r="F111" s="259">
        <f>Valuation_Model!F74</f>
        <v>0.05</v>
      </c>
    </row>
    <row r="112" spans="1:6">
      <c r="B112" s="242" t="str">
        <f>Valuation_Model!B75</f>
        <v>Optimistic</v>
      </c>
      <c r="C112" s="243">
        <f>Valuation_Model!C75</f>
        <v>0.03</v>
      </c>
      <c r="D112" s="244">
        <f>Valuation_Model!D75</f>
        <v>10</v>
      </c>
      <c r="E112" s="245" t="str">
        <f>ROUND(Valuation_Model!E75,2)&amp;" "&amp;Market_currency</f>
        <v>3.5 HKD</v>
      </c>
      <c r="F112" s="246">
        <f>Valuation_Model!F75</f>
        <v>0.18</v>
      </c>
    </row>
    <row r="113" spans="1:6">
      <c r="B113" s="242" t="str">
        <f>Valuation_Model!B76</f>
        <v>Base</v>
      </c>
      <c r="C113" s="243">
        <f>Valuation_Model!C76</f>
        <v>0.02</v>
      </c>
      <c r="D113" s="244">
        <f>Valuation_Model!D76</f>
        <v>10</v>
      </c>
      <c r="E113" s="245" t="str">
        <f>ROUND(Valuation_Model!E76,2)&amp;" "&amp;Market_currency</f>
        <v>3.45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3.4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3.35 HKD</v>
      </c>
      <c r="F115" s="246">
        <f>Valuation_Model!F78</f>
        <v>0.05</v>
      </c>
    </row>
    <row r="117" spans="1:6">
      <c r="B117" s="235" t="s">
        <v>259</v>
      </c>
      <c r="C117" s="241">
        <f>Scenarios!C60</f>
        <v>3.4520249438173267</v>
      </c>
      <c r="D117" s="236" t="str">
        <f>Market_currency</f>
        <v>HKD</v>
      </c>
    </row>
    <row r="119" spans="1:6" ht="24.4" customHeight="1">
      <c r="B119" s="345" t="s">
        <v>381</v>
      </c>
      <c r="C119" s="345"/>
      <c r="D119" s="345"/>
      <c r="E119" s="345"/>
      <c r="F119" s="345"/>
    </row>
    <row r="121" spans="1:6" ht="13.9">
      <c r="A121" s="247" t="s">
        <v>413</v>
      </c>
      <c r="B121" s="36"/>
      <c r="C121" s="36"/>
      <c r="D121" s="36"/>
      <c r="E121" s="36"/>
      <c r="F121" s="36"/>
    </row>
    <row r="123" spans="1:6">
      <c r="B123" s="343" t="s">
        <v>379</v>
      </c>
      <c r="C123" s="343"/>
      <c r="D123" s="343"/>
      <c r="E123" s="343"/>
      <c r="F123" s="343"/>
    </row>
    <row r="124" spans="1:6" ht="24.4" customHeight="1">
      <c r="B124" s="340" t="s">
        <v>380</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0.1</v>
      </c>
      <c r="D128" s="236" t="str">
        <f>Market_currency</f>
        <v>HKD</v>
      </c>
    </row>
    <row r="130" spans="2:4">
      <c r="B130" s="234" t="s">
        <v>421</v>
      </c>
      <c r="C130" s="337">
        <f>C19</f>
        <v>0.3</v>
      </c>
      <c r="D130" s="1" t="s">
        <v>419</v>
      </c>
    </row>
    <row r="131" spans="2:4">
      <c r="B131" s="236" t="str">
        <f>"PV("&amp;C126&amp;" yrs of Dividends)"</f>
        <v>PV(3 yrs of Dividends)</v>
      </c>
      <c r="C131" s="240">
        <f>Scenarios!C81</f>
        <v>0.18161128812016392</v>
      </c>
    </row>
    <row r="132" spans="2:4">
      <c r="B132" s="236" t="str">
        <f>"+ PV(Equity Value realized at year "&amp;C126&amp;")"</f>
        <v>+ PV(Equity Value realized at year 3)</v>
      </c>
      <c r="C132" s="240">
        <f>Scenarios!C82</f>
        <v>1.5712448538085233</v>
      </c>
    </row>
    <row r="133" spans="2:4">
      <c r="B133" s="80" t="s">
        <v>261</v>
      </c>
      <c r="C133" s="239">
        <f>Scenarios!C83</f>
        <v>1.7528561419286872</v>
      </c>
      <c r="D133" s="47" t="str">
        <f>Reporting_currency</f>
        <v>CNY</v>
      </c>
    </row>
    <row r="134" spans="2:4">
      <c r="B134" s="238" t="s">
        <v>263</v>
      </c>
      <c r="C134" s="92">
        <f>Scenarios!F83</f>
        <v>0.4922237902515445</v>
      </c>
    </row>
    <row r="136" spans="2:4">
      <c r="B136" s="234" t="s">
        <v>424</v>
      </c>
      <c r="C136" s="337">
        <f>Scenarios!C90</f>
        <v>0.2</v>
      </c>
      <c r="D136" s="1" t="s">
        <v>423</v>
      </c>
    </row>
    <row r="137" spans="2:4">
      <c r="B137" s="236" t="str">
        <f>"PV("&amp;C126&amp;" yrs of Dividends)"</f>
        <v>PV(3 yrs of Dividends)</v>
      </c>
      <c r="C137" s="240">
        <f>Scenarios!C91</f>
        <v>0.21064814814814814</v>
      </c>
    </row>
    <row r="138" spans="2:4">
      <c r="B138" s="236" t="str">
        <f>"+ PV(Equity Value realized at year "&amp;C126&amp;")"</f>
        <v>+ PV(Equity Value realized at year 3)</v>
      </c>
      <c r="C138" s="240">
        <f>Scenarios!C92</f>
        <v>1.9976996202646566</v>
      </c>
    </row>
    <row r="139" spans="2:4">
      <c r="B139" s="80" t="s">
        <v>261</v>
      </c>
      <c r="C139" s="239">
        <f>Scenarios!C93</f>
        <v>2.2083477684128048</v>
      </c>
      <c r="D139" s="47" t="str">
        <f>Reporting_currency</f>
        <v>CNY</v>
      </c>
    </row>
    <row r="140" spans="2:4">
      <c r="B140" s="238" t="s">
        <v>263</v>
      </c>
      <c r="C140" s="92">
        <f>Scenarios!F93</f>
        <v>0.36027467809350067</v>
      </c>
    </row>
    <row r="142" spans="2:4">
      <c r="B142" s="234" t="s">
        <v>411</v>
      </c>
      <c r="C142" s="92">
        <f>Scenarios!C96</f>
        <v>0.08</v>
      </c>
      <c r="D142" s="1" t="s">
        <v>422</v>
      </c>
    </row>
    <row r="143" spans="2:4">
      <c r="B143" s="236" t="str">
        <f>"PV("&amp;C126&amp;" yrs of Dividends)"</f>
        <v>PV(3 yrs of Dividends)</v>
      </c>
      <c r="C143" s="240">
        <f>Scenarios!C97</f>
        <v>0.25770969872478805</v>
      </c>
    </row>
    <row r="144" spans="2:4">
      <c r="B144" s="236" t="str">
        <f>"+ PV(Equity Value realized at year "&amp;C126&amp;")"</f>
        <v>+ PV(Equity Value realized at year 3)</v>
      </c>
      <c r="C144" s="240">
        <f>Scenarios!C98</f>
        <v>2.7403286972080334</v>
      </c>
    </row>
    <row r="145" spans="1:6">
      <c r="B145" s="80" t="s">
        <v>412</v>
      </c>
      <c r="C145" s="239">
        <f>Scenarios!C99</f>
        <v>2.9980383959328214</v>
      </c>
      <c r="D145" s="101" t="str">
        <f>Reporting_currency</f>
        <v>CNY</v>
      </c>
    </row>
    <row r="146" spans="1:6">
      <c r="B146" s="238" t="s">
        <v>263</v>
      </c>
      <c r="C146" s="92">
        <f>Scenarios!F99</f>
        <v>0.13151311339670591</v>
      </c>
    </row>
    <row r="148" spans="1:6" ht="13.9">
      <c r="A148" s="247" t="s">
        <v>385</v>
      </c>
      <c r="B148" s="36"/>
      <c r="C148" s="36"/>
      <c r="D148" s="36"/>
      <c r="E148" s="36"/>
      <c r="F148" s="36"/>
    </row>
    <row r="150" spans="1:6">
      <c r="B150" s="347" t="s">
        <v>387</v>
      </c>
      <c r="C150" s="340"/>
      <c r="D150" s="340"/>
      <c r="E150" s="340"/>
      <c r="F150" s="340"/>
    </row>
    <row r="152" spans="1:6">
      <c r="B152" s="234" t="s">
        <v>386</v>
      </c>
    </row>
    <row r="153" spans="1:6">
      <c r="B153" s="344" t="s">
        <v>391</v>
      </c>
      <c r="C153" s="344"/>
      <c r="D153" s="344"/>
      <c r="E153" s="344"/>
      <c r="F153" s="344"/>
    </row>
    <row r="154" spans="1:6">
      <c r="B154" s="238" t="s">
        <v>388</v>
      </c>
    </row>
    <row r="155" spans="1:6">
      <c r="B155" s="238" t="s">
        <v>389</v>
      </c>
    </row>
    <row r="156" spans="1:6">
      <c r="B156" s="238" t="s">
        <v>390</v>
      </c>
    </row>
    <row r="158" spans="1:6">
      <c r="B158" s="1" t="s">
        <v>395</v>
      </c>
    </row>
    <row r="159" spans="1:6" ht="46.5" customHeight="1">
      <c r="B159" s="341" t="s">
        <v>392</v>
      </c>
      <c r="C159" s="341"/>
      <c r="D159" s="341"/>
      <c r="E159" s="341"/>
      <c r="F159" s="341"/>
    </row>
    <row r="161" spans="2:6">
      <c r="B161" s="1" t="s">
        <v>396</v>
      </c>
    </row>
    <row r="162" spans="2:6" ht="24.4" customHeight="1">
      <c r="B162" s="346" t="s">
        <v>393</v>
      </c>
      <c r="C162" s="346"/>
      <c r="D162" s="346"/>
      <c r="E162" s="346"/>
      <c r="F162" s="346"/>
    </row>
    <row r="163" spans="2:6" ht="24.4" customHeight="1">
      <c r="B163" s="346" t="s">
        <v>394</v>
      </c>
      <c r="C163" s="346"/>
      <c r="D163" s="346"/>
      <c r="E163" s="346"/>
      <c r="F163" s="346"/>
    </row>
    <row r="165" spans="2:6">
      <c r="B165" s="1" t="s">
        <v>400</v>
      </c>
    </row>
    <row r="166" spans="2:6">
      <c r="B166" s="238" t="s">
        <v>397</v>
      </c>
    </row>
    <row r="167" spans="2:6">
      <c r="B167" s="238" t="s">
        <v>398</v>
      </c>
    </row>
    <row r="168" spans="2:6">
      <c r="B168" s="238" t="s">
        <v>399</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3" activePane="bottomRight" state="frozen"/>
      <selection pane="topRight" activeCell="C1" sqref="C1"/>
      <selection pane="bottomLeft" activeCell="A2" sqref="A2"/>
      <selection pane="bottomRight" activeCell="C25" sqref="C2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382</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384</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383</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0.12804800000000002</v>
      </c>
      <c r="D25" s="39">
        <f>0.207*Exchange_Rate</f>
        <v>0.21942</v>
      </c>
      <c r="E25" s="39">
        <f>0.178*Exchange_Rate</f>
        <v>0.18868000000000001</v>
      </c>
      <c r="F25" s="39">
        <f>0.155*Exchange_Rate</f>
        <v>0.1643</v>
      </c>
      <c r="G25" s="39">
        <f>0.08*Exchange_Rate</f>
        <v>8.48E-2</v>
      </c>
      <c r="H25" s="39">
        <f>0.076*Exchange_Rate</f>
        <v>8.0560000000000007E-2</v>
      </c>
      <c r="I25" s="39">
        <f>0.15*Exchange_Rate</f>
        <v>0.159</v>
      </c>
      <c r="J25" s="39">
        <f>0.005*Exchange_Rate</f>
        <v>5.3E-3</v>
      </c>
      <c r="K25" s="39">
        <f>0.05*Exchange_Rate</f>
        <v>5.3000000000000005E-2</v>
      </c>
      <c r="L25" s="39">
        <f>0.08*Exchange_Rate</f>
        <v>8.48E-2</v>
      </c>
      <c r="M25" s="39"/>
    </row>
    <row r="27" spans="2:13">
      <c r="B27" s="16" t="s">
        <v>28</v>
      </c>
      <c r="C27" s="97" t="s">
        <v>220</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0.12804800000000002</v>
      </c>
      <c r="D65" s="73">
        <f t="shared" ref="D65:M65" si="33">IF(D$4="","",D25)</f>
        <v>0.21942</v>
      </c>
      <c r="E65" s="73">
        <f t="shared" si="33"/>
        <v>0.18868000000000001</v>
      </c>
      <c r="F65" s="73">
        <f t="shared" si="33"/>
        <v>0.1643</v>
      </c>
      <c r="G65" s="73">
        <f t="shared" si="33"/>
        <v>8.48E-2</v>
      </c>
      <c r="H65" s="73">
        <f t="shared" si="33"/>
        <v>8.0560000000000007E-2</v>
      </c>
      <c r="I65" s="73">
        <f t="shared" si="33"/>
        <v>0.159</v>
      </c>
      <c r="J65" s="73">
        <f t="shared" si="33"/>
        <v>5.3E-3</v>
      </c>
      <c r="K65" s="73">
        <f t="shared" si="33"/>
        <v>5.3000000000000005E-2</v>
      </c>
      <c r="L65" s="73">
        <f t="shared" si="33"/>
        <v>8.48E-2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F32" sqref="F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81">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4.2327057744034713</v>
      </c>
      <c r="D47" s="148">
        <f>D46*H1/Common_Shares*Exchange_Rate</f>
        <v>1.7907626778741865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11691643</v>
      </c>
      <c r="D66" s="188">
        <f>C66-D75</f>
        <v>9778473.1416903641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-964204.44</v>
      </c>
      <c r="D73" s="188">
        <f>(Normalized_FCF!C25+Normalized_FCF!C35-Normalized_FCF!C91)/12</f>
        <v>-956584.92915481783</v>
      </c>
      <c r="F73" s="1" t="s">
        <v>361</v>
      </c>
    </row>
    <row r="74" spans="2:6" ht="15" customHeight="1">
      <c r="B74" s="288" t="s">
        <v>331</v>
      </c>
      <c r="C74" s="289">
        <f>-$C$66/C73</f>
        <v>12.125688821760663</v>
      </c>
      <c r="D74" s="289">
        <f>-$C$66/D73</f>
        <v>12.222273886679407</v>
      </c>
      <c r="F74" s="283" t="s">
        <v>328</v>
      </c>
    </row>
    <row r="75" spans="2:6" ht="15" customHeight="1">
      <c r="B75" s="80" t="s">
        <v>329</v>
      </c>
      <c r="C75" s="293"/>
      <c r="D75" s="292">
        <f>MAX(-D73*D76,G5)</f>
        <v>1913169.8583096357</v>
      </c>
      <c r="F75" s="283" t="s">
        <v>362</v>
      </c>
    </row>
    <row r="76" spans="2:6" ht="15" customHeight="1">
      <c r="B76" s="290" t="s">
        <v>332</v>
      </c>
      <c r="C76" s="291"/>
      <c r="D76" s="327">
        <f>IF(D74&lt;=3,1,IF(D74&gt;18,6,2))</f>
        <v>2</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-2246271.44</v>
      </c>
      <c r="D86" s="248">
        <f>C86*scaling_factor/Common_Shares</f>
        <v>-0.48726061605206072</v>
      </c>
      <c r="E86" s="269" t="str">
        <f>Market_currency</f>
        <v>HKD</v>
      </c>
    </row>
    <row r="87" spans="2:8" ht="15" customHeight="1">
      <c r="B87" s="267" t="s">
        <v>295</v>
      </c>
      <c r="C87" s="188">
        <f>Valuation_Model!C8*Exchange_Rate</f>
        <v>10365181.530191787</v>
      </c>
      <c r="D87" s="248">
        <f>C87*scaling_factor/Common_Shares</f>
        <v>2.2484124794342271</v>
      </c>
      <c r="E87" s="269" t="str">
        <f>Market_currency</f>
        <v>HKD</v>
      </c>
    </row>
    <row r="88" spans="2:8" ht="15" customHeight="1">
      <c r="B88" s="268" t="s">
        <v>190</v>
      </c>
      <c r="C88" s="188">
        <f>Valuation_Model!C9*Exchange_Rate</f>
        <v>55734.376000000004</v>
      </c>
      <c r="D88" s="248">
        <f>C88*scaling_factor/Common_Shares</f>
        <v>1.20898863340564E-2</v>
      </c>
      <c r="E88" s="269" t="str">
        <f>Market_currency</f>
        <v>HKD</v>
      </c>
    </row>
    <row r="89" spans="2:8" ht="15" customHeight="1">
      <c r="B89" s="80" t="s">
        <v>299</v>
      </c>
      <c r="C89" s="187">
        <f>SUM(C86:C88)</f>
        <v>8174644.4661917873</v>
      </c>
      <c r="D89" s="271">
        <f>SUM(D86:D88)</f>
        <v>1.7732417497162227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91" sqref="C9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-24061.452125355467</v>
      </c>
      <c r="E12" s="302"/>
      <c r="G12" s="191">
        <f>G50</f>
        <v>4690.2117023541432</v>
      </c>
      <c r="H12" s="191">
        <f t="shared" ref="H12:Q12" si="6">H50</f>
        <v>24386.916047488732</v>
      </c>
      <c r="I12" s="191">
        <f t="shared" si="6"/>
        <v>22122.109509395399</v>
      </c>
      <c r="J12" s="191">
        <f t="shared" si="6"/>
        <v>10429.324014928243</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904378.39801683102</v>
      </c>
      <c r="E13" s="302"/>
      <c r="G13" s="184">
        <f>IF(G$4="","",SUM(G8:G12))</f>
        <v>970997.21170235414</v>
      </c>
      <c r="H13" s="184">
        <f t="shared" ref="H13:Q13" si="7">IF(H$4="","",SUM(H8:H12))</f>
        <v>1340158.9160474888</v>
      </c>
      <c r="I13" s="184">
        <f t="shared" si="7"/>
        <v>1920255.1095093954</v>
      </c>
      <c r="J13" s="184">
        <f t="shared" si="7"/>
        <v>1923582.3240149282</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-226094.59950420776</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547638.77408131293</v>
      </c>
      <c r="D16" s="61"/>
      <c r="E16" s="310"/>
      <c r="F16" s="61"/>
      <c r="G16" s="184">
        <f>IF(G$4="","",SUM(G13:G15))</f>
        <v>575049.21170235414</v>
      </c>
      <c r="H16" s="184">
        <f t="shared" ref="H16:Q16" si="8">IF(H$4="","",SUM(H13:H15))</f>
        <v>1050271.9160474888</v>
      </c>
      <c r="I16" s="184">
        <f t="shared" si="8"/>
        <v>1292064.1095093954</v>
      </c>
      <c r="J16" s="184">
        <f t="shared" si="8"/>
        <v>779574.32401492819</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547638.77408131293</v>
      </c>
      <c r="D19" s="27"/>
      <c r="E19" s="299"/>
      <c r="F19" s="27"/>
      <c r="G19" s="186">
        <f>IF(G$4="","",G16+G17)</f>
        <v>575049.21170235414</v>
      </c>
      <c r="H19" s="186">
        <f t="shared" ref="H19:Q19" si="9">IF(H$4="","",H16+H17)</f>
        <v>1050271.9160474888</v>
      </c>
      <c r="I19" s="186">
        <f t="shared" si="9"/>
        <v>1292064.1095093954</v>
      </c>
      <c r="J19" s="186">
        <f t="shared" si="9"/>
        <v>779574.32401492819</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343</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343</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0.32553337557563827</v>
      </c>
      <c r="H43" s="6">
        <f t="shared" si="18"/>
        <v>0.21630792925286765</v>
      </c>
      <c r="I43" s="6">
        <f t="shared" si="18"/>
        <v>0.24581994218497374</v>
      </c>
      <c r="J43" s="6">
        <f t="shared" si="18"/>
        <v>0.51995227212965289</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28697.547874644533</v>
      </c>
      <c r="E48" s="302"/>
      <c r="G48" s="328">
        <f>IFERROR(IF(G$4="","",($C$48/$C$49)*G49),0)</f>
        <v>57449.211702354143</v>
      </c>
      <c r="H48" s="328">
        <f t="shared" ref="H48:Q48" si="19">IFERROR(IF(H$4="","",($C$48/$C$49)*H49),0)</f>
        <v>58571.916047488732</v>
      </c>
      <c r="I48" s="328">
        <f t="shared" si="19"/>
        <v>51516.109509395399</v>
      </c>
      <c r="J48" s="328">
        <f t="shared" si="19"/>
        <v>60988.324014928243</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-24061.452125355467</v>
      </c>
      <c r="E50" s="302"/>
      <c r="G50" s="184">
        <f>IF(G$4="","",(G47+G48))</f>
        <v>4690.2117023541432</v>
      </c>
      <c r="H50" s="184">
        <f t="shared" ref="H50:Q50" si="20">IF(H$4="","",(H47+H48))</f>
        <v>24386.916047488732</v>
      </c>
      <c r="I50" s="184">
        <f t="shared" si="20"/>
        <v>22122.109509395399</v>
      </c>
      <c r="J50" s="184">
        <f t="shared" si="20"/>
        <v>10429.324014928243</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345</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346</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364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2.0141074543808726E-3</v>
      </c>
      <c r="D80" s="27"/>
      <c r="E80" s="299"/>
      <c r="F80" s="27"/>
      <c r="G80" s="6">
        <f t="shared" ref="G80:Q80" si="31">IF(G$4="","",ABS(G12/G$4))</f>
        <v>3.9260267015976392E-4</v>
      </c>
      <c r="H80" s="6">
        <f t="shared" si="31"/>
        <v>1.8773850229540099E-3</v>
      </c>
      <c r="I80" s="6">
        <f t="shared" si="31"/>
        <v>1.5492699663013669E-3</v>
      </c>
      <c r="J80" s="6">
        <f t="shared" si="31"/>
        <v>7.7842348018662493E-4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7.570263272295423E-2</v>
      </c>
      <c r="D81" s="27"/>
      <c r="E81" s="299"/>
      <c r="F81" s="27"/>
      <c r="G81" s="65">
        <f t="shared" ref="G81:Q81" si="32">IF(G$4="","",G13/G$4)</f>
        <v>8.1279081249293547E-2</v>
      </c>
      <c r="H81" s="65">
        <f t="shared" si="32"/>
        <v>0.10316984207705603</v>
      </c>
      <c r="I81" s="65">
        <f t="shared" si="32"/>
        <v>0.13448055519009841</v>
      </c>
      <c r="J81" s="65">
        <f t="shared" si="32"/>
        <v>0.14357226268374584</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1.8925658180738558E-2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4.5841096016929615E-2</v>
      </c>
      <c r="D84" s="27"/>
      <c r="E84" s="299"/>
      <c r="F84" s="27"/>
      <c r="G84" s="65">
        <f t="shared" ref="G84:Q84" si="35">IF(G$4="","",ABS(G16/G$4))</f>
        <v>4.813553637126735E-2</v>
      </c>
      <c r="H84" s="65">
        <f t="shared" si="35"/>
        <v>8.0853387176022667E-2</v>
      </c>
      <c r="I84" s="65">
        <f t="shared" si="35"/>
        <v>9.0486674362979191E-2</v>
      </c>
      <c r="J84" s="65">
        <f t="shared" si="35"/>
        <v>5.8185838074953249E-2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4.5841096016929615E-2</v>
      </c>
      <c r="D87" s="75"/>
      <c r="E87" s="299"/>
      <c r="F87" s="75"/>
      <c r="G87" s="65">
        <f t="shared" ref="G87:Q87" si="36">IF(G$4="","",ABS(G19/G$4))</f>
        <v>4.813553637126735E-2</v>
      </c>
      <c r="H87" s="65">
        <f t="shared" si="36"/>
        <v>8.0853387176022667E-2</v>
      </c>
      <c r="I87" s="65">
        <f t="shared" si="36"/>
        <v>9.0486674362979191E-2</v>
      </c>
      <c r="J87" s="65">
        <f t="shared" si="36"/>
        <v>5.8185838074953249E-2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0.12804800000000002</v>
      </c>
      <c r="H90" s="113">
        <f>Data!D65</f>
        <v>0.21942</v>
      </c>
      <c r="I90" s="113">
        <f>Data!E65</f>
        <v>0.18868000000000001</v>
      </c>
      <c r="J90" s="113">
        <f>Data!F65</f>
        <v>0.1643</v>
      </c>
      <c r="K90" s="113">
        <f>Data!G65</f>
        <v>8.48E-2</v>
      </c>
      <c r="L90" s="113">
        <f>Data!H65</f>
        <v>8.0560000000000007E-2</v>
      </c>
      <c r="M90" s="113">
        <f>Data!I65</f>
        <v>0.159</v>
      </c>
      <c r="N90" s="113">
        <f>Data!J65</f>
        <v>5.3E-3</v>
      </c>
      <c r="O90" s="113">
        <f>Data!K65</f>
        <v>5.3000000000000005E-2</v>
      </c>
      <c r="P90" s="113">
        <f>Data!L65</f>
        <v>8.48E-2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590301.28000000014</v>
      </c>
      <c r="H91" s="74">
        <f t="shared" si="37"/>
        <v>1011526.2</v>
      </c>
      <c r="I91" s="74">
        <f t="shared" si="37"/>
        <v>869814.80000000016</v>
      </c>
      <c r="J91" s="74">
        <f t="shared" si="37"/>
        <v>757423</v>
      </c>
      <c r="K91" s="74">
        <f t="shared" si="37"/>
        <v>390928</v>
      </c>
      <c r="L91" s="74">
        <f t="shared" si="37"/>
        <v>371381.60000000003</v>
      </c>
      <c r="M91" s="74">
        <f t="shared" si="37"/>
        <v>732990</v>
      </c>
      <c r="N91" s="74">
        <f t="shared" si="37"/>
        <v>24433</v>
      </c>
      <c r="O91" s="74">
        <f t="shared" si="37"/>
        <v>244330.00000000003</v>
      </c>
      <c r="P91" s="74">
        <f t="shared" si="37"/>
        <v>390928</v>
      </c>
      <c r="Q91" s="74" t="str">
        <f t="shared" si="37"/>
        <v/>
      </c>
    </row>
    <row r="92" spans="1:17" ht="15.75" customHeight="1">
      <c r="A92" s="10"/>
      <c r="B92" s="2" t="s">
        <v>214</v>
      </c>
      <c r="C92" s="23">
        <f>C90/(C19*scaling_factor/Common_Shares)</f>
        <v>0.84179576359133257</v>
      </c>
      <c r="E92" s="302"/>
      <c r="G92" s="171">
        <f t="shared" ref="G92:Q92" si="38">IF(G$4="","",G90/(G19*scaling_factor/Common_Shares))</f>
        <v>1.0265230661781002</v>
      </c>
      <c r="H92" s="171">
        <f t="shared" si="38"/>
        <v>0.96310887165934944</v>
      </c>
      <c r="I92" s="171">
        <f t="shared" si="38"/>
        <v>0.67319786502720369</v>
      </c>
      <c r="J92" s="171">
        <f t="shared" si="38"/>
        <v>0.9715853596859817</v>
      </c>
      <c r="K92" s="171">
        <f t="shared" si="38"/>
        <v>0.89702916225909413</v>
      </c>
      <c r="L92" s="171">
        <f t="shared" si="38"/>
        <v>1.099500552145968</v>
      </c>
      <c r="M92" s="171">
        <f t="shared" si="38"/>
        <v>0.57960413999568261</v>
      </c>
      <c r="N92" s="171">
        <f t="shared" si="38"/>
        <v>6.2161783974252961E-2</v>
      </c>
      <c r="O92" s="171">
        <f t="shared" si="38"/>
        <v>-0.5894941540362002</v>
      </c>
      <c r="P92" s="171">
        <f t="shared" si="38"/>
        <v>0.6488808478500826</v>
      </c>
      <c r="Q92" s="171" t="str">
        <f t="shared" si="38"/>
        <v/>
      </c>
    </row>
    <row r="93" spans="1:17" ht="15.75" customHeight="1">
      <c r="A93" s="10"/>
      <c r="B93" s="2" t="s">
        <v>318</v>
      </c>
      <c r="C93" s="23">
        <f>C90/Market_Price</f>
        <v>5.1282051282051287E-2</v>
      </c>
      <c r="E93" s="302"/>
      <c r="G93" s="23">
        <f t="shared" ref="G93:Q93" si="39">IF(G$4="","",G90/Market_Price)</f>
        <v>6.5665641025641042E-2</v>
      </c>
      <c r="H93" s="23">
        <f t="shared" si="39"/>
        <v>0.11252307692307693</v>
      </c>
      <c r="I93" s="23">
        <f t="shared" si="39"/>
        <v>9.6758974358974362E-2</v>
      </c>
      <c r="J93" s="23">
        <f t="shared" si="39"/>
        <v>8.4256410256410258E-2</v>
      </c>
      <c r="K93" s="23">
        <f t="shared" si="39"/>
        <v>4.3487179487179485E-2</v>
      </c>
      <c r="L93" s="23">
        <f t="shared" si="39"/>
        <v>4.1312820512820515E-2</v>
      </c>
      <c r="M93" s="23">
        <f t="shared" si="39"/>
        <v>8.1538461538461546E-2</v>
      </c>
      <c r="N93" s="23">
        <f t="shared" si="39"/>
        <v>2.7179487179487178E-3</v>
      </c>
      <c r="O93" s="23">
        <f t="shared" si="39"/>
        <v>2.7179487179487184E-2</v>
      </c>
      <c r="P93" s="23">
        <f t="shared" si="39"/>
        <v>4.3487179487179485E-2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-6.8608656011202029E-2</v>
      </c>
      <c r="D97" s="27"/>
      <c r="E97" s="299"/>
      <c r="F97" s="27"/>
      <c r="G97" s="6">
        <f t="shared" ref="G97:Q97" si="41">IF(H5="","",G13/H13-1)</f>
        <v>-0.27546114115622788</v>
      </c>
      <c r="H97" s="6">
        <f t="shared" si="41"/>
        <v>-0.30209329509875127</v>
      </c>
      <c r="I97" s="6">
        <f t="shared" si="41"/>
        <v>-1.7296969638336268E-3</v>
      </c>
      <c r="J97" s="6">
        <f t="shared" si="41"/>
        <v>1.5856929643058288</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403</v>
      </c>
      <c r="C114" s="170"/>
      <c r="E114" s="302"/>
      <c r="G114" s="334">
        <f>IF(G$4="","",Data!C$22/G19)</f>
        <v>2.6476916566717676</v>
      </c>
      <c r="H114" s="334">
        <f>IF(H$4="","",Data!D$22/H19)</f>
        <v>1.4697384328899867</v>
      </c>
      <c r="I114" s="334">
        <f>IF(I$4="","",Data!E$22/I19)</f>
        <v>1.6581816523125246</v>
      </c>
      <c r="J114" s="334">
        <f>IF(J$4="","",Data!F$22/J19)</f>
        <v>3.7696315918477148</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7.570263272295423E-2</v>
      </c>
      <c r="E117" s="302"/>
      <c r="G117" s="23">
        <f t="shared" ref="G117:Q117" si="45">G81</f>
        <v>8.1279081249293547E-2</v>
      </c>
      <c r="H117" s="23">
        <f t="shared" si="45"/>
        <v>0.10316984207705603</v>
      </c>
      <c r="I117" s="23">
        <f t="shared" si="45"/>
        <v>0.13448055519009841</v>
      </c>
      <c r="J117" s="23">
        <f t="shared" si="45"/>
        <v>0.14357226268374584</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0.12592127994060556</v>
      </c>
      <c r="D124" s="27"/>
      <c r="E124" s="299"/>
      <c r="F124" s="27"/>
      <c r="G124" s="178">
        <f t="shared" ref="G124:Q124" si="49">IF(G$4="","",G16*$C$3/Common_Shares*Exchange_Rate)</f>
        <v>0.13222389683394697</v>
      </c>
      <c r="H124" s="178">
        <f t="shared" si="49"/>
        <v>0.24149419327773064</v>
      </c>
      <c r="I124" s="178">
        <f t="shared" si="49"/>
        <v>0.29709066292406927</v>
      </c>
      <c r="J124" s="178">
        <f t="shared" si="49"/>
        <v>0.17925136300560171</v>
      </c>
      <c r="K124" s="178">
        <f t="shared" si="49"/>
        <v>0.10020632971800433</v>
      </c>
      <c r="L124" s="178">
        <f t="shared" si="49"/>
        <v>7.7665809110629078E-2</v>
      </c>
      <c r="M124" s="178">
        <f t="shared" si="49"/>
        <v>0.2907846724511931</v>
      </c>
      <c r="N124" s="178">
        <f t="shared" si="49"/>
        <v>9.0377071583514115E-2</v>
      </c>
      <c r="O124" s="178">
        <f t="shared" si="49"/>
        <v>-9.5302047722342742E-2</v>
      </c>
      <c r="P124" s="178">
        <f t="shared" si="49"/>
        <v>0.13852774403470716</v>
      </c>
      <c r="Q124" s="178" t="str">
        <f t="shared" si="49"/>
        <v/>
      </c>
    </row>
    <row r="125" spans="1:17" ht="15.75" customHeight="1">
      <c r="A125" s="10"/>
      <c r="B125" s="27" t="s">
        <v>270</v>
      </c>
      <c r="C125" s="77">
        <f>C19*Exchange_Rate*$C$3/(Market_Price*Common_Shares)</f>
        <v>6.4575015354156703E-2</v>
      </c>
      <c r="D125" s="27"/>
      <c r="E125" s="299"/>
      <c r="F125" s="27"/>
      <c r="G125" s="77">
        <f t="shared" ref="G125" si="50">IF(G$4="","",G124/Market_Price)</f>
        <v>6.7807126581511265E-2</v>
      </c>
      <c r="H125" s="77">
        <f t="shared" ref="H125" si="51">IF(H$4="","",H124/Market_Price)</f>
        <v>0.12384317603986186</v>
      </c>
      <c r="I125" s="77">
        <f t="shared" ref="I125" si="52">IF(I$4="","",I124/Market_Price)</f>
        <v>0.15235418611490731</v>
      </c>
      <c r="J125" s="77">
        <f t="shared" ref="J125" si="53">IF(J$4="","",J124/Market_Price)</f>
        <v>9.1923775900308577E-2</v>
      </c>
      <c r="K125" s="77">
        <f t="shared" ref="K125" si="54">IF(K$4="","",K124/Market_Price)</f>
        <v>5.1387861393848377E-2</v>
      </c>
      <c r="L125" s="77">
        <f t="shared" ref="L125" si="55">IF(L$4="","",L124/Market_Price)</f>
        <v>3.9828620056732864E-2</v>
      </c>
      <c r="M125" s="77">
        <f t="shared" ref="M125" si="56">IF(M$4="","",M124/Market_Price)</f>
        <v>0.1491203448467657</v>
      </c>
      <c r="N125" s="77">
        <f t="shared" ref="N125" si="57">IF(N$4="","",N124/Market_Price)</f>
        <v>4.6347216196673903E-2</v>
      </c>
      <c r="O125" s="77">
        <f t="shared" ref="O125" si="58">IF(O$4="","",O124/Market_Price)</f>
        <v>-4.8872844985816795E-2</v>
      </c>
      <c r="P125" s="77">
        <f t="shared" ref="P125" si="59">IF(P$4="","",P124/Market_Price)</f>
        <v>7.1039868735747261E-2</v>
      </c>
      <c r="Q125" s="77" t="str">
        <f t="shared" ref="Q125" si="60">IF(Q$4="","",Q124/Market_Price)</f>
        <v/>
      </c>
    </row>
    <row r="126" spans="1:17" ht="15.75" customHeight="1">
      <c r="B126" s="2" t="s">
        <v>405</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547638.77408131293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6845484.6760164117</v>
      </c>
      <c r="D6" t="str">
        <f>Reporting_currency</f>
        <v>CNY</v>
      </c>
      <c r="E6" s="348" t="s">
        <v>250</v>
      </c>
      <c r="F6" s="348"/>
      <c r="H6" s="121"/>
    </row>
    <row r="7" spans="2:8">
      <c r="B7" s="149" t="s">
        <v>225</v>
      </c>
      <c r="C7" s="226">
        <f>BS!G31</f>
        <v>2119124</v>
      </c>
      <c r="D7" t="str">
        <f>Reporting_currency</f>
        <v>CNY</v>
      </c>
      <c r="E7" s="348"/>
      <c r="F7" s="348"/>
      <c r="H7" s="121"/>
    </row>
    <row r="8" spans="2:8">
      <c r="B8" s="149" t="s">
        <v>226</v>
      </c>
      <c r="C8" s="201">
        <f>BS!D66</f>
        <v>9778473.1416903641</v>
      </c>
      <c r="D8" t="str">
        <f>Reporting_currency</f>
        <v>CNY</v>
      </c>
      <c r="E8" s="348"/>
      <c r="F8" s="348"/>
      <c r="H8" s="121"/>
    </row>
    <row r="9" spans="2:8">
      <c r="B9" s="227" t="s">
        <v>191</v>
      </c>
      <c r="C9" s="229">
        <f>BS!H42</f>
        <v>52579.6</v>
      </c>
      <c r="D9" t="str">
        <f>Reporting_currency</f>
        <v>CNY</v>
      </c>
      <c r="E9" s="348"/>
      <c r="F9" s="348"/>
      <c r="H9" s="121"/>
    </row>
    <row r="10" spans="2:8" ht="13.15">
      <c r="B10" s="150" t="s">
        <v>228</v>
      </c>
      <c r="C10" s="232">
        <f>C6-C7+C8+C9</f>
        <v>14557413.417706775</v>
      </c>
      <c r="D10" t="str">
        <f>Reporting_currency</f>
        <v>CNY</v>
      </c>
      <c r="H10" s="121"/>
    </row>
    <row r="11" spans="2:8" ht="13.15" thickBot="1">
      <c r="B11" s="230" t="s">
        <v>167</v>
      </c>
      <c r="C11" s="231">
        <f>Exchange_Rate</f>
        <v>1.06</v>
      </c>
      <c r="D11" t="str">
        <f>Thesis!D17</f>
        <v>CNY/HKD</v>
      </c>
      <c r="H11" s="121"/>
    </row>
    <row r="12" spans="2:8" ht="13.5" thickTop="1">
      <c r="B12" s="150" t="s">
        <v>103</v>
      </c>
      <c r="C12" s="112">
        <f>(C10*scaling_factor)/Common_Shares*Exchange_Rate</f>
        <v>3.3472577489737918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3.4488765062257274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558591.54956293921</v>
      </c>
      <c r="D21" s="139">
        <f>IF($C$17&lt;B21,0,Valuation_Model!$C$16)</f>
        <v>0.02</v>
      </c>
      <c r="E21" s="125">
        <f t="shared" ref="E21:E50" si="0">IF($C$17&lt;B21,0,1/(1+Equity_Cost)^B21)</f>
        <v>0.92592592592592582</v>
      </c>
      <c r="F21" s="126">
        <f t="shared" ref="F21:F51" si="1">C21*E21</f>
        <v>517214.39774346218</v>
      </c>
      <c r="H21" s="121"/>
    </row>
    <row r="22" spans="2:8">
      <c r="B22" s="123">
        <v>2</v>
      </c>
      <c r="C22" s="124">
        <f t="shared" ref="C22:C50" si="2">IF(ROW()-ROW($C$21)&lt;$C$17, $C$21*(1+D22)^(ROW()-ROW($C$21)), 0)</f>
        <v>569763.38055419805</v>
      </c>
      <c r="D22" s="139">
        <f>IF($C$17&lt;B22,0,Valuation_Model!$C$16)</f>
        <v>0.02</v>
      </c>
      <c r="E22" s="125">
        <f t="shared" si="0"/>
        <v>0.85733882030178321</v>
      </c>
      <c r="F22" s="126">
        <f t="shared" si="1"/>
        <v>488480.26453549211</v>
      </c>
      <c r="H22" s="121"/>
    </row>
    <row r="23" spans="2:8">
      <c r="B23" s="123">
        <v>3</v>
      </c>
      <c r="C23" s="124">
        <f t="shared" si="2"/>
        <v>581158.64816528198</v>
      </c>
      <c r="D23" s="139">
        <f>IF($C$17&lt;B23,0,Valuation_Model!$C$16)</f>
        <v>0.02</v>
      </c>
      <c r="E23" s="125">
        <f t="shared" si="0"/>
        <v>0.79383224102016958</v>
      </c>
      <c r="F23" s="126">
        <f t="shared" si="1"/>
        <v>461342.47206129803</v>
      </c>
      <c r="H23" s="121"/>
    </row>
    <row r="24" spans="2:8">
      <c r="B24" s="123">
        <v>4</v>
      </c>
      <c r="C24" s="124">
        <f t="shared" si="2"/>
        <v>592781.82112858759</v>
      </c>
      <c r="D24" s="139">
        <f>IF($C$17&lt;B24,0,Valuation_Model!$C$16)</f>
        <v>0.02</v>
      </c>
      <c r="E24" s="125">
        <f t="shared" si="0"/>
        <v>0.73502985279645328</v>
      </c>
      <c r="F24" s="126">
        <f t="shared" si="1"/>
        <v>435712.33472455922</v>
      </c>
      <c r="H24" s="121"/>
    </row>
    <row r="25" spans="2:8">
      <c r="B25" s="123">
        <v>5</v>
      </c>
      <c r="C25" s="124">
        <f t="shared" si="2"/>
        <v>604637.45755115931</v>
      </c>
      <c r="D25" s="139">
        <f>IF($C$17&lt;B25,0,Valuation_Model!$C$16)</f>
        <v>0.02</v>
      </c>
      <c r="E25" s="125">
        <f t="shared" si="0"/>
        <v>0.68058319703375303</v>
      </c>
      <c r="F25" s="126">
        <f t="shared" si="1"/>
        <v>411506.09390652814</v>
      </c>
      <c r="H25" s="121"/>
    </row>
    <row r="26" spans="2:8">
      <c r="B26" s="123">
        <v>6</v>
      </c>
      <c r="C26" s="124">
        <f t="shared" si="2"/>
        <v>616730.20670218254</v>
      </c>
      <c r="D26" s="139">
        <f>IF($C$17&lt;B26,0,Valuation_Model!$C$16)</f>
        <v>0.02</v>
      </c>
      <c r="E26" s="125">
        <f t="shared" si="0"/>
        <v>0.63016962688310452</v>
      </c>
      <c r="F26" s="126">
        <f t="shared" si="1"/>
        <v>388644.64424505428</v>
      </c>
      <c r="H26" s="121"/>
    </row>
    <row r="27" spans="2:8">
      <c r="B27" s="123">
        <v>7</v>
      </c>
      <c r="C27" s="124">
        <f t="shared" si="2"/>
        <v>629064.81083622621</v>
      </c>
      <c r="D27" s="139">
        <f>IF($C$17&lt;B27,0,Valuation_Model!$C$16)</f>
        <v>0.02</v>
      </c>
      <c r="E27" s="125">
        <f t="shared" si="0"/>
        <v>0.58349039526213387</v>
      </c>
      <c r="F27" s="126">
        <f t="shared" si="1"/>
        <v>367053.27512032911</v>
      </c>
      <c r="H27" s="121"/>
    </row>
    <row r="28" spans="2:8">
      <c r="B28" s="123">
        <v>8</v>
      </c>
      <c r="C28" s="124">
        <f t="shared" si="2"/>
        <v>641646.10705295065</v>
      </c>
      <c r="D28" s="139">
        <f>IF($C$17&lt;B28,0,Valuation_Model!$C$16)</f>
        <v>0.02</v>
      </c>
      <c r="E28" s="125">
        <f t="shared" si="0"/>
        <v>0.54026888450197574</v>
      </c>
      <c r="F28" s="126">
        <f t="shared" si="1"/>
        <v>346661.42650253297</v>
      </c>
      <c r="H28" s="121"/>
    </row>
    <row r="29" spans="2:8">
      <c r="B29" s="123">
        <v>9</v>
      </c>
      <c r="C29" s="124">
        <f t="shared" si="2"/>
        <v>654479.02919400972</v>
      </c>
      <c r="D29" s="139">
        <f>IF($C$17&lt;B29,0,Valuation_Model!$C$16)</f>
        <v>0.02</v>
      </c>
      <c r="E29" s="125">
        <f t="shared" si="0"/>
        <v>0.50024896713145905</v>
      </c>
      <c r="F29" s="126">
        <f t="shared" si="1"/>
        <v>327402.45836350339</v>
      </c>
      <c r="H29" s="121"/>
    </row>
    <row r="30" spans="2:8">
      <c r="B30" s="123">
        <v>10</v>
      </c>
      <c r="C30" s="124">
        <f t="shared" si="2"/>
        <v>667568.60977788991</v>
      </c>
      <c r="D30" s="139">
        <f>IF($C$17&lt;B30,0,Valuation_Model!$C$16)</f>
        <v>0.02</v>
      </c>
      <c r="E30" s="125">
        <f t="shared" si="0"/>
        <v>0.46319348808468425</v>
      </c>
      <c r="F30" s="126">
        <f t="shared" si="1"/>
        <v>309213.43289886427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6982394.3695367398</v>
      </c>
      <c r="D51" s="140">
        <f>Terminal_Growth</f>
        <v>0</v>
      </c>
      <c r="E51" s="125">
        <f>1/(1+Equity_Cost)^C17</f>
        <v>0.46319348808468425</v>
      </c>
      <c r="F51" s="126">
        <f t="shared" si="1"/>
        <v>3234199.6032085824</v>
      </c>
      <c r="H51" s="121"/>
    </row>
    <row r="52" spans="1:8">
      <c r="C52" s="115"/>
      <c r="E52" s="128" t="s">
        <v>101</v>
      </c>
      <c r="F52" s="138">
        <f>SUM(F21:F51)</f>
        <v>7287430.4033102058</v>
      </c>
      <c r="H52" s="121"/>
    </row>
    <row r="53" spans="1:8">
      <c r="C53" s="115"/>
      <c r="H53" s="121"/>
    </row>
    <row r="54" spans="1:8" ht="13.15">
      <c r="B54" s="120" t="s">
        <v>130</v>
      </c>
      <c r="C54" s="137"/>
      <c r="D54" s="137"/>
      <c r="E54" s="118"/>
      <c r="F54" s="118"/>
      <c r="H54" s="121"/>
    </row>
    <row r="55" spans="1:8" ht="13.15">
      <c r="A55" s="134">
        <f>F52</f>
        <v>7287430.4033102058</v>
      </c>
      <c r="B55" s="132">
        <f>C78</f>
        <v>0</v>
      </c>
      <c r="C55" s="132">
        <f>C77</f>
        <v>0.01</v>
      </c>
      <c r="D55" s="132">
        <f>C76</f>
        <v>0.02</v>
      </c>
      <c r="E55" s="132">
        <f>C75</f>
        <v>0.03</v>
      </c>
      <c r="F55" s="132">
        <f>C74</f>
        <v>0.03</v>
      </c>
      <c r="H55" s="121"/>
    </row>
    <row r="56" spans="1:8" ht="13.15">
      <c r="A56" s="144">
        <v>5</v>
      </c>
      <c r="B56" s="124">
        <f t="dataTable" ref="B56:F61" dt2D="1" dtr="1" r1="C16" r2="C17"/>
        <v>6845484.6760164108</v>
      </c>
      <c r="C56" s="124">
        <v>6955111.1823613569</v>
      </c>
      <c r="D56" s="124">
        <v>7066355.8459411301</v>
      </c>
      <c r="E56" s="124">
        <v>7179254.1201073788</v>
      </c>
      <c r="F56" s="124">
        <v>7179254.1201073788</v>
      </c>
      <c r="H56" s="121"/>
    </row>
    <row r="57" spans="1:8" ht="13.15">
      <c r="A57" s="144">
        <v>10</v>
      </c>
      <c r="B57" s="124">
        <v>6845484.676016409</v>
      </c>
      <c r="C57" s="124">
        <v>7061230.3512272798</v>
      </c>
      <c r="D57" s="124">
        <v>7287430.4033102058</v>
      </c>
      <c r="E57" s="124">
        <v>7524695.7799897753</v>
      </c>
      <c r="F57" s="124">
        <v>7524695.7799897753</v>
      </c>
      <c r="H57" s="121"/>
    </row>
    <row r="58" spans="1:8" ht="13.15">
      <c r="A58" s="144">
        <v>15</v>
      </c>
      <c r="B58" s="124">
        <v>6845484.6760164071</v>
      </c>
      <c r="C58" s="124">
        <v>7189317.0636369651</v>
      </c>
      <c r="D58" s="124">
        <v>7561071.4662851654</v>
      </c>
      <c r="E58" s="124">
        <v>7963395.6280424176</v>
      </c>
      <c r="F58" s="124">
        <v>7963395.6280424176</v>
      </c>
      <c r="H58" s="121"/>
    </row>
    <row r="59" spans="1:8" ht="13.15">
      <c r="A59" s="145">
        <v>20</v>
      </c>
      <c r="B59" s="124">
        <v>6845484.6760164071</v>
      </c>
      <c r="C59" s="124">
        <v>7316450.0839890596</v>
      </c>
      <c r="D59" s="124">
        <v>7839867.8263115697</v>
      </c>
      <c r="E59" s="124">
        <v>8422602.6695664581</v>
      </c>
      <c r="F59" s="124">
        <v>8422602.6695664581</v>
      </c>
      <c r="H59" s="121"/>
    </row>
    <row r="60" spans="1:8" ht="13.15">
      <c r="A60" s="145">
        <v>25</v>
      </c>
      <c r="B60" s="124">
        <v>6845484.6760164062</v>
      </c>
      <c r="C60" s="124">
        <v>7431557.6000728682</v>
      </c>
      <c r="D60" s="124">
        <v>8099163.9115488231</v>
      </c>
      <c r="E60" s="124">
        <v>8861869.696615696</v>
      </c>
      <c r="F60" s="124">
        <v>8861869.696615696</v>
      </c>
      <c r="H60" s="121"/>
    </row>
    <row r="61" spans="1:8" ht="13.15">
      <c r="A61" s="145">
        <v>30</v>
      </c>
      <c r="B61" s="124">
        <v>6845484.6760164071</v>
      </c>
      <c r="C61" s="124">
        <v>7530343.1967899622</v>
      </c>
      <c r="D61" s="124">
        <v>8327899.1289344318</v>
      </c>
      <c r="E61" s="124">
        <v>9260821.8524683584</v>
      </c>
      <c r="F61" s="124">
        <v>9260821.8524683584</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3.3472577489737918</v>
      </c>
      <c r="C65" s="125">
        <f>C12</f>
        <v>3.3472577489737918</v>
      </c>
      <c r="D65" s="125">
        <f>C12</f>
        <v>3.3472577489737918</v>
      </c>
      <c r="E65" s="142">
        <f>C12</f>
        <v>3.3472577489737918</v>
      </c>
      <c r="F65" s="125">
        <f>C12</f>
        <v>3.3472577489737918</v>
      </c>
      <c r="H65" s="121"/>
    </row>
    <row r="66" spans="1:8" ht="13.15">
      <c r="A66" s="144">
        <f t="shared" ref="A66:A71" si="3">A56</f>
        <v>5</v>
      </c>
      <c r="B66" s="125">
        <f t="shared" ref="B66:F71" si="4">(B56-$C$7+$C$8+$C$9)/Common_Shares*$C$3*Exchange_Rate</f>
        <v>3.3472577489737922</v>
      </c>
      <c r="C66" s="125">
        <f t="shared" si="4"/>
        <v>3.3724647113871637</v>
      </c>
      <c r="D66" s="125">
        <f t="shared" si="4"/>
        <v>3.3980437446614711</v>
      </c>
      <c r="E66" s="125">
        <f t="shared" si="4"/>
        <v>3.4240030007604356</v>
      </c>
      <c r="F66" s="125">
        <f t="shared" si="4"/>
        <v>3.4240030007604356</v>
      </c>
      <c r="H66" s="121"/>
    </row>
    <row r="67" spans="1:8" ht="13.15">
      <c r="A67" s="144">
        <f t="shared" si="3"/>
        <v>10</v>
      </c>
      <c r="B67" s="125">
        <f t="shared" si="4"/>
        <v>3.3472577489737918</v>
      </c>
      <c r="C67" s="125">
        <f t="shared" si="4"/>
        <v>3.3968652144235798</v>
      </c>
      <c r="D67" s="125">
        <f t="shared" si="4"/>
        <v>3.4488765062257274</v>
      </c>
      <c r="E67" s="125">
        <f t="shared" si="4"/>
        <v>3.5034321025989041</v>
      </c>
      <c r="F67" s="125">
        <f t="shared" si="4"/>
        <v>3.5034321025989041</v>
      </c>
      <c r="H67" s="121"/>
    </row>
    <row r="68" spans="1:8" ht="13.15">
      <c r="A68" s="144">
        <f t="shared" si="3"/>
        <v>15</v>
      </c>
      <c r="B68" s="125">
        <f t="shared" si="4"/>
        <v>3.3472577489737914</v>
      </c>
      <c r="C68" s="125">
        <f t="shared" si="4"/>
        <v>3.4263168229169128</v>
      </c>
      <c r="D68" s="125">
        <f t="shared" si="4"/>
        <v>3.5117961432655234</v>
      </c>
      <c r="E68" s="125">
        <f t="shared" si="4"/>
        <v>3.6043045188539584</v>
      </c>
      <c r="F68" s="125">
        <f t="shared" si="4"/>
        <v>3.6043045188539584</v>
      </c>
      <c r="H68" s="121"/>
    </row>
    <row r="69" spans="1:8" ht="13.15">
      <c r="A69" s="145">
        <f t="shared" si="3"/>
        <v>20</v>
      </c>
      <c r="B69" s="125">
        <f t="shared" si="4"/>
        <v>3.3472577489737914</v>
      </c>
      <c r="C69" s="125">
        <f t="shared" si="4"/>
        <v>3.4555491442993906</v>
      </c>
      <c r="D69" s="125">
        <f t="shared" si="4"/>
        <v>3.5759011631414426</v>
      </c>
      <c r="E69" s="125">
        <f t="shared" si="4"/>
        <v>3.7098922550829134</v>
      </c>
      <c r="F69" s="125">
        <f t="shared" si="4"/>
        <v>3.7098922550829134</v>
      </c>
      <c r="H69" s="121"/>
    </row>
    <row r="70" spans="1:8" ht="13.15">
      <c r="A70" s="145">
        <f t="shared" si="3"/>
        <v>25</v>
      </c>
      <c r="B70" s="125">
        <f t="shared" si="4"/>
        <v>3.3472577489737914</v>
      </c>
      <c r="C70" s="125">
        <f t="shared" si="4"/>
        <v>3.4820163822709387</v>
      </c>
      <c r="D70" s="125">
        <f t="shared" si="4"/>
        <v>3.6355223888142167</v>
      </c>
      <c r="E70" s="125">
        <f t="shared" si="4"/>
        <v>3.810895085597489</v>
      </c>
      <c r="F70" s="125">
        <f t="shared" si="4"/>
        <v>3.810895085597489</v>
      </c>
    </row>
    <row r="71" spans="1:8" ht="13.15">
      <c r="A71" s="145">
        <f t="shared" si="3"/>
        <v>30</v>
      </c>
      <c r="B71" s="125">
        <f t="shared" si="4"/>
        <v>3.3472577489737914</v>
      </c>
      <c r="C71" s="125">
        <f t="shared" si="4"/>
        <v>3.5047306409520931</v>
      </c>
      <c r="D71" s="125">
        <f t="shared" si="4"/>
        <v>3.6881166036577619</v>
      </c>
      <c r="E71" s="125">
        <f t="shared" si="4"/>
        <v>3.902628119264262</v>
      </c>
      <c r="F71" s="125">
        <f t="shared" si="4"/>
        <v>3.902628119264262</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3.6043045188539584</v>
      </c>
      <c r="F74" s="143">
        <f>Scenarios!C58</f>
        <v>0.05</v>
      </c>
    </row>
    <row r="75" spans="1:8">
      <c r="B75" s="128" t="str">
        <f>Scenarios!B36</f>
        <v>Optimistic</v>
      </c>
      <c r="C75" s="143">
        <f>Scenarios!C38</f>
        <v>0.03</v>
      </c>
      <c r="D75" s="146">
        <f>Scenarios!C37</f>
        <v>10</v>
      </c>
      <c r="E75" s="136">
        <f>INDEX(B$65:F$71, MATCH(D75, A$65:A$71, 0), MATCH(C75, B$64:F$64, 0))</f>
        <v>3.5034321025989041</v>
      </c>
      <c r="F75" s="143">
        <f>Scenarios!C40*(1-F$74-F$78)</f>
        <v>0.18</v>
      </c>
      <c r="H75" s="121"/>
    </row>
    <row r="76" spans="1:8">
      <c r="B76" s="128" t="str">
        <f>Scenarios!B24</f>
        <v>Base</v>
      </c>
      <c r="C76" s="143">
        <f>Scenarios!C26</f>
        <v>0.02</v>
      </c>
      <c r="D76" s="146">
        <f>Scenarios!C25</f>
        <v>10</v>
      </c>
      <c r="E76" s="136">
        <f>INDEX(B$65:F$71, MATCH(D76, A$65:A$71, 0), MATCH(C76, B$64:F$64, 0))</f>
        <v>3.4488765062257274</v>
      </c>
      <c r="F76" s="143">
        <f>Scenarios!C28*(1-F$74-F$78)</f>
        <v>0.53999999999999992</v>
      </c>
      <c r="H76" s="121"/>
    </row>
    <row r="77" spans="1:8">
      <c r="B77" s="128" t="str">
        <f>Scenarios!B30</f>
        <v>Pessimistic</v>
      </c>
      <c r="C77" s="143">
        <f>Scenarios!C32</f>
        <v>0.01</v>
      </c>
      <c r="D77" s="146">
        <f>Scenarios!C31</f>
        <v>10</v>
      </c>
      <c r="E77" s="136">
        <f>INDEX(B$65:F$71, MATCH(D77, A$65:A$71, 0), MATCH(C77, B$64:F$64, 0))</f>
        <v>3.3968652144235798</v>
      </c>
      <c r="F77" s="143">
        <f>Scenarios!C34*(1-F$74-F$78)</f>
        <v>0.18</v>
      </c>
      <c r="H77" s="121"/>
    </row>
    <row r="78" spans="1:8">
      <c r="B78" s="128" t="str">
        <f>Scenarios!B48</f>
        <v>Devil's advocate</v>
      </c>
      <c r="C78" s="143">
        <f>Scenarios!C50</f>
        <v>0</v>
      </c>
      <c r="D78" s="146">
        <f>Scenarios!C49</f>
        <v>15</v>
      </c>
      <c r="E78" s="136">
        <f>INDEX(B$65:F$71, MATCH(D78, A$65:A$71, 0), MATCH(C78, B$64:F$64, 0))</f>
        <v>3.3472577489737914</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48" zoomScale="75" zoomScaleNormal="100" workbookViewId="0">
      <selection activeCell="C33" sqref="C3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3.5520249438173268</v>
      </c>
    </row>
    <row r="7" spans="2:9" ht="12.75" customHeight="1">
      <c r="B7" s="100" t="s">
        <v>276</v>
      </c>
      <c r="C7" s="115">
        <f>Normalized_FCF!G8</f>
        <v>966307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0"/>
      <c r="H7" s="276">
        <v>4</v>
      </c>
      <c r="I7" s="264" t="str">
        <f t="shared" si="0"/>
        <v/>
      </c>
    </row>
    <row r="8" spans="2:9">
      <c r="B8" s="100" t="s">
        <v>66</v>
      </c>
      <c r="C8" s="115">
        <f>Normalized_FCF!G19</f>
        <v>575049.21170235414</v>
      </c>
      <c r="D8" t="str">
        <f>Reporting_currency</f>
        <v>CNY</v>
      </c>
      <c r="E8" s="350"/>
      <c r="F8" s="350"/>
      <c r="H8" s="276">
        <v>5</v>
      </c>
      <c r="I8" s="264" t="str">
        <f t="shared" si="0"/>
        <v/>
      </c>
    </row>
    <row r="9" spans="2:9">
      <c r="B9" s="100" t="s">
        <v>57</v>
      </c>
      <c r="C9" s="201">
        <f>Normalized_FCF!C19</f>
        <v>547638.77408131293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-3.750240119526338E-2</v>
      </c>
      <c r="D12" s="159"/>
      <c r="E12" s="350"/>
      <c r="F12" s="350"/>
      <c r="H12" s="276">
        <v>9</v>
      </c>
      <c r="I12" s="264" t="str">
        <f t="shared" si="0"/>
        <v/>
      </c>
    </row>
    <row r="13" spans="2:9">
      <c r="B13" s="149" t="s">
        <v>153</v>
      </c>
      <c r="C13" s="159">
        <f ca="1">(Normalized_FCF!G8/OFFSET(Normalized_FCF!G8, 0, $C$4))^(1/$C$4) - 1</f>
        <v>-0.20361731775539216</v>
      </c>
      <c r="E13" s="350"/>
      <c r="F13" s="350"/>
      <c r="H13" s="276">
        <v>10</v>
      </c>
      <c r="I13" s="264" t="str">
        <f t="shared" si="0"/>
        <v/>
      </c>
    </row>
    <row r="14" spans="2:9">
      <c r="B14" s="100" t="s">
        <v>66</v>
      </c>
      <c r="C14" s="159">
        <f ca="1">(Normalized_FCF!G19/OFFSET(Normalized_FCF!G19, 0, $C$4))^(1/$C$4) - 1</f>
        <v>-9.6456300478413137E-2</v>
      </c>
      <c r="E14" s="350"/>
      <c r="F14" s="350"/>
    </row>
    <row r="16" spans="2:9" ht="13.9">
      <c r="B16" s="36" t="s">
        <v>163</v>
      </c>
      <c r="C16" s="37"/>
      <c r="D16" s="37"/>
      <c r="E16" s="37"/>
      <c r="F16" s="37"/>
    </row>
    <row r="17" spans="2:6" ht="13.15">
      <c r="B17" s="109" t="s">
        <v>152</v>
      </c>
      <c r="E17" s="160" t="s">
        <v>339</v>
      </c>
    </row>
    <row r="18" spans="2:6">
      <c r="B18" s="153" t="s">
        <v>134</v>
      </c>
      <c r="C18" s="151">
        <v>10</v>
      </c>
      <c r="E18" s="350" t="s">
        <v>340</v>
      </c>
      <c r="F18" s="351"/>
    </row>
    <row r="19" spans="2:6">
      <c r="E19" s="351"/>
      <c r="F19" s="351"/>
    </row>
    <row r="20" spans="2:6" ht="13.15">
      <c r="B20" s="160" t="s">
        <v>311</v>
      </c>
      <c r="E20" s="351"/>
      <c r="F20" s="351"/>
    </row>
    <row r="21" spans="2:6">
      <c r="B21" s="100" t="s">
        <v>280</v>
      </c>
      <c r="C21" s="161">
        <f>Market_Price</f>
        <v>1.95</v>
      </c>
      <c r="D21" t="str">
        <f>Market_currency</f>
        <v>HKD</v>
      </c>
      <c r="E21" s="351"/>
      <c r="F21" s="351"/>
    </row>
    <row r="22" spans="2:6">
      <c r="B22" s="100" t="s">
        <v>281</v>
      </c>
      <c r="C22" s="161">
        <f>Valuation_Model!C12</f>
        <v>3.3472577489737918</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3.4488765062257274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3.3968652144235798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0.03</v>
      </c>
      <c r="D38" s="165"/>
      <c r="E38" s="349"/>
      <c r="F38" s="349"/>
    </row>
    <row r="39" spans="2:6">
      <c r="B39" s="100" t="s">
        <v>114</v>
      </c>
      <c r="C39" s="161">
        <f>Valuation_Model!E75</f>
        <v>3.5034321025989041</v>
      </c>
      <c r="D39" t="str">
        <f>Market_currency</f>
        <v>HKD</v>
      </c>
      <c r="E39" s="349"/>
      <c r="F39" s="349"/>
    </row>
    <row r="40" spans="2:6">
      <c r="B40" s="100" t="s">
        <v>148</v>
      </c>
      <c r="C40" s="168">
        <f>1-C28-C34</f>
        <v>0.2</v>
      </c>
      <c r="D40" s="166"/>
      <c r="E40" s="349"/>
      <c r="F40" s="349"/>
    </row>
    <row r="42" spans="2:6" ht="13.15">
      <c r="B42" s="100" t="s">
        <v>121</v>
      </c>
      <c r="C42" s="155">
        <f>C27*C28+C33*C34+C39*C40</f>
        <v>3.449385367139933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3.3472577489737914</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15</v>
      </c>
      <c r="D55" s="164"/>
      <c r="E55" s="349"/>
      <c r="F55" s="349"/>
    </row>
    <row r="56" spans="2:6">
      <c r="B56" s="119" t="s">
        <v>135</v>
      </c>
      <c r="C56" s="165">
        <v>0.03</v>
      </c>
      <c r="D56" s="165"/>
      <c r="E56" s="349"/>
      <c r="F56" s="349"/>
    </row>
    <row r="57" spans="2:6">
      <c r="B57" s="100" t="s">
        <v>114</v>
      </c>
      <c r="C57" s="161">
        <f>Valuation_Model!E74</f>
        <v>3.6043045188539584</v>
      </c>
      <c r="D57" t="str">
        <f>Market_currency</f>
        <v>HKD</v>
      </c>
      <c r="E57" s="349"/>
      <c r="F57" s="349"/>
    </row>
    <row r="58" spans="2:6">
      <c r="B58" s="100" t="s">
        <v>148</v>
      </c>
      <c r="C58" s="166">
        <v>0.05</v>
      </c>
      <c r="D58" s="166"/>
      <c r="E58" s="349"/>
      <c r="F58" s="349"/>
    </row>
    <row r="60" spans="2:6" ht="13.15">
      <c r="B60" s="100" t="s">
        <v>121</v>
      </c>
      <c r="C60" s="155">
        <f>C51*C52+C57*C58+C42*(1-C52-C58)</f>
        <v>3.4520249438173267</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0.02</v>
      </c>
      <c r="D65" s="152"/>
      <c r="E65" s="281" t="s">
        <v>321</v>
      </c>
    </row>
    <row r="66" spans="2:6">
      <c r="B66" s="100" t="s">
        <v>103</v>
      </c>
      <c r="C66" s="161">
        <f>Valuation_Model!C18</f>
        <v>3.4488765062257274</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Y</v>
      </c>
      <c r="E72" s="135" t="s">
        <v>356</v>
      </c>
      <c r="F72" s="329">
        <f>BS!D89/C60</f>
        <v>0.51368161545070767</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0.1</v>
      </c>
      <c r="D77" t="str">
        <f>Market_currency</f>
        <v>HKD</v>
      </c>
    </row>
    <row r="79" spans="2:6" ht="13.15">
      <c r="B79" s="109" t="s">
        <v>309</v>
      </c>
    </row>
    <row r="80" spans="2:6">
      <c r="B80" s="149" t="s">
        <v>307</v>
      </c>
      <c r="C80" s="168">
        <f>Thesis!C127</f>
        <v>0.3</v>
      </c>
    </row>
    <row r="81" spans="2:8">
      <c r="B81" s="100" t="s">
        <v>122</v>
      </c>
      <c r="C81" s="117">
        <f>PV(C80, C76, -C77, 0)</f>
        <v>0.18161128812016392</v>
      </c>
      <c r="D81" s="117"/>
      <c r="E81" s="100"/>
      <c r="F81" s="100"/>
    </row>
    <row r="82" spans="2:8">
      <c r="B82" s="100" t="s">
        <v>123</v>
      </c>
      <c r="C82" s="117">
        <f>C60/(1+C80)^C76</f>
        <v>1.5712448538085233</v>
      </c>
      <c r="D82" s="117"/>
    </row>
    <row r="83" spans="2:8" ht="13.15">
      <c r="B83" s="111" t="s">
        <v>102</v>
      </c>
      <c r="C83" s="112">
        <f>C81+C82</f>
        <v>1.7528561419286872</v>
      </c>
      <c r="D83" t="str">
        <f>Market_currency</f>
        <v>HKD</v>
      </c>
      <c r="E83" s="147" t="s">
        <v>127</v>
      </c>
      <c r="F83" s="329">
        <f>(1-C83/C60)</f>
        <v>0.4922237902515445</v>
      </c>
    </row>
    <row r="84" spans="2:8">
      <c r="E84" s="121"/>
    </row>
    <row r="85" spans="2:8" ht="13.15">
      <c r="B85" s="109" t="s">
        <v>310</v>
      </c>
    </row>
    <row r="86" spans="2:8">
      <c r="B86" s="149" t="s">
        <v>308</v>
      </c>
      <c r="C86" s="266">
        <f>Market_Price</f>
        <v>1.95</v>
      </c>
      <c r="D86" t="str">
        <f>Market_currency</f>
        <v>HKD</v>
      </c>
    </row>
    <row r="87" spans="2:8" ht="13.15">
      <c r="B87" s="100" t="s">
        <v>306</v>
      </c>
      <c r="C87" s="265">
        <f ca="1">IRR(OFFSET($I$3, 0, 0, $C$76 + 1, 1))</f>
        <v>0.25280122918191261</v>
      </c>
    </row>
    <row r="88" spans="2:8">
      <c r="B88" s="100"/>
    </row>
    <row r="89" spans="2:8" ht="13.15">
      <c r="B89" s="109" t="s">
        <v>425</v>
      </c>
    </row>
    <row r="90" spans="2:8">
      <c r="B90" s="149" t="s">
        <v>426</v>
      </c>
      <c r="C90" s="168">
        <f>Thesis!E19</f>
        <v>0.2</v>
      </c>
    </row>
    <row r="91" spans="2:8">
      <c r="B91" s="100" t="s">
        <v>122</v>
      </c>
      <c r="C91" s="117">
        <f>PV(C90, C76, -C77, 0)</f>
        <v>0.21064814814814814</v>
      </c>
      <c r="D91" s="117"/>
      <c r="E91" s="100"/>
      <c r="F91" s="100"/>
    </row>
    <row r="92" spans="2:8">
      <c r="B92" s="100" t="s">
        <v>123</v>
      </c>
      <c r="C92" s="117">
        <f>C60/(1+C90)^C76</f>
        <v>1.9976996202646566</v>
      </c>
      <c r="D92" s="117"/>
    </row>
    <row r="93" spans="2:8" ht="13.15">
      <c r="B93" s="111" t="s">
        <v>102</v>
      </c>
      <c r="C93" s="112">
        <f>C91+C92</f>
        <v>2.2083477684128048</v>
      </c>
      <c r="D93" t="str">
        <f>Market_currency</f>
        <v>HKD</v>
      </c>
      <c r="E93" s="147" t="s">
        <v>127</v>
      </c>
      <c r="F93" s="329">
        <f>(1-C93/C60)</f>
        <v>0.36027467809350067</v>
      </c>
    </row>
    <row r="95" spans="2:8" ht="13.15">
      <c r="B95" s="109" t="s">
        <v>408</v>
      </c>
      <c r="G95" s="2"/>
      <c r="H95" s="316"/>
    </row>
    <row r="96" spans="2:8">
      <c r="B96" s="149" t="s">
        <v>414</v>
      </c>
      <c r="C96" s="135">
        <f>Thesis!C67</f>
        <v>0.08</v>
      </c>
      <c r="G96" s="2"/>
      <c r="H96" s="316"/>
    </row>
    <row r="97" spans="2:8">
      <c r="B97" s="100" t="s">
        <v>122</v>
      </c>
      <c r="C97" s="117">
        <f>PV(C96, C76, -C77, 0)</f>
        <v>0.25770969872478805</v>
      </c>
      <c r="D97" s="117"/>
      <c r="G97" s="2"/>
      <c r="H97" s="316"/>
    </row>
    <row r="98" spans="2:8">
      <c r="B98" s="100" t="s">
        <v>123</v>
      </c>
      <c r="C98" s="117">
        <f>C60/(1+C96)^C76</f>
        <v>2.7403286972080334</v>
      </c>
      <c r="D98" s="117"/>
      <c r="G98" s="2"/>
      <c r="H98" s="316"/>
    </row>
    <row r="99" spans="2:8" ht="13.15">
      <c r="B99" s="111" t="s">
        <v>409</v>
      </c>
      <c r="C99" s="112">
        <f>C97+C98</f>
        <v>2.9980383959328214</v>
      </c>
      <c r="D99" t="s">
        <v>407</v>
      </c>
      <c r="E99" s="147" t="s">
        <v>127</v>
      </c>
      <c r="F99" s="329">
        <f>(1-C99/C60)</f>
        <v>0.13151311339670591</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2025-05-10T09:21:02Z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