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F162F0-A557-4359-B9B9-E1CF9B89E44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18" i="2"/>
  <c r="Q120" i="2"/>
  <c r="Q117" i="2"/>
  <c r="Q118" i="2"/>
  <c r="F71" i="4"/>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<sst xmlns="http://schemas.openxmlformats.org/spreadsheetml/2006/main" count="685" uniqueCount="466">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</sst>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4610000000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2.0099999999999998</v>
      </c>
      <c r="D12" s="50"/>
      <c r="E12" s="48"/>
    </row>
    <row r="13" spans="1:10">
      <c r="B13" s="1" t="s">
        <v>417</v>
      </c>
      <c r="C13" s="48" t="s">
        <v>397</v>
      </c>
      <c r="D13" s="48"/>
      <c r="E13" s="5"/>
    </row>
    <row r="14" spans="1:10">
      <c r="B14" s="4" t="s">
        <v>421</v>
      </c>
      <c r="C14" s="35">
        <f>Thesis!C12*Common_Shares/1000000</f>
        <v>9266.0999999999985</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1.0859573199999999</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3.27015044142279</v>
      </c>
      <c r="D26" s="1" t="s">
        <v>400</v>
      </c>
      <c r="E26" s="301">
        <f ca="1">Scenarios!C87</f>
        <v>0.21897211796497307</v>
      </c>
    </row>
    <row r="27" spans="2:6">
      <c r="D27" s="5"/>
      <c r="E27" s="5"/>
    </row>
    <row r="28" spans="2:6">
      <c r="B28" s="45" t="s">
        <v>434</v>
      </c>
      <c r="C28" s="309" t="str">
        <f>C145&amp;" ("&amp;Market_currency&amp;")"</f>
        <v>3983.HK (HKD)</v>
      </c>
      <c r="D28" s="309" t="str">
        <f>IF(D11="","",D145&amp;" ("&amp;D13&amp;")")</f>
        <v/>
      </c>
      <c r="E28" s="305" t="s">
        <v>430</v>
      </c>
      <c r="F28" s="303">
        <v>3</v>
      </c>
    </row>
    <row r="29" spans="2:6">
      <c r="B29" s="1" t="s">
        <v>426</v>
      </c>
      <c r="C29" s="310">
        <f>C149</f>
        <v>1.4447567412596662</v>
      </c>
      <c r="D29" s="310" t="str">
        <f>D149</f>
        <v/>
      </c>
      <c r="E29" s="306" t="s">
        <v>425</v>
      </c>
      <c r="F29" s="302">
        <v>0.3674</v>
      </c>
    </row>
    <row r="30" spans="2:6">
      <c r="B30" s="1" t="s">
        <v>427</v>
      </c>
      <c r="C30" s="311">
        <f>C157</f>
        <v>2.0174976185871216</v>
      </c>
      <c r="D30" s="311" t="str">
        <f>D157</f>
        <v/>
      </c>
      <c r="E30" s="307" t="s">
        <v>438</v>
      </c>
      <c r="F30" s="312">
        <v>0.21740000000000001</v>
      </c>
    </row>
    <row r="31" spans="2:6">
      <c r="B31" s="1" t="s">
        <v>428</v>
      </c>
      <c r="C31" s="311">
        <f>C165</f>
        <v>2.8923947356969646</v>
      </c>
      <c r="D31" s="311" t="str">
        <f>D165</f>
        <v/>
      </c>
      <c r="E31" s="307" t="s">
        <v>437</v>
      </c>
      <c r="F31" s="312">
        <v>7.4999999999999997E-2</v>
      </c>
    </row>
    <row r="32" spans="2:6">
      <c r="B32" s="1" t="s">
        <v>429</v>
      </c>
      <c r="C32" s="311">
        <f>C173</f>
        <v>2.5851746282055941</v>
      </c>
      <c r="D32" s="311" t="str">
        <f>D173</f>
        <v/>
      </c>
      <c r="E32" s="307" t="s">
        <v>439</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v>
      </c>
    </row>
    <row r="40" spans="1:6" ht="24.5" customHeight="1">
      <c r="B40" s="358" t="s">
        <v>232</v>
      </c>
      <c r="C40" s="358"/>
      <c r="D40" s="358"/>
      <c r="E40" s="358"/>
      <c r="F40" s="358"/>
    </row>
    <row r="41" spans="1:6">
      <c r="B41" s="47" t="s">
        <v>233</v>
      </c>
      <c r="C41" s="355">
        <f>Normalized_FCF!C8</f>
        <v>928439.85014218651</v>
      </c>
      <c r="D41" s="1" t="str">
        <f>Reporting_currency</f>
        <v>CNY</v>
      </c>
    </row>
    <row r="42" spans="1:6">
      <c r="B42" s="47"/>
      <c r="C42" s="76"/>
    </row>
    <row r="43" spans="1:6" ht="24.5" customHeight="1">
      <c r="B43" s="358" t="s">
        <v>234</v>
      </c>
      <c r="C43" s="358"/>
      <c r="D43" s="358"/>
      <c r="E43" s="358"/>
      <c r="F43" s="358"/>
    </row>
    <row r="44" spans="1:6">
      <c r="B44" s="47" t="s">
        <v>235</v>
      </c>
      <c r="C44" s="355">
        <f>Normalized_FCF!C9</f>
        <v>0</v>
      </c>
      <c r="D44" s="1" t="str">
        <f>Reporting_currency</f>
        <v>CNY</v>
      </c>
    </row>
    <row r="45" spans="1:6">
      <c r="B45" s="52" t="s">
        <v>236</v>
      </c>
      <c r="C45" s="355">
        <f>Normalized_FCF!C10</f>
        <v>0</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57395.095749289067</v>
      </c>
      <c r="D51" s="1" t="str">
        <f>Reporting_currency</f>
        <v>CNY</v>
      </c>
      <c r="E51" s="286"/>
      <c r="F51" s="286"/>
    </row>
    <row r="52" spans="2:6">
      <c r="B52" s="47" t="s">
        <v>342</v>
      </c>
      <c r="C52" s="356">
        <f>Normalized_FCF!C47</f>
        <v>-52759</v>
      </c>
      <c r="D52" s="1" t="str">
        <f>Reporting_currency</f>
        <v>CNY</v>
      </c>
      <c r="E52" s="286"/>
      <c r="F52" s="286"/>
    </row>
    <row r="53" spans="2:6">
      <c r="B53" s="47" t="s">
        <v>239</v>
      </c>
      <c r="C53" s="355">
        <f>Normalized_FCF!C12</f>
        <v>4636.0957492890666</v>
      </c>
      <c r="D53" s="1" t="str">
        <f>Reporting_currency</f>
        <v>CNY</v>
      </c>
    </row>
    <row r="55" spans="2:6">
      <c r="B55" s="1" t="s">
        <v>247</v>
      </c>
    </row>
    <row r="56" spans="2:6">
      <c r="B56" s="47" t="s">
        <v>266</v>
      </c>
      <c r="C56" s="355">
        <f>Normalized_FCF!C15</f>
        <v>-130645.02443131036</v>
      </c>
      <c r="D56" s="1" t="str">
        <f>Reporting_currency</f>
        <v>CNY</v>
      </c>
    </row>
    <row r="58" spans="2:6">
      <c r="B58" s="358" t="s">
        <v>242</v>
      </c>
      <c r="C58" s="358"/>
      <c r="D58" s="358"/>
      <c r="E58" s="358"/>
      <c r="F58" s="358"/>
    </row>
    <row r="59" spans="2:6">
      <c r="B59" s="47" t="s">
        <v>240</v>
      </c>
      <c r="C59" s="355">
        <f>Normalized_FCF!C14</f>
        <v>-233268.98647286888</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632498.42340470827</v>
      </c>
      <c r="D67" s="1" t="str">
        <f>Reporting_currency</f>
        <v>CNY</v>
      </c>
    </row>
    <row r="68" spans="1:6">
      <c r="B68" s="47" t="s">
        <v>249</v>
      </c>
      <c r="C68" s="355">
        <f>Normalized_FCF!C19</f>
        <v>569161.93498729635</v>
      </c>
      <c r="D68" s="1" t="str">
        <f>Reporting_currency</f>
        <v>CNY</v>
      </c>
    </row>
    <row r="69" spans="1:6">
      <c r="B69" s="227" t="s">
        <v>391</v>
      </c>
      <c r="C69" s="92">
        <f>Normalized_FCF!C125</f>
        <v>6.6703960626889269E-2</v>
      </c>
      <c r="F69" s="314"/>
    </row>
    <row r="70" spans="1:6">
      <c r="B70" s="227" t="s">
        <v>309</v>
      </c>
      <c r="C70" s="92">
        <f>Normalized_FCF!C93</f>
        <v>4.9751243781094537E-2</v>
      </c>
      <c r="E70" s="47" t="s">
        <v>449</v>
      </c>
      <c r="F70" s="315">
        <f>Normalized_FCF!C92</f>
        <v>0.80996280963569622</v>
      </c>
    </row>
    <row r="72" spans="1:6">
      <c r="B72" s="210" t="s">
        <v>452</v>
      </c>
      <c r="C72" s="329" t="s">
        <v>454</v>
      </c>
      <c r="D72" s="329" t="s">
        <v>455</v>
      </c>
    </row>
    <row r="73" spans="1:6">
      <c r="B73" s="47" t="s">
        <v>453</v>
      </c>
      <c r="C73" s="92">
        <f>Normalized_FCF!C120</f>
        <v>4.7832973362251327E-2</v>
      </c>
      <c r="D73" s="92">
        <f>Normalized_FCF!G120</f>
        <v>5.2722021815940899E-2</v>
      </c>
    </row>
    <row r="74" spans="1:6">
      <c r="B74" s="259" t="str">
        <f>Normalized_FCF!B117</f>
        <v>Pre-tax Profit/Sales</v>
      </c>
      <c r="C74" s="328">
        <f>Normalized_FCF!C117</f>
        <v>7.8104812973574481E-2</v>
      </c>
      <c r="D74" s="328">
        <f>Normalized_FCF!G117</f>
        <v>8.6087971624454432E-2</v>
      </c>
    </row>
    <row r="75" spans="1:6">
      <c r="B75" s="259" t="str">
        <f>Normalized_FCF!B118</f>
        <v>Sales/Total Assets</v>
      </c>
      <c r="C75" s="330">
        <f>Normalized_FCF!C118</f>
        <v>0.49619793491400876</v>
      </c>
      <c r="D75" s="330">
        <f>Normalized_FCF!G118</f>
        <v>0.49619793491400876</v>
      </c>
    </row>
    <row r="76" spans="1:6">
      <c r="B76" s="259" t="str">
        <f>Normalized_FCF!B119</f>
        <v>Total Assets/Equity</v>
      </c>
      <c r="C76" s="330">
        <f>Normalized_FCF!C119</f>
        <v>1.2342258232843137</v>
      </c>
      <c r="D76" s="330">
        <f>Normalized_FCF!G119</f>
        <v>1.2342258232843137</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1.7876661448006319</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2119124</v>
      </c>
      <c r="D102" s="1" t="str">
        <f>Reporting_currency</f>
        <v>CNY</v>
      </c>
    </row>
    <row r="103" spans="2:6">
      <c r="B103" s="47" t="s">
        <v>282</v>
      </c>
      <c r="C103" s="223">
        <f>C102*scaling_factor*Exchange_Rate/Common_Shares</f>
        <v>0.49919267240513659</v>
      </c>
      <c r="D103" s="1" t="str">
        <f>Market_currency</f>
        <v>HKD</v>
      </c>
    </row>
    <row r="104" spans="2:6">
      <c r="B104" s="296" t="s">
        <v>405</v>
      </c>
      <c r="C104" s="331">
        <f>IF(BS!G31/BS!G27&gt;300%,"nm",BS!G31/BS!G27)</f>
        <v>0.10863424600069688</v>
      </c>
    </row>
    <row r="105" spans="2:6">
      <c r="B105" s="296" t="s">
        <v>407</v>
      </c>
      <c r="C105" s="332">
        <f>IF(BS!C50&gt;30,"nm",BS!C50)</f>
        <v>2.2824569622635926</v>
      </c>
    </row>
    <row r="107" spans="2:6">
      <c r="B107" s="1" t="s">
        <v>255</v>
      </c>
    </row>
    <row r="108" spans="2:6">
      <c r="B108" s="47" t="s">
        <v>265</v>
      </c>
      <c r="C108" s="355">
        <f>BS!C66</f>
        <v>11691643</v>
      </c>
      <c r="D108" s="1" t="str">
        <f>Reporting_currency</f>
        <v>CNY</v>
      </c>
    </row>
    <row r="109" spans="2:6">
      <c r="B109" s="47" t="s">
        <v>267</v>
      </c>
      <c r="C109" s="355">
        <f>DCF!C8</f>
        <v>7865303.2833807282</v>
      </c>
      <c r="D109" s="1" t="str">
        <f>Reporting_currency</f>
        <v>CNY</v>
      </c>
    </row>
    <row r="110" spans="2:6">
      <c r="B110" s="47" t="s">
        <v>283</v>
      </c>
      <c r="C110" s="223">
        <f>C109*scaling_factor*Exchange_Rate/Common_Shares</f>
        <v>1.8527947233421551</v>
      </c>
      <c r="D110" s="1" t="str">
        <f>Market_currency</f>
        <v>HKD</v>
      </c>
    </row>
    <row r="112" spans="2:6">
      <c r="B112" s="1" t="s">
        <v>257</v>
      </c>
    </row>
    <row r="113" spans="1:6">
      <c r="B113" s="47" t="s">
        <v>258</v>
      </c>
      <c r="C113" s="355">
        <f>DCF!C9</f>
        <v>52579.6</v>
      </c>
      <c r="D113" s="1" t="str">
        <f>Reporting_currency</f>
        <v>CNY</v>
      </c>
    </row>
    <row r="114" spans="1:6">
      <c r="B114" s="47" t="s">
        <v>284</v>
      </c>
      <c r="C114" s="223">
        <f>C113*scaling_factor*Exchange_Rate/Common_Shares</f>
        <v>1.2385943926826896E-2</v>
      </c>
      <c r="D114" s="1" t="str">
        <f>Market_currency</f>
        <v>HKD</v>
      </c>
    </row>
    <row r="116" spans="1:6" ht="24.5" customHeight="1">
      <c r="B116" s="357" t="s">
        <v>367</v>
      </c>
      <c r="C116" s="357"/>
      <c r="D116" s="357"/>
      <c r="E116" s="357"/>
      <c r="F116" s="357"/>
    </row>
    <row r="118" spans="1:6">
      <c r="B118" s="47" t="s">
        <v>450</v>
      </c>
      <c r="C118" s="223">
        <f>IF(valuation_method="DCF",DCF!C12,DDM!C7)</f>
        <v>3.1536541396644777</v>
      </c>
      <c r="D118" s="1" t="str">
        <f>Market_currency</f>
        <v>HKD</v>
      </c>
    </row>
    <row r="119" spans="1:6">
      <c r="B119" s="296" t="s">
        <v>406</v>
      </c>
      <c r="C119" s="223">
        <f>BS!D47</f>
        <v>1.8346149419059194</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0.03</v>
      </c>
      <c r="D126" s="230">
        <f>DCF!D74</f>
        <v>15</v>
      </c>
      <c r="E126" s="231" t="str">
        <f>ROUND(IF(valuation_method="DCF",DCF!E74,DDM!E69),2)&amp;" "&amp;Market_currency</f>
        <v>3.44 HKD</v>
      </c>
      <c r="F126" s="232">
        <f>DCF!F74</f>
        <v>0.05</v>
      </c>
    </row>
    <row r="127" spans="1:6">
      <c r="B127" s="218" t="str">
        <f>DCF!B75</f>
        <v>Optimistic</v>
      </c>
      <c r="C127" s="219">
        <f>DCF!C75</f>
        <v>0.03</v>
      </c>
      <c r="D127" s="220">
        <f>DCF!D75</f>
        <v>10</v>
      </c>
      <c r="E127" s="231" t="str">
        <f>ROUND(IF(valuation_method="DCF",DCF!E75,DDM!E70),2)&amp;" "&amp;Market_currency</f>
        <v>3.33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0.01</v>
      </c>
      <c r="D129" s="220">
        <f>DCF!D77</f>
        <v>10</v>
      </c>
      <c r="E129" s="231" t="str">
        <f>ROUND(IF(valuation_method="DCF",DCF!E77,DDM!E72),2)&amp;" "&amp;Market_currency</f>
        <v>3.21 HKD</v>
      </c>
      <c r="F129" s="221">
        <f>DCF!F77</f>
        <v>0.18</v>
      </c>
    </row>
    <row r="130" spans="1:6">
      <c r="B130" s="218" t="str">
        <f>DCF!B78</f>
        <v>Devil's advocate</v>
      </c>
      <c r="C130" s="219">
        <f>DCF!C78</f>
        <v>0</v>
      </c>
      <c r="D130" s="220">
        <f>DCF!D78</f>
        <v>15</v>
      </c>
      <c r="E130" s="231" t="str">
        <f>ROUND(IF(valuation_method="DCF",DCF!E78,DDM!E73),2)&amp;" "&amp;Market_currency</f>
        <v>3.15 HKD</v>
      </c>
      <c r="F130" s="221">
        <f>DCF!F78</f>
        <v>0.05</v>
      </c>
    </row>
    <row r="132" spans="1:6">
      <c r="B132" s="211" t="s">
        <v>259</v>
      </c>
      <c r="C132" s="217">
        <f>Scenarios!C60</f>
        <v>3.27015044142279</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0.1</v>
      </c>
      <c r="D143" s="212" t="str">
        <f>Market_currency</f>
        <v>HKD</v>
      </c>
    </row>
    <row r="145" spans="2:4">
      <c r="B145" s="210" t="s">
        <v>409</v>
      </c>
      <c r="C145" s="241" t="str">
        <f>C11</f>
        <v>3983.HK</v>
      </c>
      <c r="D145" s="241" t="str">
        <f>IF(D11="","",D11)</f>
        <v/>
      </c>
    </row>
    <row r="146" spans="2:4">
      <c r="B146" s="1" t="s">
        <v>408</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1.2790308093231804</v>
      </c>
    </row>
    <row r="149" spans="2:4">
      <c r="B149" s="80" t="s">
        <v>261</v>
      </c>
      <c r="C149" s="215">
        <f>Scenarios!C83</f>
        <v>1.4447567412596662</v>
      </c>
      <c r="D149" s="300" t="str">
        <f>IF($D$11="","",C149*$E$25)</f>
        <v/>
      </c>
    </row>
    <row r="150" spans="2:4">
      <c r="B150" s="259" t="s">
        <v>417</v>
      </c>
      <c r="C150" s="298" t="str">
        <f>Market_currency</f>
        <v>HKD</v>
      </c>
      <c r="D150" s="298" t="str">
        <f>IF($D$11="","",D$13)</f>
        <v/>
      </c>
    </row>
    <row r="151" spans="2:4">
      <c r="B151" s="214" t="s">
        <v>263</v>
      </c>
      <c r="C151" s="92">
        <f>Scenarios!F83</f>
        <v>0.55819869234178854</v>
      </c>
    </row>
    <row r="153" spans="2:4">
      <c r="B153" s="210" t="s">
        <v>412</v>
      </c>
    </row>
    <row r="154" spans="2:4">
      <c r="B154" s="1" t="s">
        <v>411</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1.8124575362006279</v>
      </c>
    </row>
    <row r="157" spans="2:4">
      <c r="B157" s="80" t="s">
        <v>261</v>
      </c>
      <c r="C157" s="215">
        <f>Scenarios!C93</f>
        <v>2.0174976185871216</v>
      </c>
      <c r="D157" s="300" t="str">
        <f>IF($D$11="","",C157*$E$25)</f>
        <v/>
      </c>
    </row>
    <row r="158" spans="2:4">
      <c r="B158" s="259" t="s">
        <v>417</v>
      </c>
      <c r="C158" s="298" t="str">
        <f>Market_currency</f>
        <v>HKD</v>
      </c>
      <c r="D158" s="298" t="str">
        <f>IF($D$11="","",D$13)</f>
        <v/>
      </c>
    </row>
    <row r="159" spans="2:4">
      <c r="B159" s="214" t="s">
        <v>263</v>
      </c>
      <c r="C159" s="92">
        <f>Scenarios!F93</f>
        <v>0.38305663463319417</v>
      </c>
    </row>
    <row r="161" spans="2:4">
      <c r="B161" s="210" t="s">
        <v>401</v>
      </c>
    </row>
    <row r="162" spans="2:4">
      <c r="B162" s="1" t="s">
        <v>410</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2.6323421617097686</v>
      </c>
    </row>
    <row r="165" spans="2:4">
      <c r="B165" s="80" t="s">
        <v>402</v>
      </c>
      <c r="C165" s="215">
        <f>Scenarios!C99</f>
        <v>2.8923947356969646</v>
      </c>
      <c r="D165" s="300" t="str">
        <f>IF($D$11="","",C165*$E$25)</f>
        <v/>
      </c>
    </row>
    <row r="166" spans="2:4">
      <c r="B166" s="259" t="s">
        <v>417</v>
      </c>
      <c r="C166" s="298" t="str">
        <f>Market_currency</f>
        <v>HKD</v>
      </c>
      <c r="D166" s="298" t="str">
        <f>IF($D$11="","",D$13)</f>
        <v/>
      </c>
    </row>
    <row r="167" spans="2:4">
      <c r="B167" s="214" t="s">
        <v>263</v>
      </c>
      <c r="C167" s="92">
        <f>Scenarios!F99</f>
        <v>0.11551630803917079</v>
      </c>
    </row>
    <row r="169" spans="2:4">
      <c r="B169" s="210" t="s">
        <v>433</v>
      </c>
    </row>
    <row r="170" spans="2:4">
      <c r="B170" s="1" t="s">
        <v>424</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2.343914315611729</v>
      </c>
    </row>
    <row r="173" spans="2:4">
      <c r="B173" s="80" t="s">
        <v>402</v>
      </c>
      <c r="C173" s="215">
        <f>Scenarios!C105</f>
        <v>2.5851746282055941</v>
      </c>
      <c r="D173" s="300" t="str">
        <f>IF($D$11="","",C173*$E$25)</f>
        <v/>
      </c>
    </row>
    <row r="174" spans="2:4">
      <c r="B174" s="259" t="s">
        <v>417</v>
      </c>
      <c r="C174" s="298" t="str">
        <f>Market_currency</f>
        <v>HKD</v>
      </c>
      <c r="D174" s="298" t="str">
        <f>IF($D$11="","",D$13)</f>
        <v/>
      </c>
    </row>
    <row r="175" spans="2:4">
      <c r="B175" s="214" t="s">
        <v>263</v>
      </c>
      <c r="C175" s="92">
        <f>Scenarios!F105</f>
        <v>0.20859299585318714</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11946459</v>
      </c>
      <c r="D4" s="321">
        <v>12989832</v>
      </c>
      <c r="E4" s="321">
        <v>14279054</v>
      </c>
      <c r="F4" s="321">
        <v>13398008</v>
      </c>
      <c r="G4" s="321">
        <v>10417493</v>
      </c>
      <c r="H4" s="321">
        <v>10858435</v>
      </c>
      <c r="I4" s="321">
        <v>11259591</v>
      </c>
      <c r="J4" s="321">
        <v>9799678</v>
      </c>
      <c r="K4" s="321">
        <v>8503792</v>
      </c>
      <c r="L4" s="321">
        <v>10671841</v>
      </c>
      <c r="M4" s="321"/>
    </row>
    <row r="5" spans="2:13">
      <c r="B5" s="40" t="s">
        <v>43</v>
      </c>
      <c r="C5" s="321">
        <v>10241839</v>
      </c>
      <c r="D5" s="321">
        <v>10928762</v>
      </c>
      <c r="E5" s="321">
        <v>11742407</v>
      </c>
      <c r="F5" s="321">
        <v>10461599</v>
      </c>
      <c r="G5" s="321">
        <v>8825812</v>
      </c>
      <c r="H5" s="321">
        <v>8937079</v>
      </c>
      <c r="I5" s="321">
        <v>8501281</v>
      </c>
      <c r="J5" s="321">
        <v>8114588</v>
      </c>
      <c r="K5" s="321">
        <v>8204309</v>
      </c>
      <c r="L5" s="321">
        <v>8925894</v>
      </c>
      <c r="M5" s="321"/>
    </row>
    <row r="6" spans="2:13">
      <c r="B6" s="40" t="s">
        <v>54</v>
      </c>
      <c r="C6" s="321">
        <v>738313</v>
      </c>
      <c r="D6" s="321">
        <v>745298</v>
      </c>
      <c r="E6" s="321">
        <v>638514</v>
      </c>
      <c r="F6" s="321">
        <v>1023256</v>
      </c>
      <c r="G6" s="321">
        <v>847748</v>
      </c>
      <c r="H6" s="321">
        <v>907717</v>
      </c>
      <c r="I6" s="321">
        <v>732380</v>
      </c>
      <c r="J6" s="321">
        <v>852198</v>
      </c>
      <c r="K6" s="321">
        <v>806857</v>
      </c>
      <c r="L6" s="321">
        <v>842048</v>
      </c>
      <c r="M6" s="321"/>
    </row>
    <row r="7" spans="2:13">
      <c r="B7" s="69" t="s">
        <v>61</v>
      </c>
      <c r="C7" s="322">
        <v>91335</v>
      </c>
      <c r="D7" s="322">
        <v>114839</v>
      </c>
      <c r="E7" s="322">
        <v>113843</v>
      </c>
      <c r="F7" s="322">
        <v>118507</v>
      </c>
      <c r="G7" s="322">
        <v>441079</v>
      </c>
      <c r="H7" s="322">
        <v>440918</v>
      </c>
      <c r="I7" s="322">
        <v>418466</v>
      </c>
      <c r="J7" s="322">
        <v>385743</v>
      </c>
      <c r="K7" s="322">
        <v>344473</v>
      </c>
      <c r="L7" s="322">
        <v>409408</v>
      </c>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52759</v>
      </c>
      <c r="D12" s="321">
        <v>34185</v>
      </c>
      <c r="E12" s="321">
        <v>29394</v>
      </c>
      <c r="F12" s="321">
        <v>50559</v>
      </c>
      <c r="G12" s="321">
        <v>0</v>
      </c>
      <c r="H12" s="321">
        <v>0</v>
      </c>
      <c r="I12" s="321">
        <v>0</v>
      </c>
      <c r="J12" s="321">
        <v>0</v>
      </c>
      <c r="K12" s="321">
        <v>0</v>
      </c>
      <c r="L12" s="321">
        <v>0</v>
      </c>
      <c r="M12" s="321"/>
    </row>
    <row r="13" spans="2:13">
      <c r="B13" s="40" t="s">
        <v>67</v>
      </c>
      <c r="C13" s="321">
        <v>351080</v>
      </c>
      <c r="D13" s="321">
        <v>357941</v>
      </c>
      <c r="E13" s="321">
        <v>314822</v>
      </c>
      <c r="F13" s="321">
        <v>372708</v>
      </c>
      <c r="G13" s="321">
        <v>0</v>
      </c>
      <c r="H13" s="321">
        <v>0</v>
      </c>
      <c r="I13" s="321">
        <v>0</v>
      </c>
      <c r="J13" s="321">
        <v>0</v>
      </c>
      <c r="K13" s="321">
        <v>0</v>
      </c>
      <c r="L13" s="321">
        <v>0</v>
      </c>
      <c r="M13" s="321"/>
    </row>
    <row r="14" spans="2:13">
      <c r="B14" s="40" t="s">
        <v>50</v>
      </c>
      <c r="C14" s="321">
        <v>316092</v>
      </c>
      <c r="D14" s="321">
        <v>289887</v>
      </c>
      <c r="E14" s="321">
        <v>472037</v>
      </c>
      <c r="F14" s="321">
        <v>1000171</v>
      </c>
      <c r="G14" s="321">
        <v>274458</v>
      </c>
      <c r="H14" s="321">
        <v>624095</v>
      </c>
      <c r="I14" s="321">
        <v>611891</v>
      </c>
      <c r="J14" s="321">
        <v>382557</v>
      </c>
      <c r="K14" s="321">
        <v>-92900</v>
      </c>
      <c r="L14" s="321">
        <v>288050</v>
      </c>
      <c r="M14" s="321"/>
    </row>
    <row r="15" spans="2:13">
      <c r="B15" s="43" t="s">
        <v>42</v>
      </c>
      <c r="C15" s="323">
        <v>1151129</v>
      </c>
      <c r="D15" s="323">
        <v>2374098</v>
      </c>
      <c r="E15" s="323">
        <v>1798732</v>
      </c>
      <c r="F15" s="323">
        <v>1641435</v>
      </c>
      <c r="G15" s="323">
        <v>779157</v>
      </c>
      <c r="H15" s="323">
        <v>754988</v>
      </c>
      <c r="I15" s="323">
        <v>1528290</v>
      </c>
      <c r="J15" s="323">
        <v>107512</v>
      </c>
      <c r="K15" s="323">
        <v>-236670</v>
      </c>
      <c r="L15" s="323">
        <v>843041</v>
      </c>
      <c r="M15" s="323"/>
    </row>
    <row r="16" spans="2:13">
      <c r="B16" s="28" t="s">
        <v>44</v>
      </c>
      <c r="C16" s="321">
        <v>79856</v>
      </c>
      <c r="D16" s="321">
        <v>-7583</v>
      </c>
      <c r="E16" s="321">
        <v>156154</v>
      </c>
      <c r="F16" s="321">
        <v>143837</v>
      </c>
      <c r="G16" s="321">
        <v>33672</v>
      </c>
      <c r="H16" s="321">
        <v>51771</v>
      </c>
      <c r="I16" s="321">
        <v>149400</v>
      </c>
      <c r="J16" s="321">
        <v>57280</v>
      </c>
      <c r="K16" s="321">
        <v>-21166</v>
      </c>
      <c r="L16" s="321">
        <v>13384</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1522553</v>
      </c>
      <c r="D22" s="321">
        <v>1543625</v>
      </c>
      <c r="E22" s="321">
        <v>2142477</v>
      </c>
      <c r="F22" s="321">
        <v>2938708</v>
      </c>
      <c r="G22" s="321">
        <v>1263205</v>
      </c>
      <c r="H22" s="321">
        <v>1142589</v>
      </c>
      <c r="I22" s="321">
        <v>2004377</v>
      </c>
      <c r="J22" s="321">
        <v>1698866</v>
      </c>
      <c r="K22" s="321">
        <v>1114826</v>
      </c>
      <c r="L22" s="321">
        <v>1353926</v>
      </c>
      <c r="M22" s="321"/>
    </row>
    <row r="23" spans="2:13">
      <c r="B23" s="27" t="s">
        <v>374</v>
      </c>
      <c r="C23" s="321">
        <v>-379005</v>
      </c>
      <c r="D23" s="321">
        <v>-691134</v>
      </c>
      <c r="E23" s="321">
        <v>-2353697</v>
      </c>
      <c r="F23" s="321">
        <v>-3662736</v>
      </c>
      <c r="G23" s="321">
        <v>1111135</v>
      </c>
      <c r="H23" s="321">
        <v>-2689670</v>
      </c>
      <c r="I23" s="321">
        <v>-4539377</v>
      </c>
      <c r="J23" s="321">
        <v>-249652</v>
      </c>
      <c r="K23" s="321">
        <v>-274490</v>
      </c>
      <c r="L23" s="321">
        <v>-298988</v>
      </c>
      <c r="M23" s="321"/>
    </row>
    <row r="24" spans="2:13">
      <c r="B24" s="27" t="s">
        <v>373</v>
      </c>
      <c r="C24" s="321">
        <v>-1061021</v>
      </c>
      <c r="D24" s="321">
        <v>-784057</v>
      </c>
      <c r="E24" s="321">
        <v>65370</v>
      </c>
      <c r="F24" s="321">
        <v>-1366718</v>
      </c>
      <c r="G24" s="321">
        <v>-415861</v>
      </c>
      <c r="H24" s="321">
        <v>-1030192</v>
      </c>
      <c r="I24" s="321">
        <v>-691303</v>
      </c>
      <c r="J24" s="321">
        <v>-493789</v>
      </c>
      <c r="K24" s="321">
        <v>-482886</v>
      </c>
      <c r="L24" s="321">
        <v>-1271043</v>
      </c>
      <c r="M24" s="321"/>
    </row>
    <row r="25" spans="2:13">
      <c r="B25" s="24" t="str">
        <f>"Dividend per share ("&amp;Market_currency&amp;")"</f>
        <v>Dividend per share (HKD)</v>
      </c>
      <c r="C25" s="39">
        <f>0.1208*Exchange_Rate</f>
        <v>0.13118364425599999</v>
      </c>
      <c r="D25" s="39">
        <f>0.207*Exchange_Rate</f>
        <v>0.22479316523999995</v>
      </c>
      <c r="E25" s="39">
        <f>0.178*Exchange_Rate</f>
        <v>0.19330040295999998</v>
      </c>
      <c r="F25" s="39">
        <f>0.155*Exchange_Rate</f>
        <v>0.16832338459999999</v>
      </c>
      <c r="G25" s="39">
        <f>0.08*Exchange_Rate</f>
        <v>8.6876585599999986E-2</v>
      </c>
      <c r="H25" s="39">
        <f>0.076*Exchange_Rate</f>
        <v>8.2532756319999984E-2</v>
      </c>
      <c r="I25" s="39">
        <f>0.15*Exchange_Rate</f>
        <v>0.16289359799999997</v>
      </c>
      <c r="J25" s="39">
        <f>0.005*Exchange_Rate</f>
        <v>5.4297865999999992E-3</v>
      </c>
      <c r="K25" s="39">
        <f>0.05*Exchange_Rate</f>
        <v>5.4297866E-2</v>
      </c>
      <c r="L25" s="39">
        <f>0.08*Exchange_Rate</f>
        <v>8.6876585599999986E-2</v>
      </c>
      <c r="M25" s="39"/>
    </row>
    <row r="27" spans="2:13">
      <c r="B27" s="16" t="s">
        <v>28</v>
      </c>
      <c r="C27" s="97" t="s">
        <v>463</v>
      </c>
    </row>
    <row r="28" spans="2:13">
      <c r="B28" s="26" t="s">
        <v>24</v>
      </c>
      <c r="C28" s="318">
        <f>BS!C4</f>
        <v>103970</v>
      </c>
      <c r="D28" s="321">
        <v>263657</v>
      </c>
      <c r="E28" s="321">
        <v>421401</v>
      </c>
      <c r="F28" s="321">
        <v>212262</v>
      </c>
      <c r="G28" s="321">
        <v>635876</v>
      </c>
      <c r="H28" s="321">
        <v>365962</v>
      </c>
      <c r="I28" s="321">
        <v>155306</v>
      </c>
      <c r="J28" s="321">
        <v>298566</v>
      </c>
      <c r="K28" s="321">
        <v>595460</v>
      </c>
      <c r="L28" s="321">
        <v>783912</v>
      </c>
      <c r="M28" s="321"/>
    </row>
    <row r="29" spans="2:13">
      <c r="B29" s="26" t="s">
        <v>32</v>
      </c>
      <c r="C29" s="318">
        <f>BS!C6</f>
        <v>1124718</v>
      </c>
      <c r="D29" s="321">
        <v>974450</v>
      </c>
      <c r="E29" s="321">
        <v>1189994</v>
      </c>
      <c r="F29" s="321">
        <v>1231545</v>
      </c>
      <c r="G29" s="321">
        <v>1001505</v>
      </c>
      <c r="H29" s="321">
        <v>1110767</v>
      </c>
      <c r="I29" s="321">
        <v>1286322</v>
      </c>
      <c r="J29" s="321">
        <v>1210432</v>
      </c>
      <c r="K29" s="321">
        <v>1279001</v>
      </c>
      <c r="L29" s="321">
        <v>1406243</v>
      </c>
      <c r="M29" s="321"/>
    </row>
    <row r="30" spans="2:13">
      <c r="B30" s="29" t="s">
        <v>40</v>
      </c>
      <c r="C30" s="319">
        <f>BS!C33+BS!C42</f>
        <v>4569034</v>
      </c>
      <c r="D30" s="323">
        <v>4910188</v>
      </c>
      <c r="E30" s="323">
        <v>5721069</v>
      </c>
      <c r="F30" s="323">
        <v>4516904</v>
      </c>
      <c r="G30" s="323">
        <v>5119631</v>
      </c>
      <c r="H30" s="323">
        <v>4302483</v>
      </c>
      <c r="I30" s="323">
        <v>4821570</v>
      </c>
      <c r="J30" s="323">
        <v>5001063</v>
      </c>
      <c r="K30" s="323">
        <v>5352833</v>
      </c>
      <c r="L30" s="323">
        <v>5330337</v>
      </c>
      <c r="M30" s="323"/>
    </row>
    <row r="31" spans="2:13">
      <c r="B31" s="29" t="s">
        <v>30</v>
      </c>
      <c r="C31" s="319">
        <f>BS!G27</f>
        <v>19506961</v>
      </c>
      <c r="D31" s="323">
        <v>19407158</v>
      </c>
      <c r="E31" s="323">
        <v>17776590</v>
      </c>
      <c r="F31" s="323">
        <v>16914674</v>
      </c>
      <c r="G31" s="323">
        <v>15628137</v>
      </c>
      <c r="H31" s="323">
        <v>15117089</v>
      </c>
      <c r="I31" s="323">
        <v>15127638</v>
      </c>
      <c r="J31" s="323">
        <v>14247929</v>
      </c>
      <c r="K31" s="323">
        <v>14313860</v>
      </c>
      <c r="L31" s="323">
        <v>14881574</v>
      </c>
      <c r="M31" s="323"/>
    </row>
    <row r="32" spans="2:13">
      <c r="B32" s="26" t="s">
        <v>173</v>
      </c>
      <c r="C32" s="318">
        <f>BS!G28</f>
        <v>1098684</v>
      </c>
      <c r="D32" s="321">
        <v>1106088</v>
      </c>
      <c r="E32" s="321">
        <v>1029450</v>
      </c>
      <c r="F32" s="321">
        <v>1087573</v>
      </c>
      <c r="G32" s="321">
        <v>928375</v>
      </c>
      <c r="H32" s="321">
        <v>806640</v>
      </c>
      <c r="I32" s="321">
        <v>916956</v>
      </c>
      <c r="J32" s="321">
        <v>1092459</v>
      </c>
      <c r="K32" s="321">
        <v>997219</v>
      </c>
      <c r="L32" s="321">
        <v>1026493</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11946459</v>
      </c>
      <c r="D36" s="318">
        <f t="shared" si="1"/>
        <v>12989832</v>
      </c>
      <c r="E36" s="318">
        <f t="shared" si="1"/>
        <v>14279054</v>
      </c>
      <c r="F36" s="318">
        <f t="shared" si="1"/>
        <v>13398008</v>
      </c>
      <c r="G36" s="318">
        <f t="shared" si="1"/>
        <v>10417493</v>
      </c>
      <c r="H36" s="318">
        <f t="shared" si="1"/>
        <v>10858435</v>
      </c>
      <c r="I36" s="318">
        <f t="shared" si="1"/>
        <v>11259591</v>
      </c>
      <c r="J36" s="318">
        <f t="shared" si="1"/>
        <v>9799678</v>
      </c>
      <c r="K36" s="318">
        <f t="shared" si="1"/>
        <v>8503792</v>
      </c>
      <c r="L36" s="318">
        <f t="shared" si="1"/>
        <v>10671841</v>
      </c>
      <c r="M36" s="318" t="str">
        <f t="shared" si="1"/>
        <v/>
      </c>
    </row>
    <row r="37" spans="2:13">
      <c r="B37" s="40" t="s">
        <v>43</v>
      </c>
      <c r="C37" s="318">
        <f t="shared" ref="C37:M37" si="2">IF(C$4="","",-C5)</f>
        <v>-10241839</v>
      </c>
      <c r="D37" s="318">
        <f t="shared" si="2"/>
        <v>-10928762</v>
      </c>
      <c r="E37" s="318">
        <f t="shared" si="2"/>
        <v>-11742407</v>
      </c>
      <c r="F37" s="318">
        <f t="shared" si="2"/>
        <v>-10461599</v>
      </c>
      <c r="G37" s="318">
        <f t="shared" si="2"/>
        <v>-8825812</v>
      </c>
      <c r="H37" s="318">
        <f t="shared" si="2"/>
        <v>-8937079</v>
      </c>
      <c r="I37" s="318">
        <f t="shared" si="2"/>
        <v>-8501281</v>
      </c>
      <c r="J37" s="318">
        <f t="shared" si="2"/>
        <v>-8114588</v>
      </c>
      <c r="K37" s="318">
        <f t="shared" si="2"/>
        <v>-8204309</v>
      </c>
      <c r="L37" s="318">
        <f t="shared" si="2"/>
        <v>-8925894</v>
      </c>
      <c r="M37" s="318" t="str">
        <f t="shared" si="2"/>
        <v/>
      </c>
    </row>
    <row r="38" spans="2:13">
      <c r="B38" s="31" t="s">
        <v>58</v>
      </c>
      <c r="C38" s="317">
        <f>IF(C36="","",C36+C37)</f>
        <v>1704620</v>
      </c>
      <c r="D38" s="317">
        <f t="shared" ref="D38" si="3">IF(D36="","",D36+D37)</f>
        <v>2061070</v>
      </c>
      <c r="E38" s="317">
        <f t="shared" ref="E38" si="4">IF(E36="","",E36+E37)</f>
        <v>2536647</v>
      </c>
      <c r="F38" s="317">
        <f t="shared" ref="F38" si="5">IF(F36="","",F36+F37)</f>
        <v>2936409</v>
      </c>
      <c r="G38" s="317">
        <f t="shared" ref="G38" si="6">IF(G36="","",G36+G37)</f>
        <v>1591681</v>
      </c>
      <c r="H38" s="317">
        <f t="shared" ref="H38" si="7">IF(H36="","",H36+H37)</f>
        <v>1921356</v>
      </c>
      <c r="I38" s="317">
        <f t="shared" ref="I38" si="8">IF(I36="","",I36+I37)</f>
        <v>2758310</v>
      </c>
      <c r="J38" s="317">
        <f t="shared" ref="J38" si="9">IF(J36="","",J36+J37)</f>
        <v>1685090</v>
      </c>
      <c r="K38" s="317">
        <f t="shared" ref="K38" si="10">IF(K36="","",K36+K37)</f>
        <v>299483</v>
      </c>
      <c r="L38" s="317">
        <f t="shared" ref="L38" si="11">IF(L36="","",L36+L37)</f>
        <v>1745947</v>
      </c>
      <c r="M38" s="317" t="str">
        <f t="shared" ref="M38" si="12">IF(M36="","",M36+M37)</f>
        <v/>
      </c>
    </row>
    <row r="39" spans="2:13">
      <c r="B39" s="40" t="s">
        <v>54</v>
      </c>
      <c r="C39" s="318">
        <f t="shared" ref="C39:M39" si="13">IF(C$4="","",-C6)</f>
        <v>-738313</v>
      </c>
      <c r="D39" s="318">
        <f t="shared" si="13"/>
        <v>-745298</v>
      </c>
      <c r="E39" s="318">
        <f t="shared" si="13"/>
        <v>-638514</v>
      </c>
      <c r="F39" s="318">
        <f t="shared" si="13"/>
        <v>-1023256</v>
      </c>
      <c r="G39" s="318">
        <f t="shared" si="13"/>
        <v>-847748</v>
      </c>
      <c r="H39" s="318">
        <f t="shared" si="13"/>
        <v>-907717</v>
      </c>
      <c r="I39" s="318">
        <f t="shared" si="13"/>
        <v>-732380</v>
      </c>
      <c r="J39" s="318">
        <f t="shared" si="13"/>
        <v>-852198</v>
      </c>
      <c r="K39" s="318">
        <f t="shared" si="13"/>
        <v>-806857</v>
      </c>
      <c r="L39" s="318">
        <f t="shared" si="13"/>
        <v>-842048</v>
      </c>
      <c r="M39" s="318" t="str">
        <f t="shared" si="13"/>
        <v/>
      </c>
    </row>
    <row r="40" spans="2:13">
      <c r="B40" s="69" t="s">
        <v>61</v>
      </c>
      <c r="C40" s="320">
        <f t="shared" ref="C40:M40" si="14">IF(C$4="","",-C7)</f>
        <v>-91335</v>
      </c>
      <c r="D40" s="320">
        <f t="shared" si="14"/>
        <v>-114839</v>
      </c>
      <c r="E40" s="320">
        <f t="shared" si="14"/>
        <v>-113843</v>
      </c>
      <c r="F40" s="320">
        <f t="shared" si="14"/>
        <v>-118507</v>
      </c>
      <c r="G40" s="320">
        <f t="shared" si="14"/>
        <v>-441079</v>
      </c>
      <c r="H40" s="320">
        <f t="shared" si="14"/>
        <v>-440918</v>
      </c>
      <c r="I40" s="320">
        <f t="shared" si="14"/>
        <v>-418466</v>
      </c>
      <c r="J40" s="320">
        <f t="shared" si="14"/>
        <v>-385743</v>
      </c>
      <c r="K40" s="320">
        <f t="shared" si="14"/>
        <v>-344473</v>
      </c>
      <c r="L40" s="320">
        <f t="shared" si="14"/>
        <v>-409408</v>
      </c>
      <c r="M40" s="320" t="str">
        <f t="shared" si="14"/>
        <v/>
      </c>
    </row>
    <row r="41" spans="2:13">
      <c r="B41" s="69" t="s">
        <v>64</v>
      </c>
      <c r="C41" s="320">
        <f>IF(C$4="","",C39-C40)</f>
        <v>-646978</v>
      </c>
      <c r="D41" s="320">
        <f t="shared" ref="D41:M41" si="15">IF(D$4="","",D39-D40)</f>
        <v>-630459</v>
      </c>
      <c r="E41" s="320">
        <f t="shared" si="15"/>
        <v>-524671</v>
      </c>
      <c r="F41" s="320">
        <f t="shared" si="15"/>
        <v>-904749</v>
      </c>
      <c r="G41" s="320">
        <f t="shared" si="15"/>
        <v>-406669</v>
      </c>
      <c r="H41" s="320">
        <f t="shared" si="15"/>
        <v>-466799</v>
      </c>
      <c r="I41" s="320">
        <f t="shared" si="15"/>
        <v>-313914</v>
      </c>
      <c r="J41" s="320">
        <f t="shared" si="15"/>
        <v>-466455</v>
      </c>
      <c r="K41" s="320">
        <f t="shared" si="15"/>
        <v>-462384</v>
      </c>
      <c r="L41" s="320">
        <f t="shared" si="15"/>
        <v>-432640</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966307</v>
      </c>
      <c r="D43" s="319">
        <f t="shared" ref="D43:M43" si="17">IF(D$4="","",D38+D39+D42)</f>
        <v>1315772</v>
      </c>
      <c r="E43" s="319">
        <f t="shared" si="17"/>
        <v>1898133</v>
      </c>
      <c r="F43" s="319">
        <f t="shared" si="17"/>
        <v>1913153</v>
      </c>
      <c r="G43" s="319">
        <f t="shared" si="17"/>
        <v>743933</v>
      </c>
      <c r="H43" s="319">
        <f t="shared" si="17"/>
        <v>1013639</v>
      </c>
      <c r="I43" s="319">
        <f t="shared" si="17"/>
        <v>2025930</v>
      </c>
      <c r="J43" s="319">
        <f t="shared" si="17"/>
        <v>832892</v>
      </c>
      <c r="K43" s="319">
        <f t="shared" si="17"/>
        <v>-507374</v>
      </c>
      <c r="L43" s="319">
        <f t="shared" si="17"/>
        <v>903899</v>
      </c>
      <c r="M43" s="319" t="str">
        <f t="shared" si="17"/>
        <v/>
      </c>
    </row>
    <row r="44" spans="2:13">
      <c r="B44" s="43" t="s">
        <v>169</v>
      </c>
      <c r="C44" s="180">
        <f t="shared" ref="C44:M44" si="18">IF(C$4="","",C47-C46-C45-C43)</f>
        <v>202593</v>
      </c>
      <c r="D44" s="180">
        <f t="shared" si="18"/>
        <v>1024457</v>
      </c>
      <c r="E44" s="180">
        <f t="shared" si="18"/>
        <v>87208</v>
      </c>
      <c r="F44" s="180">
        <f t="shared" si="18"/>
        <v>406304</v>
      </c>
      <c r="G44" s="180">
        <f t="shared" si="18"/>
        <v>309682</v>
      </c>
      <c r="H44" s="180">
        <f t="shared" si="18"/>
        <v>365444</v>
      </c>
      <c r="I44" s="180">
        <f t="shared" si="18"/>
        <v>114251</v>
      </c>
      <c r="J44" s="180">
        <f t="shared" si="18"/>
        <v>-342823</v>
      </c>
      <c r="K44" s="180">
        <f t="shared" si="18"/>
        <v>177804</v>
      </c>
      <c r="L44" s="180">
        <f t="shared" si="18"/>
        <v>227192</v>
      </c>
      <c r="M44" s="180" t="str">
        <f t="shared" si="18"/>
        <v/>
      </c>
    </row>
    <row r="45" spans="2:13">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18">
        <f t="shared" ref="C46:M46" si="20">IF(C$4="","",-C14)</f>
        <v>-316092</v>
      </c>
      <c r="D46" s="318">
        <f t="shared" si="20"/>
        <v>-289887</v>
      </c>
      <c r="E46" s="318">
        <f t="shared" si="20"/>
        <v>-472037</v>
      </c>
      <c r="F46" s="318">
        <f t="shared" si="20"/>
        <v>-1000171</v>
      </c>
      <c r="G46" s="318">
        <f t="shared" si="20"/>
        <v>-274458</v>
      </c>
      <c r="H46" s="318">
        <f t="shared" si="20"/>
        <v>-624095</v>
      </c>
      <c r="I46" s="318">
        <f t="shared" si="20"/>
        <v>-611891</v>
      </c>
      <c r="J46" s="318">
        <f t="shared" si="20"/>
        <v>-382557</v>
      </c>
      <c r="K46" s="318">
        <f t="shared" si="20"/>
        <v>92900</v>
      </c>
      <c r="L46" s="318">
        <f t="shared" si="20"/>
        <v>-288050</v>
      </c>
      <c r="M46" s="318" t="str">
        <f t="shared" si="20"/>
        <v/>
      </c>
    </row>
    <row r="47" spans="2:13">
      <c r="B47" s="43" t="s">
        <v>42</v>
      </c>
      <c r="C47" s="319">
        <f t="shared" ref="C47:M47" si="21">IF(C$4="","",C15)</f>
        <v>1151129</v>
      </c>
      <c r="D47" s="319">
        <f t="shared" si="21"/>
        <v>2374098</v>
      </c>
      <c r="E47" s="319">
        <f t="shared" si="21"/>
        <v>1798732</v>
      </c>
      <c r="F47" s="319">
        <f t="shared" si="21"/>
        <v>1641435</v>
      </c>
      <c r="G47" s="319">
        <f t="shared" si="21"/>
        <v>779157</v>
      </c>
      <c r="H47" s="319">
        <f t="shared" si="21"/>
        <v>754988</v>
      </c>
      <c r="I47" s="319">
        <f t="shared" si="21"/>
        <v>1528290</v>
      </c>
      <c r="J47" s="319">
        <f t="shared" si="21"/>
        <v>107512</v>
      </c>
      <c r="K47" s="319">
        <f t="shared" si="21"/>
        <v>-236670</v>
      </c>
      <c r="L47" s="319">
        <f t="shared" si="21"/>
        <v>843041</v>
      </c>
      <c r="M47" s="319" t="str">
        <f t="shared" si="21"/>
        <v/>
      </c>
    </row>
    <row r="48" spans="2:13">
      <c r="B48" s="28" t="s">
        <v>44</v>
      </c>
      <c r="C48" s="318">
        <f t="shared" ref="C48:M48" si="22">IF(C$4="","",MIN(-C16,0))</f>
        <v>-79856</v>
      </c>
      <c r="D48" s="318">
        <f t="shared" si="22"/>
        <v>0</v>
      </c>
      <c r="E48" s="318">
        <f t="shared" si="22"/>
        <v>-156154</v>
      </c>
      <c r="F48" s="318">
        <f t="shared" si="22"/>
        <v>-143837</v>
      </c>
      <c r="G48" s="318">
        <f t="shared" si="22"/>
        <v>-33672</v>
      </c>
      <c r="H48" s="318">
        <f t="shared" si="22"/>
        <v>-51771</v>
      </c>
      <c r="I48" s="318">
        <f t="shared" si="22"/>
        <v>-149400</v>
      </c>
      <c r="J48" s="318">
        <f t="shared" si="22"/>
        <v>-57280</v>
      </c>
      <c r="K48" s="318">
        <f t="shared" si="22"/>
        <v>0</v>
      </c>
      <c r="L48" s="318">
        <f t="shared" si="22"/>
        <v>-13384</v>
      </c>
      <c r="M48" s="318" t="str">
        <f t="shared" si="22"/>
        <v/>
      </c>
    </row>
    <row r="50" spans="2:13">
      <c r="B50" s="16" t="s">
        <v>68</v>
      </c>
    </row>
    <row r="51" spans="2:13">
      <c r="B51" s="40" t="s">
        <v>39</v>
      </c>
      <c r="C51" s="318">
        <f t="shared" ref="C51:M51" si="23">IF(C$4="","",-C12)</f>
        <v>-52759</v>
      </c>
      <c r="D51" s="318">
        <f t="shared" si="23"/>
        <v>-34185</v>
      </c>
      <c r="E51" s="318">
        <f t="shared" si="23"/>
        <v>-29394</v>
      </c>
      <c r="F51" s="318">
        <f t="shared" si="23"/>
        <v>-50559</v>
      </c>
      <c r="G51" s="318">
        <f t="shared" si="23"/>
        <v>0</v>
      </c>
      <c r="H51" s="318">
        <f t="shared" si="23"/>
        <v>0</v>
      </c>
      <c r="I51" s="318">
        <f t="shared" si="23"/>
        <v>0</v>
      </c>
      <c r="J51" s="318">
        <f t="shared" si="23"/>
        <v>0</v>
      </c>
      <c r="K51" s="318">
        <f t="shared" si="23"/>
        <v>0</v>
      </c>
      <c r="L51" s="318">
        <f t="shared" si="23"/>
        <v>0</v>
      </c>
      <c r="M51" s="318" t="str">
        <f t="shared" si="23"/>
        <v/>
      </c>
    </row>
    <row r="52" spans="2:13">
      <c r="B52" s="40" t="s">
        <v>67</v>
      </c>
      <c r="C52" s="318">
        <f t="shared" ref="C52:M52" si="24">IF(C$4="","",C13)</f>
        <v>351080</v>
      </c>
      <c r="D52" s="318">
        <f t="shared" si="24"/>
        <v>357941</v>
      </c>
      <c r="E52" s="318">
        <f t="shared" si="24"/>
        <v>314822</v>
      </c>
      <c r="F52" s="318">
        <f t="shared" si="24"/>
        <v>372708</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82527</v>
      </c>
      <c r="D64" s="318">
        <f t="shared" ref="D64:M64" si="32">IF(D$4="","",D22+D23+D24)</f>
        <v>68434</v>
      </c>
      <c r="E64" s="318">
        <f t="shared" si="32"/>
        <v>-145850</v>
      </c>
      <c r="F64" s="318">
        <f t="shared" si="32"/>
        <v>-2090746</v>
      </c>
      <c r="G64" s="318">
        <f t="shared" si="32"/>
        <v>1958479</v>
      </c>
      <c r="H64" s="318">
        <f t="shared" si="32"/>
        <v>-2577273</v>
      </c>
      <c r="I64" s="318">
        <f t="shared" si="32"/>
        <v>-3226303</v>
      </c>
      <c r="J64" s="318">
        <f t="shared" si="32"/>
        <v>955425</v>
      </c>
      <c r="K64" s="318">
        <f t="shared" si="32"/>
        <v>357450</v>
      </c>
      <c r="L64" s="318">
        <f t="shared" si="32"/>
        <v>-216105</v>
      </c>
      <c r="M64" s="318" t="str">
        <f t="shared" si="32"/>
        <v/>
      </c>
    </row>
    <row r="65" spans="2:13">
      <c r="B65" s="24" t="s">
        <v>36</v>
      </c>
      <c r="C65" s="73">
        <f>IF(C$4="","",C25)</f>
        <v>0.13118364425599999</v>
      </c>
      <c r="D65" s="73">
        <f t="shared" ref="D65:M65" si="33">IF(D$4="","",D25)</f>
        <v>0.22479316523999995</v>
      </c>
      <c r="E65" s="73">
        <f t="shared" si="33"/>
        <v>0.19330040295999998</v>
      </c>
      <c r="F65" s="73">
        <f t="shared" si="33"/>
        <v>0.16832338459999999</v>
      </c>
      <c r="G65" s="73">
        <f t="shared" si="33"/>
        <v>8.6876585599999986E-2</v>
      </c>
      <c r="H65" s="73">
        <f t="shared" si="33"/>
        <v>8.2532756319999984E-2</v>
      </c>
      <c r="I65" s="73">
        <f t="shared" si="33"/>
        <v>0.16289359799999997</v>
      </c>
      <c r="J65" s="73">
        <f t="shared" si="33"/>
        <v>5.4297865999999992E-3</v>
      </c>
      <c r="K65" s="73">
        <f t="shared" si="33"/>
        <v>5.4297866E-2</v>
      </c>
      <c r="L65" s="73">
        <f t="shared" si="33"/>
        <v>8.6876585599999986E-2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c r="B77" s="93" t="s">
        <v>86</v>
      </c>
      <c r="C77" s="320">
        <f t="shared" ref="C77:H78" si="40">IF(C$4="","",C28)</f>
        <v>103970</v>
      </c>
      <c r="D77" s="320">
        <f t="shared" si="40"/>
        <v>263657</v>
      </c>
      <c r="E77" s="320">
        <f t="shared" si="40"/>
        <v>421401</v>
      </c>
      <c r="F77" s="320">
        <f t="shared" si="40"/>
        <v>212262</v>
      </c>
      <c r="G77" s="320">
        <f t="shared" si="40"/>
        <v>635876</v>
      </c>
      <c r="H77" s="320">
        <f t="shared" si="40"/>
        <v>365962</v>
      </c>
      <c r="I77" s="324"/>
      <c r="J77" s="324"/>
      <c r="K77" s="324"/>
      <c r="L77" s="324"/>
      <c r="M77" s="324"/>
    </row>
    <row r="78" spans="2:13">
      <c r="B78" s="93" t="s">
        <v>87</v>
      </c>
      <c r="C78" s="320">
        <f t="shared" si="40"/>
        <v>1124718</v>
      </c>
      <c r="D78" s="320">
        <f t="shared" si="40"/>
        <v>974450</v>
      </c>
      <c r="E78" s="320">
        <f t="shared" si="40"/>
        <v>1189994</v>
      </c>
      <c r="F78" s="320">
        <f t="shared" si="40"/>
        <v>1231545</v>
      </c>
      <c r="G78" s="320">
        <f t="shared" si="40"/>
        <v>1001505</v>
      </c>
      <c r="H78" s="320">
        <f t="shared" si="40"/>
        <v>1110767</v>
      </c>
      <c r="I78" s="324"/>
      <c r="J78" s="324"/>
      <c r="K78" s="324"/>
      <c r="L78" s="324"/>
      <c r="M78" s="324"/>
    </row>
    <row r="79" spans="2:13">
      <c r="B79" s="26" t="s">
        <v>40</v>
      </c>
      <c r="C79" s="318">
        <f t="shared" ref="C79:M79" si="41">IF(C$4="","",C30)</f>
        <v>4569034</v>
      </c>
      <c r="D79" s="318">
        <f t="shared" si="41"/>
        <v>4910188</v>
      </c>
      <c r="E79" s="318">
        <f t="shared" si="41"/>
        <v>5721069</v>
      </c>
      <c r="F79" s="318">
        <f t="shared" si="41"/>
        <v>4516904</v>
      </c>
      <c r="G79" s="318">
        <f t="shared" si="41"/>
        <v>5119631</v>
      </c>
      <c r="H79" s="318">
        <f t="shared" si="41"/>
        <v>4302483</v>
      </c>
      <c r="I79" s="318">
        <f t="shared" si="41"/>
        <v>4821570</v>
      </c>
      <c r="J79" s="318">
        <f t="shared" si="41"/>
        <v>5001063</v>
      </c>
      <c r="K79" s="318">
        <f t="shared" si="41"/>
        <v>5352833</v>
      </c>
      <c r="L79" s="318">
        <f t="shared" si="41"/>
        <v>5330337</v>
      </c>
      <c r="M79" s="318" t="str">
        <f t="shared" si="41"/>
        <v/>
      </c>
    </row>
    <row r="80" spans="2:13">
      <c r="B80" s="26" t="s">
        <v>30</v>
      </c>
      <c r="C80" s="318">
        <f t="shared" ref="C80:M80" si="42">IF(C$4="","",C31)</f>
        <v>19506961</v>
      </c>
      <c r="D80" s="318">
        <f t="shared" si="42"/>
        <v>19407158</v>
      </c>
      <c r="E80" s="318">
        <f t="shared" si="42"/>
        <v>17776590</v>
      </c>
      <c r="F80" s="318">
        <f t="shared" si="42"/>
        <v>16914674</v>
      </c>
      <c r="G80" s="318">
        <f t="shared" si="42"/>
        <v>15628137</v>
      </c>
      <c r="H80" s="318">
        <f t="shared" si="42"/>
        <v>15117089</v>
      </c>
      <c r="I80" s="318">
        <f t="shared" si="42"/>
        <v>15127638</v>
      </c>
      <c r="J80" s="318">
        <f t="shared" si="42"/>
        <v>14247929</v>
      </c>
      <c r="K80" s="318">
        <f t="shared" si="42"/>
        <v>14313860</v>
      </c>
      <c r="L80" s="318">
        <f t="shared" si="42"/>
        <v>14881574</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23621+80349</f>
        <v>103970</v>
      </c>
      <c r="D4" s="261">
        <v>0.6</v>
      </c>
      <c r="E4" s="25"/>
      <c r="F4" s="4" t="s">
        <v>78</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f>12783+436808</f>
        <v>449591</v>
      </c>
      <c r="D9" s="261">
        <v>0.1</v>
      </c>
      <c r="E9" s="25"/>
      <c r="F9" s="4" t="s">
        <v>181</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208252</v>
      </c>
      <c r="D15" s="261">
        <v>0.4</v>
      </c>
      <c r="F15" s="4" t="s">
        <v>79</v>
      </c>
      <c r="G15" s="19">
        <v>0</v>
      </c>
      <c r="H15" s="261">
        <v>0.8</v>
      </c>
    </row>
    <row r="16" spans="2:8" ht="15" customHeight="1">
      <c r="B16" s="1" t="s">
        <v>34</v>
      </c>
      <c r="C16" s="19">
        <v>600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7177198+126839+332968+94332</f>
        <v>7731337</v>
      </c>
      <c r="D19" s="261">
        <v>0.1</v>
      </c>
      <c r="F19" s="4" t="s">
        <v>183</v>
      </c>
      <c r="G19" s="19">
        <f>333906+127404</f>
        <v>461310</v>
      </c>
      <c r="H19" s="261">
        <v>0.1</v>
      </c>
    </row>
    <row r="20" spans="2:8" ht="15" customHeight="1">
      <c r="B20" s="4" t="s">
        <v>18</v>
      </c>
      <c r="C20" s="19">
        <v>0</v>
      </c>
      <c r="D20" s="261">
        <v>0.05</v>
      </c>
      <c r="F20" s="4" t="s">
        <v>180</v>
      </c>
      <c r="G20" s="19">
        <v>0</v>
      </c>
      <c r="H20" s="261">
        <v>0.2</v>
      </c>
    </row>
    <row r="21" spans="2:8" ht="15" customHeight="1">
      <c r="B21" s="4" t="s">
        <v>19</v>
      </c>
      <c r="C21" s="19">
        <v>129691</v>
      </c>
      <c r="D21" s="261">
        <v>0.05</v>
      </c>
      <c r="F21" s="1" t="s">
        <v>181</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182" t="s">
        <v>137</v>
      </c>
      <c r="F26" s="184" t="s">
        <v>197</v>
      </c>
      <c r="G26" s="185" t="s">
        <v>137</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245</v>
      </c>
      <c r="G28" s="12">
        <v>1098684</v>
      </c>
      <c r="H28" s="188"/>
    </row>
    <row r="29" spans="2:8" ht="15" customHeight="1">
      <c r="B29" s="4" t="s">
        <v>7</v>
      </c>
      <c r="C29" s="19">
        <v>0</v>
      </c>
      <c r="F29" s="190" t="s">
        <v>76</v>
      </c>
      <c r="G29" s="14">
        <f>G27-G28</f>
        <v>18408277</v>
      </c>
      <c r="H29" s="188">
        <f>H27-G28</f>
        <v>7788128.25</v>
      </c>
    </row>
    <row r="30" spans="2:8" ht="15" customHeight="1">
      <c r="B30" s="2" t="s">
        <v>8</v>
      </c>
      <c r="C30" s="19">
        <v>0</v>
      </c>
      <c r="F30" s="187" t="s">
        <v>23</v>
      </c>
      <c r="G30" s="85">
        <f>C33+C42</f>
        <v>4569034</v>
      </c>
      <c r="H30" s="188"/>
    </row>
    <row r="31" spans="2:8" ht="15" customHeight="1">
      <c r="B31" s="80" t="s">
        <v>204</v>
      </c>
      <c r="C31" s="81">
        <f>SUM(C27:C30)</f>
        <v>462751</v>
      </c>
      <c r="F31" s="190" t="s">
        <v>77</v>
      </c>
      <c r="G31" s="191">
        <f>C31+C40</f>
        <v>2119124</v>
      </c>
      <c r="H31" s="188"/>
    </row>
    <row r="32" spans="2:8" ht="15" customHeight="1">
      <c r="B32" s="4" t="s">
        <v>9</v>
      </c>
      <c r="C32" s="21">
        <f>C33-C31</f>
        <v>2050197</v>
      </c>
      <c r="F32" s="192" t="s">
        <v>75</v>
      </c>
      <c r="G32" s="193">
        <f>G35+G40</f>
        <v>24075995</v>
      </c>
      <c r="H32" s="188">
        <f>H35+H40</f>
        <v>13455846.25</v>
      </c>
    </row>
    <row r="33" spans="2:8" ht="15" customHeight="1">
      <c r="B33" s="83" t="s">
        <v>4</v>
      </c>
      <c r="C33" s="84">
        <v>2512948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11858556</v>
      </c>
      <c r="H35" s="200">
        <f>D12+D24</f>
        <v>2883130.95</v>
      </c>
    </row>
    <row r="36" spans="2:8" ht="15" customHeight="1">
      <c r="B36" s="4" t="s">
        <v>13</v>
      </c>
      <c r="C36" s="19">
        <v>1626693</v>
      </c>
      <c r="F36" s="190" t="s">
        <v>198</v>
      </c>
      <c r="G36" s="191">
        <f>C4+C15</f>
        <v>312222</v>
      </c>
      <c r="H36" s="195"/>
    </row>
    <row r="37" spans="2:8" ht="15" customHeight="1">
      <c r="B37" s="4" t="s">
        <v>14</v>
      </c>
      <c r="C37" s="19">
        <v>29680</v>
      </c>
      <c r="F37" s="190" t="s">
        <v>199</v>
      </c>
      <c r="G37" s="191">
        <f>C6</f>
        <v>1124718</v>
      </c>
      <c r="H37" s="195"/>
    </row>
    <row r="38" spans="2:8" ht="15" customHeight="1">
      <c r="B38" s="4" t="s">
        <v>15</v>
      </c>
      <c r="C38" s="19">
        <v>0</v>
      </c>
      <c r="F38" s="190" t="s">
        <v>200</v>
      </c>
      <c r="G38" s="191">
        <f>C7+C17</f>
        <v>0</v>
      </c>
      <c r="H38" s="195"/>
    </row>
    <row r="39" spans="2:8" ht="15" customHeight="1">
      <c r="B39" s="2" t="s">
        <v>16</v>
      </c>
      <c r="C39" s="19">
        <v>0</v>
      </c>
      <c r="F39" s="190" t="s">
        <v>80</v>
      </c>
      <c r="G39" s="191">
        <f>C7+C17+C19+C20</f>
        <v>7731337</v>
      </c>
      <c r="H39" s="188">
        <f>C7*D7+C17*D17+C19*D19+C20*D20</f>
        <v>773133.70000000007</v>
      </c>
    </row>
    <row r="40" spans="2:8" ht="15" customHeight="1">
      <c r="B40" s="80" t="s">
        <v>205</v>
      </c>
      <c r="C40" s="81">
        <f>SUM(C36:C39)</f>
        <v>1656373</v>
      </c>
      <c r="F40" s="199" t="s">
        <v>139</v>
      </c>
      <c r="G40" s="193">
        <f>G12+G24</f>
        <v>12217439</v>
      </c>
      <c r="H40" s="200">
        <f>H12+H24</f>
        <v>10572715.300000001</v>
      </c>
    </row>
    <row r="41" spans="2:8" ht="15" customHeight="1">
      <c r="B41" s="4" t="s">
        <v>17</v>
      </c>
      <c r="C41" s="21">
        <f>C42-C40</f>
        <v>399713</v>
      </c>
      <c r="F41" s="190" t="s">
        <v>192</v>
      </c>
      <c r="G41" s="191">
        <f>C70</f>
        <v>11691643</v>
      </c>
      <c r="H41" s="200">
        <f>H40-H42</f>
        <v>10520135.700000001</v>
      </c>
    </row>
    <row r="42" spans="2:8" ht="15" customHeight="1">
      <c r="B42" s="83" t="s">
        <v>22</v>
      </c>
      <c r="C42" s="84">
        <v>2056086</v>
      </c>
      <c r="F42" s="201" t="s">
        <v>193</v>
      </c>
      <c r="G42" s="202">
        <f>C82</f>
        <v>525796</v>
      </c>
      <c r="H42" s="203">
        <f>D82</f>
        <v>52579.6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18408277</v>
      </c>
      <c r="D46" s="76">
        <f>H29</f>
        <v>7788128.25</v>
      </c>
      <c r="F46" s="253"/>
    </row>
    <row r="47" spans="2:8" ht="15" customHeight="1">
      <c r="B47" s="1" t="str">
        <f>"Equity per share ("&amp;Market_currency&amp;")"</f>
        <v>Equity per share (HKD)</v>
      </c>
      <c r="C47" s="147">
        <f>C46*H1/Common_Shares*Exchange_Rate</f>
        <v>4.336356433131809</v>
      </c>
      <c r="D47" s="147">
        <f>D46*H1/Common_Shares*Exchange_Rate</f>
        <v>1.8346149419059194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2.2824569622635926</v>
      </c>
      <c r="D50" s="95">
        <f>G31/Normalized_FCF!G8</f>
        <v>2.1930131935295925</v>
      </c>
      <c r="F50" s="253"/>
    </row>
    <row r="51" spans="2:8" ht="15" customHeight="1">
      <c r="B51" s="1" t="s">
        <v>177</v>
      </c>
      <c r="C51" s="181"/>
      <c r="D51" s="92">
        <f>G29/G32</f>
        <v>0.764590497713594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7.8292825040602462E-2</v>
      </c>
      <c r="D54" s="92">
        <f>Normalized_FCF!G8/G35</f>
        <v>8.1486059516858542E-2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0.32112222153227726</v>
      </c>
      <c r="F59" s="253"/>
    </row>
    <row r="60" spans="2:8" ht="15" customHeight="1">
      <c r="F60" s="253"/>
    </row>
    <row r="61" spans="2:8" ht="15" customHeight="1">
      <c r="B61" s="157" t="s">
        <v>275</v>
      </c>
      <c r="C61" s="235" t="s">
        <v>138</v>
      </c>
      <c r="D61" s="197" t="s">
        <v>96</v>
      </c>
      <c r="F61" s="253"/>
    </row>
    <row r="62" spans="2:8" ht="15" customHeight="1">
      <c r="B62" s="1" t="s">
        <v>246</v>
      </c>
      <c r="C62" s="92">
        <f>IF(G28&lt;=0,0,G28/G29)</f>
        <v>5.968423878019654E-2</v>
      </c>
      <c r="D62" s="92">
        <f>G28/G29</f>
        <v>5.968423878019654E-2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11691643</v>
      </c>
      <c r="D66" s="76">
        <f>C66-D75</f>
        <v>7865303.2833807282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11691643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-965409.05000167992</v>
      </c>
      <c r="D73" s="355">
        <f>(Normalized_FCF!C25+Normalized_FCF!C35-Normalized_FCF!C91)/12</f>
        <v>-956584.92915481783</v>
      </c>
      <c r="F73" s="1" t="s">
        <v>352</v>
      </c>
    </row>
    <row r="74" spans="2:6" ht="15" customHeight="1">
      <c r="B74" s="257" t="s">
        <v>322</v>
      </c>
      <c r="C74" s="258">
        <f>-$C$66/C73</f>
        <v>12.110558731534219</v>
      </c>
      <c r="D74" s="258">
        <f>-$C$66/D73</f>
        <v>12.222273886679407</v>
      </c>
      <c r="F74" s="253" t="s">
        <v>320</v>
      </c>
    </row>
    <row r="75" spans="2:6" ht="15" customHeight="1">
      <c r="B75" s="80" t="s">
        <v>321</v>
      </c>
      <c r="C75" s="326"/>
      <c r="D75" s="327">
        <f>MAX(-D73*D76,G5)</f>
        <v>3826339.7166192713</v>
      </c>
      <c r="F75" s="253" t="s">
        <v>353</v>
      </c>
    </row>
    <row r="76" spans="2:6" ht="15" customHeight="1">
      <c r="B76" s="259" t="s">
        <v>323</v>
      </c>
      <c r="C76" s="260"/>
      <c r="D76" s="290">
        <f>IF(D74&lt;=3,1,IF(D74&gt;18,6,2))*2</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461310</v>
      </c>
      <c r="D80" s="76">
        <f>G19*H19</f>
        <v>46131</v>
      </c>
      <c r="F80" s="253"/>
    </row>
    <row r="81" spans="2:8" ht="15" customHeight="1">
      <c r="B81" s="105" t="s">
        <v>181</v>
      </c>
      <c r="C81" s="20">
        <f>G9+G21</f>
        <v>64486</v>
      </c>
      <c r="D81" s="76">
        <f>G9*H9+G21*H21</f>
        <v>6448.6</v>
      </c>
      <c r="F81" s="253"/>
    </row>
    <row r="82" spans="2:8" ht="15" customHeight="1">
      <c r="B82" s="80" t="s">
        <v>190</v>
      </c>
      <c r="C82" s="81">
        <f>SUM(C79:C81)</f>
        <v>525796</v>
      </c>
      <c r="D82" s="81">
        <f>SUM(D79:D81)</f>
        <v>52579.6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-2301278.2197876796</v>
      </c>
      <c r="D86" s="223">
        <f>C86*scaling_factor/Common_Shares</f>
        <v>-0.49919267240513659</v>
      </c>
      <c r="E86" s="240" t="str">
        <f>Market_currency</f>
        <v>HKD</v>
      </c>
    </row>
    <row r="87" spans="2:8" ht="15" customHeight="1">
      <c r="B87" s="238" t="s">
        <v>288</v>
      </c>
      <c r="C87" s="76">
        <f>DCF!C8*Exchange_Rate</f>
        <v>8541383.6746073347</v>
      </c>
      <c r="D87" s="223">
        <f>C87*scaling_factor/Common_Shares</f>
        <v>1.8527947233421551</v>
      </c>
      <c r="E87" s="240" t="str">
        <f>Market_currency</f>
        <v>HKD</v>
      </c>
    </row>
    <row r="88" spans="2:8" ht="15" customHeight="1">
      <c r="B88" s="239" t="s">
        <v>190</v>
      </c>
      <c r="C88" s="76">
        <f>DCF!C9*Exchange_Rate</f>
        <v>57099.201502671989</v>
      </c>
      <c r="D88" s="223">
        <f>C88*scaling_factor/Common_Shares</f>
        <v>1.2385943926826895E-2</v>
      </c>
      <c r="E88" s="240" t="str">
        <f>Market_currency</f>
        <v>HKD</v>
      </c>
    </row>
    <row r="89" spans="2:8" ht="15" customHeight="1">
      <c r="B89" s="80" t="s">
        <v>292</v>
      </c>
      <c r="C89" s="180">
        <f>SUM(C86:C88)</f>
        <v>6297204.6563223274</v>
      </c>
      <c r="D89" s="242">
        <f>SUM(D86:D88)</f>
        <v>1.3659879948638454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G4</f>
        <v>11946459</v>
      </c>
      <c r="D4" s="57"/>
      <c r="E4" s="266"/>
      <c r="F4" s="57"/>
      <c r="G4" s="339">
        <f>Data!C36</f>
        <v>11946459</v>
      </c>
      <c r="H4" s="339">
        <f>Data!D36</f>
        <v>12989832</v>
      </c>
      <c r="I4" s="339">
        <f>Data!E36</f>
        <v>14279054</v>
      </c>
      <c r="J4" s="339">
        <f>Data!F36</f>
        <v>13398008</v>
      </c>
      <c r="K4" s="339">
        <f>Data!G36</f>
        <v>10417493</v>
      </c>
      <c r="L4" s="339">
        <f>Data!H36</f>
        <v>10858435</v>
      </c>
      <c r="M4" s="339">
        <f>Data!I36</f>
        <v>11259591</v>
      </c>
      <c r="N4" s="339">
        <f>Data!J36</f>
        <v>9799678</v>
      </c>
      <c r="O4" s="339">
        <f>Data!K36</f>
        <v>8503792</v>
      </c>
      <c r="P4" s="339">
        <f>Data!L36</f>
        <v>10671841</v>
      </c>
      <c r="Q4" s="339" t="str">
        <f>Data!M36</f>
        <v/>
      </c>
    </row>
    <row r="5" spans="1:17" ht="15.75" customHeight="1">
      <c r="A5" s="10"/>
      <c r="B5" s="2" t="s">
        <v>46</v>
      </c>
      <c r="C5" s="334">
        <f>C25</f>
        <v>-10341304.899857813</v>
      </c>
      <c r="E5" s="268"/>
      <c r="G5" s="339">
        <f t="shared" ref="G5:Q5" si="1">G25</f>
        <v>-10333174</v>
      </c>
      <c r="H5" s="339">
        <f t="shared" si="1"/>
        <v>-11043601</v>
      </c>
      <c r="I5" s="339">
        <f t="shared" si="1"/>
        <v>-11856250</v>
      </c>
      <c r="J5" s="339">
        <f t="shared" si="1"/>
        <v>-10580106</v>
      </c>
      <c r="K5" s="339">
        <f t="shared" si="1"/>
        <v>-9266891</v>
      </c>
      <c r="L5" s="339">
        <f t="shared" si="1"/>
        <v>-9377997</v>
      </c>
      <c r="M5" s="339">
        <f t="shared" si="1"/>
        <v>-8919747</v>
      </c>
      <c r="N5" s="339">
        <f t="shared" si="1"/>
        <v>-8500331</v>
      </c>
      <c r="O5" s="339">
        <f t="shared" si="1"/>
        <v>-8548782</v>
      </c>
      <c r="P5" s="339">
        <f t="shared" si="1"/>
        <v>-9335302</v>
      </c>
      <c r="Q5" s="339" t="str">
        <f t="shared" si="1"/>
        <v/>
      </c>
    </row>
    <row r="6" spans="1:17" ht="15.75" customHeight="1">
      <c r="A6" s="10"/>
      <c r="B6" s="31" t="s">
        <v>48</v>
      </c>
      <c r="C6" s="335">
        <f>C4+C5</f>
        <v>1605154.1001421865</v>
      </c>
      <c r="E6" s="268"/>
      <c r="G6" s="335">
        <f>IF(G4="","",G4+G5)</f>
        <v>1613285</v>
      </c>
      <c r="H6" s="335">
        <f t="shared" ref="H6:Q6" si="2">IF(H4="","",H4+H5)</f>
        <v>1946231</v>
      </c>
      <c r="I6" s="335">
        <f t="shared" si="2"/>
        <v>2422804</v>
      </c>
      <c r="J6" s="335">
        <f t="shared" si="2"/>
        <v>2817902</v>
      </c>
      <c r="K6" s="335">
        <f t="shared" si="2"/>
        <v>1150602</v>
      </c>
      <c r="L6" s="335">
        <f t="shared" si="2"/>
        <v>1480438</v>
      </c>
      <c r="M6" s="335">
        <f t="shared" si="2"/>
        <v>2339844</v>
      </c>
      <c r="N6" s="335">
        <f t="shared" si="2"/>
        <v>1299347</v>
      </c>
      <c r="O6" s="335">
        <f t="shared" si="2"/>
        <v>-44990</v>
      </c>
      <c r="P6" s="335">
        <f t="shared" si="2"/>
        <v>1336539</v>
      </c>
      <c r="Q6" s="335" t="str">
        <f t="shared" si="2"/>
        <v/>
      </c>
    </row>
    <row r="7" spans="1:17" ht="15.75" customHeight="1">
      <c r="A7" s="10"/>
      <c r="B7" s="8" t="s">
        <v>45</v>
      </c>
      <c r="C7" s="334">
        <f>C35</f>
        <v>-676714.25</v>
      </c>
      <c r="E7" s="268"/>
      <c r="G7" s="334">
        <f t="shared" ref="G7:Q7" si="3">G35</f>
        <v>-646978</v>
      </c>
      <c r="H7" s="334">
        <f t="shared" si="3"/>
        <v>-630459</v>
      </c>
      <c r="I7" s="334">
        <f t="shared" si="3"/>
        <v>-524671</v>
      </c>
      <c r="J7" s="334">
        <f t="shared" si="3"/>
        <v>-904749</v>
      </c>
      <c r="K7" s="334">
        <f t="shared" si="3"/>
        <v>-406669</v>
      </c>
      <c r="L7" s="334">
        <f t="shared" si="3"/>
        <v>-466799</v>
      </c>
      <c r="M7" s="334">
        <f t="shared" si="3"/>
        <v>-313914</v>
      </c>
      <c r="N7" s="334">
        <f t="shared" si="3"/>
        <v>-466455</v>
      </c>
      <c r="O7" s="334">
        <f t="shared" si="3"/>
        <v>-462384</v>
      </c>
      <c r="P7" s="334">
        <f t="shared" si="3"/>
        <v>-432640</v>
      </c>
      <c r="Q7" s="334" t="str">
        <f t="shared" si="3"/>
        <v/>
      </c>
    </row>
    <row r="8" spans="1:17" ht="15.75" customHeight="1">
      <c r="A8" s="10"/>
      <c r="B8" s="29" t="s">
        <v>153</v>
      </c>
      <c r="C8" s="336">
        <f>C6+C7</f>
        <v>928439.85014218651</v>
      </c>
      <c r="D8" s="59"/>
      <c r="E8" s="274"/>
      <c r="F8" s="59"/>
      <c r="G8" s="335">
        <f>IF(G$4="","",G6+G7)</f>
        <v>966307</v>
      </c>
      <c r="H8" s="335">
        <f t="shared" ref="H8:Q8" si="4">IF(H$4="","",H6+H7)</f>
        <v>1315772</v>
      </c>
      <c r="I8" s="335">
        <f t="shared" si="4"/>
        <v>1898133</v>
      </c>
      <c r="J8" s="335">
        <f t="shared" si="4"/>
        <v>1913153</v>
      </c>
      <c r="K8" s="335">
        <f t="shared" si="4"/>
        <v>743933</v>
      </c>
      <c r="L8" s="335">
        <f t="shared" si="4"/>
        <v>1013639</v>
      </c>
      <c r="M8" s="335">
        <f t="shared" si="4"/>
        <v>2025930</v>
      </c>
      <c r="N8" s="335">
        <f t="shared" si="4"/>
        <v>832892</v>
      </c>
      <c r="O8" s="335">
        <f t="shared" si="4"/>
        <v>-507374</v>
      </c>
      <c r="P8" s="335">
        <f t="shared" si="4"/>
        <v>903899</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4636.0957492890666</v>
      </c>
      <c r="E12" s="268"/>
      <c r="G12" s="334">
        <f>G50</f>
        <v>62139.423404708286</v>
      </c>
      <c r="H12" s="334">
        <f t="shared" ref="H12:Q12" si="6">H50</f>
        <v>82958.832094977464</v>
      </c>
      <c r="I12" s="334">
        <f t="shared" si="6"/>
        <v>73638.219018790798</v>
      </c>
      <c r="J12" s="334">
        <f t="shared" si="6"/>
        <v>71417.648029856486</v>
      </c>
      <c r="K12" s="334">
        <f t="shared" si="6"/>
        <v>0</v>
      </c>
      <c r="L12" s="334">
        <f t="shared" si="6"/>
        <v>0</v>
      </c>
      <c r="M12" s="334">
        <f t="shared" si="6"/>
        <v>0</v>
      </c>
      <c r="N12" s="334">
        <f t="shared" si="6"/>
        <v>0</v>
      </c>
      <c r="O12" s="334">
        <f t="shared" si="6"/>
        <v>0</v>
      </c>
      <c r="P12" s="334">
        <f t="shared" si="6"/>
        <v>0</v>
      </c>
      <c r="Q12" s="334" t="str">
        <f t="shared" si="6"/>
        <v/>
      </c>
    </row>
    <row r="13" spans="1:17" ht="15.75" customHeight="1">
      <c r="A13" s="10"/>
      <c r="B13" s="70" t="s">
        <v>165</v>
      </c>
      <c r="C13" s="335">
        <f>SUM(C8:C12)</f>
        <v>933075.94589147554</v>
      </c>
      <c r="E13" s="268"/>
      <c r="G13" s="335">
        <f>IF(G$4="","",SUM(G8:G12))</f>
        <v>1028446.4234047083</v>
      </c>
      <c r="H13" s="335">
        <f t="shared" ref="H13:Q13" si="7">IF(H$4="","",SUM(H8:H12))</f>
        <v>1398730.8320949774</v>
      </c>
      <c r="I13" s="335">
        <f t="shared" si="7"/>
        <v>1971771.2190187909</v>
      </c>
      <c r="J13" s="335">
        <f t="shared" si="7"/>
        <v>1984570.6480298564</v>
      </c>
      <c r="K13" s="335">
        <f t="shared" si="7"/>
        <v>743933</v>
      </c>
      <c r="L13" s="335">
        <f t="shared" si="7"/>
        <v>1013639</v>
      </c>
      <c r="M13" s="335">
        <f t="shared" si="7"/>
        <v>2025930</v>
      </c>
      <c r="N13" s="335">
        <f t="shared" si="7"/>
        <v>832892</v>
      </c>
      <c r="O13" s="335">
        <f t="shared" si="7"/>
        <v>-507374</v>
      </c>
      <c r="P13" s="335">
        <f t="shared" si="7"/>
        <v>903899</v>
      </c>
      <c r="Q13" s="335" t="str">
        <f t="shared" si="7"/>
        <v/>
      </c>
    </row>
    <row r="14" spans="1:17" ht="15.75" customHeight="1">
      <c r="A14" s="10"/>
      <c r="B14" s="2" t="s">
        <v>63</v>
      </c>
      <c r="C14" s="334">
        <f>-SUM(C8+C11,C12)*C43</f>
        <v>-233268.98647286888</v>
      </c>
      <c r="E14" s="268"/>
      <c r="G14" s="334">
        <f>Data!C46</f>
        <v>-316092</v>
      </c>
      <c r="H14" s="334">
        <f>Data!D46</f>
        <v>-289887</v>
      </c>
      <c r="I14" s="334">
        <f>Data!E46</f>
        <v>-472037</v>
      </c>
      <c r="J14" s="334">
        <f>Data!F46</f>
        <v>-1000171</v>
      </c>
      <c r="K14" s="334">
        <f>Data!G46</f>
        <v>-274458</v>
      </c>
      <c r="L14" s="334">
        <f>Data!H46</f>
        <v>-624095</v>
      </c>
      <c r="M14" s="334">
        <f>Data!I46</f>
        <v>-611891</v>
      </c>
      <c r="N14" s="334">
        <f>Data!J46</f>
        <v>-382557</v>
      </c>
      <c r="O14" s="334">
        <f>Data!K46</f>
        <v>92900</v>
      </c>
      <c r="P14" s="334">
        <f>Data!L46</f>
        <v>-288050</v>
      </c>
      <c r="Q14" s="334" t="str">
        <f>Data!M46</f>
        <v/>
      </c>
    </row>
    <row r="15" spans="1:17" ht="15.75" customHeight="1">
      <c r="A15" s="10"/>
      <c r="B15" s="40" t="s">
        <v>244</v>
      </c>
      <c r="C15" s="334">
        <f>-C4*C83</f>
        <v>-130645.02443131036</v>
      </c>
      <c r="D15" s="60"/>
      <c r="E15" s="275"/>
      <c r="F15" s="60"/>
      <c r="G15" s="339">
        <f>Data!C48</f>
        <v>-79856</v>
      </c>
      <c r="H15" s="339">
        <f>Data!D48</f>
        <v>0</v>
      </c>
      <c r="I15" s="339">
        <f>Data!E48</f>
        <v>-156154</v>
      </c>
      <c r="J15" s="339">
        <f>Data!F48</f>
        <v>-143837</v>
      </c>
      <c r="K15" s="339">
        <f>Data!G48</f>
        <v>-33672</v>
      </c>
      <c r="L15" s="339">
        <f>Data!H48</f>
        <v>-51771</v>
      </c>
      <c r="M15" s="339">
        <f>Data!I48</f>
        <v>-149400</v>
      </c>
      <c r="N15" s="339">
        <f>Data!J48</f>
        <v>-57280</v>
      </c>
      <c r="O15" s="339">
        <f>Data!K48</f>
        <v>0</v>
      </c>
      <c r="P15" s="339">
        <f>Data!L48</f>
        <v>-13384</v>
      </c>
      <c r="Q15" s="339" t="str">
        <f>Data!M48</f>
        <v/>
      </c>
    </row>
    <row r="16" spans="1:17" ht="15.75" customHeight="1">
      <c r="A16" s="10"/>
      <c r="B16" s="41" t="s">
        <v>155</v>
      </c>
      <c r="C16" s="338">
        <f>SUM(C13:C15)</f>
        <v>569161.93498729635</v>
      </c>
      <c r="D16" s="61"/>
      <c r="E16" s="276"/>
      <c r="F16" s="61"/>
      <c r="G16" s="335">
        <f>IF(G$4="","",SUM(G13:G15))</f>
        <v>632498.42340470827</v>
      </c>
      <c r="H16" s="335">
        <f t="shared" ref="H16:Q16" si="8">IF(H$4="","",SUM(H13:H15))</f>
        <v>1108843.8320949774</v>
      </c>
      <c r="I16" s="335">
        <f t="shared" si="8"/>
        <v>1343580.2190187909</v>
      </c>
      <c r="J16" s="335">
        <f t="shared" si="8"/>
        <v>840562.64802985638</v>
      </c>
      <c r="K16" s="335">
        <f t="shared" si="8"/>
        <v>435803</v>
      </c>
      <c r="L16" s="335">
        <f t="shared" si="8"/>
        <v>337773</v>
      </c>
      <c r="M16" s="335">
        <f t="shared" si="8"/>
        <v>1264639</v>
      </c>
      <c r="N16" s="335">
        <f t="shared" si="8"/>
        <v>393055</v>
      </c>
      <c r="O16" s="335">
        <f t="shared" si="8"/>
        <v>-414474</v>
      </c>
      <c r="P16" s="335">
        <f t="shared" si="8"/>
        <v>602465</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569161.93498729635</v>
      </c>
      <c r="D19" s="27"/>
      <c r="E19" s="265"/>
      <c r="F19" s="27"/>
      <c r="G19" s="340">
        <f>IF(G$4="","",G16+G17)</f>
        <v>632498.42340470827</v>
      </c>
      <c r="H19" s="340">
        <f t="shared" ref="H19:Q19" si="9">IF(H$4="","",H16+H17)</f>
        <v>1108843.8320949774</v>
      </c>
      <c r="I19" s="340">
        <f t="shared" si="9"/>
        <v>1343580.2190187909</v>
      </c>
      <c r="J19" s="340">
        <f t="shared" si="9"/>
        <v>840562.64802985638</v>
      </c>
      <c r="K19" s="340">
        <f t="shared" si="9"/>
        <v>435803</v>
      </c>
      <c r="L19" s="340">
        <f t="shared" si="9"/>
        <v>337773</v>
      </c>
      <c r="M19" s="340">
        <f t="shared" si="9"/>
        <v>1264639</v>
      </c>
      <c r="N19" s="340">
        <f t="shared" si="9"/>
        <v>393055</v>
      </c>
      <c r="O19" s="340">
        <f t="shared" si="9"/>
        <v>-414474</v>
      </c>
      <c r="P19" s="340">
        <f t="shared" si="9"/>
        <v>602465</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-10241839</v>
      </c>
      <c r="D23" s="58"/>
      <c r="E23" s="267"/>
      <c r="F23" s="58"/>
      <c r="G23" s="339">
        <f>Data!C37</f>
        <v>-10241839</v>
      </c>
      <c r="H23" s="339">
        <f>Data!D37</f>
        <v>-10928762</v>
      </c>
      <c r="I23" s="339">
        <f>Data!E37</f>
        <v>-11742407</v>
      </c>
      <c r="J23" s="339">
        <f>Data!F37</f>
        <v>-10461599</v>
      </c>
      <c r="K23" s="339">
        <f>Data!G37</f>
        <v>-8825812</v>
      </c>
      <c r="L23" s="339">
        <f>Data!H37</f>
        <v>-8937079</v>
      </c>
      <c r="M23" s="339">
        <f>Data!I37</f>
        <v>-8501281</v>
      </c>
      <c r="N23" s="339">
        <f>Data!J37</f>
        <v>-8114588</v>
      </c>
      <c r="O23" s="339">
        <f>Data!K37</f>
        <v>-8204309</v>
      </c>
      <c r="P23" s="339">
        <f>Data!L37</f>
        <v>-8925894</v>
      </c>
      <c r="Q23" s="339" t="str">
        <f>Data!M37</f>
        <v/>
      </c>
    </row>
    <row r="24" spans="1:17" ht="15.75" customHeight="1">
      <c r="A24" s="10"/>
      <c r="B24" s="68" t="s">
        <v>62</v>
      </c>
      <c r="C24" s="334">
        <f>-C4*C29</f>
        <v>-99465.899857813085</v>
      </c>
      <c r="D24" s="27"/>
      <c r="E24" s="265"/>
      <c r="F24" s="27"/>
      <c r="G24" s="339">
        <f>Data!C40</f>
        <v>-91335</v>
      </c>
      <c r="H24" s="339">
        <f>Data!D40</f>
        <v>-114839</v>
      </c>
      <c r="I24" s="339">
        <f>Data!E40</f>
        <v>-113843</v>
      </c>
      <c r="J24" s="339">
        <f>Data!F40</f>
        <v>-118507</v>
      </c>
      <c r="K24" s="339">
        <f>Data!G40</f>
        <v>-441079</v>
      </c>
      <c r="L24" s="339">
        <f>Data!H40</f>
        <v>-440918</v>
      </c>
      <c r="M24" s="339">
        <f>Data!I40</f>
        <v>-418466</v>
      </c>
      <c r="N24" s="339">
        <f>Data!J40</f>
        <v>-385743</v>
      </c>
      <c r="O24" s="339">
        <f>Data!K40</f>
        <v>-344473</v>
      </c>
      <c r="P24" s="339">
        <f>Data!L40</f>
        <v>-409408</v>
      </c>
      <c r="Q24" s="339" t="str">
        <f>Data!M40</f>
        <v/>
      </c>
    </row>
    <row r="25" spans="1:17" ht="15.75" customHeight="1">
      <c r="A25" s="10"/>
      <c r="B25" s="70" t="s">
        <v>46</v>
      </c>
      <c r="C25" s="335">
        <f>C23+C24</f>
        <v>-10341304.899857813</v>
      </c>
      <c r="D25" s="9"/>
      <c r="E25" s="273"/>
      <c r="F25" s="9"/>
      <c r="G25" s="335">
        <f t="shared" ref="G25:Q25" si="10">IF(G$4="","",G23+G24)</f>
        <v>-10333174</v>
      </c>
      <c r="H25" s="335">
        <f t="shared" si="10"/>
        <v>-11043601</v>
      </c>
      <c r="I25" s="335">
        <f t="shared" si="10"/>
        <v>-11856250</v>
      </c>
      <c r="J25" s="335">
        <f t="shared" si="10"/>
        <v>-10580106</v>
      </c>
      <c r="K25" s="335">
        <f t="shared" si="10"/>
        <v>-9266891</v>
      </c>
      <c r="L25" s="335">
        <f t="shared" si="10"/>
        <v>-9377997</v>
      </c>
      <c r="M25" s="335">
        <f t="shared" si="10"/>
        <v>-8919747</v>
      </c>
      <c r="N25" s="335">
        <f t="shared" si="10"/>
        <v>-8500331</v>
      </c>
      <c r="O25" s="335">
        <f t="shared" si="10"/>
        <v>-8548782</v>
      </c>
      <c r="P25" s="335">
        <f t="shared" si="10"/>
        <v>-9335302</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0.85731169378306993</v>
      </c>
      <c r="D28" s="26"/>
      <c r="E28" s="266"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-676714.25</v>
      </c>
      <c r="E33" s="266" t="s">
        <v>334</v>
      </c>
      <c r="G33" s="334">
        <f>Data!C41</f>
        <v>-646978</v>
      </c>
      <c r="H33" s="334">
        <f>Data!D41</f>
        <v>-630459</v>
      </c>
      <c r="I33" s="334">
        <f>Data!E41</f>
        <v>-524671</v>
      </c>
      <c r="J33" s="334">
        <f>Data!F41</f>
        <v>-904749</v>
      </c>
      <c r="K33" s="334">
        <f>Data!G41</f>
        <v>-406669</v>
      </c>
      <c r="L33" s="334">
        <f>Data!H41</f>
        <v>-466799</v>
      </c>
      <c r="M33" s="334">
        <f>Data!I41</f>
        <v>-313914</v>
      </c>
      <c r="N33" s="334">
        <f>Data!J41</f>
        <v>-466455</v>
      </c>
      <c r="O33" s="334">
        <f>Data!K41</f>
        <v>-462384</v>
      </c>
      <c r="P33" s="334">
        <f>Data!L41</f>
        <v>-432640</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-676714.25</v>
      </c>
      <c r="D35" s="58"/>
      <c r="E35" s="267"/>
      <c r="F35" s="58"/>
      <c r="G35" s="335">
        <f t="shared" ref="G35:Q35" si="14">IF(G4="","",G33+G34)</f>
        <v>-646978</v>
      </c>
      <c r="H35" s="335">
        <f t="shared" si="14"/>
        <v>-630459</v>
      </c>
      <c r="I35" s="335">
        <f t="shared" si="14"/>
        <v>-524671</v>
      </c>
      <c r="J35" s="335">
        <f t="shared" si="14"/>
        <v>-904749</v>
      </c>
      <c r="K35" s="335">
        <f t="shared" si="14"/>
        <v>-406669</v>
      </c>
      <c r="L35" s="335">
        <f t="shared" si="14"/>
        <v>-466799</v>
      </c>
      <c r="M35" s="335">
        <f t="shared" si="14"/>
        <v>-313914</v>
      </c>
      <c r="N35" s="335">
        <f t="shared" si="14"/>
        <v>-466455</v>
      </c>
      <c r="O35" s="335">
        <f t="shared" si="14"/>
        <v>-462384</v>
      </c>
      <c r="P35" s="335">
        <f t="shared" si="14"/>
        <v>-432640</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-52759</v>
      </c>
      <c r="E47" s="268"/>
      <c r="G47" s="334">
        <f>Data!C51</f>
        <v>-52759</v>
      </c>
      <c r="H47" s="334">
        <f>Data!D51</f>
        <v>-34185</v>
      </c>
      <c r="I47" s="334">
        <f>Data!E51</f>
        <v>-29394</v>
      </c>
      <c r="J47" s="334">
        <f>Data!F51</f>
        <v>-50559</v>
      </c>
      <c r="K47" s="334">
        <f>Data!G51</f>
        <v>0</v>
      </c>
      <c r="L47" s="334">
        <f>Data!H51</f>
        <v>0</v>
      </c>
      <c r="M47" s="334">
        <f>Data!I51</f>
        <v>0</v>
      </c>
      <c r="N47" s="334">
        <f>Data!J51</f>
        <v>0</v>
      </c>
      <c r="O47" s="334">
        <f>Data!K51</f>
        <v>0</v>
      </c>
      <c r="P47" s="334">
        <f>Data!L51</f>
        <v>0</v>
      </c>
      <c r="Q47" s="334" t="str">
        <f>Data!M51</f>
        <v/>
      </c>
    </row>
    <row r="48" spans="1:17" ht="15.75" customHeight="1">
      <c r="A48" s="10"/>
      <c r="B48" s="2" t="s">
        <v>346</v>
      </c>
      <c r="C48" s="334">
        <f>BS!D75*C53</f>
        <v>57395.095749289067</v>
      </c>
      <c r="E48" s="268"/>
      <c r="G48" s="343">
        <f>IFERROR(IF(G$4="","",($C$48/$C$49)*G49),0)</f>
        <v>114898.42340470829</v>
      </c>
      <c r="H48" s="343">
        <f t="shared" ref="H48:Q48" si="19">IFERROR(IF(H$4="","",($C$48/$C$49)*H49),0)</f>
        <v>117143.83209497746</v>
      </c>
      <c r="I48" s="343">
        <f t="shared" si="19"/>
        <v>103032.2190187908</v>
      </c>
      <c r="J48" s="343">
        <f t="shared" si="19"/>
        <v>121976.64802985649</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175374.64499999999</v>
      </c>
      <c r="D49" s="288"/>
      <c r="E49" s="289"/>
      <c r="F49" s="288"/>
      <c r="G49" s="348">
        <f>Data!C52</f>
        <v>351080</v>
      </c>
      <c r="H49" s="348">
        <f>Data!D52</f>
        <v>357941</v>
      </c>
      <c r="I49" s="348">
        <f>Data!E52</f>
        <v>314822</v>
      </c>
      <c r="J49" s="348">
        <f>Data!F52</f>
        <v>372708</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4636.0957492890666</v>
      </c>
      <c r="E50" s="268"/>
      <c r="G50" s="335">
        <f>IF(G$4="","",(G47+G48))</f>
        <v>62139.423404708286</v>
      </c>
      <c r="H50" s="335">
        <f t="shared" ref="H50:Q50" si="20">IF(H$4="","",(H47+H48))</f>
        <v>82958.832094977464</v>
      </c>
      <c r="I50" s="335">
        <f t="shared" si="20"/>
        <v>73638.219018790798</v>
      </c>
      <c r="J50" s="335">
        <f t="shared" si="20"/>
        <v>71417.648029856486</v>
      </c>
      <c r="K50" s="335">
        <f t="shared" si="20"/>
        <v>0</v>
      </c>
      <c r="L50" s="335">
        <f t="shared" si="20"/>
        <v>0</v>
      </c>
      <c r="M50" s="335">
        <f t="shared" si="20"/>
        <v>0</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3.0028286015917522E-2</v>
      </c>
      <c r="H53" s="169"/>
      <c r="I53" s="169"/>
      <c r="J53" s="169"/>
      <c r="K53" s="169"/>
      <c r="L53" s="169"/>
      <c r="M53" s="169"/>
      <c r="N53" s="169"/>
      <c r="O53" s="169"/>
      <c r="P53" s="169"/>
      <c r="Q53" s="169"/>
    </row>
    <row r="54" spans="1:17" ht="15.75" customHeight="1">
      <c r="A54" s="10"/>
      <c r="B54" s="8" t="s">
        <v>88</v>
      </c>
      <c r="C54" s="82">
        <f>G54</f>
        <v>2.4896608221132883E-2</v>
      </c>
      <c r="E54" s="265" t="s">
        <v>337</v>
      </c>
      <c r="G54" s="23">
        <f>IFERROR(ABS(Normalized_FCF!G47/BS!$G$31),0)</f>
        <v>2.4896608221132883E-2</v>
      </c>
      <c r="H54" s="169"/>
      <c r="I54" s="169"/>
      <c r="J54" s="169"/>
      <c r="K54" s="169"/>
      <c r="L54" s="169"/>
      <c r="M54" s="169"/>
      <c r="N54" s="169"/>
      <c r="O54" s="169"/>
      <c r="P54" s="169"/>
      <c r="Q54" s="169"/>
    </row>
    <row r="55" spans="1:17" ht="15.75" customHeight="1">
      <c r="A55" s="10"/>
      <c r="B55" s="26" t="s">
        <v>91</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202593</v>
      </c>
      <c r="H62" s="334">
        <f>Data!D58</f>
        <v>1024457</v>
      </c>
      <c r="I62" s="334">
        <f>Data!E58</f>
        <v>87208</v>
      </c>
      <c r="J62" s="334">
        <f>Data!F58</f>
        <v>406304</v>
      </c>
      <c r="K62" s="334">
        <f>Data!G58</f>
        <v>309682</v>
      </c>
      <c r="L62" s="334">
        <f>Data!H58</f>
        <v>365444</v>
      </c>
      <c r="M62" s="334">
        <f>Data!I58</f>
        <v>114251</v>
      </c>
      <c r="N62" s="334">
        <f>Data!J58</f>
        <v>-342823</v>
      </c>
      <c r="O62" s="334">
        <f>Data!K58</f>
        <v>177804</v>
      </c>
      <c r="P62" s="334">
        <f>Data!L58</f>
        <v>227192</v>
      </c>
      <c r="Q62" s="334" t="str">
        <f>Data!M58</f>
        <v/>
      </c>
    </row>
    <row r="63" spans="1:17" ht="15.75" customHeight="1">
      <c r="A63" s="10"/>
      <c r="B63" s="31" t="s">
        <v>196</v>
      </c>
      <c r="C63" s="335">
        <f>C61+C62</f>
        <v>0</v>
      </c>
      <c r="E63" s="268"/>
      <c r="G63" s="335">
        <f t="shared" ref="G63:Q63" si="23">IF(G4="","",G61+G62)</f>
        <v>202593</v>
      </c>
      <c r="H63" s="335">
        <f t="shared" si="23"/>
        <v>1024457</v>
      </c>
      <c r="I63" s="335">
        <f t="shared" si="23"/>
        <v>87208</v>
      </c>
      <c r="J63" s="335">
        <f t="shared" si="23"/>
        <v>406304</v>
      </c>
      <c r="K63" s="335">
        <f t="shared" si="23"/>
        <v>309682</v>
      </c>
      <c r="L63" s="335">
        <f t="shared" si="23"/>
        <v>365444</v>
      </c>
      <c r="M63" s="335">
        <f t="shared" si="23"/>
        <v>114251</v>
      </c>
      <c r="N63" s="335">
        <f t="shared" si="23"/>
        <v>-342823</v>
      </c>
      <c r="O63" s="335">
        <f t="shared" si="23"/>
        <v>177804</v>
      </c>
      <c r="P63" s="335">
        <f t="shared" si="23"/>
        <v>227192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v>0.1</v>
      </c>
      <c r="E90" s="268"/>
      <c r="G90" s="112">
        <f>Data!C65</f>
        <v>0.13118364425599999</v>
      </c>
      <c r="H90" s="112">
        <f>Data!D65</f>
        <v>0.22479316523999995</v>
      </c>
      <c r="I90" s="112">
        <f>Data!E65</f>
        <v>0.19330040295999998</v>
      </c>
      <c r="J90" s="112">
        <f>Data!F65</f>
        <v>0.16832338459999999</v>
      </c>
      <c r="K90" s="112">
        <f>Data!G65</f>
        <v>8.6876585599999986E-2</v>
      </c>
      <c r="L90" s="112">
        <f>Data!H65</f>
        <v>8.2532756319999984E-2</v>
      </c>
      <c r="M90" s="112">
        <f>Data!I65</f>
        <v>0.16289359799999997</v>
      </c>
      <c r="N90" s="112">
        <f>Data!J65</f>
        <v>5.4297865999999992E-3</v>
      </c>
      <c r="O90" s="112">
        <f>Data!K65</f>
        <v>5.4297866E-2</v>
      </c>
      <c r="P90" s="112">
        <f>Data!L65</f>
        <v>8.6876585599999986E-2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604756.60002015997</v>
      </c>
      <c r="H91" s="74">
        <f t="shared" si="37"/>
        <v>1036296.4917563997</v>
      </c>
      <c r="I91" s="74">
        <f t="shared" si="37"/>
        <v>891114.85764559987</v>
      </c>
      <c r="J91" s="74">
        <f t="shared" si="37"/>
        <v>775970.80300599989</v>
      </c>
      <c r="K91" s="74">
        <f t="shared" si="37"/>
        <v>400501.05961599993</v>
      </c>
      <c r="L91" s="74">
        <f t="shared" si="37"/>
        <v>380476.00663519988</v>
      </c>
      <c r="M91" s="74">
        <f t="shared" si="37"/>
        <v>750939.4867799998</v>
      </c>
      <c r="N91" s="74">
        <f t="shared" si="37"/>
        <v>25031.316225999995</v>
      </c>
      <c r="O91" s="74">
        <f t="shared" si="37"/>
        <v>250313.16225999998</v>
      </c>
      <c r="P91" s="74">
        <f t="shared" si="37"/>
        <v>400501.05961599993</v>
      </c>
      <c r="Q91" s="74" t="str">
        <f t="shared" si="37"/>
        <v/>
      </c>
    </row>
    <row r="92" spans="1:17" ht="15.75" customHeight="1">
      <c r="A92" s="10"/>
      <c r="B92" s="2" t="s">
        <v>214</v>
      </c>
      <c r="C92" s="23">
        <f>C90/(C19*scaling_factor/Common_Shares)</f>
        <v>0.80996280963569622</v>
      </c>
      <c r="E92" s="268"/>
      <c r="G92" s="170">
        <f t="shared" ref="G92:Q92" si="38">IF(G$4="","",G90/(G19*scaling_factor/Common_Shares))</f>
        <v>0.95613930033972983</v>
      </c>
      <c r="H92" s="170">
        <f t="shared" si="38"/>
        <v>0.93457388837027533</v>
      </c>
      <c r="I92" s="170">
        <f t="shared" si="38"/>
        <v>0.66323904224816288</v>
      </c>
      <c r="J92" s="170">
        <f t="shared" si="38"/>
        <v>0.92315641769801526</v>
      </c>
      <c r="K92" s="170">
        <f t="shared" si="38"/>
        <v>0.9189956462346518</v>
      </c>
      <c r="L92" s="170">
        <f t="shared" si="38"/>
        <v>1.1264251631575048</v>
      </c>
      <c r="M92" s="170">
        <f t="shared" si="38"/>
        <v>0.59379750804775111</v>
      </c>
      <c r="N92" s="170">
        <f t="shared" si="38"/>
        <v>6.3684004085942159E-2</v>
      </c>
      <c r="O92" s="170">
        <f t="shared" si="38"/>
        <v>-0.60392970912530097</v>
      </c>
      <c r="P92" s="170">
        <f t="shared" si="38"/>
        <v>0.66477066653830508</v>
      </c>
      <c r="Q92" s="170" t="str">
        <f t="shared" si="38"/>
        <v/>
      </c>
    </row>
    <row r="93" spans="1:17" ht="15.75" customHeight="1">
      <c r="A93" s="10"/>
      <c r="B93" s="2" t="s">
        <v>310</v>
      </c>
      <c r="C93" s="23">
        <f>C90/Market_Price</f>
        <v>4.9751243781094537E-2</v>
      </c>
      <c r="E93" s="268"/>
      <c r="G93" s="23">
        <f t="shared" ref="G93:Q93" si="39">IF(G$4="","",G90/Market_Price)</f>
        <v>6.5265494654726364E-2</v>
      </c>
      <c r="H93" s="23">
        <f t="shared" si="39"/>
        <v>0.11183739564179103</v>
      </c>
      <c r="I93" s="23">
        <f t="shared" si="39"/>
        <v>9.6169354706467661E-2</v>
      </c>
      <c r="J93" s="23">
        <f t="shared" si="39"/>
        <v>8.3742977412935321E-2</v>
      </c>
      <c r="K93" s="23">
        <f t="shared" si="39"/>
        <v>4.3222181890547259E-2</v>
      </c>
      <c r="L93" s="23">
        <f t="shared" si="39"/>
        <v>4.10610727960199E-2</v>
      </c>
      <c r="M93" s="23">
        <f t="shared" si="39"/>
        <v>8.104159104477611E-2</v>
      </c>
      <c r="N93" s="23">
        <f t="shared" si="39"/>
        <v>2.7013863681592037E-3</v>
      </c>
      <c r="O93" s="23">
        <f t="shared" si="39"/>
        <v>2.7013863681592042E-2</v>
      </c>
      <c r="P93" s="23">
        <f t="shared" si="39"/>
        <v>4.3222181890547259E-2</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24075995</v>
      </c>
      <c r="D101" s="26"/>
      <c r="E101" s="269"/>
      <c r="F101" s="26"/>
      <c r="G101" s="339">
        <f t="shared" ref="G101:Q101" si="42">IF(G$4="","",G105+G104)</f>
        <v>24075995</v>
      </c>
      <c r="H101" s="339">
        <f t="shared" si="42"/>
        <v>24317346</v>
      </c>
      <c r="I101" s="339">
        <f t="shared" si="42"/>
        <v>23497659</v>
      </c>
      <c r="J101" s="339">
        <f t="shared" si="42"/>
        <v>21431578</v>
      </c>
      <c r="K101" s="339">
        <f t="shared" si="42"/>
        <v>20747768</v>
      </c>
      <c r="L101" s="339">
        <f t="shared" si="42"/>
        <v>19419572</v>
      </c>
      <c r="M101" s="339">
        <f t="shared" si="42"/>
        <v>19949208</v>
      </c>
      <c r="N101" s="339">
        <f t="shared" si="42"/>
        <v>19248992</v>
      </c>
      <c r="O101" s="339">
        <f t="shared" si="42"/>
        <v>19666693</v>
      </c>
      <c r="P101" s="339">
        <f t="shared" si="42"/>
        <v>20211911</v>
      </c>
      <c r="Q101" s="339" t="str">
        <f t="shared" si="42"/>
        <v/>
      </c>
    </row>
    <row r="102" spans="1:17" ht="15.75" customHeight="1">
      <c r="A102" s="10"/>
      <c r="B102" s="93" t="s">
        <v>211</v>
      </c>
      <c r="C102" s="351">
        <f>BS!C4</f>
        <v>103970</v>
      </c>
      <c r="D102" s="89"/>
      <c r="E102" s="270"/>
      <c r="F102" s="89"/>
      <c r="G102" s="352">
        <f>IF(G$4="","",Data!D77)</f>
        <v>263657</v>
      </c>
      <c r="H102" s="352">
        <f>IF(H$4="","",Data!E77)</f>
        <v>421401</v>
      </c>
      <c r="I102" s="352">
        <f>IF(I$4="","",Data!F77)</f>
        <v>212262</v>
      </c>
      <c r="J102" s="352">
        <f>IF(J$4="","",Data!G77)</f>
        <v>635876</v>
      </c>
      <c r="K102" s="352">
        <f>IF(K$4="","",Data!H77)</f>
        <v>365962</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1124718</v>
      </c>
      <c r="D103" s="89"/>
      <c r="E103" s="270"/>
      <c r="F103" s="89"/>
      <c r="G103" s="352">
        <f>IF(G$4="","",Data!D78)</f>
        <v>974450</v>
      </c>
      <c r="H103" s="352">
        <f>IF(H$4="","",Data!E78)</f>
        <v>1189994</v>
      </c>
      <c r="I103" s="352">
        <f>IF(I$4="","",Data!F78)</f>
        <v>1231545</v>
      </c>
      <c r="J103" s="352">
        <f>IF(J$4="","",Data!G78)</f>
        <v>1001505</v>
      </c>
      <c r="K103" s="352">
        <f>IF(K$4="","",Data!H78)</f>
        <v>1110767</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4569034</v>
      </c>
      <c r="D104" s="26"/>
      <c r="E104" s="269"/>
      <c r="F104" s="26"/>
      <c r="G104" s="339">
        <f>Data!C79</f>
        <v>4569034</v>
      </c>
      <c r="H104" s="339">
        <f>Data!D79</f>
        <v>4910188</v>
      </c>
      <c r="I104" s="339">
        <f>Data!E79</f>
        <v>5721069</v>
      </c>
      <c r="J104" s="339">
        <f>Data!F79</f>
        <v>4516904</v>
      </c>
      <c r="K104" s="339">
        <f>Data!G79</f>
        <v>5119631</v>
      </c>
      <c r="L104" s="339">
        <f>Data!H79</f>
        <v>4302483</v>
      </c>
      <c r="M104" s="339">
        <f>Data!I79</f>
        <v>4821570</v>
      </c>
      <c r="N104" s="339">
        <f>Data!J79</f>
        <v>5001063</v>
      </c>
      <c r="O104" s="339">
        <f>Data!K79</f>
        <v>5352833</v>
      </c>
      <c r="P104" s="339">
        <f>Data!L79</f>
        <v>5330337</v>
      </c>
      <c r="Q104" s="339" t="str">
        <f>Data!M79</f>
        <v/>
      </c>
    </row>
    <row r="105" spans="1:17" ht="15.75" customHeight="1">
      <c r="A105" s="10"/>
      <c r="B105" s="26" t="s">
        <v>30</v>
      </c>
      <c r="C105" s="350">
        <f>BS!G27</f>
        <v>19506961</v>
      </c>
      <c r="D105" s="26"/>
      <c r="E105" s="269"/>
      <c r="F105" s="26"/>
      <c r="G105" s="339">
        <f>Data!C80</f>
        <v>19506961</v>
      </c>
      <c r="H105" s="339">
        <f>Data!D80</f>
        <v>19407158</v>
      </c>
      <c r="I105" s="339">
        <f>Data!E80</f>
        <v>17776590</v>
      </c>
      <c r="J105" s="339">
        <f>Data!F80</f>
        <v>16914674</v>
      </c>
      <c r="K105" s="339">
        <f>Data!G80</f>
        <v>15628137</v>
      </c>
      <c r="L105" s="339">
        <f>Data!H80</f>
        <v>15117089</v>
      </c>
      <c r="M105" s="339">
        <f>Data!I80</f>
        <v>15127638</v>
      </c>
      <c r="N105" s="339">
        <f>Data!J80</f>
        <v>14247929</v>
      </c>
      <c r="O105" s="339">
        <f>Data!K80</f>
        <v>14313860</v>
      </c>
      <c r="P105" s="339">
        <f>Data!L80</f>
        <v>14881574</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393</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0.13407496086004742</v>
      </c>
      <c r="D124" s="27"/>
      <c r="E124" s="265"/>
      <c r="F124" s="27"/>
      <c r="G124" s="177">
        <f t="shared" ref="G124:Q124" si="49">IF(G$4="","",G16*$C$3/Common_Shares*Exchange_Rate)</f>
        <v>0.14899485743705035</v>
      </c>
      <c r="H124" s="177">
        <f t="shared" si="49"/>
        <v>0.26120543952286152</v>
      </c>
      <c r="I124" s="177">
        <f t="shared" si="49"/>
        <v>0.31650125246218203</v>
      </c>
      <c r="J124" s="177">
        <f t="shared" si="49"/>
        <v>0.19800762701661739</v>
      </c>
      <c r="K124" s="177">
        <f t="shared" si="49"/>
        <v>0.10266018610150975</v>
      </c>
      <c r="L124" s="177">
        <f t="shared" si="49"/>
        <v>7.95676923749154E-2</v>
      </c>
      <c r="M124" s="177">
        <f t="shared" si="49"/>
        <v>0.29790541848318436</v>
      </c>
      <c r="N124" s="177">
        <f t="shared" si="49"/>
        <v>9.2590228722906717E-2</v>
      </c>
      <c r="O124" s="177">
        <f t="shared" si="49"/>
        <v>-9.763580786327114E-2</v>
      </c>
      <c r="P124" s="177">
        <f t="shared" si="49"/>
        <v>0.14192001665809109</v>
      </c>
      <c r="Q124" s="177" t="str">
        <f t="shared" si="49"/>
        <v/>
      </c>
    </row>
    <row r="125" spans="1:17" ht="15.75" customHeight="1">
      <c r="A125" s="10"/>
      <c r="B125" s="27" t="s">
        <v>270</v>
      </c>
      <c r="C125" s="77">
        <f>C19*Exchange_Rate*$C$3/(Market_Price*Common_Shares)</f>
        <v>6.6703960626889269E-2</v>
      </c>
      <c r="D125" s="27"/>
      <c r="E125" s="265"/>
      <c r="F125" s="27"/>
      <c r="G125" s="77">
        <f t="shared" ref="G125" si="50">IF(G$4="","",G124/Market_Price)</f>
        <v>7.4126794744801175E-2</v>
      </c>
      <c r="H125" s="77">
        <f t="shared" ref="H125" si="51">IF(H$4="","",H124/Market_Price)</f>
        <v>0.12995295498649828</v>
      </c>
      <c r="I125" s="77">
        <f t="shared" ref="I125" si="52">IF(I$4="","",I124/Market_Price)</f>
        <v>0.15746330968267763</v>
      </c>
      <c r="J125" s="77">
        <f t="shared" ref="J125" si="53">IF(J$4="","",J124/Market_Price)</f>
        <v>9.8511257222197723E-2</v>
      </c>
      <c r="K125" s="77">
        <f t="shared" ref="K125" si="54">IF(K$4="","",K124/Market_Price)</f>
        <v>5.107471945348744E-2</v>
      </c>
      <c r="L125" s="77">
        <f t="shared" ref="L125" si="55">IF(L$4="","",L124/Market_Price)</f>
        <v>3.9585916604435528E-2</v>
      </c>
      <c r="M125" s="77">
        <f t="shared" ref="M125" si="56">IF(M$4="","",M124/Market_Price)</f>
        <v>0.14821165098665889</v>
      </c>
      <c r="N125" s="77">
        <f t="shared" ref="N125" si="57">IF(N$4="","",N124/Market_Price)</f>
        <v>4.606479040940633E-2</v>
      </c>
      <c r="O125" s="77">
        <f t="shared" ref="O125" si="58">IF(O$4="","",O124/Market_Price)</f>
        <v>-4.8575028787697087E-2</v>
      </c>
      <c r="P125" s="77">
        <f t="shared" ref="P125" si="59">IF(P$4="","",P124/Market_Price)</f>
        <v>7.0606973461736874E-2</v>
      </c>
      <c r="Q125" s="77" t="str">
        <f t="shared" ref="Q125" si="60">IF(Q$4="","",Q124/Market_Price)</f>
        <v/>
      </c>
    </row>
    <row r="126" spans="1:17" ht="15.75" customHeight="1">
      <c r="B126" s="2" t="s">
        <v>395</v>
      </c>
      <c r="C126" s="169"/>
      <c r="G126" s="23">
        <f>IF(G$4="","",(Data!C47*$C$3)/(Market_Price*Common_Shares))</f>
        <v>0.12423015076461513</v>
      </c>
      <c r="H126" s="23">
        <f>IF(H$4="","",(Data!D47*$C$3)/(Market_Price*Common_Shares))</f>
        <v>0.25621329361867456</v>
      </c>
      <c r="I126" s="23">
        <f>IF(I$4="","",(Data!E47*$C$3)/(Market_Price*Common_Shares))</f>
        <v>0.19411964040966537</v>
      </c>
      <c r="J126" s="23">
        <f>IF(J$4="","",(Data!F47*$C$3)/(Market_Price*Common_Shares))</f>
        <v>0.17714410593453561</v>
      </c>
      <c r="K126" s="23">
        <f>IF(K$4="","",(Data!G47*$C$3)/(Market_Price*Common_Shares))</f>
        <v>8.408683264803965E-2</v>
      </c>
      <c r="L126" s="23">
        <f>IF(L$4="","",(Data!H47*$C$3)/(Market_Price*Common_Shares))</f>
        <v>8.1478507678527115E-2</v>
      </c>
      <c r="M126" s="23">
        <f>IF(M$4="","",(Data!I47*$C$3)/(Market_Price*Common_Shares))</f>
        <v>0.1649334671544663</v>
      </c>
      <c r="N126" s="23">
        <f>IF(N$4="","",(Data!J47*$C$3)/(Market_Price*Common_Shares))</f>
        <v>1.1602723907577085E-2</v>
      </c>
      <c r="O126" s="23">
        <f>IF(O$4="","",(Data!K47*$C$3)/(Market_Price*Common_Shares))</f>
        <v>-2.5541489947226995E-2</v>
      </c>
      <c r="P126" s="23">
        <f>IF(P$4="","",(Data!L47*$C$3)/(Market_Price*Common_Shares))</f>
        <v>9.0981211081253191E-2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569161.93498729635</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7588825.7998306183</v>
      </c>
      <c r="D6" t="str">
        <f>Reporting_currency</f>
        <v>CNY</v>
      </c>
      <c r="E6" s="365" t="s">
        <v>250</v>
      </c>
      <c r="F6" s="365"/>
      <c r="H6" s="120"/>
    </row>
    <row r="7" spans="2:8">
      <c r="B7" s="148" t="s">
        <v>225</v>
      </c>
      <c r="C7" s="344">
        <f>BS!G31</f>
        <v>2119124</v>
      </c>
      <c r="D7" t="str">
        <f>Reporting_currency</f>
        <v>CNY</v>
      </c>
      <c r="E7" s="365"/>
      <c r="F7" s="365"/>
      <c r="H7" s="120"/>
    </row>
    <row r="8" spans="2:8">
      <c r="B8" s="148" t="s">
        <v>226</v>
      </c>
      <c r="C8" s="344">
        <f>BS!D66</f>
        <v>7865303.2833807282</v>
      </c>
      <c r="D8" t="str">
        <f>Reporting_currency</f>
        <v>CNY</v>
      </c>
      <c r="E8" s="365"/>
      <c r="F8" s="365"/>
      <c r="H8" s="120"/>
    </row>
    <row r="9" spans="2:8">
      <c r="B9" s="205" t="s">
        <v>191</v>
      </c>
      <c r="C9" s="354">
        <f>BS!H42</f>
        <v>52579.6</v>
      </c>
      <c r="D9" t="str">
        <f>Reporting_currency</f>
        <v>CNY</v>
      </c>
      <c r="E9" s="365"/>
      <c r="F9" s="365"/>
      <c r="H9" s="120"/>
    </row>
    <row r="10" spans="2:8" ht="13.15">
      <c r="B10" s="149" t="s">
        <v>228</v>
      </c>
      <c r="C10" s="353">
        <f>C6-C7+C8+C9</f>
        <v>13387584.683211347</v>
      </c>
      <c r="D10" t="str">
        <f>Reporting_currency</f>
        <v>CNY</v>
      </c>
      <c r="H10" s="120"/>
    </row>
    <row r="11" spans="2:8" ht="13.15" thickBot="1">
      <c r="B11" s="207" t="s">
        <v>167</v>
      </c>
      <c r="C11" s="208">
        <f>Exchange_Rate</f>
        <v>1.0859573199999999</v>
      </c>
      <c r="D11" t="str">
        <f>Thesis!C15</f>
        <v>CNY/HKD</v>
      </c>
      <c r="H11" s="120"/>
    </row>
    <row r="12" spans="2:8" ht="13.5" thickTop="1">
      <c r="B12" s="149" t="s">
        <v>103</v>
      </c>
      <c r="C12" s="111">
        <f>(C10*scaling_factor)/Common_Shares*Exchange_Rate</f>
        <v>3.1536541396644777</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0.02</v>
      </c>
      <c r="H16" s="120"/>
    </row>
    <row r="17" spans="2:17" ht="13.25" customHeight="1">
      <c r="B17" s="118" t="s">
        <v>135</v>
      </c>
      <c r="C17" s="162">
        <f>Scenarios!C64</f>
        <v>10</v>
      </c>
      <c r="H17" s="120"/>
    </row>
    <row r="18" spans="2:17" ht="13.25" customHeight="1">
      <c r="B18" s="153" t="s">
        <v>107</v>
      </c>
      <c r="C18" s="140">
        <f>(F52-C7+C8+C9)*Exchange_Rate/Common_Shares*scaling_factor</f>
        <v>3.2665551538712712</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44"/>
      <c r="H23" s="345"/>
      <c r="I23" s="344"/>
      <c r="J23" s="344"/>
      <c r="K23" s="344"/>
      <c r="L23" s="344"/>
      <c r="M23" s="344"/>
      <c r="N23" s="344"/>
      <c r="O23" s="344"/>
      <c r="P23" s="344"/>
      <c r="Q23" s="344"/>
    </row>
    <row r="24" spans="2:17">
      <c r="B24" s="122">
        <v>4</v>
      </c>
      <c r="C24" s="123">
        <f t="shared" si="2"/>
        <v>616079.18267807877</v>
      </c>
      <c r="D24" s="138">
        <f>IF($C$17&lt;B24,0,DCF!$C$16)</f>
        <v>0.02</v>
      </c>
      <c r="E24" s="124">
        <f t="shared" si="0"/>
        <v>0.7488005297763749</v>
      </c>
      <c r="F24" s="125">
        <f t="shared" si="1"/>
        <v>461320.41837354144</v>
      </c>
      <c r="G24" s="344"/>
      <c r="H24" s="345"/>
      <c r="I24" s="344"/>
      <c r="J24" s="344"/>
      <c r="K24" s="344"/>
      <c r="L24" s="344"/>
      <c r="M24" s="344"/>
      <c r="N24" s="344"/>
      <c r="O24" s="344"/>
      <c r="P24" s="344"/>
      <c r="Q24" s="344"/>
    </row>
    <row r="25" spans="2:17">
      <c r="B25" s="122">
        <v>5</v>
      </c>
      <c r="C25" s="123">
        <f t="shared" si="2"/>
        <v>628400.76633164042</v>
      </c>
      <c r="D25" s="138">
        <f>IF($C$17&lt;B25,0,DCF!$C$16)</f>
        <v>0.02</v>
      </c>
      <c r="E25" s="124">
        <f t="shared" si="0"/>
        <v>0.69655863235011617</v>
      </c>
      <c r="F25" s="125">
        <f t="shared" si="1"/>
        <v>437717.9783637324</v>
      </c>
      <c r="G25" s="344"/>
      <c r="H25" s="345"/>
      <c r="I25" s="344"/>
      <c r="J25" s="344"/>
      <c r="K25" s="344"/>
      <c r="L25" s="344"/>
      <c r="M25" s="344"/>
      <c r="N25" s="344"/>
      <c r="O25" s="344"/>
      <c r="P25" s="344"/>
      <c r="Q25" s="344"/>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7740602.3158272309</v>
      </c>
      <c r="D51" s="139">
        <f>Terminal_Growth</f>
        <v>0</v>
      </c>
      <c r="E51" s="124">
        <f>1/(1+Equity_Cost)^C17</f>
        <v>0.48519392830146441</v>
      </c>
      <c r="F51" s="125">
        <f t="shared" si="1"/>
        <v>3755693.2450356269</v>
      </c>
      <c r="H51" s="120"/>
    </row>
    <row r="52" spans="1:17">
      <c r="C52" s="114"/>
      <c r="E52" s="127" t="s">
        <v>101</v>
      </c>
      <c r="F52" s="137">
        <f>SUM(F21:F51)</f>
        <v>8068102.1635585381</v>
      </c>
      <c r="H52" s="120"/>
    </row>
    <row r="53" spans="1:17">
      <c r="C53" s="114"/>
      <c r="H53" s="120"/>
    </row>
    <row r="54" spans="1:17" ht="13.15">
      <c r="B54" s="119" t="s">
        <v>130</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7">
        <v>7964249.5538186785</v>
      </c>
      <c r="D58" s="123">
        <v>8370236.8003636207</v>
      </c>
      <c r="E58" s="123">
        <v>8809700.3190522641</v>
      </c>
      <c r="F58" s="123">
        <v>8809700.3190522641</v>
      </c>
      <c r="G58" s="344"/>
      <c r="H58" s="345"/>
      <c r="I58" s="344"/>
      <c r="J58" s="344"/>
      <c r="K58" s="344"/>
      <c r="L58" s="344"/>
      <c r="M58" s="344"/>
      <c r="N58" s="344"/>
      <c r="O58" s="344"/>
      <c r="P58" s="344"/>
      <c r="Q58" s="344"/>
    </row>
    <row r="59" spans="1:17" ht="13.15">
      <c r="A59" s="144">
        <v>20</v>
      </c>
      <c r="B59" s="123">
        <v>7588825.7998306192</v>
      </c>
      <c r="C59" s="347">
        <v>8107875.5886692684</v>
      </c>
      <c r="D59" s="123">
        <v>8685217.0884205196</v>
      </c>
      <c r="E59" s="123">
        <v>9328532.7985863127</v>
      </c>
      <c r="F59" s="123">
        <v>9328532.7985863127</v>
      </c>
      <c r="G59" s="344"/>
      <c r="H59" s="345"/>
      <c r="I59" s="344"/>
      <c r="J59" s="344"/>
      <c r="K59" s="344"/>
      <c r="L59" s="344"/>
      <c r="M59" s="344"/>
      <c r="N59" s="344"/>
      <c r="O59" s="344"/>
      <c r="P59" s="344"/>
      <c r="Q59" s="344"/>
    </row>
    <row r="60" spans="1:17" ht="13.15">
      <c r="A60" s="144">
        <v>25</v>
      </c>
      <c r="B60" s="123">
        <v>7588825.7998306174</v>
      </c>
      <c r="C60" s="347">
        <v>8240951.9074817337</v>
      </c>
      <c r="D60" s="123">
        <v>8985005.625718208</v>
      </c>
      <c r="E60" s="123">
        <v>9836424.1410892401</v>
      </c>
      <c r="F60" s="123">
        <v>9836424.1410892401</v>
      </c>
      <c r="G60" s="344"/>
      <c r="H60" s="345"/>
      <c r="I60" s="344"/>
      <c r="J60" s="344"/>
      <c r="K60" s="344"/>
      <c r="L60" s="344"/>
      <c r="M60" s="344"/>
      <c r="N60" s="344"/>
      <c r="O60" s="344"/>
      <c r="P60" s="344"/>
      <c r="Q60" s="344"/>
    </row>
    <row r="61" spans="1:17" ht="13.15">
      <c r="A61" s="144">
        <v>30</v>
      </c>
      <c r="B61" s="123">
        <v>7588825.7998306174</v>
      </c>
      <c r="C61" s="347">
        <v>8357830.033836456</v>
      </c>
      <c r="D61" s="123">
        <v>9255647.5660671927</v>
      </c>
      <c r="E61" s="123">
        <v>10308494.572138546</v>
      </c>
      <c r="F61" s="123">
        <v>10308494.572138546</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0.02</v>
      </c>
      <c r="E64" s="132">
        <f>E55</f>
        <v>0.03</v>
      </c>
      <c r="F64" s="132">
        <f>F55</f>
        <v>0.03</v>
      </c>
      <c r="H64" s="120"/>
    </row>
    <row r="65" spans="1:8" ht="13.15">
      <c r="A65" s="143">
        <v>0</v>
      </c>
      <c r="B65" s="124">
        <f>C12</f>
        <v>3.1536541396644777</v>
      </c>
      <c r="C65" s="124">
        <f>C12</f>
        <v>3.1536541396644777</v>
      </c>
      <c r="D65" s="124">
        <f>C12</f>
        <v>3.1536541396644777</v>
      </c>
      <c r="E65" s="141">
        <f>C12</f>
        <v>3.1536541396644777</v>
      </c>
      <c r="F65" s="124">
        <f>C12</f>
        <v>3.1536541396644777</v>
      </c>
      <c r="H65" s="120"/>
    </row>
    <row r="66" spans="1:8" ht="13.15">
      <c r="A66" s="143">
        <f t="shared" ref="A66:A71" si="3">A56</f>
        <v>5</v>
      </c>
      <c r="B66" s="124">
        <f t="shared" ref="B66:F71" si="4">(B56-$C$7+$C$8+$C$9)/Common_Shares*$C$3*Exchange_Rate</f>
        <v>3.1536541396644773</v>
      </c>
      <c r="C66" s="124">
        <f t="shared" si="4"/>
        <v>3.1817960583903564</v>
      </c>
      <c r="D66" s="124">
        <f t="shared" si="4"/>
        <v>3.2103419328759175</v>
      </c>
      <c r="E66" s="124">
        <f t="shared" si="4"/>
        <v>3.2393006292725639</v>
      </c>
      <c r="F66" s="124">
        <f t="shared" si="4"/>
        <v>3.2393006292725639</v>
      </c>
      <c r="H66" s="120"/>
    </row>
    <row r="67" spans="1:8" ht="13.15">
      <c r="A67" s="143">
        <f t="shared" si="3"/>
        <v>10</v>
      </c>
      <c r="B67" s="124">
        <f t="shared" si="4"/>
        <v>3.1536541396644773</v>
      </c>
      <c r="C67" s="124">
        <f t="shared" si="4"/>
        <v>3.2087780163195614</v>
      </c>
      <c r="D67" s="124">
        <f t="shared" si="4"/>
        <v>3.2665551538712707</v>
      </c>
      <c r="E67" s="124">
        <f t="shared" si="4"/>
        <v>3.3271411153737218</v>
      </c>
      <c r="F67" s="124">
        <f t="shared" si="4"/>
        <v>3.3271411153737218</v>
      </c>
      <c r="H67" s="120"/>
    </row>
    <row r="68" spans="1:8" ht="13.15">
      <c r="A68" s="143">
        <f t="shared" si="3"/>
        <v>15</v>
      </c>
      <c r="B68" s="124">
        <f t="shared" si="4"/>
        <v>3.1536541396644773</v>
      </c>
      <c r="C68" s="124">
        <f t="shared" si="4"/>
        <v>3.2420910537089922</v>
      </c>
      <c r="D68" s="124">
        <f t="shared" si="4"/>
        <v>3.3377276745793014</v>
      </c>
      <c r="E68" s="124">
        <f t="shared" si="4"/>
        <v>3.4412501528857846</v>
      </c>
      <c r="F68" s="124">
        <f t="shared" si="4"/>
        <v>3.4412501528857846</v>
      </c>
      <c r="H68" s="120"/>
    </row>
    <row r="69" spans="1:8" ht="13.15">
      <c r="A69" s="144">
        <f t="shared" si="3"/>
        <v>20</v>
      </c>
      <c r="B69" s="124">
        <f t="shared" si="4"/>
        <v>3.1536541396644773</v>
      </c>
      <c r="C69" s="124">
        <f t="shared" si="4"/>
        <v>3.2759244037932818</v>
      </c>
      <c r="D69" s="124">
        <f t="shared" si="4"/>
        <v>3.411926188564355</v>
      </c>
      <c r="E69" s="124">
        <f t="shared" si="4"/>
        <v>3.5634692264223902</v>
      </c>
      <c r="F69" s="124">
        <f t="shared" si="4"/>
        <v>3.5634692264223902</v>
      </c>
      <c r="H69" s="120"/>
    </row>
    <row r="70" spans="1:8" ht="13.15">
      <c r="A70" s="144">
        <f t="shared" si="3"/>
        <v>25</v>
      </c>
      <c r="B70" s="124">
        <f t="shared" si="4"/>
        <v>3.1536541396644768</v>
      </c>
      <c r="C70" s="124">
        <f t="shared" si="4"/>
        <v>3.3072726039089106</v>
      </c>
      <c r="D70" s="124">
        <f t="shared" si="4"/>
        <v>3.4825460489831221</v>
      </c>
      <c r="E70" s="124">
        <f t="shared" si="4"/>
        <v>3.6831109446774186</v>
      </c>
      <c r="F70" s="124">
        <f t="shared" si="4"/>
        <v>3.6831109446774186</v>
      </c>
    </row>
    <row r="71" spans="1:8" ht="13.15">
      <c r="A71" s="144">
        <f t="shared" si="3"/>
        <v>30</v>
      </c>
      <c r="B71" s="124">
        <f t="shared" si="4"/>
        <v>3.1536541396644768</v>
      </c>
      <c r="C71" s="124">
        <f t="shared" si="4"/>
        <v>3.3348050674366316</v>
      </c>
      <c r="D71" s="124">
        <f t="shared" si="4"/>
        <v>3.5462999744106676</v>
      </c>
      <c r="E71" s="124">
        <f t="shared" si="4"/>
        <v>3.7943144891792731</v>
      </c>
      <c r="F71" s="124">
        <f t="shared" si="4"/>
        <v>3.7943144891792731</v>
      </c>
    </row>
    <row r="73" spans="1:8" ht="13.15">
      <c r="B73" s="171" t="s">
        <v>118</v>
      </c>
      <c r="C73" s="171" t="s">
        <v>133</v>
      </c>
      <c r="D73" s="171" t="s">
        <v>113</v>
      </c>
      <c r="E73" s="172" t="s">
        <v>114</v>
      </c>
      <c r="F73" s="172" t="s">
        <v>120</v>
      </c>
    </row>
    <row r="74" spans="1:8">
      <c r="B74" s="127" t="str">
        <f>Scenarios!B54</f>
        <v>Snowball Scenario</v>
      </c>
      <c r="C74" s="142">
        <f>Scenarios!C56</f>
        <v>0.03</v>
      </c>
      <c r="D74" s="145">
        <f>Scenarios!C55</f>
        <v>15</v>
      </c>
      <c r="E74" s="135">
        <f>INDEX(B$65:F$71, MATCH(D74, A$65:A$71, 0), MATCH(C74, B$64:F$64, 0))</f>
        <v>3.4412501528857846</v>
      </c>
      <c r="F74" s="142">
        <f>Scenarios!C58</f>
        <v>0.05</v>
      </c>
    </row>
    <row r="75" spans="1:8">
      <c r="B75" s="127" t="str">
        <f>Scenarios!B36</f>
        <v>Optimistic</v>
      </c>
      <c r="C75" s="142">
        <f>Scenarios!C38</f>
        <v>0.03</v>
      </c>
      <c r="D75" s="145">
        <f>Scenarios!C37</f>
        <v>10</v>
      </c>
      <c r="E75" s="135">
        <f>INDEX(B$65:F$71, MATCH(D75, A$65:A$71, 0), MATCH(C75, B$64:F$64, 0))</f>
        <v>3.3271411153737218</v>
      </c>
      <c r="F75" s="142">
        <f>Scenarios!C40*(1-F$74-F$78)</f>
        <v>0.18</v>
      </c>
      <c r="H75" s="120"/>
    </row>
    <row r="76" spans="1:8">
      <c r="B76" s="127" t="str">
        <f>Scenarios!B24</f>
        <v>Base</v>
      </c>
      <c r="C76" s="142">
        <f>Scenarios!C26</f>
        <v>0.02</v>
      </c>
      <c r="D76" s="145">
        <f>Scenarios!C25</f>
        <v>10</v>
      </c>
      <c r="E76" s="135">
        <f>INDEX(B$65:F$71, MATCH(D76, A$65:A$71, 0), MATCH(C76, B$64:F$64, 0))</f>
        <v>3.2665551538712707</v>
      </c>
      <c r="F76" s="142">
        <f>Scenarios!C28*(1-F$74-F$78)</f>
        <v>0.53999999999999992</v>
      </c>
      <c r="H76" s="120"/>
    </row>
    <row r="77" spans="1:8">
      <c r="B77" s="127" t="str">
        <f>Scenarios!B30</f>
        <v>Pessimistic</v>
      </c>
      <c r="C77" s="142">
        <f>Scenarios!C32</f>
        <v>0.01</v>
      </c>
      <c r="D77" s="145">
        <f>Scenarios!C31</f>
        <v>10</v>
      </c>
      <c r="E77" s="135">
        <f>INDEX(B$65:F$71, MATCH(D77, A$65:A$71, 0), MATCH(C77, B$64:F$64, 0))</f>
        <v>3.2087780163195614</v>
      </c>
      <c r="F77" s="142">
        <f>Scenarios!C34*(1-F$74-F$78)</f>
        <v>0.18</v>
      </c>
      <c r="H77" s="120"/>
    </row>
    <row r="78" spans="1:8">
      <c r="B78" s="127" t="str">
        <f>Scenarios!B48</f>
        <v>Devil's advocate</v>
      </c>
      <c r="C78" s="142">
        <f>Scenarios!C50</f>
        <v>0</v>
      </c>
      <c r="D78" s="145">
        <f>Scenarios!C49</f>
        <v>15</v>
      </c>
      <c r="E78" s="135">
        <f>INDEX(B$65:F$71, MATCH(D78, A$65:A$71, 0), MATCH(C78, B$64:F$64, 0))</f>
        <v>3.1536541396644773</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461000</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6146666.666666667</v>
      </c>
      <c r="D6" t="str">
        <f>Reporting_currency</f>
        <v>CNY</v>
      </c>
      <c r="E6" s="365"/>
      <c r="F6" s="365"/>
      <c r="H6" s="120"/>
    </row>
    <row r="7" spans="2:8" ht="13.15">
      <c r="B7" s="149" t="s">
        <v>445</v>
      </c>
      <c r="C7" s="111">
        <f>(C6*scaling_factor)/Common_Shares*Exchange_Rate</f>
        <v>1.4479430933333333</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0.02</v>
      </c>
      <c r="H11" s="120"/>
    </row>
    <row r="12" spans="2:8" ht="13.25" customHeight="1">
      <c r="B12" s="118" t="s">
        <v>135</v>
      </c>
      <c r="C12" s="162">
        <f>Scenarios!C64</f>
        <v>10</v>
      </c>
      <c r="H12" s="120"/>
    </row>
    <row r="13" spans="2:8" ht="13.25" customHeight="1">
      <c r="B13" s="153" t="s">
        <v>107</v>
      </c>
      <c r="C13" s="140">
        <f>F47/Common_Shares*scaling_factor</f>
        <v>1.4175407151461414</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6269600</v>
      </c>
      <c r="D46" s="139">
        <f>Terminal_Growth</f>
        <v>0</v>
      </c>
      <c r="E46" s="124">
        <f>1/(1+Equity_Cost)^C12</f>
        <v>0.48519392830146441</v>
      </c>
      <c r="F46" s="125">
        <f t="shared" si="1"/>
        <v>3041971.8528788611</v>
      </c>
      <c r="H46" s="120"/>
    </row>
    <row r="47" spans="2:8">
      <c r="C47" s="114"/>
      <c r="E47" s="127" t="s">
        <v>101</v>
      </c>
      <c r="F47" s="137">
        <f>SUM(F16:F46)</f>
        <v>6534862.6968237124</v>
      </c>
      <c r="H47" s="120"/>
    </row>
    <row r="48" spans="2:8">
      <c r="C48" s="114"/>
      <c r="H48" s="120"/>
    </row>
    <row r="49" spans="1:8" ht="13.15">
      <c r="B49" s="119" t="s">
        <v>130</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1.4479430933333333</v>
      </c>
      <c r="C60" s="124">
        <f>C7</f>
        <v>1.4479430933333333</v>
      </c>
      <c r="D60" s="124">
        <f>C7</f>
        <v>1.4479430933333333</v>
      </c>
      <c r="E60" s="141">
        <f>C7</f>
        <v>1.4479430933333333</v>
      </c>
      <c r="F60" s="124">
        <f>C7</f>
        <v>1.4479430933333333</v>
      </c>
      <c r="H60" s="120"/>
    </row>
    <row r="61" spans="1:8" ht="13.15">
      <c r="A61" s="143">
        <f t="shared" ref="A61:A66" si="3">A51</f>
        <v>5</v>
      </c>
      <c r="B61" s="124">
        <f t="shared" ref="B61:F66" si="4">B51/Common_Shares*$C$3*Exchange_Rate</f>
        <v>1.4479430933333333</v>
      </c>
      <c r="C61" s="124">
        <f t="shared" si="4"/>
        <v>1.4707370008930858</v>
      </c>
      <c r="D61" s="124">
        <f t="shared" si="4"/>
        <v>1.4938580975949185</v>
      </c>
      <c r="E61" s="124">
        <f t="shared" si="4"/>
        <v>1.5173135646917335</v>
      </c>
      <c r="F61" s="124">
        <f t="shared" si="4"/>
        <v>1.5173135646917335</v>
      </c>
      <c r="H61" s="120"/>
    </row>
    <row r="62" spans="1:8" ht="13.15">
      <c r="A62" s="143">
        <f t="shared" si="3"/>
        <v>10</v>
      </c>
      <c r="B62" s="124">
        <f t="shared" si="4"/>
        <v>1.4479430933333333</v>
      </c>
      <c r="C62" s="124">
        <f t="shared" si="4"/>
        <v>1.4925913833468964</v>
      </c>
      <c r="D62" s="124">
        <f t="shared" si="4"/>
        <v>1.5393887160109869</v>
      </c>
      <c r="E62" s="124">
        <f t="shared" si="4"/>
        <v>1.5884610916139925</v>
      </c>
      <c r="F62" s="124">
        <f t="shared" si="4"/>
        <v>1.5884610916139925</v>
      </c>
      <c r="H62" s="120"/>
    </row>
    <row r="63" spans="1:8" ht="13.15">
      <c r="A63" s="143">
        <f t="shared" si="3"/>
        <v>15</v>
      </c>
      <c r="B63" s="124">
        <f t="shared" si="4"/>
        <v>1.4479430933333333</v>
      </c>
      <c r="C63" s="124">
        <f t="shared" si="4"/>
        <v>1.5195737047083391</v>
      </c>
      <c r="D63" s="124">
        <f t="shared" si="4"/>
        <v>1.5970358108525184</v>
      </c>
      <c r="E63" s="124">
        <f t="shared" si="4"/>
        <v>1.6808851682420878</v>
      </c>
      <c r="F63" s="124">
        <f t="shared" si="4"/>
        <v>1.6808851682420878</v>
      </c>
      <c r="H63" s="120"/>
    </row>
    <row r="64" spans="1:8" ht="13.15">
      <c r="A64" s="144">
        <f t="shared" si="3"/>
        <v>20</v>
      </c>
      <c r="B64" s="124">
        <f t="shared" si="4"/>
        <v>1.4479430933333333</v>
      </c>
      <c r="C64" s="124">
        <f t="shared" si="4"/>
        <v>1.5469774600019977</v>
      </c>
      <c r="D64" s="124">
        <f t="shared" si="4"/>
        <v>1.6571338477106461</v>
      </c>
      <c r="E64" s="124">
        <f t="shared" si="4"/>
        <v>1.7798780724348684</v>
      </c>
      <c r="F64" s="124">
        <f t="shared" si="4"/>
        <v>1.7798780724348684</v>
      </c>
      <c r="H64" s="120"/>
    </row>
    <row r="65" spans="1:8" ht="13.15">
      <c r="A65" s="144">
        <f t="shared" si="3"/>
        <v>25</v>
      </c>
      <c r="B65" s="124">
        <f t="shared" si="4"/>
        <v>1.4479430933333335</v>
      </c>
      <c r="C65" s="124">
        <f t="shared" si="4"/>
        <v>1.572368336244675</v>
      </c>
      <c r="D65" s="124">
        <f t="shared" si="4"/>
        <v>1.7143333082715115</v>
      </c>
      <c r="E65" s="124">
        <f t="shared" si="4"/>
        <v>1.876783414702353</v>
      </c>
      <c r="F65" s="124">
        <f t="shared" si="4"/>
        <v>1.876783414702353</v>
      </c>
    </row>
    <row r="66" spans="1:8" ht="13.15">
      <c r="A66" s="144">
        <f t="shared" si="3"/>
        <v>30</v>
      </c>
      <c r="B66" s="124">
        <f t="shared" si="4"/>
        <v>1.4479430933333335</v>
      </c>
      <c r="C66" s="124">
        <f t="shared" si="4"/>
        <v>1.5946686077597807</v>
      </c>
      <c r="D66" s="124">
        <f t="shared" si="4"/>
        <v>1.7659716168361108</v>
      </c>
      <c r="E66" s="124">
        <f t="shared" si="4"/>
        <v>1.9668541500485235</v>
      </c>
      <c r="F66" s="124">
        <f t="shared" si="4"/>
        <v>1.9668541500485235</v>
      </c>
    </row>
    <row r="68" spans="1:8" ht="13.15">
      <c r="B68" s="171" t="s">
        <v>118</v>
      </c>
      <c r="C68" s="171" t="s">
        <v>133</v>
      </c>
      <c r="D68" s="171" t="s">
        <v>113</v>
      </c>
      <c r="E68" s="172" t="s">
        <v>114</v>
      </c>
      <c r="F68" s="172" t="s">
        <v>120</v>
      </c>
    </row>
    <row r="69" spans="1:8">
      <c r="B69" s="127" t="str">
        <f>Scenarios!B54</f>
        <v>Snowball Scenario</v>
      </c>
      <c r="C69" s="142">
        <f>Scenarios!C56</f>
        <v>0.03</v>
      </c>
      <c r="D69" s="145">
        <f>Scenarios!C55</f>
        <v>15</v>
      </c>
      <c r="E69" s="135">
        <f>INDEX(B$60:F$66, MATCH(D69, A$60:A$66, 0), MATCH(C69, B$59:F$59, 0))</f>
        <v>1.6808851682420878</v>
      </c>
      <c r="F69" s="142">
        <f>Scenarios!C58</f>
        <v>0.05</v>
      </c>
    </row>
    <row r="70" spans="1:8">
      <c r="B70" s="127" t="str">
        <f>Scenarios!B36</f>
        <v>Optimistic</v>
      </c>
      <c r="C70" s="142">
        <f>Scenarios!C38</f>
        <v>0.03</v>
      </c>
      <c r="D70" s="145">
        <f>Scenarios!C37</f>
        <v>10</v>
      </c>
      <c r="E70" s="135">
        <f>INDEX(B$60:F$66, MATCH(D70, A$60:A$66, 0), MATCH(C70, B$59:F$59, 0))</f>
        <v>1.5884610916139925</v>
      </c>
      <c r="F70" s="142">
        <f>Scenarios!C40*(1-F$69-F$73)</f>
        <v>0.18</v>
      </c>
      <c r="H70" s="120"/>
    </row>
    <row r="71" spans="1:8">
      <c r="B71" s="127" t="str">
        <f>Scenarios!B24</f>
        <v>Base</v>
      </c>
      <c r="C71" s="142">
        <f>Scenarios!C26</f>
        <v>0.02</v>
      </c>
      <c r="D71" s="145">
        <f>Scenarios!C25</f>
        <v>10</v>
      </c>
      <c r="E71" s="135">
        <f>INDEX(B$60:F$66, MATCH(D71, A$60:A$66, 0), MATCH(C71, B$59:F$59, 0))</f>
        <v>1.5393887160109869</v>
      </c>
      <c r="F71" s="142">
        <f>Scenarios!C28*(1-F$69-F$73)</f>
        <v>0.53999999999999992</v>
      </c>
      <c r="H71" s="120"/>
    </row>
    <row r="72" spans="1:8">
      <c r="B72" s="127" t="str">
        <f>Scenarios!B30</f>
        <v>Pessimistic</v>
      </c>
      <c r="C72" s="142">
        <f>Scenarios!C32</f>
        <v>0.01</v>
      </c>
      <c r="D72" s="145">
        <f>Scenarios!C31</f>
        <v>10</v>
      </c>
      <c r="E72" s="135">
        <f>INDEX(B$60:F$66, MATCH(D72, A$60:A$66, 0), MATCH(C72, B$59:F$59, 0))</f>
        <v>1.4925913833468964</v>
      </c>
      <c r="F72" s="142">
        <f>Scenarios!C34*(1-F$69-F$73)</f>
        <v>0.18</v>
      </c>
      <c r="H72" s="120"/>
    </row>
    <row r="73" spans="1:8">
      <c r="B73" s="127" t="str">
        <f>Scenarios!B48</f>
        <v>Devil's advocate</v>
      </c>
      <c r="C73" s="142">
        <f>Scenarios!C50</f>
        <v>0</v>
      </c>
      <c r="D73" s="145">
        <f>Scenarios!C49</f>
        <v>15</v>
      </c>
      <c r="E73" s="135">
        <f>INDEX(B$60:F$66, MATCH(D73, A$60:A$66, 0), MATCH(C73, B$59:F$59, 0))</f>
        <v>1.4479430933333333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-2.0099999999999998</v>
      </c>
    </row>
    <row r="4" spans="2:9">
      <c r="B4" s="152" t="s">
        <v>147</v>
      </c>
      <c r="C4" s="120">
        <v>3</v>
      </c>
      <c r="D4" s="120"/>
      <c r="E4" s="155" t="s">
        <v>151</v>
      </c>
      <c r="F4" s="155"/>
      <c r="H4" s="247">
        <v>1</v>
      </c>
      <c r="I4" s="124">
        <f t="shared" ref="I4:I13" si="0">IF(ROW()-3 &lt; $C$76, $C$77, IF(ROW()-3 = $C$76, $C$77 + $C$60, ""))</f>
        <v>0.1</v>
      </c>
    </row>
    <row r="5" spans="2:9">
      <c r="H5" s="247">
        <v>2</v>
      </c>
      <c r="I5" s="124">
        <f t="shared" si="0"/>
        <v>0.1</v>
      </c>
    </row>
    <row r="6" spans="2:9" ht="13.15">
      <c r="B6" s="159" t="s">
        <v>96</v>
      </c>
      <c r="C6" s="107">
        <f>DCF!C3</f>
        <v>1000</v>
      </c>
      <c r="E6" s="100" t="s">
        <v>280</v>
      </c>
      <c r="F6" s="100"/>
      <c r="H6" s="247">
        <v>3</v>
      </c>
      <c r="I6" s="124">
        <f t="shared" si="0"/>
        <v>3.3701504414227901</v>
      </c>
    </row>
    <row r="7" spans="2:9" ht="12.75" customHeight="1">
      <c r="B7" s="100" t="s">
        <v>276</v>
      </c>
      <c r="C7" s="344">
        <f>Normalized_FCF!G8</f>
        <v>966307</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7"/>
      <c r="H7" s="247">
        <v>4</v>
      </c>
      <c r="I7" s="124" t="str">
        <f t="shared" si="0"/>
        <v/>
      </c>
    </row>
    <row r="8" spans="2:9">
      <c r="B8" s="100" t="s">
        <v>66</v>
      </c>
      <c r="C8" s="344">
        <f>Normalized_FCF!G19</f>
        <v>632498.42340470827</v>
      </c>
      <c r="D8" t="str">
        <f>Reporting_currency</f>
        <v>CNY</v>
      </c>
      <c r="E8" s="367"/>
      <c r="F8" s="367"/>
      <c r="H8" s="247">
        <v>5</v>
      </c>
      <c r="I8" s="124" t="str">
        <f t="shared" si="0"/>
        <v/>
      </c>
    </row>
    <row r="9" spans="2:9">
      <c r="B9" s="100" t="s">
        <v>57</v>
      </c>
      <c r="C9" s="344">
        <f>Normalized_FCF!C19</f>
        <v>569161.93498729635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-3.750240119526338E-2</v>
      </c>
      <c r="D12" s="158"/>
      <c r="E12" s="367"/>
      <c r="F12" s="367"/>
      <c r="H12" s="247">
        <v>9</v>
      </c>
      <c r="I12" s="124" t="str">
        <f t="shared" si="0"/>
        <v/>
      </c>
    </row>
    <row r="13" spans="2:9">
      <c r="B13" s="148" t="s">
        <v>153</v>
      </c>
      <c r="C13" s="158">
        <f ca="1">(Normalized_FCF!G8/OFFSET(Normalized_FCF!G8, 0, $C$4))^(1/$C$4) - 1</f>
        <v>-0.20361731775539216</v>
      </c>
      <c r="E13" s="367"/>
      <c r="F13" s="367"/>
      <c r="H13" s="247">
        <v>10</v>
      </c>
      <c r="I13" s="124" t="str">
        <f t="shared" si="0"/>
        <v/>
      </c>
    </row>
    <row r="14" spans="2:9">
      <c r="B14" s="100" t="s">
        <v>66</v>
      </c>
      <c r="C14" s="158">
        <f ca="1">(Normalized_FCF!G19/OFFSET(Normalized_FCF!G19, 0, $C$4))^(1/$C$4) - 1</f>
        <v>-9.0443280496378065E-2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2.0099999999999998</v>
      </c>
      <c r="D21" t="str">
        <f>Market_currency</f>
        <v>HKD</v>
      </c>
      <c r="E21" s="368"/>
      <c r="F21" s="368"/>
    </row>
    <row r="22" spans="2:6">
      <c r="B22" s="100" t="s">
        <v>279</v>
      </c>
      <c r="C22" s="160">
        <f>IF(valuation_method="DCF",DCF!C12,DDM!C7)</f>
        <v>3.1536541396644777</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3.2665551538712707</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3.2087780163195614</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0.03</v>
      </c>
      <c r="D38" s="164"/>
      <c r="E38" s="366"/>
      <c r="F38" s="366"/>
    </row>
    <row r="39" spans="2:6">
      <c r="B39" s="100" t="s">
        <v>114</v>
      </c>
      <c r="C39" s="160">
        <f>IF(valuation_method="DCF",DCF!E75,DDM!E70)</f>
        <v>3.3271411153737218</v>
      </c>
      <c r="D39" t="str">
        <f>Market_currency</f>
        <v>HKD</v>
      </c>
      <c r="E39" s="366"/>
      <c r="F39" s="366"/>
    </row>
    <row r="40" spans="2:6">
      <c r="B40" s="100" t="s">
        <v>148</v>
      </c>
      <c r="C40" s="167">
        <f>1-C28-C34</f>
        <v>0.2</v>
      </c>
      <c r="D40" s="165"/>
      <c r="E40" s="366"/>
      <c r="F40" s="366"/>
    </row>
    <row r="42" spans="2:6" ht="13.15">
      <c r="B42" s="100" t="s">
        <v>121</v>
      </c>
      <c r="C42" s="154">
        <f>C27*C28+C33*C34+C39*C40</f>
        <v>3.2671169186614191</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3.1536541396644773</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0.03</v>
      </c>
      <c r="D56" s="164"/>
      <c r="E56" s="366"/>
      <c r="F56" s="366"/>
    </row>
    <row r="57" spans="2:6">
      <c r="B57" s="100" t="s">
        <v>114</v>
      </c>
      <c r="C57" s="160">
        <f>IF(valuation_method="DCF",DCF!E74,DDM!E69)</f>
        <v>3.4412501528857846</v>
      </c>
      <c r="D57" t="str">
        <f>Market_currency</f>
        <v>HKD</v>
      </c>
      <c r="E57" s="366"/>
      <c r="F57" s="366"/>
    </row>
    <row r="58" spans="2:6">
      <c r="B58" s="100" t="s">
        <v>148</v>
      </c>
      <c r="C58" s="165">
        <v>0.05</v>
      </c>
      <c r="D58" s="165"/>
      <c r="E58" s="366"/>
      <c r="F58" s="366"/>
    </row>
    <row r="60" spans="2:6" ht="13.15">
      <c r="B60" s="100" t="s">
        <v>121</v>
      </c>
      <c r="C60" s="154">
        <f>C51*C52+C57*C58+C42*(1-C52-C58)</f>
        <v>3.27015044142279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0.02</v>
      </c>
      <c r="D65" s="151"/>
      <c r="E65" s="251" t="s">
        <v>313</v>
      </c>
    </row>
    <row r="66" spans="2:6">
      <c r="B66" s="100" t="s">
        <v>103</v>
      </c>
      <c r="C66" s="160">
        <f>IF(valuation_method="DCF",DCF!C18,DDM!C13)</f>
        <v>3.2665551538712712</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0.41771411417681625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v>
      </c>
      <c r="D77" t="str">
        <f>Market_currency</f>
        <v>HKD</v>
      </c>
    </row>
    <row r="79" spans="2:6" ht="13.15">
      <c r="B79" s="109" t="s">
        <v>302</v>
      </c>
    </row>
    <row r="80" spans="2:6">
      <c r="B80" s="148" t="s">
        <v>300</v>
      </c>
      <c r="C80" s="167">
        <f>Thesis!F29</f>
        <v>0.3674</v>
      </c>
    </row>
    <row r="81" spans="2:8">
      <c r="B81" s="100" t="s">
        <v>122</v>
      </c>
      <c r="C81" s="116">
        <f>PV(C80, C76, -C77, 0)</f>
        <v>0.16572593193648588</v>
      </c>
      <c r="D81" s="116"/>
      <c r="E81" s="100"/>
      <c r="F81" s="100"/>
    </row>
    <row r="82" spans="2:8">
      <c r="B82" s="100" t="s">
        <v>123</v>
      </c>
      <c r="C82" s="116">
        <f>C60/(1+C80)^C76</f>
        <v>1.2790308093231804</v>
      </c>
      <c r="D82" s="116"/>
    </row>
    <row r="83" spans="2:8" ht="13.15">
      <c r="B83" s="110" t="s">
        <v>102</v>
      </c>
      <c r="C83" s="111">
        <f>C81+C82</f>
        <v>1.4447567412596662</v>
      </c>
      <c r="D83" t="str">
        <f>Market_currency</f>
        <v>HKD</v>
      </c>
      <c r="E83" s="146" t="s">
        <v>127</v>
      </c>
      <c r="F83" s="291">
        <f>(1-C83/C60)</f>
        <v>0.55819869234178854</v>
      </c>
    </row>
    <row r="84" spans="2:8">
      <c r="E84" s="120"/>
    </row>
    <row r="85" spans="2:8" ht="13.15">
      <c r="B85" s="109" t="s">
        <v>303</v>
      </c>
    </row>
    <row r="86" spans="2:8">
      <c r="B86" s="148" t="s">
        <v>301</v>
      </c>
      <c r="C86" s="116">
        <f>Market_Price</f>
        <v>2.0099999999999998</v>
      </c>
      <c r="D86" t="str">
        <f>Market_currency</f>
        <v>HKD</v>
      </c>
    </row>
    <row r="87" spans="2:8" ht="13.15">
      <c r="B87" s="100" t="s">
        <v>299</v>
      </c>
      <c r="C87" s="237">
        <f ca="1">IRR(OFFSET($I$3, 0, 0, $C$76 + 1, 1))</f>
        <v>0.21897211796497307</v>
      </c>
    </row>
    <row r="88" spans="2:8">
      <c r="B88" s="100"/>
    </row>
    <row r="89" spans="2:8" ht="13.15">
      <c r="B89" s="109" t="s">
        <v>413</v>
      </c>
    </row>
    <row r="90" spans="2:8">
      <c r="B90" s="148" t="s">
        <v>414</v>
      </c>
      <c r="C90" s="167">
        <f>Thesis!F30</f>
        <v>0.21740000000000001</v>
      </c>
    </row>
    <row r="91" spans="2:8">
      <c r="B91" s="100" t="s">
        <v>122</v>
      </c>
      <c r="C91" s="116">
        <f>PV(C90, C76, -C77, 0)</f>
        <v>0.20504008238649371</v>
      </c>
      <c r="D91" s="116"/>
      <c r="E91" s="100"/>
      <c r="F91" s="100"/>
    </row>
    <row r="92" spans="2:8">
      <c r="B92" s="100" t="s">
        <v>123</v>
      </c>
      <c r="C92" s="116">
        <f>C60/(1+C90)^C76</f>
        <v>1.8124575362006279</v>
      </c>
      <c r="D92" s="116"/>
    </row>
    <row r="93" spans="2:8" ht="13.15">
      <c r="B93" s="110" t="s">
        <v>102</v>
      </c>
      <c r="C93" s="111">
        <f>C91+C92</f>
        <v>2.0174976185871216</v>
      </c>
      <c r="D93" t="str">
        <f>Market_currency</f>
        <v>HKD</v>
      </c>
      <c r="E93" s="146" t="s">
        <v>127</v>
      </c>
      <c r="F93" s="291">
        <f>(1-C93/C60)</f>
        <v>0.38305663463319417</v>
      </c>
    </row>
    <row r="95" spans="2:8" ht="13.15">
      <c r="B95" s="109" t="s">
        <v>398</v>
      </c>
      <c r="G95" s="2"/>
      <c r="H95" s="281"/>
    </row>
    <row r="96" spans="2:8">
      <c r="B96" s="148" t="s">
        <v>404</v>
      </c>
      <c r="C96" s="134">
        <f>Thesis!F31</f>
        <v>7.4999999999999997E-2</v>
      </c>
      <c r="G96" s="2"/>
      <c r="H96" s="281"/>
    </row>
    <row r="97" spans="2:8">
      <c r="B97" s="100" t="s">
        <v>122</v>
      </c>
      <c r="C97" s="116">
        <f>PV(C96, C76, -C77, 0)</f>
        <v>0.26005257398719595</v>
      </c>
      <c r="D97" s="116"/>
      <c r="G97" s="2"/>
      <c r="H97" s="281"/>
    </row>
    <row r="98" spans="2:8">
      <c r="B98" s="100" t="s">
        <v>123</v>
      </c>
      <c r="C98" s="116">
        <f>C60/(1+C96)^C76</f>
        <v>2.6323421617097686</v>
      </c>
      <c r="D98" s="116"/>
      <c r="G98" s="2"/>
      <c r="H98" s="281"/>
    </row>
    <row r="99" spans="2:8" ht="13.15">
      <c r="B99" s="110" t="s">
        <v>399</v>
      </c>
      <c r="C99" s="111">
        <f>C97+C98</f>
        <v>2.8923947356969646</v>
      </c>
      <c r="D99" t="s">
        <v>397</v>
      </c>
      <c r="E99" s="146" t="s">
        <v>127</v>
      </c>
      <c r="F99" s="291">
        <f>(1-C99/C60)</f>
        <v>0.11551630803917079</v>
      </c>
    </row>
    <row r="100" spans="2:8">
      <c r="B100" s="100"/>
    </row>
    <row r="101" spans="2:8" ht="13.15">
      <c r="B101" s="109" t="s">
        <v>423</v>
      </c>
    </row>
    <row r="102" spans="2:8">
      <c r="B102" s="148" t="s">
        <v>422</v>
      </c>
      <c r="C102" s="134">
        <f>Thesis!F32</f>
        <v>0.1174</v>
      </c>
    </row>
    <row r="103" spans="2:8">
      <c r="B103" s="100" t="s">
        <v>122</v>
      </c>
      <c r="C103" s="116">
        <f>PV(C102, C76, -C77, 0)</f>
        <v>0.24126031259386493</v>
      </c>
      <c r="D103" s="116"/>
    </row>
    <row r="104" spans="2:8">
      <c r="B104" s="100" t="s">
        <v>123</v>
      </c>
      <c r="C104" s="116">
        <f>C60/(1+C102)^C76</f>
        <v>2.343914315611729</v>
      </c>
      <c r="D104" s="116"/>
    </row>
    <row r="105" spans="2:8" ht="13.15">
      <c r="B105" s="110" t="s">
        <v>399</v>
      </c>
      <c r="C105" s="111">
        <f>C103+C104</f>
        <v>2.5851746282055941</v>
      </c>
      <c r="D105" t="s">
        <v>397</v>
      </c>
      <c r="E105" s="146" t="s">
        <v>127</v>
      </c>
      <c r="F105" s="291">
        <f>(1-C105/C66)</f>
        <v>0.20859299585318714</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