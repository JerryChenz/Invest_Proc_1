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32A7CF-1E14-4249-8494-737360DC192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<sst xmlns="http://schemas.openxmlformats.org/spreadsheetml/2006/main" count="768" uniqueCount="559">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</sst>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4.3499999999999996</v>
      </c>
      <c r="E8" s="32"/>
    </row>
    <row r="9" spans="1:9">
      <c r="B9" s="4" t="s">
        <v>345</v>
      </c>
      <c r="C9" s="48">
        <v>2806072356</v>
      </c>
    </row>
    <row r="10" spans="1:9">
      <c r="B10" s="4" t="s">
        <v>351</v>
      </c>
      <c r="C10" s="33">
        <f>Thesis!C8*Common_Shares/1000000</f>
        <v>12206.414748599998</v>
      </c>
      <c r="D10" s="1" t="s">
        <v>527</v>
      </c>
      <c r="E10" s="303">
        <f>Scenarios!F34</f>
        <v>0.20990734081177126</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0.02</v>
      </c>
      <c r="D17" s="4" t="s">
        <v>273</v>
      </c>
      <c r="E17" s="224" t="s">
        <v>558</v>
      </c>
    </row>
    <row r="18" spans="1:6">
      <c r="B18" s="1" t="str">
        <f>"Expected Equity Value ("&amp;C7&amp;") :"</f>
        <v>Expected Equity Value (HKD) :</v>
      </c>
      <c r="C18" s="252">
        <f>C125</f>
        <v>6.6942297359340106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3.5464177223186204</v>
      </c>
      <c r="D22" s="38" t="s">
        <v>405</v>
      </c>
      <c r="E22" s="79">
        <v>0.3</v>
      </c>
    </row>
    <row r="23" spans="1:6">
      <c r="B23" s="1" t="s">
        <v>312</v>
      </c>
      <c r="C23" s="256">
        <f>E141</f>
        <v>4.4532579490358852</v>
      </c>
      <c r="D23" s="38" t="s">
        <v>406</v>
      </c>
      <c r="E23" s="443">
        <v>0.2</v>
      </c>
    </row>
    <row r="24" spans="1:6">
      <c r="B24" s="1" t="s">
        <v>314</v>
      </c>
      <c r="C24" s="256">
        <f>E144</f>
        <v>5.4616245960925687</v>
      </c>
      <c r="D24" s="38" t="s">
        <v>407</v>
      </c>
      <c r="E24" s="443">
        <v>0.1174</v>
      </c>
    </row>
    <row r="25" spans="1:6">
      <c r="B25" s="1" t="s">
        <v>313</v>
      </c>
      <c r="C25" s="256">
        <f>E145</f>
        <v>6.1447645286875643</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1471007.5</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-330469.25209947501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9.2858596293350901E-2</v>
      </c>
      <c r="F62" s="257"/>
    </row>
    <row r="63" spans="2:6">
      <c r="B63" s="204" t="s">
        <v>331</v>
      </c>
      <c r="C63" s="89">
        <f>Normalized_FCF!C92</f>
        <v>6.3218390804597707E-2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-2709704</v>
      </c>
      <c r="D78" s="1" t="str">
        <f>Reporting_currency</f>
        <v>CNY</v>
      </c>
    </row>
    <row r="79" spans="1:6">
      <c r="A79" s="191"/>
      <c r="B79" s="44" t="s">
        <v>233</v>
      </c>
      <c r="C79" s="201">
        <f>C78*scaling_factor*Exchange_Rate/Common_Shares</f>
        <v>-1.1040300932910085</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0.77255995349984241</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0.29752880563504613</v>
      </c>
      <c r="D90" s="1" t="str">
        <f>Market_currency</f>
        <v>HKD</v>
      </c>
    </row>
    <row r="91" spans="1:6">
      <c r="A91" s="191"/>
    </row>
    <row r="92" spans="1:6">
      <c r="A92" s="191"/>
      <c r="B92" s="44" t="s">
        <v>468</v>
      </c>
      <c r="C92" s="216">
        <f>DCF!F8</f>
        <v>-3.3941334156119995E-2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0.86340949964271019</v>
      </c>
      <c r="D111" s="1" t="str">
        <f>Market_currency</f>
        <v>HKD</v>
      </c>
    </row>
    <row r="112" spans="2:6">
      <c r="B112" s="44" t="s">
        <v>322</v>
      </c>
      <c r="C112" s="216">
        <f>DCF!C11</f>
        <v>7.8139366040076501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8.16 HKD</v>
      </c>
      <c r="E118" s="208">
        <f>DCF!F90</f>
        <v>0.15</v>
      </c>
      <c r="F118" s="208">
        <f>RATE(Holding_Period,Scenarios!C$58,-DCF!E90,C$18)</f>
        <v>-2.8067844477660125E-2</v>
      </c>
    </row>
    <row r="119" spans="2:6">
      <c r="B119" s="205" t="str">
        <f>DCF!B91&amp;" ("&amp;DCF!D91&amp;"yrs)"</f>
        <v>Optimistic (10yrs)</v>
      </c>
      <c r="C119" s="198">
        <f>DCF!C91</f>
        <v>0.03</v>
      </c>
      <c r="D119" s="207" t="str">
        <f>ROUND(DCF!E91,2)&amp;" "&amp;Market_currency</f>
        <v>7.01 HKD</v>
      </c>
      <c r="E119" s="199">
        <f>DCF!F91</f>
        <v>0.15999999999999995</v>
      </c>
      <c r="F119" s="208">
        <f>RATE(Holding_Period,Scenarios!C$58,-DCF!E91,C$18)</f>
        <v>2.4336759444308464E-2</v>
      </c>
    </row>
    <row r="120" spans="2:6">
      <c r="B120" s="205" t="str">
        <f>DCF!B92&amp;" ("&amp;DCF!D92&amp;"yrs)"</f>
        <v>Base (10yrs)</v>
      </c>
      <c r="C120" s="198">
        <f>DCF!C92</f>
        <v>0.02</v>
      </c>
      <c r="D120" s="207" t="str">
        <f>ROUND(DCF!E92,2)&amp;" "&amp;Market_currency</f>
        <v>6.5 HKD</v>
      </c>
      <c r="E120" s="199">
        <f>DCF!F92</f>
        <v>0.44</v>
      </c>
      <c r="F120" s="208">
        <f>RATE(Holding_Period,Scenarios!C$58,-DCF!E92,C$18)</f>
        <v>5.1583037665035254E-2</v>
      </c>
    </row>
    <row r="121" spans="2:6">
      <c r="B121" s="205" t="str">
        <f>DCF!B93&amp;" ("&amp;DCF!D93&amp;"yrs)"</f>
        <v>Pessimistic (10yrs)</v>
      </c>
      <c r="C121" s="198">
        <f>DCF!C93</f>
        <v>0.01</v>
      </c>
      <c r="D121" s="207" t="str">
        <f>ROUND(DCF!E93,2)&amp;" "&amp;Market_currency</f>
        <v>6.03 HKD</v>
      </c>
      <c r="E121" s="199">
        <f>DCF!F93</f>
        <v>0.19999999999999998</v>
      </c>
      <c r="F121" s="208">
        <f>RATE(Holding_Period,Scenarios!C$58,-DCF!E93,C$18)</f>
        <v>7.9533128189487476E-2</v>
      </c>
    </row>
    <row r="122" spans="2:6">
      <c r="B122" s="205" t="str">
        <f>DCF!B94&amp;" ("&amp;DCF!D94&amp;"yrs)"</f>
        <v>Devil's advocate (10yrs)</v>
      </c>
      <c r="C122" s="198">
        <f>DCF!C94</f>
        <v>0</v>
      </c>
      <c r="D122" s="207" t="str">
        <f>ROUND(DCF!E94,2)&amp;" "&amp;Market_currency</f>
        <v>5.59 HKD</v>
      </c>
      <c r="E122" s="199">
        <f>DCF!F94</f>
        <v>0.05</v>
      </c>
      <c r="F122" s="208">
        <f>RATE(Holding_Period,Scenarios!C$58,-DCF!E94,C$18)</f>
        <v>0.10819106713826274</v>
      </c>
    </row>
    <row r="124" spans="2:6">
      <c r="B124" s="461" t="s">
        <v>356</v>
      </c>
      <c r="C124" s="461"/>
      <c r="D124" s="461"/>
      <c r="E124" s="461"/>
      <c r="F124" s="461"/>
    </row>
    <row r="125" spans="2:6">
      <c r="B125" s="193" t="s">
        <v>217</v>
      </c>
      <c r="C125" s="197">
        <f>Scenarios!C36</f>
        <v>6.6942297359340106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3.0469866799881697</v>
      </c>
      <c r="E140" s="334">
        <f>Scenarios!E62</f>
        <v>3.5464177223186204</v>
      </c>
      <c r="F140" s="335">
        <f>E22</f>
        <v>0.3</v>
      </c>
    </row>
    <row r="141" spans="1:6">
      <c r="B141" s="336" t="s">
        <v>312</v>
      </c>
      <c r="C141" s="333">
        <f>Scenarios!C63</f>
        <v>0.57928240740740733</v>
      </c>
      <c r="D141" s="333">
        <f>Scenarios!D63</f>
        <v>3.8739755416284782</v>
      </c>
      <c r="E141" s="334">
        <f>Scenarios!E63</f>
        <v>4.4532579490358852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4.79815873645944</v>
      </c>
      <c r="E144" s="334">
        <f>Scenarios!E66</f>
        <v>5.4616245960925687</v>
      </c>
      <c r="F144" s="335">
        <f>E24</f>
        <v>0.1174</v>
      </c>
    </row>
    <row r="145" spans="1:6">
      <c r="B145" s="336" t="s">
        <v>313</v>
      </c>
      <c r="C145" s="333">
        <f>Scenarios!C67</f>
        <v>0.71840318747257947</v>
      </c>
      <c r="D145" s="333">
        <f>Scenarios!D67</f>
        <v>5.4263613412149851</v>
      </c>
      <c r="E145" s="334">
        <f>Scenarios!E67</f>
        <v>6.1447645286875643</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4.156871901688767</v>
      </c>
      <c r="D47" s="134">
        <f>D46*H1/Common_Shares*Exchange_Rate</f>
        <v>0.86340949964271019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-3097988.324976</v>
      </c>
      <c r="D86" s="201">
        <f>C86*scaling_factor/Common_Shares</f>
        <v>-1.1040300932910085</v>
      </c>
      <c r="E86" s="214" t="str">
        <f>Market_currency</f>
        <v>HKD</v>
      </c>
    </row>
    <row r="87" spans="2:8" ht="15" customHeight="1">
      <c r="B87" s="212" t="s">
        <v>239</v>
      </c>
      <c r="C87" s="73">
        <f>DCF!F5*Exchange_Rate</f>
        <v>2167859.1288685533</v>
      </c>
      <c r="D87" s="201">
        <f>C87*scaling_factor/Common_Shares</f>
        <v>0.77255995349984241</v>
      </c>
      <c r="E87" s="214" t="str">
        <f>Market_currency</f>
        <v>HKD</v>
      </c>
    </row>
    <row r="88" spans="2:8" ht="15" customHeight="1">
      <c r="B88" s="213" t="s">
        <v>158</v>
      </c>
      <c r="C88" s="73">
        <f>DCF!F6*Exchange_Rate</f>
        <v>834887.3566062001</v>
      </c>
      <c r="D88" s="201">
        <f>C88*scaling_factor/Common_Shares</f>
        <v>0.29752880563504619</v>
      </c>
      <c r="E88" s="214" t="str">
        <f>Market_currency</f>
        <v>HKD</v>
      </c>
    </row>
    <row r="89" spans="2:8" ht="15" customHeight="1">
      <c r="B89" s="77" t="s">
        <v>243</v>
      </c>
      <c r="C89" s="162">
        <f>SUM(C86:C88)</f>
        <v>-95241.839501246577</v>
      </c>
      <c r="D89" s="216">
        <f>SUM(D86:D88)</f>
        <v>-3.394133415611994E-2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6.3218390804597707E-2</v>
      </c>
      <c r="E92" s="237"/>
      <c r="G92" s="22">
        <f t="shared" ref="G92:Q92" si="38">IF(G$4="","",(G88*(1-dividend_tax_rate))/Market_Price)</f>
        <v>6.3218390804597707E-2</v>
      </c>
      <c r="H92" s="22">
        <f t="shared" si="38"/>
        <v>5.7701149425287361E-2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0.4039348938760764</v>
      </c>
      <c r="D123" s="26"/>
      <c r="E123" s="234"/>
      <c r="F123" s="26"/>
      <c r="G123" s="159">
        <f t="shared" ref="G123:Q123" si="48">IF(G$4="","",G14*$C$3/Common_Shares*Exchange_Rate)</f>
        <v>0.3258479078156743</v>
      </c>
      <c r="H123" s="159">
        <f t="shared" si="48"/>
        <v>0.35710800296911516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9.2858596293350901E-2</v>
      </c>
      <c r="D124" s="26"/>
      <c r="E124" s="234"/>
      <c r="F124" s="26"/>
      <c r="G124" s="74">
        <f t="shared" ref="G124" si="49">IF(G$4="","",G123/Market_Price)</f>
        <v>7.4907565015097544E-2</v>
      </c>
      <c r="H124" s="74">
        <f t="shared" ref="H124" si="50">IF(H$4="","",H123/Market_Price)</f>
        <v>8.2093793786003497E-2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0.11236477116733322</v>
      </c>
      <c r="H125" s="22">
        <f>IF(H$4="","",(Data!D47*$C$3)/(Market_Price*Common_Shares))</f>
        <v>0.106952289176454</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-3.3941334156119995E-2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0</v>
      </c>
      <c r="J9" s="306"/>
      <c r="N9" s="304"/>
      <c r="O9" s="304"/>
    </row>
    <row r="10" spans="2:15" ht="13.5" thickTop="1">
      <c r="B10" s="107" t="s">
        <v>426</v>
      </c>
      <c r="C10" s="283">
        <f>C8*Exchange_Rate</f>
        <v>21926471.496042386</v>
      </c>
      <c r="D10" t="str">
        <f>Market_currency</f>
        <v>HKD</v>
      </c>
      <c r="H10" s="308" t="s">
        <v>396</v>
      </c>
      <c r="I10" s="306">
        <f>Normalized_FCF!C41</f>
        <v>0.25</v>
      </c>
      <c r="N10" s="304"/>
      <c r="O10" s="304"/>
    </row>
    <row r="11" spans="2:15" ht="13.15">
      <c r="B11" s="136" t="s">
        <v>424</v>
      </c>
      <c r="C11" s="108">
        <f>(C10*scaling_factor)/Common_Shares</f>
        <v>7.8139366040076501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6.6958272597906863</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7.8139366040076501</v>
      </c>
      <c r="C73" s="119">
        <f>C11</f>
        <v>7.8139366040076501</v>
      </c>
      <c r="D73" s="119">
        <f>C11</f>
        <v>7.8139366040076501</v>
      </c>
      <c r="E73" s="119">
        <f>C11</f>
        <v>7.8139366040076501</v>
      </c>
      <c r="F73" s="119">
        <f>C11</f>
        <v>7.8139366040076501</v>
      </c>
      <c r="G73" s="296"/>
      <c r="H73" s="296"/>
      <c r="I73" s="296"/>
      <c r="J73" s="296"/>
      <c r="K73" s="296"/>
      <c r="L73" s="296"/>
    </row>
    <row r="74" spans="1:21" ht="13.15">
      <c r="A74" s="131">
        <v>1</v>
      </c>
      <c r="B74" s="119">
        <f t="shared" ref="B74:F87" si="11">(B56+FV_adjustments)/Common_Shares*scaling_factor*Exchange_Rate</f>
        <v>5.6414721735633684</v>
      </c>
      <c r="C74" s="119">
        <f t="shared" si="11"/>
        <v>5.698226308640562</v>
      </c>
      <c r="D74" s="119">
        <f t="shared" si="11"/>
        <v>5.7549804437177574</v>
      </c>
      <c r="E74" s="119">
        <f t="shared" si="11"/>
        <v>5.8117345787949528</v>
      </c>
      <c r="F74" s="119">
        <f t="shared" si="11"/>
        <v>5.9252428489493418</v>
      </c>
      <c r="G74" s="296"/>
      <c r="H74" s="296"/>
      <c r="I74" s="296"/>
      <c r="J74" s="296"/>
      <c r="K74" s="296"/>
      <c r="L74" s="296"/>
    </row>
    <row r="75" spans="1:21" ht="13.15">
      <c r="A75" s="131">
        <v>2</v>
      </c>
      <c r="B75" s="119">
        <f t="shared" si="11"/>
        <v>5.6344487838817034</v>
      </c>
      <c r="C75" s="119">
        <f t="shared" si="11"/>
        <v>5.7445794696103007</v>
      </c>
      <c r="D75" s="119">
        <f t="shared" si="11"/>
        <v>5.8557685075081709</v>
      </c>
      <c r="E75" s="119">
        <f t="shared" si="11"/>
        <v>5.9680158975753157</v>
      </c>
      <c r="F75" s="119">
        <f t="shared" si="11"/>
        <v>6.1956857342174168</v>
      </c>
      <c r="G75" s="296"/>
      <c r="H75" s="296"/>
      <c r="I75" s="296"/>
      <c r="J75" s="296"/>
      <c r="K75" s="296"/>
      <c r="L75" s="296"/>
    </row>
    <row r="76" spans="1:21" ht="13.15">
      <c r="A76" s="131">
        <v>3</v>
      </c>
      <c r="B76" s="119">
        <f t="shared" si="11"/>
        <v>5.6279001687939028</v>
      </c>
      <c r="C76" s="119">
        <f t="shared" si="11"/>
        <v>5.7882313974232957</v>
      </c>
      <c r="D76" s="119">
        <f t="shared" si="11"/>
        <v>5.9516228898543018</v>
      </c>
      <c r="E76" s="119">
        <f t="shared" si="11"/>
        <v>6.1181042503434018</v>
      </c>
      <c r="F76" s="119">
        <f t="shared" si="11"/>
        <v>6.4604549925218206</v>
      </c>
      <c r="G76" s="296"/>
      <c r="H76" s="296"/>
      <c r="I76" s="296"/>
      <c r="J76" s="296"/>
      <c r="K76" s="296"/>
      <c r="L76" s="296"/>
    </row>
    <row r="77" spans="1:21" ht="13.15">
      <c r="A77" s="131">
        <v>4</v>
      </c>
      <c r="B77" s="119">
        <f t="shared" si="11"/>
        <v>5.6217942339801015</v>
      </c>
      <c r="C77" s="119">
        <f t="shared" si="11"/>
        <v>5.829339506599168</v>
      </c>
      <c r="D77" s="119">
        <f t="shared" si="11"/>
        <v>6.0427850996380306</v>
      </c>
      <c r="E77" s="119">
        <f t="shared" si="11"/>
        <v>6.2622450460087888</v>
      </c>
      <c r="F77" s="119">
        <f t="shared" si="11"/>
        <v>6.7196696510016594</v>
      </c>
      <c r="G77" s="296"/>
      <c r="H77" s="296"/>
      <c r="I77" s="296"/>
      <c r="J77" s="296"/>
      <c r="K77" s="296"/>
      <c r="L77" s="296"/>
    </row>
    <row r="78" spans="1:21" ht="13.15">
      <c r="A78" s="131">
        <v>5</v>
      </c>
      <c r="B78" s="119">
        <f t="shared" si="11"/>
        <v>5.6161010546665358</v>
      </c>
      <c r="C78" s="119">
        <f t="shared" si="11"/>
        <v>5.8680520383172388</v>
      </c>
      <c r="D78" s="119">
        <f t="shared" si="11"/>
        <v>6.1294848236281538</v>
      </c>
      <c r="E78" s="119">
        <f t="shared" si="11"/>
        <v>6.4006739686524732</v>
      </c>
      <c r="F78" s="119">
        <f t="shared" si="11"/>
        <v>6.9734462397231791</v>
      </c>
      <c r="G78" s="296"/>
      <c r="H78" s="296"/>
      <c r="I78" s="296"/>
      <c r="J78" s="296"/>
      <c r="K78" s="296"/>
      <c r="L78" s="296"/>
    </row>
    <row r="79" spans="1:21" ht="13.15">
      <c r="A79" s="131">
        <v>6</v>
      </c>
      <c r="B79" s="119">
        <f t="shared" si="11"/>
        <v>5.6107927289662411</v>
      </c>
      <c r="C79" s="119">
        <f t="shared" si="11"/>
        <v>5.9045085949934641</v>
      </c>
      <c r="D79" s="119">
        <f t="shared" si="11"/>
        <v>6.2119405051851908</v>
      </c>
      <c r="E79" s="119">
        <f t="shared" si="11"/>
        <v>6.5336173628930272</v>
      </c>
      <c r="F79" s="119">
        <f t="shared" si="11"/>
        <v>7.2218988440659269</v>
      </c>
      <c r="G79" s="296"/>
      <c r="H79" s="296"/>
      <c r="I79" s="296"/>
      <c r="J79" s="296"/>
      <c r="K79" s="296"/>
      <c r="L79" s="296"/>
    </row>
    <row r="80" spans="1:21" ht="13.15">
      <c r="A80" s="131">
        <f t="shared" ref="A80" si="12">A62</f>
        <v>7</v>
      </c>
      <c r="B80" s="119">
        <f t="shared" si="11"/>
        <v>5.6058432411337993</v>
      </c>
      <c r="C80" s="119">
        <f t="shared" si="11"/>
        <v>5.938840643704876</v>
      </c>
      <c r="D80" s="119">
        <f t="shared" si="11"/>
        <v>6.2903598946380388</v>
      </c>
      <c r="E80" s="119">
        <f t="shared" si="11"/>
        <v>6.661292603981857</v>
      </c>
      <c r="F80" s="119">
        <f t="shared" si="11"/>
        <v>7.4651391560098741</v>
      </c>
      <c r="G80" s="296"/>
      <c r="H80" s="296"/>
      <c r="I80" s="296"/>
      <c r="J80" s="296"/>
      <c r="K80" s="296"/>
      <c r="L80" s="296"/>
    </row>
    <row r="81" spans="1:12" ht="13.15">
      <c r="A81" s="131">
        <v>8</v>
      </c>
      <c r="B81" s="119">
        <f t="shared" si="11"/>
        <v>5.6012283340639222</v>
      </c>
      <c r="C81" s="119">
        <f t="shared" si="11"/>
        <v>5.9711719902769271</v>
      </c>
      <c r="D81" s="119">
        <f t="shared" si="11"/>
        <v>6.3649405727190693</v>
      </c>
      <c r="E81" s="119">
        <f t="shared" si="11"/>
        <v>6.7839084532326677</v>
      </c>
      <c r="F81" s="119">
        <f t="shared" si="11"/>
        <v>7.7032765243466068</v>
      </c>
      <c r="G81" s="296"/>
      <c r="H81" s="296"/>
      <c r="I81" s="296"/>
      <c r="J81" s="296"/>
      <c r="K81" s="296"/>
      <c r="L81" s="296"/>
    </row>
    <row r="82" spans="1:12" ht="13.15">
      <c r="A82" s="131">
        <f t="shared" ref="A82" si="13">A64</f>
        <v>9</v>
      </c>
      <c r="B82" s="119">
        <f t="shared" si="11"/>
        <v>5.5969253904090248</v>
      </c>
      <c r="C82" s="119">
        <f t="shared" si="11"/>
        <v>6.0016192257433811</v>
      </c>
      <c r="D82" s="119">
        <f t="shared" si="11"/>
        <v>6.4358704483765505</v>
      </c>
      <c r="E82" s="119">
        <f t="shared" si="11"/>
        <v>6.9016653993663155</v>
      </c>
      <c r="F82" s="119">
        <f t="shared" si="11"/>
        <v>7.9364180038371126</v>
      </c>
      <c r="G82" s="296"/>
      <c r="H82" s="296"/>
      <c r="I82" s="296"/>
      <c r="J82" s="296"/>
      <c r="K82" s="296"/>
      <c r="L82" s="296"/>
    </row>
    <row r="83" spans="1:12" ht="13.15">
      <c r="A83" s="131">
        <f t="shared" ref="A83:A87" si="14">A65</f>
        <v>10</v>
      </c>
      <c r="B83" s="119">
        <f t="shared" si="11"/>
        <v>5.592913321733131</v>
      </c>
      <c r="C83" s="119">
        <f t="shared" si="11"/>
        <v>6.0302921467887129</v>
      </c>
      <c r="D83" s="119">
        <f t="shared" si="11"/>
        <v>6.5033282322186334</v>
      </c>
      <c r="E83" s="119">
        <f t="shared" si="11"/>
        <v>7.0147559863291633</v>
      </c>
      <c r="F83" s="119">
        <f t="shared" si="11"/>
        <v>8.164668403338311</v>
      </c>
      <c r="G83" s="296"/>
      <c r="H83" s="296"/>
      <c r="I83" s="296"/>
      <c r="J83" s="296"/>
      <c r="K83" s="296"/>
      <c r="L83" s="296"/>
    </row>
    <row r="84" spans="1:12" ht="13.15">
      <c r="A84" s="131">
        <f t="shared" si="14"/>
        <v>15</v>
      </c>
      <c r="B84" s="119">
        <f t="shared" si="11"/>
        <v>5.576572579268646</v>
      </c>
      <c r="C84" s="119">
        <f t="shared" si="11"/>
        <v>6.1504573133158384</v>
      </c>
      <c r="D84" s="119">
        <f t="shared" si="11"/>
        <v>6.7942016824081302</v>
      </c>
      <c r="E84" s="119">
        <f t="shared" si="11"/>
        <v>7.5164350754682463</v>
      </c>
      <c r="F84" s="119">
        <f t="shared" si="11"/>
        <v>9.2360711521481953</v>
      </c>
      <c r="G84" s="296"/>
      <c r="H84" s="296"/>
      <c r="I84" s="296"/>
      <c r="J84" s="296"/>
      <c r="K84" s="296"/>
      <c r="L84" s="296"/>
    </row>
    <row r="85" spans="1:12" ht="13.15">
      <c r="A85" s="132">
        <f t="shared" si="14"/>
        <v>20</v>
      </c>
      <c r="B85" s="119">
        <f t="shared" si="11"/>
        <v>5.5650570134710957</v>
      </c>
      <c r="C85" s="119">
        <f t="shared" si="11"/>
        <v>6.2394591475880974</v>
      </c>
      <c r="D85" s="119">
        <f t="shared" si="11"/>
        <v>7.0205193386271905</v>
      </c>
      <c r="E85" s="119">
        <f t="shared" si="11"/>
        <v>7.9262857163185156</v>
      </c>
      <c r="F85" s="119">
        <f t="shared" si="11"/>
        <v>10.199706555534002</v>
      </c>
      <c r="G85" s="296"/>
      <c r="H85" s="296"/>
      <c r="I85" s="296"/>
      <c r="J85" s="296"/>
      <c r="K85" s="296"/>
      <c r="L85" s="296"/>
    </row>
    <row r="86" spans="1:12" ht="13.15">
      <c r="A86" s="132">
        <f t="shared" si="14"/>
        <v>25</v>
      </c>
      <c r="B86" s="119">
        <f t="shared" si="11"/>
        <v>5.5569418218923836</v>
      </c>
      <c r="C86" s="119">
        <f t="shared" si="11"/>
        <v>6.3053794698641763</v>
      </c>
      <c r="D86" s="119">
        <f t="shared" si="11"/>
        <v>7.1966085674073357</v>
      </c>
      <c r="E86" s="119">
        <f t="shared" si="11"/>
        <v>8.2611163908312601</v>
      </c>
      <c r="F86" s="119">
        <f t="shared" si="11"/>
        <v>11.066414422104259</v>
      </c>
      <c r="G86" s="296"/>
      <c r="H86" s="296"/>
      <c r="I86" s="296"/>
      <c r="J86" s="296"/>
      <c r="K86" s="296"/>
      <c r="L86" s="296"/>
    </row>
    <row r="87" spans="1:12" ht="13.15">
      <c r="A87" s="132">
        <f t="shared" si="14"/>
        <v>30</v>
      </c>
      <c r="B87" s="119">
        <f t="shared" si="11"/>
        <v>5.5512229249213645</v>
      </c>
      <c r="C87" s="119">
        <f t="shared" si="11"/>
        <v>6.3542041814503358</v>
      </c>
      <c r="D87" s="119">
        <f t="shared" si="11"/>
        <v>7.3336169520398338</v>
      </c>
      <c r="E87" s="119">
        <f t="shared" si="11"/>
        <v>8.5346589193047411</v>
      </c>
      <c r="F87" s="119">
        <f t="shared" si="11"/>
        <v>11.845944235284046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8.164668403338311</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7.0147559863291633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6.5033282322186334</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6.0302921467887129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5.592913321733131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7.0147559863291633</v>
      </c>
      <c r="F22" s="328">
        <f>1-F23-F24</f>
        <v>0.19999999999999996</v>
      </c>
      <c r="G22" s="328">
        <f>F22*(1-F$29-F$30)</f>
        <v>0.15999999999999995</v>
      </c>
    </row>
    <row r="23" spans="2:7">
      <c r="B23" s="302" t="s">
        <v>436</v>
      </c>
      <c r="C23" s="324">
        <v>0.02</v>
      </c>
      <c r="D23" s="325">
        <f>C18</f>
        <v>10</v>
      </c>
      <c r="E23" s="326">
        <f>DCF!E92</f>
        <v>6.5033282322186334</v>
      </c>
      <c r="F23" s="327">
        <v>0.55000000000000004</v>
      </c>
      <c r="G23" s="328">
        <f t="shared" ref="G23:G24" si="0">F23*(1-F$29-F$30)</f>
        <v>0.44</v>
      </c>
    </row>
    <row r="24" spans="2:7">
      <c r="B24" s="302" t="s">
        <v>445</v>
      </c>
      <c r="C24" s="324">
        <v>0.01</v>
      </c>
      <c r="D24" s="325">
        <f>C18</f>
        <v>10</v>
      </c>
      <c r="E24" s="326">
        <f>DCF!E93</f>
        <v>6.0302921467887129</v>
      </c>
      <c r="F24" s="327">
        <v>0.25</v>
      </c>
      <c r="G24" s="328">
        <f t="shared" si="0"/>
        <v>0.19999999999999998</v>
      </c>
    </row>
    <row r="25" spans="2:7">
      <c r="B25" s="141" t="s">
        <v>450</v>
      </c>
      <c r="C25" s="441">
        <f>E23*F23+E24*F24+E22*F22</f>
        <v>6.4873547616832585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8.164668403338311</v>
      </c>
      <c r="F29" s="327">
        <v>0.15</v>
      </c>
      <c r="G29" s="328">
        <f>F29</f>
        <v>0.15</v>
      </c>
    </row>
    <row r="30" spans="2:7">
      <c r="B30" s="315" t="s">
        <v>446</v>
      </c>
      <c r="C30" s="324">
        <v>0</v>
      </c>
      <c r="D30" s="325">
        <f>C18</f>
        <v>10</v>
      </c>
      <c r="E30" s="326">
        <f>DCF!E94</f>
        <v>5.592913321733131</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4.3499999999999996</v>
      </c>
      <c r="D34" t="str">
        <f>Market_currency</f>
        <v>HKD</v>
      </c>
      <c r="E34" s="97" t="s">
        <v>453</v>
      </c>
      <c r="F34" s="330">
        <f>RATE(Holding_Period,$C$33,-C34,$C$36)</f>
        <v>0.20990734081177126</v>
      </c>
    </row>
    <row r="35" spans="2:7">
      <c r="B35" s="97" t="s">
        <v>433</v>
      </c>
      <c r="C35" s="320">
        <f>DCF!C11</f>
        <v>7.8139366040076501</v>
      </c>
      <c r="D35" s="97" t="str">
        <f>Market_currency</f>
        <v>HKD</v>
      </c>
      <c r="E35" s="97" t="s">
        <v>453</v>
      </c>
      <c r="F35" s="330">
        <f>RATE(Holding_Period,$C$33,-C35,$C$36)</f>
        <v>-1.320834162627252E-2</v>
      </c>
    </row>
    <row r="36" spans="2:7">
      <c r="B36" s="97" t="s">
        <v>434</v>
      </c>
      <c r="C36" s="321">
        <f>E22*G22+E23*G23+E24*G24+E30*G30+E29*G29</f>
        <v>6.6942297359340106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6.6958272597906863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-5.0702374276051466E-3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3.0469866799881697</v>
      </c>
      <c r="E62" s="332">
        <f>C62+D62</f>
        <v>3.5464177223186204</v>
      </c>
      <c r="F62" s="301">
        <f>Thesis!E22</f>
        <v>0.3</v>
      </c>
      <c r="G62" s="440">
        <f>(1-E62/C36)</f>
        <v>0.47022766438955987</v>
      </c>
    </row>
    <row r="63" spans="2:7" ht="13.15">
      <c r="B63" s="302" t="s">
        <v>312</v>
      </c>
      <c r="C63" s="119">
        <f>PV(F63, Holding_Period, -C58, 0)</f>
        <v>0.57928240740740733</v>
      </c>
      <c r="D63" s="119">
        <f>C36/(1+F63)^Holding_Period</f>
        <v>3.8739755416284782</v>
      </c>
      <c r="E63" s="332">
        <f>C63+D63</f>
        <v>4.4532579490358852</v>
      </c>
      <c r="F63" s="301">
        <f>Thesis!E23</f>
        <v>0.2</v>
      </c>
      <c r="G63" s="440">
        <f>(1-E63/C36)</f>
        <v>0.33476170900869961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4.79815873645944</v>
      </c>
      <c r="E66" s="332">
        <f>C66+D66</f>
        <v>5.4616245960925687</v>
      </c>
      <c r="F66" s="301">
        <f>Thesis!E24</f>
        <v>0.1174</v>
      </c>
      <c r="G66" s="440">
        <f>(1-E66/C36)</f>
        <v>0.18412949487301444</v>
      </c>
    </row>
    <row r="67" spans="2:7" ht="13.15">
      <c r="B67" s="302" t="s">
        <v>313</v>
      </c>
      <c r="C67" s="119">
        <f>PV(F67, Holding_Period, -C58, 0)</f>
        <v>0.71840318747257947</v>
      </c>
      <c r="D67" s="119">
        <f>C36/(1+F67)^Holding_Period</f>
        <v>5.4263613412149851</v>
      </c>
      <c r="E67" s="332">
        <f>C67+D67</f>
        <v>6.1447645286875643</v>
      </c>
      <c r="F67" s="301">
        <f>Thesis!E25</f>
        <v>7.2499999999999995E-2</v>
      </c>
      <c r="G67" s="440">
        <f>(1-E67/C36)</f>
        <v>8.2080422829973632E-2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4.3499999999999996</v>
      </c>
    </row>
    <row r="9" spans="1:10">
      <c r="B9" s="351" t="s">
        <v>360</v>
      </c>
      <c r="C9" s="353">
        <f>Common_Shares</f>
        <v>2806072356</v>
      </c>
    </row>
    <row r="10" spans="1:10">
      <c r="B10" s="351" t="s">
        <v>366</v>
      </c>
      <c r="C10" s="357">
        <f>投资主题!C8*Common_Shares/1000000</f>
        <v>12206.414748599998</v>
      </c>
      <c r="D10" s="343" t="s">
        <v>528</v>
      </c>
      <c r="E10" s="360">
        <f>Scenarios!F34</f>
        <v>0.20990734081177126</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0.02</v>
      </c>
      <c r="D17" s="351" t="s">
        <v>338</v>
      </c>
      <c r="E17" s="344" t="str">
        <f>Reporting_currency</f>
        <v>CNY</v>
      </c>
    </row>
    <row r="18" spans="1:6">
      <c r="B18" s="343" t="str">
        <f>"预期股权价值 ("&amp;C7&amp;") :"</f>
        <v>预期股权价值 (HKD) :</v>
      </c>
      <c r="C18" s="359">
        <f>C125</f>
        <v>6.6942297359340106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3.5464177223186204</v>
      </c>
      <c r="D22" s="365" t="s">
        <v>439</v>
      </c>
      <c r="E22" s="366">
        <f>Thesis!E22</f>
        <v>0.3</v>
      </c>
    </row>
    <row r="23" spans="1:6">
      <c r="B23" s="343" t="s">
        <v>340</v>
      </c>
      <c r="C23" s="367">
        <f>E141</f>
        <v>4.4532579490358852</v>
      </c>
      <c r="D23" s="365" t="s">
        <v>440</v>
      </c>
      <c r="E23" s="368">
        <f>Thesis!E23</f>
        <v>0.2</v>
      </c>
    </row>
    <row r="24" spans="1:6">
      <c r="B24" s="343" t="s">
        <v>342</v>
      </c>
      <c r="C24" s="367">
        <f>E144</f>
        <v>5.4616245960925687</v>
      </c>
      <c r="D24" s="365" t="s">
        <v>442</v>
      </c>
      <c r="E24" s="368">
        <f>Thesis!E24</f>
        <v>0.1174</v>
      </c>
    </row>
    <row r="25" spans="1:6">
      <c r="B25" s="343" t="s">
        <v>341</v>
      </c>
      <c r="C25" s="367">
        <f>E145</f>
        <v>6.1447645286875643</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9.2858596293350901E-2</v>
      </c>
      <c r="F62" s="379"/>
    </row>
    <row r="63" spans="2:6">
      <c r="B63" s="377" t="s">
        <v>331</v>
      </c>
      <c r="C63" s="378">
        <f>Normalized_FCF!C92</f>
        <v>6.3218390804597707E-2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-2709704</v>
      </c>
      <c r="D78" s="343" t="str">
        <f>Reporting_currency</f>
        <v>CNY</v>
      </c>
    </row>
    <row r="79" spans="1:6">
      <c r="B79" s="372" t="s">
        <v>233</v>
      </c>
      <c r="C79" s="387">
        <f>C78*scaling_factor*Exchange_Rate/Common_Shares</f>
        <v>-1.1040300932910085</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0.77255995349984241</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0.29752880563504613</v>
      </c>
      <c r="D90" s="343" t="str">
        <f>Market_currency</f>
        <v>HKD</v>
      </c>
    </row>
    <row r="92" spans="1:6">
      <c r="B92" s="372" t="s">
        <v>479</v>
      </c>
      <c r="C92" s="387">
        <f>DCF!F8</f>
        <v>-3.3941334156119995E-2</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0.86340949964271019</v>
      </c>
      <c r="D111" s="343" t="str">
        <f>Market_currency</f>
        <v>HKD</v>
      </c>
    </row>
    <row r="112" spans="1:6">
      <c r="A112" s="385"/>
      <c r="B112" s="372" t="s">
        <v>376</v>
      </c>
      <c r="C112" s="394">
        <f>DCF!C11</f>
        <v>7.8139366040076501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8.16 HKD</v>
      </c>
      <c r="F118" s="399">
        <f>DCF!F90</f>
        <v>0.15</v>
      </c>
    </row>
    <row r="119" spans="1:6">
      <c r="A119" s="385"/>
      <c r="B119" s="400" t="str">
        <f>DCF!B91</f>
        <v>Optimistic</v>
      </c>
      <c r="C119" s="401">
        <f>DCF!C91</f>
        <v>0.03</v>
      </c>
      <c r="D119" s="402">
        <f>DCF!D91</f>
        <v>10</v>
      </c>
      <c r="E119" s="398" t="str">
        <f>ROUND(DCF!E91,2)&amp;" "&amp;Market_currency</f>
        <v>7.01 HKD</v>
      </c>
      <c r="F119" s="403">
        <f>DCF!F91</f>
        <v>0.15999999999999995</v>
      </c>
    </row>
    <row r="120" spans="1:6">
      <c r="B120" s="400" t="str">
        <f>DCF!B92</f>
        <v>Base</v>
      </c>
      <c r="C120" s="401">
        <f>DCF!C92</f>
        <v>0.02</v>
      </c>
      <c r="D120" s="402">
        <f>DCF!D92</f>
        <v>10</v>
      </c>
      <c r="E120" s="398" t="str">
        <f>ROUND(DCF!E92,2)&amp;" "&amp;Market_currency</f>
        <v>6.5 HKD</v>
      </c>
      <c r="F120" s="403">
        <f>DCF!F92</f>
        <v>0.44</v>
      </c>
    </row>
    <row r="121" spans="1:6">
      <c r="B121" s="400" t="str">
        <f>DCF!B93</f>
        <v>Pessimistic</v>
      </c>
      <c r="C121" s="401">
        <f>DCF!C93</f>
        <v>0.01</v>
      </c>
      <c r="D121" s="402">
        <f>DCF!D93</f>
        <v>10</v>
      </c>
      <c r="E121" s="398" t="str">
        <f>ROUND(DCF!E93,2)&amp;" "&amp;Market_currency</f>
        <v>6.03 HKD</v>
      </c>
      <c r="F121" s="403">
        <f>DCF!F93</f>
        <v>0.19999999999999998</v>
      </c>
    </row>
    <row r="122" spans="1:6">
      <c r="B122" s="400" t="str">
        <f>DCF!B94</f>
        <v>Devil's advocate</v>
      </c>
      <c r="C122" s="401">
        <f>DCF!C94</f>
        <v>0</v>
      </c>
      <c r="D122" s="402">
        <f>DCF!D94</f>
        <v>10</v>
      </c>
      <c r="E122" s="398" t="str">
        <f>ROUND(DCF!E94,2)&amp;" "&amp;Market_currency</f>
        <v>5.59 HKD</v>
      </c>
      <c r="F122" s="403">
        <f>DCF!F94</f>
        <v>0.05</v>
      </c>
    </row>
    <row r="124" spans="1:6">
      <c r="B124" s="470" t="s">
        <v>518</v>
      </c>
      <c r="C124" s="470"/>
      <c r="D124" s="470"/>
      <c r="E124" s="470"/>
      <c r="F124" s="470"/>
    </row>
    <row r="125" spans="1:6">
      <c r="B125" s="372" t="s">
        <v>217</v>
      </c>
      <c r="C125" s="404">
        <f>Scenarios!C36</f>
        <v>6.6942297359340106</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3.0469866799881697</v>
      </c>
      <c r="E140" s="410">
        <f>Scenarios!E62</f>
        <v>3.5464177223186204</v>
      </c>
      <c r="F140" s="411">
        <f>E22</f>
        <v>0.3</v>
      </c>
    </row>
    <row r="141" spans="1:6">
      <c r="B141" s="408" t="s">
        <v>312</v>
      </c>
      <c r="C141" s="409">
        <f>Scenarios!C63</f>
        <v>0.57928240740740733</v>
      </c>
      <c r="D141" s="409">
        <f>Scenarios!D63</f>
        <v>3.8739755416284782</v>
      </c>
      <c r="E141" s="410">
        <f>Scenarios!E63</f>
        <v>4.4532579490358852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4.79815873645944</v>
      </c>
      <c r="E144" s="410">
        <f>Scenarios!E66</f>
        <v>5.4616245960925687</v>
      </c>
      <c r="F144" s="411">
        <f>E24</f>
        <v>0.1174</v>
      </c>
    </row>
    <row r="145" spans="1:6">
      <c r="B145" s="408" t="s">
        <v>313</v>
      </c>
      <c r="C145" s="409">
        <f>Scenarios!C67</f>
        <v>0.71840318747257947</v>
      </c>
      <c r="D145" s="409">
        <f>Scenarios!D67</f>
        <v>5.4263613412149851</v>
      </c>
      <c r="E145" s="410">
        <f>Scenarios!E67</f>
        <v>6.1447645286875643</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