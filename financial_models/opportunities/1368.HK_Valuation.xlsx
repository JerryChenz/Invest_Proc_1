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06166D0-7312-48F9-A01D-1DF5418E42C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<sst xmlns="http://schemas.openxmlformats.org/spreadsheetml/2006/main" count="768" uniqueCount="559">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</sst>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4.5</v>
      </c>
      <c r="E8" s="32"/>
    </row>
    <row r="9" spans="1:9">
      <c r="B9" s="4" t="s">
        <v>345</v>
      </c>
      <c r="C9" s="48">
        <v>2806072356</v>
      </c>
    </row>
    <row r="10" spans="1:9">
      <c r="B10" s="4" t="s">
        <v>351</v>
      </c>
      <c r="C10" s="33">
        <f>Thesis!C8*Common_Shares/1000000</f>
        <v>12627.325602000001</v>
      </c>
      <c r="D10" s="1" t="s">
        <v>527</v>
      </c>
      <c r="E10" s="303">
        <f>Scenarios!F34</f>
        <v>0.17507743819135022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1.08</v>
      </c>
    </row>
    <row r="17" spans="1:6">
      <c r="B17" s="1" t="s">
        <v>531</v>
      </c>
      <c r="C17" s="456">
        <v>0.02</v>
      </c>
      <c r="D17" s="4" t="s">
        <v>273</v>
      </c>
      <c r="E17" s="224" t="s">
        <v>558</v>
      </c>
    </row>
    <row r="18" spans="1:6">
      <c r="B18" s="1" t="str">
        <f>"Expected Equity Value ("&amp;C7&amp;") :"</f>
        <v>Expected Equity Value (HKD) :</v>
      </c>
      <c r="C18" s="252">
        <f>C125</f>
        <v>6.3236298929310664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3.4173243414630332</v>
      </c>
      <c r="D22" s="38" t="s">
        <v>405</v>
      </c>
      <c r="E22" s="79">
        <v>0.29465259038036601</v>
      </c>
    </row>
    <row r="23" spans="1:6">
      <c r="B23" s="1" t="s">
        <v>312</v>
      </c>
      <c r="C23" s="256">
        <f>E141</f>
        <v>4.231239290802141</v>
      </c>
      <c r="D23" s="38" t="s">
        <v>406</v>
      </c>
      <c r="E23" s="443">
        <v>0.20075184365903001</v>
      </c>
    </row>
    <row r="24" spans="1:6">
      <c r="B24" s="1" t="s">
        <v>314</v>
      </c>
      <c r="C24" s="256">
        <f>E144</f>
        <v>5.1959933069705535</v>
      </c>
      <c r="D24" s="38" t="s">
        <v>407</v>
      </c>
      <c r="E24" s="443">
        <v>0.1174</v>
      </c>
    </row>
    <row r="25" spans="1:6">
      <c r="B25" s="1" t="s">
        <v>313</v>
      </c>
      <c r="C25" s="256">
        <f>E145</f>
        <v>5.844355259741115</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1471007.5</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-330469.25209947501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8.4793915239875603E-2</v>
      </c>
      <c r="F62" s="257"/>
    </row>
    <row r="63" spans="2:6">
      <c r="B63" s="204" t="s">
        <v>331</v>
      </c>
      <c r="C63" s="89">
        <f>Normalized_FCF!C92</f>
        <v>6.1111111111111116E-2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-2709704</v>
      </c>
      <c r="D78" s="1" t="str">
        <f>Reporting_currency</f>
        <v>CNY</v>
      </c>
    </row>
    <row r="79" spans="1:6">
      <c r="A79" s="191"/>
      <c r="B79" s="44" t="s">
        <v>233</v>
      </c>
      <c r="C79" s="201">
        <f>C78*scaling_factor*Exchange_Rate/Common_Shares</f>
        <v>-1.042909785894345</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0.72979019375578791</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0.28105728717709516</v>
      </c>
      <c r="D90" s="1" t="str">
        <f>Market_currency</f>
        <v>HKD</v>
      </c>
    </row>
    <row r="91" spans="1:6">
      <c r="A91" s="191"/>
    </row>
    <row r="92" spans="1:6">
      <c r="A92" s="191"/>
      <c r="B92" s="44" t="s">
        <v>468</v>
      </c>
      <c r="C92" s="216">
        <f>DCF!F8</f>
        <v>-3.2062304961461882E-2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0.81561021015952773</v>
      </c>
      <c r="D111" s="1" t="str">
        <f>Market_currency</f>
        <v>HKD</v>
      </c>
    </row>
    <row r="112" spans="2:6">
      <c r="B112" s="44" t="s">
        <v>322</v>
      </c>
      <c r="C112" s="216">
        <f>DCF!C11</f>
        <v>7.3813485702962334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7.71 HKD</v>
      </c>
      <c r="E118" s="208">
        <f>DCF!F90</f>
        <v>0.15</v>
      </c>
      <c r="F118" s="208">
        <f>RATE(Holding_Period,Scenarios!C$58,-DCF!E90,C$18)</f>
        <v>-2.5962898620842893E-2</v>
      </c>
    </row>
    <row r="119" spans="2:6">
      <c r="B119" s="205" t="str">
        <f>DCF!B91&amp;" ("&amp;DCF!D91&amp;"yrs)"</f>
        <v>Optimistic (10yrs)</v>
      </c>
      <c r="C119" s="198">
        <f>DCF!C91</f>
        <v>0.03</v>
      </c>
      <c r="D119" s="207" t="str">
        <f>ROUND(DCF!E91,2)&amp;" "&amp;Market_currency</f>
        <v>6.63 HKD</v>
      </c>
      <c r="E119" s="199">
        <f>DCF!F91</f>
        <v>0.15999999999999995</v>
      </c>
      <c r="F119" s="208">
        <f>RATE(Holding_Period,Scenarios!C$58,-DCF!E91,C$18)</f>
        <v>2.6668609069817772E-2</v>
      </c>
    </row>
    <row r="120" spans="2:6">
      <c r="B120" s="205" t="str">
        <f>DCF!B92&amp;" ("&amp;DCF!D92&amp;"yrs)"</f>
        <v>Base (10yrs)</v>
      </c>
      <c r="C120" s="198">
        <f>DCF!C92</f>
        <v>0.02</v>
      </c>
      <c r="D120" s="207" t="str">
        <f>ROUND(DCF!E92,2)&amp;" "&amp;Market_currency</f>
        <v>6.14 HKD</v>
      </c>
      <c r="E120" s="199">
        <f>DCF!F92</f>
        <v>0.44</v>
      </c>
      <c r="F120" s="208">
        <f>RATE(Holding_Period,Scenarios!C$58,-DCF!E92,C$18)</f>
        <v>5.4038831640183929E-2</v>
      </c>
    </row>
    <row r="121" spans="2:6">
      <c r="B121" s="205" t="str">
        <f>DCF!B93&amp;" ("&amp;DCF!D93&amp;"yrs)"</f>
        <v>Pessimistic (10yrs)</v>
      </c>
      <c r="C121" s="198">
        <f>DCF!C93</f>
        <v>0.01</v>
      </c>
      <c r="D121" s="207" t="str">
        <f>ROUND(DCF!E93,2)&amp;" "&amp;Market_currency</f>
        <v>5.7 HKD</v>
      </c>
      <c r="E121" s="199">
        <f>DCF!F93</f>
        <v>0.19999999999999998</v>
      </c>
      <c r="F121" s="208">
        <f>RATE(Holding_Period,Scenarios!C$58,-DCF!E93,C$18)</f>
        <v>8.2120404534868074E-2</v>
      </c>
    </row>
    <row r="122" spans="2:6">
      <c r="B122" s="205" t="str">
        <f>DCF!B94&amp;" ("&amp;DCF!D94&amp;"yrs)"</f>
        <v>Devil's advocate (10yrs)</v>
      </c>
      <c r="C122" s="198">
        <f>DCF!C94</f>
        <v>0</v>
      </c>
      <c r="D122" s="207" t="str">
        <f>ROUND(DCF!E94,2)&amp;" "&amp;Market_currency</f>
        <v>5.28 HKD</v>
      </c>
      <c r="E122" s="199">
        <f>DCF!F94</f>
        <v>0.05</v>
      </c>
      <c r="F122" s="208">
        <f>RATE(Holding_Period,Scenarios!C$58,-DCF!E94,C$18)</f>
        <v>0.11091778888498864</v>
      </c>
    </row>
    <row r="124" spans="2:6">
      <c r="B124" s="463" t="s">
        <v>356</v>
      </c>
      <c r="C124" s="463"/>
      <c r="D124" s="463"/>
      <c r="E124" s="463"/>
      <c r="F124" s="463"/>
    </row>
    <row r="125" spans="2:6">
      <c r="B125" s="193" t="s">
        <v>217</v>
      </c>
      <c r="C125" s="197">
        <f>Scenarios!C36</f>
        <v>6.3236298929310664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0.50320918343028298</v>
      </c>
      <c r="D140" s="333">
        <f>Scenarios!D62</f>
        <v>2.9141151580327502</v>
      </c>
      <c r="E140" s="334">
        <f>Scenarios!E62</f>
        <v>3.4173243414630332</v>
      </c>
      <c r="F140" s="335">
        <f>E22</f>
        <v>0.29465259038036601</v>
      </c>
    </row>
    <row r="141" spans="1:6">
      <c r="B141" s="336" t="s">
        <v>312</v>
      </c>
      <c r="C141" s="333">
        <f>Scenarios!C63</f>
        <v>0.5786010854989968</v>
      </c>
      <c r="D141" s="333">
        <f>Scenarios!D63</f>
        <v>3.6526382053031443</v>
      </c>
      <c r="E141" s="334">
        <f>Scenarios!E63</f>
        <v>4.231239290802141</v>
      </c>
      <c r="F141" s="335">
        <f>Scenarios!F63</f>
        <v>0.20075184365903001</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4.5325274473374249</v>
      </c>
      <c r="E144" s="334">
        <f>Scenarios!E66</f>
        <v>5.1959933069705535</v>
      </c>
      <c r="F144" s="335">
        <f>E24</f>
        <v>0.1174</v>
      </c>
    </row>
    <row r="145" spans="1:6">
      <c r="B145" s="336" t="s">
        <v>313</v>
      </c>
      <c r="C145" s="333">
        <f>Scenarios!C67</f>
        <v>0.71840318747257947</v>
      </c>
      <c r="D145" s="333">
        <f>Scenarios!D67</f>
        <v>5.1259520722685359</v>
      </c>
      <c r="E145" s="334">
        <f>Scenarios!E67</f>
        <v>5.844355259741115</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3.9267429496033994</v>
      </c>
      <c r="D47" s="134">
        <f>D46*H1/Common_Shares*Exchange_Rate</f>
        <v>0.81561021015952773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-2926480.3200000003</v>
      </c>
      <c r="D86" s="201">
        <f>C86*scaling_factor/Common_Shares</f>
        <v>-1.042909785894345</v>
      </c>
      <c r="E86" s="214" t="str">
        <f>Market_currency</f>
        <v>HKD</v>
      </c>
    </row>
    <row r="87" spans="2:8" ht="15" customHeight="1">
      <c r="B87" s="212" t="s">
        <v>239</v>
      </c>
      <c r="C87" s="73">
        <f>DCF!F5*Exchange_Rate</f>
        <v>2047844.0883780003</v>
      </c>
      <c r="D87" s="201">
        <f>C87*scaling_factor/Common_Shares</f>
        <v>0.72979019375578791</v>
      </c>
      <c r="E87" s="214" t="str">
        <f>Market_currency</f>
        <v>HKD</v>
      </c>
    </row>
    <row r="88" spans="2:8" ht="15" customHeight="1">
      <c r="B88" s="213" t="s">
        <v>158</v>
      </c>
      <c r="C88" s="73">
        <f>DCF!F6*Exchange_Rate</f>
        <v>788667.08400000015</v>
      </c>
      <c r="D88" s="201">
        <f>C88*scaling_factor/Common_Shares</f>
        <v>0.28105728717709522</v>
      </c>
      <c r="E88" s="214" t="str">
        <f>Market_currency</f>
        <v>HKD</v>
      </c>
    </row>
    <row r="89" spans="2:8" ht="15" customHeight="1">
      <c r="B89" s="77" t="s">
        <v>243</v>
      </c>
      <c r="C89" s="162">
        <f>SUM(C86:C88)</f>
        <v>-89969.147621999844</v>
      </c>
      <c r="D89" s="216">
        <f>SUM(D86:D88)</f>
        <v>-3.2062304961461896E-2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6.1111111111111116E-2</v>
      </c>
      <c r="E92" s="237"/>
      <c r="G92" s="22">
        <f t="shared" ref="G92:Q92" si="38">IF(G$4="","",(G88*(1-dividend_tax_rate))/Market_Price)</f>
        <v>6.1111111111111116E-2</v>
      </c>
      <c r="H92" s="22">
        <f t="shared" si="38"/>
        <v>5.577777777777778E-2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0.38157261857944025</v>
      </c>
      <c r="D123" s="26"/>
      <c r="E123" s="234"/>
      <c r="F123" s="26"/>
      <c r="G123" s="159">
        <f t="shared" ref="G123:Q123" si="48">IF(G$4="","",G14*$C$3/Common_Shares*Exchange_Rate)</f>
        <v>0.30780861304347634</v>
      </c>
      <c r="H123" s="159">
        <f t="shared" si="48"/>
        <v>0.33733811531123614</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8.4793915239875603E-2</v>
      </c>
      <c r="D124" s="26"/>
      <c r="E124" s="234"/>
      <c r="F124" s="26"/>
      <c r="G124" s="74">
        <f t="shared" ref="G124" si="49">IF(G$4="","",G123/Market_Price)</f>
        <v>6.8401914009661405E-2</v>
      </c>
      <c r="H124" s="74">
        <f t="shared" ref="H124" si="50">IF(H$4="","",H123/Market_Price)</f>
        <v>7.4964025624719141E-2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0.10861927879508876</v>
      </c>
      <c r="H125" s="22">
        <f>IF(H$4="","",(Data!D47*$C$3)/(Market_Price*Common_Shares))</f>
        <v>0.10338721287057218</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-3.2062304961461882E-2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1.08</v>
      </c>
      <c r="D9" t="str">
        <f>Thesis!E15</f>
        <v>CNY/HKD</v>
      </c>
      <c r="F9" s="322"/>
      <c r="H9" s="308" t="str">
        <f>Normalized_FCF!B79</f>
        <v>NCI’s Share of Profits</v>
      </c>
      <c r="I9" s="144">
        <f>Normalized_FCF!C79</f>
        <v>0</v>
      </c>
      <c r="J9" s="306"/>
      <c r="N9" s="304"/>
      <c r="O9" s="304"/>
    </row>
    <row r="10" spans="2:15" ht="13.5" thickTop="1">
      <c r="B10" s="107" t="s">
        <v>426</v>
      </c>
      <c r="C10" s="283">
        <f>C8*Exchange_Rate</f>
        <v>20712598.173108384</v>
      </c>
      <c r="D10" t="str">
        <f>Market_currency</f>
        <v>HKD</v>
      </c>
      <c r="H10" s="308" t="s">
        <v>396</v>
      </c>
      <c r="I10" s="306">
        <f>Normalized_FCF!C41</f>
        <v>0.25</v>
      </c>
      <c r="N10" s="304"/>
      <c r="O10" s="304"/>
    </row>
    <row r="11" spans="2:15" ht="13.15">
      <c r="B11" s="136" t="s">
        <v>424</v>
      </c>
      <c r="C11" s="108">
        <f>(C10*scaling_factor)/Common_Shares</f>
        <v>7.3813485702962334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6.3251389761285743</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7.3813485702962334</v>
      </c>
      <c r="C73" s="119">
        <f>C11</f>
        <v>7.3813485702962334</v>
      </c>
      <c r="D73" s="119">
        <f>C11</f>
        <v>7.3813485702962334</v>
      </c>
      <c r="E73" s="119">
        <f>C11</f>
        <v>7.3813485702962334</v>
      </c>
      <c r="F73" s="119">
        <f>C11</f>
        <v>7.3813485702962334</v>
      </c>
      <c r="G73" s="296"/>
      <c r="H73" s="296"/>
      <c r="I73" s="296"/>
      <c r="J73" s="296"/>
      <c r="K73" s="296"/>
      <c r="L73" s="296"/>
    </row>
    <row r="74" spans="1:21" ht="13.15">
      <c r="A74" s="131">
        <v>1</v>
      </c>
      <c r="B74" s="119">
        <f t="shared" ref="B74:F87" si="11">(B56+FV_adjustments)/Common_Shares*scaling_factor*Exchange_Rate</f>
        <v>5.329154134849337</v>
      </c>
      <c r="C74" s="119">
        <f t="shared" si="11"/>
        <v>5.3827662992474439</v>
      </c>
      <c r="D74" s="119">
        <f t="shared" si="11"/>
        <v>5.4363784636455526</v>
      </c>
      <c r="E74" s="119">
        <f t="shared" si="11"/>
        <v>5.4899906280436612</v>
      </c>
      <c r="F74" s="119">
        <f t="shared" si="11"/>
        <v>5.5972149568398768</v>
      </c>
      <c r="G74" s="296"/>
      <c r="H74" s="296"/>
      <c r="I74" s="296"/>
      <c r="J74" s="296"/>
      <c r="K74" s="296"/>
      <c r="L74" s="296"/>
    </row>
    <row r="75" spans="1:21" ht="13.15">
      <c r="A75" s="131">
        <v>2</v>
      </c>
      <c r="B75" s="119">
        <f t="shared" si="11"/>
        <v>5.3225195676634707</v>
      </c>
      <c r="C75" s="119">
        <f t="shared" si="11"/>
        <v>5.4265532987832747</v>
      </c>
      <c r="D75" s="119">
        <f t="shared" si="11"/>
        <v>5.5315867905445364</v>
      </c>
      <c r="E75" s="119">
        <f t="shared" si="11"/>
        <v>5.6376200429472565</v>
      </c>
      <c r="F75" s="119">
        <f t="shared" si="11"/>
        <v>5.852685829677065</v>
      </c>
      <c r="G75" s="296"/>
      <c r="H75" s="296"/>
      <c r="I75" s="296"/>
      <c r="J75" s="296"/>
      <c r="K75" s="296"/>
      <c r="L75" s="296"/>
    </row>
    <row r="76" spans="1:21" ht="13.15">
      <c r="A76" s="131">
        <v>3</v>
      </c>
      <c r="B76" s="119">
        <f t="shared" si="11"/>
        <v>5.3163334910332907</v>
      </c>
      <c r="C76" s="119">
        <f t="shared" si="11"/>
        <v>5.4677886083694656</v>
      </c>
      <c r="D76" s="119">
        <f t="shared" si="11"/>
        <v>5.6221345699729435</v>
      </c>
      <c r="E76" s="119">
        <f t="shared" si="11"/>
        <v>5.77939934117635</v>
      </c>
      <c r="F76" s="119">
        <f t="shared" si="11"/>
        <v>6.1027971737134692</v>
      </c>
      <c r="G76" s="296"/>
      <c r="H76" s="296"/>
      <c r="I76" s="296"/>
      <c r="J76" s="296"/>
      <c r="K76" s="296"/>
      <c r="L76" s="296"/>
    </row>
    <row r="77" spans="1:21" ht="13.15">
      <c r="A77" s="131">
        <v>4</v>
      </c>
      <c r="B77" s="119">
        <f t="shared" si="11"/>
        <v>5.3105655874154065</v>
      </c>
      <c r="C77" s="119">
        <f t="shared" si="11"/>
        <v>5.5066209278865292</v>
      </c>
      <c r="D77" s="119">
        <f t="shared" si="11"/>
        <v>5.7082499406181384</v>
      </c>
      <c r="E77" s="119">
        <f t="shared" si="11"/>
        <v>5.9155603455362247</v>
      </c>
      <c r="F77" s="119">
        <f t="shared" si="11"/>
        <v>6.3476614266162441</v>
      </c>
      <c r="G77" s="296"/>
      <c r="H77" s="296"/>
      <c r="I77" s="296"/>
      <c r="J77" s="296"/>
      <c r="K77" s="296"/>
      <c r="L77" s="296"/>
    </row>
    <row r="78" spans="1:21" ht="13.15">
      <c r="A78" s="131">
        <v>5</v>
      </c>
      <c r="B78" s="119">
        <f t="shared" si="11"/>
        <v>5.3051875887040945</v>
      </c>
      <c r="C78" s="119">
        <f t="shared" si="11"/>
        <v>5.5431902917207809</v>
      </c>
      <c r="D78" s="119">
        <f t="shared" si="11"/>
        <v>5.7901498735394448</v>
      </c>
      <c r="E78" s="119">
        <f t="shared" si="11"/>
        <v>6.046325692380675</v>
      </c>
      <c r="F78" s="119">
        <f t="shared" si="11"/>
        <v>6.5873886672203588</v>
      </c>
      <c r="G78" s="296"/>
      <c r="H78" s="296"/>
      <c r="I78" s="296"/>
      <c r="J78" s="296"/>
      <c r="K78" s="296"/>
      <c r="L78" s="296"/>
    </row>
    <row r="79" spans="1:21" ht="13.15">
      <c r="A79" s="131">
        <v>6</v>
      </c>
      <c r="B79" s="119">
        <f t="shared" si="11"/>
        <v>5.3001731376912158</v>
      </c>
      <c r="C79" s="119">
        <f t="shared" si="11"/>
        <v>5.5776285737465097</v>
      </c>
      <c r="D79" s="119">
        <f t="shared" si="11"/>
        <v>5.868040718835231</v>
      </c>
      <c r="E79" s="119">
        <f t="shared" si="11"/>
        <v>6.1719091956438756</v>
      </c>
      <c r="F79" s="119">
        <f t="shared" si="11"/>
        <v>6.8220866650145995</v>
      </c>
      <c r="G79" s="296"/>
      <c r="H79" s="296"/>
      <c r="I79" s="296"/>
      <c r="J79" s="296"/>
      <c r="K79" s="296"/>
      <c r="L79" s="296"/>
    </row>
    <row r="80" spans="1:21" ht="13.15">
      <c r="A80" s="131">
        <f t="shared" ref="A80" si="12">A62</f>
        <v>7</v>
      </c>
      <c r="B80" s="119">
        <f t="shared" si="11"/>
        <v>5.2954976588913292</v>
      </c>
      <c r="C80" s="119">
        <f t="shared" si="11"/>
        <v>5.610059962880297</v>
      </c>
      <c r="D80" s="119">
        <f t="shared" si="11"/>
        <v>5.9421187255501051</v>
      </c>
      <c r="E80" s="119">
        <f t="shared" si="11"/>
        <v>6.2925161964467637</v>
      </c>
      <c r="F80" s="119">
        <f t="shared" si="11"/>
        <v>7.0518609285893774</v>
      </c>
      <c r="G80" s="296"/>
      <c r="H80" s="296"/>
      <c r="I80" s="296"/>
      <c r="J80" s="296"/>
      <c r="K80" s="296"/>
      <c r="L80" s="296"/>
    </row>
    <row r="81" spans="1:12" ht="13.15">
      <c r="A81" s="131">
        <v>8</v>
      </c>
      <c r="B81" s="119">
        <f t="shared" si="11"/>
        <v>5.2911382380988927</v>
      </c>
      <c r="C81" s="119">
        <f t="shared" si="11"/>
        <v>5.6406014109223719</v>
      </c>
      <c r="D81" s="119">
        <f t="shared" si="11"/>
        <v>6.0125705361320838</v>
      </c>
      <c r="E81" s="119">
        <f t="shared" si="11"/>
        <v>6.4083438988495365</v>
      </c>
      <c r="F81" s="119">
        <f t="shared" si="11"/>
        <v>7.2768147530681828</v>
      </c>
      <c r="G81" s="296"/>
      <c r="H81" s="296"/>
      <c r="I81" s="296"/>
      <c r="J81" s="296"/>
      <c r="K81" s="296"/>
      <c r="L81" s="296"/>
    </row>
    <row r="82" spans="1:12" ht="13.15">
      <c r="A82" s="131">
        <f t="shared" ref="A82" si="13">A64</f>
        <v>9</v>
      </c>
      <c r="B82" s="119">
        <f t="shared" si="11"/>
        <v>5.2870735100872981</v>
      </c>
      <c r="C82" s="119">
        <f t="shared" si="11"/>
        <v>5.6693630542999891</v>
      </c>
      <c r="D82" s="119">
        <f t="shared" si="11"/>
        <v>6.0795736566855725</v>
      </c>
      <c r="E82" s="119">
        <f t="shared" si="11"/>
        <v>6.5195816922992869</v>
      </c>
      <c r="F82" s="119">
        <f t="shared" si="11"/>
        <v>7.4970492665439359</v>
      </c>
      <c r="G82" s="296"/>
      <c r="H82" s="296"/>
      <c r="I82" s="296"/>
      <c r="J82" s="296"/>
      <c r="K82" s="296"/>
      <c r="L82" s="296"/>
    </row>
    <row r="83" spans="1:12" ht="13.15">
      <c r="A83" s="131">
        <f t="shared" ref="A83:A87" si="14">A65</f>
        <v>10</v>
      </c>
      <c r="B83" s="119">
        <f t="shared" si="11"/>
        <v>5.2832835538993308</v>
      </c>
      <c r="C83" s="119">
        <f t="shared" si="11"/>
        <v>5.6964486112336896</v>
      </c>
      <c r="D83" s="119">
        <f t="shared" si="11"/>
        <v>6.1432969042049761</v>
      </c>
      <c r="E83" s="119">
        <f t="shared" si="11"/>
        <v>6.6264114612999778</v>
      </c>
      <c r="F83" s="119">
        <f t="shared" si="11"/>
        <v>7.712663475541178</v>
      </c>
      <c r="G83" s="296"/>
      <c r="H83" s="296"/>
      <c r="I83" s="296"/>
      <c r="J83" s="296"/>
      <c r="K83" s="296"/>
      <c r="L83" s="296"/>
    </row>
    <row r="84" spans="1:12" ht="13.15">
      <c r="A84" s="131">
        <f t="shared" si="14"/>
        <v>15</v>
      </c>
      <c r="B84" s="119">
        <f t="shared" si="11"/>
        <v>5.2678474527200683</v>
      </c>
      <c r="C84" s="119">
        <f t="shared" si="11"/>
        <v>5.8099613033752524</v>
      </c>
      <c r="D84" s="119">
        <f t="shared" si="11"/>
        <v>6.4180672836565051</v>
      </c>
      <c r="E84" s="119">
        <f t="shared" si="11"/>
        <v>7.1003170501250823</v>
      </c>
      <c r="F84" s="119">
        <f t="shared" si="11"/>
        <v>8.724752202250734</v>
      </c>
      <c r="G84" s="296"/>
      <c r="H84" s="296"/>
      <c r="I84" s="296"/>
      <c r="J84" s="296"/>
      <c r="K84" s="296"/>
      <c r="L84" s="296"/>
    </row>
    <row r="85" spans="1:12" ht="13.15">
      <c r="A85" s="132">
        <f t="shared" si="14"/>
        <v>20</v>
      </c>
      <c r="B85" s="119">
        <f t="shared" si="11"/>
        <v>5.2569694011765851</v>
      </c>
      <c r="C85" s="119">
        <f t="shared" si="11"/>
        <v>5.8940358992482649</v>
      </c>
      <c r="D85" s="119">
        <f t="shared" si="11"/>
        <v>6.6318557481429679</v>
      </c>
      <c r="E85" s="119">
        <f t="shared" si="11"/>
        <v>7.4874779134885658</v>
      </c>
      <c r="F85" s="119">
        <f t="shared" si="11"/>
        <v>9.6350397010539037</v>
      </c>
      <c r="G85" s="296"/>
      <c r="H85" s="296"/>
      <c r="I85" s="296"/>
      <c r="J85" s="296"/>
      <c r="K85" s="296"/>
      <c r="L85" s="296"/>
    </row>
    <row r="86" spans="1:12" ht="13.15">
      <c r="A86" s="132">
        <f t="shared" si="14"/>
        <v>25</v>
      </c>
      <c r="B86" s="119">
        <f t="shared" si="11"/>
        <v>5.249303475434818</v>
      </c>
      <c r="C86" s="119">
        <f t="shared" si="11"/>
        <v>5.9563068007470612</v>
      </c>
      <c r="D86" s="119">
        <f t="shared" si="11"/>
        <v>6.7981964855933148</v>
      </c>
      <c r="E86" s="119">
        <f t="shared" si="11"/>
        <v>7.803771997489501</v>
      </c>
      <c r="F86" s="119">
        <f t="shared" si="11"/>
        <v>10.453765676958508</v>
      </c>
      <c r="G86" s="296"/>
      <c r="H86" s="296"/>
      <c r="I86" s="296"/>
      <c r="J86" s="296"/>
      <c r="K86" s="296"/>
      <c r="L86" s="296"/>
    </row>
    <row r="87" spans="1:12" ht="13.15">
      <c r="A87" s="132">
        <f t="shared" si="14"/>
        <v>30</v>
      </c>
      <c r="B87" s="119">
        <f t="shared" si="11"/>
        <v>5.2439011828235556</v>
      </c>
      <c r="C87" s="119">
        <f t="shared" si="11"/>
        <v>6.0024285231675867</v>
      </c>
      <c r="D87" s="119">
        <f t="shared" si="11"/>
        <v>6.9276199369567415</v>
      </c>
      <c r="E87" s="119">
        <f t="shared" si="11"/>
        <v>8.0621709139111388</v>
      </c>
      <c r="F87" s="119">
        <f t="shared" si="11"/>
        <v>11.190139871377589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7.712663475541178</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6.6264114612999778</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6.1432969042049761</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5.6964486112336896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5.2832835538993308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6.6264114612999778</v>
      </c>
      <c r="F22" s="328">
        <f>1-F23-F24</f>
        <v>0.19999999999999996</v>
      </c>
      <c r="G22" s="328">
        <f>F22*(1-F$29-F$30)</f>
        <v>0.15999999999999995</v>
      </c>
    </row>
    <row r="23" spans="2:7">
      <c r="B23" s="302" t="s">
        <v>436</v>
      </c>
      <c r="C23" s="324">
        <v>0.02</v>
      </c>
      <c r="D23" s="325">
        <f>C18</f>
        <v>10</v>
      </c>
      <c r="E23" s="326">
        <f>DCF!E92</f>
        <v>6.1432969042049761</v>
      </c>
      <c r="F23" s="327">
        <v>0.55000000000000004</v>
      </c>
      <c r="G23" s="328">
        <f t="shared" ref="G23:G24" si="0">F23*(1-F$29-F$30)</f>
        <v>0.44</v>
      </c>
    </row>
    <row r="24" spans="2:7">
      <c r="B24" s="302" t="s">
        <v>445</v>
      </c>
      <c r="C24" s="324">
        <v>0.01</v>
      </c>
      <c r="D24" s="325">
        <f>C18</f>
        <v>10</v>
      </c>
      <c r="E24" s="326">
        <f>DCF!E93</f>
        <v>5.6964486112336896</v>
      </c>
      <c r="F24" s="327">
        <v>0.25</v>
      </c>
      <c r="G24" s="328">
        <f t="shared" si="0"/>
        <v>0.19999999999999998</v>
      </c>
    </row>
    <row r="25" spans="2:7">
      <c r="B25" s="141" t="s">
        <v>450</v>
      </c>
      <c r="C25" s="441">
        <f>E23*F23+E24*F24+E22*F22</f>
        <v>6.1282077423811554</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7.712663475541178</v>
      </c>
      <c r="F29" s="327">
        <v>0.15</v>
      </c>
      <c r="G29" s="328">
        <f>F29</f>
        <v>0.15</v>
      </c>
    </row>
    <row r="30" spans="2:7">
      <c r="B30" s="315" t="s">
        <v>446</v>
      </c>
      <c r="C30" s="324">
        <v>0</v>
      </c>
      <c r="D30" s="325">
        <f>C18</f>
        <v>10</v>
      </c>
      <c r="E30" s="326">
        <f>DCF!E94</f>
        <v>5.2832835538993308</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4.5</v>
      </c>
      <c r="D34" t="str">
        <f>Market_currency</f>
        <v>HKD</v>
      </c>
      <c r="E34" s="97" t="s">
        <v>453</v>
      </c>
      <c r="F34" s="330">
        <f>RATE(Holding_Period,$C$33,-C34,$C$36)</f>
        <v>0.17507743819135022</v>
      </c>
    </row>
    <row r="35" spans="2:7">
      <c r="B35" s="97" t="s">
        <v>433</v>
      </c>
      <c r="C35" s="320">
        <f>DCF!C11</f>
        <v>7.3813485702962334</v>
      </c>
      <c r="D35" s="97" t="str">
        <f>Market_currency</f>
        <v>HKD</v>
      </c>
      <c r="E35" s="97" t="s">
        <v>453</v>
      </c>
      <c r="F35" s="330">
        <f>RATE(Holding_Period,$C$33,-C35,$C$36)</f>
        <v>-1.1040571761082373E-2</v>
      </c>
    </row>
    <row r="36" spans="2:7">
      <c r="B36" s="97" t="s">
        <v>434</v>
      </c>
      <c r="C36" s="321">
        <f>E22*G22+E23*G23+E24*G24+E30*G30+E29*G29</f>
        <v>6.3236298929310664</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6.3251389761285743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-5.0702374276051588E-3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0.50320918343028298</v>
      </c>
      <c r="D62" s="119">
        <f>C36/(1+F62)^Holding_Period</f>
        <v>2.9141151580327502</v>
      </c>
      <c r="E62" s="332">
        <f>C62+D62</f>
        <v>3.4173243414630332</v>
      </c>
      <c r="F62" s="301">
        <f>Thesis!E22</f>
        <v>0.29465259038036601</v>
      </c>
      <c r="G62" s="440">
        <f>(1-E62/C36)</f>
        <v>0.45959450516180211</v>
      </c>
    </row>
    <row r="63" spans="2:7" ht="13.15">
      <c r="B63" s="302" t="s">
        <v>312</v>
      </c>
      <c r="C63" s="119">
        <f>PV(F63, Holding_Period, -C58, 0)</f>
        <v>0.5786010854989968</v>
      </c>
      <c r="D63" s="119">
        <f>C36/(1+F63)^Holding_Period</f>
        <v>3.6526382053031443</v>
      </c>
      <c r="E63" s="332">
        <f>C63+D63</f>
        <v>4.231239290802141</v>
      </c>
      <c r="F63" s="301">
        <f>Thesis!E23</f>
        <v>0.20075184365903001</v>
      </c>
      <c r="G63" s="440">
        <f>(1-E63/C36)</f>
        <v>0.33088441884746056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4.5325274473374249</v>
      </c>
      <c r="E66" s="332">
        <f>C66+D66</f>
        <v>5.1959933069705535</v>
      </c>
      <c r="F66" s="301">
        <f>Thesis!E24</f>
        <v>0.1174</v>
      </c>
      <c r="G66" s="440">
        <f>(1-E66/C36)</f>
        <v>0.17832109169150667</v>
      </c>
    </row>
    <row r="67" spans="2:7" ht="13.15">
      <c r="B67" s="302" t="s">
        <v>313</v>
      </c>
      <c r="C67" s="119">
        <f>PV(F67, Holding_Period, -C58, 0)</f>
        <v>0.71840318747257947</v>
      </c>
      <c r="D67" s="119">
        <f>C36/(1+F67)^Holding_Period</f>
        <v>5.1259520722685359</v>
      </c>
      <c r="E67" s="332">
        <f>C67+D67</f>
        <v>5.844355259741115</v>
      </c>
      <c r="F67" s="301">
        <f>Thesis!E25</f>
        <v>7.2499999999999995E-2</v>
      </c>
      <c r="G67" s="440">
        <f>(1-E67/C36)</f>
        <v>7.5791063250825852E-2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4.5</v>
      </c>
    </row>
    <row r="9" spans="1:10">
      <c r="B9" s="351" t="s">
        <v>360</v>
      </c>
      <c r="C9" s="353">
        <f>Common_Shares</f>
        <v>2806072356</v>
      </c>
    </row>
    <row r="10" spans="1:10">
      <c r="B10" s="351" t="s">
        <v>366</v>
      </c>
      <c r="C10" s="357">
        <f>投资主题!C8*Common_Shares/1000000</f>
        <v>12627.325602000001</v>
      </c>
      <c r="D10" s="343" t="s">
        <v>528</v>
      </c>
      <c r="E10" s="360">
        <f>Scenarios!F34</f>
        <v>0.17507743819135022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1.08</v>
      </c>
    </row>
    <row r="17" spans="1:6">
      <c r="B17" s="343" t="s">
        <v>534</v>
      </c>
      <c r="C17" s="424">
        <f>Terminal_Growth</f>
        <v>0.02</v>
      </c>
      <c r="D17" s="351" t="s">
        <v>338</v>
      </c>
      <c r="E17" s="344" t="str">
        <f>Reporting_currency</f>
        <v>CNY</v>
      </c>
    </row>
    <row r="18" spans="1:6">
      <c r="B18" s="343" t="str">
        <f>"预期股权价值 ("&amp;C7&amp;") :"</f>
        <v>预期股权价值 (HKD) :</v>
      </c>
      <c r="C18" s="359">
        <f>C125</f>
        <v>6.3236298929310664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3.4173243414630332</v>
      </c>
      <c r="D22" s="365" t="s">
        <v>439</v>
      </c>
      <c r="E22" s="366">
        <f>Thesis!E22</f>
        <v>0.29465259038036601</v>
      </c>
    </row>
    <row r="23" spans="1:6">
      <c r="B23" s="343" t="s">
        <v>340</v>
      </c>
      <c r="C23" s="367">
        <f>E141</f>
        <v>4.231239290802141</v>
      </c>
      <c r="D23" s="365" t="s">
        <v>440</v>
      </c>
      <c r="E23" s="368">
        <f>Thesis!E23</f>
        <v>0.20075184365903001</v>
      </c>
    </row>
    <row r="24" spans="1:6">
      <c r="B24" s="343" t="s">
        <v>342</v>
      </c>
      <c r="C24" s="367">
        <f>E144</f>
        <v>5.1959933069705535</v>
      </c>
      <c r="D24" s="365" t="s">
        <v>442</v>
      </c>
      <c r="E24" s="368">
        <f>Thesis!E24</f>
        <v>0.1174</v>
      </c>
    </row>
    <row r="25" spans="1:6">
      <c r="B25" s="343" t="s">
        <v>341</v>
      </c>
      <c r="C25" s="367">
        <f>E145</f>
        <v>5.844355259741115</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8.4793915239875603E-2</v>
      </c>
      <c r="F62" s="379"/>
    </row>
    <row r="63" spans="2:6">
      <c r="B63" s="377" t="s">
        <v>331</v>
      </c>
      <c r="C63" s="378">
        <f>Normalized_FCF!C92</f>
        <v>6.1111111111111116E-2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-2709704</v>
      </c>
      <c r="D78" s="343" t="str">
        <f>Reporting_currency</f>
        <v>CNY</v>
      </c>
    </row>
    <row r="79" spans="1:6">
      <c r="B79" s="372" t="s">
        <v>233</v>
      </c>
      <c r="C79" s="387">
        <f>C78*scaling_factor*Exchange_Rate/Common_Shares</f>
        <v>-1.042909785894345</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0.72979019375578791</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0.28105728717709516</v>
      </c>
      <c r="D90" s="343" t="str">
        <f>Market_currency</f>
        <v>HKD</v>
      </c>
    </row>
    <row r="92" spans="1:6">
      <c r="B92" s="372" t="s">
        <v>479</v>
      </c>
      <c r="C92" s="387">
        <f>DCF!F8</f>
        <v>-3.2062304961461882E-2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0.81561021015952773</v>
      </c>
      <c r="D111" s="343" t="str">
        <f>Market_currency</f>
        <v>HKD</v>
      </c>
    </row>
    <row r="112" spans="1:6">
      <c r="A112" s="385"/>
      <c r="B112" s="372" t="s">
        <v>376</v>
      </c>
      <c r="C112" s="394">
        <f>DCF!C11</f>
        <v>7.3813485702962334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7.71 HKD</v>
      </c>
      <c r="F118" s="399">
        <f>DCF!F90</f>
        <v>0.15</v>
      </c>
    </row>
    <row r="119" spans="1:6">
      <c r="A119" s="385"/>
      <c r="B119" s="400" t="str">
        <f>DCF!B91</f>
        <v>Optimistic</v>
      </c>
      <c r="C119" s="401">
        <f>DCF!C91</f>
        <v>0.03</v>
      </c>
      <c r="D119" s="402">
        <f>DCF!D91</f>
        <v>10</v>
      </c>
      <c r="E119" s="398" t="str">
        <f>ROUND(DCF!E91,2)&amp;" "&amp;Market_currency</f>
        <v>6.63 HKD</v>
      </c>
      <c r="F119" s="403">
        <f>DCF!F91</f>
        <v>0.15999999999999995</v>
      </c>
    </row>
    <row r="120" spans="1:6">
      <c r="B120" s="400" t="str">
        <f>DCF!B92</f>
        <v>Base</v>
      </c>
      <c r="C120" s="401">
        <f>DCF!C92</f>
        <v>0.02</v>
      </c>
      <c r="D120" s="402">
        <f>DCF!D92</f>
        <v>10</v>
      </c>
      <c r="E120" s="398" t="str">
        <f>ROUND(DCF!E92,2)&amp;" "&amp;Market_currency</f>
        <v>6.14 HKD</v>
      </c>
      <c r="F120" s="403">
        <f>DCF!F92</f>
        <v>0.44</v>
      </c>
    </row>
    <row r="121" spans="1:6">
      <c r="B121" s="400" t="str">
        <f>DCF!B93</f>
        <v>Pessimistic</v>
      </c>
      <c r="C121" s="401">
        <f>DCF!C93</f>
        <v>0.01</v>
      </c>
      <c r="D121" s="402">
        <f>DCF!D93</f>
        <v>10</v>
      </c>
      <c r="E121" s="398" t="str">
        <f>ROUND(DCF!E93,2)&amp;" "&amp;Market_currency</f>
        <v>5.7 HKD</v>
      </c>
      <c r="F121" s="403">
        <f>DCF!F93</f>
        <v>0.19999999999999998</v>
      </c>
    </row>
    <row r="122" spans="1:6">
      <c r="B122" s="400" t="str">
        <f>DCF!B94</f>
        <v>Devil's advocate</v>
      </c>
      <c r="C122" s="401">
        <f>DCF!C94</f>
        <v>0</v>
      </c>
      <c r="D122" s="402">
        <f>DCF!D94</f>
        <v>10</v>
      </c>
      <c r="E122" s="398" t="str">
        <f>ROUND(DCF!E94,2)&amp;" "&amp;Market_currency</f>
        <v>5.28 HKD</v>
      </c>
      <c r="F122" s="403">
        <f>DCF!F94</f>
        <v>0.05</v>
      </c>
    </row>
    <row r="124" spans="1:6">
      <c r="B124" s="470" t="s">
        <v>518</v>
      </c>
      <c r="C124" s="470"/>
      <c r="D124" s="470"/>
      <c r="E124" s="470"/>
      <c r="F124" s="470"/>
    </row>
    <row r="125" spans="1:6">
      <c r="B125" s="372" t="s">
        <v>217</v>
      </c>
      <c r="C125" s="404">
        <f>Scenarios!C36</f>
        <v>6.3236298929310664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0.50320918343028298</v>
      </c>
      <c r="D140" s="409">
        <f>Scenarios!D62</f>
        <v>2.9141151580327502</v>
      </c>
      <c r="E140" s="410">
        <f>Scenarios!E62</f>
        <v>3.4173243414630332</v>
      </c>
      <c r="F140" s="411">
        <f>E22</f>
        <v>0.29465259038036601</v>
      </c>
    </row>
    <row r="141" spans="1:6">
      <c r="B141" s="408" t="s">
        <v>312</v>
      </c>
      <c r="C141" s="409">
        <f>Scenarios!C63</f>
        <v>0.5786010854989968</v>
      </c>
      <c r="D141" s="409">
        <f>Scenarios!D63</f>
        <v>3.6526382053031443</v>
      </c>
      <c r="E141" s="410">
        <f>Scenarios!E63</f>
        <v>4.231239290802141</v>
      </c>
      <c r="F141" s="411">
        <f>Scenarios!F63</f>
        <v>0.20075184365903001</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4.5325274473374249</v>
      </c>
      <c r="E144" s="410">
        <f>Scenarios!E66</f>
        <v>5.1959933069705535</v>
      </c>
      <c r="F144" s="411">
        <f>E24</f>
        <v>0.1174</v>
      </c>
    </row>
    <row r="145" spans="1:6">
      <c r="B145" s="408" t="s">
        <v>313</v>
      </c>
      <c r="C145" s="409">
        <f>Scenarios!C67</f>
        <v>0.71840318747257947</v>
      </c>
      <c r="D145" s="409">
        <f>Scenarios!D67</f>
        <v>5.1259520722685359</v>
      </c>
      <c r="E145" s="410">
        <f>Scenarios!E67</f>
        <v>5.844355259741115</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2026-04-02T02:53:49Z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