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E44AFFD8-44D0-47E4-957F-62912044F137}"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Normalized_FCF" sheetId="2" r:id="rId3"/>
    <sheet name="BS" sheetId="3" r:id="rId4"/>
    <sheet name="Valuation_Model" sheetId="8" r:id="rId5"/>
    <sheet name="Scenarios" sheetId="9" r:id="rId6"/>
  </sheets>
  <definedNames>
    <definedName name="_xlnm._FilterDatabase" localSheetId="4" hidden="1">Valuation_Model!$B$73:$H$73</definedName>
    <definedName name="Common_Shares">Thesis!$C$11</definedName>
    <definedName name="Equity_Cost">Valuation_Model!$C$5</definedName>
    <definedName name="Exchange_Rate">Thesis!$C$13</definedName>
    <definedName name="Market_currency">Thesis!$D$10</definedName>
    <definedName name="Market_Price">Thesis!$C$10</definedName>
    <definedName name="Reporting_currency">Thesis!$C$12</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D7" i="8" l="1"/>
  <c r="D8" i="8"/>
  <c r="D9" i="8"/>
  <c r="D6" i="8"/>
  <c r="D11" i="8"/>
  <c r="B67" i="8" l="1"/>
  <c r="C67" i="8"/>
  <c r="D67" i="8"/>
  <c r="E67" i="8"/>
  <c r="F67" i="8"/>
  <c r="B68" i="8"/>
  <c r="C68" i="8"/>
  <c r="D68" i="8"/>
  <c r="E68" i="8"/>
  <c r="F68" i="8"/>
  <c r="B69" i="8"/>
  <c r="C69" i="8"/>
  <c r="D69" i="8"/>
  <c r="E69" i="8"/>
  <c r="F69" i="8"/>
  <c r="B70" i="8"/>
  <c r="C70" i="8"/>
  <c r="D70" i="8"/>
  <c r="E70" i="8"/>
  <c r="F70" i="8"/>
  <c r="B71" i="8"/>
  <c r="C71" i="8"/>
  <c r="D71" i="8"/>
  <c r="E71" i="8"/>
  <c r="F71" i="8"/>
  <c r="C66" i="8"/>
  <c r="D66" i="8"/>
  <c r="E66" i="8"/>
  <c r="F66" i="8"/>
  <c r="B66" i="8"/>
  <c r="D65" i="3"/>
  <c r="C8" i="8" s="1"/>
  <c r="Q95" i="2" l="1"/>
  <c r="B118" i="2"/>
  <c r="M102" i="2"/>
  <c r="N102" i="2"/>
  <c r="O102" i="2"/>
  <c r="P102" i="2"/>
  <c r="Q102" i="2"/>
  <c r="M103" i="2"/>
  <c r="N103" i="2"/>
  <c r="O103" i="2"/>
  <c r="P103" i="2"/>
  <c r="Q103" i="2"/>
  <c r="E85" i="2"/>
  <c r="E84" i="2"/>
  <c r="G38" i="3"/>
  <c r="G37" i="3"/>
  <c r="D74" i="3"/>
  <c r="D73" i="3"/>
  <c r="C74" i="3"/>
  <c r="C73" i="3"/>
  <c r="C68" i="3"/>
  <c r="C27" i="3" l="1"/>
  <c r="C4" i="3"/>
  <c r="G18" i="3"/>
  <c r="H23" i="3" s="1"/>
  <c r="C16" i="3"/>
  <c r="C19" i="3"/>
  <c r="C50" i="9"/>
  <c r="C66" i="3"/>
  <c r="D57" i="4"/>
  <c r="H59" i="2" s="1"/>
  <c r="E57" i="4"/>
  <c r="I59" i="2" s="1"/>
  <c r="F57" i="4"/>
  <c r="J59" i="2" s="1"/>
  <c r="G57" i="4"/>
  <c r="K59" i="2" s="1"/>
  <c r="H57" i="4"/>
  <c r="L59" i="2" s="1"/>
  <c r="I57" i="4"/>
  <c r="M59" i="2" s="1"/>
  <c r="J57" i="4"/>
  <c r="N59" i="2" s="1"/>
  <c r="K57" i="4"/>
  <c r="O59" i="2" s="1"/>
  <c r="L57" i="4"/>
  <c r="P59" i="2" s="1"/>
  <c r="M57" i="4"/>
  <c r="Q59" i="2" s="1"/>
  <c r="C57" i="4"/>
  <c r="G59" i="2" s="1"/>
  <c r="K58" i="4"/>
  <c r="O61" i="2" s="1"/>
  <c r="L58" i="4"/>
  <c r="P61" i="2" s="1"/>
  <c r="M58" i="4"/>
  <c r="Q61" i="2" s="1"/>
  <c r="D56" i="4"/>
  <c r="H57" i="2" s="1"/>
  <c r="E56" i="4"/>
  <c r="I57" i="2" s="1"/>
  <c r="F56" i="4"/>
  <c r="J57" i="2" s="1"/>
  <c r="G56" i="4"/>
  <c r="K57" i="2" s="1"/>
  <c r="H56" i="4"/>
  <c r="L57" i="2" s="1"/>
  <c r="I56" i="4"/>
  <c r="M57" i="2" s="1"/>
  <c r="J56" i="4"/>
  <c r="N57" i="2" s="1"/>
  <c r="K56" i="4"/>
  <c r="O57" i="2" s="1"/>
  <c r="L56" i="4"/>
  <c r="P57" i="2" s="1"/>
  <c r="M56" i="4"/>
  <c r="Q57" i="2" s="1"/>
  <c r="C56" i="4"/>
  <c r="G57" i="2" s="1"/>
  <c r="K44" i="4"/>
  <c r="L44" i="4"/>
  <c r="M44" i="4"/>
  <c r="B22" i="4"/>
  <c r="G39" i="3" l="1"/>
  <c r="H39" i="3"/>
  <c r="D24" i="3"/>
  <c r="G36" i="3"/>
  <c r="D12" i="3"/>
  <c r="G65" i="2"/>
  <c r="D72" i="3"/>
  <c r="D75" i="3" s="1"/>
  <c r="H42" i="3" s="1"/>
  <c r="C9" i="8" s="1"/>
  <c r="C72" i="3"/>
  <c r="C75" i="3" s="1"/>
  <c r="G42" i="3" s="1"/>
  <c r="B46" i="3"/>
  <c r="D83" i="9"/>
  <c r="D78" i="9"/>
  <c r="D73" i="9"/>
  <c r="D70" i="9"/>
  <c r="D64" i="9"/>
  <c r="D55" i="9"/>
  <c r="D52" i="9"/>
  <c r="D40" i="9"/>
  <c r="D46" i="9"/>
  <c r="D12" i="8"/>
  <c r="C11" i="8"/>
  <c r="D10" i="8"/>
  <c r="H1" i="3"/>
  <c r="B78" i="8"/>
  <c r="B77" i="8"/>
  <c r="B76" i="8"/>
  <c r="B75" i="8"/>
  <c r="B74" i="8"/>
  <c r="D74" i="8"/>
  <c r="C74" i="8"/>
  <c r="F55" i="8" s="1"/>
  <c r="F64" i="8" s="1"/>
  <c r="C68" i="9"/>
  <c r="C62" i="9"/>
  <c r="C53" i="9"/>
  <c r="E55" i="4"/>
  <c r="I58" i="2" s="1"/>
  <c r="F55" i="4"/>
  <c r="J58" i="2" s="1"/>
  <c r="G55" i="4"/>
  <c r="K58" i="2" s="1"/>
  <c r="H55" i="4"/>
  <c r="L58" i="2" s="1"/>
  <c r="I55" i="4"/>
  <c r="M58" i="2" s="1"/>
  <c r="J55" i="4"/>
  <c r="N58" i="2" s="1"/>
  <c r="K55" i="4"/>
  <c r="O58" i="2" s="1"/>
  <c r="L55" i="4"/>
  <c r="P58" i="2" s="1"/>
  <c r="M55" i="4"/>
  <c r="Q58" i="2" s="1"/>
  <c r="D55" i="4"/>
  <c r="H58" i="2" s="1"/>
  <c r="C55" i="4"/>
  <c r="G58" i="2" s="1"/>
  <c r="G30" i="3"/>
  <c r="H12" i="3"/>
  <c r="C67" i="3"/>
  <c r="G67" i="2"/>
  <c r="G66" i="2" l="1"/>
  <c r="C66" i="2" s="1"/>
  <c r="C58" i="2" s="1"/>
  <c r="C67" i="2"/>
  <c r="C59" i="2" s="1"/>
  <c r="C65" i="2" l="1"/>
  <c r="C57" i="2" s="1"/>
  <c r="C60" i="2" s="1"/>
  <c r="C77" i="8"/>
  <c r="C55" i="8" s="1"/>
  <c r="C44" i="9"/>
  <c r="D77" i="8" s="1"/>
  <c r="D78" i="8"/>
  <c r="C38" i="9"/>
  <c r="D76" i="8" s="1"/>
  <c r="C29" i="9"/>
  <c r="C76" i="8"/>
  <c r="D55" i="8" s="1"/>
  <c r="D21" i="9"/>
  <c r="C77" i="9"/>
  <c r="F77" i="9"/>
  <c r="C5" i="8"/>
  <c r="C78" i="8"/>
  <c r="B55" i="8" s="1"/>
  <c r="B64" i="8" s="1"/>
  <c r="D75" i="8"/>
  <c r="C75" i="8"/>
  <c r="E55" i="8" s="1"/>
  <c r="C17" i="8"/>
  <c r="C16" i="8"/>
  <c r="Q94" i="2"/>
  <c r="D51" i="8"/>
  <c r="D90" i="6"/>
  <c r="A74" i="6"/>
  <c r="C43" i="6"/>
  <c r="A71" i="8"/>
  <c r="A70" i="8"/>
  <c r="C62" i="2" l="1"/>
  <c r="C11" i="2" s="1"/>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H32" i="3" l="1"/>
  <c r="H27" i="3" s="1"/>
  <c r="H29" i="3" s="1"/>
  <c r="D46" i="3" s="1"/>
  <c r="D64" i="8"/>
  <c r="E64" i="8"/>
  <c r="A67" i="8"/>
  <c r="A68" i="8"/>
  <c r="A69" i="8"/>
  <c r="A66" i="8"/>
  <c r="D4" i="8"/>
  <c r="I64" i="4" l="1"/>
  <c r="M89" i="2" s="1"/>
  <c r="J64" i="4"/>
  <c r="N89" i="2" s="1"/>
  <c r="K64" i="4"/>
  <c r="O89" i="2" s="1"/>
  <c r="L64" i="4"/>
  <c r="P89" i="2" s="1"/>
  <c r="M64" i="4"/>
  <c r="Q89" i="2" s="1"/>
  <c r="D23" i="6" l="1"/>
  <c r="C22" i="6"/>
  <c r="C100" i="2"/>
  <c r="C101" i="2"/>
  <c r="K75" i="4"/>
  <c r="L75" i="4"/>
  <c r="M75" i="4"/>
  <c r="E78" i="4"/>
  <c r="I102" i="2" s="1"/>
  <c r="F78" i="4"/>
  <c r="J102" i="2" s="1"/>
  <c r="G78" i="4"/>
  <c r="K102" i="2" s="1"/>
  <c r="H78" i="4"/>
  <c r="L102" i="2" s="1"/>
  <c r="I78" i="4"/>
  <c r="J78" i="4"/>
  <c r="K78" i="4"/>
  <c r="L78" i="4"/>
  <c r="M78" i="4"/>
  <c r="E79" i="4"/>
  <c r="I103" i="2" s="1"/>
  <c r="F79" i="4"/>
  <c r="J103" i="2" s="1"/>
  <c r="G79" i="4"/>
  <c r="K103" i="2" s="1"/>
  <c r="H79" i="4"/>
  <c r="L103" i="2" s="1"/>
  <c r="I79" i="4"/>
  <c r="J79" i="4"/>
  <c r="K79" i="4"/>
  <c r="L79" i="4"/>
  <c r="M79" i="4"/>
  <c r="C78" i="4"/>
  <c r="D78" i="4"/>
  <c r="H102" i="2" s="1"/>
  <c r="C76" i="4"/>
  <c r="C77" i="4"/>
  <c r="M71" i="4"/>
  <c r="B71" i="4"/>
  <c r="M67" i="4"/>
  <c r="M68" i="4"/>
  <c r="M69" i="4"/>
  <c r="M70" i="4"/>
  <c r="B70" i="4"/>
  <c r="B69" i="4"/>
  <c r="B68" i="4"/>
  <c r="B67" i="4"/>
  <c r="D13" i="6"/>
  <c r="D1" i="4"/>
  <c r="J75" i="4" l="1"/>
  <c r="I75" i="4"/>
  <c r="H75" i="4"/>
  <c r="F75" i="4"/>
  <c r="E75" i="4"/>
  <c r="G75" i="4"/>
  <c r="C46" i="4" l="1"/>
  <c r="G14" i="2" s="1"/>
  <c r="C47" i="4"/>
  <c r="C48" i="4"/>
  <c r="G15" i="2" s="1"/>
  <c r="C65" i="3"/>
  <c r="C69" i="3" s="1"/>
  <c r="C24" i="3"/>
  <c r="G23" i="3"/>
  <c r="G12" i="3"/>
  <c r="C12" i="3"/>
  <c r="K45" i="4"/>
  <c r="L45" i="4"/>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8" i="2" s="1"/>
  <c r="E52" i="4"/>
  <c r="I48" i="2" s="1"/>
  <c r="F52" i="4"/>
  <c r="J48" i="2" s="1"/>
  <c r="G52" i="4"/>
  <c r="K48" i="2" s="1"/>
  <c r="H52" i="4"/>
  <c r="L48" i="2" s="1"/>
  <c r="I52" i="4"/>
  <c r="M48" i="2" s="1"/>
  <c r="J52" i="4"/>
  <c r="N48" i="2" s="1"/>
  <c r="K52" i="4"/>
  <c r="O48" i="2" s="1"/>
  <c r="L52" i="4"/>
  <c r="P48" i="2" s="1"/>
  <c r="M52" i="4"/>
  <c r="Q48" i="2" s="1"/>
  <c r="C51" i="4"/>
  <c r="G47" i="2" s="1"/>
  <c r="C52" i="4"/>
  <c r="G48" i="2" s="1"/>
  <c r="D62" i="4"/>
  <c r="H10" i="2" s="1"/>
  <c r="E62" i="4"/>
  <c r="I10" i="2" s="1"/>
  <c r="F62" i="4"/>
  <c r="J10" i="2" s="1"/>
  <c r="G62" i="4"/>
  <c r="K10" i="2" s="1"/>
  <c r="H62" i="4"/>
  <c r="L10" i="2" s="1"/>
  <c r="I62" i="4"/>
  <c r="M10" i="2" s="1"/>
  <c r="J62" i="4"/>
  <c r="N10" i="2" s="1"/>
  <c r="K62" i="4"/>
  <c r="O10" i="2" s="1"/>
  <c r="L62" i="4"/>
  <c r="P10" i="2" s="1"/>
  <c r="M62" i="4"/>
  <c r="Q10" i="2" s="1"/>
  <c r="D63" i="4"/>
  <c r="E63" i="4"/>
  <c r="F63" i="4"/>
  <c r="G63" i="4"/>
  <c r="H63" i="4"/>
  <c r="I63" i="4"/>
  <c r="J63" i="4"/>
  <c r="K63" i="4"/>
  <c r="L63" i="4"/>
  <c r="M63" i="4"/>
  <c r="C63" i="4"/>
  <c r="C62" i="4"/>
  <c r="G10" i="2" s="1"/>
  <c r="D61" i="4"/>
  <c r="H9" i="2" s="1"/>
  <c r="E61" i="4"/>
  <c r="I9" i="2" s="1"/>
  <c r="F61" i="4"/>
  <c r="J9" i="2" s="1"/>
  <c r="G61" i="4"/>
  <c r="K9" i="2" s="1"/>
  <c r="H61" i="4"/>
  <c r="L9" i="2" s="1"/>
  <c r="I61" i="4"/>
  <c r="M9" i="2" s="1"/>
  <c r="J61" i="4"/>
  <c r="N9" i="2" s="1"/>
  <c r="K61" i="4"/>
  <c r="O9" i="2" s="1"/>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K43" i="4"/>
  <c r="L43" i="4"/>
  <c r="M43" i="4"/>
  <c r="D64" i="4"/>
  <c r="H89" i="2" s="1"/>
  <c r="E64" i="4"/>
  <c r="I89" i="2" s="1"/>
  <c r="F64" i="4"/>
  <c r="J89" i="2" s="1"/>
  <c r="G64" i="4"/>
  <c r="K89" i="2" s="1"/>
  <c r="H64" i="4"/>
  <c r="L89" i="2" s="1"/>
  <c r="C64" i="4"/>
  <c r="G89" i="2" s="1"/>
  <c r="C89" i="2" s="1"/>
  <c r="C78" i="9" s="1"/>
  <c r="C81" i="9" s="1"/>
  <c r="G102" i="2"/>
  <c r="C79" i="4"/>
  <c r="E76" i="4"/>
  <c r="F76" i="4"/>
  <c r="G76" i="4"/>
  <c r="H76" i="4"/>
  <c r="E77" i="4"/>
  <c r="F77" i="4"/>
  <c r="G77" i="4"/>
  <c r="H77" i="4"/>
  <c r="D77" i="4"/>
  <c r="D79" i="4"/>
  <c r="H103" i="2" s="1"/>
  <c r="D76" i="4"/>
  <c r="G41" i="3" l="1"/>
  <c r="C68" i="2"/>
  <c r="J45" i="4"/>
  <c r="I45" i="4"/>
  <c r="G35" i="3"/>
  <c r="G40" i="3"/>
  <c r="D59" i="3"/>
  <c r="C9" i="2" s="1"/>
  <c r="G103" i="2"/>
  <c r="C75" i="4"/>
  <c r="D75" i="4"/>
  <c r="C45" i="4"/>
  <c r="F45" i="4"/>
  <c r="D45" i="4"/>
  <c r="G45" i="4"/>
  <c r="E45" i="4"/>
  <c r="H45" i="4"/>
  <c r="I41" i="4"/>
  <c r="M33" i="2" s="1"/>
  <c r="J41" i="4"/>
  <c r="N33" i="2" s="1"/>
  <c r="K41" i="4"/>
  <c r="O33" i="2" s="1"/>
  <c r="L41" i="4"/>
  <c r="P33" i="2" s="1"/>
  <c r="M41" i="4"/>
  <c r="Q33" i="2" s="1"/>
  <c r="D41" i="4"/>
  <c r="H33" i="2" s="1"/>
  <c r="D36" i="4"/>
  <c r="C71" i="4" s="1"/>
  <c r="E36" i="4"/>
  <c r="D71" i="4" s="1"/>
  <c r="F36" i="4"/>
  <c r="E71" i="4" s="1"/>
  <c r="G36" i="4"/>
  <c r="F71" i="4" s="1"/>
  <c r="H36" i="4"/>
  <c r="G71" i="4" s="1"/>
  <c r="I36" i="4"/>
  <c r="H71" i="4" s="1"/>
  <c r="J36" i="4"/>
  <c r="I71" i="4" s="1"/>
  <c r="K36" i="4"/>
  <c r="J71" i="4" s="1"/>
  <c r="L36" i="4"/>
  <c r="K71" i="4" s="1"/>
  <c r="M36" i="4"/>
  <c r="L71" i="4" s="1"/>
  <c r="C36" i="4"/>
  <c r="B39" i="2"/>
  <c r="C34" i="2"/>
  <c r="B38" i="2"/>
  <c r="B29" i="2"/>
  <c r="G32" i="3" l="1"/>
  <c r="G27" i="3" s="1"/>
  <c r="L69" i="4"/>
  <c r="L67" i="4"/>
  <c r="L68" i="4"/>
  <c r="L70" i="4"/>
  <c r="D67" i="4"/>
  <c r="D68" i="4"/>
  <c r="D70" i="4"/>
  <c r="K69" i="4"/>
  <c r="K68" i="4"/>
  <c r="K70" i="4"/>
  <c r="K67" i="4"/>
  <c r="C67" i="4"/>
  <c r="C68" i="4"/>
  <c r="C70" i="4"/>
  <c r="J68" i="4"/>
  <c r="J70" i="4"/>
  <c r="J69" i="4"/>
  <c r="J67" i="4"/>
  <c r="I70" i="4"/>
  <c r="I67" i="4"/>
  <c r="I68" i="4"/>
  <c r="E68" i="4"/>
  <c r="E67" i="4"/>
  <c r="E70" i="4"/>
  <c r="H67" i="4"/>
  <c r="H70" i="4"/>
  <c r="H68" i="4"/>
  <c r="G67" i="4"/>
  <c r="G68" i="4"/>
  <c r="G70" i="4"/>
  <c r="F68" i="4"/>
  <c r="F70" i="4"/>
  <c r="F67" i="4"/>
  <c r="J4" i="2"/>
  <c r="Q4" i="2"/>
  <c r="Q80" i="2" s="1"/>
  <c r="Q111" i="2" s="1"/>
  <c r="P4" i="2"/>
  <c r="P80" i="2" s="1"/>
  <c r="P111" i="2" s="1"/>
  <c r="I4" i="2"/>
  <c r="G4" i="2"/>
  <c r="H4" i="2"/>
  <c r="L4" i="2"/>
  <c r="K4" i="2"/>
  <c r="K38" i="4"/>
  <c r="O4" i="2"/>
  <c r="O80" i="2" s="1"/>
  <c r="O111" i="2" s="1"/>
  <c r="J38" i="4"/>
  <c r="J43" i="4" s="1"/>
  <c r="J44" i="4" s="1"/>
  <c r="J58" i="4" s="1"/>
  <c r="N61" i="2" s="1"/>
  <c r="N4" i="2"/>
  <c r="I38" i="4"/>
  <c r="I43" i="4" s="1"/>
  <c r="I44" i="4" s="1"/>
  <c r="I58" i="4" s="1"/>
  <c r="M61" i="2" s="1"/>
  <c r="M4" i="2"/>
  <c r="H41" i="4"/>
  <c r="L33" i="2" s="1"/>
  <c r="G38" i="4"/>
  <c r="G43" i="4" s="1"/>
  <c r="G44" i="4" s="1"/>
  <c r="E41" i="4"/>
  <c r="I33" i="2" s="1"/>
  <c r="G41" i="4"/>
  <c r="K33" i="2" s="1"/>
  <c r="H38" i="4"/>
  <c r="H43" i="4" s="1"/>
  <c r="C41" i="4"/>
  <c r="G33" i="2" s="1"/>
  <c r="C33" i="2" s="1"/>
  <c r="F41" i="4"/>
  <c r="J33" i="2" s="1"/>
  <c r="C38" i="4"/>
  <c r="C43" i="4" s="1"/>
  <c r="D38" i="4"/>
  <c r="D43" i="4" s="1"/>
  <c r="D44" i="4" s="1"/>
  <c r="F38" i="4"/>
  <c r="F43" i="4" s="1"/>
  <c r="F44" i="4" s="1"/>
  <c r="L38" i="4"/>
  <c r="E38" i="4"/>
  <c r="E43" i="4" s="1"/>
  <c r="M38" i="4"/>
  <c r="A53" i="6"/>
  <c r="A45" i="6"/>
  <c r="A36" i="6"/>
  <c r="A18" i="6"/>
  <c r="C14" i="6"/>
  <c r="B9" i="6"/>
  <c r="H99" i="2" l="1"/>
  <c r="P54" i="2"/>
  <c r="P118" i="2"/>
  <c r="P119" i="2"/>
  <c r="P99" i="2"/>
  <c r="M99" i="2"/>
  <c r="N99" i="2"/>
  <c r="Q54" i="2"/>
  <c r="Q118" i="2"/>
  <c r="Q119" i="2"/>
  <c r="Q99" i="2"/>
  <c r="K99" i="2"/>
  <c r="I99" i="2"/>
  <c r="O54" i="2"/>
  <c r="O118" i="2"/>
  <c r="O119" i="2"/>
  <c r="O99" i="2"/>
  <c r="J99" i="2"/>
  <c r="L99" i="2"/>
  <c r="G108" i="2"/>
  <c r="N101" i="2"/>
  <c r="N107" i="2" s="1"/>
  <c r="N100" i="2"/>
  <c r="N106" i="2" s="1"/>
  <c r="O8" i="2"/>
  <c r="O101" i="2"/>
  <c r="O100" i="2"/>
  <c r="J100" i="2"/>
  <c r="J106" i="2" s="1"/>
  <c r="J101" i="2"/>
  <c r="J107" i="2" s="1"/>
  <c r="M101" i="2"/>
  <c r="M107" i="2" s="1"/>
  <c r="M100" i="2"/>
  <c r="M106" i="2" s="1"/>
  <c r="H100" i="2"/>
  <c r="H106" i="2" s="1"/>
  <c r="H101" i="2"/>
  <c r="H107" i="2" s="1"/>
  <c r="I100" i="2"/>
  <c r="I106" i="2" s="1"/>
  <c r="I101" i="2"/>
  <c r="I107" i="2" s="1"/>
  <c r="P8" i="2"/>
  <c r="P100" i="2"/>
  <c r="P101" i="2"/>
  <c r="Q8" i="2"/>
  <c r="Q100" i="2"/>
  <c r="Q101" i="2"/>
  <c r="K101" i="2"/>
  <c r="K100" i="2"/>
  <c r="K106" i="2" s="1"/>
  <c r="L100" i="2"/>
  <c r="L106" i="2" s="1"/>
  <c r="L101" i="2"/>
  <c r="L107" i="2" s="1"/>
  <c r="H60" i="2"/>
  <c r="G60" i="2"/>
  <c r="G68" i="2" s="1"/>
  <c r="I60" i="2"/>
  <c r="Q60" i="2"/>
  <c r="Q62" i="2"/>
  <c r="Q11" i="2" s="1"/>
  <c r="M60" i="2"/>
  <c r="M62" i="2" s="1"/>
  <c r="M11" i="2" s="1"/>
  <c r="M78" i="2" s="1"/>
  <c r="P60" i="2"/>
  <c r="P62" i="2"/>
  <c r="P11" i="2" s="1"/>
  <c r="J60" i="2"/>
  <c r="N60" i="2"/>
  <c r="N62" i="2" s="1"/>
  <c r="N11" i="2" s="1"/>
  <c r="N78" i="2" s="1"/>
  <c r="K60" i="2"/>
  <c r="O62" i="2"/>
  <c r="O11" i="2" s="1"/>
  <c r="O60" i="2"/>
  <c r="L60" i="2"/>
  <c r="H69" i="4"/>
  <c r="I69" i="4"/>
  <c r="C4" i="2"/>
  <c r="C108" i="2" s="1"/>
  <c r="F58" i="4"/>
  <c r="J61" i="2" s="1"/>
  <c r="D58" i="4"/>
  <c r="H61" i="2" s="1"/>
  <c r="G58" i="4"/>
  <c r="H44" i="4"/>
  <c r="H58" i="4" s="1"/>
  <c r="E44" i="4"/>
  <c r="E58" i="4" s="1"/>
  <c r="C44" i="4"/>
  <c r="C58" i="4" s="1"/>
  <c r="Q43" i="2"/>
  <c r="Q13" i="2"/>
  <c r="Q16" i="2"/>
  <c r="P43" i="2"/>
  <c r="P16" i="2"/>
  <c r="P13" i="2"/>
  <c r="O43" i="2"/>
  <c r="O13" i="2"/>
  <c r="O16" i="2"/>
  <c r="C103" i="2"/>
  <c r="G52" i="2"/>
  <c r="C48" i="2" s="1"/>
  <c r="P19" i="2"/>
  <c r="P91" i="2"/>
  <c r="Q19" i="2"/>
  <c r="Q91" i="2"/>
  <c r="O19" i="2"/>
  <c r="O91" i="2"/>
  <c r="M94" i="2"/>
  <c r="O94" i="2"/>
  <c r="P94" i="2"/>
  <c r="N94" i="2"/>
  <c r="L94" i="2"/>
  <c r="G94" i="2"/>
  <c r="I94" i="2"/>
  <c r="C99" i="2"/>
  <c r="D60" i="3"/>
  <c r="K94" i="2"/>
  <c r="H94" i="2"/>
  <c r="J94" i="2"/>
  <c r="O90" i="2"/>
  <c r="Q90" i="2"/>
  <c r="P90" i="2"/>
  <c r="P113" i="2"/>
  <c r="P114" i="2"/>
  <c r="Q113" i="2"/>
  <c r="Q114" i="2"/>
  <c r="O114" i="2"/>
  <c r="O113" i="2"/>
  <c r="O107" i="2"/>
  <c r="O106" i="2"/>
  <c r="Q106" i="2"/>
  <c r="Q107" i="2"/>
  <c r="P106" i="2"/>
  <c r="P107" i="2"/>
  <c r="K81" i="2"/>
  <c r="K107" i="2"/>
  <c r="I84" i="2"/>
  <c r="Q78" i="2"/>
  <c r="H84" i="2"/>
  <c r="J29" i="2"/>
  <c r="P82" i="2"/>
  <c r="G77" i="2"/>
  <c r="G100" i="2"/>
  <c r="G106" i="2" s="1"/>
  <c r="G101" i="2"/>
  <c r="G107" i="2" s="1"/>
  <c r="G99" i="2"/>
  <c r="L82" i="2"/>
  <c r="J76" i="2"/>
  <c r="P76" i="2"/>
  <c r="I25" i="2"/>
  <c r="I30" i="2" s="1"/>
  <c r="E69" i="4"/>
  <c r="Q35" i="2"/>
  <c r="Q7" i="2" s="1"/>
  <c r="Q76" i="2"/>
  <c r="H29" i="2"/>
  <c r="Q6" i="2"/>
  <c r="Q49" i="2"/>
  <c r="Q12" i="2" s="1"/>
  <c r="Q82" i="2"/>
  <c r="Q38" i="2"/>
  <c r="Q74" i="2"/>
  <c r="Q86" i="2"/>
  <c r="K25" i="2"/>
  <c r="K30" i="2" s="1"/>
  <c r="I81" i="2"/>
  <c r="K49" i="2"/>
  <c r="K12" i="2" s="1"/>
  <c r="K79" i="2" s="1"/>
  <c r="Q83" i="2"/>
  <c r="Q79" i="2"/>
  <c r="Q81" i="2"/>
  <c r="Q72" i="2"/>
  <c r="Q25" i="2"/>
  <c r="Q5" i="2" s="1"/>
  <c r="P95" i="2" s="1"/>
  <c r="Q84" i="2"/>
  <c r="Q29" i="2"/>
  <c r="K38" i="2"/>
  <c r="Q75" i="2"/>
  <c r="Q40" i="2"/>
  <c r="Q39" i="2"/>
  <c r="Q30" i="2"/>
  <c r="Q28" i="2"/>
  <c r="Q73" i="2"/>
  <c r="Q77" i="2"/>
  <c r="F69" i="4"/>
  <c r="J35" i="2"/>
  <c r="J40" i="2" s="1"/>
  <c r="H49" i="2"/>
  <c r="H12" i="2" s="1"/>
  <c r="H79" i="2" s="1"/>
  <c r="I29" i="2"/>
  <c r="H39" i="2"/>
  <c r="H81" i="2"/>
  <c r="C69" i="4"/>
  <c r="I39" i="2"/>
  <c r="H82" i="2"/>
  <c r="D69" i="4"/>
  <c r="H76" i="2"/>
  <c r="I49" i="2"/>
  <c r="I12" i="2" s="1"/>
  <c r="I79" i="2" s="1"/>
  <c r="H77" i="2"/>
  <c r="I38" i="2"/>
  <c r="I77" i="2"/>
  <c r="H28" i="2"/>
  <c r="H35" i="2"/>
  <c r="H40" i="2" s="1"/>
  <c r="I76" i="2"/>
  <c r="I28" i="2"/>
  <c r="H38" i="2"/>
  <c r="G69" i="4"/>
  <c r="H25" i="2"/>
  <c r="H30" i="2" s="1"/>
  <c r="I82" i="2"/>
  <c r="L49" i="2"/>
  <c r="L12" i="2" s="1"/>
  <c r="L79" i="2" s="1"/>
  <c r="J49" i="2"/>
  <c r="J12" i="2" s="1"/>
  <c r="J79" i="2" s="1"/>
  <c r="J39" i="2"/>
  <c r="L77" i="2"/>
  <c r="J82" i="2"/>
  <c r="J77" i="2"/>
  <c r="J25" i="2"/>
  <c r="J30" i="2" s="1"/>
  <c r="J28" i="2"/>
  <c r="L28" i="2"/>
  <c r="L25" i="2"/>
  <c r="L30" i="2" s="1"/>
  <c r="J84" i="2"/>
  <c r="L84" i="2"/>
  <c r="L35" i="2"/>
  <c r="L40" i="2" s="1"/>
  <c r="J81" i="2"/>
  <c r="L81" i="2"/>
  <c r="L76" i="2"/>
  <c r="L29" i="2"/>
  <c r="G35" i="2"/>
  <c r="G40" i="2" s="1"/>
  <c r="L39" i="2"/>
  <c r="G82" i="2"/>
  <c r="G76" i="2"/>
  <c r="G39" i="2"/>
  <c r="G81" i="2"/>
  <c r="P40" i="2"/>
  <c r="P38" i="2"/>
  <c r="P83" i="2"/>
  <c r="K28" i="2"/>
  <c r="K29" i="2"/>
  <c r="P49" i="2"/>
  <c r="P12" i="2" s="1"/>
  <c r="K76" i="2"/>
  <c r="P75" i="2"/>
  <c r="P30" i="2"/>
  <c r="P79" i="2"/>
  <c r="P73" i="2"/>
  <c r="P86" i="2"/>
  <c r="G29" i="2"/>
  <c r="P74" i="2"/>
  <c r="P39" i="2"/>
  <c r="P25" i="2"/>
  <c r="P5" i="2" s="1"/>
  <c r="O95" i="2" s="1"/>
  <c r="P81" i="2"/>
  <c r="G84" i="2"/>
  <c r="P29" i="2"/>
  <c r="P35" i="2"/>
  <c r="P7" i="2" s="1"/>
  <c r="P72" i="2"/>
  <c r="G25" i="2"/>
  <c r="G30" i="2" s="1"/>
  <c r="P6" i="2"/>
  <c r="G49" i="2"/>
  <c r="G12" i="2" s="1"/>
  <c r="G79" i="2" s="1"/>
  <c r="G28" i="2"/>
  <c r="P28" i="2"/>
  <c r="K39" i="2"/>
  <c r="K82" i="2"/>
  <c r="P84" i="2"/>
  <c r="K84" i="2"/>
  <c r="P77" i="2"/>
  <c r="K77" i="2"/>
  <c r="P78" i="2"/>
  <c r="B1" i="4"/>
  <c r="G38" i="2"/>
  <c r="L38" i="2"/>
  <c r="J38" i="2"/>
  <c r="O78" i="2"/>
  <c r="O77" i="2"/>
  <c r="O84" i="2"/>
  <c r="O76" i="2"/>
  <c r="O82" i="2"/>
  <c r="M77" i="2"/>
  <c r="M84" i="2"/>
  <c r="M82" i="2"/>
  <c r="M76" i="2"/>
  <c r="N77" i="2"/>
  <c r="N84" i="2"/>
  <c r="N82" i="2"/>
  <c r="N76" i="2"/>
  <c r="O79" i="2"/>
  <c r="O49" i="2"/>
  <c r="O12" i="2" s="1"/>
  <c r="M49" i="2"/>
  <c r="M12" i="2" s="1"/>
  <c r="M79" i="2" s="1"/>
  <c r="N49" i="2"/>
  <c r="N12" i="2" s="1"/>
  <c r="N79" i="2" s="1"/>
  <c r="K35" i="2"/>
  <c r="I35" i="2"/>
  <c r="I40" i="2" s="1"/>
  <c r="M81" i="2"/>
  <c r="M39" i="2"/>
  <c r="M35" i="2"/>
  <c r="M7" i="2" s="1"/>
  <c r="M74" i="2" s="1"/>
  <c r="M28" i="2"/>
  <c r="M29" i="2"/>
  <c r="M25" i="2"/>
  <c r="M5" i="2" s="1"/>
  <c r="M38" i="2"/>
  <c r="N28" i="2"/>
  <c r="N81" i="2"/>
  <c r="N35" i="2"/>
  <c r="N7" i="2" s="1"/>
  <c r="N74" i="2" s="1"/>
  <c r="N38" i="2"/>
  <c r="N39" i="2"/>
  <c r="N25" i="2"/>
  <c r="N5" i="2" s="1"/>
  <c r="N29" i="2"/>
  <c r="O86" i="2"/>
  <c r="O83" i="2"/>
  <c r="O38" i="2"/>
  <c r="O39" i="2"/>
  <c r="O30" i="2"/>
  <c r="O29" i="2"/>
  <c r="O25" i="2"/>
  <c r="O5" i="2" s="1"/>
  <c r="N95" i="2" s="1"/>
  <c r="O35" i="2"/>
  <c r="O7" i="2" s="1"/>
  <c r="O6" i="2"/>
  <c r="O81" i="2"/>
  <c r="O75" i="2"/>
  <c r="O72" i="2"/>
  <c r="O73" i="2"/>
  <c r="O40" i="2"/>
  <c r="O28" i="2"/>
  <c r="O74" i="2"/>
  <c r="N72" i="2" l="1"/>
  <c r="M6" i="2"/>
  <c r="M8" i="2"/>
  <c r="M54" i="2" s="1"/>
  <c r="C94" i="2"/>
  <c r="C18" i="2"/>
  <c r="C28" i="2"/>
  <c r="J62" i="2"/>
  <c r="J11" i="2" s="1"/>
  <c r="J78" i="2" s="1"/>
  <c r="H62" i="2"/>
  <c r="H11" i="2" s="1"/>
  <c r="H78" i="2" s="1"/>
  <c r="N40" i="2"/>
  <c r="N113" i="2"/>
  <c r="M113" i="2"/>
  <c r="M73" i="2"/>
  <c r="M40" i="2"/>
  <c r="N6" i="2"/>
  <c r="N8" i="2" s="1"/>
  <c r="N54" i="2" s="1"/>
  <c r="M30" i="2"/>
  <c r="M72" i="2"/>
  <c r="N30" i="2"/>
  <c r="K61" i="2"/>
  <c r="L61" i="2"/>
  <c r="G61" i="2"/>
  <c r="G62" i="2" s="1"/>
  <c r="I61" i="2"/>
  <c r="C29" i="2"/>
  <c r="C24" i="2" s="1"/>
  <c r="C11" i="9"/>
  <c r="C113" i="2"/>
  <c r="C56" i="3"/>
  <c r="L113" i="2"/>
  <c r="J113" i="2"/>
  <c r="G113" i="2"/>
  <c r="H113" i="2"/>
  <c r="K113" i="2"/>
  <c r="I113" i="2"/>
  <c r="C112" i="2"/>
  <c r="H5" i="2"/>
  <c r="I5" i="2"/>
  <c r="C106" i="2"/>
  <c r="C107" i="2"/>
  <c r="K5" i="2"/>
  <c r="J7" i="2"/>
  <c r="J74" i="2" s="1"/>
  <c r="C76" i="2"/>
  <c r="C77" i="2" s="1"/>
  <c r="C10" i="2" s="1"/>
  <c r="L5" i="2"/>
  <c r="G7" i="2"/>
  <c r="G74" i="2" s="1"/>
  <c r="J5" i="2"/>
  <c r="C38" i="2"/>
  <c r="C39" i="2"/>
  <c r="C84" i="2"/>
  <c r="C17" i="2" s="1"/>
  <c r="L7" i="2"/>
  <c r="L74" i="2" s="1"/>
  <c r="H7" i="2"/>
  <c r="H74" i="2" s="1"/>
  <c r="G5" i="2"/>
  <c r="G72" i="2" s="1"/>
  <c r="K7" i="2"/>
  <c r="K74" i="2" s="1"/>
  <c r="K40" i="2"/>
  <c r="I7" i="2"/>
  <c r="I74" i="2" s="1"/>
  <c r="C35" i="2"/>
  <c r="K72" i="2" l="1"/>
  <c r="I72" i="2"/>
  <c r="H72" i="2"/>
  <c r="J72" i="2"/>
  <c r="L72" i="2"/>
  <c r="L62" i="2"/>
  <c r="L11" i="2" s="1"/>
  <c r="L78" i="2" s="1"/>
  <c r="K62" i="2"/>
  <c r="K11" i="2" s="1"/>
  <c r="K78" i="2" s="1"/>
  <c r="I62" i="2"/>
  <c r="I11" i="2" s="1"/>
  <c r="I78" i="2" s="1"/>
  <c r="N73" i="2"/>
  <c r="C78" i="2"/>
  <c r="C24" i="6"/>
  <c r="H6" i="2"/>
  <c r="H8" i="2" s="1"/>
  <c r="H54" i="2" s="1"/>
  <c r="K6" i="2"/>
  <c r="K8" i="2" s="1"/>
  <c r="K54" i="2" s="1"/>
  <c r="G6" i="2"/>
  <c r="G8" i="2" s="1"/>
  <c r="G54" i="2" s="1"/>
  <c r="I6" i="2"/>
  <c r="I8" i="2" s="1"/>
  <c r="I54" i="2" s="1"/>
  <c r="L6" i="2"/>
  <c r="L8" i="2" s="1"/>
  <c r="L54" i="2" s="1"/>
  <c r="J6" i="2"/>
  <c r="J8" i="2" s="1"/>
  <c r="J54" i="2" s="1"/>
  <c r="C7" i="2"/>
  <c r="C74" i="2" s="1"/>
  <c r="C40" i="2"/>
  <c r="G11" i="2" l="1"/>
  <c r="G78" i="2" s="1"/>
  <c r="L73" i="2"/>
  <c r="I73" i="2"/>
  <c r="H73" i="2"/>
  <c r="G73" i="2"/>
  <c r="K73" i="2"/>
  <c r="J73" i="2"/>
  <c r="C102" i="2"/>
  <c r="D56" i="3" l="1"/>
  <c r="G29" i="3"/>
  <c r="D52" i="3" s="1"/>
  <c r="D47" i="3" l="1"/>
  <c r="C82" i="2" s="1"/>
  <c r="C15" i="2" s="1"/>
  <c r="C47" i="3"/>
  <c r="C46" i="3"/>
  <c r="C7" i="6" l="1"/>
  <c r="C3" i="2" l="1"/>
  <c r="G1" i="2"/>
  <c r="N90" i="2" l="1"/>
  <c r="M90" i="2"/>
  <c r="C3" i="8"/>
  <c r="C90" i="2"/>
  <c r="J90" i="2"/>
  <c r="I90" i="2"/>
  <c r="K90" i="2"/>
  <c r="L90" i="2"/>
  <c r="H90" i="2"/>
  <c r="G90" i="2"/>
  <c r="F1" i="3"/>
  <c r="H1" i="2"/>
  <c r="P112" i="2"/>
  <c r="M112" i="2"/>
  <c r="L112" i="2"/>
  <c r="J112" i="2"/>
  <c r="K112" i="2"/>
  <c r="N112" i="2"/>
  <c r="I112" i="2"/>
  <c r="O112" i="2"/>
  <c r="H112" i="2"/>
  <c r="Q112" i="2"/>
  <c r="E1" i="4"/>
  <c r="F1" i="4" s="1"/>
  <c r="G1" i="4" s="1"/>
  <c r="H1" i="4" s="1"/>
  <c r="I1" i="4" s="1"/>
  <c r="J1" i="4" s="1"/>
  <c r="K1" i="4" s="1"/>
  <c r="L1" i="4" s="1"/>
  <c r="M1" i="4" s="1"/>
  <c r="C6" i="9" l="1"/>
  <c r="C23" i="2" l="1"/>
  <c r="C25" i="2" s="1"/>
  <c r="Q110" i="2"/>
  <c r="O110" i="2"/>
  <c r="P110" i="2"/>
  <c r="C30" i="2" l="1"/>
  <c r="C5" i="2"/>
  <c r="C72" i="2" s="1"/>
  <c r="C40" i="3"/>
  <c r="C41" i="3" s="1"/>
  <c r="C6" i="2" l="1"/>
  <c r="C8" i="2" s="1"/>
  <c r="C31" i="3"/>
  <c r="C73" i="2" l="1"/>
  <c r="C32" i="3"/>
  <c r="G31" i="3"/>
  <c r="C7" i="8" s="1"/>
  <c r="B1" i="2"/>
  <c r="G53" i="2" l="1"/>
  <c r="D51" i="3"/>
  <c r="C53" i="2" l="1"/>
  <c r="C47" i="2" s="1"/>
  <c r="C54" i="2" s="1"/>
  <c r="E78" i="8" l="1"/>
  <c r="F78" i="8" s="1"/>
  <c r="C49" i="2"/>
  <c r="C12" i="2" s="1"/>
  <c r="I1" i="2"/>
  <c r="C64" i="9" l="1"/>
  <c r="C79" i="2"/>
  <c r="J1" i="2"/>
  <c r="K1" i="2" s="1"/>
  <c r="L1" i="2" s="1"/>
  <c r="M1" i="2" s="1"/>
  <c r="N1" i="2" s="1"/>
  <c r="O1" i="2" s="1"/>
  <c r="P1" i="2" s="1"/>
  <c r="Q1" i="2" s="1"/>
  <c r="G112" i="2" l="1"/>
  <c r="C43" i="8" l="1"/>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75" i="8"/>
  <c r="F75" i="8" s="1"/>
  <c r="E77" i="8"/>
  <c r="F77" i="8" s="1"/>
  <c r="E76" i="8"/>
  <c r="F76" i="8" s="1"/>
  <c r="C40" i="9" l="1"/>
  <c r="F74" i="8"/>
  <c r="C70" i="9"/>
  <c r="C46" i="9"/>
  <c r="C21" i="9"/>
  <c r="C52" i="9"/>
  <c r="C55" i="9" l="1"/>
  <c r="C73" i="9" s="1"/>
  <c r="C82" i="9" s="1"/>
  <c r="C83" i="9" s="1"/>
  <c r="F83" i="9" l="1"/>
  <c r="C69" i="6" s="1"/>
  <c r="C90" i="6"/>
  <c r="H75" i="2" l="1"/>
  <c r="H114" i="2"/>
  <c r="H110" i="2" s="1"/>
  <c r="H13" i="2"/>
  <c r="H16" i="2" l="1"/>
  <c r="H118" i="2" s="1"/>
  <c r="H119" i="2" s="1"/>
  <c r="H80" i="2"/>
  <c r="H111" i="2" s="1"/>
  <c r="H43" i="2" l="1"/>
  <c r="H83" i="2"/>
  <c r="H19" i="2"/>
  <c r="H91" i="2" s="1"/>
  <c r="G114" i="2"/>
  <c r="G110" i="2" s="1"/>
  <c r="G75" i="2"/>
  <c r="D55" i="3"/>
  <c r="D50" i="3"/>
  <c r="G13" i="2"/>
  <c r="G95" i="2" s="1"/>
  <c r="D88" i="9"/>
  <c r="H86" i="2" l="1"/>
  <c r="G16" i="2"/>
  <c r="G118" i="2" s="1"/>
  <c r="G80" i="2"/>
  <c r="G111" i="2" s="1"/>
  <c r="G43" i="2" l="1"/>
  <c r="G19" i="2"/>
  <c r="G91" i="2" s="1"/>
  <c r="G83" i="2"/>
  <c r="G119" i="2"/>
  <c r="C7" i="9"/>
  <c r="N114" i="2"/>
  <c r="N110" i="2" s="1"/>
  <c r="J75" i="2"/>
  <c r="I75" i="2"/>
  <c r="C88" i="9"/>
  <c r="C89" i="9" s="1"/>
  <c r="N75" i="2"/>
  <c r="L75" i="2"/>
  <c r="L114" i="2"/>
  <c r="L110" i="2" s="1"/>
  <c r="M114" i="2"/>
  <c r="M110" i="2" s="1"/>
  <c r="I114" i="2"/>
  <c r="I110" i="2" s="1"/>
  <c r="J114" i="2"/>
  <c r="J110" i="2" s="1"/>
  <c r="K114" i="2"/>
  <c r="K110" i="2" s="1"/>
  <c r="J13" i="2"/>
  <c r="M75" i="2"/>
  <c r="L13" i="2"/>
  <c r="K13" i="2"/>
  <c r="K16" i="2" s="1"/>
  <c r="N13" i="2"/>
  <c r="M13" i="2"/>
  <c r="I13" i="2"/>
  <c r="K75" i="2"/>
  <c r="G86" i="2" l="1"/>
  <c r="K80" i="2"/>
  <c r="K111" i="2" s="1"/>
  <c r="K95" i="2"/>
  <c r="L95" i="2"/>
  <c r="M95" i="2"/>
  <c r="I95" i="2"/>
  <c r="H95" i="2"/>
  <c r="J95" i="2"/>
  <c r="I16" i="2"/>
  <c r="I118" i="2" s="1"/>
  <c r="I119" i="2" s="1"/>
  <c r="I80" i="2"/>
  <c r="I111" i="2" s="1"/>
  <c r="N16" i="2"/>
  <c r="N19" i="2" s="1"/>
  <c r="N80" i="2"/>
  <c r="N111" i="2" s="1"/>
  <c r="L16" i="2"/>
  <c r="L118" i="2" s="1"/>
  <c r="L119" i="2" s="1"/>
  <c r="L80" i="2"/>
  <c r="L111" i="2" s="1"/>
  <c r="J16" i="2"/>
  <c r="J83" i="2" s="1"/>
  <c r="J80" i="2"/>
  <c r="J111" i="2" s="1"/>
  <c r="M16" i="2"/>
  <c r="M118" i="2" s="1"/>
  <c r="M119" i="2" s="1"/>
  <c r="M80" i="2"/>
  <c r="M111" i="2" s="1"/>
  <c r="K19" i="2"/>
  <c r="K91" i="2" s="1"/>
  <c r="K118" i="2"/>
  <c r="K119" i="2" s="1"/>
  <c r="K83" i="2"/>
  <c r="N83" i="2"/>
  <c r="K43" i="2"/>
  <c r="N118" i="2" l="1"/>
  <c r="N119" i="2" s="1"/>
  <c r="N43" i="2"/>
  <c r="M83" i="2"/>
  <c r="I19" i="2"/>
  <c r="M43" i="2"/>
  <c r="M19" i="2"/>
  <c r="M91" i="2" s="1"/>
  <c r="I43" i="2"/>
  <c r="I83" i="2"/>
  <c r="J19" i="2"/>
  <c r="J91" i="2" s="1"/>
  <c r="J43" i="2"/>
  <c r="J118" i="2"/>
  <c r="J119" i="2" s="1"/>
  <c r="L43" i="2"/>
  <c r="L19" i="2"/>
  <c r="L86" i="2" s="1"/>
  <c r="K86" i="2"/>
  <c r="L83" i="2"/>
  <c r="I91" i="2"/>
  <c r="I86" i="2"/>
  <c r="N86" i="2"/>
  <c r="N91" i="2"/>
  <c r="C75" i="2"/>
  <c r="C50" i="3"/>
  <c r="C55" i="3"/>
  <c r="C114" i="2"/>
  <c r="C13" i="2"/>
  <c r="M86" i="2" l="1"/>
  <c r="C80" i="2"/>
  <c r="C111" i="2" s="1"/>
  <c r="C95" i="2"/>
  <c r="J86" i="2"/>
  <c r="L91" i="2"/>
  <c r="C14" i="2"/>
  <c r="C81" i="2" s="1"/>
  <c r="C16" i="2" l="1"/>
  <c r="C118" i="2" s="1"/>
  <c r="C23" i="6" l="1"/>
  <c r="C25" i="6" s="1"/>
  <c r="C83" i="2"/>
  <c r="C19" i="2"/>
  <c r="C8" i="9" l="1"/>
  <c r="C4" i="8"/>
  <c r="C119" i="2"/>
  <c r="C27" i="6"/>
  <c r="C28" i="6" s="1"/>
  <c r="C29" i="6" s="1"/>
  <c r="C91" i="2"/>
  <c r="C86" i="2"/>
  <c r="C6" i="8" l="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E65" i="8" l="1"/>
  <c r="F65" i="8"/>
  <c r="C65" i="8"/>
  <c r="B65" i="8"/>
  <c r="D65" i="8"/>
  <c r="F52" i="8"/>
  <c r="C18" i="8" s="1"/>
  <c r="A55" i="8" l="1"/>
  <c r="D18" i="8" l="1"/>
  <c r="C26" i="9"/>
</calcChain>
</file>

<file path=xl/sharedStrings.xml><?xml version="1.0" encoding="utf-8"?>
<sst xmlns="http://schemas.openxmlformats.org/spreadsheetml/2006/main" count="523" uniqueCount="351">
  <si>
    <t>Number of Shares:</t>
  </si>
  <si>
    <t>Reporting Currency:</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</si>
  <si>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</si>
  <si>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</si>
  <si>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</si>
  <si>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</si>
  <si>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</si>
  <si>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</si>
  <si>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</si>
  <si>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</si>
  <si>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</si>
  <si>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</si>
  <si>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</si>
  <si>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</si>
  <si>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</si>
  <si>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</si>
  <si>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</si>
  <si>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</si>
  <si>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</si>
  <si>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</si>
  <si>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</si>
  <si>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</si>
  <si>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</si>
  <si>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</si>
  <si>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</si>
  <si>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Capitalization:</t>
    <phoneticPr fontId="2" type="noConversion"/>
  </si>
  <si>
    <t>Valuation</t>
    <phoneticPr fontId="2" type="noConversion"/>
  </si>
  <si>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</si>
  <si>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</si>
  <si>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</si>
  <si>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</si>
  <si>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</si>
  <si>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</si>
  <si>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</si>
  <si>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</si>
  <si>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</si>
  <si>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</si>
  <si>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</si>
  <si>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HK</t>
  </si>
  <si>
    <t>Valued @</t>
    <phoneticPr fontId="2" type="noConversion"/>
  </si>
  <si>
    <t>CAGR Calculator</t>
    <phoneticPr fontId="2" type="noConversion"/>
  </si>
  <si>
    <t>Inputs =</t>
    <phoneticPr fontId="2" type="noConversion"/>
  </si>
  <si>
    <t>CAGR =</t>
    <phoneticPr fontId="2" type="noConversion"/>
  </si>
  <si>
    <t>Initial Value (PV)</t>
    <phoneticPr fontId="2" type="noConversion"/>
  </si>
  <si>
    <t>Final Value (FV)</t>
    <phoneticPr fontId="2" type="noConversion"/>
  </si>
  <si>
    <t># of Years</t>
    <phoneticPr fontId="2" type="noConversion"/>
  </si>
  <si>
    <t>Base Case</t>
    <phoneticPr fontId="2" type="noConversion"/>
  </si>
  <si>
    <t>Pessimistic Case</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</si>
  <si>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</si>
  <si>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</si>
  <si>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</si>
  <si>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</si>
  <si>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</si>
  <si>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Contingent Liabilities</t>
    <phoneticPr fontId="2" type="noConversion"/>
  </si>
  <si>
    <t>HKD</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</si>
  <si>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</si>
  <si>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</si>
  <si>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</si>
  <si>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</si>
  <si>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</si>
  <si>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</si>
  <si>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</si>
  <si>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</si>
  <si>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Review Interval:</t>
    <phoneticPr fontId="2" type="noConversion"/>
  </si>
  <si>
    <t>Review Date:</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</si>
  <si>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</si>
  <si>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</si>
  <si>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</si>
  <si>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</si>
  <si>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</si>
  <si>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Other Data</t>
    <phoneticPr fontId="2" type="noConversion"/>
  </si>
  <si>
    <t>OPEX</t>
    <phoneticPr fontId="2" type="noConversion"/>
  </si>
  <si>
    <t>Key Metrics:</t>
    <phoneticPr fontId="2" type="noConversion"/>
  </si>
  <si>
    <t>Adjusted FCFE = Net Income + D&amp;A – Maintenance Capex ± WCInv (if material).</t>
    <phoneticPr fontId="2" type="noConversion"/>
  </si>
  <si>
    <t>Notes:</t>
    <phoneticPr fontId="2" type="noConversion"/>
  </si>
  <si>
    <t>1. the model explicitly avoids aggressive growth assumptions and prioritizes downside protection.</t>
    <phoneticPr fontId="2" type="noConversion"/>
  </si>
  <si>
    <t>2. Net borrowing is excluded (fixed at 0), and WCInv is only included if it materially distorts FCFE (&gt;5% volatility).</t>
    <phoneticPr fontId="2" type="noConversion"/>
  </si>
  <si>
    <t xml:space="preserve">3. Normalization: 5-year averages will smooth cyclicality for 590.HK.
</t>
    <phoneticPr fontId="2" type="noConversion"/>
  </si>
  <si>
    <t>Adjusted Earnings Yield = Adjusted FCFE / Market Cap.</t>
    <phoneticPr fontId="2" type="noConversion"/>
  </si>
  <si>
    <t>Intrinsic Value (No Growth) = Adjusted FCFE / Equity Cost of Capital.</t>
    <phoneticPr fontId="2" type="noConversion"/>
  </si>
  <si>
    <t>Decision Rule:</t>
    <phoneticPr fontId="2" type="noConversion"/>
  </si>
  <si>
    <t>Buy if Adjusted Earnings Yield &gt; 7%</t>
    <phoneticPr fontId="2" type="noConversion"/>
  </si>
  <si>
    <t>g = (r × P - Adjusted FCFE) / (P + Adjusted FCFE)</t>
    <phoneticPr fontId="2" type="noConversion"/>
  </si>
  <si>
    <t>Investment Thesis for</t>
    <phoneticPr fontId="2" type="noConversion"/>
  </si>
  <si>
    <t>Adjusted FCFE Calculation</t>
    <phoneticPr fontId="2" type="noConversion"/>
  </si>
  <si>
    <t>Equity Cost of Capital (Buffett Method)</t>
    <phoneticPr fontId="2" type="noConversion"/>
  </si>
  <si>
    <t>No-Growth DCF Valuation</t>
    <phoneticPr fontId="2" type="noConversion"/>
  </si>
  <si>
    <t>Phase Breakdown:</t>
    <phoneticPr fontId="2" type="noConversion"/>
  </si>
  <si>
    <t>High Growth: 5 years at 5%, then transitions to 3% perpetual growth.</t>
    <phoneticPr fontId="2" type="noConversion"/>
  </si>
  <si>
    <t>Opertimistic Case</t>
    <phoneticPr fontId="2" type="noConversion"/>
  </si>
  <si>
    <t>Scenario Analysis:</t>
    <phoneticPr fontId="2" type="noConversion"/>
  </si>
  <si>
    <t>Output:</t>
    <phoneticPr fontId="2" type="noConversion"/>
  </si>
  <si>
    <t>Buy price range incorporating a 15–20% margin of safety (e.g., HKD 10–14/share).</t>
    <phoneticPr fontId="2" type="noConversion"/>
  </si>
  <si>
    <t>Equity Value Calculation</t>
    <phoneticPr fontId="2" type="noConversion"/>
  </si>
  <si>
    <t>Formula:</t>
    <phoneticPr fontId="2" type="noConversion"/>
  </si>
  <si>
    <t>Key Adjustments:</t>
    <phoneticPr fontId="2" type="noConversion"/>
  </si>
  <si>
    <t>Equity Value = Intrinsic Value (with user-selected implied g) + Non-operating Assets - Interest-bearing Debt</t>
    <phoneticPr fontId="2" type="noConversion"/>
  </si>
  <si>
    <t>Non-operating Assets: Include cash, marketable securities, real estate, etc., at market value.</t>
    <phoneticPr fontId="2" type="noConversion"/>
  </si>
  <si>
    <t>Debt: Subtract total interest-bearing debt (market value if distressed).</t>
    <phoneticPr fontId="2" type="noConversion"/>
  </si>
  <si>
    <t>KEY EXCLUSIONS &amp; LIMITATIONS</t>
    <phoneticPr fontId="2" type="noConversion"/>
  </si>
  <si>
    <t>Conservative Bias:</t>
    <phoneticPr fontId="2" type="noConversion"/>
  </si>
  <si>
    <t>Excludes net borrowing, potentially undervaluing firms with debt efficiency.</t>
    <phoneticPr fontId="2" type="noConversion"/>
  </si>
  <si>
    <t>Growth Constraints:</t>
    <phoneticPr fontId="2" type="noConversion"/>
  </si>
  <si>
    <t>Perpetual growth capped at 3%, penalizing high-growth companies.</t>
    <phoneticPr fontId="2" type="noConversion"/>
  </si>
  <si>
    <t>Subjective Adjustments:</t>
    <phoneticPr fontId="2" type="noConversion"/>
  </si>
  <si>
    <t>Non-operating assets and debt require manual review.</t>
    <phoneticPr fontId="2" type="noConversion"/>
  </si>
  <si>
    <t>Margin of Safety:</t>
    <phoneticPr fontId="2" type="noConversion"/>
  </si>
  <si>
    <t>Conclusion</t>
    <phoneticPr fontId="2" type="noConversion"/>
  </si>
  <si>
    <t>Price Target:</t>
    <phoneticPr fontId="2" type="noConversion"/>
  </si>
  <si>
    <t>Comapny Information</t>
    <phoneticPr fontId="2" type="noConversion"/>
  </si>
  <si>
    <t>Comp_Sector:</t>
    <phoneticPr fontId="2" type="noConversion"/>
  </si>
  <si>
    <t>Introduction</t>
    <phoneticPr fontId="2" type="noConversion"/>
  </si>
  <si>
    <t>Growth Scenario Analysis</t>
    <phoneticPr fontId="2" type="noConversion"/>
  </si>
  <si>
    <t xml:space="preserve">Net Income = </t>
    <phoneticPr fontId="2" type="noConversion"/>
  </si>
  <si>
    <t>Variables</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</si>
  <si>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</si>
  <si>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</si>
  <si>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</si>
  <si>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</si>
  <si>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</si>
  <si>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</si>
  <si>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</si>
  <si>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</si>
  <si>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</si>
  <si>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</si>
  <si>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</si>
  <si>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</si>
  <si>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</si>
  <si>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</si>
  <si>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</si>
  <si>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</si>
  <si>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</si>
  <si>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</si>
  <si>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</si>
  <si>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 xml:space="preserve">Incl. Non-common Interest </t>
    <phoneticPr fontId="2" type="noConversion"/>
  </si>
  <si>
    <t>Incl. Common Equity</t>
    <phoneticPr fontId="2" type="noConversion"/>
  </si>
  <si>
    <t>incl. Interest-bearing Debt</t>
    <phoneticPr fontId="2" type="noConversion"/>
  </si>
  <si>
    <t>Use the highest past tax rate</t>
    <phoneticPr fontId="2" type="noConversion"/>
  </si>
  <si>
    <t>Cash and cash equivalents</t>
    <phoneticPr fontId="2" type="noConversion"/>
  </si>
  <si>
    <t>LT Depositis</t>
    <phoneticPr fontId="2" type="noConversion"/>
  </si>
  <si>
    <t>Use Last year's rate</t>
    <phoneticPr fontId="2" type="noConversion"/>
  </si>
  <si>
    <t>Reference the market rate</t>
    <phoneticPr fontId="2" type="noConversion"/>
  </si>
  <si>
    <t>Non-Operating Income</t>
    <phoneticPr fontId="2" type="noConversion"/>
  </si>
  <si>
    <t>incl. Fixed Assets</t>
    <phoneticPr fontId="2" type="noConversion"/>
  </si>
  <si>
    <t>Same as Last year's D&amp;A</t>
    <phoneticPr fontId="2" type="noConversion"/>
  </si>
  <si>
    <t>Historical Average or D&amp;A</t>
    <phoneticPr fontId="2" type="noConversion"/>
  </si>
  <si>
    <t>Historical Average</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</si>
  <si>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</si>
  <si>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</si>
  <si>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</si>
  <si>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</si>
  <si>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</si>
  <si>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</si>
  <si>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</si>
  <si>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</si>
  <si>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</si>
  <si>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</si>
  <si>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</si>
  <si>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</si>
  <si>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</si>
  <si>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</si>
  <si>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</si>
  <si>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</si>
  <si>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</si>
  <si>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</si>
  <si>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 xml:space="preserve">Operating after-tax Profit = </t>
    <phoneticPr fontId="2" type="noConversion"/>
  </si>
  <si>
    <t xml:space="preserve">Non-Operating after-tax Profit = </t>
    <phoneticPr fontId="2" type="noConversion"/>
  </si>
  <si>
    <t xml:space="preserve">Adjusted FCFE = </t>
    <phoneticPr fontId="2" type="noConversion"/>
  </si>
  <si>
    <t xml:space="preserve">Adjusted FCFE per share = </t>
    <phoneticPr fontId="2" type="noConversion"/>
  </si>
  <si>
    <t xml:space="preserve">FCFE/Market Price = </t>
    <phoneticPr fontId="2" type="noConversion"/>
  </si>
  <si>
    <t>Net borrowing is excluded</t>
    <phoneticPr fontId="2" type="noConversion"/>
  </si>
  <si>
    <t>Net Borrowing</t>
    <phoneticPr fontId="2" type="noConversion"/>
  </si>
  <si>
    <t>Dividend</t>
    <phoneticPr fontId="2" type="noConversion"/>
  </si>
  <si>
    <t>FCFE Analysis</t>
    <phoneticPr fontId="2" type="noConversion"/>
  </si>
  <si>
    <t>Qualitative Adjustments</t>
    <phoneticPr fontId="2" type="noConversion"/>
  </si>
  <si>
    <t>Nonexistent moats</t>
    <phoneticPr fontId="2" type="noConversion"/>
  </si>
  <si>
    <t>Weak balance sheets</t>
    <phoneticPr fontId="2" type="noConversion"/>
  </si>
  <si>
    <t>Poor management</t>
    <phoneticPr fontId="2" type="noConversion"/>
  </si>
  <si>
    <t>Stable Business</t>
    <phoneticPr fontId="2" type="noConversion"/>
  </si>
  <si>
    <t>Total PV</t>
    <phoneticPr fontId="2" type="noConversion"/>
  </si>
  <si>
    <t>Buy Below</t>
    <phoneticPr fontId="2" type="noConversion"/>
  </si>
  <si>
    <t>Equity Value per share</t>
    <phoneticPr fontId="2" type="noConversion"/>
  </si>
  <si>
    <t>Equity Cost of Capital (r) =</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</si>
  <si>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</si>
  <si>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</si>
  <si>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</si>
  <si>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</si>
  <si>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</si>
  <si>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</si>
  <si>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</si>
  <si>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</si>
  <si>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</si>
  <si>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</si>
  <si>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</si>
  <si>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No Growth</t>
    <phoneticPr fontId="2" type="noConversion"/>
  </si>
  <si>
    <t>Optimistic</t>
    <phoneticPr fontId="2" type="noConversion"/>
  </si>
  <si>
    <t>Base</t>
    <phoneticPr fontId="2" type="noConversion"/>
  </si>
  <si>
    <t>Pessimistic</t>
    <phoneticPr fontId="2" type="noConversion"/>
  </si>
  <si>
    <t>Scenarios</t>
    <phoneticPr fontId="28" type="noConversion"/>
  </si>
  <si>
    <t>Market Price</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</si>
  <si>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</si>
  <si>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</si>
  <si>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</si>
  <si>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</si>
  <si>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Buy at &lt; PV(dividends, 3yrs, r) + PV(Equity value, 3yrs, r)</t>
    <phoneticPr fontId="28" type="noConversion"/>
  </si>
  <si>
    <t>PV(Equity Value)</t>
    <phoneticPr fontId="2" type="noConversion"/>
  </si>
  <si>
    <t>/Equity Cost of Capital</t>
    <phoneticPr fontId="2" type="noConversion"/>
  </si>
  <si>
    <t>Special Assumption</t>
    <phoneticPr fontId="28" type="noConversion"/>
  </si>
  <si>
    <t>- Expects no significant growth at terminal years</t>
    <phoneticPr fontId="28" type="noConversion"/>
  </si>
  <si>
    <t>over a holding period of</t>
    <phoneticPr fontId="28" type="noConversion"/>
  </si>
  <si>
    <t>Inputs</t>
    <phoneticPr fontId="28" type="noConversion"/>
  </si>
  <si>
    <t>the Equity Value will be conservatively realized</t>
    <phoneticPr fontId="28" type="noConversion"/>
  </si>
  <si>
    <t>Terminal Growth Rate:</t>
    <phoneticPr fontId="28" type="noConversion"/>
  </si>
  <si>
    <t>- Avoids overvaluation.</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</si>
  <si>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</si>
  <si>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</si>
  <si>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</si>
  <si>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</si>
  <si>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</si>
  <si>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</si>
  <si>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</si>
  <si>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</si>
  <si>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</si>
  <si>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</si>
  <si>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52 week Low</t>
    <phoneticPr fontId="28" type="noConversion"/>
  </si>
  <si>
    <t>Reference Price Points</t>
    <phoneticPr fontId="28" type="noConversion"/>
  </si>
  <si>
    <t>Output</t>
    <phoneticPr fontId="2" type="noConversion"/>
  </si>
  <si>
    <t>52 week High</t>
    <phoneticPr fontId="28" type="noConversion"/>
  </si>
  <si>
    <t>Target Return</t>
    <phoneticPr fontId="28"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</si>
  <si>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</si>
  <si>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</si>
  <si>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</si>
  <si>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</si>
  <si>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</si>
  <si>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</si>
  <si>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</si>
  <si>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</si>
  <si>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</si>
  <si>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</si>
  <si>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Op. FCFE Before WCInv</t>
    <phoneticPr fontId="2" type="noConversion"/>
  </si>
  <si>
    <t>Sales Growth Rates</t>
    <phoneticPr fontId="2" type="noConversion"/>
  </si>
  <si>
    <t>Past Years Selected</t>
    <phoneticPr fontId="2" type="noConversion"/>
  </si>
  <si>
    <t>Growth Rate</t>
    <phoneticPr fontId="2" type="noConversion"/>
  </si>
  <si>
    <t>Margin</t>
    <phoneticPr fontId="2" type="noConversion"/>
  </si>
  <si>
    <t>Market Scenario</t>
    <phoneticPr fontId="2" type="noConversion"/>
  </si>
  <si>
    <t>No Growth Scenario</t>
    <phoneticPr fontId="2" type="noConversion"/>
  </si>
  <si>
    <t>Objective Scenarios</t>
    <phoneticPr fontId="2" type="noConversion"/>
  </si>
  <si>
    <t>Probabilities</t>
    <phoneticPr fontId="2" type="noConversion"/>
  </si>
  <si>
    <t>Target Return</t>
    <phoneticPr fontId="2" type="noConversion"/>
  </si>
  <si>
    <t>Selection</t>
    <phoneticPr fontId="2" type="noConversion"/>
  </si>
  <si>
    <t>Business Story</t>
    <phoneticPr fontId="2" type="noConversion"/>
  </si>
  <si>
    <t>Tie the business story into the three levers of value: FCFE, growth and risk.</t>
    <phoneticPr fontId="2" type="noConversion"/>
  </si>
  <si>
    <t>Unbiased Scenario where the company FCFE has no growth and no risk.</t>
    <phoneticPr fontId="2" type="noConversion"/>
  </si>
  <si>
    <t>Assumption</t>
    <phoneticPr fontId="2" type="noConversion"/>
  </si>
  <si>
    <t>Lastest</t>
    <phoneticPr fontId="2" type="noConversion"/>
  </si>
  <si>
    <t>WCInv is excluded</t>
    <phoneticPr fontId="2" type="noConversion"/>
  </si>
  <si>
    <t>Prompt for Scenario Analysis</t>
    <phoneticPr fontId="2" type="noConversion"/>
  </si>
  <si>
    <t>There is always a chance the some devil's advocate is right and I'm wrong, so the probabilities should reflect this depending on how illogical this implied drivers are.</t>
    <phoneticPr fontId="2" type="noConversion"/>
  </si>
  <si>
    <r>
      <t xml:space="preserve">Given </t>
    </r>
    <r>
      <rPr>
        <sz val="10"/>
        <color rgb="FF000000"/>
        <rFont val="Microsoft YaHei"/>
        <family val="2"/>
        <charset val="134"/>
      </rPr>
      <t>六福珠宝’</t>
    </r>
    <r>
      <rPr>
        <sz val="10"/>
        <color rgb="FF000000"/>
        <rFont val="Arial"/>
        <family val="2"/>
        <scheme val="minor"/>
      </rPr>
      <t>s (0590.HK) normalized FCFE of HKD 1,270,672,000, please analyze its valuation assumptions under three scenarios (Base, Pessimistic, Optimistic) using a two-stage model, a growth stage and a terminal stage. Define the growth period, growth rates and probabilities for each scenario. Explain the rationale behind the probabilities. Summarize the business drivers and scenario narratives to align with the model’s inputs. For context only, the terminal value assumes 0% growth to prevent overvaluation. The finalized scenarios will be incorporated directly into the valuation framework.”</t>
    </r>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</si>
  <si>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</si>
  <si>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</si>
  <si>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</si>
  <si>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</si>
  <si>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</si>
  <si>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</si>
  <si>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</si>
  <si>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</si>
  <si>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</si>
  <si>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Capitialization</t>
    <phoneticPr fontId="28"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</si>
  <si>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</si>
  <si>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</si>
  <si>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</si>
  <si>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</si>
  <si>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</si>
  <si>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Revaluation</t>
    <phoneticPr fontId="2" type="noConversion"/>
  </si>
  <si>
    <t>Asset Value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</si>
  <si>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</si>
  <si>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</si>
  <si>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</si>
  <si>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</si>
  <si>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Stable Non-Operating CF</t>
    <phoneticPr fontId="2" type="noConversion"/>
  </si>
  <si>
    <t>Per Share Indicators</t>
    <phoneticPr fontId="2" type="noConversion"/>
  </si>
  <si>
    <t>Income Tax Rate</t>
    <phoneticPr fontId="2" type="noConversion"/>
  </si>
  <si>
    <t>HKD</t>
  </si>
  <si>
    <t>C0003</t>
  </si>
  <si>
    <t>Status: Not Held</t>
    <phoneticPr fontId="2" type="noConversion"/>
  </si>
  <si>
    <t>Non-common Interest</t>
    <phoneticPr fontId="2" type="noConversion"/>
  </si>
  <si>
    <t>Properties held for income</t>
    <phoneticPr fontId="2" type="noConversion"/>
  </si>
  <si>
    <t>G&amp;A and other Opex</t>
    <phoneticPr fontId="2" type="noConversion"/>
  </si>
  <si>
    <t>Non-common Interest/Total Equity</t>
    <phoneticPr fontId="2" type="noConversion"/>
  </si>
  <si>
    <t>Debt per share (HKD)</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</si>
  <si>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</si>
  <si>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</si>
  <si>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</si>
  <si>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</si>
  <si>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</si>
  <si>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</si>
  <si>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</si>
  <si>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</si>
  <si>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</si>
  <si>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</si>
  <si>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</si>
  <si>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</si>
  <si>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</si>
  <si>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</si>
  <si>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</si>
  <si>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</si>
  <si>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</si>
  <si>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</si>
  <si>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</si>
  <si>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</si>
  <si>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Assume 0</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</si>
  <si>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</si>
  <si>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</si>
  <si>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</si>
  <si>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</si>
  <si>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</si>
  <si>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</si>
  <si>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</si>
  <si>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</si>
  <si>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</si>
  <si>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</si>
  <si>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</si>
  <si>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</si>
  <si>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</si>
  <si>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</si>
  <si>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</si>
  <si>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</si>
  <si>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</si>
  <si>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</si>
  <si>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</si>
  <si>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</si>
  <si>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</si>
  <si>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</si>
  <si>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</si>
  <si>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</si>
  <si>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</si>
  <si>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</si>
  <si>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After-tax Profit/Market Price</t>
    <phoneticPr fontId="2" type="noConversion"/>
  </si>
  <si>
    <t>Pre-tax Profit/Sales</t>
    <phoneticPr fontId="2" type="noConversion"/>
  </si>
  <si>
    <t>Pre-tax Profit ROE</t>
    <phoneticPr fontId="2" type="noConversion"/>
  </si>
  <si>
    <t>Market Price Attractiveness</t>
    <phoneticPr fontId="2" type="noConversion"/>
  </si>
  <si>
    <t>周生生</t>
    <phoneticPr fontId="2" type="noConversion"/>
  </si>
  <si>
    <t>0116.HK</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</si>
  <si>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</si>
  <si>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</si>
  <si>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</si>
  <si>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</si>
  <si>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</si>
  <si>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</si>
  <si>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Step 1: Calculate FCFE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</si>
</sst>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76" formatCode="yyyy\-mm\-dd"/>
    <numFmt numFmtId="177" formatCode="#,##0&quot;mm&quot;"/>
    <numFmt numFmtId="178" formatCode="#,##0.00&quot;x&quot;"/>
    <numFmt numFmtId="179" formatCode="0.00\x"/>
    <numFmt numFmtId="180" formatCode="yyyy\-mm\-dd;@"/>
    <numFmt numFmtId="181" formatCode="&quot;in&quot;\ 0\ &quot;Months&quot;"/>
    <numFmt numFmtId="182" formatCode="#,##0.0000"/>
    <numFmt numFmtId="183" formatCode="#,##0_ "/>
    <numFmt numFmtId="184" formatCode="#,##0.0000_);\(#,##0.0000\)"/>
    <numFmt numFmtId="185" formatCode="#,##0.0000_ "/>
    <numFmt numFmtId="186" formatCode="&quot;in &quot;#,##0&quot;s&quot;"/>
    <numFmt numFmtId="187" formatCode="#,##0.00_ "/>
    <numFmt numFmtId="188" formatCode="0&quot; yrs&quot;"/>
    <numFmt numFmtId="189" formatCode="0.000_ "/>
    <numFmt numFmtId="190" formatCode="#,##0_);\(#,##0\)"/>
  </numFmts>
  <fonts count="41" x14ac:knownFonts="1">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sz val="10"/>
      <color rgb="FF000000"/>
      <name val="Microsoft YaHei"/>
      <family val="2"/>
      <charset val="134"/>
    </font>
    <font>
      <sz val="9"/>
      <color rgb="FF0000FF"/>
      <name val="Microsoft YaHei"/>
      <family val="2"/>
      <charset val="134"/>
    </font>
    <font>
      <b/>
      <i/>
      <sz val="9"/>
      <name val="Arial"/>
      <family val="2"/>
      <scheme val="major"/>
    </font>
    <font>
      <i/>
      <u/>
      <sz val="9"/>
      <color rgb="FF000000"/>
      <name val="Arial"/>
      <family val="2"/>
      <scheme val="major"/>
    </font>
    <font>
      <i/>
      <u/>
      <sz val="9"/>
      <color theme="1"/>
      <name val="Arial"/>
      <family val="2"/>
      <scheme val="major"/>
    </font>
  </fonts>
  <fills count="9">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s>
  <borders count="13">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s>
  <cellStyleXfs count="1">
    <xf numFmtId="0" fontId="0" fillId="0" borderId="0"/>
  </cellStyleXfs>
  <cellXfs count="271">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78"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7" fillId="0" borderId="1"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76" fontId="8" fillId="0" borderId="1" xfId="0" applyNumberFormat="1" applyFont="1" applyBorder="1" applyAlignment="1">
      <alignment horizontal="left"/>
    </xf>
    <xf numFmtId="3" fontId="8" fillId="0" borderId="1" xfId="0" applyNumberFormat="1" applyFont="1" applyBorder="1" applyAlignment="1">
      <alignment horizontal="left"/>
    </xf>
    <xf numFmtId="177" fontId="8" fillId="0" borderId="1" xfId="0" applyNumberFormat="1" applyFont="1" applyBorder="1" applyAlignment="1">
      <alignment horizontal="left"/>
    </xf>
    <xf numFmtId="0" fontId="16" fillId="3" borderId="0" xfId="0" applyFont="1" applyFill="1"/>
    <xf numFmtId="180" fontId="9" fillId="4" borderId="1" xfId="0" applyNumberFormat="1" applyFont="1" applyFill="1" applyBorder="1" applyAlignment="1">
      <alignment horizontal="center"/>
    </xf>
    <xf numFmtId="180" fontId="11" fillId="0" borderId="1" xfId="0" applyNumberFormat="1" applyFont="1" applyBorder="1" applyAlignment="1">
      <alignment horizontal="center"/>
    </xf>
    <xf numFmtId="182" fontId="7" fillId="0" borderId="1" xfId="0" applyNumberFormat="1" applyFont="1" applyBorder="1" applyAlignment="1">
      <alignment horizontal="right"/>
    </xf>
    <xf numFmtId="0" fontId="3" fillId="0" borderId="1" xfId="0"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79" fontId="3" fillId="0" borderId="1" xfId="0" applyNumberFormat="1" applyFont="1" applyBorder="1" applyAlignment="1">
      <alignment horizontal="right"/>
    </xf>
    <xf numFmtId="0" fontId="11" fillId="0" borderId="1" xfId="0" quotePrefix="1" applyFont="1" applyBorder="1" applyAlignment="1">
      <alignment horizontal="left" indent="1"/>
    </xf>
    <xf numFmtId="176" fontId="7" fillId="0" borderId="1" xfId="0" applyNumberFormat="1" applyFont="1" applyBorder="1" applyAlignment="1">
      <alignment horizontal="left"/>
    </xf>
    <xf numFmtId="181"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12" fillId="0" borderId="0" xfId="0" applyFont="1"/>
    <xf numFmtId="10" fontId="13" fillId="0" borderId="1" xfId="0" applyNumberFormat="1" applyFont="1" applyBorder="1" applyAlignment="1">
      <alignment horizontal="left"/>
    </xf>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applyNumberFormat="1" applyFont="1" applyBorder="1" applyAlignment="1">
      <alignment horizontal="right"/>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15" fillId="0" borderId="1" xfId="0" applyFont="1" applyBorder="1"/>
    <xf numFmtId="37" fontId="7" fillId="0" borderId="1" xfId="0" applyNumberFormat="1" applyFont="1" applyBorder="1" applyAlignment="1">
      <alignment horizontal="left" wrapText="1"/>
    </xf>
    <xf numFmtId="37" fontId="7" fillId="0" borderId="1" xfId="0" quotePrefix="1" applyNumberFormat="1" applyFont="1" applyBorder="1" applyAlignment="1">
      <alignment horizontal="left"/>
    </xf>
    <xf numFmtId="37" fontId="7" fillId="0" borderId="1" xfId="0" quotePrefix="1" applyNumberFormat="1" applyFont="1" applyBorder="1" applyAlignment="1">
      <alignment horizontal="left" wrapText="1"/>
    </xf>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37" fontId="14" fillId="0" borderId="1" xfId="0" applyNumberFormat="1" applyFont="1" applyBorder="1" applyAlignment="1">
      <alignment horizontal="right"/>
    </xf>
    <xf numFmtId="184" fontId="8" fillId="0" borderId="1" xfId="0" applyNumberFormat="1" applyFont="1" applyBorder="1" applyAlignment="1">
      <alignment horizontal="right"/>
    </xf>
    <xf numFmtId="183"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37" fontId="7" fillId="0" borderId="1" xfId="0" applyNumberFormat="1" applyFont="1" applyBorder="1" applyAlignment="1">
      <alignment horizontal="left" wrapText="1" indent="1"/>
    </xf>
    <xf numFmtId="37" fontId="7" fillId="0" borderId="1" xfId="0" applyNumberFormat="1" applyFont="1" applyBorder="1" applyAlignment="1">
      <alignment horizontal="left" indent="1"/>
    </xf>
    <xf numFmtId="180"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3" fillId="0" borderId="2" xfId="0" applyFont="1" applyBorder="1" applyAlignment="1">
      <alignment horizontal="right"/>
    </xf>
    <xf numFmtId="0" fontId="12" fillId="0" borderId="2" xfId="0" applyFont="1" applyBorder="1" applyAlignment="1">
      <alignment horizontal="left"/>
    </xf>
    <xf numFmtId="0" fontId="18" fillId="0" borderId="1" xfId="0" applyFont="1" applyBorder="1"/>
    <xf numFmtId="0" fontId="7" fillId="0" borderId="0" xfId="0" applyFont="1" applyAlignment="1">
      <alignment horizontal="right"/>
    </xf>
    <xf numFmtId="10" fontId="3" fillId="0" borderId="0" xfId="0" applyNumberFormat="1" applyFont="1"/>
    <xf numFmtId="0" fontId="11" fillId="0" borderId="2" xfId="0" applyFont="1" applyBorder="1" applyAlignment="1">
      <alignment horizontal="left"/>
    </xf>
    <xf numFmtId="0" fontId="8" fillId="0" borderId="2" xfId="0" applyFont="1" applyBorder="1" applyAlignment="1">
      <alignment horizontal="right"/>
    </xf>
    <xf numFmtId="0" fontId="14" fillId="0" borderId="1" xfId="0" applyFont="1" applyBorder="1" applyAlignment="1">
      <alignment horizontal="left" wrapText="1" indent="1"/>
    </xf>
    <xf numFmtId="37" fontId="12" fillId="0" borderId="0" xfId="0" applyNumberFormat="1" applyFont="1"/>
    <xf numFmtId="10" fontId="8" fillId="0" borderId="1" xfId="0" applyNumberFormat="1" applyFont="1" applyBorder="1" applyAlignment="1">
      <alignment horizontal="right" wrapText="1"/>
    </xf>
    <xf numFmtId="179"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80" fontId="7" fillId="0" borderId="2" xfId="0" applyNumberFormat="1" applyFont="1" applyBorder="1" applyAlignment="1">
      <alignment horizontal="right"/>
    </xf>
    <xf numFmtId="0" fontId="22" fillId="0" borderId="1" xfId="0" applyFont="1" applyBorder="1"/>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80" fontId="15" fillId="0" borderId="1" xfId="0" applyNumberFormat="1" applyFont="1" applyBorder="1" applyAlignment="1">
      <alignment horizontal="center"/>
    </xf>
    <xf numFmtId="39" fontId="3" fillId="0" borderId="0" xfId="0" applyNumberFormat="1" applyFont="1"/>
    <xf numFmtId="0" fontId="3" fillId="0" borderId="0" xfId="0" applyFont="1" applyAlignment="1">
      <alignment horizontal="left"/>
    </xf>
    <xf numFmtId="186" fontId="17" fillId="0" borderId="2" xfId="0" applyNumberFormat="1" applyFont="1" applyBorder="1" applyAlignment="1">
      <alignment horizontal="right"/>
    </xf>
    <xf numFmtId="186" fontId="14" fillId="0" borderId="2" xfId="0" applyNumberFormat="1" applyFont="1" applyBorder="1" applyAlignment="1">
      <alignment horizontal="right"/>
    </xf>
    <xf numFmtId="186" fontId="23" fillId="0" borderId="1" xfId="0" applyNumberFormat="1" applyFont="1" applyBorder="1" applyAlignment="1">
      <alignment horizontal="right"/>
    </xf>
    <xf numFmtId="0" fontId="13" fillId="0" borderId="1" xfId="0" applyFont="1" applyBorder="1"/>
    <xf numFmtId="10" fontId="3" fillId="0" borderId="0" xfId="0" applyNumberFormat="1" applyFont="1" applyAlignment="1">
      <alignment horizontal="right"/>
    </xf>
    <xf numFmtId="0" fontId="24" fillId="0" borderId="2" xfId="0" applyFont="1" applyBorder="1"/>
    <xf numFmtId="183" fontId="0" fillId="0" borderId="0" xfId="0" applyNumberFormat="1"/>
    <xf numFmtId="0" fontId="24" fillId="0" borderId="0" xfId="0" applyFont="1" applyAlignment="1">
      <alignment horizontal="left" indent="1"/>
    </xf>
    <xf numFmtId="39" fontId="24" fillId="0" borderId="0" xfId="0" applyNumberFormat="1" applyFont="1"/>
    <xf numFmtId="185" fontId="3" fillId="0" borderId="1" xfId="0" applyNumberFormat="1" applyFont="1" applyBorder="1"/>
    <xf numFmtId="185"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83"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83"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83"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87"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88" fontId="30" fillId="0" borderId="0" xfId="0" applyNumberFormat="1" applyFont="1"/>
    <xf numFmtId="188" fontId="24" fillId="0" borderId="0" xfId="0" applyNumberFormat="1" applyFont="1"/>
    <xf numFmtId="188" fontId="25" fillId="0" borderId="3" xfId="0" applyNumberFormat="1" applyFont="1" applyBorder="1" applyAlignment="1">
      <alignment horizontal="center"/>
    </xf>
    <xf numFmtId="0" fontId="1" fillId="0" borderId="0" xfId="0" applyFont="1" applyAlignment="1">
      <alignment horizontal="center"/>
    </xf>
    <xf numFmtId="187" fontId="3" fillId="0" borderId="0" xfId="0" applyNumberFormat="1" applyFont="1"/>
    <xf numFmtId="0" fontId="1" fillId="0" borderId="0" xfId="0" quotePrefix="1" applyFont="1"/>
    <xf numFmtId="0" fontId="24" fillId="0" borderId="0" xfId="0" quotePrefix="1" applyFont="1" applyAlignment="1">
      <alignment horizontal="left" indent="1"/>
    </xf>
    <xf numFmtId="188"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applyAlignment="1">
      <alignment horizontal="right"/>
    </xf>
    <xf numFmtId="9" fontId="3" fillId="0" borderId="0" xfId="0" applyNumberFormat="1" applyFont="1"/>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3" fillId="0" borderId="0" xfId="0" applyFont="1" applyAlignment="1">
      <alignment horizontal="right"/>
    </xf>
    <xf numFmtId="0" fontId="34" fillId="0" borderId="1" xfId="0" quotePrefix="1" applyFont="1" applyBorder="1" applyAlignment="1">
      <alignment horizontal="left" wrapText="1"/>
    </xf>
    <xf numFmtId="10" fontId="0" fillId="0" borderId="0" xfId="0" applyNumberFormat="1"/>
    <xf numFmtId="0" fontId="35" fillId="0" borderId="0" xfId="0" applyFont="1"/>
    <xf numFmtId="187" fontId="0" fillId="0" borderId="0" xfId="0" applyNumberFormat="1"/>
    <xf numFmtId="10" fontId="25" fillId="0" borderId="0" xfId="0" applyNumberFormat="1" applyFont="1" applyAlignment="1">
      <alignment vertical="center"/>
    </xf>
    <xf numFmtId="188" fontId="25" fillId="0" borderId="0" xfId="0" applyNumberFormat="1" applyFont="1" applyAlignment="1">
      <alignment vertical="center"/>
    </xf>
    <xf numFmtId="188" fontId="29" fillId="0" borderId="0" xfId="0" applyNumberFormat="1" applyFont="1"/>
    <xf numFmtId="10" fontId="29" fillId="0" borderId="0" xfId="0" applyNumberFormat="1" applyFont="1"/>
    <xf numFmtId="9" fontId="29" fillId="0" borderId="0" xfId="0" applyNumberFormat="1" applyFont="1"/>
    <xf numFmtId="188" fontId="25" fillId="0" borderId="0" xfId="0" applyNumberFormat="1" applyFont="1"/>
    <xf numFmtId="9" fontId="7" fillId="0" borderId="0" xfId="0" applyNumberFormat="1" applyFont="1"/>
    <xf numFmtId="9" fontId="25" fillId="0" borderId="0" xfId="0" applyNumberFormat="1" applyFont="1"/>
    <xf numFmtId="0" fontId="1" fillId="0" borderId="0" xfId="0" applyFont="1" applyAlignment="1">
      <alignment horizontal="left"/>
    </xf>
    <xf numFmtId="9" fontId="0" fillId="0" borderId="0" xfId="0" applyNumberFormat="1" applyAlignment="1">
      <alignment horizontal="right"/>
    </xf>
    <xf numFmtId="0" fontId="1" fillId="0" borderId="3" xfId="0" applyFont="1" applyBorder="1" applyAlignment="1">
      <alignment horizontal="left" vertical="center"/>
    </xf>
    <xf numFmtId="0" fontId="35" fillId="0" borderId="1" xfId="0" applyFont="1" applyBorder="1"/>
    <xf numFmtId="0" fontId="0" fillId="0" borderId="1" xfId="0" applyBorder="1" applyAlignment="1">
      <alignment vertical="center"/>
    </xf>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37" fillId="0" borderId="1" xfId="0" applyFont="1" applyBorder="1" applyAlignment="1">
      <alignment horizontal="left"/>
    </xf>
    <xf numFmtId="0" fontId="27" fillId="6" borderId="4" xfId="0" applyFont="1" applyFill="1" applyBorder="1" applyAlignment="1">
      <alignment horizontal="center"/>
    </xf>
    <xf numFmtId="0" fontId="27" fillId="6" borderId="1" xfId="0" applyFont="1" applyFill="1" applyBorder="1" applyAlignment="1">
      <alignment horizontal="center"/>
    </xf>
    <xf numFmtId="177" fontId="25" fillId="0" borderId="3" xfId="0" applyNumberFormat="1" applyFont="1" applyBorder="1" applyAlignment="1">
      <alignment horizontal="center"/>
    </xf>
    <xf numFmtId="189"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87" fontId="8" fillId="0" borderId="1" xfId="0" quotePrefix="1" applyNumberFormat="1" applyFont="1" applyBorder="1" applyAlignment="1">
      <alignment wrapText="1"/>
    </xf>
    <xf numFmtId="0" fontId="38" fillId="0" borderId="2" xfId="0" quotePrefix="1" applyFont="1" applyBorder="1" applyAlignment="1">
      <alignment horizontal="left" wrapText="1"/>
    </xf>
    <xf numFmtId="0" fontId="8" fillId="0" borderId="1" xfId="0" quotePrefix="1" applyFont="1" applyBorder="1" applyAlignment="1">
      <alignment horizontal="right" wrapText="1"/>
    </xf>
    <xf numFmtId="190" fontId="7" fillId="0" borderId="1" xfId="0" applyNumberFormat="1" applyFont="1" applyBorder="1" applyAlignment="1">
      <alignment horizontal="right"/>
    </xf>
    <xf numFmtId="190" fontId="15" fillId="0" borderId="1" xfId="0" applyNumberFormat="1" applyFont="1" applyBorder="1" applyAlignment="1">
      <alignment horizontal="right"/>
    </xf>
    <xf numFmtId="190" fontId="8" fillId="0" borderId="1" xfId="0" applyNumberFormat="1" applyFont="1" applyBorder="1" applyAlignment="1">
      <alignment horizontal="right"/>
    </xf>
    <xf numFmtId="190" fontId="10" fillId="0" borderId="1" xfId="0" applyNumberFormat="1" applyFont="1" applyBorder="1"/>
    <xf numFmtId="190" fontId="14" fillId="0" borderId="1" xfId="0" applyNumberFormat="1" applyFont="1" applyBorder="1" applyAlignment="1">
      <alignment horizontal="right"/>
    </xf>
    <xf numFmtId="190" fontId="11" fillId="0" borderId="1" xfId="0" applyNumberFormat="1" applyFont="1" applyBorder="1" applyAlignment="1">
      <alignment horizontal="right"/>
    </xf>
    <xf numFmtId="190" fontId="10" fillId="0" borderId="0" xfId="0" applyNumberFormat="1" applyFont="1"/>
    <xf numFmtId="190" fontId="3" fillId="0" borderId="0" xfId="0" applyNumberFormat="1" applyFont="1"/>
    <xf numFmtId="190" fontId="17" fillId="0" borderId="1" xfId="0" applyNumberFormat="1" applyFont="1" applyBorder="1" applyAlignment="1">
      <alignment horizontal="right"/>
    </xf>
    <xf numFmtId="183" fontId="7" fillId="0" borderId="1" xfId="0" applyNumberFormat="1" applyFont="1" applyBorder="1" applyAlignment="1">
      <alignment horizontal="right"/>
    </xf>
    <xf numFmtId="183" fontId="17" fillId="0" borderId="1" xfId="0" applyNumberFormat="1" applyFont="1" applyBorder="1" applyAlignment="1">
      <alignment horizontal="right"/>
    </xf>
    <xf numFmtId="183" fontId="15" fillId="0" borderId="1" xfId="0" applyNumberFormat="1" applyFont="1" applyBorder="1" applyAlignment="1">
      <alignment horizontal="right"/>
    </xf>
    <xf numFmtId="190" fontId="13" fillId="0" borderId="1" xfId="0" applyNumberFormat="1" applyFont="1" applyBorder="1" applyAlignment="1">
      <alignment wrapText="1"/>
    </xf>
    <xf numFmtId="190" fontId="3" fillId="0" borderId="1" xfId="0" applyNumberFormat="1" applyFont="1" applyBorder="1"/>
    <xf numFmtId="190" fontId="11" fillId="0" borderId="1" xfId="0" applyNumberFormat="1" applyFont="1" applyBorder="1" applyAlignment="1">
      <alignment wrapText="1"/>
    </xf>
    <xf numFmtId="190" fontId="11" fillId="0" borderId="1" xfId="0" quotePrefix="1" applyNumberFormat="1" applyFont="1" applyBorder="1" applyAlignment="1">
      <alignment wrapText="1"/>
    </xf>
    <xf numFmtId="190" fontId="11" fillId="0" borderId="1" xfId="0" applyNumberFormat="1" applyFont="1" applyBorder="1"/>
    <xf numFmtId="190" fontId="3" fillId="8" borderId="1" xfId="0" applyNumberFormat="1" applyFont="1" applyFill="1" applyBorder="1"/>
    <xf numFmtId="190" fontId="3" fillId="5" borderId="1" xfId="0" applyNumberFormat="1" applyFont="1" applyFill="1" applyBorder="1"/>
    <xf numFmtId="190" fontId="8" fillId="0" borderId="1" xfId="0" applyNumberFormat="1" applyFont="1" applyBorder="1" applyAlignment="1">
      <alignment wrapText="1"/>
    </xf>
    <xf numFmtId="190" fontId="13" fillId="0" borderId="1" xfId="0" applyNumberFormat="1" applyFont="1" applyBorder="1"/>
    <xf numFmtId="190" fontId="8" fillId="0" borderId="1" xfId="0" applyNumberFormat="1" applyFont="1" applyBorder="1" applyAlignment="1">
      <alignment horizontal="right" wrapText="1"/>
    </xf>
    <xf numFmtId="190" fontId="14" fillId="0" borderId="1" xfId="0" applyNumberFormat="1" applyFont="1" applyBorder="1" applyAlignment="1">
      <alignment horizontal="right" wrapText="1"/>
    </xf>
    <xf numFmtId="190" fontId="0" fillId="0" borderId="0" xfId="0" applyNumberFormat="1"/>
    <xf numFmtId="0" fontId="3" fillId="8" borderId="0" xfId="0" applyFont="1" applyFill="1"/>
    <xf numFmtId="0" fontId="39" fillId="0" borderId="0" xfId="0" applyFont="1" applyAlignment="1">
      <alignment horizontal="right"/>
    </xf>
    <xf numFmtId="0" fontId="40" fillId="0" borderId="1" xfId="0" applyFont="1" applyBorder="1" applyAlignment="1">
      <alignment horizontal="right"/>
    </xf>
    <xf numFmtId="0" fontId="18" fillId="0" borderId="5" xfId="0" applyFont="1" applyBorder="1"/>
    <xf numFmtId="0" fontId="39" fillId="0" borderId="6" xfId="0" applyFont="1" applyBorder="1" applyAlignment="1">
      <alignment horizontal="right"/>
    </xf>
    <xf numFmtId="0" fontId="40" fillId="0" borderId="7" xfId="0" applyFont="1" applyBorder="1" applyAlignment="1">
      <alignment horizontal="right"/>
    </xf>
    <xf numFmtId="0" fontId="5" fillId="0" borderId="8" xfId="0" applyFont="1" applyBorder="1"/>
    <xf numFmtId="190"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9" fillId="0" borderId="1" xfId="0" applyFont="1" applyBorder="1" applyAlignment="1">
      <alignment horizontal="right"/>
    </xf>
    <xf numFmtId="0" fontId="40"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3" xfId="0" applyFont="1" applyBorder="1" applyAlignment="1">
      <alignment horizontal="left" vertical="center" wrapText="1"/>
    </xf>
    <xf numFmtId="0" fontId="0" fillId="0" borderId="3" xfId="0" applyBorder="1" applyAlignment="1">
      <alignment horizontal="left" vertical="center" wrapText="1"/>
    </xf>
    <xf numFmtId="0" fontId="1" fillId="0" borderId="2" xfId="0" quotePrefix="1" applyFont="1" applyBorder="1"/>
    <xf numFmtId="10" fontId="25" fillId="0" borderId="2" xfId="0" applyNumberFormat="1" applyFont="1" applyBorder="1"/>
    <xf numFmtId="190" fontId="0" fillId="0" borderId="2" xfId="0" applyNumberFormat="1" applyBorder="1"/>
    <xf numFmtId="0" fontId="1" fillId="0" borderId="12" xfId="0" quotePrefix="1" applyFont="1" applyBorder="1" applyAlignment="1">
      <alignment horizontal="left"/>
    </xf>
    <xf numFmtId="187" fontId="1" fillId="0" borderId="12" xfId="0" applyNumberFormat="1" applyFont="1" applyBorder="1"/>
    <xf numFmtId="190" fontId="24" fillId="0" borderId="0" xfId="0" applyNumberFormat="1" applyFont="1"/>
  </cellXfs>
  <cellStyles count="1">
    <cellStyle name="常规" xfId="0" builtinId="0"/>
  </cellStyles>
  <dxfs count="7">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006100"/>
      </font>
      <fill>
        <patternFill>
          <bgColor rgb="FFC6EFCE"/>
        </patternFill>
      </fill>
    </dxf>
  </dxfs>
  <tableStyles count="0" defaultTableStyle="TableStyleMedium2" defaultPivotStyle="PivotStyleLight16"/>
  <colors>
    <mruColors>
      <color rgb="FFFF0000"/>
      <color rgb="FF0000FF"/>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I100"/>
  <sheetViews>
    <sheetView showGridLines="0" tabSelected="1" zoomScale="115" zoomScaleNormal="115" workbookViewId="0">
      <selection activeCell="A17" sqref="A17"/>
    </sheetView>
  </sheetViews>
  <sheetFormatPr defaultColWidth="9" defaultRowHeight="11.65" x14ac:dyDescent="0.35"/>
  <cols>
    <col min="1" max="1" width="2.6640625" style="1" customWidth="1"/>
    <col min="2" max="2" width="23.1328125" style="1" customWidth="1"/>
    <col min="3" max="3" width="15.6640625" style="1" customWidth="1"/>
    <col min="4" max="5" width="25.6640625" style="1" customWidth="1"/>
    <col min="6" max="16384" width="9" style="1"/>
  </cols>
  <sheetData>
    <row r="1" spans="1:9" ht="12.4" x14ac:dyDescent="0.4">
      <c r="B1" s="50" t="s">
        <v>83</v>
      </c>
      <c r="C1" s="203" t="s">
        <v>342</v>
      </c>
      <c r="D1" s="54" t="s">
        <v>343</v>
      </c>
    </row>
    <row r="2" spans="1:9" x14ac:dyDescent="0.35">
      <c r="B2" s="3" t="s">
        <v>55</v>
      </c>
      <c r="C2" s="46">
        <v>45643</v>
      </c>
      <c r="D2" s="57"/>
      <c r="E2" s="106" t="s">
        <v>285</v>
      </c>
    </row>
    <row r="3" spans="1:9" ht="13.9" x14ac:dyDescent="0.45">
      <c r="A3" s="37" t="s">
        <v>111</v>
      </c>
      <c r="B3" s="37"/>
      <c r="C3" s="37"/>
      <c r="D3" s="37"/>
      <c r="E3" s="37"/>
      <c r="F3" s="23"/>
      <c r="G3" s="23"/>
      <c r="H3" s="23"/>
      <c r="I3" s="23"/>
    </row>
    <row r="4" spans="1:9" x14ac:dyDescent="0.35">
      <c r="B4" s="48" t="s">
        <v>109</v>
      </c>
      <c r="C4" s="49"/>
    </row>
    <row r="5" spans="1:9" x14ac:dyDescent="0.35">
      <c r="B5" s="2" t="s">
        <v>110</v>
      </c>
      <c r="C5" s="26" t="s">
        <v>284</v>
      </c>
      <c r="D5" s="2"/>
    </row>
    <row r="6" spans="1:9" x14ac:dyDescent="0.35">
      <c r="B6" s="2" t="s">
        <v>63</v>
      </c>
      <c r="C6" s="47">
        <v>8</v>
      </c>
      <c r="D6" s="2"/>
    </row>
    <row r="7" spans="1:9" x14ac:dyDescent="0.35">
      <c r="B7" s="1" t="s">
        <v>64</v>
      </c>
      <c r="C7" s="34">
        <f>EOMONTH(EDATE(BS!C1,Thesis!C6),0)</f>
        <v>45716</v>
      </c>
    </row>
    <row r="9" spans="1:9" x14ac:dyDescent="0.35">
      <c r="B9" s="48" t="str">
        <f>D1&amp;" Stock Information"</f>
        <v>0116.HK Stock Information</v>
      </c>
      <c r="C9" s="49"/>
      <c r="D9" s="5"/>
    </row>
    <row r="10" spans="1:9" x14ac:dyDescent="0.35">
      <c r="B10" s="4" t="s">
        <v>161</v>
      </c>
      <c r="C10" s="55">
        <v>7</v>
      </c>
      <c r="D10" s="53" t="s">
        <v>54</v>
      </c>
    </row>
    <row r="11" spans="1:9" x14ac:dyDescent="0.35">
      <c r="B11" s="4" t="s">
        <v>0</v>
      </c>
      <c r="C11" s="56">
        <v>677426000</v>
      </c>
      <c r="D11" s="35"/>
    </row>
    <row r="12" spans="1:9" x14ac:dyDescent="0.35">
      <c r="B12" s="4" t="s">
        <v>1</v>
      </c>
      <c r="C12" s="53" t="s">
        <v>283</v>
      </c>
      <c r="D12" s="33"/>
    </row>
    <row r="13" spans="1:9" x14ac:dyDescent="0.35">
      <c r="B13" s="4" t="s">
        <v>2</v>
      </c>
      <c r="C13" s="55">
        <v>1</v>
      </c>
      <c r="D13" s="53" t="str">
        <f>IF(C12=D10,D10,C12&amp;"/"&amp;D10)</f>
        <v>HKD</v>
      </c>
    </row>
    <row r="14" spans="1:9" x14ac:dyDescent="0.35">
      <c r="B14" s="4" t="s">
        <v>25</v>
      </c>
      <c r="C14" s="36">
        <f>Thesis!C10*Thesis!C11/1000000</f>
        <v>4741.982</v>
      </c>
      <c r="D14" s="53"/>
    </row>
    <row r="15" spans="1:9" x14ac:dyDescent="0.35">
      <c r="D15" s="5"/>
    </row>
    <row r="16" spans="1:9" ht="13.9" x14ac:dyDescent="0.45">
      <c r="A16" s="37" t="s">
        <v>350</v>
      </c>
      <c r="B16" s="37"/>
      <c r="C16" s="37"/>
      <c r="D16" s="37"/>
      <c r="E16" s="37"/>
    </row>
    <row r="18" spans="1:4" x14ac:dyDescent="0.35">
      <c r="A18" s="17" t="str">
        <f>"1."</f>
        <v>1.</v>
      </c>
      <c r="B18" s="50" t="s">
        <v>84</v>
      </c>
    </row>
    <row r="19" spans="1:4" x14ac:dyDescent="0.35">
      <c r="B19" s="50" t="s">
        <v>94</v>
      </c>
    </row>
    <row r="20" spans="1:4" x14ac:dyDescent="0.35">
      <c r="B20" s="1" t="s">
        <v>73</v>
      </c>
    </row>
    <row r="22" spans="1:4" x14ac:dyDescent="0.35">
      <c r="B22" s="50" t="s">
        <v>114</v>
      </c>
      <c r="C22" s="128">
        <f>Data!C3</f>
        <v>1000</v>
      </c>
    </row>
    <row r="23" spans="1:4" x14ac:dyDescent="0.35">
      <c r="B23" s="1" t="s">
        <v>165</v>
      </c>
      <c r="C23" s="87">
        <f>Normalized_FCF!C16</f>
        <v>336835.7055339262</v>
      </c>
      <c r="D23" s="1" t="str">
        <f>C12</f>
        <v>HKD</v>
      </c>
    </row>
    <row r="24" spans="1:4" x14ac:dyDescent="0.35">
      <c r="B24" s="1" t="s">
        <v>166</v>
      </c>
      <c r="C24" s="87">
        <f>Normalized_FCF!C11</f>
        <v>0</v>
      </c>
    </row>
    <row r="25" spans="1:4" x14ac:dyDescent="0.35">
      <c r="B25" s="125" t="s">
        <v>113</v>
      </c>
      <c r="C25" s="87">
        <f>C23+C24</f>
        <v>336835.7055339262</v>
      </c>
    </row>
    <row r="27" spans="1:4" x14ac:dyDescent="0.35">
      <c r="B27" s="1" t="s">
        <v>167</v>
      </c>
      <c r="C27" s="87">
        <f>Normalized_FCF!C19</f>
        <v>336835.7055339262</v>
      </c>
    </row>
    <row r="28" spans="1:4" x14ac:dyDescent="0.35">
      <c r="B28" s="1" t="s">
        <v>168</v>
      </c>
      <c r="C28" s="124">
        <f>C27/(Common_Shares/Data!C3)</f>
        <v>0.49722878297249617</v>
      </c>
    </row>
    <row r="29" spans="1:4" x14ac:dyDescent="0.35">
      <c r="B29" s="1" t="s">
        <v>169</v>
      </c>
      <c r="C29" s="107">
        <f>C28/Market_Price</f>
        <v>7.1032683281785164E-2</v>
      </c>
    </row>
    <row r="31" spans="1:4" x14ac:dyDescent="0.35">
      <c r="B31" s="51" t="s">
        <v>74</v>
      </c>
    </row>
    <row r="32" spans="1:4" x14ac:dyDescent="0.35">
      <c r="B32" s="51" t="s">
        <v>75</v>
      </c>
    </row>
    <row r="33" spans="1:4" x14ac:dyDescent="0.35">
      <c r="B33" s="51" t="s">
        <v>76</v>
      </c>
    </row>
    <row r="34" spans="1:4" x14ac:dyDescent="0.35">
      <c r="B34" s="51" t="s">
        <v>77</v>
      </c>
    </row>
    <row r="36" spans="1:4" x14ac:dyDescent="0.35">
      <c r="A36" s="17" t="str">
        <f>"2."</f>
        <v>2.</v>
      </c>
      <c r="B36" s="50" t="s">
        <v>85</v>
      </c>
    </row>
    <row r="37" spans="1:4" x14ac:dyDescent="0.35">
      <c r="B37" s="1" t="s">
        <v>182</v>
      </c>
      <c r="C37" s="144">
        <v>0.1</v>
      </c>
    </row>
    <row r="38" spans="1:4" x14ac:dyDescent="0.35">
      <c r="C38" s="107"/>
    </row>
    <row r="39" spans="1:4" x14ac:dyDescent="0.35">
      <c r="B39" s="16" t="s">
        <v>174</v>
      </c>
    </row>
    <row r="40" spans="1:4" x14ac:dyDescent="0.35">
      <c r="B40" s="125" t="s">
        <v>175</v>
      </c>
      <c r="C40" s="130">
        <v>0</v>
      </c>
      <c r="D40" s="52" t="s">
        <v>38</v>
      </c>
    </row>
    <row r="41" spans="1:4" x14ac:dyDescent="0.35">
      <c r="B41" s="125" t="s">
        <v>176</v>
      </c>
      <c r="C41" s="130">
        <v>0</v>
      </c>
      <c r="D41" s="129" t="s">
        <v>178</v>
      </c>
    </row>
    <row r="42" spans="1:4" x14ac:dyDescent="0.35">
      <c r="B42" s="125" t="s">
        <v>177</v>
      </c>
      <c r="C42" s="130">
        <v>0</v>
      </c>
    </row>
    <row r="43" spans="1:4" x14ac:dyDescent="0.35">
      <c r="B43" s="80" t="s">
        <v>174</v>
      </c>
      <c r="C43" s="81">
        <f>SUM(C40:C42)</f>
        <v>0</v>
      </c>
    </row>
    <row r="45" spans="1:4" x14ac:dyDescent="0.35">
      <c r="A45" s="17" t="str">
        <f>"3."</f>
        <v>3.</v>
      </c>
      <c r="B45" s="50" t="s">
        <v>86</v>
      </c>
    </row>
    <row r="46" spans="1:4" x14ac:dyDescent="0.35">
      <c r="B46" s="50" t="s">
        <v>72</v>
      </c>
    </row>
    <row r="47" spans="1:4" x14ac:dyDescent="0.35">
      <c r="B47" s="1" t="s">
        <v>78</v>
      </c>
    </row>
    <row r="48" spans="1:4" x14ac:dyDescent="0.35">
      <c r="B48" s="1" t="s">
        <v>79</v>
      </c>
    </row>
    <row r="50" spans="1:2" x14ac:dyDescent="0.35">
      <c r="B50" s="50" t="s">
        <v>80</v>
      </c>
    </row>
    <row r="51" spans="1:2" x14ac:dyDescent="0.35">
      <c r="B51" s="1" t="s">
        <v>81</v>
      </c>
    </row>
    <row r="53" spans="1:2" x14ac:dyDescent="0.35">
      <c r="A53" s="17" t="str">
        <f>"4."</f>
        <v>4.</v>
      </c>
      <c r="B53" s="50" t="s">
        <v>112</v>
      </c>
    </row>
    <row r="54" spans="1:2" x14ac:dyDescent="0.35">
      <c r="B54" s="50" t="s">
        <v>94</v>
      </c>
    </row>
    <row r="55" spans="1:2" x14ac:dyDescent="0.35">
      <c r="B55" s="1" t="s">
        <v>82</v>
      </c>
    </row>
    <row r="57" spans="1:2" x14ac:dyDescent="0.35">
      <c r="B57" s="50" t="s">
        <v>87</v>
      </c>
    </row>
    <row r="58" spans="1:2" x14ac:dyDescent="0.35">
      <c r="B58" s="1" t="s">
        <v>88</v>
      </c>
    </row>
    <row r="60" spans="1:2" x14ac:dyDescent="0.35">
      <c r="B60" s="50" t="s">
        <v>90</v>
      </c>
    </row>
    <row r="61" spans="1:2" x14ac:dyDescent="0.35">
      <c r="B61" s="1" t="s">
        <v>46</v>
      </c>
    </row>
    <row r="62" spans="1:2" x14ac:dyDescent="0.35">
      <c r="B62" s="1" t="s">
        <v>89</v>
      </c>
    </row>
    <row r="63" spans="1:2" x14ac:dyDescent="0.35">
      <c r="B63" s="1" t="s">
        <v>47</v>
      </c>
    </row>
    <row r="65" spans="1:3" x14ac:dyDescent="0.35">
      <c r="B65" s="50" t="s">
        <v>26</v>
      </c>
    </row>
    <row r="66" spans="1:3" ht="12.75" x14ac:dyDescent="0.35">
      <c r="B66" s="119" t="s">
        <v>211</v>
      </c>
      <c r="C66"/>
    </row>
    <row r="67" spans="1:3" ht="12.75" x14ac:dyDescent="0.35">
      <c r="B67" s="119" t="s">
        <v>209</v>
      </c>
      <c r="C67" s="173">
        <v>3</v>
      </c>
    </row>
    <row r="68" spans="1:3" ht="12.75" x14ac:dyDescent="0.35">
      <c r="B68" s="119" t="s">
        <v>248</v>
      </c>
      <c r="C68" s="193">
        <v>0.2</v>
      </c>
    </row>
    <row r="69" spans="1:3" x14ac:dyDescent="0.35">
      <c r="B69" s="1" t="s">
        <v>106</v>
      </c>
      <c r="C69" s="178">
        <f>Scenarios!F83</f>
        <v>-0.20266249858951479</v>
      </c>
    </row>
    <row r="71" spans="1:3" x14ac:dyDescent="0.35">
      <c r="B71" s="50" t="s">
        <v>91</v>
      </c>
    </row>
    <row r="72" spans="1:3" x14ac:dyDescent="0.35">
      <c r="B72" s="1" t="s">
        <v>92</v>
      </c>
    </row>
    <row r="74" spans="1:3" x14ac:dyDescent="0.35">
      <c r="A74" s="17" t="str">
        <f>"5."</f>
        <v>5.</v>
      </c>
      <c r="B74" s="50" t="s">
        <v>93</v>
      </c>
    </row>
    <row r="75" spans="1:3" x14ac:dyDescent="0.35">
      <c r="B75" s="50" t="s">
        <v>94</v>
      </c>
    </row>
    <row r="76" spans="1:3" x14ac:dyDescent="0.35">
      <c r="B76" s="1" t="s">
        <v>96</v>
      </c>
    </row>
    <row r="78" spans="1:3" x14ac:dyDescent="0.35">
      <c r="B78" s="50" t="s">
        <v>95</v>
      </c>
    </row>
    <row r="79" spans="1:3" x14ac:dyDescent="0.35">
      <c r="B79" s="1" t="s">
        <v>97</v>
      </c>
    </row>
    <row r="80" spans="1:3" x14ac:dyDescent="0.35">
      <c r="B80" s="1" t="s">
        <v>98</v>
      </c>
    </row>
    <row r="82" spans="1:5" ht="13.9" x14ac:dyDescent="0.45">
      <c r="A82" s="37" t="s">
        <v>107</v>
      </c>
      <c r="B82" s="37"/>
      <c r="C82" s="37"/>
      <c r="D82" s="37"/>
      <c r="E82" s="37"/>
    </row>
    <row r="84" spans="1:5" ht="12.4" x14ac:dyDescent="0.4">
      <c r="B84" s="151" t="s">
        <v>198</v>
      </c>
      <c r="C84" s="151" t="s">
        <v>220</v>
      </c>
      <c r="D84" s="152" t="s">
        <v>193</v>
      </c>
      <c r="E84" s="152" t="s">
        <v>201</v>
      </c>
    </row>
    <row r="85" spans="1:5" ht="12.75" x14ac:dyDescent="0.35">
      <c r="B85" s="150" t="s">
        <v>195</v>
      </c>
      <c r="C85" s="165"/>
      <c r="D85" s="158"/>
      <c r="E85" s="165"/>
    </row>
    <row r="86" spans="1:5" ht="12.75" x14ac:dyDescent="0.35">
      <c r="B86" s="150" t="s">
        <v>196</v>
      </c>
      <c r="C86" s="165"/>
      <c r="D86" s="158"/>
      <c r="E86" s="165"/>
    </row>
    <row r="87" spans="1:5" ht="12.75" x14ac:dyDescent="0.35">
      <c r="B87" s="150" t="s">
        <v>194</v>
      </c>
      <c r="C87" s="165"/>
      <c r="D87" s="158"/>
      <c r="E87" s="165"/>
    </row>
    <row r="88" spans="1:5" ht="12.75" x14ac:dyDescent="0.35">
      <c r="B88" s="150" t="s">
        <v>197</v>
      </c>
      <c r="C88" s="165"/>
      <c r="D88" s="158"/>
      <c r="E88" s="165"/>
    </row>
    <row r="90" spans="1:5" x14ac:dyDescent="0.35">
      <c r="B90" s="50" t="s">
        <v>108</v>
      </c>
      <c r="C90" s="170">
        <f>Scenarios!C83</f>
        <v>4.2251801155896613</v>
      </c>
      <c r="D90" s="1" t="str">
        <f>Reporting_currency</f>
        <v>HKD</v>
      </c>
    </row>
    <row r="92" spans="1:5" ht="13.9" x14ac:dyDescent="0.45">
      <c r="A92" s="37" t="s">
        <v>99</v>
      </c>
      <c r="B92" s="37"/>
      <c r="C92" s="37"/>
      <c r="D92" s="37"/>
      <c r="E92" s="37"/>
    </row>
    <row r="93" spans="1:5" x14ac:dyDescent="0.35">
      <c r="B93" s="50" t="s">
        <v>100</v>
      </c>
    </row>
    <row r="94" spans="1:5" x14ac:dyDescent="0.35">
      <c r="B94" s="1" t="s">
        <v>101</v>
      </c>
    </row>
    <row r="96" spans="1:5" x14ac:dyDescent="0.35">
      <c r="B96" s="50" t="s">
        <v>102</v>
      </c>
    </row>
    <row r="97" spans="2:2" x14ac:dyDescent="0.35">
      <c r="B97" s="1" t="s">
        <v>103</v>
      </c>
    </row>
    <row r="99" spans="2:2" x14ac:dyDescent="0.35">
      <c r="B99" s="50" t="s">
        <v>104</v>
      </c>
    </row>
    <row r="100" spans="2:2" x14ac:dyDescent="0.35">
      <c r="B100" s="1" t="s">
        <v>105</v>
      </c>
    </row>
  </sheetData>
  <phoneticPr fontId="2" type="noConversion"/>
  <conditionalFormatting sqref="D85:D88">
    <cfRule type="cellIs" dxfId="6" priority="1" operator="lessThan">
      <formula>$F$13</formula>
    </cfRule>
  </conditionalFormatting>
  <dataValidations count="4">
    <dataValidation type="list" allowBlank="1" sqref="C12" xr:uid="{00000000-0002-0000-0000-000001000000}">
      <formula1>"HKD,USD,CNY,EUR"</formula1>
    </dataValidation>
    <dataValidation type="list" allowBlank="1" showInputMessage="1" showErrorMessage="1" sqref="E2" xr:uid="{45F807FD-9E0F-415A-9BBD-D5FB6470B56D}">
      <formula1>"Status: Not Held, Status: Held"</formula1>
    </dataValidation>
    <dataValidation type="list" allowBlank="1" showInputMessage="1" showErrorMessage="1" sqref="D40" xr:uid="{7A4D0D78-B7B0-41D6-9553-BB65BF9D0DE8}">
      <formula1>"US, CN, HK, Others"</formula1>
    </dataValidation>
    <dataValidation type="list" allowBlank="1" showInputMessage="1" showErrorMessage="1" sqref="D41" xr:uid="{E2751D42-64D4-404F-8920-D495B29DB1C3}">
      <formula1>"Stable Business, Moderate Risk, High Risk"</formula1>
    </dataValidation>
  </dataValidations>
  <pageMargins left="0.25" right="0.25" top="0.75" bottom="0.75" header="0.3" footer="0.3"/>
  <pageSetup paperSize="9"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79"/>
  <sheetViews>
    <sheetView showGridLines="0" zoomScaleNormal="100" workbookViewId="0">
      <pane xSplit="2" ySplit="1" topLeftCell="C2" activePane="bottomRight" state="frozen"/>
      <selection pane="topRight" activeCell="C1" sqref="C1"/>
      <selection pane="bottomLeft" activeCell="A2" sqref="A2"/>
      <selection pane="bottomRight" activeCell="C20" sqref="C20"/>
    </sheetView>
  </sheetViews>
  <sheetFormatPr defaultColWidth="8.796875" defaultRowHeight="11.65" x14ac:dyDescent="0.35"/>
  <cols>
    <col min="1" max="1" width="3" style="1" customWidth="1"/>
    <col min="2" max="2" width="27.33203125" style="1" customWidth="1"/>
    <col min="3" max="13" width="20.6640625" style="1" customWidth="1"/>
    <col min="14" max="16384" width="8.796875" style="1"/>
  </cols>
  <sheetData>
    <row r="1" spans="2:13" x14ac:dyDescent="0.35">
      <c r="B1" s="104" t="str">
        <f>Thesis!C12</f>
        <v>HKD</v>
      </c>
      <c r="C1" s="123">
        <v>45291</v>
      </c>
      <c r="D1" s="39">
        <f>EOMONTH(EDATE(C1,-12),0)</f>
        <v>44926</v>
      </c>
      <c r="E1" s="39">
        <f t="shared" ref="E1:M1" si="0">EOMONTH(EDATE(D1,-12),0)</f>
        <v>44561</v>
      </c>
      <c r="F1" s="39">
        <f t="shared" si="0"/>
        <v>44196</v>
      </c>
      <c r="G1" s="39">
        <f t="shared" si="0"/>
        <v>43830</v>
      </c>
      <c r="H1" s="39">
        <f t="shared" si="0"/>
        <v>43465</v>
      </c>
      <c r="I1" s="39">
        <f t="shared" si="0"/>
        <v>43100</v>
      </c>
      <c r="J1" s="39">
        <f t="shared" si="0"/>
        <v>42735</v>
      </c>
      <c r="K1" s="39">
        <f t="shared" si="0"/>
        <v>42369</v>
      </c>
      <c r="L1" s="39">
        <f t="shared" si="0"/>
        <v>42004</v>
      </c>
      <c r="M1" s="39">
        <f t="shared" si="0"/>
        <v>41639</v>
      </c>
    </row>
    <row r="2" spans="2:13" ht="13.9" x14ac:dyDescent="0.45">
      <c r="B2" s="37" t="s">
        <v>164</v>
      </c>
      <c r="C2" s="38"/>
      <c r="D2" s="38"/>
      <c r="E2" s="38"/>
      <c r="F2" s="38"/>
      <c r="G2" s="38"/>
      <c r="H2" s="38"/>
      <c r="I2" s="38"/>
      <c r="J2" s="38"/>
      <c r="K2" s="38"/>
      <c r="L2" s="38"/>
      <c r="M2" s="38"/>
    </row>
    <row r="3" spans="2:13" x14ac:dyDescent="0.35">
      <c r="B3" s="16" t="s">
        <v>30</v>
      </c>
      <c r="C3" s="126">
        <v>1000</v>
      </c>
    </row>
    <row r="4" spans="2:13" x14ac:dyDescent="0.35">
      <c r="B4" s="33" t="s">
        <v>3</v>
      </c>
      <c r="C4" s="223">
        <v>25013339</v>
      </c>
      <c r="D4" s="214">
        <v>19751940</v>
      </c>
      <c r="E4" s="214">
        <v>21987559</v>
      </c>
      <c r="F4" s="214">
        <v>14997541</v>
      </c>
      <c r="G4" s="214">
        <v>17736226</v>
      </c>
      <c r="H4" s="214">
        <v>18806342</v>
      </c>
      <c r="I4" s="214">
        <v>59156.4</v>
      </c>
      <c r="J4" s="214">
        <v>51245.5</v>
      </c>
      <c r="K4" s="214"/>
      <c r="L4" s="214"/>
      <c r="M4" s="214"/>
    </row>
    <row r="5" spans="2:13" x14ac:dyDescent="0.35">
      <c r="B5" s="42" t="s">
        <v>57</v>
      </c>
      <c r="C5" s="223">
        <v>18409837</v>
      </c>
      <c r="D5" s="214">
        <v>15140010</v>
      </c>
      <c r="E5" s="214">
        <v>16431474</v>
      </c>
      <c r="F5" s="214">
        <v>10877614</v>
      </c>
      <c r="G5" s="214">
        <v>12958750</v>
      </c>
      <c r="H5" s="214">
        <v>14175208</v>
      </c>
      <c r="I5" s="214">
        <v>42943</v>
      </c>
      <c r="J5" s="214">
        <v>36282.800000000003</v>
      </c>
      <c r="K5" s="214"/>
      <c r="L5" s="214"/>
      <c r="M5" s="214"/>
    </row>
    <row r="6" spans="2:13" x14ac:dyDescent="0.35">
      <c r="B6" s="42" t="s">
        <v>71</v>
      </c>
      <c r="C6" s="223">
        <v>5225366</v>
      </c>
      <c r="D6" s="214">
        <v>4709830</v>
      </c>
      <c r="E6" s="214">
        <v>4571128</v>
      </c>
      <c r="F6" s="214">
        <v>3136777</v>
      </c>
      <c r="G6" s="214">
        <v>3470831</v>
      </c>
      <c r="H6" s="214">
        <v>3388718</v>
      </c>
      <c r="I6" s="214">
        <v>10960.1</v>
      </c>
      <c r="J6" s="214">
        <v>10347.099999999999</v>
      </c>
      <c r="K6" s="214"/>
      <c r="L6" s="214"/>
      <c r="M6" s="214"/>
    </row>
    <row r="7" spans="2:13" x14ac:dyDescent="0.35">
      <c r="B7" s="79" t="s">
        <v>119</v>
      </c>
      <c r="C7" s="224"/>
      <c r="D7" s="222"/>
      <c r="E7" s="222"/>
      <c r="F7" s="222"/>
      <c r="G7" s="222"/>
      <c r="H7" s="222"/>
      <c r="I7" s="222"/>
      <c r="J7" s="222"/>
      <c r="K7" s="222"/>
      <c r="L7" s="222"/>
      <c r="M7" s="222"/>
    </row>
    <row r="8" spans="2:13" x14ac:dyDescent="0.35">
      <c r="B8" s="42" t="s">
        <v>65</v>
      </c>
      <c r="C8" s="223"/>
      <c r="D8" s="214"/>
      <c r="E8" s="214"/>
      <c r="F8" s="214"/>
      <c r="G8" s="214"/>
      <c r="H8" s="214"/>
      <c r="I8" s="214"/>
      <c r="J8" s="214"/>
      <c r="K8" s="214"/>
      <c r="L8" s="214"/>
      <c r="M8" s="214"/>
    </row>
    <row r="9" spans="2:13" x14ac:dyDescent="0.35">
      <c r="B9" s="42" t="s">
        <v>266</v>
      </c>
      <c r="C9" s="223"/>
      <c r="D9" s="214"/>
      <c r="E9" s="214"/>
      <c r="F9" s="214"/>
      <c r="G9" s="214"/>
      <c r="H9" s="214"/>
      <c r="I9" s="214"/>
      <c r="J9" s="214"/>
      <c r="K9" s="214"/>
      <c r="L9" s="214"/>
      <c r="M9" s="214"/>
    </row>
    <row r="10" spans="2:13" x14ac:dyDescent="0.35">
      <c r="B10" s="42" t="s">
        <v>277</v>
      </c>
      <c r="C10" s="223"/>
      <c r="D10" s="214"/>
      <c r="E10" s="214"/>
      <c r="F10" s="214"/>
      <c r="G10" s="214"/>
      <c r="H10" s="214"/>
      <c r="I10" s="214"/>
      <c r="J10" s="214"/>
      <c r="K10" s="214"/>
      <c r="L10" s="214"/>
      <c r="M10" s="214"/>
    </row>
    <row r="11" spans="2:13" x14ac:dyDescent="0.35">
      <c r="B11" s="42" t="s">
        <v>265</v>
      </c>
      <c r="C11" s="223"/>
      <c r="D11" s="214"/>
      <c r="E11" s="214"/>
      <c r="F11" s="214"/>
      <c r="G11" s="214"/>
      <c r="H11" s="214"/>
      <c r="I11" s="214"/>
      <c r="J11" s="214"/>
      <c r="K11" s="214"/>
      <c r="L11" s="214"/>
      <c r="M11" s="214"/>
    </row>
    <row r="12" spans="2:13" x14ac:dyDescent="0.35">
      <c r="B12" s="42" t="s">
        <v>51</v>
      </c>
      <c r="C12" s="223">
        <v>129899</v>
      </c>
      <c r="D12" s="214">
        <v>81860</v>
      </c>
      <c r="E12" s="214">
        <v>60486</v>
      </c>
      <c r="F12" s="214">
        <v>76137</v>
      </c>
      <c r="G12" s="214">
        <v>89162</v>
      </c>
      <c r="H12" s="214">
        <v>36991</v>
      </c>
      <c r="I12" s="214">
        <v>243.7</v>
      </c>
      <c r="J12" s="214">
        <v>236.6</v>
      </c>
      <c r="K12" s="214"/>
      <c r="L12" s="214"/>
      <c r="M12" s="214"/>
    </row>
    <row r="13" spans="2:13" x14ac:dyDescent="0.35">
      <c r="B13" s="42" t="s">
        <v>125</v>
      </c>
      <c r="C13" s="223">
        <v>183.1</v>
      </c>
      <c r="D13" s="214">
        <v>227.8</v>
      </c>
      <c r="E13" s="214"/>
      <c r="F13" s="214"/>
      <c r="G13" s="214"/>
      <c r="H13" s="214"/>
      <c r="I13" s="214"/>
      <c r="J13" s="214"/>
      <c r="K13" s="214"/>
      <c r="L13" s="214"/>
      <c r="M13" s="214"/>
    </row>
    <row r="14" spans="2:13" x14ac:dyDescent="0.35">
      <c r="B14" s="42" t="s">
        <v>66</v>
      </c>
      <c r="C14" s="223"/>
      <c r="D14" s="214"/>
      <c r="E14" s="214"/>
      <c r="F14" s="214"/>
      <c r="G14" s="214"/>
      <c r="H14" s="214"/>
      <c r="I14" s="214"/>
      <c r="J14" s="214"/>
      <c r="K14" s="214"/>
      <c r="L14" s="214"/>
      <c r="M14" s="214"/>
    </row>
    <row r="15" spans="2:13" x14ac:dyDescent="0.35">
      <c r="B15" s="45" t="s">
        <v>56</v>
      </c>
      <c r="C15" s="225"/>
      <c r="D15" s="215">
        <v>-10604</v>
      </c>
      <c r="E15" s="215">
        <v>-3488</v>
      </c>
      <c r="F15" s="215">
        <v>0</v>
      </c>
      <c r="G15" s="215">
        <v>0</v>
      </c>
      <c r="H15" s="215">
        <v>0</v>
      </c>
      <c r="I15" s="215">
        <v>108.4</v>
      </c>
      <c r="J15" s="215">
        <v>95.8</v>
      </c>
      <c r="K15" s="215"/>
      <c r="L15" s="215"/>
      <c r="M15" s="215"/>
    </row>
    <row r="16" spans="2:13" x14ac:dyDescent="0.35">
      <c r="B16" s="29" t="s">
        <v>58</v>
      </c>
      <c r="C16" s="223">
        <v>-13497</v>
      </c>
      <c r="D16" s="214">
        <v>-10604</v>
      </c>
      <c r="E16" s="214">
        <v>-3488</v>
      </c>
      <c r="F16" s="214">
        <v>0</v>
      </c>
      <c r="G16" s="214">
        <v>0</v>
      </c>
      <c r="H16" s="214">
        <v>0</v>
      </c>
      <c r="I16" s="214"/>
      <c r="J16" s="214"/>
      <c r="K16" s="214"/>
      <c r="L16" s="214"/>
      <c r="M16" s="214"/>
    </row>
    <row r="18" spans="2:13" x14ac:dyDescent="0.35">
      <c r="B18" s="16" t="s">
        <v>67</v>
      </c>
      <c r="C18" s="9"/>
    </row>
    <row r="19" spans="2:13" x14ac:dyDescent="0.35">
      <c r="B19" s="28" t="s">
        <v>61</v>
      </c>
      <c r="C19" s="214"/>
      <c r="D19" s="214"/>
      <c r="E19" s="214"/>
      <c r="F19" s="214"/>
      <c r="G19" s="214"/>
      <c r="H19" s="214"/>
      <c r="I19" s="214"/>
      <c r="J19" s="214"/>
      <c r="K19" s="214"/>
      <c r="L19" s="214"/>
      <c r="M19" s="214"/>
    </row>
    <row r="20" spans="2:13" x14ac:dyDescent="0.35">
      <c r="B20" s="28" t="s">
        <v>69</v>
      </c>
      <c r="C20" s="214"/>
      <c r="D20" s="214"/>
      <c r="E20" s="214"/>
      <c r="F20" s="214"/>
      <c r="G20" s="214"/>
      <c r="H20" s="214"/>
      <c r="I20" s="214"/>
      <c r="J20" s="214"/>
      <c r="K20" s="214"/>
      <c r="L20" s="214"/>
      <c r="M20" s="214"/>
    </row>
    <row r="21" spans="2:13" x14ac:dyDescent="0.35">
      <c r="B21" s="28" t="s">
        <v>68</v>
      </c>
      <c r="C21" s="214"/>
      <c r="D21" s="214"/>
      <c r="E21" s="214"/>
      <c r="F21" s="214"/>
      <c r="G21" s="214"/>
      <c r="H21" s="214"/>
      <c r="I21" s="214"/>
      <c r="J21" s="214"/>
      <c r="K21" s="214"/>
      <c r="L21" s="214"/>
      <c r="M21" s="214"/>
    </row>
    <row r="22" spans="2:13" x14ac:dyDescent="0.35">
      <c r="B22" s="25" t="str">
        <f>"Dividend per share ("&amp;Market_currency&amp;")"</f>
        <v>Dividend per share (HKD)</v>
      </c>
      <c r="C22" s="40">
        <v>0.55000000000000004</v>
      </c>
      <c r="D22" s="40"/>
      <c r="E22" s="40"/>
      <c r="F22" s="40"/>
      <c r="G22" s="40"/>
      <c r="H22" s="40"/>
      <c r="I22" s="40"/>
      <c r="J22" s="40"/>
      <c r="K22" s="40"/>
      <c r="L22" s="40"/>
      <c r="M22" s="40"/>
    </row>
    <row r="24" spans="2:13" x14ac:dyDescent="0.35">
      <c r="B24" s="16" t="s">
        <v>31</v>
      </c>
      <c r="C24" s="9"/>
    </row>
    <row r="25" spans="2:13" x14ac:dyDescent="0.35">
      <c r="B25" s="27" t="s">
        <v>27</v>
      </c>
      <c r="C25" s="216"/>
      <c r="D25" s="214"/>
      <c r="E25" s="214"/>
      <c r="F25" s="214"/>
      <c r="G25" s="214"/>
      <c r="H25" s="214"/>
      <c r="I25" s="214"/>
      <c r="J25" s="214"/>
      <c r="K25" s="214"/>
      <c r="L25" s="214"/>
      <c r="M25" s="214"/>
    </row>
    <row r="26" spans="2:13" x14ac:dyDescent="0.35">
      <c r="B26" s="27" t="s">
        <v>35</v>
      </c>
      <c r="C26" s="216"/>
      <c r="D26" s="214"/>
      <c r="E26" s="214"/>
      <c r="F26" s="214"/>
      <c r="G26" s="214"/>
      <c r="H26" s="214"/>
      <c r="I26" s="214"/>
      <c r="J26" s="214"/>
      <c r="K26" s="214"/>
      <c r="L26" s="214"/>
      <c r="M26" s="214"/>
    </row>
    <row r="27" spans="2:13" x14ac:dyDescent="0.35">
      <c r="B27" s="30" t="s">
        <v>52</v>
      </c>
      <c r="C27" s="215">
        <v>6730302</v>
      </c>
      <c r="D27" s="215">
        <v>6780629</v>
      </c>
      <c r="E27" s="215">
        <v>5345297</v>
      </c>
      <c r="F27" s="215">
        <v>4807353</v>
      </c>
      <c r="G27" s="215"/>
      <c r="H27" s="215"/>
      <c r="I27" s="215"/>
      <c r="J27" s="215"/>
      <c r="K27" s="215"/>
      <c r="L27" s="215"/>
      <c r="M27" s="215"/>
    </row>
    <row r="28" spans="2:13" x14ac:dyDescent="0.35">
      <c r="B28" s="30" t="s">
        <v>33</v>
      </c>
      <c r="C28" s="215">
        <v>12167429</v>
      </c>
      <c r="D28" s="215">
        <v>11870228</v>
      </c>
      <c r="E28" s="215">
        <v>12743461</v>
      </c>
      <c r="F28" s="215">
        <v>12019114</v>
      </c>
      <c r="G28" s="215"/>
      <c r="H28" s="215"/>
      <c r="I28" s="215"/>
      <c r="J28" s="215"/>
      <c r="K28" s="215"/>
      <c r="L28" s="215"/>
      <c r="M28" s="215"/>
    </row>
    <row r="29" spans="2:13" x14ac:dyDescent="0.35">
      <c r="B29" s="27" t="s">
        <v>286</v>
      </c>
      <c r="C29" s="214">
        <v>-40166</v>
      </c>
      <c r="D29" s="214">
        <v>-20315</v>
      </c>
      <c r="E29" s="214">
        <v>-9659</v>
      </c>
      <c r="F29" s="214">
        <v>0</v>
      </c>
      <c r="G29" s="215"/>
      <c r="H29" s="215"/>
      <c r="I29" s="215"/>
      <c r="J29" s="215"/>
      <c r="K29" s="215"/>
      <c r="L29" s="215"/>
      <c r="M29" s="215"/>
    </row>
    <row r="31" spans="2:13" x14ac:dyDescent="0.35">
      <c r="B31" s="16" t="s">
        <v>70</v>
      </c>
      <c r="C31" s="9"/>
    </row>
    <row r="32" spans="2:13" x14ac:dyDescent="0.35">
      <c r="B32" s="27" t="s">
        <v>53</v>
      </c>
      <c r="C32" s="214">
        <v>229911</v>
      </c>
      <c r="D32" s="214">
        <v>119344</v>
      </c>
      <c r="E32" s="214">
        <v>219055</v>
      </c>
      <c r="F32" s="214">
        <v>94344</v>
      </c>
      <c r="G32" s="214"/>
      <c r="H32" s="214"/>
      <c r="I32" s="214"/>
      <c r="J32" s="214"/>
      <c r="K32" s="214"/>
      <c r="L32" s="214"/>
      <c r="M32" s="214"/>
    </row>
    <row r="34" spans="2:13" ht="13.9" x14ac:dyDescent="0.45">
      <c r="B34" s="37" t="s">
        <v>148</v>
      </c>
      <c r="C34" s="38"/>
      <c r="D34" s="38"/>
      <c r="E34" s="38"/>
      <c r="F34" s="38"/>
      <c r="G34" s="38"/>
      <c r="H34" s="38"/>
      <c r="I34" s="38"/>
      <c r="J34" s="38"/>
      <c r="K34" s="38"/>
      <c r="L34" s="38"/>
      <c r="M34" s="38"/>
    </row>
    <row r="35" spans="2:13" x14ac:dyDescent="0.35">
      <c r="B35" s="16" t="s">
        <v>30</v>
      </c>
    </row>
    <row r="36" spans="2:13" x14ac:dyDescent="0.35">
      <c r="B36" s="33" t="s">
        <v>3</v>
      </c>
      <c r="C36" s="216">
        <f t="shared" ref="C36:M36" si="1">IF(C$4="","",C4)</f>
        <v>25013339</v>
      </c>
      <c r="D36" s="216">
        <f t="shared" si="1"/>
        <v>19751940</v>
      </c>
      <c r="E36" s="216">
        <f t="shared" si="1"/>
        <v>21987559</v>
      </c>
      <c r="F36" s="216">
        <f t="shared" si="1"/>
        <v>14997541</v>
      </c>
      <c r="G36" s="216">
        <f t="shared" si="1"/>
        <v>17736226</v>
      </c>
      <c r="H36" s="216">
        <f t="shared" si="1"/>
        <v>18806342</v>
      </c>
      <c r="I36" s="216">
        <f t="shared" si="1"/>
        <v>59156.4</v>
      </c>
      <c r="J36" s="216">
        <f t="shared" si="1"/>
        <v>51245.5</v>
      </c>
      <c r="K36" s="216" t="str">
        <f t="shared" si="1"/>
        <v/>
      </c>
      <c r="L36" s="216" t="str">
        <f t="shared" si="1"/>
        <v/>
      </c>
      <c r="M36" s="216" t="str">
        <f t="shared" si="1"/>
        <v/>
      </c>
    </row>
    <row r="37" spans="2:13" x14ac:dyDescent="0.35">
      <c r="B37" s="42" t="s">
        <v>57</v>
      </c>
      <c r="C37" s="216">
        <f t="shared" ref="C37:M37" si="2">IF(C$4="","",-C5)</f>
        <v>-18409837</v>
      </c>
      <c r="D37" s="216">
        <f t="shared" si="2"/>
        <v>-15140010</v>
      </c>
      <c r="E37" s="216">
        <f t="shared" si="2"/>
        <v>-16431474</v>
      </c>
      <c r="F37" s="216">
        <f t="shared" si="2"/>
        <v>-10877614</v>
      </c>
      <c r="G37" s="216">
        <f t="shared" si="2"/>
        <v>-12958750</v>
      </c>
      <c r="H37" s="216">
        <f t="shared" si="2"/>
        <v>-14175208</v>
      </c>
      <c r="I37" s="216">
        <f t="shared" si="2"/>
        <v>-42943</v>
      </c>
      <c r="J37" s="216">
        <f t="shared" si="2"/>
        <v>-36282.800000000003</v>
      </c>
      <c r="K37" s="216" t="str">
        <f t="shared" si="2"/>
        <v/>
      </c>
      <c r="L37" s="216" t="str">
        <f t="shared" si="2"/>
        <v/>
      </c>
      <c r="M37" s="216" t="str">
        <f t="shared" si="2"/>
        <v/>
      </c>
    </row>
    <row r="38" spans="2:13" x14ac:dyDescent="0.35">
      <c r="B38" s="32" t="s">
        <v>116</v>
      </c>
      <c r="C38" s="217">
        <f>IF(C36="","",C36+C37)</f>
        <v>6603502</v>
      </c>
      <c r="D38" s="217">
        <f t="shared" ref="D38" si="3">IF(D36="","",D36+D37)</f>
        <v>4611930</v>
      </c>
      <c r="E38" s="217">
        <f t="shared" ref="E38" si="4">IF(E36="","",E36+E37)</f>
        <v>5556085</v>
      </c>
      <c r="F38" s="217">
        <f t="shared" ref="F38" si="5">IF(F36="","",F36+F37)</f>
        <v>4119927</v>
      </c>
      <c r="G38" s="217">
        <f t="shared" ref="G38" si="6">IF(G36="","",G36+G37)</f>
        <v>4777476</v>
      </c>
      <c r="H38" s="217">
        <f t="shared" ref="H38" si="7">IF(H36="","",H36+H37)</f>
        <v>4631134</v>
      </c>
      <c r="I38" s="217">
        <f t="shared" ref="I38" si="8">IF(I36="","",I36+I37)</f>
        <v>16213.400000000001</v>
      </c>
      <c r="J38" s="217">
        <f t="shared" ref="J38" si="9">IF(J36="","",J36+J37)</f>
        <v>14962.699999999997</v>
      </c>
      <c r="K38" s="217" t="str">
        <f t="shared" ref="K38" si="10">IF(K36="","",K36+K37)</f>
        <v/>
      </c>
      <c r="L38" s="217" t="str">
        <f t="shared" ref="L38" si="11">IF(L36="","",L36+L37)</f>
        <v/>
      </c>
      <c r="M38" s="217" t="str">
        <f t="shared" ref="M38" si="12">IF(M36="","",M36+M37)</f>
        <v/>
      </c>
    </row>
    <row r="39" spans="2:13" x14ac:dyDescent="0.35">
      <c r="B39" s="42" t="s">
        <v>71</v>
      </c>
      <c r="C39" s="216">
        <f t="shared" ref="C39:M39" si="13">IF(C$4="","",-C6)</f>
        <v>-5225366</v>
      </c>
      <c r="D39" s="216">
        <f t="shared" si="13"/>
        <v>-4709830</v>
      </c>
      <c r="E39" s="216">
        <f t="shared" si="13"/>
        <v>-4571128</v>
      </c>
      <c r="F39" s="216">
        <f t="shared" si="13"/>
        <v>-3136777</v>
      </c>
      <c r="G39" s="216">
        <f t="shared" si="13"/>
        <v>-3470831</v>
      </c>
      <c r="H39" s="216">
        <f t="shared" si="13"/>
        <v>-3388718</v>
      </c>
      <c r="I39" s="216">
        <f t="shared" si="13"/>
        <v>-10960.1</v>
      </c>
      <c r="J39" s="216">
        <f t="shared" si="13"/>
        <v>-10347.099999999999</v>
      </c>
      <c r="K39" s="216" t="str">
        <f t="shared" si="13"/>
        <v/>
      </c>
      <c r="L39" s="216" t="str">
        <f t="shared" si="13"/>
        <v/>
      </c>
      <c r="M39" s="216" t="str">
        <f t="shared" si="13"/>
        <v/>
      </c>
    </row>
    <row r="40" spans="2:13" x14ac:dyDescent="0.35">
      <c r="B40" s="79" t="s">
        <v>119</v>
      </c>
      <c r="C40" s="218">
        <f t="shared" ref="C40:M40" si="14">IF(C$4="","",-C7)</f>
        <v>0</v>
      </c>
      <c r="D40" s="218">
        <f t="shared" si="14"/>
        <v>0</v>
      </c>
      <c r="E40" s="218">
        <f t="shared" si="14"/>
        <v>0</v>
      </c>
      <c r="F40" s="218">
        <f t="shared" si="14"/>
        <v>0</v>
      </c>
      <c r="G40" s="218">
        <f t="shared" si="14"/>
        <v>0</v>
      </c>
      <c r="H40" s="218">
        <f t="shared" si="14"/>
        <v>0</v>
      </c>
      <c r="I40" s="218">
        <f t="shared" si="14"/>
        <v>0</v>
      </c>
      <c r="J40" s="218">
        <f t="shared" si="14"/>
        <v>0</v>
      </c>
      <c r="K40" s="218" t="str">
        <f t="shared" si="14"/>
        <v/>
      </c>
      <c r="L40" s="218" t="str">
        <f t="shared" si="14"/>
        <v/>
      </c>
      <c r="M40" s="218" t="str">
        <f t="shared" si="14"/>
        <v/>
      </c>
    </row>
    <row r="41" spans="2:13" x14ac:dyDescent="0.35">
      <c r="B41" s="79" t="s">
        <v>122</v>
      </c>
      <c r="C41" s="218">
        <f>IF(C$4="","",C39-C40)</f>
        <v>-5225366</v>
      </c>
      <c r="D41" s="218">
        <f t="shared" ref="D41:M41" si="15">IF(D$4="","",D39-D40)</f>
        <v>-4709830</v>
      </c>
      <c r="E41" s="218">
        <f t="shared" si="15"/>
        <v>-4571128</v>
      </c>
      <c r="F41" s="218">
        <f t="shared" si="15"/>
        <v>-3136777</v>
      </c>
      <c r="G41" s="218">
        <f t="shared" si="15"/>
        <v>-3470831</v>
      </c>
      <c r="H41" s="218">
        <f t="shared" si="15"/>
        <v>-3388718</v>
      </c>
      <c r="I41" s="218">
        <f t="shared" si="15"/>
        <v>-10960.1</v>
      </c>
      <c r="J41" s="218">
        <f t="shared" si="15"/>
        <v>-10347.099999999999</v>
      </c>
      <c r="K41" s="218" t="str">
        <f t="shared" si="15"/>
        <v/>
      </c>
      <c r="L41" s="218" t="str">
        <f t="shared" si="15"/>
        <v/>
      </c>
      <c r="M41" s="218" t="str">
        <f t="shared" si="15"/>
        <v/>
      </c>
    </row>
    <row r="42" spans="2:13" x14ac:dyDescent="0.35">
      <c r="B42" s="42" t="s">
        <v>65</v>
      </c>
      <c r="C42" s="216">
        <f t="shared" ref="C42:M42" si="16">IF(C$4="","",-C8)</f>
        <v>0</v>
      </c>
      <c r="D42" s="216">
        <f t="shared" si="16"/>
        <v>0</v>
      </c>
      <c r="E42" s="216">
        <f t="shared" si="16"/>
        <v>0</v>
      </c>
      <c r="F42" s="216">
        <f t="shared" si="16"/>
        <v>0</v>
      </c>
      <c r="G42" s="216">
        <f t="shared" si="16"/>
        <v>0</v>
      </c>
      <c r="H42" s="216">
        <f t="shared" si="16"/>
        <v>0</v>
      </c>
      <c r="I42" s="216">
        <f t="shared" si="16"/>
        <v>0</v>
      </c>
      <c r="J42" s="216">
        <f t="shared" si="16"/>
        <v>0</v>
      </c>
      <c r="K42" s="216" t="str">
        <f t="shared" si="16"/>
        <v/>
      </c>
      <c r="L42" s="216" t="str">
        <f t="shared" si="16"/>
        <v/>
      </c>
      <c r="M42" s="216" t="str">
        <f t="shared" si="16"/>
        <v/>
      </c>
    </row>
    <row r="43" spans="2:13" x14ac:dyDescent="0.35">
      <c r="B43" s="45" t="s">
        <v>259</v>
      </c>
      <c r="C43" s="219">
        <f>IF(C$4="","",C38+C39+C42)</f>
        <v>1378136</v>
      </c>
      <c r="D43" s="219">
        <f t="shared" ref="D43:M43" si="17">IF(D$4="","",D38+D39+D42)</f>
        <v>-97900</v>
      </c>
      <c r="E43" s="219">
        <f t="shared" si="17"/>
        <v>984957</v>
      </c>
      <c r="F43" s="219">
        <f t="shared" si="17"/>
        <v>983150</v>
      </c>
      <c r="G43" s="219">
        <f t="shared" si="17"/>
        <v>1306645</v>
      </c>
      <c r="H43" s="219">
        <f t="shared" si="17"/>
        <v>1242416</v>
      </c>
      <c r="I43" s="219">
        <f t="shared" si="17"/>
        <v>5253.3000000000011</v>
      </c>
      <c r="J43" s="219">
        <f t="shared" si="17"/>
        <v>4615.5999999999985</v>
      </c>
      <c r="K43" s="219" t="str">
        <f t="shared" si="17"/>
        <v/>
      </c>
      <c r="L43" s="219" t="str">
        <f t="shared" si="17"/>
        <v/>
      </c>
      <c r="M43" s="219" t="str">
        <f t="shared" si="17"/>
        <v/>
      </c>
    </row>
    <row r="44" spans="2:13" x14ac:dyDescent="0.35">
      <c r="B44" s="45" t="s">
        <v>278</v>
      </c>
      <c r="C44" s="220">
        <f t="shared" ref="C44:M44" si="18">IF(C$4="","",C47-C46-C45-C43)</f>
        <v>-1248420.1000000001</v>
      </c>
      <c r="D44" s="220">
        <f t="shared" si="18"/>
        <v>168928.2</v>
      </c>
      <c r="E44" s="220">
        <f t="shared" si="18"/>
        <v>-927959</v>
      </c>
      <c r="F44" s="220">
        <f t="shared" si="18"/>
        <v>-907013</v>
      </c>
      <c r="G44" s="220">
        <f t="shared" si="18"/>
        <v>-1217483</v>
      </c>
      <c r="H44" s="220">
        <f t="shared" si="18"/>
        <v>-1205425</v>
      </c>
      <c r="I44" s="220">
        <f t="shared" si="18"/>
        <v>-4901.2000000000007</v>
      </c>
      <c r="J44" s="220">
        <f t="shared" si="18"/>
        <v>-4283.1999999999989</v>
      </c>
      <c r="K44" s="220" t="str">
        <f t="shared" si="18"/>
        <v/>
      </c>
      <c r="L44" s="220" t="str">
        <f t="shared" si="18"/>
        <v/>
      </c>
      <c r="M44" s="220" t="str">
        <f t="shared" si="18"/>
        <v/>
      </c>
    </row>
    <row r="45" spans="2:13" x14ac:dyDescent="0.35">
      <c r="B45" s="42" t="s">
        <v>126</v>
      </c>
      <c r="C45" s="221">
        <f t="shared" ref="C45:M45" si="19">IF(C$4="","",C51+C52)</f>
        <v>-129715.9</v>
      </c>
      <c r="D45" s="221">
        <f t="shared" si="19"/>
        <v>-81632.2</v>
      </c>
      <c r="E45" s="221">
        <f t="shared" si="19"/>
        <v>-60486</v>
      </c>
      <c r="F45" s="221">
        <f t="shared" si="19"/>
        <v>-76137</v>
      </c>
      <c r="G45" s="221">
        <f t="shared" si="19"/>
        <v>-89162</v>
      </c>
      <c r="H45" s="221">
        <f t="shared" si="19"/>
        <v>-36991</v>
      </c>
      <c r="I45" s="221">
        <f t="shared" si="19"/>
        <v>-243.7</v>
      </c>
      <c r="J45" s="221">
        <f t="shared" si="19"/>
        <v>-236.6</v>
      </c>
      <c r="K45" s="221" t="str">
        <f t="shared" si="19"/>
        <v/>
      </c>
      <c r="L45" s="221" t="str">
        <f t="shared" si="19"/>
        <v/>
      </c>
      <c r="M45" s="221" t="str">
        <f t="shared" si="19"/>
        <v/>
      </c>
    </row>
    <row r="46" spans="2:13" x14ac:dyDescent="0.35">
      <c r="B46" s="42" t="s">
        <v>66</v>
      </c>
      <c r="C46" s="216">
        <f t="shared" ref="C46:M46" si="20">IF(C$4="","",-C14)</f>
        <v>0</v>
      </c>
      <c r="D46" s="216">
        <f t="shared" si="20"/>
        <v>0</v>
      </c>
      <c r="E46" s="216">
        <f t="shared" si="20"/>
        <v>0</v>
      </c>
      <c r="F46" s="216">
        <f t="shared" si="20"/>
        <v>0</v>
      </c>
      <c r="G46" s="216">
        <f t="shared" si="20"/>
        <v>0</v>
      </c>
      <c r="H46" s="216">
        <f t="shared" si="20"/>
        <v>0</v>
      </c>
      <c r="I46" s="216">
        <f t="shared" si="20"/>
        <v>0</v>
      </c>
      <c r="J46" s="216">
        <f t="shared" si="20"/>
        <v>0</v>
      </c>
      <c r="K46" s="216" t="str">
        <f t="shared" si="20"/>
        <v/>
      </c>
      <c r="L46" s="216" t="str">
        <f t="shared" si="20"/>
        <v/>
      </c>
      <c r="M46" s="216" t="str">
        <f t="shared" si="20"/>
        <v/>
      </c>
    </row>
    <row r="47" spans="2:13" x14ac:dyDescent="0.35">
      <c r="B47" s="45" t="s">
        <v>56</v>
      </c>
      <c r="C47" s="219">
        <f t="shared" ref="C47:M47" si="21">IF(C$4="","",C15)</f>
        <v>0</v>
      </c>
      <c r="D47" s="219">
        <f t="shared" si="21"/>
        <v>-10604</v>
      </c>
      <c r="E47" s="219">
        <f t="shared" si="21"/>
        <v>-3488</v>
      </c>
      <c r="F47" s="219">
        <f t="shared" si="21"/>
        <v>0</v>
      </c>
      <c r="G47" s="219">
        <f t="shared" si="21"/>
        <v>0</v>
      </c>
      <c r="H47" s="219">
        <f t="shared" si="21"/>
        <v>0</v>
      </c>
      <c r="I47" s="219">
        <f t="shared" si="21"/>
        <v>108.4</v>
      </c>
      <c r="J47" s="219">
        <f t="shared" si="21"/>
        <v>95.8</v>
      </c>
      <c r="K47" s="219" t="str">
        <f t="shared" si="21"/>
        <v/>
      </c>
      <c r="L47" s="219" t="str">
        <f t="shared" si="21"/>
        <v/>
      </c>
      <c r="M47" s="219" t="str">
        <f t="shared" si="21"/>
        <v/>
      </c>
    </row>
    <row r="48" spans="2:13" x14ac:dyDescent="0.35">
      <c r="B48" s="29" t="s">
        <v>58</v>
      </c>
      <c r="C48" s="216">
        <f t="shared" ref="C48:M48" si="22">IF(C$4="","",MIN(-C16,0))</f>
        <v>0</v>
      </c>
      <c r="D48" s="216">
        <f t="shared" si="22"/>
        <v>0</v>
      </c>
      <c r="E48" s="216">
        <f t="shared" si="22"/>
        <v>0</v>
      </c>
      <c r="F48" s="216">
        <f t="shared" si="22"/>
        <v>0</v>
      </c>
      <c r="G48" s="216">
        <f t="shared" si="22"/>
        <v>0</v>
      </c>
      <c r="H48" s="216">
        <f t="shared" si="22"/>
        <v>0</v>
      </c>
      <c r="I48" s="216">
        <f t="shared" si="22"/>
        <v>0</v>
      </c>
      <c r="J48" s="216">
        <f t="shared" si="22"/>
        <v>0</v>
      </c>
      <c r="K48" s="216" t="str">
        <f t="shared" si="22"/>
        <v/>
      </c>
      <c r="L48" s="216" t="str">
        <f t="shared" si="22"/>
        <v/>
      </c>
      <c r="M48" s="216" t="str">
        <f t="shared" si="22"/>
        <v/>
      </c>
    </row>
    <row r="50" spans="2:13" x14ac:dyDescent="0.35">
      <c r="B50" s="16" t="s">
        <v>126</v>
      </c>
    </row>
    <row r="51" spans="2:13" x14ac:dyDescent="0.35">
      <c r="B51" s="42" t="s">
        <v>51</v>
      </c>
      <c r="C51" s="216">
        <f t="shared" ref="C51:M51" si="23">IF(C$4="","",-C12)</f>
        <v>-129899</v>
      </c>
      <c r="D51" s="216">
        <f t="shared" si="23"/>
        <v>-81860</v>
      </c>
      <c r="E51" s="216">
        <f t="shared" si="23"/>
        <v>-60486</v>
      </c>
      <c r="F51" s="216">
        <f t="shared" si="23"/>
        <v>-76137</v>
      </c>
      <c r="G51" s="216">
        <f t="shared" si="23"/>
        <v>-89162</v>
      </c>
      <c r="H51" s="216">
        <f t="shared" si="23"/>
        <v>-36991</v>
      </c>
      <c r="I51" s="216">
        <f t="shared" si="23"/>
        <v>-243.7</v>
      </c>
      <c r="J51" s="216">
        <f t="shared" si="23"/>
        <v>-236.6</v>
      </c>
      <c r="K51" s="216" t="str">
        <f t="shared" si="23"/>
        <v/>
      </c>
      <c r="L51" s="216" t="str">
        <f t="shared" si="23"/>
        <v/>
      </c>
      <c r="M51" s="216" t="str">
        <f t="shared" si="23"/>
        <v/>
      </c>
    </row>
    <row r="52" spans="2:13" x14ac:dyDescent="0.35">
      <c r="B52" s="42" t="s">
        <v>125</v>
      </c>
      <c r="C52" s="216">
        <f t="shared" ref="C52:M52" si="24">IF(C$4="","",C13)</f>
        <v>183.1</v>
      </c>
      <c r="D52" s="216">
        <f t="shared" si="24"/>
        <v>227.8</v>
      </c>
      <c r="E52" s="216">
        <f t="shared" si="24"/>
        <v>0</v>
      </c>
      <c r="F52" s="216">
        <f t="shared" si="24"/>
        <v>0</v>
      </c>
      <c r="G52" s="216">
        <f t="shared" si="24"/>
        <v>0</v>
      </c>
      <c r="H52" s="216">
        <f t="shared" si="24"/>
        <v>0</v>
      </c>
      <c r="I52" s="216">
        <f t="shared" si="24"/>
        <v>0</v>
      </c>
      <c r="J52" s="216">
        <f t="shared" si="24"/>
        <v>0</v>
      </c>
      <c r="K52" s="216" t="str">
        <f t="shared" si="24"/>
        <v/>
      </c>
      <c r="L52" s="216" t="str">
        <f t="shared" si="24"/>
        <v/>
      </c>
      <c r="M52" s="216" t="str">
        <f t="shared" si="24"/>
        <v/>
      </c>
    </row>
    <row r="54" spans="2:13" x14ac:dyDescent="0.35">
      <c r="B54" s="208" t="s">
        <v>278</v>
      </c>
    </row>
    <row r="55" spans="2:13" x14ac:dyDescent="0.35">
      <c r="B55" s="42" t="s">
        <v>266</v>
      </c>
      <c r="C55" s="87">
        <f t="shared" ref="C55:M55" si="25">IF(C$4="","",C9)</f>
        <v>0</v>
      </c>
      <c r="D55" s="87">
        <f t="shared" si="25"/>
        <v>0</v>
      </c>
      <c r="E55" s="87">
        <f t="shared" si="25"/>
        <v>0</v>
      </c>
      <c r="F55" s="87">
        <f t="shared" si="25"/>
        <v>0</v>
      </c>
      <c r="G55" s="87">
        <f t="shared" si="25"/>
        <v>0</v>
      </c>
      <c r="H55" s="87">
        <f t="shared" si="25"/>
        <v>0</v>
      </c>
      <c r="I55" s="87">
        <f t="shared" si="25"/>
        <v>0</v>
      </c>
      <c r="J55" s="87">
        <f t="shared" si="25"/>
        <v>0</v>
      </c>
      <c r="K55" s="87" t="str">
        <f t="shared" si="25"/>
        <v/>
      </c>
      <c r="L55" s="87" t="str">
        <f t="shared" si="25"/>
        <v/>
      </c>
      <c r="M55" s="87" t="str">
        <f t="shared" si="25"/>
        <v/>
      </c>
    </row>
    <row r="56" spans="2:13" x14ac:dyDescent="0.35">
      <c r="B56" s="42" t="s">
        <v>277</v>
      </c>
      <c r="C56" s="87">
        <f t="shared" ref="C56:M56" si="26">IF(C$4="","",C10)</f>
        <v>0</v>
      </c>
      <c r="D56" s="87">
        <f t="shared" si="26"/>
        <v>0</v>
      </c>
      <c r="E56" s="87">
        <f t="shared" si="26"/>
        <v>0</v>
      </c>
      <c r="F56" s="87">
        <f t="shared" si="26"/>
        <v>0</v>
      </c>
      <c r="G56" s="87">
        <f t="shared" si="26"/>
        <v>0</v>
      </c>
      <c r="H56" s="87">
        <f t="shared" si="26"/>
        <v>0</v>
      </c>
      <c r="I56" s="87">
        <f t="shared" si="26"/>
        <v>0</v>
      </c>
      <c r="J56" s="87">
        <f t="shared" si="26"/>
        <v>0</v>
      </c>
      <c r="K56" s="87" t="str">
        <f t="shared" si="26"/>
        <v/>
      </c>
      <c r="L56" s="87" t="str">
        <f t="shared" si="26"/>
        <v/>
      </c>
      <c r="M56" s="87" t="str">
        <f t="shared" si="26"/>
        <v/>
      </c>
    </row>
    <row r="57" spans="2:13" x14ac:dyDescent="0.35">
      <c r="B57" s="42" t="s">
        <v>265</v>
      </c>
      <c r="C57" s="87">
        <f>IF(C$4="","",C11)</f>
        <v>0</v>
      </c>
      <c r="D57" s="87">
        <f t="shared" ref="D57:M57" si="27">IF(D$4="","",D11)</f>
        <v>0</v>
      </c>
      <c r="E57" s="87">
        <f t="shared" si="27"/>
        <v>0</v>
      </c>
      <c r="F57" s="87">
        <f t="shared" si="27"/>
        <v>0</v>
      </c>
      <c r="G57" s="87">
        <f t="shared" si="27"/>
        <v>0</v>
      </c>
      <c r="H57" s="87">
        <f t="shared" si="27"/>
        <v>0</v>
      </c>
      <c r="I57" s="87">
        <f t="shared" si="27"/>
        <v>0</v>
      </c>
      <c r="J57" s="87">
        <f t="shared" si="27"/>
        <v>0</v>
      </c>
      <c r="K57" s="87" t="str">
        <f t="shared" si="27"/>
        <v/>
      </c>
      <c r="L57" s="87" t="str">
        <f t="shared" si="27"/>
        <v/>
      </c>
      <c r="M57" s="87" t="str">
        <f t="shared" si="27"/>
        <v/>
      </c>
    </row>
    <row r="58" spans="2:13" x14ac:dyDescent="0.35">
      <c r="B58" s="42" t="s">
        <v>267</v>
      </c>
      <c r="C58" s="87">
        <f>IF(C$4="","",C44-C55-C56-C57)</f>
        <v>-1248420.1000000001</v>
      </c>
      <c r="D58" s="87">
        <f t="shared" ref="D58:M58" si="28">IF(D$4="","",D44-D55-D56-D57)</f>
        <v>168928.2</v>
      </c>
      <c r="E58" s="87">
        <f t="shared" si="28"/>
        <v>-927959</v>
      </c>
      <c r="F58" s="87">
        <f t="shared" si="28"/>
        <v>-907013</v>
      </c>
      <c r="G58" s="87">
        <f t="shared" si="28"/>
        <v>-1217483</v>
      </c>
      <c r="H58" s="87">
        <f t="shared" si="28"/>
        <v>-1205425</v>
      </c>
      <c r="I58" s="87">
        <f t="shared" si="28"/>
        <v>-4901.2000000000007</v>
      </c>
      <c r="J58" s="87">
        <f t="shared" si="28"/>
        <v>-4283.1999999999989</v>
      </c>
      <c r="K58" s="87" t="str">
        <f t="shared" si="28"/>
        <v/>
      </c>
      <c r="L58" s="87" t="str">
        <f t="shared" si="28"/>
        <v/>
      </c>
      <c r="M58" s="87" t="str">
        <f t="shared" si="28"/>
        <v/>
      </c>
    </row>
    <row r="60" spans="2:13" x14ac:dyDescent="0.35">
      <c r="B60" s="16" t="s">
        <v>67</v>
      </c>
      <c r="C60" s="9"/>
    </row>
    <row r="61" spans="2:13" x14ac:dyDescent="0.35">
      <c r="B61" s="28" t="s">
        <v>61</v>
      </c>
      <c r="C61" s="63">
        <f t="shared" ref="C61:M61" si="29">IF(C$4="","",-C19)</f>
        <v>0</v>
      </c>
      <c r="D61" s="63">
        <f t="shared" si="29"/>
        <v>0</v>
      </c>
      <c r="E61" s="63">
        <f t="shared" si="29"/>
        <v>0</v>
      </c>
      <c r="F61" s="63">
        <f t="shared" si="29"/>
        <v>0</v>
      </c>
      <c r="G61" s="63">
        <f t="shared" si="29"/>
        <v>0</v>
      </c>
      <c r="H61" s="63">
        <f t="shared" si="29"/>
        <v>0</v>
      </c>
      <c r="I61" s="63">
        <f t="shared" si="29"/>
        <v>0</v>
      </c>
      <c r="J61" s="63">
        <f t="shared" si="29"/>
        <v>0</v>
      </c>
      <c r="K61" s="63" t="str">
        <f t="shared" si="29"/>
        <v/>
      </c>
      <c r="L61" s="63" t="str">
        <f t="shared" si="29"/>
        <v/>
      </c>
      <c r="M61" s="63" t="str">
        <f t="shared" si="29"/>
        <v/>
      </c>
    </row>
    <row r="62" spans="2:13" x14ac:dyDescent="0.35">
      <c r="B62" s="28" t="s">
        <v>69</v>
      </c>
      <c r="C62" s="63">
        <f t="shared" ref="C62:M62" si="30">IF(C$4="","",-C20)</f>
        <v>0</v>
      </c>
      <c r="D62" s="63">
        <f t="shared" si="30"/>
        <v>0</v>
      </c>
      <c r="E62" s="63">
        <f t="shared" si="30"/>
        <v>0</v>
      </c>
      <c r="F62" s="63">
        <f t="shared" si="30"/>
        <v>0</v>
      </c>
      <c r="G62" s="63">
        <f t="shared" si="30"/>
        <v>0</v>
      </c>
      <c r="H62" s="63">
        <f t="shared" si="30"/>
        <v>0</v>
      </c>
      <c r="I62" s="63">
        <f t="shared" si="30"/>
        <v>0</v>
      </c>
      <c r="J62" s="63">
        <f t="shared" si="30"/>
        <v>0</v>
      </c>
      <c r="K62" s="63" t="str">
        <f t="shared" si="30"/>
        <v/>
      </c>
      <c r="L62" s="63" t="str">
        <f t="shared" si="30"/>
        <v/>
      </c>
      <c r="M62" s="63" t="str">
        <f t="shared" si="30"/>
        <v/>
      </c>
    </row>
    <row r="63" spans="2:13" x14ac:dyDescent="0.35">
      <c r="B63" s="28" t="s">
        <v>68</v>
      </c>
      <c r="C63" s="63">
        <f t="shared" ref="C63:M63" si="31">IF(C$4="","",-C21)</f>
        <v>0</v>
      </c>
      <c r="D63" s="63">
        <f t="shared" si="31"/>
        <v>0</v>
      </c>
      <c r="E63" s="63">
        <f t="shared" si="31"/>
        <v>0</v>
      </c>
      <c r="F63" s="63">
        <f t="shared" si="31"/>
        <v>0</v>
      </c>
      <c r="G63" s="63">
        <f t="shared" si="31"/>
        <v>0</v>
      </c>
      <c r="H63" s="63">
        <f t="shared" si="31"/>
        <v>0</v>
      </c>
      <c r="I63" s="63">
        <f t="shared" si="31"/>
        <v>0</v>
      </c>
      <c r="J63" s="63">
        <f t="shared" si="31"/>
        <v>0</v>
      </c>
      <c r="K63" s="63" t="str">
        <f t="shared" si="31"/>
        <v/>
      </c>
      <c r="L63" s="63" t="str">
        <f t="shared" si="31"/>
        <v/>
      </c>
      <c r="M63" s="63" t="str">
        <f t="shared" si="31"/>
        <v/>
      </c>
    </row>
    <row r="64" spans="2:13" x14ac:dyDescent="0.35">
      <c r="B64" s="25" t="s">
        <v>48</v>
      </c>
      <c r="C64" s="84">
        <f t="shared" ref="C64:M64" si="32">IF(C$4="","",C22)</f>
        <v>0.55000000000000004</v>
      </c>
      <c r="D64" s="84">
        <f t="shared" si="32"/>
        <v>0</v>
      </c>
      <c r="E64" s="84">
        <f t="shared" si="32"/>
        <v>0</v>
      </c>
      <c r="F64" s="84">
        <f t="shared" si="32"/>
        <v>0</v>
      </c>
      <c r="G64" s="84">
        <f t="shared" si="32"/>
        <v>0</v>
      </c>
      <c r="H64" s="84">
        <f t="shared" si="32"/>
        <v>0</v>
      </c>
      <c r="I64" s="84">
        <f t="shared" si="32"/>
        <v>0</v>
      </c>
      <c r="J64" s="84">
        <f t="shared" si="32"/>
        <v>0</v>
      </c>
      <c r="K64" s="84" t="str">
        <f t="shared" si="32"/>
        <v/>
      </c>
      <c r="L64" s="84" t="str">
        <f t="shared" si="32"/>
        <v/>
      </c>
      <c r="M64" s="84" t="str">
        <f t="shared" si="32"/>
        <v/>
      </c>
    </row>
    <row r="66" spans="2:13" x14ac:dyDescent="0.35">
      <c r="B66" s="105" t="s">
        <v>151</v>
      </c>
    </row>
    <row r="67" spans="2:13" x14ac:dyDescent="0.35">
      <c r="B67" s="1" t="str">
        <f>B36</f>
        <v>Sales</v>
      </c>
      <c r="C67" s="107">
        <f t="shared" ref="C67:M67" si="33">IF(D$36="","",C36/D36-1)</f>
        <v>0.26637378404349144</v>
      </c>
      <c r="D67" s="107">
        <f t="shared" si="33"/>
        <v>-0.10167654353991729</v>
      </c>
      <c r="E67" s="107">
        <f t="shared" si="33"/>
        <v>0.46607760565548717</v>
      </c>
      <c r="F67" s="107">
        <f t="shared" si="33"/>
        <v>-0.15441193633865513</v>
      </c>
      <c r="G67" s="107">
        <f t="shared" si="33"/>
        <v>-5.690186852924406E-2</v>
      </c>
      <c r="H67" s="107">
        <f t="shared" si="33"/>
        <v>316.90883150428357</v>
      </c>
      <c r="I67" s="107">
        <f t="shared" si="33"/>
        <v>0.15437257905572199</v>
      </c>
      <c r="J67" s="107" t="str">
        <f t="shared" si="33"/>
        <v/>
      </c>
      <c r="K67" s="107" t="str">
        <f t="shared" si="33"/>
        <v/>
      </c>
      <c r="L67" s="107" t="str">
        <f t="shared" si="33"/>
        <v/>
      </c>
      <c r="M67" s="107" t="str">
        <f t="shared" si="33"/>
        <v/>
      </c>
    </row>
    <row r="68" spans="2:13" x14ac:dyDescent="0.35">
      <c r="B68" s="93" t="str">
        <f>B43</f>
        <v>Operating EBIT</v>
      </c>
      <c r="C68" s="120">
        <f t="shared" ref="C68:M68" si="34">IF(D$36="","",C37/D37-1)</f>
        <v>0.21597257861784769</v>
      </c>
      <c r="D68" s="120">
        <f t="shared" si="34"/>
        <v>-7.8596965798686136E-2</v>
      </c>
      <c r="E68" s="120">
        <f t="shared" si="34"/>
        <v>0.51057704382597136</v>
      </c>
      <c r="F68" s="120">
        <f t="shared" si="34"/>
        <v>-0.1605969711584837</v>
      </c>
      <c r="G68" s="120">
        <f t="shared" si="34"/>
        <v>-8.5815883618780009E-2</v>
      </c>
      <c r="H68" s="120">
        <f t="shared" si="34"/>
        <v>329.09356588966767</v>
      </c>
      <c r="I68" s="120">
        <f t="shared" si="34"/>
        <v>0.18356356179787658</v>
      </c>
      <c r="J68" s="120" t="str">
        <f t="shared" si="34"/>
        <v/>
      </c>
      <c r="K68" s="120" t="str">
        <f t="shared" si="34"/>
        <v/>
      </c>
      <c r="L68" s="120" t="str">
        <f t="shared" si="34"/>
        <v/>
      </c>
      <c r="M68" s="120" t="str">
        <f t="shared" si="34"/>
        <v/>
      </c>
    </row>
    <row r="69" spans="2:13" x14ac:dyDescent="0.35">
      <c r="B69" s="1" t="str">
        <f>B58</f>
        <v>Other Non-operating Income</v>
      </c>
      <c r="C69" s="107">
        <f t="shared" ref="C69:M69" si="35">IF(D$36="","",C38/D38-1)</f>
        <v>0.43183049178977129</v>
      </c>
      <c r="D69" s="107">
        <f t="shared" si="35"/>
        <v>-0.16993170550846504</v>
      </c>
      <c r="E69" s="107">
        <f t="shared" si="35"/>
        <v>0.34858821527662998</v>
      </c>
      <c r="F69" s="107">
        <f t="shared" si="35"/>
        <v>-0.13763522830883923</v>
      </c>
      <c r="G69" s="107">
        <f t="shared" si="35"/>
        <v>3.1599603898310846E-2</v>
      </c>
      <c r="H69" s="107">
        <f t="shared" si="35"/>
        <v>284.63620215377404</v>
      </c>
      <c r="I69" s="107">
        <f t="shared" si="35"/>
        <v>8.3587855133097966E-2</v>
      </c>
      <c r="J69" s="107" t="str">
        <f t="shared" si="35"/>
        <v/>
      </c>
      <c r="K69" s="107" t="str">
        <f t="shared" si="35"/>
        <v/>
      </c>
      <c r="L69" s="107" t="str">
        <f t="shared" si="35"/>
        <v/>
      </c>
      <c r="M69" s="107" t="str">
        <f t="shared" si="35"/>
        <v/>
      </c>
    </row>
    <row r="70" spans="2:13" x14ac:dyDescent="0.35">
      <c r="B70" s="93" t="str">
        <f>B47</f>
        <v>Reported Net Income</v>
      </c>
      <c r="C70" s="120">
        <f t="shared" ref="C70:M70" si="36">IF(D$36="","",C39/D39-1)</f>
        <v>0.10945957709726262</v>
      </c>
      <c r="D70" s="120">
        <f t="shared" si="36"/>
        <v>3.0343057556034392E-2</v>
      </c>
      <c r="E70" s="120">
        <f t="shared" si="36"/>
        <v>0.45726903761408599</v>
      </c>
      <c r="F70" s="120">
        <f t="shared" si="36"/>
        <v>-9.6246115123438725E-2</v>
      </c>
      <c r="G70" s="120">
        <f t="shared" si="36"/>
        <v>2.4231287466233598E-2</v>
      </c>
      <c r="H70" s="120">
        <f t="shared" si="36"/>
        <v>308.18677749290606</v>
      </c>
      <c r="I70" s="120">
        <f t="shared" si="36"/>
        <v>5.9243652810932801E-2</v>
      </c>
      <c r="J70" s="120" t="str">
        <f t="shared" si="36"/>
        <v/>
      </c>
      <c r="K70" s="120" t="str">
        <f t="shared" si="36"/>
        <v/>
      </c>
      <c r="L70" s="120" t="str">
        <f t="shared" si="36"/>
        <v/>
      </c>
      <c r="M70" s="120" t="str">
        <f t="shared" si="36"/>
        <v/>
      </c>
    </row>
    <row r="71" spans="2:13" x14ac:dyDescent="0.35">
      <c r="B71" s="1" t="str">
        <f>B48</f>
        <v>Non-controling Interests</v>
      </c>
      <c r="C71" s="107" t="e">
        <f>IF(D$36="","",C64/D64-1)</f>
        <v>#DIV/0!</v>
      </c>
      <c r="D71" s="107" t="e">
        <f t="shared" ref="D71:M71" si="37">IF(E$36="","",D64/E64-1)</f>
        <v>#DIV/0!</v>
      </c>
      <c r="E71" s="107" t="e">
        <f t="shared" si="37"/>
        <v>#DIV/0!</v>
      </c>
      <c r="F71" s="107" t="e">
        <f t="shared" si="37"/>
        <v>#DIV/0!</v>
      </c>
      <c r="G71" s="107" t="e">
        <f t="shared" si="37"/>
        <v>#DIV/0!</v>
      </c>
      <c r="H71" s="107" t="e">
        <f t="shared" si="37"/>
        <v>#DIV/0!</v>
      </c>
      <c r="I71" s="107" t="e">
        <f t="shared" si="37"/>
        <v>#DIV/0!</v>
      </c>
      <c r="J71" s="107" t="str">
        <f t="shared" si="37"/>
        <v/>
      </c>
      <c r="K71" s="107" t="str">
        <f t="shared" si="37"/>
        <v/>
      </c>
      <c r="L71" s="107" t="str">
        <f t="shared" si="37"/>
        <v/>
      </c>
      <c r="M71" s="107" t="str">
        <f t="shared" si="37"/>
        <v/>
      </c>
    </row>
    <row r="73" spans="2:13" ht="13.9" x14ac:dyDescent="0.45">
      <c r="B73" s="37" t="s">
        <v>149</v>
      </c>
      <c r="C73" s="38"/>
      <c r="D73" s="38"/>
      <c r="E73" s="38"/>
      <c r="F73" s="38"/>
      <c r="G73" s="38"/>
      <c r="H73" s="38"/>
      <c r="I73" s="38"/>
      <c r="J73" s="38"/>
      <c r="K73" s="38"/>
      <c r="L73" s="38"/>
      <c r="M73" s="38"/>
    </row>
    <row r="74" spans="2:13" x14ac:dyDescent="0.35">
      <c r="B74" s="16" t="s">
        <v>31</v>
      </c>
      <c r="C74" s="9"/>
    </row>
    <row r="75" spans="2:13" x14ac:dyDescent="0.35">
      <c r="B75" s="27" t="s">
        <v>4</v>
      </c>
      <c r="C75" s="87">
        <f>IF(C$4="","",C78+C79)</f>
        <v>18897731</v>
      </c>
      <c r="D75" s="87">
        <f t="shared" ref="D75:M75" si="38">IF(D$4="","",D78+D79)</f>
        <v>18650857</v>
      </c>
      <c r="E75" s="87">
        <f t="shared" si="38"/>
        <v>18088758</v>
      </c>
      <c r="F75" s="87">
        <f t="shared" si="38"/>
        <v>16826467</v>
      </c>
      <c r="G75" s="87">
        <f t="shared" si="38"/>
        <v>0</v>
      </c>
      <c r="H75" s="87">
        <f t="shared" si="38"/>
        <v>0</v>
      </c>
      <c r="I75" s="87">
        <f t="shared" si="38"/>
        <v>0</v>
      </c>
      <c r="J75" s="87">
        <f t="shared" si="38"/>
        <v>0</v>
      </c>
      <c r="K75" s="87" t="str">
        <f t="shared" si="38"/>
        <v/>
      </c>
      <c r="L75" s="87" t="str">
        <f t="shared" si="38"/>
        <v/>
      </c>
      <c r="M75" s="87" t="str">
        <f t="shared" si="38"/>
        <v/>
      </c>
    </row>
    <row r="76" spans="2:13" x14ac:dyDescent="0.35">
      <c r="B76" s="110" t="s">
        <v>152</v>
      </c>
      <c r="C76" s="83">
        <f t="shared" ref="C76:H77" si="39">IF(C$4="","",C25)</f>
        <v>0</v>
      </c>
      <c r="D76" s="83">
        <f t="shared" si="39"/>
        <v>0</v>
      </c>
      <c r="E76" s="83">
        <f t="shared" si="39"/>
        <v>0</v>
      </c>
      <c r="F76" s="83">
        <f t="shared" si="39"/>
        <v>0</v>
      </c>
      <c r="G76" s="83">
        <f t="shared" si="39"/>
        <v>0</v>
      </c>
      <c r="H76" s="83">
        <f t="shared" si="39"/>
        <v>0</v>
      </c>
      <c r="I76" s="111"/>
      <c r="J76" s="111"/>
      <c r="K76" s="111"/>
      <c r="L76" s="111"/>
      <c r="M76" s="111"/>
    </row>
    <row r="77" spans="2:13" x14ac:dyDescent="0.35">
      <c r="B77" s="110" t="s">
        <v>153</v>
      </c>
      <c r="C77" s="83">
        <f t="shared" si="39"/>
        <v>0</v>
      </c>
      <c r="D77" s="83">
        <f t="shared" si="39"/>
        <v>0</v>
      </c>
      <c r="E77" s="83">
        <f t="shared" si="39"/>
        <v>0</v>
      </c>
      <c r="F77" s="83">
        <f t="shared" si="39"/>
        <v>0</v>
      </c>
      <c r="G77" s="83">
        <f t="shared" si="39"/>
        <v>0</v>
      </c>
      <c r="H77" s="83">
        <f t="shared" si="39"/>
        <v>0</v>
      </c>
      <c r="I77" s="111"/>
      <c r="J77" s="111"/>
      <c r="K77" s="111"/>
      <c r="L77" s="111"/>
      <c r="M77" s="111"/>
    </row>
    <row r="78" spans="2:13" x14ac:dyDescent="0.35">
      <c r="B78" s="27" t="s">
        <v>52</v>
      </c>
      <c r="C78" s="63">
        <f t="shared" ref="C78:M78" si="40">IF(C$4="","",C27)</f>
        <v>6730302</v>
      </c>
      <c r="D78" s="63">
        <f t="shared" si="40"/>
        <v>6780629</v>
      </c>
      <c r="E78" s="63">
        <f t="shared" si="40"/>
        <v>5345297</v>
      </c>
      <c r="F78" s="63">
        <f t="shared" si="40"/>
        <v>4807353</v>
      </c>
      <c r="G78" s="63">
        <f t="shared" si="40"/>
        <v>0</v>
      </c>
      <c r="H78" s="63">
        <f t="shared" si="40"/>
        <v>0</v>
      </c>
      <c r="I78" s="63">
        <f t="shared" si="40"/>
        <v>0</v>
      </c>
      <c r="J78" s="63">
        <f t="shared" si="40"/>
        <v>0</v>
      </c>
      <c r="K78" s="63" t="str">
        <f t="shared" si="40"/>
        <v/>
      </c>
      <c r="L78" s="63" t="str">
        <f t="shared" si="40"/>
        <v/>
      </c>
      <c r="M78" s="63" t="str">
        <f t="shared" si="40"/>
        <v/>
      </c>
    </row>
    <row r="79" spans="2:13" x14ac:dyDescent="0.35">
      <c r="B79" s="27" t="s">
        <v>33</v>
      </c>
      <c r="C79" s="63">
        <f t="shared" ref="C79:M79" si="41">IF(C$4="","",C28)</f>
        <v>12167429</v>
      </c>
      <c r="D79" s="63">
        <f t="shared" si="41"/>
        <v>11870228</v>
      </c>
      <c r="E79" s="63">
        <f t="shared" si="41"/>
        <v>12743461</v>
      </c>
      <c r="F79" s="63">
        <f t="shared" si="41"/>
        <v>12019114</v>
      </c>
      <c r="G79" s="63">
        <f t="shared" si="41"/>
        <v>0</v>
      </c>
      <c r="H79" s="63">
        <f t="shared" si="41"/>
        <v>0</v>
      </c>
      <c r="I79" s="63">
        <f t="shared" si="41"/>
        <v>0</v>
      </c>
      <c r="J79" s="63">
        <f t="shared" si="41"/>
        <v>0</v>
      </c>
      <c r="K79" s="63" t="str">
        <f t="shared" si="41"/>
        <v/>
      </c>
      <c r="L79" s="63" t="str">
        <f t="shared" si="41"/>
        <v/>
      </c>
      <c r="M79" s="63" t="str">
        <f t="shared" si="41"/>
        <v/>
      </c>
    </row>
  </sheetData>
  <phoneticPr fontId="2" type="noConversion"/>
  <conditionalFormatting sqref="C4:M16 C19:M22 C32:M32 C39:M43 C45:M48 C51:M52 C55:M58 C76:H77 C78:M79">
    <cfRule type="expression" dxfId="5" priority="4">
      <formula>ISBLANK(C4)</formula>
    </cfRule>
  </conditionalFormatting>
  <conditionalFormatting sqref="C25:M29">
    <cfRule type="expression" dxfId="4" priority="1">
      <formula>ISBLANK(C25)</formula>
    </cfRule>
  </conditionalFormatting>
  <conditionalFormatting sqref="C36:M37 C61:M64">
    <cfRule type="expression" dxfId="3"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2"/>
  <sheetViews>
    <sheetView showGridLines="0" zoomScale="90" zoomScaleNormal="90" workbookViewId="0">
      <pane xSplit="2" ySplit="1" topLeftCell="C20" activePane="bottomRight" state="frozen"/>
      <selection pane="topRight" activeCell="C1" sqref="C1"/>
      <selection pane="bottomLeft" activeCell="A2" sqref="A2"/>
      <selection pane="bottomRight" activeCell="C95" sqref="C95"/>
    </sheetView>
  </sheetViews>
  <sheetFormatPr defaultColWidth="12.33203125" defaultRowHeight="15" customHeight="1" x14ac:dyDescent="0.35"/>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x14ac:dyDescent="0.35">
      <c r="A1" s="3"/>
      <c r="B1" s="104" t="str">
        <f>Thesis!C12</f>
        <v>HKD</v>
      </c>
      <c r="C1" s="58" t="s">
        <v>115</v>
      </c>
      <c r="D1" s="58"/>
      <c r="E1" s="58"/>
      <c r="F1" s="58"/>
      <c r="G1" s="39">
        <f>Data!C1</f>
        <v>45291</v>
      </c>
      <c r="H1" s="39">
        <f>EOMONTH(EDATE(G1,-12),0)</f>
        <v>44926</v>
      </c>
      <c r="I1" s="39">
        <f t="shared" ref="I1:Q1" si="0">EOMONTH(EDATE(H1,-12),0)</f>
        <v>44561</v>
      </c>
      <c r="J1" s="39">
        <f t="shared" si="0"/>
        <v>44196</v>
      </c>
      <c r="K1" s="39">
        <f t="shared" si="0"/>
        <v>43830</v>
      </c>
      <c r="L1" s="39">
        <f t="shared" si="0"/>
        <v>43465</v>
      </c>
      <c r="M1" s="39">
        <f t="shared" si="0"/>
        <v>43100</v>
      </c>
      <c r="N1" s="39">
        <f t="shared" si="0"/>
        <v>42735</v>
      </c>
      <c r="O1" s="39">
        <f t="shared" si="0"/>
        <v>42369</v>
      </c>
      <c r="P1" s="39">
        <f t="shared" si="0"/>
        <v>42004</v>
      </c>
      <c r="Q1" s="39">
        <f t="shared" si="0"/>
        <v>41639</v>
      </c>
    </row>
    <row r="2" spans="1:17" ht="15.75" customHeight="1" x14ac:dyDescent="0.5">
      <c r="A2" s="3"/>
      <c r="B2" s="59" t="s">
        <v>173</v>
      </c>
      <c r="C2" s="59"/>
      <c r="D2" s="61"/>
      <c r="E2" s="72" t="s">
        <v>117</v>
      </c>
      <c r="F2" s="61"/>
      <c r="G2" s="38"/>
      <c r="H2" s="38"/>
      <c r="I2" s="38"/>
      <c r="J2" s="38"/>
      <c r="K2" s="38"/>
      <c r="L2" s="38"/>
      <c r="M2" s="38"/>
      <c r="N2" s="38"/>
      <c r="O2" s="38"/>
      <c r="P2" s="38"/>
      <c r="Q2" s="38"/>
    </row>
    <row r="3" spans="1:17" ht="15.75" customHeight="1" x14ac:dyDescent="0.35">
      <c r="A3" s="10"/>
      <c r="B3" s="16" t="s">
        <v>216</v>
      </c>
      <c r="C3" s="127">
        <f>Data!C3</f>
        <v>1000</v>
      </c>
      <c r="D3" s="9"/>
      <c r="F3" s="9"/>
      <c r="G3" s="9"/>
    </row>
    <row r="4" spans="1:17" ht="15.75" customHeight="1" x14ac:dyDescent="0.35">
      <c r="A4" s="10"/>
      <c r="B4" s="27" t="s">
        <v>3</v>
      </c>
      <c r="C4" s="226">
        <f>AVERAGE(G4:I4)</f>
        <v>22250946</v>
      </c>
      <c r="D4" s="62"/>
      <c r="E4" s="74"/>
      <c r="F4" s="62"/>
      <c r="G4" s="216">
        <f>Data!C36</f>
        <v>25013339</v>
      </c>
      <c r="H4" s="216">
        <f>Data!D36</f>
        <v>19751940</v>
      </c>
      <c r="I4" s="216">
        <f>Data!E36</f>
        <v>21987559</v>
      </c>
      <c r="J4" s="216">
        <f>Data!F36</f>
        <v>14997541</v>
      </c>
      <c r="K4" s="216">
        <f>Data!G36</f>
        <v>17736226</v>
      </c>
      <c r="L4" s="216">
        <f>Data!H36</f>
        <v>18806342</v>
      </c>
      <c r="M4" s="216">
        <f>Data!I36</f>
        <v>59156.4</v>
      </c>
      <c r="N4" s="216">
        <f>Data!J36</f>
        <v>51245.5</v>
      </c>
      <c r="O4" s="216" t="str">
        <f>Data!K36</f>
        <v/>
      </c>
      <c r="P4" s="216" t="str">
        <f>Data!L36</f>
        <v/>
      </c>
      <c r="Q4" s="216" t="str">
        <f>Data!M36</f>
        <v/>
      </c>
    </row>
    <row r="5" spans="1:17" ht="15.75" customHeight="1" x14ac:dyDescent="0.35">
      <c r="A5" s="10"/>
      <c r="B5" s="2" t="s">
        <v>60</v>
      </c>
      <c r="C5" s="227">
        <f>C25</f>
        <v>-16716115.210774122</v>
      </c>
      <c r="E5" s="18"/>
      <c r="G5" s="216">
        <f t="shared" ref="G5:Q5" si="1">G25</f>
        <v>-18409837</v>
      </c>
      <c r="H5" s="216">
        <f t="shared" si="1"/>
        <v>-15140010</v>
      </c>
      <c r="I5" s="216">
        <f t="shared" si="1"/>
        <v>-16431474</v>
      </c>
      <c r="J5" s="216">
        <f t="shared" si="1"/>
        <v>-10877614</v>
      </c>
      <c r="K5" s="216">
        <f t="shared" si="1"/>
        <v>-12958750</v>
      </c>
      <c r="L5" s="216">
        <f t="shared" si="1"/>
        <v>-14175208</v>
      </c>
      <c r="M5" s="216">
        <f t="shared" si="1"/>
        <v>-42943</v>
      </c>
      <c r="N5" s="216">
        <f t="shared" si="1"/>
        <v>-36282.800000000003</v>
      </c>
      <c r="O5" s="216" t="str">
        <f t="shared" si="1"/>
        <v/>
      </c>
      <c r="P5" s="216" t="str">
        <f t="shared" si="1"/>
        <v/>
      </c>
      <c r="Q5" s="216" t="str">
        <f t="shared" si="1"/>
        <v/>
      </c>
    </row>
    <row r="6" spans="1:17" ht="15.75" customHeight="1" x14ac:dyDescent="0.35">
      <c r="A6" s="10"/>
      <c r="B6" s="32" t="s">
        <v>62</v>
      </c>
      <c r="C6" s="217">
        <f>C4+C5</f>
        <v>5534830.7892258782</v>
      </c>
      <c r="E6" s="18"/>
      <c r="G6" s="217">
        <f>IF(G4="","",G4+G5)</f>
        <v>6603502</v>
      </c>
      <c r="H6" s="217">
        <f t="shared" ref="H6:Q6" si="2">IF(H4="","",H4+H5)</f>
        <v>4611930</v>
      </c>
      <c r="I6" s="217">
        <f t="shared" si="2"/>
        <v>5556085</v>
      </c>
      <c r="J6" s="217">
        <f t="shared" si="2"/>
        <v>4119927</v>
      </c>
      <c r="K6" s="217">
        <f t="shared" si="2"/>
        <v>4777476</v>
      </c>
      <c r="L6" s="217">
        <f t="shared" si="2"/>
        <v>4631134</v>
      </c>
      <c r="M6" s="217">
        <f t="shared" si="2"/>
        <v>16213.400000000001</v>
      </c>
      <c r="N6" s="217">
        <f t="shared" si="2"/>
        <v>14962.699999999997</v>
      </c>
      <c r="O6" s="217" t="str">
        <f t="shared" si="2"/>
        <v/>
      </c>
      <c r="P6" s="217" t="str">
        <f t="shared" si="2"/>
        <v/>
      </c>
      <c r="Q6" s="217" t="str">
        <f t="shared" si="2"/>
        <v/>
      </c>
    </row>
    <row r="7" spans="1:17" ht="15.75" customHeight="1" x14ac:dyDescent="0.35">
      <c r="A7" s="10"/>
      <c r="B7" s="8" t="s">
        <v>59</v>
      </c>
      <c r="C7" s="227">
        <f>C35</f>
        <v>-4967598</v>
      </c>
      <c r="E7" s="18"/>
      <c r="G7" s="227">
        <f t="shared" ref="G7:Q7" si="3">G35</f>
        <v>-5225366</v>
      </c>
      <c r="H7" s="227">
        <f t="shared" si="3"/>
        <v>-4709830</v>
      </c>
      <c r="I7" s="227">
        <f t="shared" si="3"/>
        <v>-4571128</v>
      </c>
      <c r="J7" s="227">
        <f t="shared" si="3"/>
        <v>-3136777</v>
      </c>
      <c r="K7" s="227">
        <f t="shared" si="3"/>
        <v>-3470831</v>
      </c>
      <c r="L7" s="227">
        <f t="shared" si="3"/>
        <v>-3388718</v>
      </c>
      <c r="M7" s="227">
        <f t="shared" si="3"/>
        <v>-10960.1</v>
      </c>
      <c r="N7" s="227">
        <f t="shared" si="3"/>
        <v>-10347.099999999999</v>
      </c>
      <c r="O7" s="227" t="str">
        <f t="shared" si="3"/>
        <v/>
      </c>
      <c r="P7" s="227" t="str">
        <f t="shared" si="3"/>
        <v/>
      </c>
      <c r="Q7" s="227" t="str">
        <f t="shared" si="3"/>
        <v/>
      </c>
    </row>
    <row r="8" spans="1:17" ht="15.75" customHeight="1" x14ac:dyDescent="0.35">
      <c r="A8" s="10"/>
      <c r="B8" s="30" t="s">
        <v>259</v>
      </c>
      <c r="C8" s="228">
        <f>C6+C7</f>
        <v>567232.78922587819</v>
      </c>
      <c r="D8" s="65"/>
      <c r="E8" s="90"/>
      <c r="F8" s="65"/>
      <c r="G8" s="217">
        <f>IF(G$4="","",G6+G7)</f>
        <v>1378136</v>
      </c>
      <c r="H8" s="217">
        <f t="shared" ref="H8:Q8" si="4">IF(H$4="","",H6+H7)</f>
        <v>-97900</v>
      </c>
      <c r="I8" s="217">
        <f t="shared" si="4"/>
        <v>984957</v>
      </c>
      <c r="J8" s="217">
        <f t="shared" si="4"/>
        <v>983150</v>
      </c>
      <c r="K8" s="217">
        <f t="shared" si="4"/>
        <v>1306645</v>
      </c>
      <c r="L8" s="217">
        <f t="shared" si="4"/>
        <v>1242416</v>
      </c>
      <c r="M8" s="217">
        <f t="shared" si="4"/>
        <v>5253.3000000000011</v>
      </c>
      <c r="N8" s="217">
        <f t="shared" si="4"/>
        <v>4615.5999999999985</v>
      </c>
      <c r="O8" s="217" t="str">
        <f t="shared" si="4"/>
        <v/>
      </c>
      <c r="P8" s="217" t="str">
        <f t="shared" si="4"/>
        <v/>
      </c>
      <c r="Q8" s="217" t="str">
        <f t="shared" si="4"/>
        <v/>
      </c>
    </row>
    <row r="9" spans="1:17" ht="15.75" customHeight="1" x14ac:dyDescent="0.35">
      <c r="A9" s="10"/>
      <c r="B9" s="2" t="s">
        <v>123</v>
      </c>
      <c r="C9" s="227">
        <f>BS!$G$39*BS!D59</f>
        <v>0</v>
      </c>
      <c r="E9" s="18"/>
      <c r="G9" s="227">
        <f>IF(Data!C61="","",-Data!C61)</f>
        <v>0</v>
      </c>
      <c r="H9" s="227">
        <f>IF(Data!D61="","",-Data!D61)</f>
        <v>0</v>
      </c>
      <c r="I9" s="227">
        <f>IF(Data!E61="","",-Data!E61)</f>
        <v>0</v>
      </c>
      <c r="J9" s="227">
        <f>IF(Data!F61="","",-Data!F61)</f>
        <v>0</v>
      </c>
      <c r="K9" s="227">
        <f>IF(Data!G61="","",-Data!G61)</f>
        <v>0</v>
      </c>
      <c r="L9" s="227">
        <f>IF(Data!H61="","",-Data!H61)</f>
        <v>0</v>
      </c>
      <c r="M9" s="227">
        <f>IF(Data!I61="","",-Data!I61)</f>
        <v>0</v>
      </c>
      <c r="N9" s="227">
        <f>IF(Data!J61="","",-Data!J61)</f>
        <v>0</v>
      </c>
      <c r="O9" s="227" t="str">
        <f>IF(Data!K61="","",-Data!K61)</f>
        <v/>
      </c>
      <c r="P9" s="227" t="str">
        <f>IF(Data!L61="","",-Data!L61)</f>
        <v/>
      </c>
      <c r="Q9" s="227" t="str">
        <f>IF(Data!M61="","",-Data!M61)</f>
        <v/>
      </c>
    </row>
    <row r="10" spans="1:17" ht="15.75" customHeight="1" x14ac:dyDescent="0.35">
      <c r="A10" s="10"/>
      <c r="B10" s="2" t="s">
        <v>147</v>
      </c>
      <c r="C10" s="227">
        <f>-C4*C77</f>
        <v>0</v>
      </c>
      <c r="E10" s="18"/>
      <c r="G10" s="227">
        <f>Data!C62</f>
        <v>0</v>
      </c>
      <c r="H10" s="227">
        <f>Data!D62</f>
        <v>0</v>
      </c>
      <c r="I10" s="227">
        <f>Data!E62</f>
        <v>0</v>
      </c>
      <c r="J10" s="227">
        <f>Data!F62</f>
        <v>0</v>
      </c>
      <c r="K10" s="227">
        <f>Data!G62</f>
        <v>0</v>
      </c>
      <c r="L10" s="227">
        <f>Data!H62</f>
        <v>0</v>
      </c>
      <c r="M10" s="227">
        <f>Data!I62</f>
        <v>0</v>
      </c>
      <c r="N10" s="227">
        <f>Data!J62</f>
        <v>0</v>
      </c>
      <c r="O10" s="227" t="str">
        <f>Data!K62</f>
        <v/>
      </c>
      <c r="P10" s="227" t="str">
        <f>Data!L62</f>
        <v/>
      </c>
      <c r="Q10" s="227" t="str">
        <f>Data!M62</f>
        <v/>
      </c>
    </row>
    <row r="11" spans="1:17" ht="15.75" customHeight="1" x14ac:dyDescent="0.35">
      <c r="A11" s="10"/>
      <c r="B11" s="32" t="s">
        <v>260</v>
      </c>
      <c r="C11" s="229">
        <f>C62</f>
        <v>0</v>
      </c>
      <c r="D11" s="200"/>
      <c r="E11" s="76" t="s">
        <v>280</v>
      </c>
      <c r="F11" s="200"/>
      <c r="G11" s="219">
        <f>G62</f>
        <v>-1248420.1000000001</v>
      </c>
      <c r="H11" s="219">
        <f t="shared" ref="H11:Q11" si="5">H62</f>
        <v>168928.2</v>
      </c>
      <c r="I11" s="219">
        <f t="shared" si="5"/>
        <v>-927959</v>
      </c>
      <c r="J11" s="219">
        <f t="shared" si="5"/>
        <v>-907013</v>
      </c>
      <c r="K11" s="219">
        <f t="shared" si="5"/>
        <v>-1217483</v>
      </c>
      <c r="L11" s="219">
        <f t="shared" si="5"/>
        <v>-1205425</v>
      </c>
      <c r="M11" s="219">
        <f t="shared" si="5"/>
        <v>-4901.2000000000007</v>
      </c>
      <c r="N11" s="219">
        <f t="shared" si="5"/>
        <v>-4283.1999999999989</v>
      </c>
      <c r="O11" s="219" t="str">
        <f t="shared" si="5"/>
        <v/>
      </c>
      <c r="P11" s="219" t="str">
        <f t="shared" si="5"/>
        <v/>
      </c>
      <c r="Q11" s="219" t="str">
        <f t="shared" si="5"/>
        <v/>
      </c>
    </row>
    <row r="12" spans="1:17" ht="15.75" customHeight="1" x14ac:dyDescent="0.35">
      <c r="A12" s="10"/>
      <c r="B12" s="2" t="s">
        <v>126</v>
      </c>
      <c r="C12" s="227">
        <f>C49</f>
        <v>-129783.82100000001</v>
      </c>
      <c r="E12" s="18"/>
      <c r="G12" s="227">
        <f t="shared" ref="G12:Q12" si="6">G49</f>
        <v>-129715.9</v>
      </c>
      <c r="H12" s="227">
        <f t="shared" si="6"/>
        <v>-81632.2</v>
      </c>
      <c r="I12" s="227">
        <f t="shared" si="6"/>
        <v>-60486</v>
      </c>
      <c r="J12" s="227">
        <f t="shared" si="6"/>
        <v>-76137</v>
      </c>
      <c r="K12" s="227">
        <f t="shared" si="6"/>
        <v>-89162</v>
      </c>
      <c r="L12" s="227">
        <f t="shared" si="6"/>
        <v>-36991</v>
      </c>
      <c r="M12" s="227">
        <f t="shared" si="6"/>
        <v>-243.7</v>
      </c>
      <c r="N12" s="227">
        <f t="shared" si="6"/>
        <v>-236.6</v>
      </c>
      <c r="O12" s="227" t="str">
        <f t="shared" si="6"/>
        <v/>
      </c>
      <c r="P12" s="227" t="str">
        <f t="shared" si="6"/>
        <v/>
      </c>
      <c r="Q12" s="227" t="str">
        <f t="shared" si="6"/>
        <v/>
      </c>
    </row>
    <row r="13" spans="1:17" ht="15.75" customHeight="1" x14ac:dyDescent="0.35">
      <c r="A13" s="10"/>
      <c r="B13" s="80" t="s">
        <v>272</v>
      </c>
      <c r="C13" s="217">
        <f>SUM(C8:C12)</f>
        <v>437448.9682258782</v>
      </c>
      <c r="E13" s="18"/>
      <c r="G13" s="217">
        <f>IF(G$4="","",SUM(G8:G12))</f>
        <v>0</v>
      </c>
      <c r="H13" s="217">
        <f t="shared" ref="H13:Q13" si="7">IF(H$4="","",SUM(H8:H12))</f>
        <v>-10603.999999999985</v>
      </c>
      <c r="I13" s="217">
        <f t="shared" si="7"/>
        <v>-3488</v>
      </c>
      <c r="J13" s="217">
        <f t="shared" si="7"/>
        <v>0</v>
      </c>
      <c r="K13" s="217">
        <f t="shared" si="7"/>
        <v>0</v>
      </c>
      <c r="L13" s="217">
        <f t="shared" si="7"/>
        <v>0</v>
      </c>
      <c r="M13" s="217">
        <f t="shared" si="7"/>
        <v>108.40000000000038</v>
      </c>
      <c r="N13" s="217">
        <f t="shared" si="7"/>
        <v>95.799999999999642</v>
      </c>
      <c r="O13" s="217" t="str">
        <f t="shared" si="7"/>
        <v/>
      </c>
      <c r="P13" s="217" t="str">
        <f t="shared" si="7"/>
        <v/>
      </c>
      <c r="Q13" s="217" t="str">
        <f t="shared" si="7"/>
        <v/>
      </c>
    </row>
    <row r="14" spans="1:17" ht="15.75" customHeight="1" x14ac:dyDescent="0.35">
      <c r="A14" s="10"/>
      <c r="B14" s="2" t="s">
        <v>121</v>
      </c>
      <c r="C14" s="227">
        <f>-C13*C43</f>
        <v>-100613.262691952</v>
      </c>
      <c r="E14" s="18"/>
      <c r="G14" s="227">
        <f>Data!C46</f>
        <v>0</v>
      </c>
      <c r="H14" s="227">
        <f>Data!D46</f>
        <v>0</v>
      </c>
      <c r="I14" s="227">
        <f>Data!E46</f>
        <v>0</v>
      </c>
      <c r="J14" s="227">
        <f>Data!F46</f>
        <v>0</v>
      </c>
      <c r="K14" s="227">
        <f>Data!G46</f>
        <v>0</v>
      </c>
      <c r="L14" s="227">
        <f>Data!H46</f>
        <v>0</v>
      </c>
      <c r="M14" s="227">
        <f>Data!I46</f>
        <v>0</v>
      </c>
      <c r="N14" s="227">
        <f>Data!J46</f>
        <v>0</v>
      </c>
      <c r="O14" s="227" t="str">
        <f>Data!K46</f>
        <v/>
      </c>
      <c r="P14" s="227" t="str">
        <f>Data!L46</f>
        <v/>
      </c>
      <c r="Q14" s="227" t="str">
        <f>Data!M46</f>
        <v/>
      </c>
    </row>
    <row r="15" spans="1:17" ht="15.75" customHeight="1" x14ac:dyDescent="0.35">
      <c r="A15" s="10"/>
      <c r="B15" s="42" t="s">
        <v>58</v>
      </c>
      <c r="C15" s="227">
        <f>-C4*C82</f>
        <v>0</v>
      </c>
      <c r="D15" s="66"/>
      <c r="E15" s="75"/>
      <c r="F15" s="66"/>
      <c r="G15" s="216">
        <f>Data!C48</f>
        <v>0</v>
      </c>
      <c r="H15" s="216">
        <f>Data!D48</f>
        <v>0</v>
      </c>
      <c r="I15" s="216">
        <f>Data!E48</f>
        <v>0</v>
      </c>
      <c r="J15" s="216">
        <f>Data!F48</f>
        <v>0</v>
      </c>
      <c r="K15" s="216">
        <f>Data!G48</f>
        <v>0</v>
      </c>
      <c r="L15" s="216">
        <f>Data!H48</f>
        <v>0</v>
      </c>
      <c r="M15" s="216">
        <f>Data!I48</f>
        <v>0</v>
      </c>
      <c r="N15" s="216">
        <f>Data!J48</f>
        <v>0</v>
      </c>
      <c r="O15" s="216" t="str">
        <f>Data!K48</f>
        <v/>
      </c>
      <c r="P15" s="216" t="str">
        <f>Data!L48</f>
        <v/>
      </c>
      <c r="Q15" s="216" t="str">
        <f>Data!M48</f>
        <v/>
      </c>
    </row>
    <row r="16" spans="1:17" ht="15.75" customHeight="1" x14ac:dyDescent="0.35">
      <c r="A16" s="10"/>
      <c r="B16" s="43" t="s">
        <v>261</v>
      </c>
      <c r="C16" s="230">
        <f>SUM(C13:C15)</f>
        <v>336835.7055339262</v>
      </c>
      <c r="D16" s="67"/>
      <c r="E16" s="91"/>
      <c r="F16" s="67"/>
      <c r="G16" s="217">
        <f>IF(G$4="","",SUM(G13:G15))</f>
        <v>0</v>
      </c>
      <c r="H16" s="217">
        <f t="shared" ref="H16:Q16" si="8">IF(H$4="","",SUM(H13:H15))</f>
        <v>-10603.999999999985</v>
      </c>
      <c r="I16" s="217">
        <f t="shared" si="8"/>
        <v>-3488</v>
      </c>
      <c r="J16" s="217">
        <f t="shared" si="8"/>
        <v>0</v>
      </c>
      <c r="K16" s="217">
        <f t="shared" si="8"/>
        <v>0</v>
      </c>
      <c r="L16" s="217">
        <f t="shared" si="8"/>
        <v>0</v>
      </c>
      <c r="M16" s="217">
        <f t="shared" si="8"/>
        <v>108.40000000000038</v>
      </c>
      <c r="N16" s="217">
        <f t="shared" si="8"/>
        <v>95.799999999999642</v>
      </c>
      <c r="O16" s="217" t="str">
        <f t="shared" si="8"/>
        <v/>
      </c>
      <c r="P16" s="217" t="str">
        <f t="shared" si="8"/>
        <v/>
      </c>
      <c r="Q16" s="217" t="str">
        <f t="shared" si="8"/>
        <v/>
      </c>
    </row>
    <row r="17" spans="1:17" ht="15.75" customHeight="1" x14ac:dyDescent="0.35">
      <c r="A17" s="10"/>
      <c r="B17" s="28" t="s">
        <v>68</v>
      </c>
      <c r="C17" s="227">
        <f>-C4*C84</f>
        <v>0</v>
      </c>
      <c r="D17" s="64"/>
      <c r="E17" s="76" t="s">
        <v>255</v>
      </c>
      <c r="F17" s="64"/>
      <c r="G17" s="231"/>
      <c r="H17" s="231"/>
      <c r="I17" s="231"/>
      <c r="J17" s="231"/>
      <c r="K17" s="231"/>
      <c r="L17" s="231"/>
      <c r="M17" s="231"/>
      <c r="N17" s="231"/>
      <c r="O17" s="231"/>
      <c r="P17" s="231"/>
      <c r="Q17" s="231"/>
    </row>
    <row r="18" spans="1:17" ht="15.75" customHeight="1" x14ac:dyDescent="0.35">
      <c r="A18" s="10"/>
      <c r="B18" s="28" t="s">
        <v>171</v>
      </c>
      <c r="C18" s="227">
        <f>-C4*C85</f>
        <v>0</v>
      </c>
      <c r="D18" s="64"/>
      <c r="E18" s="76" t="s">
        <v>170</v>
      </c>
      <c r="F18" s="64"/>
      <c r="G18" s="232"/>
      <c r="H18" s="232"/>
      <c r="I18" s="232"/>
      <c r="J18" s="232"/>
      <c r="K18" s="232"/>
      <c r="L18" s="232"/>
      <c r="M18" s="232"/>
      <c r="N18" s="232"/>
      <c r="O18" s="232"/>
      <c r="P18" s="232"/>
      <c r="Q18" s="232"/>
    </row>
    <row r="19" spans="1:17" ht="15.75" customHeight="1" x14ac:dyDescent="0.35">
      <c r="A19" s="10"/>
      <c r="B19" s="32" t="s">
        <v>233</v>
      </c>
      <c r="C19" s="217">
        <f>SUM(C16:C18)</f>
        <v>336835.7055339262</v>
      </c>
      <c r="D19" s="28"/>
      <c r="E19" s="77"/>
      <c r="F19" s="28"/>
      <c r="G19" s="219">
        <f t="shared" ref="G19:Q19" si="9">IF(G$4="","",SUM(G16:G18))</f>
        <v>0</v>
      </c>
      <c r="H19" s="219">
        <f t="shared" si="9"/>
        <v>-10603.999999999985</v>
      </c>
      <c r="I19" s="219">
        <f t="shared" si="9"/>
        <v>-3488</v>
      </c>
      <c r="J19" s="219">
        <f t="shared" si="9"/>
        <v>0</v>
      </c>
      <c r="K19" s="219">
        <f t="shared" si="9"/>
        <v>0</v>
      </c>
      <c r="L19" s="219">
        <f t="shared" si="9"/>
        <v>0</v>
      </c>
      <c r="M19" s="219">
        <f t="shared" si="9"/>
        <v>108.40000000000038</v>
      </c>
      <c r="N19" s="219">
        <f t="shared" si="9"/>
        <v>95.799999999999642</v>
      </c>
      <c r="O19" s="219" t="str">
        <f t="shared" si="9"/>
        <v/>
      </c>
      <c r="P19" s="219" t="str">
        <f t="shared" si="9"/>
        <v/>
      </c>
      <c r="Q19" s="219" t="str">
        <f t="shared" si="9"/>
        <v/>
      </c>
    </row>
    <row r="20" spans="1:17" ht="15.75" customHeight="1" x14ac:dyDescent="0.35">
      <c r="A20" s="10"/>
      <c r="B20" s="28"/>
      <c r="C20" s="68"/>
      <c r="D20" s="28"/>
      <c r="E20" s="77"/>
      <c r="F20" s="28"/>
      <c r="G20" s="12"/>
      <c r="H20" s="12"/>
      <c r="I20" s="12"/>
      <c r="J20" s="12"/>
      <c r="K20" s="12"/>
      <c r="L20" s="12"/>
      <c r="M20" s="12"/>
      <c r="N20" s="12"/>
      <c r="O20" s="12"/>
      <c r="P20" s="12"/>
      <c r="Q20" s="12"/>
    </row>
    <row r="21" spans="1:17" ht="15.75" customHeight="1" x14ac:dyDescent="0.5">
      <c r="A21" s="10"/>
      <c r="B21" s="59" t="s">
        <v>322</v>
      </c>
      <c r="C21" s="59"/>
      <c r="D21" s="61"/>
      <c r="E21" s="72" t="s">
        <v>117</v>
      </c>
      <c r="F21" s="61"/>
      <c r="G21" s="38"/>
      <c r="H21" s="38"/>
      <c r="I21" s="38"/>
      <c r="J21" s="38"/>
      <c r="K21" s="38"/>
      <c r="L21" s="38"/>
      <c r="M21" s="38"/>
      <c r="N21" s="38"/>
      <c r="O21" s="38"/>
      <c r="P21" s="38"/>
      <c r="Q21" s="38"/>
    </row>
    <row r="22" spans="1:17" ht="15.75" customHeight="1" x14ac:dyDescent="0.35">
      <c r="A22" s="10"/>
      <c r="B22" s="70" t="s">
        <v>60</v>
      </c>
      <c r="C22" s="68"/>
      <c r="D22" s="28"/>
      <c r="E22" s="77"/>
      <c r="F22" s="28"/>
      <c r="G22" s="12"/>
      <c r="H22" s="12"/>
      <c r="I22" s="12"/>
      <c r="J22" s="12"/>
      <c r="K22" s="12"/>
      <c r="L22" s="12"/>
      <c r="M22" s="12"/>
      <c r="N22" s="12"/>
      <c r="O22" s="12"/>
      <c r="P22" s="12"/>
      <c r="Q22" s="12"/>
    </row>
    <row r="23" spans="1:17" ht="15.75" customHeight="1" x14ac:dyDescent="0.35">
      <c r="A23" s="10"/>
      <c r="B23" s="28" t="s">
        <v>57</v>
      </c>
      <c r="C23" s="233">
        <f>-C4*C28</f>
        <v>-16716115.210774122</v>
      </c>
      <c r="D23" s="64"/>
      <c r="E23" s="76"/>
      <c r="F23" s="64"/>
      <c r="G23" s="216">
        <f>Data!C37</f>
        <v>-18409837</v>
      </c>
      <c r="H23" s="216">
        <f>Data!D37</f>
        <v>-15140010</v>
      </c>
      <c r="I23" s="216">
        <f>Data!E37</f>
        <v>-16431474</v>
      </c>
      <c r="J23" s="216">
        <f>Data!F37</f>
        <v>-10877614</v>
      </c>
      <c r="K23" s="216">
        <f>Data!G37</f>
        <v>-12958750</v>
      </c>
      <c r="L23" s="216">
        <f>Data!H37</f>
        <v>-14175208</v>
      </c>
      <c r="M23" s="216">
        <f>Data!I37</f>
        <v>-42943</v>
      </c>
      <c r="N23" s="216">
        <f>Data!J37</f>
        <v>-36282.800000000003</v>
      </c>
      <c r="O23" s="216" t="str">
        <f>Data!K37</f>
        <v/>
      </c>
      <c r="P23" s="216" t="str">
        <f>Data!L37</f>
        <v/>
      </c>
      <c r="Q23" s="216" t="str">
        <f>Data!M37</f>
        <v/>
      </c>
    </row>
    <row r="24" spans="1:17" ht="15.75" customHeight="1" x14ac:dyDescent="0.4">
      <c r="A24" s="10"/>
      <c r="B24" s="78" t="s">
        <v>120</v>
      </c>
      <c r="C24" s="227">
        <f>-C4*C29</f>
        <v>0</v>
      </c>
      <c r="D24" s="28"/>
      <c r="E24" s="77"/>
      <c r="F24" s="28"/>
      <c r="G24" s="216">
        <f>Data!C40</f>
        <v>0</v>
      </c>
      <c r="H24" s="216">
        <f>Data!D40</f>
        <v>0</v>
      </c>
      <c r="I24" s="216">
        <f>Data!E40</f>
        <v>0</v>
      </c>
      <c r="J24" s="216">
        <f>Data!F40</f>
        <v>0</v>
      </c>
      <c r="K24" s="216">
        <f>Data!G40</f>
        <v>0</v>
      </c>
      <c r="L24" s="216">
        <f>Data!H40</f>
        <v>0</v>
      </c>
      <c r="M24" s="216">
        <f>Data!I40</f>
        <v>0</v>
      </c>
      <c r="N24" s="216">
        <f>Data!J40</f>
        <v>0</v>
      </c>
      <c r="O24" s="216" t="str">
        <f>Data!K40</f>
        <v/>
      </c>
      <c r="P24" s="216" t="str">
        <f>Data!L40</f>
        <v/>
      </c>
      <c r="Q24" s="216" t="str">
        <f>Data!M40</f>
        <v/>
      </c>
    </row>
    <row r="25" spans="1:17" ht="15.75" customHeight="1" x14ac:dyDescent="0.35">
      <c r="A25" s="10"/>
      <c r="B25" s="80" t="s">
        <v>60</v>
      </c>
      <c r="C25" s="217">
        <f>C23+C24</f>
        <v>-16716115.210774122</v>
      </c>
      <c r="D25" s="9"/>
      <c r="E25" s="73"/>
      <c r="F25" s="9"/>
      <c r="G25" s="217">
        <f t="shared" ref="G25:Q25" si="10">IF(G$4="","",G23+G24)</f>
        <v>-18409837</v>
      </c>
      <c r="H25" s="217">
        <f t="shared" si="10"/>
        <v>-15140010</v>
      </c>
      <c r="I25" s="217">
        <f t="shared" si="10"/>
        <v>-16431474</v>
      </c>
      <c r="J25" s="217">
        <f t="shared" si="10"/>
        <v>-10877614</v>
      </c>
      <c r="K25" s="217">
        <f t="shared" si="10"/>
        <v>-12958750</v>
      </c>
      <c r="L25" s="217">
        <f t="shared" si="10"/>
        <v>-14175208</v>
      </c>
      <c r="M25" s="217">
        <f t="shared" si="10"/>
        <v>-42943</v>
      </c>
      <c r="N25" s="217">
        <f t="shared" si="10"/>
        <v>-36282.800000000003</v>
      </c>
      <c r="O25" s="217" t="str">
        <f t="shared" si="10"/>
        <v/>
      </c>
      <c r="P25" s="217" t="str">
        <f t="shared" si="10"/>
        <v/>
      </c>
      <c r="Q25" s="217" t="str">
        <f t="shared" si="10"/>
        <v/>
      </c>
    </row>
    <row r="26" spans="1:17" ht="15.75" customHeight="1" x14ac:dyDescent="0.35">
      <c r="A26" s="10"/>
    </row>
    <row r="27" spans="1:17" ht="15.75" customHeight="1" x14ac:dyDescent="0.35">
      <c r="A27" s="10"/>
      <c r="B27" s="70" t="s">
        <v>323</v>
      </c>
    </row>
    <row r="28" spans="1:17" ht="15.75" customHeight="1" x14ac:dyDescent="0.35">
      <c r="A28" s="10"/>
      <c r="B28" s="27" t="s">
        <v>57</v>
      </c>
      <c r="C28" s="69">
        <f>AVERAGE(G28:H28)</f>
        <v>0.75125413592636114</v>
      </c>
      <c r="D28" s="27"/>
      <c r="E28" s="74" t="s">
        <v>146</v>
      </c>
      <c r="F28" s="27"/>
      <c r="G28" s="13">
        <f t="shared" ref="G28:Q28" si="11">IF(G$4="","",ABS(G23/G$4))</f>
        <v>0.73600077942413045</v>
      </c>
      <c r="H28" s="13">
        <f t="shared" si="11"/>
        <v>0.76650749242859184</v>
      </c>
      <c r="I28" s="13">
        <f t="shared" si="11"/>
        <v>0.74730778437024314</v>
      </c>
      <c r="J28" s="13">
        <f t="shared" si="11"/>
        <v>0.72529316639307739</v>
      </c>
      <c r="K28" s="13">
        <f t="shared" si="11"/>
        <v>0.73063739715540388</v>
      </c>
      <c r="L28" s="13">
        <f t="shared" si="11"/>
        <v>0.75374615648274401</v>
      </c>
      <c r="M28" s="13">
        <f t="shared" si="11"/>
        <v>0.72592314610084452</v>
      </c>
      <c r="N28" s="13">
        <f t="shared" si="11"/>
        <v>0.70801924071381883</v>
      </c>
      <c r="O28" s="13" t="str">
        <f t="shared" si="11"/>
        <v/>
      </c>
      <c r="P28" s="13" t="str">
        <f t="shared" si="11"/>
        <v/>
      </c>
      <c r="Q28" s="13" t="str">
        <f t="shared" si="11"/>
        <v/>
      </c>
    </row>
    <row r="29" spans="1:17" ht="15.75" customHeight="1" x14ac:dyDescent="0.4">
      <c r="A29" s="10"/>
      <c r="B29" s="78" t="str">
        <f>B24</f>
        <v>Selling Expenses</v>
      </c>
      <c r="C29" s="69">
        <f>AVERAGE(G29:H29)</f>
        <v>0</v>
      </c>
      <c r="D29" s="27"/>
      <c r="E29" s="74" t="s">
        <v>146</v>
      </c>
      <c r="F29" s="27"/>
      <c r="G29" s="13">
        <f t="shared" ref="G29:Q29" si="12">IF(G$4="","",ABS(G24/G$4))</f>
        <v>0</v>
      </c>
      <c r="H29" s="13">
        <f t="shared" si="12"/>
        <v>0</v>
      </c>
      <c r="I29" s="13">
        <f t="shared" si="12"/>
        <v>0</v>
      </c>
      <c r="J29" s="13">
        <f t="shared" si="12"/>
        <v>0</v>
      </c>
      <c r="K29" s="13">
        <f t="shared" si="12"/>
        <v>0</v>
      </c>
      <c r="L29" s="13">
        <f t="shared" si="12"/>
        <v>0</v>
      </c>
      <c r="M29" s="13">
        <f t="shared" si="12"/>
        <v>0</v>
      </c>
      <c r="N29" s="13">
        <f t="shared" si="12"/>
        <v>0</v>
      </c>
      <c r="O29" s="13" t="str">
        <f t="shared" si="12"/>
        <v/>
      </c>
      <c r="P29" s="13" t="str">
        <f t="shared" si="12"/>
        <v/>
      </c>
      <c r="Q29" s="13" t="str">
        <f t="shared" si="12"/>
        <v/>
      </c>
    </row>
    <row r="30" spans="1:17" ht="15.75" customHeight="1" x14ac:dyDescent="0.35">
      <c r="A30" s="10"/>
      <c r="B30" s="80" t="s">
        <v>60</v>
      </c>
      <c r="C30" s="81">
        <f>ABS(C25/$C$4)</f>
        <v>0.75125413592636114</v>
      </c>
      <c r="G30" s="31">
        <f t="shared" ref="G30:Q30" si="13">IF(G$4="","",ABS(G25/G$4))</f>
        <v>0.73600077942413045</v>
      </c>
      <c r="H30" s="31">
        <f t="shared" si="13"/>
        <v>0.76650749242859184</v>
      </c>
      <c r="I30" s="31">
        <f t="shared" si="13"/>
        <v>0.74730778437024314</v>
      </c>
      <c r="J30" s="31">
        <f t="shared" si="13"/>
        <v>0.72529316639307739</v>
      </c>
      <c r="K30" s="31">
        <f t="shared" si="13"/>
        <v>0.73063739715540388</v>
      </c>
      <c r="L30" s="31">
        <f t="shared" si="13"/>
        <v>0.75374615648274401</v>
      </c>
      <c r="M30" s="31">
        <f t="shared" si="13"/>
        <v>0.72592314610084452</v>
      </c>
      <c r="N30" s="31">
        <f t="shared" si="13"/>
        <v>0.70801924071381883</v>
      </c>
      <c r="O30" s="31" t="str">
        <f t="shared" si="13"/>
        <v/>
      </c>
      <c r="P30" s="31" t="str">
        <f t="shared" si="13"/>
        <v/>
      </c>
      <c r="Q30" s="31" t="str">
        <f t="shared" si="13"/>
        <v/>
      </c>
    </row>
    <row r="31" spans="1:17" ht="15.75" customHeight="1" x14ac:dyDescent="0.35">
      <c r="A31" s="10"/>
    </row>
    <row r="32" spans="1:17" ht="15.75" customHeight="1" x14ac:dyDescent="0.35">
      <c r="A32" s="10"/>
      <c r="B32" s="70" t="s">
        <v>59</v>
      </c>
    </row>
    <row r="33" spans="1:17" ht="15.75" customHeight="1" x14ac:dyDescent="0.35">
      <c r="A33" s="10"/>
      <c r="B33" s="8" t="s">
        <v>288</v>
      </c>
      <c r="C33" s="234">
        <f>AVERAGE(G33:H33)</f>
        <v>-4967598</v>
      </c>
      <c r="E33" s="74" t="s">
        <v>146</v>
      </c>
      <c r="G33" s="227">
        <f>Data!C41</f>
        <v>-5225366</v>
      </c>
      <c r="H33" s="227">
        <f>Data!D41</f>
        <v>-4709830</v>
      </c>
      <c r="I33" s="227">
        <f>Data!E41</f>
        <v>-4571128</v>
      </c>
      <c r="J33" s="227">
        <f>Data!F41</f>
        <v>-3136777</v>
      </c>
      <c r="K33" s="227">
        <f>Data!G41</f>
        <v>-3470831</v>
      </c>
      <c r="L33" s="227">
        <f>Data!H41</f>
        <v>-3388718</v>
      </c>
      <c r="M33" s="227">
        <f>Data!I41</f>
        <v>-10960.1</v>
      </c>
      <c r="N33" s="227">
        <f>Data!J41</f>
        <v>-10347.099999999999</v>
      </c>
      <c r="O33" s="227" t="str">
        <f>Data!K41</f>
        <v/>
      </c>
      <c r="P33" s="227" t="str">
        <f>Data!L41</f>
        <v/>
      </c>
      <c r="Q33" s="227" t="str">
        <f>Data!M41</f>
        <v/>
      </c>
    </row>
    <row r="34" spans="1:17" ht="15.75" customHeight="1" x14ac:dyDescent="0.35">
      <c r="A34" s="10"/>
      <c r="B34" s="28" t="s">
        <v>65</v>
      </c>
      <c r="C34" s="234">
        <f>AVERAGE(G34:J34)</f>
        <v>0</v>
      </c>
      <c r="D34" s="64"/>
      <c r="E34" s="74" t="s">
        <v>146</v>
      </c>
      <c r="F34" s="64"/>
      <c r="G34" s="216">
        <f>Data!C42</f>
        <v>0</v>
      </c>
      <c r="H34" s="216">
        <f>Data!D42</f>
        <v>0</v>
      </c>
      <c r="I34" s="216">
        <f>Data!E42</f>
        <v>0</v>
      </c>
      <c r="J34" s="216">
        <f>Data!F42</f>
        <v>0</v>
      </c>
      <c r="K34" s="216">
        <f>Data!G42</f>
        <v>0</v>
      </c>
      <c r="L34" s="216">
        <f>Data!H42</f>
        <v>0</v>
      </c>
      <c r="M34" s="216">
        <f>Data!I42</f>
        <v>0</v>
      </c>
      <c r="N34" s="216">
        <f>Data!J42</f>
        <v>0</v>
      </c>
      <c r="O34" s="216" t="str">
        <f>Data!K42</f>
        <v/>
      </c>
      <c r="P34" s="216" t="str">
        <f>Data!L42</f>
        <v/>
      </c>
      <c r="Q34" s="216" t="str">
        <f>Data!M42</f>
        <v/>
      </c>
    </row>
    <row r="35" spans="1:17" ht="15.75" customHeight="1" x14ac:dyDescent="0.35">
      <c r="A35" s="10"/>
      <c r="B35" s="80" t="s">
        <v>59</v>
      </c>
      <c r="C35" s="217">
        <f>C33+C34</f>
        <v>-4967598</v>
      </c>
      <c r="D35" s="64"/>
      <c r="E35" s="76"/>
      <c r="F35" s="64"/>
      <c r="G35" s="217">
        <f t="shared" ref="G35:Q35" si="14">IF(G4="","",G33+G34)</f>
        <v>-5225366</v>
      </c>
      <c r="H35" s="217">
        <f t="shared" si="14"/>
        <v>-4709830</v>
      </c>
      <c r="I35" s="217">
        <f t="shared" si="14"/>
        <v>-4571128</v>
      </c>
      <c r="J35" s="217">
        <f t="shared" si="14"/>
        <v>-3136777</v>
      </c>
      <c r="K35" s="217">
        <f t="shared" si="14"/>
        <v>-3470831</v>
      </c>
      <c r="L35" s="217">
        <f t="shared" si="14"/>
        <v>-3388718</v>
      </c>
      <c r="M35" s="217">
        <f t="shared" si="14"/>
        <v>-10960.1</v>
      </c>
      <c r="N35" s="217">
        <f t="shared" si="14"/>
        <v>-10347.099999999999</v>
      </c>
      <c r="O35" s="217" t="str">
        <f t="shared" si="14"/>
        <v/>
      </c>
      <c r="P35" s="217" t="str">
        <f t="shared" si="14"/>
        <v/>
      </c>
      <c r="Q35" s="217" t="str">
        <f t="shared" si="14"/>
        <v/>
      </c>
    </row>
    <row r="36" spans="1:17" ht="15.75" customHeight="1" x14ac:dyDescent="0.35">
      <c r="A36" s="10"/>
    </row>
    <row r="37" spans="1:17" ht="15.75" customHeight="1" x14ac:dyDescent="0.35">
      <c r="A37" s="10"/>
      <c r="B37" s="70" t="s">
        <v>324</v>
      </c>
    </row>
    <row r="38" spans="1:17" ht="15.75" customHeight="1" x14ac:dyDescent="0.35">
      <c r="A38" s="10"/>
      <c r="B38" s="2" t="str">
        <f>B33</f>
        <v>G&amp;A and other Opex</v>
      </c>
      <c r="C38" s="24">
        <f>ABS(C33/$C$4)</f>
        <v>0.22325333943105161</v>
      </c>
      <c r="D38" s="28"/>
      <c r="E38" s="28"/>
      <c r="F38" s="28"/>
      <c r="G38" s="13">
        <f t="shared" ref="G38:Q38" si="15">IF(G$4="","",ABS(G33/G$4))</f>
        <v>0.20890317762054877</v>
      </c>
      <c r="H38" s="13">
        <f t="shared" si="15"/>
        <v>0.23844898273283535</v>
      </c>
      <c r="I38" s="13">
        <f t="shared" si="15"/>
        <v>0.20789611070514921</v>
      </c>
      <c r="J38" s="13">
        <f t="shared" si="15"/>
        <v>0.2091527537747688</v>
      </c>
      <c r="K38" s="13">
        <f t="shared" si="15"/>
        <v>0.1956916313538179</v>
      </c>
      <c r="L38" s="13">
        <f t="shared" si="15"/>
        <v>0.18019017201750345</v>
      </c>
      <c r="M38" s="13">
        <f t="shared" si="15"/>
        <v>0.18527327558810205</v>
      </c>
      <c r="N38" s="13">
        <f t="shared" si="15"/>
        <v>0.20191236303675442</v>
      </c>
      <c r="O38" s="13" t="str">
        <f t="shared" si="15"/>
        <v/>
      </c>
      <c r="P38" s="13" t="str">
        <f t="shared" si="15"/>
        <v/>
      </c>
      <c r="Q38" s="13" t="str">
        <f t="shared" si="15"/>
        <v/>
      </c>
    </row>
    <row r="39" spans="1:17" ht="15.75" customHeight="1" x14ac:dyDescent="0.35">
      <c r="A39" s="10"/>
      <c r="B39" s="28" t="str">
        <f>B34</f>
        <v>R&amp;D</v>
      </c>
      <c r="C39" s="24">
        <f>ABS(C34/$C$4)</f>
        <v>0</v>
      </c>
      <c r="D39" s="28"/>
      <c r="E39" s="28"/>
      <c r="F39" s="28"/>
      <c r="G39" s="13">
        <f t="shared" ref="G39:Q39" si="16">IF(G$4="","",ABS(G34/G$4))</f>
        <v>0</v>
      </c>
      <c r="H39" s="13">
        <f t="shared" si="16"/>
        <v>0</v>
      </c>
      <c r="I39" s="13">
        <f t="shared" si="16"/>
        <v>0</v>
      </c>
      <c r="J39" s="13">
        <f t="shared" si="16"/>
        <v>0</v>
      </c>
      <c r="K39" s="13">
        <f t="shared" si="16"/>
        <v>0</v>
      </c>
      <c r="L39" s="13">
        <f t="shared" si="16"/>
        <v>0</v>
      </c>
      <c r="M39" s="13">
        <f t="shared" si="16"/>
        <v>0</v>
      </c>
      <c r="N39" s="13">
        <f t="shared" si="16"/>
        <v>0</v>
      </c>
      <c r="O39" s="13" t="str">
        <f t="shared" si="16"/>
        <v/>
      </c>
      <c r="P39" s="13" t="str">
        <f t="shared" si="16"/>
        <v/>
      </c>
      <c r="Q39" s="13" t="str">
        <f t="shared" si="16"/>
        <v/>
      </c>
    </row>
    <row r="40" spans="1:17" ht="15.75" customHeight="1" x14ac:dyDescent="0.35">
      <c r="A40" s="10"/>
      <c r="B40" s="80" t="s">
        <v>59</v>
      </c>
      <c r="C40" s="81">
        <f>ABS(C35/$C$4)</f>
        <v>0.22325333943105161</v>
      </c>
      <c r="G40" s="31">
        <f t="shared" ref="G40:Q40" si="17">IF(G$4="","",ABS(G35/G$4))</f>
        <v>0.20890317762054877</v>
      </c>
      <c r="H40" s="31">
        <f t="shared" si="17"/>
        <v>0.23844898273283535</v>
      </c>
      <c r="I40" s="31">
        <f t="shared" si="17"/>
        <v>0.20789611070514921</v>
      </c>
      <c r="J40" s="31">
        <f t="shared" si="17"/>
        <v>0.2091527537747688</v>
      </c>
      <c r="K40" s="31">
        <f t="shared" si="17"/>
        <v>0.1956916313538179</v>
      </c>
      <c r="L40" s="31">
        <f t="shared" si="17"/>
        <v>0.18019017201750345</v>
      </c>
      <c r="M40" s="31">
        <f t="shared" si="17"/>
        <v>0.18527327558810205</v>
      </c>
      <c r="N40" s="31">
        <f t="shared" si="17"/>
        <v>0.20191236303675442</v>
      </c>
      <c r="O40" s="31" t="str">
        <f t="shared" si="17"/>
        <v/>
      </c>
      <c r="P40" s="31" t="str">
        <f t="shared" si="17"/>
        <v/>
      </c>
      <c r="Q40" s="31" t="str">
        <f t="shared" si="17"/>
        <v/>
      </c>
    </row>
    <row r="41" spans="1:17" ht="15.75" customHeight="1" x14ac:dyDescent="0.35">
      <c r="A41" s="10"/>
    </row>
    <row r="42" spans="1:17" ht="15.75" customHeight="1" x14ac:dyDescent="0.35">
      <c r="A42" s="10"/>
      <c r="B42" s="70" t="s">
        <v>325</v>
      </c>
    </row>
    <row r="43" spans="1:17" ht="15.75" customHeight="1" x14ac:dyDescent="0.35">
      <c r="A43" s="10"/>
      <c r="B43" s="28" t="s">
        <v>282</v>
      </c>
      <c r="C43" s="69">
        <v>0.23</v>
      </c>
      <c r="D43" s="28"/>
      <c r="E43" s="77" t="s">
        <v>137</v>
      </c>
      <c r="F43" s="28"/>
      <c r="G43" s="6" t="e">
        <f t="shared" ref="G43:Q43" si="18">IF(G$4="","",-G14/G16)</f>
        <v>#DIV/0!</v>
      </c>
      <c r="H43" s="6">
        <f t="shared" si="18"/>
        <v>0</v>
      </c>
      <c r="I43" s="6">
        <f t="shared" si="18"/>
        <v>0</v>
      </c>
      <c r="J43" s="6" t="e">
        <f t="shared" si="18"/>
        <v>#DIV/0!</v>
      </c>
      <c r="K43" s="6" t="e">
        <f t="shared" si="18"/>
        <v>#DIV/0!</v>
      </c>
      <c r="L43" s="6" t="e">
        <f t="shared" si="18"/>
        <v>#DIV/0!</v>
      </c>
      <c r="M43" s="6">
        <f t="shared" si="18"/>
        <v>0</v>
      </c>
      <c r="N43" s="6">
        <f t="shared" si="18"/>
        <v>0</v>
      </c>
      <c r="O43" s="6" t="str">
        <f t="shared" si="18"/>
        <v/>
      </c>
      <c r="P43" s="6" t="str">
        <f t="shared" si="18"/>
        <v/>
      </c>
      <c r="Q43" s="6" t="str">
        <f t="shared" si="18"/>
        <v/>
      </c>
    </row>
    <row r="44" spans="1:17" ht="15.75" customHeight="1" x14ac:dyDescent="0.35">
      <c r="A44" s="10"/>
    </row>
    <row r="45" spans="1:17" ht="15.75" customHeight="1" x14ac:dyDescent="0.5">
      <c r="A45" s="10"/>
      <c r="B45" s="59" t="s">
        <v>326</v>
      </c>
      <c r="C45" s="59"/>
      <c r="D45" s="61"/>
      <c r="E45" s="72" t="s">
        <v>117</v>
      </c>
      <c r="F45" s="61"/>
      <c r="G45" s="38"/>
      <c r="H45" s="38"/>
      <c r="I45" s="38"/>
      <c r="J45" s="38"/>
      <c r="K45" s="38"/>
      <c r="L45" s="38"/>
      <c r="M45" s="38"/>
      <c r="N45" s="38"/>
      <c r="O45" s="38"/>
      <c r="P45" s="38"/>
      <c r="Q45" s="38"/>
    </row>
    <row r="46" spans="1:17" ht="15.75" customHeight="1" x14ac:dyDescent="0.35">
      <c r="A46" s="10"/>
      <c r="B46" s="70" t="s">
        <v>118</v>
      </c>
    </row>
    <row r="47" spans="1:17" ht="15.75" customHeight="1" x14ac:dyDescent="0.35">
      <c r="A47" s="10"/>
      <c r="B47" s="2" t="s">
        <v>51</v>
      </c>
      <c r="C47" s="227">
        <f>-BS!G31*Normalized_FCF!C53</f>
        <v>-129899.00000000001</v>
      </c>
      <c r="G47" s="227">
        <f>Data!C51</f>
        <v>-129899</v>
      </c>
      <c r="H47" s="227">
        <f>Data!D51</f>
        <v>-81860</v>
      </c>
      <c r="I47" s="227">
        <f>Data!E51</f>
        <v>-60486</v>
      </c>
      <c r="J47" s="227">
        <f>Data!F51</f>
        <v>-76137</v>
      </c>
      <c r="K47" s="227">
        <f>Data!G51</f>
        <v>-89162</v>
      </c>
      <c r="L47" s="227">
        <f>Data!H51</f>
        <v>-36991</v>
      </c>
      <c r="M47" s="227">
        <f>Data!I51</f>
        <v>-243.7</v>
      </c>
      <c r="N47" s="227">
        <f>Data!J51</f>
        <v>-236.6</v>
      </c>
      <c r="O47" s="227" t="str">
        <f>Data!K51</f>
        <v/>
      </c>
      <c r="P47" s="227" t="str">
        <f>Data!L51</f>
        <v/>
      </c>
      <c r="Q47" s="227" t="str">
        <f>Data!M51</f>
        <v/>
      </c>
    </row>
    <row r="48" spans="1:17" ht="15.75" customHeight="1" x14ac:dyDescent="0.35">
      <c r="A48" s="10"/>
      <c r="B48" s="2" t="s">
        <v>125</v>
      </c>
      <c r="C48" s="227">
        <f>BS!$C$65*C52</f>
        <v>115.179</v>
      </c>
      <c r="G48" s="227">
        <f>Data!C52</f>
        <v>183.1</v>
      </c>
      <c r="H48" s="227">
        <f>Data!D52</f>
        <v>227.8</v>
      </c>
      <c r="I48" s="227">
        <f>Data!E52</f>
        <v>0</v>
      </c>
      <c r="J48" s="227">
        <f>Data!F52</f>
        <v>0</v>
      </c>
      <c r="K48" s="227">
        <f>Data!G52</f>
        <v>0</v>
      </c>
      <c r="L48" s="227">
        <f>Data!H52</f>
        <v>0</v>
      </c>
      <c r="M48" s="227">
        <f>Data!I52</f>
        <v>0</v>
      </c>
      <c r="N48" s="227">
        <f>Data!J52</f>
        <v>0</v>
      </c>
      <c r="O48" s="227" t="str">
        <f>Data!K52</f>
        <v/>
      </c>
      <c r="P48" s="227" t="str">
        <f>Data!L52</f>
        <v/>
      </c>
      <c r="Q48" s="227" t="str">
        <f>Data!M52</f>
        <v/>
      </c>
    </row>
    <row r="49" spans="1:17" ht="15.75" customHeight="1" x14ac:dyDescent="0.35">
      <c r="A49" s="10"/>
      <c r="B49" s="80" t="s">
        <v>126</v>
      </c>
      <c r="C49" s="217">
        <f>C47+C48</f>
        <v>-129783.82100000001</v>
      </c>
      <c r="G49" s="217">
        <f t="shared" ref="G49:Q49" si="19">IF(G4="","",G47+G48)</f>
        <v>-129715.9</v>
      </c>
      <c r="H49" s="217">
        <f t="shared" si="19"/>
        <v>-81632.2</v>
      </c>
      <c r="I49" s="217">
        <f t="shared" si="19"/>
        <v>-60486</v>
      </c>
      <c r="J49" s="217">
        <f t="shared" si="19"/>
        <v>-76137</v>
      </c>
      <c r="K49" s="217">
        <f t="shared" si="19"/>
        <v>-89162</v>
      </c>
      <c r="L49" s="217">
        <f t="shared" si="19"/>
        <v>-36991</v>
      </c>
      <c r="M49" s="217">
        <f t="shared" si="19"/>
        <v>-243.7</v>
      </c>
      <c r="N49" s="217">
        <f t="shared" si="19"/>
        <v>-236.6</v>
      </c>
      <c r="O49" s="217" t="str">
        <f t="shared" si="19"/>
        <v/>
      </c>
      <c r="P49" s="217" t="str">
        <f t="shared" si="19"/>
        <v/>
      </c>
      <c r="Q49" s="217" t="str">
        <f t="shared" si="19"/>
        <v/>
      </c>
    </row>
    <row r="50" spans="1:17" ht="15.75" customHeight="1" x14ac:dyDescent="0.35">
      <c r="A50" s="10"/>
    </row>
    <row r="51" spans="1:17" ht="15.75" customHeight="1" x14ac:dyDescent="0.35">
      <c r="A51" s="10"/>
      <c r="B51" s="82" t="s">
        <v>262</v>
      </c>
      <c r="G51" s="115" t="s">
        <v>336</v>
      </c>
    </row>
    <row r="52" spans="1:17" ht="15.75" customHeight="1" x14ac:dyDescent="0.35">
      <c r="A52" s="10"/>
      <c r="B52" s="8" t="s">
        <v>155</v>
      </c>
      <c r="C52" s="100">
        <v>0.03</v>
      </c>
      <c r="E52" s="77" t="s">
        <v>141</v>
      </c>
      <c r="G52" s="6">
        <f>IF(Normalized_FCF!G4="","",Normalized_FCF!G48/BS!$C$65)</f>
        <v>4.7690985335868512E-2</v>
      </c>
      <c r="H52" s="201"/>
      <c r="I52" s="201"/>
      <c r="J52" s="201"/>
      <c r="K52" s="201"/>
      <c r="L52" s="201"/>
      <c r="M52" s="201"/>
      <c r="N52" s="201"/>
      <c r="O52" s="201"/>
      <c r="P52" s="201"/>
      <c r="Q52" s="201"/>
    </row>
    <row r="53" spans="1:17" ht="15.75" customHeight="1" x14ac:dyDescent="0.35">
      <c r="A53" s="10"/>
      <c r="B53" s="8" t="s">
        <v>154</v>
      </c>
      <c r="C53" s="95">
        <f>Normalized_FCF!G53</f>
        <v>4.3824390704704337</v>
      </c>
      <c r="E53" s="77" t="s">
        <v>140</v>
      </c>
      <c r="G53" s="24">
        <f>IFERROR(ABS(Normalized_FCF!G47/BS!$G$31),0)</f>
        <v>4.3824390704704337</v>
      </c>
      <c r="H53" s="201"/>
      <c r="I53" s="201"/>
      <c r="J53" s="201"/>
      <c r="K53" s="201"/>
      <c r="L53" s="201"/>
      <c r="M53" s="201"/>
      <c r="N53" s="201"/>
      <c r="O53" s="201"/>
      <c r="P53" s="201"/>
      <c r="Q53" s="201"/>
    </row>
    <row r="54" spans="1:17" ht="15.75" customHeight="1" x14ac:dyDescent="0.35">
      <c r="A54" s="10"/>
      <c r="B54" s="27" t="s">
        <v>157</v>
      </c>
      <c r="C54" s="44">
        <f>-C8/C47</f>
        <v>4.3667217547931712</v>
      </c>
      <c r="G54" s="44">
        <f>IF(G4="","",-G8/G47)</f>
        <v>10.609288755109739</v>
      </c>
      <c r="H54" s="44">
        <f t="shared" ref="H54:Q54" si="20">IF(H4="","",-H8/H47)</f>
        <v>-1.1959442951380406</v>
      </c>
      <c r="I54" s="44">
        <f t="shared" si="20"/>
        <v>16.284049201468108</v>
      </c>
      <c r="J54" s="44">
        <f t="shared" si="20"/>
        <v>12.912906996598238</v>
      </c>
      <c r="K54" s="44">
        <f t="shared" si="20"/>
        <v>14.654729593324511</v>
      </c>
      <c r="L54" s="44">
        <f t="shared" si="20"/>
        <v>33.586980616906814</v>
      </c>
      <c r="M54" s="44">
        <f t="shared" si="20"/>
        <v>21.556421830119003</v>
      </c>
      <c r="N54" s="44">
        <f t="shared" si="20"/>
        <v>19.508030431107347</v>
      </c>
      <c r="O54" s="44" t="str">
        <f t="shared" si="20"/>
        <v/>
      </c>
      <c r="P54" s="44" t="str">
        <f t="shared" si="20"/>
        <v/>
      </c>
      <c r="Q54" s="44" t="str">
        <f t="shared" si="20"/>
        <v/>
      </c>
    </row>
    <row r="55" spans="1:17" ht="15.75" customHeight="1" x14ac:dyDescent="0.35">
      <c r="A55" s="10"/>
    </row>
    <row r="56" spans="1:17" ht="15.75" customHeight="1" x14ac:dyDescent="0.35">
      <c r="A56" s="10"/>
      <c r="B56" s="70" t="s">
        <v>278</v>
      </c>
      <c r="G56" s="115" t="s">
        <v>336</v>
      </c>
    </row>
    <row r="57" spans="1:17" ht="15.75" customHeight="1" x14ac:dyDescent="0.35">
      <c r="A57" s="10"/>
      <c r="B57" s="42" t="s">
        <v>277</v>
      </c>
      <c r="C57" s="227">
        <f>BS!$C72*C65</f>
        <v>0</v>
      </c>
      <c r="G57" s="227">
        <f>Data!C56</f>
        <v>0</v>
      </c>
      <c r="H57" s="227">
        <f>Data!D56</f>
        <v>0</v>
      </c>
      <c r="I57" s="227">
        <f>Data!E56</f>
        <v>0</v>
      </c>
      <c r="J57" s="227">
        <f>Data!F56</f>
        <v>0</v>
      </c>
      <c r="K57" s="227">
        <f>Data!G56</f>
        <v>0</v>
      </c>
      <c r="L57" s="227">
        <f>Data!H56</f>
        <v>0</v>
      </c>
      <c r="M57" s="227">
        <f>Data!I56</f>
        <v>0</v>
      </c>
      <c r="N57" s="227">
        <f>Data!J56</f>
        <v>0</v>
      </c>
      <c r="O57" s="227" t="str">
        <f>Data!K56</f>
        <v/>
      </c>
      <c r="P57" s="227" t="str">
        <f>Data!L56</f>
        <v/>
      </c>
      <c r="Q57" s="227" t="str">
        <f>Data!M56</f>
        <v/>
      </c>
    </row>
    <row r="58" spans="1:17" ht="15.75" customHeight="1" x14ac:dyDescent="0.35">
      <c r="A58" s="10"/>
      <c r="B58" s="42" t="s">
        <v>266</v>
      </c>
      <c r="C58" s="227">
        <f>BS!$C67*C66</f>
        <v>0</v>
      </c>
      <c r="G58" s="227">
        <f>Data!C55</f>
        <v>0</v>
      </c>
      <c r="H58" s="227">
        <f>Data!D55</f>
        <v>0</v>
      </c>
      <c r="I58" s="227">
        <f>Data!E55</f>
        <v>0</v>
      </c>
      <c r="J58" s="227">
        <f>Data!F55</f>
        <v>0</v>
      </c>
      <c r="K58" s="227">
        <f>Data!G55</f>
        <v>0</v>
      </c>
      <c r="L58" s="227">
        <f>Data!H55</f>
        <v>0</v>
      </c>
      <c r="M58" s="227">
        <f>Data!I55</f>
        <v>0</v>
      </c>
      <c r="N58" s="227">
        <f>Data!J55</f>
        <v>0</v>
      </c>
      <c r="O58" s="227" t="str">
        <f>Data!K55</f>
        <v/>
      </c>
      <c r="P58" s="227" t="str">
        <f>Data!L55</f>
        <v/>
      </c>
      <c r="Q58" s="227" t="str">
        <f>Data!M55</f>
        <v/>
      </c>
    </row>
    <row r="59" spans="1:17" ht="15.75" customHeight="1" x14ac:dyDescent="0.35">
      <c r="A59" s="10"/>
      <c r="B59" s="42" t="s">
        <v>265</v>
      </c>
      <c r="C59" s="227">
        <f>BS!$C74*C67</f>
        <v>0</v>
      </c>
      <c r="G59" s="227">
        <f>Data!C57</f>
        <v>0</v>
      </c>
      <c r="H59" s="227">
        <f>Data!D57</f>
        <v>0</v>
      </c>
      <c r="I59" s="227">
        <f>Data!E57</f>
        <v>0</v>
      </c>
      <c r="J59" s="227">
        <f>Data!F57</f>
        <v>0</v>
      </c>
      <c r="K59" s="227">
        <f>Data!G57</f>
        <v>0</v>
      </c>
      <c r="L59" s="227">
        <f>Data!H57</f>
        <v>0</v>
      </c>
      <c r="M59" s="227">
        <f>Data!I57</f>
        <v>0</v>
      </c>
      <c r="N59" s="227">
        <f>Data!J57</f>
        <v>0</v>
      </c>
      <c r="O59" s="227" t="str">
        <f>Data!K57</f>
        <v/>
      </c>
      <c r="P59" s="227" t="str">
        <f>Data!L57</f>
        <v/>
      </c>
      <c r="Q59" s="227" t="str">
        <f>Data!M57</f>
        <v/>
      </c>
    </row>
    <row r="60" spans="1:17" ht="15.75" customHeight="1" x14ac:dyDescent="0.35">
      <c r="A60" s="10"/>
      <c r="B60" s="32" t="s">
        <v>310</v>
      </c>
      <c r="C60" s="217">
        <f>SUM(C57:C59)</f>
        <v>0</v>
      </c>
      <c r="G60" s="217">
        <f t="shared" ref="G60:Q60" si="21">IF(G4="","",SUM(G57:G59))</f>
        <v>0</v>
      </c>
      <c r="H60" s="217">
        <f t="shared" si="21"/>
        <v>0</v>
      </c>
      <c r="I60" s="217">
        <f t="shared" si="21"/>
        <v>0</v>
      </c>
      <c r="J60" s="217">
        <f t="shared" si="21"/>
        <v>0</v>
      </c>
      <c r="K60" s="217">
        <f t="shared" si="21"/>
        <v>0</v>
      </c>
      <c r="L60" s="217">
        <f t="shared" si="21"/>
        <v>0</v>
      </c>
      <c r="M60" s="217">
        <f t="shared" si="21"/>
        <v>0</v>
      </c>
      <c r="N60" s="217">
        <f t="shared" si="21"/>
        <v>0</v>
      </c>
      <c r="O60" s="217" t="str">
        <f t="shared" si="21"/>
        <v/>
      </c>
      <c r="P60" s="217" t="str">
        <f t="shared" si="21"/>
        <v/>
      </c>
      <c r="Q60" s="217" t="str">
        <f t="shared" si="21"/>
        <v/>
      </c>
    </row>
    <row r="61" spans="1:17" ht="15.75" customHeight="1" x14ac:dyDescent="0.35">
      <c r="A61" s="10"/>
      <c r="B61" s="42" t="s">
        <v>267</v>
      </c>
      <c r="C61" s="234">
        <v>0</v>
      </c>
      <c r="E61" s="74" t="s">
        <v>311</v>
      </c>
      <c r="G61" s="227">
        <f>Data!C58</f>
        <v>-1248420.1000000001</v>
      </c>
      <c r="H61" s="227">
        <f>Data!D58</f>
        <v>168928.2</v>
      </c>
      <c r="I61" s="227">
        <f>Data!E58</f>
        <v>-927959</v>
      </c>
      <c r="J61" s="227">
        <f>Data!F58</f>
        <v>-907013</v>
      </c>
      <c r="K61" s="227">
        <f>Data!G58</f>
        <v>-1217483</v>
      </c>
      <c r="L61" s="227">
        <f>Data!H58</f>
        <v>-1205425</v>
      </c>
      <c r="M61" s="227">
        <f>Data!I58</f>
        <v>-4901.2000000000007</v>
      </c>
      <c r="N61" s="227">
        <f>Data!J58</f>
        <v>-4283.1999999999989</v>
      </c>
      <c r="O61" s="227" t="str">
        <f>Data!K58</f>
        <v/>
      </c>
      <c r="P61" s="227" t="str">
        <f>Data!L58</f>
        <v/>
      </c>
      <c r="Q61" s="227" t="str">
        <f>Data!M58</f>
        <v/>
      </c>
    </row>
    <row r="62" spans="1:17" ht="15.75" customHeight="1" x14ac:dyDescent="0.35">
      <c r="A62" s="10"/>
      <c r="B62" s="32" t="s">
        <v>312</v>
      </c>
      <c r="C62" s="217">
        <f>C60+C61</f>
        <v>0</v>
      </c>
      <c r="G62" s="217">
        <f t="shared" ref="G62:Q62" si="22">IF(G4="","",G60+G61)</f>
        <v>-1248420.1000000001</v>
      </c>
      <c r="H62" s="217">
        <f t="shared" si="22"/>
        <v>168928.2</v>
      </c>
      <c r="I62" s="217">
        <f t="shared" si="22"/>
        <v>-927959</v>
      </c>
      <c r="J62" s="217">
        <f t="shared" si="22"/>
        <v>-907013</v>
      </c>
      <c r="K62" s="217">
        <f t="shared" si="22"/>
        <v>-1217483</v>
      </c>
      <c r="L62" s="217">
        <f t="shared" si="22"/>
        <v>-1205425</v>
      </c>
      <c r="M62" s="217">
        <f t="shared" si="22"/>
        <v>-4901.2000000000007</v>
      </c>
      <c r="N62" s="217">
        <f t="shared" si="22"/>
        <v>-4283.1999999999989</v>
      </c>
      <c r="O62" s="217" t="str">
        <f t="shared" si="22"/>
        <v/>
      </c>
      <c r="P62" s="217" t="str">
        <f t="shared" si="22"/>
        <v/>
      </c>
      <c r="Q62" s="217" t="str">
        <f t="shared" si="22"/>
        <v/>
      </c>
    </row>
    <row r="63" spans="1:17" ht="15.75" customHeight="1" x14ac:dyDescent="0.35">
      <c r="A63" s="10"/>
    </row>
    <row r="64" spans="1:17" ht="15.75" customHeight="1" x14ac:dyDescent="0.35">
      <c r="A64" s="10"/>
      <c r="B64" s="114" t="s">
        <v>279</v>
      </c>
      <c r="G64" s="115" t="s">
        <v>336</v>
      </c>
    </row>
    <row r="65" spans="1:17" ht="15.75" customHeight="1" x14ac:dyDescent="0.35">
      <c r="A65" s="10"/>
      <c r="B65" s="42" t="s">
        <v>277</v>
      </c>
      <c r="C65" s="210">
        <f>G65</f>
        <v>0</v>
      </c>
      <c r="G65" s="24">
        <f>IFERROR(G57/BS!$C$66,0)</f>
        <v>0</v>
      </c>
      <c r="H65" s="209"/>
      <c r="I65" s="209"/>
      <c r="J65" s="209"/>
      <c r="K65" s="209"/>
      <c r="L65" s="209"/>
      <c r="M65" s="209"/>
      <c r="N65" s="209"/>
      <c r="O65" s="209"/>
      <c r="P65" s="209"/>
      <c r="Q65" s="209"/>
    </row>
    <row r="66" spans="1:17" ht="15.75" customHeight="1" x14ac:dyDescent="0.35">
      <c r="A66" s="10"/>
      <c r="B66" s="125" t="s">
        <v>264</v>
      </c>
      <c r="C66" s="210">
        <f>G66</f>
        <v>0</v>
      </c>
      <c r="G66" s="24">
        <f>IFERROR(G58/BS!$C$67,0)</f>
        <v>0</v>
      </c>
      <c r="H66" s="209"/>
      <c r="I66" s="209"/>
      <c r="J66" s="209"/>
      <c r="K66" s="209"/>
      <c r="L66" s="209"/>
      <c r="M66" s="209"/>
      <c r="N66" s="209"/>
      <c r="O66" s="209"/>
      <c r="P66" s="209"/>
      <c r="Q66" s="209"/>
    </row>
    <row r="67" spans="1:17" ht="15.75" customHeight="1" x14ac:dyDescent="0.35">
      <c r="A67" s="10"/>
      <c r="B67" s="125" t="s">
        <v>265</v>
      </c>
      <c r="C67" s="210">
        <f>G67</f>
        <v>0</v>
      </c>
      <c r="G67" s="24">
        <f>IFERROR(G59/BS!$C$74,0)</f>
        <v>0</v>
      </c>
      <c r="H67" s="209"/>
      <c r="I67" s="209"/>
      <c r="J67" s="209"/>
      <c r="K67" s="209"/>
      <c r="L67" s="209"/>
      <c r="M67" s="209"/>
      <c r="N67" s="209"/>
      <c r="O67" s="209"/>
      <c r="P67" s="209"/>
      <c r="Q67" s="209"/>
    </row>
    <row r="68" spans="1:17" ht="15.75" customHeight="1" x14ac:dyDescent="0.35">
      <c r="A68" s="10"/>
      <c r="B68" s="32" t="s">
        <v>310</v>
      </c>
      <c r="C68" s="81">
        <f>C60/BS!C69</f>
        <v>0</v>
      </c>
      <c r="D68" s="9"/>
      <c r="E68" s="9"/>
      <c r="F68" s="9"/>
      <c r="G68" s="81">
        <f>G60/BS!C69</f>
        <v>0</v>
      </c>
      <c r="H68" s="209"/>
      <c r="I68" s="209"/>
      <c r="J68" s="209"/>
      <c r="K68" s="209"/>
      <c r="L68" s="209"/>
      <c r="M68" s="209"/>
      <c r="N68" s="209"/>
      <c r="O68" s="209"/>
      <c r="P68" s="209"/>
      <c r="Q68" s="209"/>
    </row>
    <row r="69" spans="1:17" ht="15.75" customHeight="1" x14ac:dyDescent="0.35">
      <c r="A69" s="10"/>
    </row>
    <row r="70" spans="1:17" ht="15.75" customHeight="1" x14ac:dyDescent="0.5">
      <c r="A70" s="10"/>
      <c r="B70" s="59" t="s">
        <v>329</v>
      </c>
      <c r="C70" s="59"/>
      <c r="D70" s="61"/>
      <c r="E70" s="72" t="s">
        <v>117</v>
      </c>
      <c r="F70" s="61"/>
      <c r="G70" s="38"/>
      <c r="H70" s="38"/>
      <c r="I70" s="38"/>
      <c r="J70" s="38"/>
      <c r="K70" s="38"/>
      <c r="L70" s="38"/>
      <c r="M70" s="38"/>
      <c r="N70" s="38"/>
      <c r="O70" s="38"/>
      <c r="P70" s="38"/>
      <c r="Q70" s="38"/>
    </row>
    <row r="71" spans="1:17" ht="15.75" customHeight="1" x14ac:dyDescent="0.35">
      <c r="A71" s="10"/>
      <c r="B71" s="82" t="s">
        <v>333</v>
      </c>
      <c r="C71" s="68"/>
      <c r="D71" s="28"/>
      <c r="E71" s="77"/>
      <c r="F71" s="28"/>
      <c r="G71" s="115"/>
      <c r="H71" s="12"/>
      <c r="I71" s="12"/>
      <c r="J71" s="12"/>
      <c r="K71" s="12"/>
      <c r="L71" s="12"/>
      <c r="M71" s="12"/>
      <c r="N71" s="12"/>
      <c r="O71" s="12"/>
      <c r="P71" s="12"/>
      <c r="Q71" s="12"/>
    </row>
    <row r="72" spans="1:17" ht="15.75" customHeight="1" x14ac:dyDescent="0.35">
      <c r="A72" s="10"/>
      <c r="B72" s="2" t="s">
        <v>60</v>
      </c>
      <c r="C72" s="88">
        <f>ABS(C5/C$4)</f>
        <v>0.75125413592636114</v>
      </c>
      <c r="D72" s="28"/>
      <c r="E72" s="77"/>
      <c r="F72" s="28"/>
      <c r="G72" s="6">
        <f t="shared" ref="G72:Q72" si="23">IF(G$4="","",ABS(G5/G$4))</f>
        <v>0.73600077942413045</v>
      </c>
      <c r="H72" s="6">
        <f t="shared" si="23"/>
        <v>0.76650749242859184</v>
      </c>
      <c r="I72" s="6">
        <f t="shared" si="23"/>
        <v>0.74730778437024314</v>
      </c>
      <c r="J72" s="6">
        <f t="shared" si="23"/>
        <v>0.72529316639307739</v>
      </c>
      <c r="K72" s="6">
        <f t="shared" si="23"/>
        <v>0.73063739715540388</v>
      </c>
      <c r="L72" s="6">
        <f t="shared" si="23"/>
        <v>0.75374615648274401</v>
      </c>
      <c r="M72" s="6">
        <f t="shared" si="23"/>
        <v>0.72592314610084452</v>
      </c>
      <c r="N72" s="6">
        <f t="shared" si="23"/>
        <v>0.70801924071381883</v>
      </c>
      <c r="O72" s="6" t="str">
        <f t="shared" si="23"/>
        <v/>
      </c>
      <c r="P72" s="6" t="str">
        <f t="shared" si="23"/>
        <v/>
      </c>
      <c r="Q72" s="6" t="str">
        <f t="shared" si="23"/>
        <v/>
      </c>
    </row>
    <row r="73" spans="1:17" ht="15.75" customHeight="1" x14ac:dyDescent="0.35">
      <c r="A73" s="10"/>
      <c r="B73" s="32" t="s">
        <v>62</v>
      </c>
      <c r="C73" s="89">
        <f>ABS(C6/C$4)</f>
        <v>0.24874586407363886</v>
      </c>
      <c r="D73" s="28"/>
      <c r="E73" s="77"/>
      <c r="F73" s="28"/>
      <c r="G73" s="71">
        <f t="shared" ref="G73:Q73" si="24">IF(G$4="","",ABS(G6/G$4))</f>
        <v>0.26399922057586955</v>
      </c>
      <c r="H73" s="71">
        <f t="shared" si="24"/>
        <v>0.23349250757140819</v>
      </c>
      <c r="I73" s="71">
        <f t="shared" si="24"/>
        <v>0.2526922156297568</v>
      </c>
      <c r="J73" s="71">
        <f t="shared" si="24"/>
        <v>0.27470683360692261</v>
      </c>
      <c r="K73" s="71">
        <f t="shared" si="24"/>
        <v>0.26936260284459612</v>
      </c>
      <c r="L73" s="71">
        <f t="shared" si="24"/>
        <v>0.24625384351725604</v>
      </c>
      <c r="M73" s="71">
        <f t="shared" si="24"/>
        <v>0.27407685389915548</v>
      </c>
      <c r="N73" s="71">
        <f t="shared" si="24"/>
        <v>0.29198075928618117</v>
      </c>
      <c r="O73" s="71" t="str">
        <f t="shared" si="24"/>
        <v/>
      </c>
      <c r="P73" s="71" t="str">
        <f t="shared" si="24"/>
        <v/>
      </c>
      <c r="Q73" s="71" t="str">
        <f t="shared" si="24"/>
        <v/>
      </c>
    </row>
    <row r="74" spans="1:17" ht="15.75" customHeight="1" x14ac:dyDescent="0.35">
      <c r="A74" s="10"/>
      <c r="B74" s="8" t="s">
        <v>59</v>
      </c>
      <c r="C74" s="88">
        <f>ABS(C7/C$4)</f>
        <v>0.22325333943105161</v>
      </c>
      <c r="D74" s="28"/>
      <c r="E74" s="77"/>
      <c r="F74" s="28"/>
      <c r="G74" s="6">
        <f t="shared" ref="G74:Q74" si="25">IF(G$4="","",ABS(G7/G$4))</f>
        <v>0.20890317762054877</v>
      </c>
      <c r="H74" s="6">
        <f t="shared" si="25"/>
        <v>0.23844898273283535</v>
      </c>
      <c r="I74" s="6">
        <f t="shared" si="25"/>
        <v>0.20789611070514921</v>
      </c>
      <c r="J74" s="6">
        <f t="shared" si="25"/>
        <v>0.2091527537747688</v>
      </c>
      <c r="K74" s="6">
        <f t="shared" si="25"/>
        <v>0.1956916313538179</v>
      </c>
      <c r="L74" s="6">
        <f t="shared" si="25"/>
        <v>0.18019017201750345</v>
      </c>
      <c r="M74" s="6">
        <f t="shared" si="25"/>
        <v>0.18527327558810205</v>
      </c>
      <c r="N74" s="6">
        <f t="shared" si="25"/>
        <v>0.20191236303675442</v>
      </c>
      <c r="O74" s="6" t="str">
        <f t="shared" si="25"/>
        <v/>
      </c>
      <c r="P74" s="6" t="str">
        <f t="shared" si="25"/>
        <v/>
      </c>
      <c r="Q74" s="6" t="str">
        <f t="shared" si="25"/>
        <v/>
      </c>
    </row>
    <row r="75" spans="1:17" ht="15.75" customHeight="1" x14ac:dyDescent="0.35">
      <c r="A75" s="10"/>
      <c r="B75" s="30" t="s">
        <v>259</v>
      </c>
      <c r="C75" s="89">
        <f>ABS(C8/C$4)</f>
        <v>2.549252464258725E-2</v>
      </c>
      <c r="D75" s="28"/>
      <c r="E75" s="77"/>
      <c r="F75" s="28"/>
      <c r="G75" s="71">
        <f t="shared" ref="G75:Q75" si="26">IF(G$4="","",ABS(G8/G$4))</f>
        <v>5.5096042955320758E-2</v>
      </c>
      <c r="H75" s="71">
        <f t="shared" si="26"/>
        <v>4.9564751614271816E-3</v>
      </c>
      <c r="I75" s="71">
        <f t="shared" si="26"/>
        <v>4.4796104924607595E-2</v>
      </c>
      <c r="J75" s="71">
        <f t="shared" si="26"/>
        <v>6.5554079832153819E-2</v>
      </c>
      <c r="K75" s="71">
        <f t="shared" si="26"/>
        <v>7.3670971490778253E-2</v>
      </c>
      <c r="L75" s="71">
        <f t="shared" si="26"/>
        <v>6.6063671499752577E-2</v>
      </c>
      <c r="M75" s="71">
        <f t="shared" si="26"/>
        <v>8.8803578311053427E-2</v>
      </c>
      <c r="N75" s="71">
        <f t="shared" si="26"/>
        <v>9.0068396249426752E-2</v>
      </c>
      <c r="O75" s="71" t="str">
        <f t="shared" si="26"/>
        <v/>
      </c>
      <c r="P75" s="71" t="str">
        <f t="shared" si="26"/>
        <v/>
      </c>
      <c r="Q75" s="71" t="str">
        <f t="shared" si="26"/>
        <v/>
      </c>
    </row>
    <row r="76" spans="1:17" ht="15.75" customHeight="1" x14ac:dyDescent="0.35">
      <c r="A76" s="10"/>
      <c r="B76" s="2" t="s">
        <v>123</v>
      </c>
      <c r="C76" s="88">
        <f>ABS(C9/C$4)</f>
        <v>0</v>
      </c>
      <c r="D76" s="28"/>
      <c r="E76" s="77"/>
      <c r="F76" s="28"/>
      <c r="G76" s="6">
        <f t="shared" ref="G76:Q76" si="27">IF(G$4="","",G9/G$4)</f>
        <v>0</v>
      </c>
      <c r="H76" s="6">
        <f t="shared" si="27"/>
        <v>0</v>
      </c>
      <c r="I76" s="6">
        <f t="shared" si="27"/>
        <v>0</v>
      </c>
      <c r="J76" s="6">
        <f t="shared" si="27"/>
        <v>0</v>
      </c>
      <c r="K76" s="6">
        <f t="shared" si="27"/>
        <v>0</v>
      </c>
      <c r="L76" s="6">
        <f t="shared" si="27"/>
        <v>0</v>
      </c>
      <c r="M76" s="6">
        <f t="shared" si="27"/>
        <v>0</v>
      </c>
      <c r="N76" s="6">
        <f t="shared" si="27"/>
        <v>0</v>
      </c>
      <c r="O76" s="6" t="str">
        <f t="shared" si="27"/>
        <v/>
      </c>
      <c r="P76" s="6" t="str">
        <f t="shared" si="27"/>
        <v/>
      </c>
      <c r="Q76" s="6" t="str">
        <f t="shared" si="27"/>
        <v/>
      </c>
    </row>
    <row r="77" spans="1:17" ht="15.75" customHeight="1" x14ac:dyDescent="0.35">
      <c r="A77" s="10"/>
      <c r="B77" s="2" t="s">
        <v>147</v>
      </c>
      <c r="C77" s="101">
        <f>MAX(AVERAGE(G77:J77),C76)</f>
        <v>0</v>
      </c>
      <c r="D77" s="28"/>
      <c r="E77" s="74" t="s">
        <v>145</v>
      </c>
      <c r="F77" s="28"/>
      <c r="G77" s="6">
        <f t="shared" ref="G77:Q77" si="28">IF(G$4="","",-G10/G$4)</f>
        <v>0</v>
      </c>
      <c r="H77" s="6">
        <f t="shared" si="28"/>
        <v>0</v>
      </c>
      <c r="I77" s="6">
        <f t="shared" si="28"/>
        <v>0</v>
      </c>
      <c r="J77" s="6">
        <f t="shared" si="28"/>
        <v>0</v>
      </c>
      <c r="K77" s="6">
        <f t="shared" si="28"/>
        <v>0</v>
      </c>
      <c r="L77" s="6">
        <f t="shared" si="28"/>
        <v>0</v>
      </c>
      <c r="M77" s="6">
        <f t="shared" si="28"/>
        <v>0</v>
      </c>
      <c r="N77" s="6">
        <f t="shared" si="28"/>
        <v>0</v>
      </c>
      <c r="O77" s="6" t="str">
        <f t="shared" si="28"/>
        <v/>
      </c>
      <c r="P77" s="6" t="str">
        <f t="shared" si="28"/>
        <v/>
      </c>
      <c r="Q77" s="6" t="str">
        <f t="shared" si="28"/>
        <v/>
      </c>
    </row>
    <row r="78" spans="1:17" ht="15.75" customHeight="1" x14ac:dyDescent="0.35">
      <c r="A78" s="10"/>
      <c r="B78" s="32" t="s">
        <v>260</v>
      </c>
      <c r="C78" s="89">
        <f>ABS(C11/C$4)</f>
        <v>0</v>
      </c>
      <c r="D78" s="28"/>
      <c r="E78" s="77"/>
      <c r="F78" s="28"/>
      <c r="G78" s="71">
        <f t="shared" ref="G78:Q78" si="29">IF(G$4="","",G11/G$4)</f>
        <v>-4.9910173927599194E-2</v>
      </c>
      <c r="H78" s="71">
        <f t="shared" si="29"/>
        <v>8.5524864899346603E-3</v>
      </c>
      <c r="I78" s="71">
        <f t="shared" si="29"/>
        <v>-4.220382080612041E-2</v>
      </c>
      <c r="J78" s="71">
        <f t="shared" si="29"/>
        <v>-6.0477447602910371E-2</v>
      </c>
      <c r="K78" s="71">
        <f t="shared" si="29"/>
        <v>-6.8643859184022576E-2</v>
      </c>
      <c r="L78" s="71">
        <f t="shared" si="29"/>
        <v>-6.4096728646113099E-2</v>
      </c>
      <c r="M78" s="71">
        <f t="shared" si="29"/>
        <v>-8.2851559594566276E-2</v>
      </c>
      <c r="N78" s="71">
        <f t="shared" si="29"/>
        <v>-8.3581973051292294E-2</v>
      </c>
      <c r="O78" s="71" t="str">
        <f t="shared" si="29"/>
        <v/>
      </c>
      <c r="P78" s="71" t="str">
        <f t="shared" si="29"/>
        <v/>
      </c>
      <c r="Q78" s="71" t="str">
        <f t="shared" si="29"/>
        <v/>
      </c>
    </row>
    <row r="79" spans="1:17" ht="15.75" customHeight="1" x14ac:dyDescent="0.35">
      <c r="A79" s="10"/>
      <c r="B79" s="2" t="s">
        <v>126</v>
      </c>
      <c r="C79" s="88">
        <f>ABS(C12/C$4)</f>
        <v>5.8327327296556295E-3</v>
      </c>
      <c r="D79" s="28"/>
      <c r="E79" s="77"/>
      <c r="F79" s="28"/>
      <c r="G79" s="6">
        <f t="shared" ref="G79:Q79" si="30">IF(G$4="","",ABS(G12/G$4))</f>
        <v>5.185869027721569E-3</v>
      </c>
      <c r="H79" s="6">
        <f t="shared" si="30"/>
        <v>4.1328699864418379E-3</v>
      </c>
      <c r="I79" s="6">
        <f t="shared" si="30"/>
        <v>2.7509192812171647E-3</v>
      </c>
      <c r="J79" s="6">
        <f t="shared" si="30"/>
        <v>5.0766322292434473E-3</v>
      </c>
      <c r="K79" s="6">
        <f t="shared" si="30"/>
        <v>5.0271123067556758E-3</v>
      </c>
      <c r="L79" s="6">
        <f t="shared" si="30"/>
        <v>1.9669428536394796E-3</v>
      </c>
      <c r="M79" s="6">
        <f t="shared" si="30"/>
        <v>4.1195880750011828E-3</v>
      </c>
      <c r="N79" s="6">
        <f t="shared" si="30"/>
        <v>4.616990760164307E-3</v>
      </c>
      <c r="O79" s="6" t="str">
        <f t="shared" si="30"/>
        <v/>
      </c>
      <c r="P79" s="6" t="str">
        <f t="shared" si="30"/>
        <v/>
      </c>
      <c r="Q79" s="6" t="str">
        <f t="shared" si="30"/>
        <v/>
      </c>
    </row>
    <row r="80" spans="1:17" ht="15.75" customHeight="1" x14ac:dyDescent="0.35">
      <c r="A80" s="10"/>
      <c r="B80" s="80" t="s">
        <v>272</v>
      </c>
      <c r="C80" s="89">
        <f>C13/C4</f>
        <v>1.9659791912931622E-2</v>
      </c>
      <c r="D80" s="28"/>
      <c r="E80" s="77"/>
      <c r="F80" s="28"/>
      <c r="G80" s="71">
        <f>IF(G$4="","",G13/G$4)</f>
        <v>0</v>
      </c>
      <c r="H80" s="71">
        <f t="shared" ref="H80:Q80" si="31">IF(H$4="","",H13/H$4)</f>
        <v>-5.368586579343591E-4</v>
      </c>
      <c r="I80" s="71">
        <f t="shared" si="31"/>
        <v>-1.5863516272997835E-4</v>
      </c>
      <c r="J80" s="71">
        <f t="shared" si="31"/>
        <v>0</v>
      </c>
      <c r="K80" s="71">
        <f t="shared" si="31"/>
        <v>0</v>
      </c>
      <c r="L80" s="71">
        <f t="shared" si="31"/>
        <v>0</v>
      </c>
      <c r="M80" s="71">
        <f t="shared" si="31"/>
        <v>1.8324306414859656E-3</v>
      </c>
      <c r="N80" s="71">
        <f t="shared" si="31"/>
        <v>1.8694324379701563E-3</v>
      </c>
      <c r="O80" s="71" t="str">
        <f t="shared" si="31"/>
        <v/>
      </c>
      <c r="P80" s="71" t="str">
        <f t="shared" si="31"/>
        <v/>
      </c>
      <c r="Q80" s="71" t="str">
        <f t="shared" si="31"/>
        <v/>
      </c>
    </row>
    <row r="81" spans="1:17" ht="15.75" customHeight="1" x14ac:dyDescent="0.35">
      <c r="A81" s="10"/>
      <c r="B81" s="2" t="s">
        <v>121</v>
      </c>
      <c r="C81" s="88">
        <f>ABS(C14/C$4)</f>
        <v>4.521752139974273E-3</v>
      </c>
      <c r="D81" s="28"/>
      <c r="E81" s="77"/>
      <c r="F81" s="28"/>
      <c r="G81" s="6">
        <f t="shared" ref="G81:Q81" si="32">IF(G$4="","",ABS(G14/G$4))</f>
        <v>0</v>
      </c>
      <c r="H81" s="6">
        <f t="shared" si="32"/>
        <v>0</v>
      </c>
      <c r="I81" s="6">
        <f t="shared" si="32"/>
        <v>0</v>
      </c>
      <c r="J81" s="6">
        <f t="shared" si="32"/>
        <v>0</v>
      </c>
      <c r="K81" s="6">
        <f t="shared" si="32"/>
        <v>0</v>
      </c>
      <c r="L81" s="6">
        <f t="shared" si="32"/>
        <v>0</v>
      </c>
      <c r="M81" s="6">
        <f t="shared" si="32"/>
        <v>0</v>
      </c>
      <c r="N81" s="6">
        <f t="shared" si="32"/>
        <v>0</v>
      </c>
      <c r="O81" s="6" t="str">
        <f t="shared" si="32"/>
        <v/>
      </c>
      <c r="P81" s="6" t="str">
        <f t="shared" si="32"/>
        <v/>
      </c>
      <c r="Q81" s="6" t="str">
        <f t="shared" si="32"/>
        <v/>
      </c>
    </row>
    <row r="82" spans="1:17" ht="15.75" customHeight="1" x14ac:dyDescent="0.35">
      <c r="A82" s="10"/>
      <c r="B82" s="42" t="s">
        <v>58</v>
      </c>
      <c r="C82" s="101">
        <f>MIN(BS!D47,MAX(G82:K82))</f>
        <v>0</v>
      </c>
      <c r="D82" s="28"/>
      <c r="E82" s="77"/>
      <c r="F82" s="28"/>
      <c r="G82" s="6">
        <f t="shared" ref="G82:Q82" si="33">IF(G$4="","",-G15/G$4)</f>
        <v>0</v>
      </c>
      <c r="H82" s="6">
        <f t="shared" si="33"/>
        <v>0</v>
      </c>
      <c r="I82" s="6">
        <f t="shared" si="33"/>
        <v>0</v>
      </c>
      <c r="J82" s="6">
        <f t="shared" si="33"/>
        <v>0</v>
      </c>
      <c r="K82" s="6">
        <f t="shared" si="33"/>
        <v>0</v>
      </c>
      <c r="L82" s="6">
        <f t="shared" si="33"/>
        <v>0</v>
      </c>
      <c r="M82" s="6">
        <f t="shared" si="33"/>
        <v>0</v>
      </c>
      <c r="N82" s="6">
        <f t="shared" si="33"/>
        <v>0</v>
      </c>
      <c r="O82" s="6" t="str">
        <f t="shared" si="33"/>
        <v/>
      </c>
      <c r="P82" s="6" t="str">
        <f t="shared" si="33"/>
        <v/>
      </c>
      <c r="Q82" s="6" t="str">
        <f t="shared" si="33"/>
        <v/>
      </c>
    </row>
    <row r="83" spans="1:17" ht="15.75" customHeight="1" x14ac:dyDescent="0.35">
      <c r="A83" s="10"/>
      <c r="B83" s="43" t="s">
        <v>261</v>
      </c>
      <c r="C83" s="89">
        <f>ABS(C16/C$4)</f>
        <v>1.5138039772957348E-2</v>
      </c>
      <c r="D83" s="28"/>
      <c r="E83" s="77"/>
      <c r="F83" s="28"/>
      <c r="G83" s="71">
        <f t="shared" ref="G83:Q83" si="34">IF(G$4="","",ABS(G16/G$4))</f>
        <v>0</v>
      </c>
      <c r="H83" s="71">
        <f t="shared" si="34"/>
        <v>5.368586579343591E-4</v>
      </c>
      <c r="I83" s="71">
        <f t="shared" si="34"/>
        <v>1.5863516272997835E-4</v>
      </c>
      <c r="J83" s="71">
        <f t="shared" si="34"/>
        <v>0</v>
      </c>
      <c r="K83" s="71">
        <f t="shared" si="34"/>
        <v>0</v>
      </c>
      <c r="L83" s="71">
        <f t="shared" si="34"/>
        <v>0</v>
      </c>
      <c r="M83" s="71">
        <f t="shared" si="34"/>
        <v>1.8324306414859656E-3</v>
      </c>
      <c r="N83" s="71">
        <f t="shared" si="34"/>
        <v>1.8694324379701563E-3</v>
      </c>
      <c r="O83" s="71" t="str">
        <f t="shared" si="34"/>
        <v/>
      </c>
      <c r="P83" s="71" t="str">
        <f t="shared" si="34"/>
        <v/>
      </c>
      <c r="Q83" s="71" t="str">
        <f t="shared" si="34"/>
        <v/>
      </c>
    </row>
    <row r="84" spans="1:17" ht="15.75" customHeight="1" x14ac:dyDescent="0.35">
      <c r="A84" s="10"/>
      <c r="B84" s="28" t="s">
        <v>68</v>
      </c>
      <c r="C84" s="101">
        <f>MIN(AVERAGE(G84:J84)/2,0)</f>
        <v>0</v>
      </c>
      <c r="D84" s="28"/>
      <c r="E84" s="76" t="str">
        <f>E17</f>
        <v>WCInv is excluded</v>
      </c>
      <c r="F84" s="28"/>
      <c r="G84" s="6">
        <f t="shared" ref="G84:Q84" si="35">IF(G$4="","",-G17/G$4)</f>
        <v>0</v>
      </c>
      <c r="H84" s="6">
        <f t="shared" si="35"/>
        <v>0</v>
      </c>
      <c r="I84" s="6">
        <f t="shared" si="35"/>
        <v>0</v>
      </c>
      <c r="J84" s="6">
        <f t="shared" si="35"/>
        <v>0</v>
      </c>
      <c r="K84" s="6">
        <f t="shared" si="35"/>
        <v>0</v>
      </c>
      <c r="L84" s="6">
        <f t="shared" si="35"/>
        <v>0</v>
      </c>
      <c r="M84" s="6">
        <f t="shared" si="35"/>
        <v>0</v>
      </c>
      <c r="N84" s="6">
        <f t="shared" si="35"/>
        <v>0</v>
      </c>
      <c r="O84" s="6" t="str">
        <f t="shared" si="35"/>
        <v/>
      </c>
      <c r="P84" s="6" t="str">
        <f t="shared" si="35"/>
        <v/>
      </c>
      <c r="Q84" s="6" t="str">
        <f t="shared" si="35"/>
        <v/>
      </c>
    </row>
    <row r="85" spans="1:17" ht="15.75" customHeight="1" x14ac:dyDescent="0.35">
      <c r="A85" s="10"/>
      <c r="B85" s="8" t="s">
        <v>171</v>
      </c>
      <c r="C85" s="101">
        <v>0</v>
      </c>
      <c r="E85" s="76" t="str">
        <f>E18</f>
        <v>Net borrowing is excluded</v>
      </c>
      <c r="G85" s="201"/>
      <c r="H85" s="201"/>
      <c r="I85" s="201"/>
      <c r="J85" s="201"/>
      <c r="K85" s="201"/>
      <c r="L85" s="201"/>
      <c r="M85" s="201"/>
      <c r="N85" s="201"/>
      <c r="O85" s="201"/>
      <c r="P85" s="201"/>
      <c r="Q85" s="201"/>
    </row>
    <row r="86" spans="1:17" ht="15.75" customHeight="1" x14ac:dyDescent="0.35">
      <c r="A86" s="10"/>
      <c r="B86" s="32" t="s">
        <v>233</v>
      </c>
      <c r="C86" s="89">
        <f>ABS(C19/C$4)</f>
        <v>1.5138039772957348E-2</v>
      </c>
      <c r="D86" s="86"/>
      <c r="E86" s="77"/>
      <c r="F86" s="86"/>
      <c r="G86" s="71">
        <f t="shared" ref="G86:Q86" si="36">IF(G$4="","",ABS(G19/G$4))</f>
        <v>0</v>
      </c>
      <c r="H86" s="71">
        <f t="shared" si="36"/>
        <v>5.368586579343591E-4</v>
      </c>
      <c r="I86" s="71">
        <f t="shared" si="36"/>
        <v>1.5863516272997835E-4</v>
      </c>
      <c r="J86" s="71">
        <f t="shared" si="36"/>
        <v>0</v>
      </c>
      <c r="K86" s="71">
        <f t="shared" si="36"/>
        <v>0</v>
      </c>
      <c r="L86" s="71">
        <f t="shared" si="36"/>
        <v>0</v>
      </c>
      <c r="M86" s="71">
        <f t="shared" si="36"/>
        <v>1.8324306414859656E-3</v>
      </c>
      <c r="N86" s="71">
        <f t="shared" si="36"/>
        <v>1.8694324379701563E-3</v>
      </c>
      <c r="O86" s="71" t="str">
        <f t="shared" si="36"/>
        <v/>
      </c>
      <c r="P86" s="71" t="str">
        <f t="shared" si="36"/>
        <v/>
      </c>
      <c r="Q86" s="71" t="str">
        <f t="shared" si="36"/>
        <v/>
      </c>
    </row>
    <row r="87" spans="1:17" ht="15.75" customHeight="1" x14ac:dyDescent="0.35">
      <c r="A87" s="10"/>
    </row>
    <row r="88" spans="1:17" ht="15.75" customHeight="1" x14ac:dyDescent="0.35">
      <c r="A88" s="10"/>
      <c r="B88" s="70" t="s">
        <v>331</v>
      </c>
    </row>
    <row r="89" spans="1:17" ht="15.75" customHeight="1" x14ac:dyDescent="0.35">
      <c r="A89" s="10"/>
      <c r="B89" s="2" t="s">
        <v>48</v>
      </c>
      <c r="C89" s="136">
        <f>G89</f>
        <v>0.55000000000000004</v>
      </c>
      <c r="G89" s="135">
        <f>Data!C64</f>
        <v>0.55000000000000004</v>
      </c>
      <c r="H89" s="135">
        <f>Data!D64</f>
        <v>0</v>
      </c>
      <c r="I89" s="135">
        <f>Data!E64</f>
        <v>0</v>
      </c>
      <c r="J89" s="135">
        <f>Data!F64</f>
        <v>0</v>
      </c>
      <c r="K89" s="135">
        <f>Data!G64</f>
        <v>0</v>
      </c>
      <c r="L89" s="135">
        <f>Data!H64</f>
        <v>0</v>
      </c>
      <c r="M89" s="135">
        <f>Data!I64</f>
        <v>0</v>
      </c>
      <c r="N89" s="135">
        <f>Data!J64</f>
        <v>0</v>
      </c>
      <c r="O89" s="135" t="str">
        <f>Data!K64</f>
        <v/>
      </c>
      <c r="P89" s="135" t="str">
        <f>Data!L64</f>
        <v/>
      </c>
      <c r="Q89" s="135" t="str">
        <f>Data!M64</f>
        <v/>
      </c>
    </row>
    <row r="90" spans="1:17" ht="15.75" customHeight="1" x14ac:dyDescent="0.35">
      <c r="A90" s="10"/>
      <c r="B90" s="2" t="s">
        <v>172</v>
      </c>
      <c r="C90" s="85">
        <f>C89*Common_Shares/$C$3</f>
        <v>372584.30000000005</v>
      </c>
      <c r="G90" s="85">
        <f t="shared" ref="G90:Q90" si="37">IF(G$4="","",G89*Common_Shares/$C$3)</f>
        <v>372584.30000000005</v>
      </c>
      <c r="H90" s="85">
        <f t="shared" si="37"/>
        <v>0</v>
      </c>
      <c r="I90" s="85">
        <f t="shared" si="37"/>
        <v>0</v>
      </c>
      <c r="J90" s="85">
        <f t="shared" si="37"/>
        <v>0</v>
      </c>
      <c r="K90" s="85">
        <f t="shared" si="37"/>
        <v>0</v>
      </c>
      <c r="L90" s="85">
        <f t="shared" si="37"/>
        <v>0</v>
      </c>
      <c r="M90" s="85">
        <f t="shared" si="37"/>
        <v>0</v>
      </c>
      <c r="N90" s="85">
        <f t="shared" si="37"/>
        <v>0</v>
      </c>
      <c r="O90" s="85" t="str">
        <f t="shared" si="37"/>
        <v/>
      </c>
      <c r="P90" s="85" t="str">
        <f t="shared" si="37"/>
        <v/>
      </c>
      <c r="Q90" s="85" t="str">
        <f t="shared" si="37"/>
        <v/>
      </c>
    </row>
    <row r="91" spans="1:17" ht="15.75" customHeight="1" x14ac:dyDescent="0.35">
      <c r="A91" s="10"/>
      <c r="B91" s="2" t="s">
        <v>330</v>
      </c>
      <c r="C91" s="24">
        <f>C89/(C19*$C$3/Common_Shares)</f>
        <v>1.1061306562183124</v>
      </c>
      <c r="G91" s="202" t="e">
        <f t="shared" ref="G91:Q91" si="38">IF(G$4="","",G89/(G19*$C$3/Common_Shares))</f>
        <v>#DIV/0!</v>
      </c>
      <c r="H91" s="202">
        <f t="shared" si="38"/>
        <v>0</v>
      </c>
      <c r="I91" s="202">
        <f t="shared" si="38"/>
        <v>0</v>
      </c>
      <c r="J91" s="202" t="e">
        <f t="shared" si="38"/>
        <v>#DIV/0!</v>
      </c>
      <c r="K91" s="202" t="e">
        <f t="shared" si="38"/>
        <v>#DIV/0!</v>
      </c>
      <c r="L91" s="202" t="e">
        <f t="shared" si="38"/>
        <v>#DIV/0!</v>
      </c>
      <c r="M91" s="202">
        <f t="shared" si="38"/>
        <v>0</v>
      </c>
      <c r="N91" s="202">
        <f t="shared" si="38"/>
        <v>0</v>
      </c>
      <c r="O91" s="202" t="str">
        <f t="shared" si="38"/>
        <v/>
      </c>
      <c r="P91" s="202" t="str">
        <f t="shared" si="38"/>
        <v/>
      </c>
      <c r="Q91" s="202" t="str">
        <f t="shared" si="38"/>
        <v/>
      </c>
    </row>
    <row r="92" spans="1:17" ht="15.75" customHeight="1" x14ac:dyDescent="0.35">
      <c r="A92" s="10"/>
    </row>
    <row r="93" spans="1:17" ht="15.75" customHeight="1" x14ac:dyDescent="0.35">
      <c r="A93" s="10"/>
      <c r="B93" s="183" t="s">
        <v>151</v>
      </c>
      <c r="C93" s="68"/>
      <c r="D93" s="28"/>
      <c r="E93" s="77"/>
      <c r="F93" s="28"/>
      <c r="G93" s="12"/>
      <c r="H93" s="12"/>
      <c r="I93" s="12"/>
      <c r="J93" s="12"/>
      <c r="K93" s="12"/>
      <c r="L93" s="12"/>
      <c r="M93" s="12"/>
      <c r="N93" s="12"/>
      <c r="O93" s="12"/>
      <c r="P93" s="12"/>
      <c r="Q93" s="12"/>
    </row>
    <row r="94" spans="1:17" ht="15.75" customHeight="1" x14ac:dyDescent="0.35">
      <c r="A94" s="10"/>
      <c r="B94" s="28" t="s">
        <v>237</v>
      </c>
      <c r="C94" s="88">
        <f>C4/G4-1</f>
        <v>-0.1104367953434765</v>
      </c>
      <c r="D94" s="28"/>
      <c r="E94" s="77"/>
      <c r="F94" s="28"/>
      <c r="G94" s="6">
        <f t="shared" ref="G94:Q94" si="39">IF(H4="","",G4/H4-1)</f>
        <v>0.26637378404349144</v>
      </c>
      <c r="H94" s="6">
        <f t="shared" si="39"/>
        <v>-0.10167654353991729</v>
      </c>
      <c r="I94" s="6">
        <f t="shared" si="39"/>
        <v>0.46607760565548717</v>
      </c>
      <c r="J94" s="6">
        <f t="shared" si="39"/>
        <v>-0.15441193633865513</v>
      </c>
      <c r="K94" s="6">
        <f t="shared" si="39"/>
        <v>-5.690186852924406E-2</v>
      </c>
      <c r="L94" s="6">
        <f t="shared" si="39"/>
        <v>316.90883150428357</v>
      </c>
      <c r="M94" s="6">
        <f t="shared" si="39"/>
        <v>0.15437257905572199</v>
      </c>
      <c r="N94" s="6" t="str">
        <f t="shared" si="39"/>
        <v/>
      </c>
      <c r="O94" s="6" t="str">
        <f t="shared" si="39"/>
        <v/>
      </c>
      <c r="P94" s="6" t="str">
        <f t="shared" si="39"/>
        <v/>
      </c>
      <c r="Q94" s="6" t="str">
        <f t="shared" si="39"/>
        <v/>
      </c>
    </row>
    <row r="95" spans="1:17" ht="15.75" customHeight="1" x14ac:dyDescent="0.35">
      <c r="A95" s="10"/>
      <c r="B95" s="80" t="s">
        <v>272</v>
      </c>
      <c r="C95" s="88" t="e">
        <f>C13/G13-1</f>
        <v>#DIV/0!</v>
      </c>
      <c r="D95" s="28"/>
      <c r="E95" s="77"/>
      <c r="F95" s="28"/>
      <c r="G95" s="6">
        <f t="shared" ref="G95:Q95" si="40">IF(H5="","",G13/H13-1)</f>
        <v>-1</v>
      </c>
      <c r="H95" s="6">
        <f t="shared" si="40"/>
        <v>2.040137614678895</v>
      </c>
      <c r="I95" s="6" t="e">
        <f t="shared" si="40"/>
        <v>#DIV/0!</v>
      </c>
      <c r="J95" s="6" t="e">
        <f t="shared" si="40"/>
        <v>#DIV/0!</v>
      </c>
      <c r="K95" s="6" t="e">
        <f t="shared" si="40"/>
        <v>#DIV/0!</v>
      </c>
      <c r="L95" s="6">
        <f t="shared" si="40"/>
        <v>-1</v>
      </c>
      <c r="M95" s="6">
        <f t="shared" si="40"/>
        <v>0.13152400835073874</v>
      </c>
      <c r="N95" s="6" t="str">
        <f t="shared" si="40"/>
        <v/>
      </c>
      <c r="O95" s="6" t="str">
        <f t="shared" si="40"/>
        <v/>
      </c>
      <c r="P95" s="6" t="str">
        <f t="shared" si="40"/>
        <v/>
      </c>
      <c r="Q95" s="6" t="str">
        <f t="shared" si="40"/>
        <v/>
      </c>
    </row>
    <row r="96" spans="1:17" ht="15.75" customHeight="1" x14ac:dyDescent="0.35">
      <c r="A96" s="10"/>
    </row>
    <row r="97" spans="1:17" ht="15.75" customHeight="1" x14ac:dyDescent="0.5">
      <c r="A97" s="3"/>
      <c r="B97" s="59" t="s">
        <v>332</v>
      </c>
      <c r="C97" s="59"/>
      <c r="D97" s="61"/>
      <c r="E97" s="72" t="s">
        <v>117</v>
      </c>
      <c r="F97" s="61"/>
      <c r="G97" s="38"/>
      <c r="H97" s="38"/>
      <c r="I97" s="38"/>
      <c r="J97" s="38"/>
      <c r="K97" s="38"/>
      <c r="L97" s="38"/>
      <c r="M97" s="38"/>
      <c r="N97" s="38"/>
      <c r="O97" s="38"/>
      <c r="P97" s="38"/>
      <c r="Q97" s="38"/>
    </row>
    <row r="98" spans="1:17" ht="15.75" customHeight="1" x14ac:dyDescent="0.35">
      <c r="A98" s="10"/>
      <c r="B98" s="70" t="s">
        <v>31</v>
      </c>
      <c r="G98" s="115" t="s">
        <v>336</v>
      </c>
    </row>
    <row r="99" spans="1:17" ht="15.75" customHeight="1" x14ac:dyDescent="0.35">
      <c r="A99" s="10"/>
      <c r="B99" s="27" t="s">
        <v>4</v>
      </c>
      <c r="C99" s="235">
        <f>BS!G32</f>
        <v>86862.700000000012</v>
      </c>
      <c r="D99" s="27"/>
      <c r="E99" s="27"/>
      <c r="F99" s="27"/>
      <c r="G99" s="216">
        <f t="shared" ref="G99:Q99" si="41">IF(G$4="","",G103+G102)</f>
        <v>18897731</v>
      </c>
      <c r="H99" s="216">
        <f t="shared" si="41"/>
        <v>18650857</v>
      </c>
      <c r="I99" s="216">
        <f t="shared" si="41"/>
        <v>18088758</v>
      </c>
      <c r="J99" s="216">
        <f t="shared" si="41"/>
        <v>16826467</v>
      </c>
      <c r="K99" s="216">
        <f t="shared" si="41"/>
        <v>0</v>
      </c>
      <c r="L99" s="216">
        <f t="shared" si="41"/>
        <v>0</v>
      </c>
      <c r="M99" s="216">
        <f t="shared" si="41"/>
        <v>0</v>
      </c>
      <c r="N99" s="216">
        <f t="shared" si="41"/>
        <v>0</v>
      </c>
      <c r="O99" s="216" t="str">
        <f t="shared" si="41"/>
        <v/>
      </c>
      <c r="P99" s="216" t="str">
        <f t="shared" si="41"/>
        <v/>
      </c>
      <c r="Q99" s="216" t="str">
        <f t="shared" si="41"/>
        <v/>
      </c>
    </row>
    <row r="100" spans="1:17" ht="15.75" customHeight="1" x14ac:dyDescent="0.35">
      <c r="A100" s="10"/>
      <c r="B100" s="110" t="s">
        <v>327</v>
      </c>
      <c r="C100" s="236">
        <f>BS!C4</f>
        <v>5848.8</v>
      </c>
      <c r="D100" s="102"/>
      <c r="E100" s="102"/>
      <c r="F100" s="102"/>
      <c r="G100" s="218">
        <f>IF(G$4="","",Data!D76)</f>
        <v>0</v>
      </c>
      <c r="H100" s="218">
        <f>IF(H$4="","",Data!E76)</f>
        <v>0</v>
      </c>
      <c r="I100" s="218">
        <f>IF(I$4="","",Data!F76)</f>
        <v>0</v>
      </c>
      <c r="J100" s="218">
        <f>IF(J$4="","",Data!G76)</f>
        <v>0</v>
      </c>
      <c r="K100" s="218">
        <f>IF(K$4="","",Data!H76)</f>
        <v>0</v>
      </c>
      <c r="L100" s="218">
        <f>IF(L$4="","",Data!I76)</f>
        <v>0</v>
      </c>
      <c r="M100" s="218">
        <f>IF(M$4="","",Data!J76)</f>
        <v>0</v>
      </c>
      <c r="N100" s="218">
        <f>IF(N$4="","",Data!K76)</f>
        <v>0</v>
      </c>
      <c r="O100" s="218" t="str">
        <f>IF(O$4="","",Data!L76)</f>
        <v/>
      </c>
      <c r="P100" s="218" t="str">
        <f>IF(P$4="","",Data!M76)</f>
        <v/>
      </c>
      <c r="Q100" s="218" t="str">
        <f>IF(Q$4="","",Data!N76)</f>
        <v/>
      </c>
    </row>
    <row r="101" spans="1:17" ht="15.75" customHeight="1" x14ac:dyDescent="0.35">
      <c r="A101" s="10"/>
      <c r="B101" s="110" t="s">
        <v>328</v>
      </c>
      <c r="C101" s="236">
        <f>BS!C6+BS!C7</f>
        <v>67632</v>
      </c>
      <c r="D101" s="102"/>
      <c r="E101" s="102"/>
      <c r="F101" s="102"/>
      <c r="G101" s="218">
        <f>IF(G$4="","",Data!D77)</f>
        <v>0</v>
      </c>
      <c r="H101" s="218">
        <f>IF(H$4="","",Data!E77)</f>
        <v>0</v>
      </c>
      <c r="I101" s="218">
        <f>IF(I$4="","",Data!F77)</f>
        <v>0</v>
      </c>
      <c r="J101" s="218">
        <f>IF(J$4="","",Data!G77)</f>
        <v>0</v>
      </c>
      <c r="K101" s="218">
        <f>IF(K$4="","",Data!H77)</f>
        <v>0</v>
      </c>
      <c r="L101" s="218">
        <f>IF(L$4="","",Data!I77)</f>
        <v>0</v>
      </c>
      <c r="M101" s="218">
        <f>IF(M$4="","",Data!J77)</f>
        <v>0</v>
      </c>
      <c r="N101" s="218">
        <f>IF(N$4="","",Data!K77)</f>
        <v>0</v>
      </c>
      <c r="O101" s="218" t="str">
        <f>IF(O$4="","",Data!L77)</f>
        <v/>
      </c>
      <c r="P101" s="218" t="str">
        <f>IF(P$4="","",Data!M77)</f>
        <v/>
      </c>
      <c r="Q101" s="218" t="str">
        <f>IF(Q$4="","",Data!N77)</f>
        <v/>
      </c>
    </row>
    <row r="102" spans="1:17" ht="15.75" customHeight="1" x14ac:dyDescent="0.35">
      <c r="A102" s="10"/>
      <c r="B102" s="27" t="s">
        <v>52</v>
      </c>
      <c r="C102" s="235">
        <f>BS!G30</f>
        <v>60481</v>
      </c>
      <c r="D102" s="27"/>
      <c r="E102" s="27"/>
      <c r="F102" s="27"/>
      <c r="G102" s="216">
        <f>Data!C78</f>
        <v>6730302</v>
      </c>
      <c r="H102" s="216">
        <f>Data!D78</f>
        <v>6780629</v>
      </c>
      <c r="I102" s="216">
        <f>Data!E78</f>
        <v>5345297</v>
      </c>
      <c r="J102" s="216">
        <f>Data!F78</f>
        <v>4807353</v>
      </c>
      <c r="K102" s="216">
        <f>Data!G78</f>
        <v>0</v>
      </c>
      <c r="L102" s="216">
        <f>Data!H78</f>
        <v>0</v>
      </c>
      <c r="M102" s="216">
        <f>Data!I78</f>
        <v>0</v>
      </c>
      <c r="N102" s="216">
        <f>Data!J78</f>
        <v>0</v>
      </c>
      <c r="O102" s="216" t="str">
        <f>Data!K78</f>
        <v/>
      </c>
      <c r="P102" s="216" t="str">
        <f>Data!L78</f>
        <v/>
      </c>
      <c r="Q102" s="216" t="str">
        <f>Data!M78</f>
        <v/>
      </c>
    </row>
    <row r="103" spans="1:17" ht="15.75" customHeight="1" x14ac:dyDescent="0.35">
      <c r="A103" s="10"/>
      <c r="B103" s="27" t="s">
        <v>33</v>
      </c>
      <c r="C103" s="235">
        <f>BS!G27</f>
        <v>26381.700000000012</v>
      </c>
      <c r="D103" s="27"/>
      <c r="E103" s="27"/>
      <c r="F103" s="27"/>
      <c r="G103" s="216">
        <f>Data!C79</f>
        <v>12167429</v>
      </c>
      <c r="H103" s="216">
        <f>Data!D79</f>
        <v>11870228</v>
      </c>
      <c r="I103" s="216">
        <f>Data!E79</f>
        <v>12743461</v>
      </c>
      <c r="J103" s="216">
        <f>Data!F79</f>
        <v>12019114</v>
      </c>
      <c r="K103" s="216">
        <f>Data!G79</f>
        <v>0</v>
      </c>
      <c r="L103" s="216">
        <f>Data!H79</f>
        <v>0</v>
      </c>
      <c r="M103" s="216">
        <f>Data!I79</f>
        <v>0</v>
      </c>
      <c r="N103" s="216">
        <f>Data!J79</f>
        <v>0</v>
      </c>
      <c r="O103" s="216" t="str">
        <f>Data!K79</f>
        <v/>
      </c>
      <c r="P103" s="216" t="str">
        <f>Data!L79</f>
        <v/>
      </c>
      <c r="Q103" s="216" t="str">
        <f>Data!M79</f>
        <v/>
      </c>
    </row>
    <row r="104" spans="1:17" ht="15.75" customHeight="1" x14ac:dyDescent="0.35">
      <c r="A104" s="10"/>
    </row>
    <row r="105" spans="1:17" ht="15.75" customHeight="1" x14ac:dyDescent="0.35">
      <c r="A105" s="10"/>
      <c r="B105" s="105" t="s">
        <v>337</v>
      </c>
      <c r="C105" s="27"/>
      <c r="D105" s="27"/>
      <c r="E105" s="27"/>
      <c r="F105" s="27"/>
      <c r="G105" s="115" t="s">
        <v>336</v>
      </c>
      <c r="H105" s="12"/>
      <c r="I105" s="12"/>
      <c r="J105" s="12"/>
      <c r="K105" s="12"/>
      <c r="L105" s="12"/>
      <c r="M105" s="12"/>
      <c r="N105" s="12"/>
      <c r="O105" s="12"/>
      <c r="P105" s="12"/>
      <c r="Q105" s="12"/>
    </row>
    <row r="106" spans="1:17" ht="15.75" customHeight="1" x14ac:dyDescent="0.35">
      <c r="A106" s="10"/>
      <c r="B106" s="27" t="s">
        <v>334</v>
      </c>
      <c r="C106" s="112">
        <f>C100/C$4</f>
        <v>2.6285623990997958E-4</v>
      </c>
      <c r="D106" s="27"/>
      <c r="E106" s="27"/>
      <c r="F106" s="27"/>
      <c r="G106" s="112">
        <f t="shared" ref="G106:Q106" si="42">IF(G$4="","",G100/G$4)</f>
        <v>0</v>
      </c>
      <c r="H106" s="112">
        <f t="shared" si="42"/>
        <v>0</v>
      </c>
      <c r="I106" s="112">
        <f t="shared" si="42"/>
        <v>0</v>
      </c>
      <c r="J106" s="112">
        <f t="shared" si="42"/>
        <v>0</v>
      </c>
      <c r="K106" s="112">
        <f t="shared" si="42"/>
        <v>0</v>
      </c>
      <c r="L106" s="112">
        <f t="shared" si="42"/>
        <v>0</v>
      </c>
      <c r="M106" s="112">
        <f t="shared" si="42"/>
        <v>0</v>
      </c>
      <c r="N106" s="112">
        <f t="shared" si="42"/>
        <v>0</v>
      </c>
      <c r="O106" s="112" t="str">
        <f t="shared" si="42"/>
        <v/>
      </c>
      <c r="P106" s="112" t="str">
        <f t="shared" si="42"/>
        <v/>
      </c>
      <c r="Q106" s="112" t="str">
        <f t="shared" si="42"/>
        <v/>
      </c>
    </row>
    <row r="107" spans="1:17" ht="15.75" customHeight="1" x14ac:dyDescent="0.35">
      <c r="A107" s="10"/>
      <c r="B107" s="27" t="s">
        <v>335</v>
      </c>
      <c r="C107" s="112">
        <f>C101/C$4</f>
        <v>3.0395112189836784E-3</v>
      </c>
      <c r="D107" s="27"/>
      <c r="E107" s="27"/>
      <c r="F107" s="27"/>
      <c r="G107" s="112">
        <f t="shared" ref="G107:Q107" si="43">IF(G$4="","",G101/G$4)</f>
        <v>0</v>
      </c>
      <c r="H107" s="112">
        <f t="shared" si="43"/>
        <v>0</v>
      </c>
      <c r="I107" s="112">
        <f t="shared" si="43"/>
        <v>0</v>
      </c>
      <c r="J107" s="112">
        <f t="shared" si="43"/>
        <v>0</v>
      </c>
      <c r="K107" s="112">
        <f t="shared" si="43"/>
        <v>0</v>
      </c>
      <c r="L107" s="112">
        <f t="shared" si="43"/>
        <v>0</v>
      </c>
      <c r="M107" s="112">
        <f t="shared" si="43"/>
        <v>0</v>
      </c>
      <c r="N107" s="112">
        <f t="shared" si="43"/>
        <v>0</v>
      </c>
      <c r="O107" s="112" t="str">
        <f t="shared" si="43"/>
        <v/>
      </c>
      <c r="P107" s="112" t="str">
        <f t="shared" si="43"/>
        <v/>
      </c>
      <c r="Q107" s="112" t="str">
        <f t="shared" si="43"/>
        <v/>
      </c>
    </row>
    <row r="108" spans="1:17" ht="15.75" customHeight="1" x14ac:dyDescent="0.35">
      <c r="A108" s="10"/>
      <c r="B108" s="27" t="s">
        <v>127</v>
      </c>
      <c r="C108" s="112">
        <f>BS!$G$38/C$4</f>
        <v>0</v>
      </c>
      <c r="D108" s="27"/>
      <c r="E108" s="27"/>
      <c r="F108" s="27"/>
      <c r="G108" s="112">
        <f>BS!$G$38/G$4</f>
        <v>0</v>
      </c>
      <c r="H108" s="261"/>
      <c r="I108" s="261"/>
      <c r="J108" s="261"/>
      <c r="K108" s="261"/>
      <c r="L108" s="261"/>
      <c r="M108" s="261"/>
      <c r="N108" s="261"/>
      <c r="O108" s="261"/>
      <c r="P108" s="261"/>
      <c r="Q108" s="261"/>
    </row>
    <row r="109" spans="1:17" ht="15.75" customHeight="1" x14ac:dyDescent="0.35">
      <c r="A109" s="10"/>
    </row>
    <row r="110" spans="1:17" ht="15.75" customHeight="1" x14ac:dyDescent="0.35">
      <c r="A110" s="10"/>
      <c r="B110" s="105" t="s">
        <v>50</v>
      </c>
      <c r="C110" s="60"/>
      <c r="D110" s="60"/>
      <c r="E110" s="60"/>
      <c r="F110" s="60"/>
      <c r="G110" s="24" t="str">
        <f>IFERROR(IF(#REF!*G112*(1/#REF!)=G114,"","Error"),"")</f>
        <v/>
      </c>
      <c r="H110" s="24" t="str">
        <f>IFERROR(IF(#REF!*H112*(1/#REF!)=H114,"","Error"),"")</f>
        <v/>
      </c>
      <c r="I110" s="24" t="str">
        <f>IFERROR(IF(#REF!*I112*(1/#REF!)=I114,"","Error"),"")</f>
        <v/>
      </c>
      <c r="J110" s="24" t="str">
        <f>IFERROR(IF(#REF!*J112*(1/#REF!)=J114,"","Error"),"")</f>
        <v/>
      </c>
      <c r="K110" s="24" t="str">
        <f>IFERROR(IF(#REF!*K112*(1/#REF!)=K114,"","Error"),"")</f>
        <v/>
      </c>
      <c r="L110" s="24" t="str">
        <f>IFERROR(IF(#REF!*L112*(1/#REF!)=L114,"","Error"),"")</f>
        <v/>
      </c>
      <c r="M110" s="24" t="str">
        <f>IFERROR(IF(#REF!*M112*(1/#REF!)=M114,"","Error"),"")</f>
        <v/>
      </c>
      <c r="N110" s="24" t="str">
        <f>IFERROR(IF(#REF!*N112*(1/#REF!)=N114,"","Error"),"")</f>
        <v/>
      </c>
      <c r="O110" s="24" t="str">
        <f>IFERROR(IF(#REF!*O112*(1/#REF!)=O114,"","Error"),"")</f>
        <v/>
      </c>
      <c r="P110" s="24" t="str">
        <f>IFERROR(IF(#REF!*P112*(1/#REF!)=P114,"","Error"),"")</f>
        <v/>
      </c>
      <c r="Q110" s="24" t="str">
        <f>IFERROR(IF(#REF!*Q112*(1/#REF!)=Q114,"","Error"),"")</f>
        <v/>
      </c>
    </row>
    <row r="111" spans="1:17" ht="15.75" customHeight="1" x14ac:dyDescent="0.35">
      <c r="A111" s="10"/>
      <c r="B111" s="7" t="s">
        <v>339</v>
      </c>
      <c r="C111" s="24">
        <f>C80</f>
        <v>1.9659791912931622E-2</v>
      </c>
      <c r="G111" s="24">
        <f t="shared" ref="G111:Q111" si="44">G80</f>
        <v>0</v>
      </c>
      <c r="H111" s="24">
        <f t="shared" si="44"/>
        <v>-5.368586579343591E-4</v>
      </c>
      <c r="I111" s="24">
        <f t="shared" si="44"/>
        <v>-1.5863516272997835E-4</v>
      </c>
      <c r="J111" s="24">
        <f t="shared" si="44"/>
        <v>0</v>
      </c>
      <c r="K111" s="24">
        <f t="shared" si="44"/>
        <v>0</v>
      </c>
      <c r="L111" s="24">
        <f t="shared" si="44"/>
        <v>0</v>
      </c>
      <c r="M111" s="24">
        <f t="shared" si="44"/>
        <v>1.8324306414859656E-3</v>
      </c>
      <c r="N111" s="24">
        <f t="shared" si="44"/>
        <v>1.8694324379701563E-3</v>
      </c>
      <c r="O111" s="24" t="str">
        <f t="shared" si="44"/>
        <v/>
      </c>
      <c r="P111" s="24" t="str">
        <f t="shared" si="44"/>
        <v/>
      </c>
      <c r="Q111" s="24" t="str">
        <f t="shared" si="44"/>
        <v/>
      </c>
    </row>
    <row r="112" spans="1:17" ht="15.75" customHeight="1" x14ac:dyDescent="0.35">
      <c r="B112" s="7" t="s">
        <v>150</v>
      </c>
      <c r="C112" s="44">
        <f>C4/C99</f>
        <v>256.16226527611963</v>
      </c>
      <c r="G112" s="44">
        <f t="shared" ref="G112:Q112" si="45">IF(G4="","",G4/G99)</f>
        <v>1.32361599389895</v>
      </c>
      <c r="H112" s="44">
        <f t="shared" si="45"/>
        <v>1.0590365901148671</v>
      </c>
      <c r="I112" s="44">
        <f t="shared" si="45"/>
        <v>1.2155372414181227</v>
      </c>
      <c r="J112" s="44">
        <f t="shared" si="45"/>
        <v>0.89130659454536709</v>
      </c>
      <c r="K112" s="44" t="e">
        <f t="shared" si="45"/>
        <v>#DIV/0!</v>
      </c>
      <c r="L112" s="44" t="e">
        <f t="shared" si="45"/>
        <v>#DIV/0!</v>
      </c>
      <c r="M112" s="44" t="e">
        <f t="shared" si="45"/>
        <v>#DIV/0!</v>
      </c>
      <c r="N112" s="44" t="e">
        <f t="shared" si="45"/>
        <v>#DIV/0!</v>
      </c>
      <c r="O112" s="44" t="str">
        <f t="shared" si="45"/>
        <v/>
      </c>
      <c r="P112" s="44" t="str">
        <f t="shared" si="45"/>
        <v/>
      </c>
      <c r="Q112" s="44" t="str">
        <f t="shared" si="45"/>
        <v/>
      </c>
    </row>
    <row r="113" spans="1:17" ht="15.75" customHeight="1" x14ac:dyDescent="0.35">
      <c r="B113" s="7" t="s">
        <v>158</v>
      </c>
      <c r="C113" s="15">
        <f>C99/C103</f>
        <v>3.2925361140487523</v>
      </c>
      <c r="D113" s="11"/>
      <c r="E113" s="11"/>
      <c r="F113" s="11"/>
      <c r="G113" s="15">
        <f t="shared" ref="G113:Q113" si="46">IF(G$4="","",G99/G103)</f>
        <v>1.5531408484076628</v>
      </c>
      <c r="H113" s="15">
        <f t="shared" si="46"/>
        <v>1.5712298870754631</v>
      </c>
      <c r="I113" s="15">
        <f t="shared" si="46"/>
        <v>1.4194541027747485</v>
      </c>
      <c r="J113" s="15">
        <f t="shared" si="46"/>
        <v>1.3999756554434877</v>
      </c>
      <c r="K113" s="15" t="e">
        <f t="shared" si="46"/>
        <v>#DIV/0!</v>
      </c>
      <c r="L113" s="15" t="e">
        <f t="shared" si="46"/>
        <v>#DIV/0!</v>
      </c>
      <c r="M113" s="15" t="e">
        <f t="shared" si="46"/>
        <v>#DIV/0!</v>
      </c>
      <c r="N113" s="15" t="e">
        <f t="shared" si="46"/>
        <v>#DIV/0!</v>
      </c>
      <c r="O113" s="15" t="str">
        <f t="shared" si="46"/>
        <v/>
      </c>
      <c r="P113" s="15" t="str">
        <f t="shared" si="46"/>
        <v/>
      </c>
      <c r="Q113" s="15" t="str">
        <f t="shared" si="46"/>
        <v/>
      </c>
    </row>
    <row r="114" spans="1:17" ht="15.75" customHeight="1" x14ac:dyDescent="0.35">
      <c r="A114" s="10"/>
      <c r="B114" s="80" t="s">
        <v>340</v>
      </c>
      <c r="C114" s="121">
        <f>C8/C103</f>
        <v>21.500994599509429</v>
      </c>
      <c r="D114" s="122"/>
      <c r="E114" s="122"/>
      <c r="F114" s="122"/>
      <c r="G114" s="121">
        <f t="shared" ref="G114:Q114" si="47">IF(G$4="","",G8/G103)</f>
        <v>0.11326435518958031</v>
      </c>
      <c r="H114" s="121">
        <f t="shared" si="47"/>
        <v>-8.2475248158670588E-3</v>
      </c>
      <c r="I114" s="121">
        <f t="shared" si="47"/>
        <v>7.7291169172958585E-2</v>
      </c>
      <c r="J114" s="121">
        <f t="shared" si="47"/>
        <v>8.1798874692427415E-2</v>
      </c>
      <c r="K114" s="121" t="e">
        <f t="shared" si="47"/>
        <v>#DIV/0!</v>
      </c>
      <c r="L114" s="121" t="e">
        <f t="shared" si="47"/>
        <v>#DIV/0!</v>
      </c>
      <c r="M114" s="121" t="e">
        <f t="shared" si="47"/>
        <v>#DIV/0!</v>
      </c>
      <c r="N114" s="121" t="e">
        <f t="shared" si="47"/>
        <v>#DIV/0!</v>
      </c>
      <c r="O114" s="121" t="str">
        <f t="shared" si="47"/>
        <v/>
      </c>
      <c r="P114" s="121" t="str">
        <f t="shared" si="47"/>
        <v/>
      </c>
      <c r="Q114" s="121" t="str">
        <f t="shared" si="47"/>
        <v/>
      </c>
    </row>
    <row r="115" spans="1:17" ht="15.75" customHeight="1" x14ac:dyDescent="0.35">
      <c r="A115" s="10"/>
      <c r="B115" s="28"/>
      <c r="C115" s="68"/>
      <c r="D115" s="28"/>
      <c r="E115" s="77"/>
      <c r="F115" s="28"/>
      <c r="G115" s="12"/>
      <c r="H115" s="12"/>
      <c r="I115" s="12"/>
      <c r="J115" s="12"/>
      <c r="K115" s="12"/>
      <c r="L115" s="12"/>
      <c r="M115" s="12"/>
      <c r="N115" s="12"/>
      <c r="O115" s="12"/>
      <c r="P115" s="12"/>
      <c r="Q115" s="12"/>
    </row>
    <row r="116" spans="1:17" ht="15.75" customHeight="1" x14ac:dyDescent="0.5">
      <c r="A116" s="10"/>
      <c r="B116" s="59" t="s">
        <v>341</v>
      </c>
      <c r="C116" s="59"/>
      <c r="D116" s="61"/>
      <c r="E116" s="72" t="s">
        <v>117</v>
      </c>
      <c r="F116" s="61"/>
      <c r="G116" s="38"/>
      <c r="H116" s="38"/>
      <c r="I116" s="38"/>
      <c r="J116" s="38"/>
      <c r="K116" s="38"/>
      <c r="L116" s="38"/>
      <c r="M116" s="38"/>
      <c r="N116" s="38"/>
      <c r="O116" s="38"/>
      <c r="P116" s="38"/>
      <c r="Q116" s="38"/>
    </row>
    <row r="117" spans="1:17" ht="15.75" customHeight="1" x14ac:dyDescent="0.35">
      <c r="A117" s="10"/>
      <c r="B117" s="212" t="s">
        <v>281</v>
      </c>
      <c r="C117" s="213"/>
      <c r="D117" s="28"/>
      <c r="E117" s="77"/>
      <c r="F117" s="28"/>
      <c r="G117" s="12"/>
      <c r="H117" s="12"/>
      <c r="I117" s="12"/>
      <c r="J117" s="12"/>
      <c r="K117" s="12"/>
      <c r="L117" s="12"/>
      <c r="M117" s="12"/>
      <c r="N117" s="12"/>
      <c r="O117" s="12"/>
      <c r="P117" s="12"/>
      <c r="Q117" s="12"/>
    </row>
    <row r="118" spans="1:17" ht="15.75" customHeight="1" x14ac:dyDescent="0.35">
      <c r="A118" s="10"/>
      <c r="B118" s="28" t="str">
        <f>"After-tax Profit per share ("&amp;Market_currency&amp;")"</f>
        <v>After-tax Profit per share (HKD)</v>
      </c>
      <c r="C118" s="211">
        <f>C16*$C$3/Common_Shares*Exchange_Rate</f>
        <v>0.49722878297249617</v>
      </c>
      <c r="D118" s="28"/>
      <c r="E118" s="77"/>
      <c r="F118" s="28"/>
      <c r="G118" s="211">
        <f t="shared" ref="G118:Q118" si="48">IF(G$4="","",G16*$C$3/Common_Shares*Exchange_Rate)</f>
        <v>0</v>
      </c>
      <c r="H118" s="211">
        <f t="shared" si="48"/>
        <v>-1.5653370257415547E-2</v>
      </c>
      <c r="I118" s="211">
        <f t="shared" si="48"/>
        <v>-5.1489018726768683E-3</v>
      </c>
      <c r="J118" s="211">
        <f t="shared" si="48"/>
        <v>0</v>
      </c>
      <c r="K118" s="211">
        <f t="shared" si="48"/>
        <v>0</v>
      </c>
      <c r="L118" s="211">
        <f t="shared" si="48"/>
        <v>0</v>
      </c>
      <c r="M118" s="211">
        <f t="shared" si="48"/>
        <v>1.6001747792378855E-4</v>
      </c>
      <c r="N118" s="211">
        <f t="shared" si="48"/>
        <v>1.414176603791405E-4</v>
      </c>
      <c r="O118" s="211" t="str">
        <f t="shared" si="48"/>
        <v/>
      </c>
      <c r="P118" s="211" t="str">
        <f t="shared" si="48"/>
        <v/>
      </c>
      <c r="Q118" s="211" t="str">
        <f t="shared" si="48"/>
        <v/>
      </c>
    </row>
    <row r="119" spans="1:17" ht="15.75" customHeight="1" x14ac:dyDescent="0.35">
      <c r="A119" s="10"/>
      <c r="B119" s="28" t="s">
        <v>338</v>
      </c>
      <c r="C119" s="88">
        <f>C118/Market_Price</f>
        <v>7.1032683281785164E-2</v>
      </c>
      <c r="D119" s="28"/>
      <c r="E119" s="77"/>
      <c r="F119" s="28"/>
      <c r="G119" s="88">
        <f t="shared" ref="G119" si="49">IF(G$4="","",G118/Market_Price)</f>
        <v>0</v>
      </c>
      <c r="H119" s="88">
        <f t="shared" ref="H119" si="50">IF(H$4="","",H118/Market_Price)</f>
        <v>-2.2361957510593639E-3</v>
      </c>
      <c r="I119" s="88">
        <f t="shared" ref="I119" si="51">IF(I$4="","",I118/Market_Price)</f>
        <v>-7.3555741038240977E-4</v>
      </c>
      <c r="J119" s="88">
        <f t="shared" ref="J119" si="52">IF(J$4="","",J118/Market_Price)</f>
        <v>0</v>
      </c>
      <c r="K119" s="88">
        <f t="shared" ref="K119" si="53">IF(K$4="","",K118/Market_Price)</f>
        <v>0</v>
      </c>
      <c r="L119" s="88">
        <f t="shared" ref="L119" si="54">IF(L$4="","",L118/Market_Price)</f>
        <v>0</v>
      </c>
      <c r="M119" s="88">
        <f t="shared" ref="M119" si="55">IF(M$4="","",M118/Market_Price)</f>
        <v>2.2859639703398366E-5</v>
      </c>
      <c r="N119" s="88">
        <f t="shared" ref="N119" si="56">IF(N$4="","",N118/Market_Price)</f>
        <v>2.0202522911305786E-5</v>
      </c>
      <c r="O119" s="88" t="str">
        <f t="shared" ref="O119" si="57">IF(O$4="","",O118/Market_Price)</f>
        <v/>
      </c>
      <c r="P119" s="88" t="str">
        <f t="shared" ref="P119" si="58">IF(P$4="","",P118/Market_Price)</f>
        <v/>
      </c>
      <c r="Q119" s="88" t="str">
        <f t="shared" ref="Q119" si="59">IF(Q$4="","",Q118/Market_Price)</f>
        <v/>
      </c>
    </row>
    <row r="120" spans="1:17" ht="15.75" customHeight="1" x14ac:dyDescent="0.35"/>
    <row r="121" spans="1:17" ht="15.75" customHeight="1" x14ac:dyDescent="0.35"/>
    <row r="122" spans="1:17" ht="15.75" customHeight="1" x14ac:dyDescent="0.35"/>
    <row r="123" spans="1:17" ht="15.75" customHeight="1" x14ac:dyDescent="0.35"/>
    <row r="124" spans="1:17" ht="15.75" customHeight="1" x14ac:dyDescent="0.35"/>
    <row r="125" spans="1:17" ht="15.75" customHeight="1" x14ac:dyDescent="0.35"/>
    <row r="126" spans="1:17" ht="15.75" customHeight="1" x14ac:dyDescent="0.35"/>
    <row r="127" spans="1:17" ht="15.75" customHeight="1" x14ac:dyDescent="0.35"/>
    <row r="128" spans="1:17"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75"/>
  <sheetViews>
    <sheetView showGridLines="0" zoomScaleNormal="100" workbookViewId="0">
      <selection activeCell="D7" sqref="D7"/>
    </sheetView>
  </sheetViews>
  <sheetFormatPr defaultColWidth="12.33203125" defaultRowHeight="15" customHeight="1" x14ac:dyDescent="0.35"/>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x14ac:dyDescent="0.35">
      <c r="B1" s="19" t="s">
        <v>49</v>
      </c>
      <c r="C1" s="117">
        <v>45473</v>
      </c>
      <c r="F1" s="99" t="str">
        <f>IF(MONTH(C1)=MONTH(Normalized_FCF!G1),"FY","Quarter")&amp;" Report"</f>
        <v>Quarter Report</v>
      </c>
      <c r="H1" s="127">
        <f>Data!C3</f>
        <v>1000</v>
      </c>
    </row>
    <row r="2" spans="2:8" ht="15" customHeight="1" x14ac:dyDescent="0.35">
      <c r="B2" s="92" t="s">
        <v>263</v>
      </c>
      <c r="C2" s="38"/>
      <c r="D2" s="38"/>
      <c r="E2" s="38"/>
      <c r="F2" s="38"/>
      <c r="G2" s="38"/>
      <c r="H2" s="38"/>
    </row>
    <row r="3" spans="2:8" ht="15" customHeight="1" x14ac:dyDescent="0.35">
      <c r="B3" s="16" t="s">
        <v>300</v>
      </c>
      <c r="C3" s="239" t="s">
        <v>229</v>
      </c>
      <c r="D3" s="240" t="s">
        <v>39</v>
      </c>
      <c r="F3" s="16" t="s">
        <v>301</v>
      </c>
      <c r="G3" s="239" t="s">
        <v>229</v>
      </c>
      <c r="H3" s="240" t="s">
        <v>39</v>
      </c>
    </row>
    <row r="4" spans="2:8" ht="15" customHeight="1" x14ac:dyDescent="0.35">
      <c r="B4" s="4" t="s">
        <v>27</v>
      </c>
      <c r="C4" s="20">
        <f>5822.2+0.5+26.1</f>
        <v>5848.8</v>
      </c>
      <c r="D4" s="95">
        <v>0.6</v>
      </c>
      <c r="E4" s="26"/>
      <c r="F4" s="4" t="s">
        <v>138</v>
      </c>
      <c r="G4" s="20">
        <v>3839.3</v>
      </c>
      <c r="H4" s="95">
        <v>0.9</v>
      </c>
    </row>
    <row r="5" spans="2:8" ht="15" customHeight="1" x14ac:dyDescent="0.35">
      <c r="B5" s="1" t="s">
        <v>36</v>
      </c>
      <c r="C5" s="20">
        <v>0</v>
      </c>
      <c r="D5" s="95">
        <v>0.6</v>
      </c>
      <c r="E5" s="26"/>
      <c r="F5" s="1" t="s">
        <v>32</v>
      </c>
      <c r="G5" s="20">
        <v>0</v>
      </c>
      <c r="H5" s="95">
        <v>0</v>
      </c>
    </row>
    <row r="6" spans="2:8" ht="15" customHeight="1" x14ac:dyDescent="0.35">
      <c r="B6" s="4" t="s">
        <v>11</v>
      </c>
      <c r="C6" s="20">
        <v>67632</v>
      </c>
      <c r="D6" s="95">
        <v>0.5</v>
      </c>
      <c r="E6" s="26"/>
      <c r="F6" s="4" t="s">
        <v>293</v>
      </c>
      <c r="G6" s="20">
        <v>1.5</v>
      </c>
      <c r="H6" s="95">
        <v>0.6</v>
      </c>
    </row>
    <row r="7" spans="2:8" ht="15" customHeight="1" x14ac:dyDescent="0.35">
      <c r="B7" s="1" t="s">
        <v>127</v>
      </c>
      <c r="C7" s="20">
        <v>0</v>
      </c>
      <c r="D7" s="95">
        <v>0.6</v>
      </c>
      <c r="E7" s="26"/>
      <c r="F7" s="4" t="s">
        <v>294</v>
      </c>
      <c r="G7" s="20">
        <v>0</v>
      </c>
      <c r="H7" s="95">
        <v>0.6</v>
      </c>
    </row>
    <row r="8" spans="2:8" ht="15" customHeight="1" x14ac:dyDescent="0.35">
      <c r="B8" s="1" t="s">
        <v>287</v>
      </c>
      <c r="C8" s="20">
        <v>0</v>
      </c>
      <c r="D8" s="95">
        <v>0.6</v>
      </c>
      <c r="E8" s="26"/>
      <c r="F8" s="1" t="s">
        <v>295</v>
      </c>
      <c r="G8" s="20">
        <v>0</v>
      </c>
      <c r="H8" s="95">
        <v>0.6</v>
      </c>
    </row>
    <row r="9" spans="2:8" ht="15" customHeight="1" x14ac:dyDescent="0.35">
      <c r="B9" s="4" t="s">
        <v>28</v>
      </c>
      <c r="C9" s="20">
        <v>0</v>
      </c>
      <c r="D9" s="95">
        <v>0.1</v>
      </c>
      <c r="E9" s="26"/>
      <c r="F9" s="4" t="s">
        <v>296</v>
      </c>
      <c r="G9" s="20">
        <v>0</v>
      </c>
      <c r="H9" s="95">
        <v>0.6</v>
      </c>
    </row>
    <row r="10" spans="2:8" ht="15" customHeight="1" x14ac:dyDescent="0.35">
      <c r="B10" s="4" t="s">
        <v>12</v>
      </c>
      <c r="C10" s="20">
        <v>2.2999999999999998</v>
      </c>
      <c r="D10" s="95">
        <v>0.9</v>
      </c>
    </row>
    <row r="11" spans="2:8" ht="15" customHeight="1" x14ac:dyDescent="0.35">
      <c r="B11" s="4" t="s">
        <v>13</v>
      </c>
      <c r="C11" s="20">
        <v>0</v>
      </c>
      <c r="D11" s="95">
        <v>0.05</v>
      </c>
    </row>
    <row r="12" spans="2:8" ht="15" customHeight="1" x14ac:dyDescent="0.35">
      <c r="B12" s="93" t="s">
        <v>130</v>
      </c>
      <c r="C12" s="94">
        <f>SUM(C4:C11)</f>
        <v>73483.100000000006</v>
      </c>
      <c r="D12" s="21">
        <f>C4*D4+C5*D5+C9*D9+C6*D6+C8*D8+C7*D7+C10*D10+C11*D11</f>
        <v>37327.35</v>
      </c>
      <c r="F12" s="93" t="s">
        <v>128</v>
      </c>
      <c r="G12" s="94">
        <f>SUM(G4:G9)</f>
        <v>3840.8</v>
      </c>
      <c r="H12" s="21">
        <f>G4*H4+G5*H5+G6*H6+G7*H7+G8*H8+G9*H9</f>
        <v>3456.2700000000004</v>
      </c>
    </row>
    <row r="13" spans="2:8" ht="15" customHeight="1" x14ac:dyDescent="0.35">
      <c r="F13" s="93"/>
      <c r="G13" s="94"/>
      <c r="H13" s="21"/>
    </row>
    <row r="14" spans="2:8" ht="15" customHeight="1" x14ac:dyDescent="0.35">
      <c r="B14" s="16" t="s">
        <v>299</v>
      </c>
      <c r="C14" s="239" t="s">
        <v>229</v>
      </c>
      <c r="D14" s="240" t="s">
        <v>39</v>
      </c>
      <c r="F14" s="16" t="s">
        <v>302</v>
      </c>
      <c r="G14" s="239" t="s">
        <v>229</v>
      </c>
      <c r="H14" s="240" t="s">
        <v>39</v>
      </c>
    </row>
    <row r="15" spans="2:8" ht="15" customHeight="1" x14ac:dyDescent="0.35">
      <c r="B15" s="4" t="s">
        <v>131</v>
      </c>
      <c r="C15" s="20">
        <v>4.8</v>
      </c>
      <c r="D15" s="95">
        <v>0.4</v>
      </c>
      <c r="F15" s="4" t="s">
        <v>139</v>
      </c>
      <c r="G15" s="20">
        <v>0</v>
      </c>
      <c r="H15" s="95">
        <v>0.8</v>
      </c>
    </row>
    <row r="16" spans="2:8" ht="15" customHeight="1" x14ac:dyDescent="0.35">
      <c r="B16" s="1" t="s">
        <v>37</v>
      </c>
      <c r="C16" s="20">
        <f>1520.1</f>
        <v>1520.1</v>
      </c>
      <c r="D16" s="95">
        <v>0.5</v>
      </c>
      <c r="F16" s="4" t="s">
        <v>293</v>
      </c>
      <c r="G16" s="20">
        <v>0</v>
      </c>
      <c r="H16" s="95">
        <v>0.6</v>
      </c>
    </row>
    <row r="17" spans="2:8" ht="15" customHeight="1" x14ac:dyDescent="0.35">
      <c r="B17" s="1" t="s">
        <v>127</v>
      </c>
      <c r="C17" s="20">
        <v>0</v>
      </c>
      <c r="D17" s="95">
        <v>0.6</v>
      </c>
      <c r="F17" s="4" t="s">
        <v>294</v>
      </c>
      <c r="G17" s="20">
        <v>63.2</v>
      </c>
      <c r="H17" s="95">
        <v>0.6</v>
      </c>
    </row>
    <row r="18" spans="2:8" ht="15" customHeight="1" x14ac:dyDescent="0.35">
      <c r="B18" s="4" t="s">
        <v>287</v>
      </c>
      <c r="C18" s="20">
        <v>0</v>
      </c>
      <c r="D18" s="95">
        <v>0.6</v>
      </c>
      <c r="F18" s="4" t="s">
        <v>297</v>
      </c>
      <c r="G18" s="20">
        <f>41.5+40</f>
        <v>81.5</v>
      </c>
      <c r="H18" s="95">
        <v>0.1</v>
      </c>
    </row>
    <row r="19" spans="2:8" ht="15" customHeight="1" x14ac:dyDescent="0.35">
      <c r="B19" s="4" t="s">
        <v>29</v>
      </c>
      <c r="C19" s="20">
        <f>4063.1+1656.3+785.2</f>
        <v>6504.5999999999995</v>
      </c>
      <c r="D19" s="95">
        <v>0.1</v>
      </c>
      <c r="F19" s="4" t="s">
        <v>298</v>
      </c>
      <c r="G19" s="20">
        <v>0</v>
      </c>
      <c r="H19" s="95">
        <v>0.1</v>
      </c>
    </row>
    <row r="20" spans="2:8" ht="15" customHeight="1" x14ac:dyDescent="0.35">
      <c r="B20" s="4" t="s">
        <v>19</v>
      </c>
      <c r="C20" s="20">
        <v>0</v>
      </c>
      <c r="D20" s="95">
        <v>0.05</v>
      </c>
      <c r="F20" s="4" t="s">
        <v>295</v>
      </c>
      <c r="G20" s="20">
        <v>0</v>
      </c>
      <c r="H20" s="95">
        <v>0.2</v>
      </c>
    </row>
    <row r="21" spans="2:8" ht="15" customHeight="1" x14ac:dyDescent="0.35">
      <c r="B21" s="4" t="s">
        <v>20</v>
      </c>
      <c r="C21" s="20">
        <v>7.7</v>
      </c>
      <c r="D21" s="95">
        <v>0.05</v>
      </c>
      <c r="F21" s="1" t="s">
        <v>296</v>
      </c>
      <c r="G21" s="20">
        <v>387</v>
      </c>
      <c r="H21" s="95">
        <v>0.1</v>
      </c>
    </row>
    <row r="22" spans="2:8" ht="15" customHeight="1" x14ac:dyDescent="0.35">
      <c r="B22" s="4" t="s">
        <v>21</v>
      </c>
      <c r="C22" s="20">
        <v>969.9</v>
      </c>
      <c r="D22" s="95">
        <v>0.9</v>
      </c>
    </row>
    <row r="23" spans="2:8" ht="15" customHeight="1" x14ac:dyDescent="0.35">
      <c r="B23" s="4" t="s">
        <v>22</v>
      </c>
      <c r="C23" s="20">
        <v>0</v>
      </c>
      <c r="D23" s="95">
        <v>0</v>
      </c>
      <c r="F23" s="93" t="s">
        <v>129</v>
      </c>
      <c r="G23" s="94">
        <f>SUM(G15:G21)</f>
        <v>531.70000000000005</v>
      </c>
      <c r="H23" s="21">
        <f>G15*H15+G16*H16+G17*H17+G18*H18+G19*H19+G20*H20+G21*H21</f>
        <v>84.77000000000001</v>
      </c>
    </row>
    <row r="24" spans="2:8" ht="15" customHeight="1" x14ac:dyDescent="0.35">
      <c r="B24" s="93" t="s">
        <v>132</v>
      </c>
      <c r="C24" s="94">
        <f>SUM(C15:C23)</f>
        <v>9007.0999999999985</v>
      </c>
      <c r="D24" s="21">
        <f>C15*D15+C16*D16+C18*D18+C17*D17+C19*D19+C20*D20+C21*D21+C22*D22+C23*D23</f>
        <v>2285.7249999999999</v>
      </c>
    </row>
    <row r="26" spans="2:8" ht="15" customHeight="1" x14ac:dyDescent="0.35">
      <c r="B26" s="16" t="s">
        <v>317</v>
      </c>
      <c r="C26" s="239" t="s">
        <v>229</v>
      </c>
      <c r="F26" s="241" t="s">
        <v>313</v>
      </c>
      <c r="G26" s="242" t="s">
        <v>229</v>
      </c>
      <c r="H26" s="243" t="s">
        <v>39</v>
      </c>
    </row>
    <row r="27" spans="2:8" ht="15" customHeight="1" x14ac:dyDescent="0.35">
      <c r="B27" s="4" t="s">
        <v>6</v>
      </c>
      <c r="C27" s="20">
        <f>2658.1+24506.6</f>
        <v>27164.699999999997</v>
      </c>
      <c r="F27" s="244" t="s">
        <v>33</v>
      </c>
      <c r="G27" s="98">
        <f>G32-G30</f>
        <v>26381.700000000012</v>
      </c>
      <c r="H27" s="245">
        <f>H32-G30</f>
        <v>-17326.885000000002</v>
      </c>
    </row>
    <row r="28" spans="2:8" ht="15" customHeight="1" x14ac:dyDescent="0.35">
      <c r="B28" s="4" t="s">
        <v>7</v>
      </c>
      <c r="C28" s="20">
        <v>662.5</v>
      </c>
      <c r="F28" s="246" t="s">
        <v>134</v>
      </c>
      <c r="G28" s="214">
        <v>1036.4000000000001</v>
      </c>
      <c r="H28" s="245"/>
    </row>
    <row r="29" spans="2:8" ht="15" customHeight="1" x14ac:dyDescent="0.35">
      <c r="B29" s="4" t="s">
        <v>8</v>
      </c>
      <c r="C29" s="20">
        <v>0</v>
      </c>
      <c r="F29" s="247" t="s">
        <v>135</v>
      </c>
      <c r="G29" s="14">
        <f>G27-G28</f>
        <v>25345.30000000001</v>
      </c>
      <c r="H29" s="245">
        <f>H27-G28</f>
        <v>-18363.285000000003</v>
      </c>
    </row>
    <row r="30" spans="2:8" ht="15" customHeight="1" x14ac:dyDescent="0.35">
      <c r="B30" s="2" t="s">
        <v>9</v>
      </c>
      <c r="C30" s="20">
        <v>0</v>
      </c>
      <c r="F30" s="244" t="s">
        <v>24</v>
      </c>
      <c r="G30" s="98">
        <f>C33+C42</f>
        <v>60481</v>
      </c>
      <c r="H30" s="245"/>
    </row>
    <row r="31" spans="2:8" ht="15" customHeight="1" x14ac:dyDescent="0.35">
      <c r="B31" s="93" t="s">
        <v>320</v>
      </c>
      <c r="C31" s="94">
        <f>SUM(C27:C30)</f>
        <v>27827.199999999997</v>
      </c>
      <c r="F31" s="247" t="s">
        <v>136</v>
      </c>
      <c r="G31" s="248">
        <f>C31+C40</f>
        <v>29640.799999999996</v>
      </c>
      <c r="H31" s="245"/>
    </row>
    <row r="32" spans="2:8" ht="15" customHeight="1" x14ac:dyDescent="0.35">
      <c r="B32" s="4" t="s">
        <v>10</v>
      </c>
      <c r="C32" s="22">
        <f>C33-C31</f>
        <v>30241.600000000006</v>
      </c>
      <c r="F32" s="249" t="s">
        <v>133</v>
      </c>
      <c r="G32" s="250">
        <f>G35+G40</f>
        <v>86862.700000000012</v>
      </c>
      <c r="H32" s="245">
        <f>H35+H40</f>
        <v>43154.114999999998</v>
      </c>
    </row>
    <row r="33" spans="2:8" ht="15" customHeight="1" x14ac:dyDescent="0.35">
      <c r="B33" s="96" t="s">
        <v>5</v>
      </c>
      <c r="C33" s="97">
        <v>58068.800000000003</v>
      </c>
      <c r="F33" s="251"/>
      <c r="G33" s="2"/>
      <c r="H33" s="252"/>
    </row>
    <row r="34" spans="2:8" ht="15" customHeight="1" x14ac:dyDescent="0.35">
      <c r="B34" s="96"/>
      <c r="C34" s="97"/>
      <c r="F34" s="253" t="s">
        <v>319</v>
      </c>
      <c r="G34" s="254" t="s">
        <v>229</v>
      </c>
      <c r="H34" s="255" t="s">
        <v>39</v>
      </c>
    </row>
    <row r="35" spans="2:8" ht="15" customHeight="1" x14ac:dyDescent="0.35">
      <c r="B35" s="16" t="s">
        <v>318</v>
      </c>
      <c r="C35" s="239" t="s">
        <v>229</v>
      </c>
      <c r="F35" s="256" t="s">
        <v>34</v>
      </c>
      <c r="G35" s="250">
        <f>C12+C24</f>
        <v>82490.200000000012</v>
      </c>
      <c r="H35" s="257">
        <f>D12+D24</f>
        <v>39613.074999999997</v>
      </c>
    </row>
    <row r="36" spans="2:8" ht="15" customHeight="1" x14ac:dyDescent="0.35">
      <c r="B36" s="4" t="s">
        <v>14</v>
      </c>
      <c r="C36" s="20">
        <v>1297.9000000000001</v>
      </c>
      <c r="F36" s="247" t="s">
        <v>314</v>
      </c>
      <c r="G36" s="248">
        <f>C4+C15</f>
        <v>5853.6</v>
      </c>
      <c r="H36" s="252"/>
    </row>
    <row r="37" spans="2:8" ht="15" customHeight="1" x14ac:dyDescent="0.35">
      <c r="B37" s="4" t="s">
        <v>15</v>
      </c>
      <c r="C37" s="20">
        <v>515.70000000000005</v>
      </c>
      <c r="F37" s="247" t="s">
        <v>315</v>
      </c>
      <c r="G37" s="248">
        <f>C6</f>
        <v>67632</v>
      </c>
      <c r="H37" s="252"/>
    </row>
    <row r="38" spans="2:8" ht="15" customHeight="1" x14ac:dyDescent="0.35">
      <c r="B38" s="4" t="s">
        <v>16</v>
      </c>
      <c r="C38" s="20">
        <v>0</v>
      </c>
      <c r="F38" s="247" t="s">
        <v>316</v>
      </c>
      <c r="G38" s="248">
        <f>C7+C17</f>
        <v>0</v>
      </c>
      <c r="H38" s="252"/>
    </row>
    <row r="39" spans="2:8" ht="15" customHeight="1" x14ac:dyDescent="0.35">
      <c r="B39" s="2" t="s">
        <v>17</v>
      </c>
      <c r="C39" s="20">
        <v>0</v>
      </c>
      <c r="F39" s="247" t="s">
        <v>143</v>
      </c>
      <c r="G39" s="248">
        <f>C7+C17+C19+C20</f>
        <v>6504.5999999999995</v>
      </c>
      <c r="H39" s="245">
        <f>C7*D7+C17*D17+C19*D19+C20*D20</f>
        <v>650.46</v>
      </c>
    </row>
    <row r="40" spans="2:8" ht="15" customHeight="1" x14ac:dyDescent="0.35">
      <c r="B40" s="93" t="s">
        <v>321</v>
      </c>
      <c r="C40" s="94">
        <f>SUM(C36:C39)</f>
        <v>1813.6000000000001</v>
      </c>
      <c r="F40" s="256" t="s">
        <v>231</v>
      </c>
      <c r="G40" s="250">
        <f>G12+G23</f>
        <v>4372.5</v>
      </c>
      <c r="H40" s="257">
        <f>H12+H23</f>
        <v>3541.0400000000004</v>
      </c>
    </row>
    <row r="41" spans="2:8" ht="15" customHeight="1" x14ac:dyDescent="0.35">
      <c r="B41" s="4" t="s">
        <v>18</v>
      </c>
      <c r="C41" s="22">
        <f>C42-C40</f>
        <v>598.59999999999968</v>
      </c>
      <c r="F41" s="247" t="s">
        <v>307</v>
      </c>
      <c r="G41" s="248">
        <f>C69</f>
        <v>3922.3</v>
      </c>
      <c r="H41" s="257">
        <f>H40-H42</f>
        <v>3464.4200000000005</v>
      </c>
    </row>
    <row r="42" spans="2:8" ht="15" customHeight="1" x14ac:dyDescent="0.35">
      <c r="B42" s="96" t="s">
        <v>23</v>
      </c>
      <c r="C42" s="97">
        <v>2412.1999999999998</v>
      </c>
      <c r="F42" s="258" t="s">
        <v>308</v>
      </c>
      <c r="G42" s="259">
        <f>C75</f>
        <v>450.2</v>
      </c>
      <c r="H42" s="260">
        <f>D75</f>
        <v>76.62</v>
      </c>
    </row>
    <row r="44" spans="2:8" ht="15" customHeight="1" x14ac:dyDescent="0.35">
      <c r="B44" s="92" t="s">
        <v>163</v>
      </c>
      <c r="C44" s="38"/>
      <c r="D44" s="38"/>
      <c r="E44" s="38"/>
      <c r="F44" s="38"/>
      <c r="G44" s="38"/>
      <c r="H44" s="38"/>
    </row>
    <row r="45" spans="2:8" ht="15" customHeight="1" x14ac:dyDescent="0.35">
      <c r="B45" s="16" t="s">
        <v>275</v>
      </c>
      <c r="C45" s="182" t="s">
        <v>229</v>
      </c>
      <c r="D45" s="182" t="s">
        <v>230</v>
      </c>
      <c r="F45" s="118" t="s">
        <v>117</v>
      </c>
    </row>
    <row r="46" spans="2:8" ht="15" customHeight="1" x14ac:dyDescent="0.35">
      <c r="B46" s="1" t="str">
        <f>"Equity per share ("&amp;Market_currency&amp;")"</f>
        <v>Equity per share (HKD)</v>
      </c>
      <c r="C46" s="170">
        <f>G29*H1/Common_Shares*Exchange_Rate</f>
        <v>3.7414123461455583E-2</v>
      </c>
      <c r="D46" s="170">
        <f>H29*H1/Common_Shares*Exchange_Rate</f>
        <v>-2.7107440517488264E-2</v>
      </c>
    </row>
    <row r="47" spans="2:8" ht="15" customHeight="1" x14ac:dyDescent="0.35">
      <c r="B47" s="1" t="s">
        <v>289</v>
      </c>
      <c r="C47" s="107">
        <f>G28/G29</f>
        <v>4.0891210599203781E-2</v>
      </c>
      <c r="D47" s="107">
        <f>IF(G28&lt;=0,0,G28/G29)</f>
        <v>4.0891210599203781E-2</v>
      </c>
    </row>
    <row r="49" spans="2:8" ht="15" customHeight="1" x14ac:dyDescent="0.35">
      <c r="B49" s="183" t="s">
        <v>236</v>
      </c>
      <c r="C49" s="115" t="s">
        <v>115</v>
      </c>
      <c r="D49" s="115" t="s">
        <v>162</v>
      </c>
      <c r="E49" s="2"/>
    </row>
    <row r="50" spans="2:8" ht="15" customHeight="1" x14ac:dyDescent="0.35">
      <c r="B50" s="8" t="s">
        <v>160</v>
      </c>
      <c r="C50" s="113">
        <f>G31/Normalized_FCF!C8</f>
        <v>5.225508920323841E-2</v>
      </c>
      <c r="D50" s="113">
        <f>G31/Normalized_FCF!G8</f>
        <v>2.1507891819094776E-2</v>
      </c>
    </row>
    <row r="51" spans="2:8" ht="15" customHeight="1" x14ac:dyDescent="0.35">
      <c r="B51" s="1" t="s">
        <v>290</v>
      </c>
      <c r="C51" s="238"/>
      <c r="D51" s="170">
        <f>G31*H1/Common_Shares</f>
        <v>4.3755037450585003E-2</v>
      </c>
    </row>
    <row r="52" spans="2:8" ht="15" customHeight="1" x14ac:dyDescent="0.35">
      <c r="B52" s="1" t="s">
        <v>292</v>
      </c>
      <c r="C52" s="238"/>
      <c r="D52" s="107">
        <f>G29/G32</f>
        <v>0.29178577225897889</v>
      </c>
    </row>
    <row r="54" spans="2:8" ht="15" customHeight="1" x14ac:dyDescent="0.35">
      <c r="B54" s="183" t="s">
        <v>235</v>
      </c>
      <c r="C54" s="115" t="s">
        <v>115</v>
      </c>
      <c r="D54" s="115" t="s">
        <v>162</v>
      </c>
    </row>
    <row r="55" spans="2:8" ht="15" customHeight="1" x14ac:dyDescent="0.35">
      <c r="B55" s="1" t="s">
        <v>232</v>
      </c>
      <c r="C55" s="107">
        <f>Normalized_FCF!C8/G35</f>
        <v>6.8763657892195447</v>
      </c>
      <c r="D55" s="107">
        <f>Normalized_FCF!G8/G35</f>
        <v>16.70666333697821</v>
      </c>
    </row>
    <row r="56" spans="2:8" ht="15" customHeight="1" x14ac:dyDescent="0.35">
      <c r="B56" s="1" t="s">
        <v>234</v>
      </c>
      <c r="C56" s="107">
        <f>Normalized_FCF!C11/G40</f>
        <v>0</v>
      </c>
      <c r="D56" s="107">
        <f>Normalized_FCF!G11/G40</f>
        <v>-285.51631789594057</v>
      </c>
    </row>
    <row r="58" spans="2:8" ht="15" customHeight="1" x14ac:dyDescent="0.35">
      <c r="B58" s="183" t="s">
        <v>291</v>
      </c>
      <c r="C58" s="115" t="s">
        <v>115</v>
      </c>
      <c r="D58" s="115" t="s">
        <v>162</v>
      </c>
    </row>
    <row r="59" spans="2:8" ht="15" customHeight="1" x14ac:dyDescent="0.35">
      <c r="B59" s="2" t="s">
        <v>156</v>
      </c>
      <c r="C59" s="116"/>
      <c r="D59" s="24">
        <f>Normalized_FCF!G9/BS!$G$39</f>
        <v>0</v>
      </c>
      <c r="F59" s="18" t="s">
        <v>144</v>
      </c>
    </row>
    <row r="60" spans="2:8" ht="15" customHeight="1" x14ac:dyDescent="0.35">
      <c r="B60" s="1" t="s">
        <v>159</v>
      </c>
      <c r="C60" s="116"/>
      <c r="D60" s="107">
        <f>G39/G32</f>
        <v>7.4883695763544061E-2</v>
      </c>
    </row>
    <row r="63" spans="2:8" ht="15" customHeight="1" x14ac:dyDescent="0.35">
      <c r="B63" s="92" t="s">
        <v>309</v>
      </c>
      <c r="C63" s="38"/>
      <c r="D63" s="38"/>
      <c r="E63" s="38"/>
      <c r="F63" s="38"/>
      <c r="G63" s="38"/>
      <c r="H63" s="38"/>
    </row>
    <row r="64" spans="2:8" ht="15" customHeight="1" x14ac:dyDescent="0.35">
      <c r="B64" s="16" t="s">
        <v>304</v>
      </c>
      <c r="C64" s="182" t="s">
        <v>229</v>
      </c>
      <c r="D64" s="240" t="s">
        <v>39</v>
      </c>
    </row>
    <row r="65" spans="2:6" ht="15" customHeight="1" x14ac:dyDescent="0.35">
      <c r="B65" s="125" t="s">
        <v>303</v>
      </c>
      <c r="C65" s="21">
        <f>G4+G5+G15</f>
        <v>3839.3</v>
      </c>
      <c r="D65" s="221">
        <f>G4*H4+G5*H5+G15*H15</f>
        <v>3455.3700000000003</v>
      </c>
      <c r="F65" s="18" t="s">
        <v>346</v>
      </c>
    </row>
    <row r="66" spans="2:6" ht="15" customHeight="1" x14ac:dyDescent="0.35">
      <c r="B66" s="125" t="s">
        <v>293</v>
      </c>
      <c r="C66" s="21">
        <f>G6+G16</f>
        <v>1.5</v>
      </c>
    </row>
    <row r="67" spans="2:6" ht="15" customHeight="1" x14ac:dyDescent="0.35">
      <c r="B67" s="125" t="s">
        <v>297</v>
      </c>
      <c r="C67" s="21">
        <f>G18</f>
        <v>81.5</v>
      </c>
    </row>
    <row r="68" spans="2:6" ht="15" customHeight="1" x14ac:dyDescent="0.35">
      <c r="B68" s="125" t="s">
        <v>295</v>
      </c>
      <c r="C68" s="21">
        <f>G8+G20</f>
        <v>0</v>
      </c>
    </row>
    <row r="69" spans="2:6" ht="15" customHeight="1" x14ac:dyDescent="0.35">
      <c r="B69" s="93" t="s">
        <v>304</v>
      </c>
      <c r="C69" s="94">
        <f>SUM(C65:C68)</f>
        <v>3922.3</v>
      </c>
    </row>
    <row r="71" spans="2:6" ht="15" customHeight="1" x14ac:dyDescent="0.35">
      <c r="B71" s="16" t="s">
        <v>305</v>
      </c>
      <c r="C71" s="182" t="s">
        <v>229</v>
      </c>
      <c r="D71" s="182" t="s">
        <v>230</v>
      </c>
    </row>
    <row r="72" spans="2:6" ht="15" customHeight="1" x14ac:dyDescent="0.35">
      <c r="B72" s="125" t="s">
        <v>294</v>
      </c>
      <c r="C72" s="21">
        <f>G7+G17</f>
        <v>63.2</v>
      </c>
      <c r="D72" s="221">
        <f>G7*H7+G17*H17</f>
        <v>37.92</v>
      </c>
    </row>
    <row r="73" spans="2:6" ht="15" customHeight="1" x14ac:dyDescent="0.35">
      <c r="B73" s="125" t="s">
        <v>298</v>
      </c>
      <c r="C73" s="21">
        <f>G19</f>
        <v>0</v>
      </c>
      <c r="D73" s="221">
        <f>G19*H19</f>
        <v>0</v>
      </c>
    </row>
    <row r="74" spans="2:6" ht="15" customHeight="1" x14ac:dyDescent="0.35">
      <c r="B74" s="125" t="s">
        <v>296</v>
      </c>
      <c r="C74" s="21">
        <f>G9+G21</f>
        <v>387</v>
      </c>
      <c r="D74" s="221">
        <f>G9*H9+G21*H21</f>
        <v>38.700000000000003</v>
      </c>
    </row>
    <row r="75" spans="2:6" ht="15" customHeight="1" x14ac:dyDescent="0.35">
      <c r="B75" s="93" t="s">
        <v>305</v>
      </c>
      <c r="C75" s="94">
        <f>SUM(C72:C74)</f>
        <v>450.2</v>
      </c>
      <c r="D75" s="94">
        <f>SUM(D72:D74)</f>
        <v>76.62</v>
      </c>
    </row>
  </sheetData>
  <phoneticPr fontId="2" type="noConversion"/>
  <pageMargins left="0.25" right="0.25" top="0.75" bottom="0.75" header="0.3" footer="0.3"/>
  <pageSetup scale="7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topLeftCell="A16" zoomScale="85" zoomScaleNormal="85" workbookViewId="0">
      <selection activeCell="F11" sqref="F11"/>
    </sheetView>
  </sheetViews>
  <sheetFormatPr defaultColWidth="8.796875" defaultRowHeight="12.75" x14ac:dyDescent="0.35"/>
  <cols>
    <col min="1" max="1" width="6.1328125" customWidth="1"/>
    <col min="2" max="2" width="24.73046875" customWidth="1"/>
    <col min="3" max="6" width="20.6640625" customWidth="1"/>
    <col min="7" max="7" width="5.6640625" customWidth="1"/>
    <col min="8" max="8" width="56.796875" bestFit="1" customWidth="1"/>
  </cols>
  <sheetData>
    <row r="2" spans="2:8" ht="13.9" x14ac:dyDescent="0.45">
      <c r="B2" s="37" t="s">
        <v>86</v>
      </c>
      <c r="C2" s="38"/>
      <c r="D2" s="38"/>
      <c r="E2" s="38"/>
      <c r="F2" s="38"/>
      <c r="H2" s="153" t="s">
        <v>117</v>
      </c>
    </row>
    <row r="3" spans="2:8" ht="13.15" x14ac:dyDescent="0.4">
      <c r="B3" s="131" t="s">
        <v>271</v>
      </c>
      <c r="C3" s="127">
        <f>Normalized_FCF!C3</f>
        <v>1000</v>
      </c>
      <c r="E3" s="131" t="s">
        <v>207</v>
      </c>
      <c r="H3" s="143"/>
    </row>
    <row r="4" spans="2:8" x14ac:dyDescent="0.35">
      <c r="B4" s="119" t="s">
        <v>216</v>
      </c>
      <c r="C4" s="132">
        <f>Normalized_FCF!C19</f>
        <v>336835.7055339262</v>
      </c>
      <c r="D4" t="str">
        <f>Reporting_currency</f>
        <v>HKD</v>
      </c>
      <c r="E4" s="119" t="s">
        <v>212</v>
      </c>
      <c r="F4" s="157">
        <v>0</v>
      </c>
      <c r="H4" s="143"/>
    </row>
    <row r="5" spans="2:8" x14ac:dyDescent="0.35">
      <c r="B5" s="265" t="s">
        <v>206</v>
      </c>
      <c r="C5" s="266">
        <f>Thesis!C37</f>
        <v>0.1</v>
      </c>
      <c r="E5" s="171" t="s">
        <v>208</v>
      </c>
      <c r="H5" s="143"/>
    </row>
    <row r="6" spans="2:8" ht="13.15" x14ac:dyDescent="0.4">
      <c r="B6" s="172" t="s">
        <v>348</v>
      </c>
      <c r="C6" s="270">
        <f>(C4*(1+Terminal_Growth))/(Equity_Cost-Terminal_Growth)</f>
        <v>3368357.0553392619</v>
      </c>
      <c r="D6" t="str">
        <f>Reporting_currency</f>
        <v>HKD</v>
      </c>
      <c r="E6" s="171" t="s">
        <v>213</v>
      </c>
      <c r="H6" s="143"/>
    </row>
    <row r="7" spans="2:8" x14ac:dyDescent="0.35">
      <c r="B7" s="171" t="s">
        <v>344</v>
      </c>
      <c r="C7" s="262">
        <f>BS!G31</f>
        <v>29640.799999999996</v>
      </c>
      <c r="D7" t="str">
        <f>Reporting_currency</f>
        <v>HKD</v>
      </c>
      <c r="H7" s="143"/>
    </row>
    <row r="8" spans="2:8" x14ac:dyDescent="0.35">
      <c r="B8" s="171" t="s">
        <v>345</v>
      </c>
      <c r="C8" s="237">
        <f>BS!D65</f>
        <v>3455.3700000000003</v>
      </c>
      <c r="D8" t="str">
        <f>Reporting_currency</f>
        <v>HKD</v>
      </c>
      <c r="H8" s="143"/>
    </row>
    <row r="9" spans="2:8" x14ac:dyDescent="0.35">
      <c r="B9" s="265" t="s">
        <v>306</v>
      </c>
      <c r="C9" s="267">
        <f>BS!H42</f>
        <v>76.62</v>
      </c>
      <c r="D9" t="str">
        <f>Reporting_currency</f>
        <v>HKD</v>
      </c>
      <c r="H9" s="143"/>
    </row>
    <row r="10" spans="2:8" ht="13.15" x14ac:dyDescent="0.4">
      <c r="B10" s="172" t="s">
        <v>347</v>
      </c>
      <c r="C10" s="270">
        <f>C6-C7+C8+C9</f>
        <v>3342248.2453392623</v>
      </c>
      <c r="D10" t="str">
        <f>Reporting_currency</f>
        <v>HKD</v>
      </c>
      <c r="H10" s="143"/>
    </row>
    <row r="11" spans="2:8" ht="13.15" thickBot="1" x14ac:dyDescent="0.4">
      <c r="B11" s="268" t="s">
        <v>276</v>
      </c>
      <c r="C11" s="269">
        <f>Exchange_Rate</f>
        <v>1</v>
      </c>
      <c r="D11" t="str">
        <f>Thesis!D13</f>
        <v>HKD</v>
      </c>
      <c r="H11" s="143"/>
    </row>
    <row r="12" spans="2:8" ht="13.5" thickTop="1" x14ac:dyDescent="0.4">
      <c r="B12" s="172" t="s">
        <v>181</v>
      </c>
      <c r="C12" s="134">
        <f>(C10*C3)/Common_Shares*C11</f>
        <v>4.9337466311291012</v>
      </c>
      <c r="D12" t="str">
        <f>Market_currency</f>
        <v>HKD</v>
      </c>
      <c r="H12" s="143"/>
    </row>
    <row r="13" spans="2:8" x14ac:dyDescent="0.35">
      <c r="H13" s="143"/>
    </row>
    <row r="14" spans="2:8" ht="13.9" x14ac:dyDescent="0.45">
      <c r="B14" s="37" t="s">
        <v>349</v>
      </c>
      <c r="C14" s="38"/>
      <c r="D14" s="38"/>
      <c r="E14" s="38"/>
      <c r="F14" s="38"/>
      <c r="H14" s="143"/>
    </row>
    <row r="15" spans="2:8" ht="13.15" x14ac:dyDescent="0.35">
      <c r="B15" s="142" t="s">
        <v>223</v>
      </c>
      <c r="H15" s="143"/>
    </row>
    <row r="16" spans="2:8" ht="13.25" customHeight="1" x14ac:dyDescent="0.35">
      <c r="B16" s="175" t="s">
        <v>221</v>
      </c>
      <c r="C16" s="187">
        <f>Scenarios!C25</f>
        <v>0.12</v>
      </c>
      <c r="H16" s="143"/>
    </row>
    <row r="17" spans="2:8" ht="13.25" customHeight="1" x14ac:dyDescent="0.35">
      <c r="B17" s="141" t="s">
        <v>222</v>
      </c>
      <c r="C17" s="188">
        <f>Scenarios!C24</f>
        <v>15</v>
      </c>
      <c r="H17" s="143"/>
    </row>
    <row r="18" spans="2:8" ht="13.25" customHeight="1" x14ac:dyDescent="0.4">
      <c r="B18" s="176" t="s">
        <v>186</v>
      </c>
      <c r="C18" s="163">
        <f>(F52-C7+C8+C9)/Common_Shares*C3</f>
        <v>9.9356523522531912</v>
      </c>
      <c r="D18" t="str">
        <f>IF(ROUND(C18,1)=ROUND(Scenarios!C29,1),"equals Market Price","a Current Projection")</f>
        <v>a Current Projection</v>
      </c>
      <c r="H18" s="143"/>
    </row>
    <row r="19" spans="2:8" x14ac:dyDescent="0.35">
      <c r="H19" s="143"/>
    </row>
    <row r="20" spans="2:8" ht="13.15" x14ac:dyDescent="0.4">
      <c r="B20" s="151" t="s">
        <v>187</v>
      </c>
      <c r="C20" s="151" t="s">
        <v>188</v>
      </c>
      <c r="D20" s="151" t="s">
        <v>200</v>
      </c>
      <c r="E20" s="151" t="s">
        <v>189</v>
      </c>
      <c r="F20" s="152" t="s">
        <v>190</v>
      </c>
      <c r="H20" s="143"/>
    </row>
    <row r="21" spans="2:8" x14ac:dyDescent="0.35">
      <c r="B21" s="145">
        <v>1</v>
      </c>
      <c r="C21" s="146">
        <f>C4*(1+D21)</f>
        <v>377255.99019799737</v>
      </c>
      <c r="D21" s="161">
        <f>IF($C$17&lt;B21,0,Valuation_Model!$C$16)</f>
        <v>0.12</v>
      </c>
      <c r="E21" s="147">
        <f t="shared" ref="E21:E50" si="0">IF($C$17&lt;B21,0,1/(1+Equity_Cost)^B21)</f>
        <v>0.90909090909090906</v>
      </c>
      <c r="F21" s="148">
        <f t="shared" ref="F21:F51" si="1">C21*E21</f>
        <v>342959.99108908849</v>
      </c>
      <c r="H21" s="143"/>
    </row>
    <row r="22" spans="2:8" x14ac:dyDescent="0.35">
      <c r="B22" s="145">
        <v>2</v>
      </c>
      <c r="C22" s="146">
        <f t="shared" ref="C22:C50" si="2">IF(ROW()-ROW($C$21)&lt;$C$17, $C$21*(1+D22)^(ROW()-ROW($C$21)), 0)</f>
        <v>422526.70902175707</v>
      </c>
      <c r="D22" s="161">
        <f>IF($C$17&lt;B22,0,Valuation_Model!$C$16)</f>
        <v>0.12</v>
      </c>
      <c r="E22" s="147">
        <f t="shared" si="0"/>
        <v>0.82644628099173545</v>
      </c>
      <c r="F22" s="148">
        <f t="shared" si="1"/>
        <v>349195.6272907083</v>
      </c>
      <c r="H22" s="143"/>
    </row>
    <row r="23" spans="2:8" x14ac:dyDescent="0.35">
      <c r="B23" s="145">
        <v>3</v>
      </c>
      <c r="C23" s="146">
        <f t="shared" si="2"/>
        <v>473229.91410436796</v>
      </c>
      <c r="D23" s="161">
        <f>IF($C$17&lt;B23,0,Valuation_Model!$C$16)</f>
        <v>0.12</v>
      </c>
      <c r="E23" s="147">
        <f t="shared" si="0"/>
        <v>0.75131480090157754</v>
      </c>
      <c r="F23" s="148">
        <f t="shared" si="1"/>
        <v>355544.63869599387</v>
      </c>
      <c r="H23" s="143"/>
    </row>
    <row r="24" spans="2:8" x14ac:dyDescent="0.35">
      <c r="B24" s="145">
        <v>4</v>
      </c>
      <c r="C24" s="146">
        <f t="shared" si="2"/>
        <v>530017.50379689224</v>
      </c>
      <c r="D24" s="161">
        <f>IF($C$17&lt;B24,0,Valuation_Model!$C$16)</f>
        <v>0.12</v>
      </c>
      <c r="E24" s="147">
        <f t="shared" si="0"/>
        <v>0.68301345536507052</v>
      </c>
      <c r="F24" s="148">
        <f t="shared" si="1"/>
        <v>362009.08667228476</v>
      </c>
      <c r="H24" s="143"/>
    </row>
    <row r="25" spans="2:8" x14ac:dyDescent="0.35">
      <c r="B25" s="145">
        <v>5</v>
      </c>
      <c r="C25" s="146">
        <f t="shared" si="2"/>
        <v>593619.6042525192</v>
      </c>
      <c r="D25" s="161">
        <f>IF($C$17&lt;B25,0,Valuation_Model!$C$16)</f>
        <v>0.12</v>
      </c>
      <c r="E25" s="147">
        <f t="shared" si="0"/>
        <v>0.62092132305915493</v>
      </c>
      <c r="F25" s="148">
        <f t="shared" si="1"/>
        <v>368591.07006632618</v>
      </c>
      <c r="H25" s="143"/>
    </row>
    <row r="26" spans="2:8" x14ac:dyDescent="0.35">
      <c r="B26" s="145">
        <v>6</v>
      </c>
      <c r="C26" s="146">
        <f t="shared" si="2"/>
        <v>664853.95676282153</v>
      </c>
      <c r="D26" s="161">
        <f>IF($C$17&lt;B26,0,Valuation_Model!$C$16)</f>
        <v>0.12</v>
      </c>
      <c r="E26" s="147">
        <f t="shared" si="0"/>
        <v>0.56447393005377722</v>
      </c>
      <c r="F26" s="148">
        <f t="shared" si="1"/>
        <v>375292.72588571394</v>
      </c>
      <c r="H26" s="143"/>
    </row>
    <row r="27" spans="2:8" x14ac:dyDescent="0.35">
      <c r="B27" s="145">
        <v>7</v>
      </c>
      <c r="C27" s="146">
        <f t="shared" si="2"/>
        <v>744636.43157436023</v>
      </c>
      <c r="D27" s="161">
        <f>IF($C$17&lt;B27,0,Valuation_Model!$C$16)</f>
        <v>0.12</v>
      </c>
      <c r="E27" s="147">
        <f t="shared" si="0"/>
        <v>0.51315811823070645</v>
      </c>
      <c r="F27" s="148">
        <f t="shared" si="1"/>
        <v>382116.22999272688</v>
      </c>
      <c r="H27" s="143"/>
    </row>
    <row r="28" spans="2:8" x14ac:dyDescent="0.35">
      <c r="B28" s="145">
        <v>8</v>
      </c>
      <c r="C28" s="146">
        <f t="shared" si="2"/>
        <v>833992.80336328351</v>
      </c>
      <c r="D28" s="161">
        <f>IF($C$17&lt;B28,0,Valuation_Model!$C$16)</f>
        <v>0.12</v>
      </c>
      <c r="E28" s="147">
        <f t="shared" si="0"/>
        <v>0.46650738020973315</v>
      </c>
      <c r="F28" s="148">
        <f t="shared" si="1"/>
        <v>389063.79781077651</v>
      </c>
      <c r="H28" s="143"/>
    </row>
    <row r="29" spans="2:8" x14ac:dyDescent="0.35">
      <c r="B29" s="145">
        <v>9</v>
      </c>
      <c r="C29" s="146">
        <f t="shared" si="2"/>
        <v>934071.93976687756</v>
      </c>
      <c r="D29" s="161">
        <f>IF($C$17&lt;B29,0,Valuation_Model!$C$16)</f>
        <v>0.12</v>
      </c>
      <c r="E29" s="147">
        <f t="shared" si="0"/>
        <v>0.42409761837248466</v>
      </c>
      <c r="F29" s="148">
        <f t="shared" si="1"/>
        <v>396137.68504369975</v>
      </c>
      <c r="H29" s="143"/>
    </row>
    <row r="30" spans="2:8" x14ac:dyDescent="0.35">
      <c r="B30" s="145">
        <v>10</v>
      </c>
      <c r="C30" s="146">
        <f t="shared" si="2"/>
        <v>1046160.572538903</v>
      </c>
      <c r="D30" s="161">
        <f>IF($C$17&lt;B30,0,Valuation_Model!$C$16)</f>
        <v>0.12</v>
      </c>
      <c r="E30" s="147">
        <f t="shared" si="0"/>
        <v>0.38554328942953148</v>
      </c>
      <c r="F30" s="148">
        <f t="shared" si="1"/>
        <v>403340.18840813061</v>
      </c>
      <c r="H30" s="143"/>
    </row>
    <row r="31" spans="2:8" x14ac:dyDescent="0.35">
      <c r="B31" s="145">
        <v>11</v>
      </c>
      <c r="C31" s="146">
        <f t="shared" si="2"/>
        <v>1171699.8412435714</v>
      </c>
      <c r="D31" s="161">
        <f>IF($C$17&lt;B31,0,Valuation_Model!$C$16)</f>
        <v>0.12</v>
      </c>
      <c r="E31" s="147">
        <f t="shared" si="0"/>
        <v>0.3504938994813922</v>
      </c>
      <c r="F31" s="148">
        <f t="shared" si="1"/>
        <v>410673.64637918753</v>
      </c>
      <c r="H31" s="143"/>
    </row>
    <row r="32" spans="2:8" x14ac:dyDescent="0.35">
      <c r="B32" s="145">
        <v>12</v>
      </c>
      <c r="C32" s="146">
        <f t="shared" si="2"/>
        <v>1312303.8221928002</v>
      </c>
      <c r="D32" s="161">
        <f>IF($C$17&lt;B32,0,Valuation_Model!$C$16)</f>
        <v>0.12</v>
      </c>
      <c r="E32" s="147">
        <f t="shared" si="0"/>
        <v>0.31863081771035656</v>
      </c>
      <c r="F32" s="148">
        <f t="shared" si="1"/>
        <v>418140.4399497183</v>
      </c>
      <c r="H32" s="143"/>
    </row>
    <row r="33" spans="2:8" x14ac:dyDescent="0.35">
      <c r="B33" s="145">
        <v>13</v>
      </c>
      <c r="C33" s="146">
        <f t="shared" si="2"/>
        <v>1469780.280855936</v>
      </c>
      <c r="D33" s="161">
        <f>IF($C$17&lt;B33,0,Valuation_Model!$C$16)</f>
        <v>0.12</v>
      </c>
      <c r="E33" s="147">
        <f t="shared" si="0"/>
        <v>0.28966437973668779</v>
      </c>
      <c r="F33" s="148">
        <f t="shared" si="1"/>
        <v>425742.99340334948</v>
      </c>
      <c r="H33" s="143"/>
    </row>
    <row r="34" spans="2:8" x14ac:dyDescent="0.35">
      <c r="B34" s="145">
        <v>14</v>
      </c>
      <c r="C34" s="146">
        <f t="shared" si="2"/>
        <v>1646153.9145586486</v>
      </c>
      <c r="D34" s="161">
        <f>IF($C$17&lt;B34,0,Valuation_Model!$C$16)</f>
        <v>0.12</v>
      </c>
      <c r="E34" s="147">
        <f t="shared" si="0"/>
        <v>0.26333125430607973</v>
      </c>
      <c r="F34" s="148">
        <f t="shared" si="1"/>
        <v>433483.77510159212</v>
      </c>
      <c r="H34" s="143"/>
    </row>
    <row r="35" spans="2:8" x14ac:dyDescent="0.35">
      <c r="B35" s="145">
        <v>15</v>
      </c>
      <c r="C35" s="146">
        <f t="shared" si="2"/>
        <v>1843692.3843056867</v>
      </c>
      <c r="D35" s="161">
        <f>IF($C$17&lt;B35,0,Valuation_Model!$C$16)</f>
        <v>0.12</v>
      </c>
      <c r="E35" s="147">
        <f t="shared" si="0"/>
        <v>0.23939204936916339</v>
      </c>
      <c r="F35" s="148">
        <f t="shared" si="1"/>
        <v>441365.29828525754</v>
      </c>
      <c r="H35" s="143"/>
    </row>
    <row r="36" spans="2:8" x14ac:dyDescent="0.35">
      <c r="B36" s="145">
        <v>16</v>
      </c>
      <c r="C36" s="146">
        <f t="shared" si="2"/>
        <v>0</v>
      </c>
      <c r="D36" s="161">
        <f>IF($C$17&lt;B36,0,Valuation_Model!$C$16)</f>
        <v>0</v>
      </c>
      <c r="E36" s="147">
        <f t="shared" si="0"/>
        <v>0</v>
      </c>
      <c r="F36" s="148">
        <f t="shared" si="1"/>
        <v>0</v>
      </c>
      <c r="H36" s="143"/>
    </row>
    <row r="37" spans="2:8" x14ac:dyDescent="0.35">
      <c r="B37" s="145">
        <v>17</v>
      </c>
      <c r="C37" s="146">
        <f t="shared" si="2"/>
        <v>0</v>
      </c>
      <c r="D37" s="161">
        <f>IF($C$17&lt;B37,0,Valuation_Model!$C$16)</f>
        <v>0</v>
      </c>
      <c r="E37" s="147">
        <f t="shared" si="0"/>
        <v>0</v>
      </c>
      <c r="F37" s="148">
        <f t="shared" si="1"/>
        <v>0</v>
      </c>
      <c r="H37" s="143"/>
    </row>
    <row r="38" spans="2:8" x14ac:dyDescent="0.35">
      <c r="B38" s="145">
        <v>18</v>
      </c>
      <c r="C38" s="146">
        <f t="shared" si="2"/>
        <v>0</v>
      </c>
      <c r="D38" s="161">
        <f>IF($C$17&lt;B38,0,Valuation_Model!$C$16)</f>
        <v>0</v>
      </c>
      <c r="E38" s="147">
        <f t="shared" si="0"/>
        <v>0</v>
      </c>
      <c r="F38" s="148">
        <f t="shared" si="1"/>
        <v>0</v>
      </c>
      <c r="H38" s="143"/>
    </row>
    <row r="39" spans="2:8" x14ac:dyDescent="0.35">
      <c r="B39" s="145">
        <v>19</v>
      </c>
      <c r="C39" s="146">
        <f t="shared" si="2"/>
        <v>0</v>
      </c>
      <c r="D39" s="161">
        <f>IF($C$17&lt;B39,0,Valuation_Model!$C$16)</f>
        <v>0</v>
      </c>
      <c r="E39" s="147">
        <f t="shared" si="0"/>
        <v>0</v>
      </c>
      <c r="F39" s="148">
        <f t="shared" si="1"/>
        <v>0</v>
      </c>
      <c r="H39" s="143"/>
    </row>
    <row r="40" spans="2:8" x14ac:dyDescent="0.35">
      <c r="B40" s="145">
        <v>20</v>
      </c>
      <c r="C40" s="146">
        <f t="shared" si="2"/>
        <v>0</v>
      </c>
      <c r="D40" s="161">
        <f>IF($C$17&lt;B40,0,Valuation_Model!$C$16)</f>
        <v>0</v>
      </c>
      <c r="E40" s="147">
        <f t="shared" si="0"/>
        <v>0</v>
      </c>
      <c r="F40" s="148">
        <f t="shared" si="1"/>
        <v>0</v>
      </c>
      <c r="H40" s="143"/>
    </row>
    <row r="41" spans="2:8" x14ac:dyDescent="0.35">
      <c r="B41" s="145">
        <v>21</v>
      </c>
      <c r="C41" s="146">
        <f t="shared" si="2"/>
        <v>0</v>
      </c>
      <c r="D41" s="161">
        <f>IF($C$17&lt;B41,0,Valuation_Model!$C$16)</f>
        <v>0</v>
      </c>
      <c r="E41" s="147">
        <f t="shared" si="0"/>
        <v>0</v>
      </c>
      <c r="F41" s="148">
        <f t="shared" si="1"/>
        <v>0</v>
      </c>
      <c r="H41" s="143"/>
    </row>
    <row r="42" spans="2:8" x14ac:dyDescent="0.35">
      <c r="B42" s="145">
        <v>22</v>
      </c>
      <c r="C42" s="146">
        <f t="shared" si="2"/>
        <v>0</v>
      </c>
      <c r="D42" s="161">
        <f>IF($C$17&lt;B42,0,Valuation_Model!$C$16)</f>
        <v>0</v>
      </c>
      <c r="E42" s="147">
        <f t="shared" si="0"/>
        <v>0</v>
      </c>
      <c r="F42" s="148">
        <f t="shared" si="1"/>
        <v>0</v>
      </c>
      <c r="H42" s="143"/>
    </row>
    <row r="43" spans="2:8" x14ac:dyDescent="0.35">
      <c r="B43" s="145">
        <v>23</v>
      </c>
      <c r="C43" s="146">
        <f t="shared" si="2"/>
        <v>0</v>
      </c>
      <c r="D43" s="161">
        <f>IF($C$17&lt;B43,0,Valuation_Model!$C$16)</f>
        <v>0</v>
      </c>
      <c r="E43" s="147">
        <f t="shared" si="0"/>
        <v>0</v>
      </c>
      <c r="F43" s="148">
        <f t="shared" si="1"/>
        <v>0</v>
      </c>
      <c r="H43" s="143"/>
    </row>
    <row r="44" spans="2:8" x14ac:dyDescent="0.35">
      <c r="B44" s="145">
        <v>24</v>
      </c>
      <c r="C44" s="146">
        <f t="shared" si="2"/>
        <v>0</v>
      </c>
      <c r="D44" s="161">
        <f>IF($C$17&lt;B44,0,Valuation_Model!$C$16)</f>
        <v>0</v>
      </c>
      <c r="E44" s="147">
        <f t="shared" si="0"/>
        <v>0</v>
      </c>
      <c r="F44" s="148">
        <f t="shared" si="1"/>
        <v>0</v>
      </c>
      <c r="H44" s="143"/>
    </row>
    <row r="45" spans="2:8" x14ac:dyDescent="0.35">
      <c r="B45" s="145">
        <v>25</v>
      </c>
      <c r="C45" s="146">
        <f t="shared" si="2"/>
        <v>0</v>
      </c>
      <c r="D45" s="161">
        <f>IF($C$17&lt;B45,0,Valuation_Model!$C$16)</f>
        <v>0</v>
      </c>
      <c r="E45" s="147">
        <f t="shared" si="0"/>
        <v>0</v>
      </c>
      <c r="F45" s="148">
        <f t="shared" si="1"/>
        <v>0</v>
      </c>
      <c r="H45" s="143"/>
    </row>
    <row r="46" spans="2:8" x14ac:dyDescent="0.35">
      <c r="B46" s="145">
        <v>26</v>
      </c>
      <c r="C46" s="146">
        <f t="shared" si="2"/>
        <v>0</v>
      </c>
      <c r="D46" s="161">
        <f>IF($C$17&lt;B46,0,Valuation_Model!$C$16)</f>
        <v>0</v>
      </c>
      <c r="E46" s="147">
        <f t="shared" si="0"/>
        <v>0</v>
      </c>
      <c r="F46" s="148">
        <f t="shared" si="1"/>
        <v>0</v>
      </c>
      <c r="H46" s="143"/>
    </row>
    <row r="47" spans="2:8" x14ac:dyDescent="0.35">
      <c r="B47" s="145">
        <v>27</v>
      </c>
      <c r="C47" s="146">
        <f t="shared" si="2"/>
        <v>0</v>
      </c>
      <c r="D47" s="161">
        <f>IF($C$17&lt;B47,0,Valuation_Model!$C$16)</f>
        <v>0</v>
      </c>
      <c r="E47" s="147">
        <f t="shared" si="0"/>
        <v>0</v>
      </c>
      <c r="F47" s="148">
        <f t="shared" si="1"/>
        <v>0</v>
      </c>
      <c r="H47" s="143"/>
    </row>
    <row r="48" spans="2:8" x14ac:dyDescent="0.35">
      <c r="B48" s="145">
        <v>28</v>
      </c>
      <c r="C48" s="146">
        <f t="shared" si="2"/>
        <v>0</v>
      </c>
      <c r="D48" s="161">
        <f>IF($C$17&lt;B48,0,Valuation_Model!$C$16)</f>
        <v>0</v>
      </c>
      <c r="E48" s="147">
        <f t="shared" si="0"/>
        <v>0</v>
      </c>
      <c r="F48" s="148">
        <f t="shared" si="1"/>
        <v>0</v>
      </c>
      <c r="H48" s="143"/>
    </row>
    <row r="49" spans="1:8" x14ac:dyDescent="0.35">
      <c r="B49" s="145">
        <v>29</v>
      </c>
      <c r="C49" s="146">
        <f t="shared" si="2"/>
        <v>0</v>
      </c>
      <c r="D49" s="161">
        <f>IF($C$17&lt;B49,0,Valuation_Model!$C$16)</f>
        <v>0</v>
      </c>
      <c r="E49" s="147">
        <f t="shared" si="0"/>
        <v>0</v>
      </c>
      <c r="F49" s="148">
        <f t="shared" si="1"/>
        <v>0</v>
      </c>
      <c r="H49" s="143"/>
    </row>
    <row r="50" spans="1:8" x14ac:dyDescent="0.35">
      <c r="B50" s="145">
        <v>30</v>
      </c>
      <c r="C50" s="146">
        <f t="shared" si="2"/>
        <v>0</v>
      </c>
      <c r="D50" s="161">
        <f>IF($C$17&lt;B50,0,Valuation_Model!$C$16)</f>
        <v>0</v>
      </c>
      <c r="E50" s="147">
        <f t="shared" si="0"/>
        <v>0</v>
      </c>
      <c r="F50" s="148">
        <f t="shared" si="1"/>
        <v>0</v>
      </c>
      <c r="H50" s="143"/>
    </row>
    <row r="51" spans="1:8" x14ac:dyDescent="0.35">
      <c r="B51" s="149" t="s">
        <v>219</v>
      </c>
      <c r="C51" s="146">
        <f>C$21*(1+Terminal_Growth)^$C$17/Equity_Cost</f>
        <v>3772559.9019799735</v>
      </c>
      <c r="D51" s="162">
        <f>Terminal_Growth</f>
        <v>0</v>
      </c>
      <c r="E51" s="147">
        <f>1/(1+Equity_Cost)^C17</f>
        <v>0.23939204936916339</v>
      </c>
      <c r="F51" s="148">
        <f t="shared" si="1"/>
        <v>903120.84630291606</v>
      </c>
      <c r="H51" s="143"/>
    </row>
    <row r="52" spans="1:8" x14ac:dyDescent="0.35">
      <c r="C52" s="137"/>
      <c r="E52" s="150" t="s">
        <v>179</v>
      </c>
      <c r="F52" s="160">
        <f>SUM(F21:F51)</f>
        <v>6756778.0403774707</v>
      </c>
      <c r="H52" s="143"/>
    </row>
    <row r="53" spans="1:8" x14ac:dyDescent="0.35">
      <c r="C53" s="137"/>
      <c r="H53" s="143"/>
    </row>
    <row r="54" spans="1:8" ht="13.15" x14ac:dyDescent="0.35">
      <c r="B54" s="142" t="s">
        <v>217</v>
      </c>
      <c r="C54" s="159"/>
      <c r="D54" s="159"/>
      <c r="E54" s="140"/>
      <c r="F54" s="140"/>
      <c r="H54" s="143"/>
    </row>
    <row r="55" spans="1:8" ht="13.15" x14ac:dyDescent="0.4">
      <c r="A55" s="156">
        <f>F52</f>
        <v>6756778.0403774707</v>
      </c>
      <c r="B55" s="154">
        <f>C78</f>
        <v>-0.05</v>
      </c>
      <c r="C55" s="154">
        <f>C77</f>
        <v>0</v>
      </c>
      <c r="D55" s="154">
        <f>C76</f>
        <v>0.02</v>
      </c>
      <c r="E55" s="154">
        <f>C75</f>
        <v>0.1</v>
      </c>
      <c r="F55" s="154">
        <f>C74</f>
        <v>0.1</v>
      </c>
      <c r="H55" s="143"/>
    </row>
    <row r="56" spans="1:8" ht="13.15" x14ac:dyDescent="0.4">
      <c r="A56" s="166">
        <v>5</v>
      </c>
      <c r="B56" s="146">
        <f t="dataTable" ref="B56:F61" dt2D="1" dtr="1" r1="C16" r2="C17"/>
        <v>3095247.6473844778</v>
      </c>
      <c r="C56" s="146">
        <v>3368357.055339261</v>
      </c>
      <c r="D56" s="146">
        <v>3483780.2950535333</v>
      </c>
      <c r="E56" s="146">
        <v>3984811.7189402143</v>
      </c>
      <c r="F56" s="146">
        <v>3984811.7189402143</v>
      </c>
      <c r="H56" s="143"/>
    </row>
    <row r="57" spans="1:8" ht="13.15" x14ac:dyDescent="0.4">
      <c r="A57" s="166">
        <v>10</v>
      </c>
      <c r="B57" s="146">
        <v>2874560.6914729504</v>
      </c>
      <c r="C57" s="146">
        <v>3368357.05533926</v>
      </c>
      <c r="D57" s="146">
        <v>3600894.5459619407</v>
      </c>
      <c r="E57" s="146">
        <v>4796869.2603367995</v>
      </c>
      <c r="F57" s="146">
        <v>4796869.2603367995</v>
      </c>
      <c r="H57" s="143"/>
    </row>
    <row r="58" spans="1:8" ht="13.15" x14ac:dyDescent="0.4">
      <c r="A58" s="166">
        <v>15</v>
      </c>
      <c r="B58" s="146">
        <v>2662733.0615412872</v>
      </c>
      <c r="C58" s="146">
        <v>3368357.05533926</v>
      </c>
      <c r="D58" s="146">
        <v>3733444.5567285381</v>
      </c>
      <c r="E58" s="146">
        <v>5939529.2713421155</v>
      </c>
      <c r="F58" s="146">
        <v>5939529.2713421155</v>
      </c>
      <c r="H58" s="143"/>
    </row>
    <row r="59" spans="1:8" ht="13.15" x14ac:dyDescent="0.4">
      <c r="A59" s="167">
        <v>20</v>
      </c>
      <c r="B59" s="146">
        <v>2495267.3514175597</v>
      </c>
      <c r="C59" s="146">
        <v>3368357.0553392596</v>
      </c>
      <c r="D59" s="146">
        <v>3856764.8546984224</v>
      </c>
      <c r="E59" s="146">
        <v>7287467.4051835099</v>
      </c>
      <c r="F59" s="146">
        <v>7287467.4051835099</v>
      </c>
      <c r="H59" s="143"/>
    </row>
    <row r="60" spans="1:8" ht="13.15" x14ac:dyDescent="0.4">
      <c r="A60" s="167">
        <v>25</v>
      </c>
      <c r="B60" s="146">
        <v>2374017.9341354924</v>
      </c>
      <c r="C60" s="146">
        <v>3368357.0553392596</v>
      </c>
      <c r="D60" s="146">
        <v>3961456.2678983533</v>
      </c>
      <c r="E60" s="146">
        <v>8762867.1026513819</v>
      </c>
      <c r="F60" s="146">
        <v>8762867.1026513819</v>
      </c>
      <c r="H60" s="143"/>
    </row>
    <row r="61" spans="1:8" ht="13.15" x14ac:dyDescent="0.4">
      <c r="A61" s="167">
        <v>30</v>
      </c>
      <c r="B61" s="146">
        <v>2290435.8276036731</v>
      </c>
      <c r="C61" s="146">
        <v>3368357.0553392591</v>
      </c>
      <c r="D61" s="146">
        <v>4045738.4479850922</v>
      </c>
      <c r="E61" s="146">
        <v>10317410.402845388</v>
      </c>
      <c r="F61" s="146">
        <v>10317410.402845388</v>
      </c>
      <c r="H61" s="143"/>
    </row>
    <row r="62" spans="1:8" x14ac:dyDescent="0.35">
      <c r="C62" s="137"/>
      <c r="D62" s="137"/>
      <c r="E62" s="137"/>
      <c r="F62" s="137"/>
      <c r="H62" s="143"/>
    </row>
    <row r="63" spans="1:8" ht="13.15" x14ac:dyDescent="0.35">
      <c r="B63" s="142" t="s">
        <v>218</v>
      </c>
      <c r="C63" s="137"/>
      <c r="D63" s="137"/>
      <c r="E63" s="137"/>
      <c r="F63" s="137"/>
      <c r="H63" s="143"/>
    </row>
    <row r="64" spans="1:8" ht="13.15" x14ac:dyDescent="0.4">
      <c r="B64" s="155">
        <f>B55</f>
        <v>-0.05</v>
      </c>
      <c r="C64" s="155">
        <f>C55</f>
        <v>0</v>
      </c>
      <c r="D64" s="155">
        <f>D55</f>
        <v>0.02</v>
      </c>
      <c r="E64" s="155">
        <f>E55</f>
        <v>0.1</v>
      </c>
      <c r="F64" s="155">
        <f>F55</f>
        <v>0.1</v>
      </c>
      <c r="H64" s="143"/>
    </row>
    <row r="65" spans="1:8" ht="13.15" x14ac:dyDescent="0.4">
      <c r="A65" s="166">
        <v>0</v>
      </c>
      <c r="B65" s="147">
        <f>C12</f>
        <v>4.9337466311291012</v>
      </c>
      <c r="C65" s="147">
        <f>C12</f>
        <v>4.9337466311291012</v>
      </c>
      <c r="D65" s="147">
        <f>C12</f>
        <v>4.9337466311291012</v>
      </c>
      <c r="E65" s="164">
        <f>C12</f>
        <v>4.9337466311291012</v>
      </c>
      <c r="F65" s="147">
        <f>C12</f>
        <v>4.9337466311291012</v>
      </c>
      <c r="H65" s="143"/>
    </row>
    <row r="66" spans="1:8" ht="13.15" x14ac:dyDescent="0.4">
      <c r="A66" s="166">
        <f t="shared" ref="A66:A71" si="3">A56</f>
        <v>5</v>
      </c>
      <c r="B66" s="147">
        <f>(B56-$C$7+$C$8+$C$9)/Common_Shares*$C$3*Exchange_Rate</f>
        <v>4.5305890789318362</v>
      </c>
      <c r="C66" s="147">
        <f>(C56-$C$7+$C$8+$C$9)/Common_Shares*$C$3*Exchange_Rate</f>
        <v>4.9337466311290994</v>
      </c>
      <c r="D66" s="147">
        <f>(D56-$C$7+$C$8+$C$9)/Common_Shares*$C$3*Exchange_Rate</f>
        <v>5.1041316469304894</v>
      </c>
      <c r="E66" s="147">
        <f>(E56-$C$7+$C$8+$C$9)/Common_Shares*$C$3*Exchange_Rate</f>
        <v>5.8437422079167529</v>
      </c>
      <c r="F66" s="147">
        <f>(F56-$C$7+$C$8+$C$9)/Common_Shares*$C$3*Exchange_Rate</f>
        <v>5.8437422079167529</v>
      </c>
      <c r="H66" s="143"/>
    </row>
    <row r="67" spans="1:8" ht="13.15" x14ac:dyDescent="0.4">
      <c r="A67" s="166">
        <f t="shared" si="3"/>
        <v>10</v>
      </c>
      <c r="B67" s="147">
        <f>(B57-$C$7+$C$8+$C$9)/Common_Shares*$C$3*Exchange_Rate</f>
        <v>4.2048162920716816</v>
      </c>
      <c r="C67" s="147">
        <f>(C57-$C$7+$C$8+$C$9)/Common_Shares*$C$3*Exchange_Rate</f>
        <v>4.9337466311290976</v>
      </c>
      <c r="D67" s="147">
        <f>(D57-$C$7+$C$8+$C$9)/Common_Shares*$C$3*Exchange_Rate</f>
        <v>5.2770128928649633</v>
      </c>
      <c r="E67" s="147">
        <f>(E57-$C$7+$C$8+$C$9)/Common_Shares*$C$3*Exchange_Rate</f>
        <v>7.0424820575779492</v>
      </c>
      <c r="F67" s="147">
        <f>(F57-$C$7+$C$8+$C$9)/Common_Shares*$C$3*Exchange_Rate</f>
        <v>7.0424820575779492</v>
      </c>
      <c r="H67" s="143"/>
    </row>
    <row r="68" spans="1:8" ht="13.15" x14ac:dyDescent="0.4">
      <c r="A68" s="166">
        <f t="shared" si="3"/>
        <v>15</v>
      </c>
      <c r="B68" s="147">
        <f>(B58-$C$7+$C$8+$C$9)/Common_Shares*$C$3*Exchange_Rate</f>
        <v>3.8921214295602584</v>
      </c>
      <c r="C68" s="147">
        <f>(C58-$C$7+$C$8+$C$9)/Common_Shares*$C$3*Exchange_Rate</f>
        <v>4.9337466311290976</v>
      </c>
      <c r="D68" s="147">
        <f>(D58-$C$7+$C$8+$C$9)/Common_Shares*$C$3*Exchange_Rate</f>
        <v>5.4726800369760511</v>
      </c>
      <c r="E68" s="147">
        <f>(E58-$C$7+$C$8+$C$9)/Common_Shares*$C$3*Exchange_Rate</f>
        <v>8.7292493369639139</v>
      </c>
      <c r="F68" s="147">
        <f>(F58-$C$7+$C$8+$C$9)/Common_Shares*$C$3*Exchange_Rate</f>
        <v>8.7292493369639139</v>
      </c>
      <c r="H68" s="143"/>
    </row>
    <row r="69" spans="1:8" ht="13.15" x14ac:dyDescent="0.4">
      <c r="A69" s="167">
        <f t="shared" si="3"/>
        <v>20</v>
      </c>
      <c r="B69" s="147">
        <f>(B59-$C$7+$C$8+$C$9)/Common_Shares*$C$3*Exchange_Rate</f>
        <v>3.6449125681883485</v>
      </c>
      <c r="C69" s="147">
        <f>(C59-$C$7+$C$8+$C$9)/Common_Shares*$C$3*Exchange_Rate</f>
        <v>4.9337466311290967</v>
      </c>
      <c r="D69" s="147">
        <f>(D59-$C$7+$C$8+$C$9)/Common_Shares*$C$3*Exchange_Rate</f>
        <v>5.6547225006102853</v>
      </c>
      <c r="E69" s="147">
        <f>(E59-$C$7+$C$8+$C$9)/Common_Shares*$C$3*Exchange_Rate</f>
        <v>10.719043253703742</v>
      </c>
      <c r="F69" s="147">
        <f>(F59-$C$7+$C$8+$C$9)/Common_Shares*$C$3*Exchange_Rate</f>
        <v>10.719043253703742</v>
      </c>
      <c r="H69" s="143"/>
    </row>
    <row r="70" spans="1:8" ht="13.15" x14ac:dyDescent="0.4">
      <c r="A70" s="167">
        <f t="shared" si="3"/>
        <v>25</v>
      </c>
      <c r="B70" s="147">
        <f>(B60-$C$7+$C$8+$C$9)/Common_Shares*$C$3*Exchange_Rate</f>
        <v>3.4659270889152363</v>
      </c>
      <c r="C70" s="147">
        <f>(C60-$C$7+$C$8+$C$9)/Common_Shares*$C$3*Exchange_Rate</f>
        <v>4.9337466311290967</v>
      </c>
      <c r="D70" s="147">
        <f>(D60-$C$7+$C$8+$C$9)/Common_Shares*$C$3*Exchange_Rate</f>
        <v>5.8092654517221858</v>
      </c>
      <c r="E70" s="147">
        <f>(E60-$C$7+$C$8+$C$9)/Common_Shares*$C$3*Exchange_Rate</f>
        <v>12.896992871031491</v>
      </c>
      <c r="F70" s="147">
        <f>(F60-$C$7+$C$8+$C$9)/Common_Shares*$C$3*Exchange_Rate</f>
        <v>12.896992871031491</v>
      </c>
    </row>
    <row r="71" spans="1:8" ht="13.15" x14ac:dyDescent="0.4">
      <c r="A71" s="167">
        <f t="shared" si="3"/>
        <v>30</v>
      </c>
      <c r="B71" s="147">
        <f>(B61-$C$7+$C$8+$C$9)/Common_Shares*$C$3*Exchange_Rate</f>
        <v>3.3425451895907057</v>
      </c>
      <c r="C71" s="147">
        <f>(C61-$C$7+$C$8+$C$9)/Common_Shares*$C$3*Exchange_Rate</f>
        <v>4.9337466311290967</v>
      </c>
      <c r="D71" s="147">
        <f>(D61-$C$7+$C$8+$C$9)/Common_Shares*$C$3*Exchange_Rate</f>
        <v>5.9336807828236484</v>
      </c>
      <c r="E71" s="147">
        <f>(E61-$C$7+$C$8+$C$9)/Common_Shares*$C$3*Exchange_Rate</f>
        <v>15.191772374909416</v>
      </c>
      <c r="F71" s="147">
        <f>(F61-$C$7+$C$8+$C$9)/Common_Shares*$C$3*Exchange_Rate</f>
        <v>15.191772374909416</v>
      </c>
    </row>
    <row r="73" spans="1:8" ht="13.15" x14ac:dyDescent="0.4">
      <c r="B73" s="204" t="s">
        <v>198</v>
      </c>
      <c r="C73" s="204" t="s">
        <v>220</v>
      </c>
      <c r="D73" s="204" t="s">
        <v>192</v>
      </c>
      <c r="E73" s="205" t="s">
        <v>193</v>
      </c>
      <c r="F73" s="205" t="s">
        <v>268</v>
      </c>
    </row>
    <row r="74" spans="1:8" x14ac:dyDescent="0.35">
      <c r="B74" s="150" t="str">
        <f>Scenarios!B67</f>
        <v>Revaluation</v>
      </c>
      <c r="C74" s="165">
        <f>Scenarios!C69</f>
        <v>0.1</v>
      </c>
      <c r="D74" s="168">
        <f>Scenarios!C68</f>
        <v>10</v>
      </c>
      <c r="E74" s="158">
        <f>INDEX(B$65:F$71, MATCH(D74, A$65:A$71, 0), MATCH(C74, B$64:F$64, 0))</f>
        <v>7.0424820575779492</v>
      </c>
      <c r="F74" s="206">
        <f>E74*Common_Shares/1000000</f>
        <v>4770.7604503367993</v>
      </c>
    </row>
    <row r="75" spans="1:8" x14ac:dyDescent="0.35">
      <c r="B75" s="150" t="str">
        <f>Scenarios!B49</f>
        <v>Optimistic</v>
      </c>
      <c r="C75" s="165">
        <f>Scenarios!C51</f>
        <v>0.1</v>
      </c>
      <c r="D75" s="168">
        <f>Scenarios!C50</f>
        <v>5</v>
      </c>
      <c r="E75" s="158">
        <f>INDEX(B$65:F$71, MATCH(D75, A$65:A$71, 0), MATCH(C75, B$64:F$64, 0))</f>
        <v>5.8437422079167529</v>
      </c>
      <c r="F75" s="206">
        <f>E75*Common_Shares/1000000</f>
        <v>3958.702908940214</v>
      </c>
      <c r="H75" s="143" t="s">
        <v>185</v>
      </c>
    </row>
    <row r="76" spans="1:8" x14ac:dyDescent="0.35">
      <c r="B76" s="150" t="str">
        <f>Scenarios!B37</f>
        <v>Base</v>
      </c>
      <c r="C76" s="165">
        <f>Scenarios!C39</f>
        <v>0.02</v>
      </c>
      <c r="D76" s="168">
        <f>Scenarios!C38</f>
        <v>5</v>
      </c>
      <c r="E76" s="158">
        <f>INDEX(B$65:F$71, MATCH(D76, A$65:A$71, 0), MATCH(C76, B$64:F$64, 0))</f>
        <v>5.1041316469304894</v>
      </c>
      <c r="F76" s="206">
        <f>E76*Common_Shares/1000000</f>
        <v>3457.6714850535336</v>
      </c>
      <c r="H76" s="143" t="s">
        <v>184</v>
      </c>
    </row>
    <row r="77" spans="1:8" x14ac:dyDescent="0.35">
      <c r="B77" s="150" t="str">
        <f>Scenarios!B43</f>
        <v>Pessimistic</v>
      </c>
      <c r="C77" s="165">
        <f>Scenarios!C45</f>
        <v>0</v>
      </c>
      <c r="D77" s="168">
        <f>Scenarios!C44</f>
        <v>5</v>
      </c>
      <c r="E77" s="158">
        <f>INDEX(B$65:F$71, MATCH(D77, A$65:A$71, 0), MATCH(C77, B$64:F$64, 0))</f>
        <v>4.9337466311290994</v>
      </c>
      <c r="F77" s="206">
        <f>E77*Common_Shares/1000000</f>
        <v>3342.2482453392608</v>
      </c>
      <c r="H77" s="143" t="s">
        <v>183</v>
      </c>
    </row>
    <row r="78" spans="1:8" x14ac:dyDescent="0.35">
      <c r="B78" s="150" t="str">
        <f>Scenarios!B61</f>
        <v>Devil's advocate</v>
      </c>
      <c r="C78" s="165">
        <f>Scenarios!C63</f>
        <v>-0.05</v>
      </c>
      <c r="D78" s="168">
        <f>Scenarios!C62</f>
        <v>10</v>
      </c>
      <c r="E78" s="158">
        <f>INDEX(B$65:F$71, MATCH(D78, A$65:A$71, 0), MATCH(C78, B$64:F$64, 0))</f>
        <v>4.2048162920716816</v>
      </c>
      <c r="F78" s="206">
        <f>E78*Common_Shares/1000000</f>
        <v>2848.4518814729508</v>
      </c>
    </row>
    <row r="79" spans="1:8" x14ac:dyDescent="0.35">
      <c r="B79" s="180"/>
      <c r="C79" s="180"/>
      <c r="D79" s="180"/>
      <c r="E79" s="180"/>
      <c r="F79" s="181"/>
    </row>
    <row r="92" spans="3:3" x14ac:dyDescent="0.35">
      <c r="C92" s="138"/>
    </row>
    <row r="93" spans="3:3" x14ac:dyDescent="0.35">
      <c r="C93" s="138"/>
    </row>
    <row r="94" spans="3:3" x14ac:dyDescent="0.35">
      <c r="C94" s="138"/>
    </row>
  </sheetData>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89"/>
  <sheetViews>
    <sheetView showGridLines="0" zoomScaleNormal="100" workbookViewId="0">
      <selection activeCell="B54" sqref="B54:E55"/>
    </sheetView>
  </sheetViews>
  <sheetFormatPr defaultColWidth="8.796875" defaultRowHeight="12.75" x14ac:dyDescent="0.35"/>
  <cols>
    <col min="1" max="1" width="2.6640625" customWidth="1"/>
    <col min="2" max="2" width="22.6640625" customWidth="1"/>
    <col min="3" max="3" width="13.9296875" bestFit="1" customWidth="1"/>
    <col min="4" max="4" width="10.6640625" customWidth="1"/>
    <col min="5" max="5" width="83" customWidth="1"/>
  </cols>
  <sheetData>
    <row r="2" spans="2:7" ht="13.9" x14ac:dyDescent="0.45">
      <c r="B2" s="37" t="s">
        <v>238</v>
      </c>
      <c r="C2" s="38"/>
      <c r="D2" s="38"/>
      <c r="E2" s="38"/>
      <c r="F2" s="38"/>
      <c r="G2" s="38"/>
    </row>
    <row r="3" spans="2:7" ht="13.15" x14ac:dyDescent="0.4">
      <c r="B3" s="185" t="s">
        <v>249</v>
      </c>
    </row>
    <row r="4" spans="2:7" x14ac:dyDescent="0.35">
      <c r="B4" s="175" t="s">
        <v>241</v>
      </c>
      <c r="C4" s="143">
        <v>4</v>
      </c>
      <c r="D4" s="143"/>
      <c r="E4" s="119" t="s">
        <v>251</v>
      </c>
    </row>
    <row r="6" spans="2:7" ht="13.15" x14ac:dyDescent="0.4">
      <c r="B6" s="185" t="s">
        <v>124</v>
      </c>
      <c r="C6" s="127">
        <f>Valuation_Model!C3</f>
        <v>1000</v>
      </c>
      <c r="E6" s="119" t="s">
        <v>256</v>
      </c>
    </row>
    <row r="7" spans="2:7" x14ac:dyDescent="0.35">
      <c r="B7" s="119" t="s">
        <v>254</v>
      </c>
      <c r="C7" s="137">
        <f>Normalized_FCF!G19</f>
        <v>0</v>
      </c>
      <c r="E7" s="263" t="s">
        <v>258</v>
      </c>
    </row>
    <row r="8" spans="2:7" x14ac:dyDescent="0.35">
      <c r="B8" s="119" t="s">
        <v>115</v>
      </c>
      <c r="C8" s="137">
        <f>Normalized_FCF!C19</f>
        <v>336835.7055339262</v>
      </c>
      <c r="E8" s="264"/>
    </row>
    <row r="9" spans="2:7" x14ac:dyDescent="0.35">
      <c r="E9" s="264"/>
    </row>
    <row r="10" spans="2:7" ht="13.15" x14ac:dyDescent="0.4">
      <c r="B10" s="185" t="s">
        <v>242</v>
      </c>
      <c r="E10" s="264"/>
    </row>
    <row r="11" spans="2:7" x14ac:dyDescent="0.35">
      <c r="B11" s="141" t="s">
        <v>240</v>
      </c>
      <c r="C11" s="184">
        <f>AVERAGE(Normalized_FCF!G94:INDEX(Normalized_FCF!G94:Q94, $C$4))</f>
        <v>0.11909072745510155</v>
      </c>
      <c r="D11" s="184"/>
      <c r="E11" s="264"/>
    </row>
    <row r="12" spans="2:7" x14ac:dyDescent="0.35">
      <c r="B12" s="171" t="s">
        <v>239</v>
      </c>
      <c r="E12" s="264"/>
    </row>
    <row r="13" spans="2:7" x14ac:dyDescent="0.35">
      <c r="B13" s="119" t="s">
        <v>142</v>
      </c>
      <c r="E13" s="264"/>
    </row>
    <row r="15" spans="2:7" ht="13.15" x14ac:dyDescent="0.4">
      <c r="B15" s="185" t="s">
        <v>243</v>
      </c>
    </row>
    <row r="16" spans="2:7" x14ac:dyDescent="0.35">
      <c r="B16" s="119" t="s">
        <v>62</v>
      </c>
    </row>
    <row r="17" spans="2:7" x14ac:dyDescent="0.35">
      <c r="B17" s="171" t="s">
        <v>239</v>
      </c>
    </row>
    <row r="19" spans="2:7" ht="13.9" x14ac:dyDescent="0.45">
      <c r="B19" s="37" t="s">
        <v>246</v>
      </c>
      <c r="C19" s="38"/>
      <c r="D19" s="38"/>
      <c r="E19" s="38"/>
      <c r="F19" s="38"/>
      <c r="G19" s="38"/>
    </row>
    <row r="20" spans="2:7" ht="13.15" x14ac:dyDescent="0.4">
      <c r="B20" s="131" t="s">
        <v>245</v>
      </c>
      <c r="E20" s="185" t="s">
        <v>250</v>
      </c>
    </row>
    <row r="21" spans="2:7" x14ac:dyDescent="0.35">
      <c r="B21" s="119" t="s">
        <v>193</v>
      </c>
      <c r="C21" s="186">
        <f>Valuation_Model!E77</f>
        <v>4.9337466311290994</v>
      </c>
      <c r="D21" t="str">
        <f>Reporting_currency</f>
        <v>HKD</v>
      </c>
      <c r="E21" s="197" t="s">
        <v>252</v>
      </c>
    </row>
    <row r="23" spans="2:7" ht="13.15" x14ac:dyDescent="0.4">
      <c r="B23" s="131" t="s">
        <v>244</v>
      </c>
      <c r="E23" s="198"/>
    </row>
    <row r="24" spans="2:7" ht="12.75" customHeight="1" x14ac:dyDescent="0.35">
      <c r="B24" s="175" t="s">
        <v>221</v>
      </c>
      <c r="C24" s="173">
        <v>15</v>
      </c>
      <c r="D24" s="173"/>
      <c r="E24" s="199"/>
    </row>
    <row r="25" spans="2:7" x14ac:dyDescent="0.35">
      <c r="B25" s="141" t="s">
        <v>222</v>
      </c>
      <c r="C25" s="174">
        <v>0.12</v>
      </c>
      <c r="D25" s="174"/>
      <c r="E25" s="199"/>
    </row>
    <row r="26" spans="2:7" x14ac:dyDescent="0.35">
      <c r="B26" s="119" t="s">
        <v>193</v>
      </c>
      <c r="C26" s="186">
        <f>Valuation_Model!C18</f>
        <v>9.9356523522531912</v>
      </c>
      <c r="D26" s="186"/>
      <c r="E26" s="199"/>
    </row>
    <row r="28" spans="2:7" ht="13.15" x14ac:dyDescent="0.4">
      <c r="B28" s="131" t="s">
        <v>225</v>
      </c>
      <c r="C28" s="177"/>
    </row>
    <row r="29" spans="2:7" x14ac:dyDescent="0.35">
      <c r="B29" s="119" t="s">
        <v>199</v>
      </c>
      <c r="C29">
        <f>Market_Price</f>
        <v>7</v>
      </c>
    </row>
    <row r="30" spans="2:7" x14ac:dyDescent="0.35">
      <c r="B30" s="119" t="s">
        <v>227</v>
      </c>
      <c r="C30">
        <v>13</v>
      </c>
    </row>
    <row r="31" spans="2:7" x14ac:dyDescent="0.35">
      <c r="B31" s="119" t="s">
        <v>224</v>
      </c>
    </row>
    <row r="33" spans="2:7" ht="13.9" x14ac:dyDescent="0.45">
      <c r="B33" s="37" t="s">
        <v>270</v>
      </c>
      <c r="C33" s="38"/>
      <c r="D33" s="38"/>
      <c r="E33" s="38"/>
      <c r="F33" s="38"/>
      <c r="G33" s="38"/>
    </row>
    <row r="34" spans="2:7" ht="13.15" x14ac:dyDescent="0.4">
      <c r="B34" s="131" t="s">
        <v>253</v>
      </c>
    </row>
    <row r="35" spans="2:7" x14ac:dyDescent="0.35">
      <c r="B35" s="175" t="s">
        <v>221</v>
      </c>
      <c r="C35" s="173">
        <v>5</v>
      </c>
      <c r="E35" s="119"/>
    </row>
    <row r="37" spans="2:7" ht="13.15" x14ac:dyDescent="0.4">
      <c r="B37" s="185" t="s">
        <v>196</v>
      </c>
      <c r="E37" s="185" t="s">
        <v>250</v>
      </c>
    </row>
    <row r="38" spans="2:7" x14ac:dyDescent="0.35">
      <c r="B38" s="175" t="s">
        <v>221</v>
      </c>
      <c r="C38" s="192">
        <f>C35</f>
        <v>5</v>
      </c>
      <c r="D38" s="189"/>
      <c r="E38" s="264"/>
    </row>
    <row r="39" spans="2:7" x14ac:dyDescent="0.35">
      <c r="B39" s="141" t="s">
        <v>222</v>
      </c>
      <c r="C39" s="190">
        <v>0.02</v>
      </c>
      <c r="D39" s="190"/>
      <c r="E39" s="264"/>
    </row>
    <row r="40" spans="2:7" x14ac:dyDescent="0.35">
      <c r="B40" s="119" t="s">
        <v>193</v>
      </c>
      <c r="C40" s="186">
        <f>Valuation_Model!E76</f>
        <v>5.1041316469304894</v>
      </c>
      <c r="D40" s="186" t="str">
        <f>Market_currency</f>
        <v>HKD</v>
      </c>
      <c r="E40" s="264"/>
    </row>
    <row r="41" spans="2:7" x14ac:dyDescent="0.35">
      <c r="B41" s="119" t="s">
        <v>247</v>
      </c>
      <c r="C41" s="191">
        <v>0.6</v>
      </c>
      <c r="D41" s="191"/>
      <c r="E41" s="264"/>
    </row>
    <row r="43" spans="2:7" ht="13.15" x14ac:dyDescent="0.4">
      <c r="B43" s="185" t="s">
        <v>197</v>
      </c>
      <c r="E43" s="185" t="s">
        <v>250</v>
      </c>
    </row>
    <row r="44" spans="2:7" x14ac:dyDescent="0.35">
      <c r="B44" s="175" t="s">
        <v>221</v>
      </c>
      <c r="C44" s="192">
        <f>C35</f>
        <v>5</v>
      </c>
      <c r="D44" s="189"/>
      <c r="E44" s="264"/>
    </row>
    <row r="45" spans="2:7" x14ac:dyDescent="0.35">
      <c r="B45" s="141" t="s">
        <v>222</v>
      </c>
      <c r="C45" s="190">
        <v>0</v>
      </c>
      <c r="D45" s="190"/>
      <c r="E45" s="264"/>
    </row>
    <row r="46" spans="2:7" x14ac:dyDescent="0.35">
      <c r="B46" s="119" t="s">
        <v>193</v>
      </c>
      <c r="C46" s="186">
        <f>Valuation_Model!E77</f>
        <v>4.9337466311290994</v>
      </c>
      <c r="D46" t="str">
        <f>Market_currency</f>
        <v>HKD</v>
      </c>
      <c r="E46" s="264"/>
    </row>
    <row r="47" spans="2:7" x14ac:dyDescent="0.35">
      <c r="B47" s="119" t="s">
        <v>247</v>
      </c>
      <c r="C47" s="191">
        <v>0.2</v>
      </c>
      <c r="D47" s="191"/>
      <c r="E47" s="264"/>
    </row>
    <row r="49" spans="2:7" ht="13.15" x14ac:dyDescent="0.4">
      <c r="B49" s="185" t="s">
        <v>195</v>
      </c>
      <c r="E49" s="185" t="s">
        <v>250</v>
      </c>
    </row>
    <row r="50" spans="2:7" x14ac:dyDescent="0.35">
      <c r="B50" s="175" t="s">
        <v>221</v>
      </c>
      <c r="C50" s="192">
        <f>C35</f>
        <v>5</v>
      </c>
      <c r="D50" s="189"/>
      <c r="E50" s="264"/>
    </row>
    <row r="51" spans="2:7" x14ac:dyDescent="0.35">
      <c r="B51" s="141" t="s">
        <v>222</v>
      </c>
      <c r="C51" s="190">
        <v>0.1</v>
      </c>
      <c r="D51" s="190"/>
      <c r="E51" s="264"/>
    </row>
    <row r="52" spans="2:7" x14ac:dyDescent="0.35">
      <c r="B52" s="119" t="s">
        <v>193</v>
      </c>
      <c r="C52" s="186">
        <f>Valuation_Model!E75</f>
        <v>5.8437422079167529</v>
      </c>
      <c r="D52" t="str">
        <f>Market_currency</f>
        <v>HKD</v>
      </c>
      <c r="E52" s="264"/>
    </row>
    <row r="53" spans="2:7" x14ac:dyDescent="0.35">
      <c r="B53" s="119" t="s">
        <v>247</v>
      </c>
      <c r="C53" s="194">
        <f>1-C41-C47</f>
        <v>0.2</v>
      </c>
      <c r="D53" s="191"/>
      <c r="E53" s="264"/>
    </row>
    <row r="55" spans="2:7" ht="13.15" x14ac:dyDescent="0.4">
      <c r="B55" s="119" t="s">
        <v>202</v>
      </c>
      <c r="C55" s="179">
        <f>C40*C41+C46*C47+C52*C53</f>
        <v>5.2179767559674648</v>
      </c>
      <c r="D55" t="str">
        <f>Market_currency</f>
        <v>HKD</v>
      </c>
    </row>
    <row r="57" spans="2:7" ht="13.9" x14ac:dyDescent="0.45">
      <c r="B57" s="37" t="s">
        <v>269</v>
      </c>
      <c r="C57" s="38"/>
      <c r="D57" s="38"/>
      <c r="E57" s="38"/>
      <c r="F57" s="38"/>
      <c r="G57" s="38"/>
    </row>
    <row r="58" spans="2:7" ht="13.15" x14ac:dyDescent="0.4">
      <c r="B58" s="131" t="s">
        <v>253</v>
      </c>
    </row>
    <row r="59" spans="2:7" x14ac:dyDescent="0.35">
      <c r="B59" s="175" t="s">
        <v>221</v>
      </c>
      <c r="C59" s="173">
        <v>10</v>
      </c>
      <c r="E59" s="119"/>
    </row>
    <row r="60" spans="2:7" ht="13.15" x14ac:dyDescent="0.4">
      <c r="B60" s="185"/>
      <c r="E60" s="185"/>
    </row>
    <row r="61" spans="2:7" ht="13.15" x14ac:dyDescent="0.4">
      <c r="B61" s="185" t="s">
        <v>273</v>
      </c>
      <c r="E61" s="185" t="s">
        <v>250</v>
      </c>
    </row>
    <row r="62" spans="2:7" x14ac:dyDescent="0.35">
      <c r="B62" s="175" t="s">
        <v>221</v>
      </c>
      <c r="C62" s="192">
        <f>C59</f>
        <v>10</v>
      </c>
      <c r="D62" s="189"/>
      <c r="E62" s="263" t="s">
        <v>257</v>
      </c>
    </row>
    <row r="63" spans="2:7" x14ac:dyDescent="0.35">
      <c r="B63" s="141" t="s">
        <v>222</v>
      </c>
      <c r="C63" s="190">
        <v>-0.05</v>
      </c>
      <c r="D63" s="190"/>
      <c r="E63" s="264"/>
    </row>
    <row r="64" spans="2:7" x14ac:dyDescent="0.35">
      <c r="B64" s="119" t="s">
        <v>193</v>
      </c>
      <c r="C64" s="186">
        <f>Valuation_Model!E78</f>
        <v>4.2048162920716816</v>
      </c>
      <c r="D64" t="str">
        <f>Market_currency</f>
        <v>HKD</v>
      </c>
      <c r="E64" s="264"/>
    </row>
    <row r="65" spans="2:7" x14ac:dyDescent="0.35">
      <c r="B65" s="119" t="s">
        <v>247</v>
      </c>
      <c r="C65" s="191">
        <v>0.1</v>
      </c>
      <c r="D65" s="191"/>
      <c r="E65" s="264"/>
    </row>
    <row r="67" spans="2:7" ht="13.15" x14ac:dyDescent="0.4">
      <c r="B67" s="185" t="s">
        <v>274</v>
      </c>
      <c r="E67" s="185" t="s">
        <v>250</v>
      </c>
    </row>
    <row r="68" spans="2:7" x14ac:dyDescent="0.35">
      <c r="B68" s="175" t="s">
        <v>221</v>
      </c>
      <c r="C68" s="192">
        <f>C59</f>
        <v>10</v>
      </c>
      <c r="D68" s="189"/>
      <c r="E68" s="263"/>
    </row>
    <row r="69" spans="2:7" x14ac:dyDescent="0.35">
      <c r="B69" s="141" t="s">
        <v>222</v>
      </c>
      <c r="C69" s="190">
        <v>0.1</v>
      </c>
      <c r="D69" s="190"/>
      <c r="E69" s="264"/>
    </row>
    <row r="70" spans="2:7" x14ac:dyDescent="0.35">
      <c r="B70" s="119" t="s">
        <v>193</v>
      </c>
      <c r="C70" s="186">
        <f>Valuation_Model!E74</f>
        <v>7.0424820575779492</v>
      </c>
      <c r="D70" t="str">
        <f>Market_currency</f>
        <v>HKD</v>
      </c>
      <c r="E70" s="264"/>
    </row>
    <row r="71" spans="2:7" x14ac:dyDescent="0.35">
      <c r="B71" s="119" t="s">
        <v>247</v>
      </c>
      <c r="C71" s="191">
        <v>0.1</v>
      </c>
      <c r="D71" s="191"/>
      <c r="E71" s="264"/>
    </row>
    <row r="73" spans="2:7" ht="13.15" x14ac:dyDescent="0.4">
      <c r="B73" s="119" t="s">
        <v>202</v>
      </c>
      <c r="C73" s="179">
        <f>C64*C65+C70*C71+C55*(1-C65-C71)</f>
        <v>5.2991112397389353</v>
      </c>
      <c r="D73" t="str">
        <f>Market_currency</f>
        <v>HKD</v>
      </c>
    </row>
    <row r="75" spans="2:7" ht="13.9" x14ac:dyDescent="0.45">
      <c r="B75" s="37" t="s">
        <v>215</v>
      </c>
      <c r="C75" s="38"/>
      <c r="D75" s="38"/>
      <c r="E75" s="38"/>
      <c r="F75" s="38"/>
      <c r="G75" s="38"/>
    </row>
    <row r="76" spans="2:7" ht="13.15" x14ac:dyDescent="0.4">
      <c r="B76" s="131" t="s">
        <v>210</v>
      </c>
      <c r="E76" s="131" t="s">
        <v>207</v>
      </c>
    </row>
    <row r="77" spans="2:7" x14ac:dyDescent="0.35">
      <c r="B77" s="119" t="s">
        <v>228</v>
      </c>
      <c r="C77" s="194">
        <f>Thesis!C68</f>
        <v>0.2</v>
      </c>
      <c r="D77" s="157"/>
      <c r="E77" s="119" t="s">
        <v>211</v>
      </c>
      <c r="F77" s="192">
        <f>Thesis!C67</f>
        <v>3</v>
      </c>
    </row>
    <row r="78" spans="2:7" x14ac:dyDescent="0.35">
      <c r="B78" s="119" t="s">
        <v>191</v>
      </c>
      <c r="C78" s="207">
        <f>Normalized_FCF!C89</f>
        <v>0.55000000000000004</v>
      </c>
      <c r="D78" t="str">
        <f>Market_currency</f>
        <v>HKD</v>
      </c>
      <c r="E78" s="119" t="s">
        <v>209</v>
      </c>
    </row>
    <row r="80" spans="2:7" ht="13.15" x14ac:dyDescent="0.4">
      <c r="B80" s="131" t="s">
        <v>226</v>
      </c>
    </row>
    <row r="81" spans="2:9" x14ac:dyDescent="0.35">
      <c r="B81" s="119" t="s">
        <v>203</v>
      </c>
      <c r="C81" s="139">
        <f>PV(C77, F77, -C78, 0)</f>
        <v>1.1585648148148147</v>
      </c>
      <c r="D81" s="139"/>
      <c r="E81" s="119"/>
    </row>
    <row r="82" spans="2:9" x14ac:dyDescent="0.35">
      <c r="B82" s="119" t="s">
        <v>205</v>
      </c>
      <c r="C82" s="139">
        <f>C73/(1+C77)^F77</f>
        <v>3.0666153007748469</v>
      </c>
      <c r="D82" s="139"/>
    </row>
    <row r="83" spans="2:9" ht="13.15" x14ac:dyDescent="0.4">
      <c r="B83" s="133" t="s">
        <v>180</v>
      </c>
      <c r="C83" s="134">
        <f>C81+C82</f>
        <v>4.2251801155896613</v>
      </c>
      <c r="D83" t="str">
        <f>Market_currency</f>
        <v>HKD</v>
      </c>
      <c r="E83" s="195" t="s">
        <v>214</v>
      </c>
      <c r="F83" s="196">
        <f>(C83/C73-1)</f>
        <v>-0.20266249858951479</v>
      </c>
      <c r="I83" s="143" t="s">
        <v>204</v>
      </c>
    </row>
    <row r="86" spans="2:9" x14ac:dyDescent="0.35">
      <c r="D86" s="169"/>
    </row>
    <row r="87" spans="2:9" x14ac:dyDescent="0.35">
      <c r="B87" s="108" t="s">
        <v>40</v>
      </c>
      <c r="C87" s="109" t="s">
        <v>43</v>
      </c>
      <c r="D87" s="109" t="s">
        <v>44</v>
      </c>
      <c r="E87" s="103" t="s">
        <v>45</v>
      </c>
    </row>
    <row r="88" spans="2:9" x14ac:dyDescent="0.35">
      <c r="B88" s="7" t="s">
        <v>41</v>
      </c>
      <c r="C88" s="12">
        <f>Normalized_FCF!L8</f>
        <v>1242416</v>
      </c>
      <c r="D88" s="12">
        <f>Normalized_FCF!G8</f>
        <v>1378136</v>
      </c>
      <c r="E88" s="12">
        <v>6</v>
      </c>
    </row>
    <row r="89" spans="2:9" x14ac:dyDescent="0.35">
      <c r="B89" s="7" t="s">
        <v>42</v>
      </c>
      <c r="C89" s="6">
        <f>(D88/C88)^(1/E88)-1</f>
        <v>1.7429143835659966E-2</v>
      </c>
      <c r="D89" s="41"/>
      <c r="E89" s="41"/>
    </row>
  </sheetData>
  <mergeCells count="6">
    <mergeCell ref="E68:E71"/>
    <mergeCell ref="E62:E65"/>
    <mergeCell ref="E50:E53"/>
    <mergeCell ref="E7:E13"/>
    <mergeCell ref="E44:E47"/>
    <mergeCell ref="E38:E41"/>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7</vt:i4>
      </vt:variant>
    </vt:vector>
  </HeadingPairs>
  <TitlesOfParts>
    <vt:vector size="13" baseType="lpstr">
      <vt:lpstr>Thesis</vt:lpstr>
      <vt:lpstr>Data</vt:lpstr>
      <vt:lpstr>Normalized_FCF</vt:lpstr>
      <vt:lpstr>BS</vt:lpstr>
      <vt:lpstr>Valuation_Model</vt:lpstr>
      <vt:lpstr>Scenarios</vt:lpstr>
      <vt:lpstr>Common_Shares</vt:lpstr>
      <vt:lpstr>Equity_Cost</vt:lpstr>
      <vt:lpstr>Exchange_Rate</vt:lpstr>
      <vt:lpstr>Market_currency</vt:lpstr>
      <vt:lpstr>Market_Price</vt:lpstr>
      <vt:lpstr>Reporting_currency</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2025-02-26T14:40:45Z</cp:lastPrinted>
  <dcterms:created xsi:type="dcterms:W3CDTF">2022-08-10T03:52:42Z</dcterms:created>
  <dcterms:modified xsi:type="dcterms:W3CDTF">2025-03-14T08:44:06Z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