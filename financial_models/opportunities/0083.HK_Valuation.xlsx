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94B0C6D-1343-4787-9AEB-FA4EC7C3818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M126" i="2"/>
  <c r="M48" i="2"/>
  <c r="E69" i="4"/>
  <c r="F70" i="4"/>
  <c r="N126" i="2"/>
  <c r="N48" i="2"/>
  <c r="D70" i="4"/>
  <c r="P126" i="2"/>
  <c r="P48" i="2"/>
  <c r="F69" i="4"/>
  <c r="O126" i="2"/>
  <c r="O48" i="2"/>
  <c r="Q126" i="2"/>
  <c r="Q48" i="2"/>
  <c r="D69" i="4"/>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J48" i="2"/>
  <c r="H48" i="2"/>
  <c r="H50" i="2" s="1"/>
  <c r="H12" i="2" s="1"/>
  <c r="H80" i="2" s="1"/>
  <c r="K48" i="2"/>
  <c r="K50" i="2" s="1"/>
  <c r="K12" i="2" s="1"/>
  <c r="K43"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<sst xmlns="http://schemas.openxmlformats.org/spreadsheetml/2006/main" count="600" uniqueCount="423">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</sst>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326</v>
      </c>
      <c r="C5" s="333" t="s">
        <v>419</v>
      </c>
      <c r="D5" s="49" t="s">
        <v>420</v>
      </c>
    </row>
    <row r="6" spans="1:10" x14ac:dyDescent="0.35">
      <c r="B6" s="4" t="s">
        <v>96</v>
      </c>
      <c r="C6" s="50">
        <v>7.85</v>
      </c>
      <c r="D6" s="48" t="s">
        <v>41</v>
      </c>
      <c r="E6" s="48"/>
    </row>
    <row r="7" spans="1:10" x14ac:dyDescent="0.35">
      <c r="B7" s="4" t="s">
        <v>0</v>
      </c>
      <c r="C7" s="51">
        <v>8171879936</v>
      </c>
      <c r="D7" s="34"/>
      <c r="E7" s="34"/>
    </row>
    <row r="8" spans="1:10" x14ac:dyDescent="0.35">
      <c r="B8" s="2" t="s">
        <v>317</v>
      </c>
      <c r="C8" s="279">
        <v>12</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64149.257497599996</v>
      </c>
      <c r="D10" s="32"/>
      <c r="E10" s="5"/>
    </row>
    <row r="11" spans="1:10" x14ac:dyDescent="0.35">
      <c r="D11" s="5"/>
      <c r="E11" s="5"/>
    </row>
    <row r="12" spans="1:10" ht="24.4" customHeight="1" x14ac:dyDescent="0.35">
      <c r="B12" s="339" t="s">
        <v>372</v>
      </c>
      <c r="C12" s="339"/>
      <c r="D12" s="339"/>
      <c r="E12" s="339"/>
      <c r="F12" s="339"/>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Negative Growth Asset Play</v>
      </c>
      <c r="E15" s="5"/>
    </row>
    <row r="16" spans="1:10" x14ac:dyDescent="0.35">
      <c r="B16" s="4" t="s">
        <v>359</v>
      </c>
      <c r="C16" s="48" t="s">
        <v>41</v>
      </c>
      <c r="D16" s="32"/>
      <c r="E16" s="5"/>
    </row>
    <row r="17" spans="1:6" x14ac:dyDescent="0.35">
      <c r="B17" s="4" t="s">
        <v>1</v>
      </c>
      <c r="C17" s="50">
        <v>1</v>
      </c>
      <c r="D17" s="32" t="str">
        <f>IF(C16=D6,D6,C16&amp;"/"&amp;D6)</f>
        <v>HKD</v>
      </c>
      <c r="E17" s="5"/>
    </row>
    <row r="18" spans="1:6" x14ac:dyDescent="0.35">
      <c r="B18" s="2" t="s">
        <v>57</v>
      </c>
      <c r="C18" s="48" t="s">
        <v>421</v>
      </c>
      <c r="E18" s="5"/>
    </row>
    <row r="19" spans="1:6" x14ac:dyDescent="0.35">
      <c r="B19" s="2" t="s">
        <v>279</v>
      </c>
      <c r="C19" s="249">
        <v>0.25</v>
      </c>
      <c r="D19" s="1" t="s">
        <v>409</v>
      </c>
      <c r="E19" s="336">
        <v>3.4500000000000003E-2</v>
      </c>
    </row>
    <row r="20" spans="1:6" x14ac:dyDescent="0.35">
      <c r="B20" s="2" t="str">
        <f>"Target Buy Price ("&amp;Market_currency&amp;"):"</f>
        <v>Target Buy Price (HKD):</v>
      </c>
      <c r="C20" s="252">
        <f>C129</f>
        <v>5.8235187175367322</v>
      </c>
      <c r="D20" s="1" t="s">
        <v>318</v>
      </c>
      <c r="E20" s="330">
        <v>3</v>
      </c>
    </row>
    <row r="21" spans="1:6" x14ac:dyDescent="0.35">
      <c r="B21" s="1" t="s">
        <v>414</v>
      </c>
      <c r="C21" s="280">
        <f ca="1">Scenarios!C87</f>
        <v>0.12328963999428066</v>
      </c>
      <c r="D21" s="5"/>
      <c r="E21" s="5"/>
    </row>
    <row r="22" spans="1:6" x14ac:dyDescent="0.35">
      <c r="D22" s="5"/>
      <c r="E22" s="5"/>
    </row>
    <row r="23" spans="1:6" ht="13.9" x14ac:dyDescent="0.45">
      <c r="A23" s="247" t="s">
        <v>367</v>
      </c>
      <c r="B23" s="36"/>
      <c r="C23" s="36"/>
      <c r="D23" s="36"/>
      <c r="E23" s="36"/>
      <c r="F23" s="36"/>
    </row>
    <row r="25" spans="1:6" ht="24.4" customHeight="1" x14ac:dyDescent="0.35">
      <c r="B25" s="339" t="s">
        <v>373</v>
      </c>
      <c r="C25" s="339"/>
      <c r="D25" s="339"/>
      <c r="E25" s="339"/>
      <c r="F25" s="339"/>
    </row>
    <row r="26" spans="1:6" ht="24.4" customHeight="1" x14ac:dyDescent="0.35">
      <c r="B26" s="342" t="s">
        <v>351</v>
      </c>
      <c r="C26" s="342"/>
      <c r="D26" s="342"/>
      <c r="E26" s="342"/>
      <c r="F26" s="342"/>
    </row>
    <row r="28" spans="1:6" x14ac:dyDescent="0.35">
      <c r="B28" s="234" t="s">
        <v>232</v>
      </c>
      <c r="C28" s="108">
        <f>Data!C3</f>
        <v>1000000</v>
      </c>
    </row>
    <row r="29" spans="1:6" ht="24.4" customHeight="1" x14ac:dyDescent="0.35">
      <c r="B29" s="340" t="s">
        <v>233</v>
      </c>
      <c r="C29" s="340"/>
      <c r="D29" s="340"/>
      <c r="E29" s="340"/>
      <c r="F29" s="340"/>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40" t="s">
        <v>238</v>
      </c>
      <c r="C36" s="340"/>
      <c r="D36" s="340"/>
      <c r="E36" s="340"/>
      <c r="F36" s="340"/>
    </row>
    <row r="37" spans="2:6" x14ac:dyDescent="0.35">
      <c r="B37" s="47" t="s">
        <v>239</v>
      </c>
      <c r="C37" s="188">
        <f>Normalized_FCF!C11</f>
        <v>639</v>
      </c>
      <c r="D37" s="1" t="str">
        <f>Reporting_currency</f>
        <v>HKD</v>
      </c>
    </row>
    <row r="39" spans="2:6" x14ac:dyDescent="0.35">
      <c r="B39" s="340" t="s">
        <v>242</v>
      </c>
      <c r="C39" s="340"/>
      <c r="D39" s="340"/>
      <c r="E39" s="340"/>
      <c r="F39" s="340"/>
    </row>
    <row r="40" spans="2:6" x14ac:dyDescent="0.35">
      <c r="B40" s="47" t="s">
        <v>352</v>
      </c>
      <c r="C40" s="322">
        <f>Normalized_FCF!C48</f>
        <v>163.69305155463843</v>
      </c>
      <c r="D40" s="1" t="str">
        <f>Reporting_currency</f>
        <v>HKD</v>
      </c>
      <c r="E40" s="321"/>
      <c r="F40" s="321"/>
    </row>
    <row r="41" spans="2:6" x14ac:dyDescent="0.35">
      <c r="B41" s="47" t="s">
        <v>353</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267</v>
      </c>
      <c r="C45" s="188">
        <f>Normalized_FCF!C15</f>
        <v>-22.869707937042335</v>
      </c>
      <c r="D45" s="1" t="str">
        <f>Reporting_currency</f>
        <v>HKD</v>
      </c>
    </row>
    <row r="47" spans="2:6" x14ac:dyDescent="0.35">
      <c r="B47" s="340" t="s">
        <v>243</v>
      </c>
      <c r="C47" s="340"/>
      <c r="D47" s="340"/>
      <c r="E47" s="340"/>
      <c r="F47" s="340"/>
    </row>
    <row r="48" spans="2:6" x14ac:dyDescent="0.35">
      <c r="B48" s="47" t="s">
        <v>241</v>
      </c>
      <c r="C48" s="188">
        <f>Normalized_FCF!C14</f>
        <v>-804.36319459009837</v>
      </c>
      <c r="D48" s="1" t="str">
        <f>Reporting_currency</f>
        <v>HKD</v>
      </c>
    </row>
    <row r="50" spans="1:6" x14ac:dyDescent="0.35">
      <c r="B50" s="340" t="s">
        <v>350</v>
      </c>
      <c r="C50" s="341"/>
      <c r="D50" s="341"/>
      <c r="E50" s="341"/>
      <c r="F50" s="341"/>
    </row>
    <row r="51" spans="1:6" x14ac:dyDescent="0.35">
      <c r="B51" s="47" t="s">
        <v>244</v>
      </c>
      <c r="C51" s="1">
        <f>Normalized_FCF!C17</f>
        <v>0</v>
      </c>
      <c r="D51" s="1" t="str">
        <f>Reporting_currency</f>
        <v>HKD</v>
      </c>
    </row>
    <row r="53" spans="1:6" ht="24.4" customHeight="1" x14ac:dyDescent="0.35">
      <c r="B53" s="339" t="s">
        <v>355</v>
      </c>
      <c r="C53" s="339"/>
      <c r="D53" s="339"/>
      <c r="E53" s="339"/>
      <c r="F53" s="339"/>
    </row>
    <row r="54" spans="1:6" ht="24.4" customHeight="1" x14ac:dyDescent="0.35">
      <c r="B54" s="339" t="s">
        <v>374</v>
      </c>
      <c r="C54" s="339"/>
      <c r="D54" s="339"/>
      <c r="E54" s="339"/>
      <c r="F54" s="339"/>
    </row>
    <row r="56" spans="1:6" x14ac:dyDescent="0.35">
      <c r="B56" s="47" t="s">
        <v>272</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403</v>
      </c>
      <c r="C58" s="92">
        <f>Normalized_FCF!C125</f>
        <v>3.9350111080543315E-2</v>
      </c>
    </row>
    <row r="59" spans="1:6" x14ac:dyDescent="0.35">
      <c r="B59" s="254" t="s">
        <v>319</v>
      </c>
      <c r="C59" s="92">
        <f>Normalized_FCF!C93</f>
        <v>7.3885350318471335E-2</v>
      </c>
    </row>
    <row r="61" spans="1:6" ht="13.9" x14ac:dyDescent="0.45">
      <c r="A61" s="247" t="s">
        <v>368</v>
      </c>
      <c r="B61" s="36"/>
      <c r="C61" s="36"/>
      <c r="D61" s="36"/>
      <c r="E61" s="36"/>
      <c r="F61" s="36"/>
    </row>
    <row r="62" spans="1:6" x14ac:dyDescent="0.35">
      <c r="A62" s="233"/>
    </row>
    <row r="63" spans="1:6" ht="24.4" customHeight="1" x14ac:dyDescent="0.35">
      <c r="A63" s="17"/>
      <c r="B63" s="339" t="s">
        <v>375</v>
      </c>
      <c r="C63" s="339"/>
      <c r="D63" s="339"/>
      <c r="E63" s="339"/>
      <c r="F63" s="339"/>
    </row>
    <row r="64" spans="1:6" x14ac:dyDescent="0.35">
      <c r="B64" s="342" t="s">
        <v>254</v>
      </c>
      <c r="C64" s="342"/>
      <c r="D64" s="342"/>
      <c r="E64" s="342"/>
      <c r="F64" s="342"/>
    </row>
    <row r="66" spans="1:6" x14ac:dyDescent="0.35">
      <c r="B66" s="234" t="s">
        <v>232</v>
      </c>
    </row>
    <row r="67" spans="1:6" x14ac:dyDescent="0.35">
      <c r="B67" s="1" t="s">
        <v>291</v>
      </c>
      <c r="C67" s="311">
        <v>0.08</v>
      </c>
    </row>
    <row r="68" spans="1:6" x14ac:dyDescent="0.35">
      <c r="B68" s="1" t="s">
        <v>293</v>
      </c>
      <c r="C68" s="263">
        <f>IF(D68="Y",1%,0)</f>
        <v>0.01</v>
      </c>
      <c r="D68" s="286" t="s">
        <v>290</v>
      </c>
    </row>
    <row r="69" spans="1:6" x14ac:dyDescent="0.35">
      <c r="B69" s="1" t="s">
        <v>292</v>
      </c>
      <c r="C69" s="263">
        <f>IF(D69="Y",1%,0)</f>
        <v>0</v>
      </c>
      <c r="D69" s="286" t="s">
        <v>332</v>
      </c>
    </row>
    <row r="70" spans="1:6" x14ac:dyDescent="0.35">
      <c r="B70" s="80" t="s">
        <v>249</v>
      </c>
      <c r="C70" s="263">
        <f>SUM(C67:C69)</f>
        <v>0.09</v>
      </c>
    </row>
    <row r="71" spans="1:6" x14ac:dyDescent="0.35">
      <c r="C71" s="122"/>
    </row>
    <row r="72" spans="1:6" x14ac:dyDescent="0.35">
      <c r="B72" s="332" t="s">
        <v>369</v>
      </c>
      <c r="C72" s="122"/>
    </row>
    <row r="73" spans="1:6" ht="24.4" customHeight="1" x14ac:dyDescent="0.35">
      <c r="B73" s="339" t="s">
        <v>376</v>
      </c>
      <c r="C73" s="339"/>
      <c r="D73" s="339"/>
      <c r="E73" s="339"/>
      <c r="F73" s="339"/>
    </row>
    <row r="74" spans="1:6" ht="24.4" customHeight="1" x14ac:dyDescent="0.35">
      <c r="B74" s="339" t="s">
        <v>377</v>
      </c>
      <c r="C74" s="339"/>
      <c r="D74" s="339"/>
      <c r="E74" s="339"/>
      <c r="F74" s="339"/>
    </row>
    <row r="76" spans="1:6" x14ac:dyDescent="0.35">
      <c r="B76" s="47" t="s">
        <v>253</v>
      </c>
      <c r="C76" s="263">
        <v>0</v>
      </c>
    </row>
    <row r="77" spans="1:6" x14ac:dyDescent="0.35">
      <c r="B77" s="47" t="s">
        <v>286</v>
      </c>
      <c r="C77" s="248">
        <f>Valuation_Model!C6*C28*Exchange_Rate/Common_Shares</f>
        <v>3.432204133136278</v>
      </c>
      <c r="D77" s="1" t="str">
        <f>Market_currency</f>
        <v>HKD</v>
      </c>
    </row>
    <row r="79" spans="1:6" ht="13.9" x14ac:dyDescent="0.45">
      <c r="A79" s="247" t="s">
        <v>370</v>
      </c>
      <c r="B79" s="36"/>
      <c r="C79" s="36"/>
      <c r="D79" s="36"/>
      <c r="E79" s="36"/>
      <c r="F79" s="36"/>
    </row>
    <row r="80" spans="1:6" x14ac:dyDescent="0.35">
      <c r="A80" s="233"/>
    </row>
    <row r="81" spans="2:6" x14ac:dyDescent="0.35">
      <c r="B81" s="339" t="s">
        <v>378</v>
      </c>
      <c r="C81" s="339"/>
      <c r="D81" s="339"/>
      <c r="E81" s="339"/>
      <c r="F81" s="339"/>
    </row>
    <row r="82" spans="2:6" x14ac:dyDescent="0.35">
      <c r="B82" s="1" t="s">
        <v>255</v>
      </c>
    </row>
    <row r="84" spans="2:6" x14ac:dyDescent="0.35">
      <c r="B84" s="234" t="s">
        <v>232</v>
      </c>
    </row>
    <row r="85" spans="2:6" ht="24.4" customHeight="1" x14ac:dyDescent="0.35">
      <c r="B85" s="339" t="s">
        <v>356</v>
      </c>
      <c r="C85" s="339"/>
      <c r="D85" s="339"/>
      <c r="E85" s="339"/>
      <c r="F85" s="339"/>
    </row>
    <row r="86" spans="2:6" x14ac:dyDescent="0.35">
      <c r="B86" s="47" t="s">
        <v>257</v>
      </c>
      <c r="C86" s="188">
        <f>Valuation_Model!C7</f>
        <v>3093</v>
      </c>
      <c r="D86" s="1" t="str">
        <f>Reporting_currency</f>
        <v>HKD</v>
      </c>
    </row>
    <row r="87" spans="2:6" x14ac:dyDescent="0.35">
      <c r="B87" s="47" t="s">
        <v>287</v>
      </c>
      <c r="C87" s="248">
        <f>C86*C28*Exchange_Rate/Common_Shares</f>
        <v>0.37849307922088393</v>
      </c>
      <c r="D87" s="1" t="str">
        <f>Market_currency</f>
        <v>HKD</v>
      </c>
    </row>
    <row r="89" spans="2:6" x14ac:dyDescent="0.35">
      <c r="B89" s="1" t="s">
        <v>256</v>
      </c>
    </row>
    <row r="90" spans="2:6" x14ac:dyDescent="0.35">
      <c r="B90" s="47" t="s">
        <v>266</v>
      </c>
      <c r="C90" s="188">
        <f>BS!C66</f>
        <v>47679</v>
      </c>
      <c r="D90" s="1" t="str">
        <f>Reporting_currency</f>
        <v>HKD</v>
      </c>
    </row>
    <row r="91" spans="2:6" x14ac:dyDescent="0.35">
      <c r="B91" s="47" t="s">
        <v>268</v>
      </c>
      <c r="C91" s="188">
        <f>Valuation_Model!C8</f>
        <v>42222.564948178719</v>
      </c>
      <c r="D91" s="1" t="str">
        <f>Reporting_currency</f>
        <v>HKD</v>
      </c>
    </row>
    <row r="92" spans="2:6" x14ac:dyDescent="0.35">
      <c r="B92" s="47" t="s">
        <v>288</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289</v>
      </c>
      <c r="C96" s="248">
        <f>C95*C28*Exchange_Rate/Common_Shares</f>
        <v>0.95625487173090062</v>
      </c>
      <c r="D96" s="1" t="str">
        <f>Market_currency</f>
        <v>HKD</v>
      </c>
    </row>
    <row r="98" spans="1:6" ht="24.4" customHeight="1" x14ac:dyDescent="0.35">
      <c r="B98" s="339" t="s">
        <v>379</v>
      </c>
      <c r="C98" s="339"/>
      <c r="D98" s="339"/>
      <c r="E98" s="339"/>
      <c r="F98" s="339"/>
    </row>
    <row r="100" spans="1:6" x14ac:dyDescent="0.35">
      <c r="B100" s="47" t="s">
        <v>285</v>
      </c>
      <c r="C100" s="248">
        <f>Valuation_Model!C12</f>
        <v>9.1767776359081505</v>
      </c>
      <c r="D100" s="1" t="str">
        <f>Market_currency</f>
        <v>HKD</v>
      </c>
    </row>
    <row r="102" spans="1:6" ht="13.9" x14ac:dyDescent="0.45">
      <c r="A102" s="247" t="s">
        <v>371</v>
      </c>
      <c r="B102" s="36"/>
      <c r="C102" s="36"/>
      <c r="D102" s="36"/>
      <c r="E102" s="36"/>
      <c r="F102" s="36"/>
    </row>
    <row r="104" spans="1:6" ht="24.4" customHeight="1" x14ac:dyDescent="0.35">
      <c r="B104" s="340" t="s">
        <v>380</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0.17999999999999994</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-0.02</v>
      </c>
      <c r="D110" s="244">
        <f>Valuation_Model!D77</f>
        <v>10</v>
      </c>
      <c r="E110" s="245" t="str">
        <f>ROUND(Valuation_Model!E77,2)&amp;" "&amp;Market_currency</f>
        <v>8.97 HKD</v>
      </c>
      <c r="F110" s="246">
        <f>Valuation_Model!F77</f>
        <v>0.22499999999999998</v>
      </c>
    </row>
    <row r="111" spans="1:6" x14ac:dyDescent="0.35">
      <c r="B111" s="242" t="str">
        <f>Valuation_Model!B78</f>
        <v>Devil's advocate</v>
      </c>
      <c r="C111" s="243">
        <f>Valuation_Model!C78</f>
        <v>-0.1</v>
      </c>
      <c r="D111" s="244">
        <f>Valuation_Model!D78</f>
        <v>15</v>
      </c>
      <c r="E111" s="245" t="str">
        <f>ROUND(Valuation_Model!E78,2)&amp;" "&amp;Market_currency</f>
        <v>7.97 HKD</v>
      </c>
      <c r="F111" s="246">
        <f>Valuation_Model!F78</f>
        <v>0.05</v>
      </c>
    </row>
    <row r="113" spans="1:6" x14ac:dyDescent="0.35">
      <c r="B113" s="235" t="s">
        <v>260</v>
      </c>
      <c r="C113" s="241">
        <f>Scenarios!C60</f>
        <v>9.1628099951889297</v>
      </c>
      <c r="D113" s="236" t="str">
        <f>Market_currency</f>
        <v>HKD</v>
      </c>
    </row>
    <row r="115" spans="1:6" ht="24.4" customHeight="1" x14ac:dyDescent="0.35">
      <c r="B115" s="343" t="s">
        <v>383</v>
      </c>
      <c r="C115" s="343"/>
      <c r="D115" s="343"/>
      <c r="E115" s="343"/>
      <c r="F115" s="343"/>
    </row>
    <row r="117" spans="1:6" ht="13.9" x14ac:dyDescent="0.45">
      <c r="A117" s="247" t="s">
        <v>418</v>
      </c>
      <c r="B117" s="36"/>
      <c r="C117" s="36"/>
      <c r="D117" s="36"/>
      <c r="E117" s="36"/>
      <c r="F117" s="36"/>
    </row>
    <row r="119" spans="1:6" x14ac:dyDescent="0.35">
      <c r="B119" s="344" t="s">
        <v>381</v>
      </c>
      <c r="C119" s="344"/>
      <c r="D119" s="344"/>
      <c r="E119" s="344"/>
      <c r="F119" s="344"/>
    </row>
    <row r="120" spans="1:6" ht="24.4" customHeight="1" x14ac:dyDescent="0.35">
      <c r="B120" s="339" t="s">
        <v>382</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0.57999999999999996</v>
      </c>
      <c r="D124" s="236" t="str">
        <f>Market_currency</f>
        <v>HKD</v>
      </c>
    </row>
    <row r="126" spans="1:6" x14ac:dyDescent="0.35">
      <c r="B126" s="234" t="s">
        <v>415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4.6913587175367324</v>
      </c>
    </row>
    <row r="129" spans="1:6" x14ac:dyDescent="0.35">
      <c r="B129" s="80" t="s">
        <v>262</v>
      </c>
      <c r="C129" s="239">
        <f>Scenarios!C83</f>
        <v>5.8235187175367322</v>
      </c>
      <c r="D129" s="47" t="str">
        <f>Reporting_currency</f>
        <v>HKD</v>
      </c>
    </row>
    <row r="130" spans="1:6" x14ac:dyDescent="0.35">
      <c r="B130" s="238" t="s">
        <v>264</v>
      </c>
      <c r="C130" s="92">
        <f>Scenarios!F83</f>
        <v>0.3644396510901724</v>
      </c>
    </row>
    <row r="132" spans="1:6" x14ac:dyDescent="0.35">
      <c r="B132" s="234" t="s">
        <v>416</v>
      </c>
    </row>
    <row r="133" spans="1:6" x14ac:dyDescent="0.35">
      <c r="B133" s="236" t="str">
        <f>"PV("&amp;C122&amp;" yrs of Dividends)"</f>
        <v>PV(3 yrs of Dividends)</v>
      </c>
      <c r="C133" s="240">
        <f>Scenarios!C91</f>
        <v>1.6265026918138714</v>
      </c>
    </row>
    <row r="134" spans="1:6" x14ac:dyDescent="0.35">
      <c r="B134" s="236" t="str">
        <f>"+ PV(Equity Value realized at year "&amp;C122&amp;")"</f>
        <v>+ PV(Equity Value realized at year 3)</v>
      </c>
      <c r="C134" s="240">
        <f>Scenarios!C92</f>
        <v>8.2763185094983989</v>
      </c>
    </row>
    <row r="135" spans="1:6" x14ac:dyDescent="0.35">
      <c r="B135" s="80" t="s">
        <v>417</v>
      </c>
      <c r="C135" s="239">
        <f>Scenarios!C93</f>
        <v>9.9028212013122712</v>
      </c>
      <c r="D135" s="101" t="str">
        <f>Reporting_currency</f>
        <v>HKD</v>
      </c>
    </row>
    <row r="136" spans="1:6" x14ac:dyDescent="0.35">
      <c r="B136" s="238" t="s">
        <v>264</v>
      </c>
      <c r="C136" s="92">
        <f>Scenarios!F93</f>
        <v>-8.0762474231365289E-2</v>
      </c>
    </row>
    <row r="138" spans="1:6" ht="13.9" x14ac:dyDescent="0.45">
      <c r="A138" s="247" t="s">
        <v>387</v>
      </c>
      <c r="B138" s="36"/>
      <c r="C138" s="36"/>
      <c r="D138" s="36"/>
      <c r="E138" s="36"/>
      <c r="F138" s="36"/>
    </row>
    <row r="140" spans="1:6" x14ac:dyDescent="0.35">
      <c r="B140" s="338" t="s">
        <v>389</v>
      </c>
      <c r="C140" s="339"/>
      <c r="D140" s="339"/>
      <c r="E140" s="339"/>
      <c r="F140" s="339"/>
    </row>
    <row r="142" spans="1:6" x14ac:dyDescent="0.35">
      <c r="B142" s="234" t="s">
        <v>388</v>
      </c>
    </row>
    <row r="143" spans="1:6" x14ac:dyDescent="0.35">
      <c r="B143" s="341" t="s">
        <v>393</v>
      </c>
      <c r="C143" s="341"/>
      <c r="D143" s="341"/>
      <c r="E143" s="341"/>
      <c r="F143" s="341"/>
    </row>
    <row r="144" spans="1:6" x14ac:dyDescent="0.35">
      <c r="B144" s="238" t="s">
        <v>390</v>
      </c>
    </row>
    <row r="145" spans="2:6" x14ac:dyDescent="0.35">
      <c r="B145" s="238" t="s">
        <v>391</v>
      </c>
    </row>
    <row r="146" spans="2:6" x14ac:dyDescent="0.35">
      <c r="B146" s="238" t="s">
        <v>392</v>
      </c>
    </row>
    <row r="148" spans="2:6" x14ac:dyDescent="0.35">
      <c r="B148" s="1" t="s">
        <v>397</v>
      </c>
    </row>
    <row r="149" spans="2:6" ht="46.5" customHeight="1" x14ac:dyDescent="0.35">
      <c r="B149" s="340" t="s">
        <v>394</v>
      </c>
      <c r="C149" s="340"/>
      <c r="D149" s="340"/>
      <c r="E149" s="340"/>
      <c r="F149" s="340"/>
    </row>
    <row r="151" spans="2:6" x14ac:dyDescent="0.35">
      <c r="B151" s="1" t="s">
        <v>398</v>
      </c>
    </row>
    <row r="152" spans="2:6" ht="24.4" customHeight="1" x14ac:dyDescent="0.35">
      <c r="B152" s="337" t="s">
        <v>395</v>
      </c>
      <c r="C152" s="337"/>
      <c r="D152" s="337"/>
      <c r="E152" s="337"/>
      <c r="F152" s="337"/>
    </row>
    <row r="153" spans="2:6" ht="24.4" customHeight="1" x14ac:dyDescent="0.35">
      <c r="B153" s="337" t="s">
        <v>396</v>
      </c>
      <c r="C153" s="337"/>
      <c r="D153" s="337"/>
      <c r="E153" s="337"/>
      <c r="F153" s="337"/>
    </row>
    <row r="155" spans="2:6" x14ac:dyDescent="0.35">
      <c r="B155" s="1" t="s">
        <v>402</v>
      </c>
    </row>
    <row r="156" spans="2:6" x14ac:dyDescent="0.35">
      <c r="B156" s="238" t="s">
        <v>399</v>
      </c>
    </row>
    <row r="157" spans="2:6" x14ac:dyDescent="0.35">
      <c r="B157" s="238" t="s">
        <v>400</v>
      </c>
    </row>
    <row r="158" spans="2:6" x14ac:dyDescent="0.35">
      <c r="B158" s="238" t="s">
        <v>401</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384</v>
      </c>
      <c r="C22" s="181"/>
      <c r="D22" s="181"/>
      <c r="E22" s="181"/>
      <c r="F22" s="181"/>
      <c r="G22" s="181"/>
      <c r="H22" s="181"/>
      <c r="I22" s="181"/>
      <c r="J22" s="181"/>
      <c r="K22" s="181"/>
      <c r="L22" s="181"/>
      <c r="M22" s="181"/>
    </row>
    <row r="23" spans="2:13" x14ac:dyDescent="0.35">
      <c r="B23" s="27" t="s">
        <v>386</v>
      </c>
      <c r="C23" s="181"/>
      <c r="D23" s="181"/>
      <c r="E23" s="181"/>
      <c r="F23" s="181"/>
      <c r="G23" s="181"/>
      <c r="H23" s="181"/>
      <c r="I23" s="181"/>
      <c r="J23" s="181"/>
      <c r="K23" s="181"/>
      <c r="L23" s="181"/>
      <c r="M23" s="181"/>
    </row>
    <row r="24" spans="2:13" x14ac:dyDescent="0.35">
      <c r="B24" s="27" t="s">
        <v>385</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422</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3.1154705020769802E-3</v>
      </c>
      <c r="D62" s="92">
        <f>G28/G29</f>
        <v>3.1154705020769802E-3</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-930.64086357333326</v>
      </c>
      <c r="D73" s="188">
        <f>(Normalized_FCF!C25+Normalized_FCF!C35-Normalized_FCF!C91)/12</f>
        <v>-909.4058419702136</v>
      </c>
      <c r="F73" s="1" t="s">
        <v>363</v>
      </c>
    </row>
    <row r="74" spans="2:6" ht="15" customHeight="1" x14ac:dyDescent="0.35">
      <c r="B74" s="288" t="s">
        <v>333</v>
      </c>
      <c r="C74" s="289">
        <f>-$C$66/C73</f>
        <v>51.232437631128107</v>
      </c>
      <c r="D74" s="289">
        <f>-$C$66/D73</f>
        <v>52.428737313479523</v>
      </c>
      <c r="F74" s="283" t="s">
        <v>330</v>
      </c>
    </row>
    <row r="75" spans="2:6" ht="15" customHeight="1" x14ac:dyDescent="0.35">
      <c r="B75" s="80" t="s">
        <v>331</v>
      </c>
      <c r="C75" s="293"/>
      <c r="D75" s="292">
        <f>MAX(-D73*D76,G5)</f>
        <v>5456.4350518212814</v>
      </c>
      <c r="F75" s="283" t="s">
        <v>364</v>
      </c>
    </row>
    <row r="76" spans="2:6" ht="15" customHeight="1" x14ac:dyDescent="0.35">
      <c r="B76" s="290" t="s">
        <v>334</v>
      </c>
      <c r="C76" s="291"/>
      <c r="D76" s="327">
        <f>IF(D74&lt;=3,1,IF(D74&gt;18,6,2))</f>
        <v>6</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-3093</v>
      </c>
      <c r="D86" s="248">
        <f>C86*$H$1/Common_Shares</f>
        <v>-0.37849307922088393</v>
      </c>
      <c r="E86" s="269" t="str">
        <f>Market_currency</f>
        <v>HKD</v>
      </c>
    </row>
    <row r="87" spans="2:8" ht="15" customHeight="1" x14ac:dyDescent="0.35">
      <c r="B87" s="267" t="s">
        <v>297</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301</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345</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345</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345</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346</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347</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348</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366</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405</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407</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5" t="s">
        <v>251</v>
      </c>
      <c r="F6" s="345"/>
      <c r="H6" s="121"/>
    </row>
    <row r="7" spans="2:8" x14ac:dyDescent="0.35">
      <c r="B7" s="149" t="s">
        <v>226</v>
      </c>
      <c r="C7" s="226">
        <f>BS!G31</f>
        <v>3093</v>
      </c>
      <c r="D7" t="str">
        <f>Reporting_currency</f>
        <v>HKD</v>
      </c>
      <c r="E7" s="345"/>
      <c r="F7" s="345"/>
      <c r="H7" s="121"/>
    </row>
    <row r="8" spans="2:8" x14ac:dyDescent="0.35">
      <c r="B8" s="149" t="s">
        <v>227</v>
      </c>
      <c r="C8" s="201">
        <f>BS!D66</f>
        <v>42222.564948178719</v>
      </c>
      <c r="D8" t="str">
        <f>Reporting_currency</f>
        <v>HKD</v>
      </c>
      <c r="E8" s="345"/>
      <c r="F8" s="345"/>
      <c r="H8" s="121"/>
    </row>
    <row r="9" spans="2:8" x14ac:dyDescent="0.35">
      <c r="B9" s="227" t="s">
        <v>192</v>
      </c>
      <c r="C9" s="229">
        <f>BS!H42</f>
        <v>7814.4</v>
      </c>
      <c r="D9" t="str">
        <f>Reporting_currency</f>
        <v>HKD</v>
      </c>
      <c r="E9" s="345"/>
      <c r="F9" s="345"/>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-1.5334906308317399E-3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9.1600300006768141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x14ac:dyDescent="0.35">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x14ac:dyDescent="0.35">
      <c r="B23" s="123">
        <v>3</v>
      </c>
      <c r="C23" s="124">
        <f t="shared" si="2"/>
        <v>2512.6853263393245</v>
      </c>
      <c r="D23" s="139">
        <f>IF($C$17&lt;B23,0,Valuation_Model!$C$16)</f>
        <v>-1.5334906308317399E-3</v>
      </c>
      <c r="E23" s="125">
        <f t="shared" si="0"/>
        <v>0.77218348006106419</v>
      </c>
      <c r="F23" s="126">
        <f t="shared" si="1"/>
        <v>1940.2540995910704</v>
      </c>
      <c r="H23" s="121"/>
    </row>
    <row r="24" spans="2:8" x14ac:dyDescent="0.35">
      <c r="B24" s="123">
        <v>4</v>
      </c>
      <c r="C24" s="124">
        <f t="shared" si="2"/>
        <v>2508.8321469331549</v>
      </c>
      <c r="D24" s="139">
        <f>IF($C$17&lt;B24,0,Valuation_Model!$C$16)</f>
        <v>-1.5334906308317399E-3</v>
      </c>
      <c r="E24" s="125">
        <f t="shared" si="0"/>
        <v>0.7084252110651964</v>
      </c>
      <c r="F24" s="126">
        <f t="shared" si="1"/>
        <v>1777.3199432182701</v>
      </c>
      <c r="H24" s="121"/>
    </row>
    <row r="25" spans="2:8" x14ac:dyDescent="0.35">
      <c r="B25" s="123">
        <v>5</v>
      </c>
      <c r="C25" s="124">
        <f t="shared" si="2"/>
        <v>2504.9848763415034</v>
      </c>
      <c r="D25" s="139">
        <f>IF($C$17&lt;B25,0,Valuation_Model!$C$16)</f>
        <v>-1.5334906308317399E-3</v>
      </c>
      <c r="E25" s="125">
        <f t="shared" si="0"/>
        <v>0.64993138629834524</v>
      </c>
      <c r="F25" s="126">
        <f t="shared" si="1"/>
        <v>1628.0682933370222</v>
      </c>
      <c r="H25" s="121"/>
    </row>
    <row r="26" spans="2:8" x14ac:dyDescent="0.35">
      <c r="B26" s="123">
        <v>6</v>
      </c>
      <c r="C26" s="124">
        <f t="shared" si="2"/>
        <v>2501.1435055032584</v>
      </c>
      <c r="D26" s="139">
        <f>IF($C$17&lt;B26,0,Valuation_Model!$C$16)</f>
        <v>-1.5334906308317399E-3</v>
      </c>
      <c r="E26" s="125">
        <f t="shared" si="0"/>
        <v>0.5962673268792158</v>
      </c>
      <c r="F26" s="126">
        <f t="shared" si="1"/>
        <v>1491.350152167739</v>
      </c>
      <c r="H26" s="121"/>
    </row>
    <row r="27" spans="2:8" x14ac:dyDescent="0.35">
      <c r="B27" s="123">
        <v>7</v>
      </c>
      <c r="C27" s="124">
        <f t="shared" si="2"/>
        <v>2497.3080253712037</v>
      </c>
      <c r="D27" s="139">
        <f>IF($C$17&lt;B27,0,Valuation_Model!$C$16)</f>
        <v>-1.5334906308317399E-3</v>
      </c>
      <c r="E27" s="125">
        <f t="shared" si="0"/>
        <v>0.54703424484331731</v>
      </c>
      <c r="F27" s="126">
        <f t="shared" si="1"/>
        <v>1366.1130098000924</v>
      </c>
      <c r="H27" s="121"/>
    </row>
    <row r="28" spans="2:8" x14ac:dyDescent="0.35">
      <c r="B28" s="123">
        <v>8</v>
      </c>
      <c r="C28" s="124">
        <f t="shared" si="2"/>
        <v>2493.4784269119959</v>
      </c>
      <c r="D28" s="139">
        <f>IF($C$17&lt;B28,0,Valuation_Model!$C$16)</f>
        <v>-1.5334906308317399E-3</v>
      </c>
      <c r="E28" s="125">
        <f t="shared" si="0"/>
        <v>0.50186627967276809</v>
      </c>
      <c r="F28" s="126">
        <f t="shared" si="1"/>
        <v>1251.3927415586295</v>
      </c>
      <c r="H28" s="121"/>
    </row>
    <row r="29" spans="2:8" x14ac:dyDescent="0.35">
      <c r="B29" s="123">
        <v>9</v>
      </c>
      <c r="C29" s="124">
        <f t="shared" si="2"/>
        <v>2489.6547011061448</v>
      </c>
      <c r="D29" s="139">
        <f>IF($C$17&lt;B29,0,Valuation_Model!$C$16)</f>
        <v>-1.5334906308317399E-3</v>
      </c>
      <c r="E29" s="125">
        <f t="shared" si="0"/>
        <v>0.46042777951630098</v>
      </c>
      <c r="F29" s="126">
        <f t="shared" si="1"/>
        <v>1146.3061857926223</v>
      </c>
      <c r="H29" s="121"/>
    </row>
    <row r="30" spans="2:8" x14ac:dyDescent="0.35">
      <c r="B30" s="123">
        <v>10</v>
      </c>
      <c r="C30" s="124">
        <f t="shared" si="2"/>
        <v>2485.8368389479924</v>
      </c>
      <c r="D30" s="139">
        <f>IF($C$17&lt;B30,0,Valuation_Model!$C$16)</f>
        <v>-1.5334906308317399E-3</v>
      </c>
      <c r="E30" s="125">
        <f t="shared" si="0"/>
        <v>0.42241080689568894</v>
      </c>
      <c r="F30" s="126">
        <f t="shared" si="1"/>
        <v>1050.0443449510503</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28004.549421214109</v>
      </c>
      <c r="D51" s="140">
        <f>Terminal_Growth</f>
        <v>0</v>
      </c>
      <c r="E51" s="125">
        <f>1/(1+Equity_Cost)^C17</f>
        <v>0.42241080689568894</v>
      </c>
      <c r="F51" s="126">
        <f t="shared" si="1"/>
        <v>11829.42431776525</v>
      </c>
      <c r="H51" s="121"/>
    </row>
    <row r="52" spans="1:8" x14ac:dyDescent="0.35">
      <c r="C52" s="115"/>
      <c r="E52" s="128" t="s">
        <v>102</v>
      </c>
      <c r="F52" s="138">
        <f>SUM(F21:F51)</f>
        <v>27910.700427510208</v>
      </c>
      <c r="H52" s="121"/>
    </row>
    <row r="53" spans="1:8" x14ac:dyDescent="0.35">
      <c r="C53" s="115"/>
      <c r="H53" s="121"/>
    </row>
    <row r="54" spans="1:8" ht="13.15" x14ac:dyDescent="0.35">
      <c r="B54" s="120" t="s">
        <v>131</v>
      </c>
      <c r="C54" s="137"/>
      <c r="D54" s="137"/>
      <c r="E54" s="118"/>
      <c r="F54" s="118"/>
      <c r="H54" s="121"/>
    </row>
    <row r="55" spans="1:8" ht="13.15" x14ac:dyDescent="0.4">
      <c r="A55" s="134">
        <f>F52</f>
        <v>27910.700427510208</v>
      </c>
      <c r="B55" s="132">
        <f>C78</f>
        <v>-0.1</v>
      </c>
      <c r="C55" s="132">
        <f>C77</f>
        <v>-0.02</v>
      </c>
      <c r="D55" s="132">
        <f>C76</f>
        <v>0</v>
      </c>
      <c r="E55" s="132">
        <f>C75</f>
        <v>0.02</v>
      </c>
      <c r="F55" s="132">
        <f>C74</f>
        <v>0.05</v>
      </c>
      <c r="H55" s="121"/>
    </row>
    <row r="56" spans="1:8" ht="13.15" x14ac:dyDescent="0.4">
      <c r="A56" s="144">
        <v>5</v>
      </c>
      <c r="B56" s="124">
        <f t="dataTable" ref="B56:F61" dt2D="1" dtr="1" r1="C16" r2="C17"/>
        <v>23774.32983700114</v>
      </c>
      <c r="C56" s="124">
        <v>27141.444000157735</v>
      </c>
      <c r="D56" s="124">
        <v>28047.560091832616</v>
      </c>
      <c r="E56" s="124">
        <v>28981.765727242848</v>
      </c>
      <c r="F56" s="124">
        <v>30438.473405950401</v>
      </c>
      <c r="H56" s="121"/>
    </row>
    <row r="57" spans="1:8" ht="13.15" x14ac:dyDescent="0.4">
      <c r="A57" s="144">
        <v>10</v>
      </c>
      <c r="B57" s="124">
        <v>20858.840408788732</v>
      </c>
      <c r="C57" s="124">
        <v>26337.807128432454</v>
      </c>
      <c r="D57" s="124">
        <v>28047.560091832609</v>
      </c>
      <c r="E57" s="124">
        <v>29927.068993812412</v>
      </c>
      <c r="F57" s="124">
        <v>33109.67442910144</v>
      </c>
      <c r="H57" s="121"/>
    </row>
    <row r="58" spans="1:8" ht="13.15" x14ac:dyDescent="0.4">
      <c r="A58" s="144">
        <v>15</v>
      </c>
      <c r="B58" s="124">
        <v>18211.352254376201</v>
      </c>
      <c r="C58" s="124">
        <v>25475.165391277165</v>
      </c>
      <c r="D58" s="124">
        <v>28047.560091832613</v>
      </c>
      <c r="E58" s="124">
        <v>31045.702134284722</v>
      </c>
      <c r="F58" s="124">
        <v>36528.586558529481</v>
      </c>
      <c r="H58" s="121"/>
    </row>
    <row r="59" spans="1:8" ht="13.15" x14ac:dyDescent="0.4">
      <c r="A59" s="145">
        <v>20</v>
      </c>
      <c r="B59" s="124">
        <v>16201.827595104349</v>
      </c>
      <c r="C59" s="124">
        <v>24714.566461598573</v>
      </c>
      <c r="D59" s="124">
        <v>28047.560091832613</v>
      </c>
      <c r="E59" s="124">
        <v>32134.575636798087</v>
      </c>
      <c r="F59" s="124">
        <v>40146.532024878717</v>
      </c>
      <c r="H59" s="121"/>
    </row>
    <row r="60" spans="1:8" ht="13.15" x14ac:dyDescent="0.4">
      <c r="A60" s="145">
        <v>25</v>
      </c>
      <c r="B60" s="124">
        <v>14784.924393359493</v>
      </c>
      <c r="C60" s="124">
        <v>24102.766713332425</v>
      </c>
      <c r="D60" s="124">
        <v>28047.560091832605</v>
      </c>
      <c r="E60" s="124">
        <v>33101.915756911323</v>
      </c>
      <c r="F60" s="124">
        <v>43655.830383979846</v>
      </c>
      <c r="H60" s="121"/>
    </row>
    <row r="61" spans="1:8" ht="13.15" x14ac:dyDescent="0.4">
      <c r="A61" s="145">
        <v>30</v>
      </c>
      <c r="B61" s="124">
        <v>13821.492720860644</v>
      </c>
      <c r="C61" s="124">
        <v>23636.131144957148</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-0.02</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x14ac:dyDescent="0.4">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x14ac:dyDescent="0.4">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x14ac:dyDescent="0.4">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x14ac:dyDescent="0.4">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x14ac:dyDescent="0.4">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x14ac:dyDescent="0.35">
      <c r="B78" s="128" t="str">
        <f>Scenarios!B48</f>
        <v>Devil's advocate</v>
      </c>
      <c r="C78" s="143">
        <f>Scenarios!C50</f>
        <v>-0.1</v>
      </c>
      <c r="D78" s="146">
        <f>Scenarios!C49</f>
        <v>15</v>
      </c>
      <c r="E78" s="136">
        <f>INDEX(B$65:F$71, MATCH(D78, A$65:A$71, 0), MATCH(C78, B$64:F$64, 0))</f>
        <v>7.9731123943124613</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-7.85</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284</v>
      </c>
      <c r="F6" s="100"/>
      <c r="H6" s="276">
        <v>3</v>
      </c>
      <c r="I6" s="264">
        <f t="shared" si="0"/>
        <v>9.7428099951889298</v>
      </c>
    </row>
    <row r="7" spans="2:9" ht="12.75" customHeight="1" x14ac:dyDescent="0.35">
      <c r="B7" s="100" t="s">
        <v>278</v>
      </c>
      <c r="C7" s="115">
        <f>Normalized_FCF!G8</f>
        <v>2337</v>
      </c>
      <c r="D7" t="str">
        <f>Reporting_currency</f>
        <v>HKD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7"/>
      <c r="H7" s="276">
        <v>4</v>
      </c>
      <c r="I7" s="264" t="str">
        <f t="shared" si="0"/>
        <v/>
      </c>
    </row>
    <row r="8" spans="2:9" x14ac:dyDescent="0.35">
      <c r="B8" s="100" t="s">
        <v>67</v>
      </c>
      <c r="C8" s="115">
        <f>Normalized_FCF!G19</f>
        <v>2772.792068232593</v>
      </c>
      <c r="D8" t="str">
        <f>Reporting_currency</f>
        <v>HKD</v>
      </c>
      <c r="E8" s="347"/>
      <c r="F8" s="347"/>
      <c r="H8" s="276">
        <v>5</v>
      </c>
      <c r="I8" s="264" t="str">
        <f t="shared" si="0"/>
        <v/>
      </c>
    </row>
    <row r="9" spans="2:9" x14ac:dyDescent="0.35">
      <c r="B9" s="100" t="s">
        <v>58</v>
      </c>
      <c r="C9" s="201">
        <f>Normalized_FCF!C19</f>
        <v>2524.2804082649359</v>
      </c>
      <c r="D9" t="str">
        <f>Reporting_currency</f>
        <v>HKD</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-0.28945840615733698</v>
      </c>
      <c r="D12" s="159"/>
      <c r="E12" s="347"/>
      <c r="F12" s="347"/>
      <c r="H12" s="276">
        <v>9</v>
      </c>
      <c r="I12" s="264" t="str">
        <f t="shared" si="0"/>
        <v/>
      </c>
    </row>
    <row r="13" spans="2:9" x14ac:dyDescent="0.35">
      <c r="B13" s="149" t="s">
        <v>154</v>
      </c>
      <c r="C13" s="159">
        <f ca="1">(Normalized_FCF!G8/OFFSET(Normalized_FCF!G8, 0, $C$4))^(1/$C$4) - 1</f>
        <v>-0.42686307479092267</v>
      </c>
      <c r="E13" s="347"/>
      <c r="F13" s="347"/>
      <c r="H13" s="276">
        <v>10</v>
      </c>
      <c r="I13" s="264" t="str">
        <f t="shared" si="0"/>
        <v/>
      </c>
    </row>
    <row r="14" spans="2:9" x14ac:dyDescent="0.35">
      <c r="B14" s="100" t="s">
        <v>67</v>
      </c>
      <c r="C14" s="159">
        <f ca="1">(Normalized_FCF!G19/OFFSET(Normalized_FCF!G19, 0, $C$4))^(1/$C$4) - 1</f>
        <v>-0.34904529928871464</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7.85</v>
      </c>
      <c r="D21" t="str">
        <f>Market_currency</f>
        <v>HKD</v>
      </c>
      <c r="E21" s="348"/>
      <c r="F21" s="348"/>
    </row>
    <row r="22" spans="2:6" x14ac:dyDescent="0.35">
      <c r="B22" s="100" t="s">
        <v>283</v>
      </c>
      <c r="C22" s="161">
        <f>Valuation_Model!C12</f>
        <v>9.1767776359081505</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v>
      </c>
      <c r="D26" s="165"/>
      <c r="E26" s="346"/>
      <c r="F26" s="346"/>
    </row>
    <row r="27" spans="2:6" x14ac:dyDescent="0.35">
      <c r="B27" s="100" t="s">
        <v>115</v>
      </c>
      <c r="C27" s="161">
        <f>Valuation_Model!E76</f>
        <v>9.1767776359081505</v>
      </c>
      <c r="D27" s="161" t="str">
        <f>Market_currency</f>
        <v>HKD</v>
      </c>
      <c r="E27" s="346"/>
      <c r="F27" s="346"/>
    </row>
    <row r="28" spans="2:6" x14ac:dyDescent="0.35">
      <c r="B28" s="100" t="s">
        <v>149</v>
      </c>
      <c r="C28" s="166">
        <v>0.55000000000000004</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-0.02</v>
      </c>
      <c r="D32" s="165"/>
      <c r="E32" s="346"/>
      <c r="F32" s="346"/>
    </row>
    <row r="33" spans="2:6" x14ac:dyDescent="0.35">
      <c r="B33" s="100" t="s">
        <v>115</v>
      </c>
      <c r="C33" s="161">
        <f>Valuation_Model!E77</f>
        <v>8.9675536902811377</v>
      </c>
      <c r="D33" t="str">
        <f>Market_currency</f>
        <v>HKD</v>
      </c>
      <c r="E33" s="346"/>
      <c r="F33" s="346"/>
    </row>
    <row r="34" spans="2:6" x14ac:dyDescent="0.35">
      <c r="B34" s="100" t="s">
        <v>149</v>
      </c>
      <c r="C34" s="166">
        <v>0.25</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0.02</v>
      </c>
      <c r="D38" s="165"/>
      <c r="E38" s="346"/>
      <c r="F38" s="346"/>
    </row>
    <row r="39" spans="2:6" x14ac:dyDescent="0.35">
      <c r="B39" s="100" t="s">
        <v>115</v>
      </c>
      <c r="C39" s="161">
        <f>Valuation_Model!E75</f>
        <v>9.4067747622364397</v>
      </c>
      <c r="D39" t="str">
        <f>Market_currency</f>
        <v>HKD</v>
      </c>
      <c r="E39" s="346"/>
      <c r="F39" s="346"/>
    </row>
    <row r="40" spans="2:6" x14ac:dyDescent="0.35">
      <c r="B40" s="100" t="s">
        <v>149</v>
      </c>
      <c r="C40" s="168">
        <f>1-C28-C34</f>
        <v>0.19999999999999996</v>
      </c>
      <c r="D40" s="166"/>
      <c r="E40" s="346"/>
      <c r="F40" s="346"/>
    </row>
    <row r="42" spans="2:6" ht="13.15" x14ac:dyDescent="0.4">
      <c r="B42" s="100" t="s">
        <v>122</v>
      </c>
      <c r="C42" s="155">
        <f>C27*C28+C33*C34+C39*C40</f>
        <v>9.1704710747670557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-0.1</v>
      </c>
      <c r="D50" s="165"/>
      <c r="E50" s="346"/>
      <c r="F50" s="346"/>
    </row>
    <row r="51" spans="2:6" x14ac:dyDescent="0.35">
      <c r="B51" s="100" t="s">
        <v>115</v>
      </c>
      <c r="C51" s="161">
        <f>Valuation_Model!E78</f>
        <v>7.9731123943124613</v>
      </c>
      <c r="D51" t="str">
        <f>Market_currency</f>
        <v>HKD</v>
      </c>
      <c r="E51" s="346"/>
      <c r="F51" s="346"/>
    </row>
    <row r="52" spans="2:6" x14ac:dyDescent="0.35">
      <c r="B52" s="100" t="s">
        <v>149</v>
      </c>
      <c r="C52" s="166">
        <v>0.05</v>
      </c>
      <c r="D52" s="166"/>
      <c r="E52" s="346"/>
      <c r="F52" s="346"/>
    </row>
    <row r="54" spans="2:6" ht="13.15" x14ac:dyDescent="0.4">
      <c r="B54" s="160" t="s">
        <v>327</v>
      </c>
      <c r="E54" s="160" t="s">
        <v>151</v>
      </c>
      <c r="F54" s="160"/>
    </row>
    <row r="55" spans="2:6" x14ac:dyDescent="0.35">
      <c r="B55" s="153" t="s">
        <v>135</v>
      </c>
      <c r="C55" s="167">
        <f>C46</f>
        <v>15</v>
      </c>
      <c r="D55" s="164"/>
      <c r="E55" s="346"/>
      <c r="F55" s="346"/>
    </row>
    <row r="56" spans="2:6" x14ac:dyDescent="0.35">
      <c r="B56" s="119" t="s">
        <v>136</v>
      </c>
      <c r="C56" s="165">
        <v>0.05</v>
      </c>
      <c r="D56" s="165"/>
      <c r="E56" s="346"/>
      <c r="F56" s="346"/>
    </row>
    <row r="57" spans="2:6" x14ac:dyDescent="0.35">
      <c r="B57" s="100" t="s">
        <v>115</v>
      </c>
      <c r="C57" s="161">
        <f>Valuation_Model!E74</f>
        <v>10.214608163659173</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9.1628099951889297</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408</v>
      </c>
    </row>
    <row r="65" spans="2:6" x14ac:dyDescent="0.35">
      <c r="B65" s="119" t="s">
        <v>136</v>
      </c>
      <c r="C65" s="152">
        <v>-1.5334906308317399E-3</v>
      </c>
      <c r="D65" s="152"/>
      <c r="E65" s="281" t="s">
        <v>323</v>
      </c>
    </row>
    <row r="66" spans="2:6" x14ac:dyDescent="0.35">
      <c r="B66" s="100" t="s">
        <v>104</v>
      </c>
      <c r="C66" s="161">
        <f>Valuation_Model!C18</f>
        <v>9.1600300006768141</v>
      </c>
      <c r="D66" s="161" t="str">
        <f>Market_currency</f>
        <v>HKD</v>
      </c>
      <c r="E66" s="281" t="s">
        <v>324</v>
      </c>
    </row>
    <row r="68" spans="2:6" ht="13.15" x14ac:dyDescent="0.4">
      <c r="B68" s="109" t="s">
        <v>362</v>
      </c>
      <c r="E68" s="282" t="s">
        <v>325</v>
      </c>
    </row>
    <row r="69" spans="2:6" x14ac:dyDescent="0.35">
      <c r="B69" s="100" t="s">
        <v>315</v>
      </c>
      <c r="C69" s="273" t="str">
        <f>IF(C60&lt;C22,"Y","N")</f>
        <v>Y</v>
      </c>
      <c r="E69" s="135"/>
    </row>
    <row r="70" spans="2:6" x14ac:dyDescent="0.35">
      <c r="B70" s="100" t="s">
        <v>303</v>
      </c>
      <c r="C70" s="273" t="str">
        <f>IF(C69="Y","N",IF(C65&gt;8%,"N","Y"))</f>
        <v>N</v>
      </c>
      <c r="E70" s="281" t="s">
        <v>304</v>
      </c>
    </row>
    <row r="71" spans="2:6" x14ac:dyDescent="0.35">
      <c r="B71" s="100" t="s">
        <v>302</v>
      </c>
      <c r="C71" s="273" t="str">
        <f>IF(C65&gt;8%,"Y","N")</f>
        <v>N</v>
      </c>
      <c r="E71" s="281"/>
    </row>
    <row r="72" spans="2:6" x14ac:dyDescent="0.35">
      <c r="B72" s="100" t="s">
        <v>294</v>
      </c>
      <c r="C72" s="272" t="str">
        <f>IF(F72&gt;50%,"Y","N")</f>
        <v>Y</v>
      </c>
      <c r="E72" s="135" t="s">
        <v>358</v>
      </c>
      <c r="F72" s="329">
        <f>BS!D89/C60</f>
        <v>0.6269445187435021</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0.57999999999999996</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1.1321599999999998</v>
      </c>
      <c r="D81" s="117"/>
      <c r="E81" s="100"/>
      <c r="F81" s="100"/>
    </row>
    <row r="82" spans="2:8" x14ac:dyDescent="0.35">
      <c r="B82" s="100" t="s">
        <v>124</v>
      </c>
      <c r="C82" s="117">
        <f>C60/(1+C80)^C76</f>
        <v>4.6913587175367324</v>
      </c>
      <c r="D82" s="117"/>
    </row>
    <row r="83" spans="2:8" ht="13.15" x14ac:dyDescent="0.4">
      <c r="B83" s="111" t="s">
        <v>103</v>
      </c>
      <c r="C83" s="112">
        <f>C81+C82</f>
        <v>5.8235187175367322</v>
      </c>
      <c r="D83" t="str">
        <f>Market_currency</f>
        <v>HKD</v>
      </c>
      <c r="E83" s="147" t="s">
        <v>128</v>
      </c>
      <c r="F83" s="329">
        <f>(1-C83/C60)</f>
        <v>0.3644396510901724</v>
      </c>
    </row>
    <row r="84" spans="2:8" x14ac:dyDescent="0.35">
      <c r="E84" s="121"/>
    </row>
    <row r="85" spans="2:8" ht="13.15" x14ac:dyDescent="0.4">
      <c r="B85" s="109" t="s">
        <v>312</v>
      </c>
    </row>
    <row r="86" spans="2:8" x14ac:dyDescent="0.35">
      <c r="B86" s="149" t="s">
        <v>310</v>
      </c>
      <c r="C86" s="266">
        <f>Market_Price</f>
        <v>7.85</v>
      </c>
      <c r="D86" t="str">
        <f>Market_currency</f>
        <v>HKD</v>
      </c>
    </row>
    <row r="87" spans="2:8" ht="13.15" x14ac:dyDescent="0.4">
      <c r="B87" s="100" t="s">
        <v>308</v>
      </c>
      <c r="C87" s="265">
        <f ca="1">IRR(OFFSET($I$3, 0, 0, $C$76 + 1, 1))</f>
        <v>0.12328963999428066</v>
      </c>
    </row>
    <row r="88" spans="2:8" x14ac:dyDescent="0.35">
      <c r="B88" s="100"/>
    </row>
    <row r="89" spans="2:8" ht="13.15" x14ac:dyDescent="0.4">
      <c r="B89" s="109" t="s">
        <v>411</v>
      </c>
    </row>
    <row r="90" spans="2:8" x14ac:dyDescent="0.35">
      <c r="B90" s="149" t="s">
        <v>412</v>
      </c>
      <c r="C90" s="135">
        <f>Thesis!E19</f>
        <v>3.4500000000000003E-2</v>
      </c>
    </row>
    <row r="91" spans="2:8" x14ac:dyDescent="0.35">
      <c r="B91" s="100" t="s">
        <v>123</v>
      </c>
      <c r="C91" s="117">
        <f>PV(C90, C76, -C77, 0)</f>
        <v>1.6265026918138714</v>
      </c>
      <c r="D91" s="117"/>
    </row>
    <row r="92" spans="2:8" x14ac:dyDescent="0.35">
      <c r="B92" s="100" t="s">
        <v>124</v>
      </c>
      <c r="C92" s="117">
        <f>C60/(1+C90)^C76</f>
        <v>8.2763185094983989</v>
      </c>
      <c r="D92" s="117"/>
    </row>
    <row r="93" spans="2:8" ht="13.15" x14ac:dyDescent="0.4">
      <c r="B93" s="111" t="s">
        <v>413</v>
      </c>
      <c r="C93" s="112">
        <f>C91+C92</f>
        <v>9.9028212013122712</v>
      </c>
      <c r="D93" t="s">
        <v>410</v>
      </c>
      <c r="E93" s="147" t="s">
        <v>128</v>
      </c>
      <c r="F93" s="329">
        <f>(1-C93/C60)</f>
        <v>-8.0762474231365289E-2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