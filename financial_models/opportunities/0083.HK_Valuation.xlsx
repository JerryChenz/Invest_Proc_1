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074858-38A3-4FC9-AFD6-BECDC66E7D1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J94" i="2"/>
  <c r="K94" i="2"/>
  <c r="L92" i="2"/>
  <c r="L94" i="2"/>
  <c r="M92" i="2"/>
  <c r="M94" i="2"/>
  <c r="H94" i="2"/>
  <c r="L121" i="2"/>
  <c r="L119" i="2"/>
  <c r="L118" i="2"/>
  <c r="M121" i="2"/>
  <c r="M119" i="2"/>
  <c r="M118"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<sst xmlns="http://schemas.openxmlformats.org/spreadsheetml/2006/main" count="686" uniqueCount="465">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</sst>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8.16</v>
      </c>
      <c r="D12" s="50"/>
      <c r="E12" s="48"/>
    </row>
    <row r="13" spans="1:10">
      <c r="B13" s="1" t="s">
        <v>412</v>
      </c>
      <c r="C13" s="48" t="s">
        <v>393</v>
      </c>
      <c r="D13" s="48"/>
      <c r="E13" s="5"/>
    </row>
    <row r="14" spans="1:10">
      <c r="B14" s="4" t="s">
        <v>416</v>
      </c>
      <c r="C14" s="35">
        <f>Thesis!C12*Common_Shares/1000000</f>
        <v>66682.540277759996</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0.11501992981145359</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4.6237469150396135</v>
      </c>
      <c r="D29" s="310" t="str">
        <f>D149</f>
        <v/>
      </c>
      <c r="E29" s="306" t="s">
        <v>420</v>
      </c>
      <c r="F29" s="302">
        <v>0.3674</v>
      </c>
    </row>
    <row r="30" spans="2:6">
      <c r="B30" s="1" t="s">
        <v>422</v>
      </c>
      <c r="C30" s="311">
        <f>C157</f>
        <v>6.3792496771334868</v>
      </c>
      <c r="D30" s="311" t="str">
        <f>D157</f>
        <v/>
      </c>
      <c r="E30" s="307" t="s">
        <v>433</v>
      </c>
      <c r="F30" s="312">
        <v>0.21740000000000001</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2591.8202592374382</v>
      </c>
      <c r="D41" s="1" t="str">
        <f>Reporting_currency</f>
        <v>HKD</v>
      </c>
    </row>
    <row r="42" spans="1:6">
      <c r="B42" s="47"/>
      <c r="C42" s="76"/>
    </row>
    <row r="43" spans="1:6" ht="24.6" customHeight="1">
      <c r="B43" s="361" t="s">
        <v>232</v>
      </c>
      <c r="C43" s="361"/>
      <c r="D43" s="361"/>
      <c r="E43" s="361"/>
      <c r="F43" s="361"/>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61" t="s">
        <v>235</v>
      </c>
      <c r="C47" s="361"/>
      <c r="D47" s="361"/>
      <c r="E47" s="361"/>
      <c r="F47" s="361"/>
    </row>
    <row r="48" spans="1:6">
      <c r="B48" s="47" t="s">
        <v>236</v>
      </c>
      <c r="C48" s="349">
        <f>Normalized_FCF!C11</f>
        <v>639</v>
      </c>
      <c r="D48" s="1" t="str">
        <f>Reporting_currency</f>
        <v>HKD</v>
      </c>
    </row>
    <row r="50" spans="2:6">
      <c r="B50" s="361" t="s">
        <v>239</v>
      </c>
      <c r="C50" s="361"/>
      <c r="D50" s="361"/>
      <c r="E50" s="361"/>
      <c r="F50" s="361"/>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61" t="s">
        <v>240</v>
      </c>
      <c r="C58" s="361"/>
      <c r="D58" s="361"/>
      <c r="E58" s="361"/>
      <c r="F58" s="361"/>
    </row>
    <row r="59" spans="2:6">
      <c r="B59" s="47" t="s">
        <v>238</v>
      </c>
      <c r="C59" s="349">
        <f>Normalized_FCF!C14</f>
        <v>-804.36319459009837</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3.7855192644885419E-2</v>
      </c>
      <c r="F69" s="314"/>
    </row>
    <row r="70" spans="1:6">
      <c r="B70" s="227" t="s">
        <v>454</v>
      </c>
      <c r="C70" s="92">
        <f>Normalized_FCF!C94</f>
        <v>7.1078431372549017E-2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60" t="s">
        <v>363</v>
      </c>
      <c r="C116" s="360"/>
      <c r="D116" s="360"/>
      <c r="E116" s="360"/>
      <c r="F116" s="360"/>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259</v>
      </c>
      <c r="C149" s="215">
        <f>Scenarios!C83</f>
        <v>4.6237469150396135</v>
      </c>
      <c r="D149" s="300" t="str">
        <f>IF($D$11="","",C149*$E$25)</f>
        <v/>
      </c>
    </row>
    <row r="150" spans="2:4">
      <c r="B150" s="259" t="s">
        <v>412</v>
      </c>
      <c r="C150" s="298" t="str">
        <f>Market_currency</f>
        <v>HKD</v>
      </c>
      <c r="D150" s="298" t="str">
        <f>IF($D$11="","",D$13)</f>
        <v/>
      </c>
    </row>
    <row r="151" spans="2:4">
      <c r="B151" s="214" t="s">
        <v>261</v>
      </c>
      <c r="C151" s="92">
        <f>Scenarios!F83</f>
        <v>0.5062292435985194</v>
      </c>
    </row>
    <row r="153" spans="2:4">
      <c r="B153" s="210" t="s">
        <v>408</v>
      </c>
    </row>
    <row r="154" spans="2:4">
      <c r="B154" s="1" t="s">
        <v>407</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259</v>
      </c>
      <c r="C157" s="215">
        <f>Scenarios!C93</f>
        <v>6.3792496771334868</v>
      </c>
      <c r="D157" s="300" t="str">
        <f>IF($D$11="","",C157*$E$25)</f>
        <v/>
      </c>
    </row>
    <row r="158" spans="2:4">
      <c r="B158" s="259" t="s">
        <v>412</v>
      </c>
      <c r="C158" s="298" t="str">
        <f>Market_currency</f>
        <v>HKD</v>
      </c>
      <c r="D158" s="298" t="str">
        <f>IF($D$11="","",D$13)</f>
        <v/>
      </c>
    </row>
    <row r="159" spans="2:4">
      <c r="B159" s="214" t="s">
        <v>261</v>
      </c>
      <c r="C159" s="92">
        <f>Scenarios!F93</f>
        <v>0.31875879103449667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463</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7.1078431372549017E-2</v>
      </c>
      <c r="E94" s="268"/>
      <c r="G94" s="23">
        <f t="shared" ref="G94:Q94" si="39">IF(G$4="","",(G90*(1-dividend_tax_rate))/Market_Price)</f>
        <v>7.1078431372549017E-2</v>
      </c>
      <c r="H94" s="23">
        <f t="shared" si="39"/>
        <v>7.1078431372549017E-2</v>
      </c>
      <c r="I94" s="23">
        <f t="shared" si="39"/>
        <v>6.9852941176470576E-2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3.7855192644885419E-2</v>
      </c>
      <c r="D126" s="27"/>
      <c r="E126" s="265"/>
      <c r="F126" s="27"/>
      <c r="G126" s="77">
        <f t="shared" ref="G126" si="50">IF(G$4="","",G125/Market_Price)</f>
        <v>4.1581980180760696E-2</v>
      </c>
      <c r="H126" s="77">
        <f t="shared" ref="H126" si="51">IF(H$4="","",H125/Market_Price)</f>
        <v>6.7537313204294513E-2</v>
      </c>
      <c r="I126" s="77">
        <f t="shared" ref="I126" si="52">IF(I$4="","",I125/Market_Price)</f>
        <v>8.9086128320089872E-2</v>
      </c>
      <c r="J126" s="77">
        <f t="shared" ref="J126" si="53">IF(J$4="","",J125/Market_Price)</f>
        <v>0.14795691286218915</v>
      </c>
      <c r="K126" s="77">
        <f t="shared" ref="K126" si="54">IF(K$4="","",K125/Market_Price)</f>
        <v>5.1737681042583882E-2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6.3749820902035972E-2</v>
      </c>
      <c r="H127" s="23">
        <f>IF(H$4="","",(Data!D47*$C$3)/(Market_Price*Common_Shares))</f>
        <v>8.8179004211708184E-2</v>
      </c>
      <c r="I127" s="23">
        <f>IF(I$4="","",(Data!E47*$C$3)/(Market_Price*Common_Shares))</f>
        <v>8.6010468784028501E-2</v>
      </c>
      <c r="J127" s="23">
        <f>IF(J$4="","",(Data!F47*$C$3)/(Market_Price*Common_Shares))</f>
        <v>0.14465611162712635</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6" t="s">
        <v>248</v>
      </c>
      <c r="F6" s="366"/>
      <c r="H6" s="120"/>
    </row>
    <row r="7" spans="2:8">
      <c r="B7" s="148" t="s">
        <v>223</v>
      </c>
      <c r="C7" s="338">
        <f>BS!G31</f>
        <v>3093</v>
      </c>
      <c r="D7" t="str">
        <f>Reporting_currency</f>
        <v>HKD</v>
      </c>
      <c r="E7" s="366"/>
      <c r="F7" s="366"/>
      <c r="H7" s="120"/>
    </row>
    <row r="8" spans="2:8">
      <c r="B8" s="148" t="s">
        <v>224</v>
      </c>
      <c r="C8" s="338">
        <f>BS!D66</f>
        <v>42222.564948178719</v>
      </c>
      <c r="D8" t="str">
        <f>Reporting_currency</f>
        <v>HKD</v>
      </c>
      <c r="E8" s="366"/>
      <c r="F8" s="366"/>
      <c r="H8" s="120"/>
    </row>
    <row r="9" spans="2:8">
      <c r="B9" s="205" t="s">
        <v>189</v>
      </c>
      <c r="C9" s="348">
        <f>BS!H42</f>
        <v>7814.4</v>
      </c>
      <c r="D9" t="str">
        <f>Reporting_currency</f>
        <v>HKD</v>
      </c>
      <c r="E9" s="366"/>
      <c r="F9" s="366"/>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6"/>
      <c r="F6" s="366"/>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-8.16</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8"/>
      <c r="H7" s="247">
        <v>4</v>
      </c>
      <c r="I7" s="124" t="str">
        <f t="shared" si="0"/>
        <v/>
      </c>
    </row>
    <row r="8" spans="2:9">
      <c r="B8" s="100" t="s">
        <v>66</v>
      </c>
      <c r="C8" s="338">
        <f>Normalized_FCF!G19</f>
        <v>2772.792068232593</v>
      </c>
      <c r="D8" t="str">
        <f>Reporting_currency</f>
        <v>HKD</v>
      </c>
      <c r="E8" s="368"/>
      <c r="F8" s="368"/>
      <c r="H8" s="247">
        <v>5</v>
      </c>
      <c r="I8" s="124" t="str">
        <f t="shared" si="0"/>
        <v/>
      </c>
    </row>
    <row r="9" spans="2:9">
      <c r="B9" s="100" t="s">
        <v>57</v>
      </c>
      <c r="C9" s="338">
        <f>Normalized_FCF!C19</f>
        <v>2524.2804082649359</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-0.28945840615733698</v>
      </c>
      <c r="D12" s="158"/>
      <c r="E12" s="368"/>
      <c r="F12" s="368"/>
      <c r="H12" s="247">
        <v>9</v>
      </c>
      <c r="I12" s="124" t="str">
        <f t="shared" si="0"/>
        <v/>
      </c>
    </row>
    <row r="13" spans="2:9">
      <c r="B13" s="148" t="s">
        <v>151</v>
      </c>
      <c r="C13" s="158">
        <f ca="1">(Normalized_FCF!G8/OFFSET(Normalized_FCF!G8, 0, $C$4))^(1/$C$4) - 1</f>
        <v>-0.42686307479092267</v>
      </c>
      <c r="E13" s="368"/>
      <c r="F13" s="368"/>
      <c r="H13" s="247">
        <v>10</v>
      </c>
      <c r="I13" s="124" t="str">
        <f t="shared" si="0"/>
        <v/>
      </c>
    </row>
    <row r="14" spans="2:9">
      <c r="B14" s="100" t="s">
        <v>66</v>
      </c>
      <c r="C14" s="158">
        <f ca="1">(Normalized_FCF!G19/OFFSET(Normalized_FCF!G19, 0, $C$4))^(1/$C$4) - 1</f>
        <v>-0.34497687096016949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8.16</v>
      </c>
      <c r="D21" t="str">
        <f>Market_currency</f>
        <v>HKD</v>
      </c>
      <c r="E21" s="369"/>
      <c r="F21" s="369"/>
    </row>
    <row r="22" spans="2:6">
      <c r="B22" s="100" t="s">
        <v>277</v>
      </c>
      <c r="C22" s="160">
        <f>IF(valuation_method="DCF",DCF!C12,DDM!C7)</f>
        <v>9.3786719966808736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v>
      </c>
      <c r="D26" s="164"/>
      <c r="E26" s="367"/>
      <c r="F26" s="367"/>
    </row>
    <row r="27" spans="2:6">
      <c r="B27" s="100" t="s">
        <v>112</v>
      </c>
      <c r="C27" s="160">
        <f>IF(valuation_method="DCF",DCF!E76,DDM!E71)</f>
        <v>9.3786719966808771</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9.1609121907724287</v>
      </c>
      <c r="D33" t="str">
        <f>Market_currency</f>
        <v>HKD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9.6179514207293444</v>
      </c>
      <c r="D39" t="str">
        <f>Market_currency</f>
        <v>HKD</v>
      </c>
      <c r="E39" s="367"/>
      <c r="F39" s="367"/>
    </row>
    <row r="40" spans="2:6">
      <c r="B40" s="100" t="s">
        <v>146</v>
      </c>
      <c r="C40" s="167">
        <f>1-C28-C34</f>
        <v>0.19999999999999996</v>
      </c>
      <c r="D40" s="165"/>
      <c r="E40" s="367"/>
      <c r="F40" s="367"/>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8.1183546765433707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10.467203801893012</v>
      </c>
      <c r="D57" t="str">
        <f>Market_currency</f>
        <v>HKD</v>
      </c>
      <c r="E57" s="367"/>
      <c r="F57" s="367"/>
    </row>
    <row r="58" spans="2:6">
      <c r="B58" s="100" t="s">
        <v>146</v>
      </c>
      <c r="C58" s="165">
        <v>0.05</v>
      </c>
      <c r="D58" s="165"/>
      <c r="E58" s="367"/>
      <c r="F58" s="367"/>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0.3674</v>
      </c>
    </row>
    <row r="81" spans="2:8">
      <c r="B81" s="100" t="s">
        <v>120</v>
      </c>
      <c r="C81" s="116">
        <f>PV(C80, C76, -C77, 0)</f>
        <v>0.96121040523161805</v>
      </c>
      <c r="D81" s="116"/>
      <c r="E81" s="100"/>
      <c r="F81" s="100"/>
    </row>
    <row r="82" spans="2:8">
      <c r="B82" s="100" t="s">
        <v>121</v>
      </c>
      <c r="C82" s="116">
        <f>C60/(1+C80)^C76</f>
        <v>3.6625365098079956</v>
      </c>
      <c r="D82" s="116"/>
    </row>
    <row r="83" spans="2:8" ht="13.15">
      <c r="B83" s="110" t="s">
        <v>101</v>
      </c>
      <c r="C83" s="111">
        <f>C81+C82</f>
        <v>4.6237469150396135</v>
      </c>
      <c r="D83" t="str">
        <f>Market_currency</f>
        <v>HKD</v>
      </c>
      <c r="E83" s="146" t="s">
        <v>125</v>
      </c>
      <c r="F83" s="291">
        <f>(1-C83/C60)</f>
        <v>0.5062292435985194</v>
      </c>
    </row>
    <row r="84" spans="2:8">
      <c r="E84" s="120"/>
    </row>
    <row r="85" spans="2:8" ht="13.15">
      <c r="B85" s="109" t="s">
        <v>301</v>
      </c>
    </row>
    <row r="86" spans="2:8">
      <c r="B86" s="148" t="s">
        <v>299</v>
      </c>
      <c r="C86" s="116">
        <f>Market_Price</f>
        <v>8.16</v>
      </c>
      <c r="D86" t="str">
        <f>Market_currency</f>
        <v>HKD</v>
      </c>
    </row>
    <row r="87" spans="2:8" ht="13.15">
      <c r="B87" s="100" t="s">
        <v>297</v>
      </c>
      <c r="C87" s="237">
        <f ca="1">IRR(OFFSET($I$3, 0, 0, $C$76 + 1, 1))</f>
        <v>0.11501992981145359</v>
      </c>
    </row>
    <row r="88" spans="2:8">
      <c r="B88" s="100"/>
    </row>
    <row r="89" spans="2:8" ht="13.15">
      <c r="B89" s="109" t="s">
        <v>409</v>
      </c>
    </row>
    <row r="90" spans="2:8">
      <c r="B90" s="148" t="s">
        <v>410</v>
      </c>
      <c r="C90" s="167">
        <f>Thesis!F30</f>
        <v>0.21740000000000001</v>
      </c>
    </row>
    <row r="91" spans="2:8">
      <c r="B91" s="100" t="s">
        <v>120</v>
      </c>
      <c r="C91" s="116">
        <f>PV(C90, C76, -C77, 0)</f>
        <v>1.1892324778416632</v>
      </c>
      <c r="D91" s="116"/>
      <c r="E91" s="100"/>
      <c r="F91" s="100"/>
    </row>
    <row r="92" spans="2:8">
      <c r="B92" s="100" t="s">
        <v>121</v>
      </c>
      <c r="C92" s="116">
        <f>C60/(1+C90)^C76</f>
        <v>5.1900171992918231</v>
      </c>
      <c r="D92" s="116"/>
    </row>
    <row r="93" spans="2:8" ht="13.15">
      <c r="B93" s="110" t="s">
        <v>101</v>
      </c>
      <c r="C93" s="111">
        <f>C91+C92</f>
        <v>6.3792496771334868</v>
      </c>
      <c r="D93" t="str">
        <f>Market_currency</f>
        <v>HKD</v>
      </c>
      <c r="E93" s="146" t="s">
        <v>125</v>
      </c>
      <c r="F93" s="291">
        <f>(1-C93/C60)</f>
        <v>0.31875879103449667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