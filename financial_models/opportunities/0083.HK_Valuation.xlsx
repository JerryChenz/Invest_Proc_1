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F60EBAA-FBEF-476E-9049-EB018E44884A}"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I94" i="2"/>
  <c r="P92" i="2"/>
  <c r="P94" i="2"/>
  <c r="O92" i="2"/>
  <c r="O94" i="2"/>
  <c r="Q92" i="2"/>
  <c r="Q94" i="2"/>
  <c r="J94" i="2"/>
  <c r="K94" i="2"/>
  <c r="C44" i="6"/>
  <c r="C44" i="12"/>
  <c r="L92" i="2"/>
  <c r="L94" i="2"/>
  <c r="N92" i="2"/>
  <c r="N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<sst xmlns="http://schemas.openxmlformats.org/spreadsheetml/2006/main" count="836" uniqueCount="560">
  <si>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</si>
  <si>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</si>
  <si>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</si>
  <si>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</si>
  <si>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</si>
  <si>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</si>
  <si>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</si>
  <si>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</si>
  <si>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</si>
  <si>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</si>
  <si>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</si>
  <si>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</si>
  <si>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</si>
  <si>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</si>
  <si>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</si>
  <si>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</si>
  <si>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</si>
  <si>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</si>
  <si>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</si>
  <si>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</si>
  <si>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</si>
  <si>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</si>
  <si>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</si>
  <si>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</si>
  <si>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</si>
  <si>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</si>
  <si>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</si>
  <si>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</si>
  <si>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</si>
  <si>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</si>
  <si>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</si>
  <si>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</si>
  <si>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</si>
  <si>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</si>
  <si>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</si>
  <si>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</si>
  <si>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</si>
  <si>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</si>
  <si>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</si>
  <si>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</si>
  <si>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</si>
  <si>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</si>
  <si>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</si>
  <si>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</si>
  <si>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</si>
  <si>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</si>
  <si>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</si>
  <si>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</si>
  <si>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</si>
  <si>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</si>
  <si>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</si>
  <si>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</si>
  <si>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</si>
  <si>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</si>
  <si>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</si>
  <si>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</si>
  <si>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</si>
  <si>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</si>
  <si>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</si>
  <si>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</si>
  <si>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</si>
  <si>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</si>
  <si>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</si>
  <si>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</si>
  <si>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</si>
  <si>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</si>
  <si>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</si>
  <si>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</si>
  <si>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</si>
  <si>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</si>
  <si>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</si>
  <si>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</si>
  <si>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</si>
  <si>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</si>
  <si>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</si>
  <si>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</si>
  <si>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</si>
  <si>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</si>
  <si>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</si>
  <si>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</si>
  <si>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</si>
  <si>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</si>
  <si>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</si>
  <si>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</si>
  <si>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</si>
  <si>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</si>
  <si>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</si>
  <si>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</si>
  <si>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</si>
  <si>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</si>
  <si>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</si>
  <si>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</si>
  <si>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</si>
  <si>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</si>
  <si>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</si>
  <si>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</si>
  <si>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</si>
  <si>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</si>
  <si>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</si>
  <si>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</si>
  <si>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</si>
  <si>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</si>
  <si>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</si>
  <si>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</si>
  <si>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</si>
  <si>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</si>
  <si>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</si>
  <si>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</si>
  <si>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</si>
  <si>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</si>
  <si>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</si>
  <si>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</si>
  <si>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</si>
  <si>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</si>
  <si>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</si>
  <si>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</si>
  <si>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</si>
  <si>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</si>
  <si>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</si>
  <si>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</si>
  <si>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</si>
  <si>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</si>
  <si>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</si>
  <si>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</si>
  <si>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</si>
  <si>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</si>
  <si>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</si>
  <si>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</si>
  <si>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</si>
  <si>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</si>
  <si>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</si>
  <si>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</si>
  <si>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</si>
  <si>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</si>
  <si>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</si>
  <si>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</si>
  <si>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</si>
  <si>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</si>
  <si>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</si>
  <si>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</si>
  <si>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</si>
  <si>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</si>
  <si>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</si>
  <si>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</si>
  <si>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</si>
  <si>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</si>
  <si>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</si>
  <si>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</si>
  <si>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</si>
  <si>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</si>
  <si>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</si>
  <si>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</si>
  <si>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</si>
  <si>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</si>
  <si>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</si>
  <si>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</si>
  <si>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</si>
  <si>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</si>
  <si>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</si>
  <si>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</si>
  <si>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</si>
  <si>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</si>
  <si>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</si>
  <si>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</si>
  <si>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</si>
  <si>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</si>
  <si>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</si>
  <si>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</si>
  <si>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</si>
  <si>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</si>
  <si>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</si>
  <si>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</si>
  <si>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</si>
  <si>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</si>
  <si>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</si>
  <si>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</si>
  <si>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</si>
  <si>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</si>
  <si>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</si>
  <si>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</si>
  <si>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</si>
  <si>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</si>
  <si>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</si>
  <si>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</si>
  <si>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</si>
  <si>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</si>
  <si>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</si>
  <si>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</si>
  <si>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</si>
  <si>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</si>
  <si>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</si>
  <si>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</si>
  <si>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</si>
  <si>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</si>
  <si>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</si>
  <si>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</si>
  <si>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</si>
  <si>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</si>
  <si>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</si>
  <si>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</si>
  <si>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</si>
  <si>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</si>
  <si>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</si>
  <si>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</si>
  <si>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</si>
  <si>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</si>
  <si>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</si>
  <si>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</si>
  <si>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</si>
  <si>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</si>
  <si>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</si>
  <si>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</si>
  <si>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</si>
  <si>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</si>
  <si>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</si>
  <si>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</si>
  <si>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</si>
  <si>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</si>
  <si>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</si>
  <si>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</si>
  <si>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</si>
  <si>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</si>
  <si>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</si>
  <si>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</si>
  <si>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</si>
  <si>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</si>
  <si>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</si>
  <si>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</si>
  <si>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</si>
  <si>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</si>
  <si>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</si>
  <si>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</si>
  <si>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</si>
  <si>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</si>
  <si>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</si>
  <si>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</si>
  <si>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</si>
  <si>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</si>
  <si>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</si>
  <si>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</si>
  <si>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</si>
  <si>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</si>
  <si>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</si>
  <si>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</si>
  <si>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</si>
  <si>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</si>
  <si>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</si>
  <si>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</si>
  <si>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</si>
  <si>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</si>
  <si>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</si>
  <si>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</si>
  <si>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</si>
  <si>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</si>
  <si>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</si>
  <si>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</si>
  <si>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</si>
  <si>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</si>
  <si>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</si>
  <si>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</si>
  <si>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</si>
  <si>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</si>
  <si>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</si>
  <si>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</si>
  <si>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</si>
  <si>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</si>
  <si>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</si>
  <si>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</si>
  <si>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</si>
  <si>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</si>
  <si>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</si>
  <si>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</si>
  <si>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</si>
  <si>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</si>
  <si>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</si>
  <si>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</si>
  <si>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</si>
  <si>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</si>
  <si>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</si>
  <si>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</si>
  <si>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</si>
  <si>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</si>
  <si>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</si>
  <si>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</si>
  <si>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</si>
  <si>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</si>
  <si>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</si>
  <si>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</si>
  <si>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</si>
  <si>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</si>
  <si>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</si>
  <si>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</si>
  <si>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</si>
  <si>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</si>
  <si>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</si>
  <si>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</si>
  <si>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</si>
  <si>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</si>
  <si>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</si>
  <si>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</si>
  <si>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</si>
  <si>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</si>
  <si>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</si>
  <si>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</si>
  <si>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</si>
  <si>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</si>
  <si>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</si>
  <si>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</si>
  <si>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</si>
  <si>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</si>
  <si>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</si>
  <si>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</si>
  <si>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</si>
  <si>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</si>
  <si>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</si>
  <si>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</si>
  <si>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</si>
  <si>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</si>
  <si>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</si>
  <si>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</si>
  <si>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</si>
  <si>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</si>
  <si>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</si>
  <si>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</si>
  <si>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</si>
  <si>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</si>
  <si>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</si>
  <si>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</si>
  <si>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</si>
  <si>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</si>
  <si>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</si>
  <si>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</si>
  <si>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</si>
  <si>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</si>
  <si>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</si>
  <si>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</si>
  <si>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</si>
  <si>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</si>
  <si>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</si>
  <si>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</si>
  <si>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</si>
  <si>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</si>
  <si>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</si>
  <si>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</si>
  <si>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</si>
  <si>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</si>
  <si>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</si>
  <si>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</si>
  <si>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</si>
  <si>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</si>
  <si>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</si>
  <si>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</si>
  <si>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</si>
  <si>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</si>
  <si>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</si>
  <si>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</si>
  <si>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</si>
  <si>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</si>
  <si>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</si>
  <si>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</si>
  <si>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</si>
  <si>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</si>
  <si>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</si>
  <si>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</si>
  <si>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</si>
  <si>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</si>
  <si>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</si>
  <si>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</si>
  <si>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</si>
  <si>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</si>
  <si>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</si>
  <si>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</si>
  <si>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</si>
  <si>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</si>
  <si>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</si>
  <si>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</si>
  <si>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</si>
  <si>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</si>
  <si>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</si>
  <si>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</si>
  <si>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</si>
  <si>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</si>
  <si>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</si>
  <si>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</si>
  <si>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</si>
  <si>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</si>
  <si>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</si>
  <si>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</si>
  <si>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</si>
  <si>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</si>
  <si>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</si>
  <si>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</si>
  <si>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</si>
  <si>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</si>
  <si>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</si>
  <si>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</si>
  <si>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</si>
  <si>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</si>
  <si>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</si>
  <si>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</si>
  <si>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</si>
  <si>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</si>
  <si>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</si>
  <si>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</si>
  <si>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</si>
  <si>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</si>
  <si>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</si>
  <si>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</si>
  <si>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</si>
  <si>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</si>
  <si>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</si>
  <si>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</si>
  <si>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</si>
  <si>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</si>
  <si>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</si>
  <si>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</si>
  <si>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</si>
  <si>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</si>
  <si>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</si>
  <si>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</si>
  <si>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</si>
  <si>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</si>
  <si>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</si>
  <si>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</si>
  <si>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</si>
  <si>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</si>
  <si>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</si>
  <si>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</si>
  <si>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</si>
  <si>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</si>
  <si>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</si>
  <si>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</si>
  <si>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</si>
  <si>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</si>
  <si>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</si>
  <si>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</si>
  <si>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</si>
  <si>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</si>
  <si>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</si>
  <si>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</si>
  <si>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</si>
  <si>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</si>
  <si>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</si>
  <si>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</si>
  <si>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</si>
  <si>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</si>
  <si>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</si>
  <si>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</si>
  <si>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</si>
  <si>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</si>
  <si>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</si>
  <si>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</si>
  <si>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</si>
  <si>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</si>
  <si>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</si>
  <si>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</si>
  <si>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</si>
  <si>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</si>
  <si>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</si>
  <si>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</si>
  <si>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</si>
  <si>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</si>
  <si>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</si>
  <si>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</si>
  <si>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</si>
  <si>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</si>
  <si>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</si>
  <si>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</si>
  <si>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</si>
  <si>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</si>
  <si>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</si>
  <si>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</si>
  <si>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</si>
  <si>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</si>
  <si>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</si>
  <si>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</si>
  <si>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</si>
  <si>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</si>
  <si>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</si>
  <si>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</si>
  <si>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</si>
  <si>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</si>
  <si>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</si>
  <si>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</si>
  <si>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</si>
  <si>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</si>
  <si>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</si>
  <si>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</si>
  <si>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</si>
  <si>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</si>
  <si>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</si>
  <si>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</si>
  <si>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</si>
  <si>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</si>
  <si>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</si>
  <si>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</si>
  <si>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</si>
  <si>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</si>
  <si>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</si>
  <si>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</si>
  <si>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</si>
  <si>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</si>
  <si>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</si>
  <si>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</si>
  <si>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</si>
  <si>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</si>
  <si>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</si>
  <si>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</si>
  <si>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</si>
  <si>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</si>
  <si>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</si>
  <si>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</si>
  <si>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</si>
  <si>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</si>
  <si>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</si>
  <si>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</si>
  <si>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</si>
  <si>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</si>
  <si>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</si>
  <si>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</si>
  <si>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</si>
  <si>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</si>
  <si>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</si>
  <si>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</si>
  <si>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</si>
  <si>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</si>
  <si>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</si>
  <si>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</si>
  <si>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</si>
  <si>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</si>
  <si>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</si>
  <si>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</si>
  <si>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</si>
  <si>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</si>
  <si>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</si>
  <si>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</si>
  <si>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</si>
  <si>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</si>
  <si>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</si>
  <si>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</si>
  <si>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</si>
  <si>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</si>
  <si>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</si>
  <si>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</si>
  <si>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</si>
  <si>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</si>
  <si>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</si>
  <si>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</si>
  <si>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</si>
  <si>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</si>
  <si>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</si>
  <si>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</si>
  <si>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SINO LAND</t>
  </si>
  <si>
    <t>0083.HK</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</si>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</sst>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FC6E3C2-46C9-4453-B9AE-1B6AC0627FD4}"/>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83.HK_Valuation_backup.xlsx" TargetMode="External"/><Relationship Id="rId1" Type="http://schemas.openxmlformats.org/officeDocument/2006/relationships/externalLinkPath" Target="00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8171879936</v>
          </cell>
        </row>
        <row r="12">
          <cell r="C12">
            <v>8.6199999999999992</v>
          </cell>
        </row>
        <row r="13">
          <cell r="C13" t="str">
            <v>HKD</v>
          </cell>
        </row>
        <row r="16">
          <cell r="C16">
            <v>1</v>
          </cell>
        </row>
        <row r="21">
          <cell r="E21" t="str">
            <v>DCF</v>
          </cell>
        </row>
        <row r="25">
          <cell r="C25" t="str">
            <v>HKD</v>
          </cell>
        </row>
        <row r="86">
          <cell r="C86">
            <v>8.4999999999999992E-2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SINO LAND</v>
      </c>
    </row>
    <row r="6" spans="1:10">
      <c r="B6" s="4" t="s">
        <v>480</v>
      </c>
      <c r="C6" s="34">
        <f>Common_Shares</f>
        <v>8171879936</v>
      </c>
      <c r="E6" s="48"/>
    </row>
    <row r="7" spans="1:10">
      <c r="B7" s="2" t="s">
        <v>481</v>
      </c>
      <c r="C7" s="360">
        <f>Thesis!C7</f>
        <v>12</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0083.HK</v>
      </c>
      <c r="D11" s="49"/>
      <c r="E11" s="34"/>
    </row>
    <row r="12" spans="1:10">
      <c r="B12" s="4" t="s">
        <v>484</v>
      </c>
      <c r="C12" s="366">
        <f>Market_Price</f>
        <v>9.09</v>
      </c>
      <c r="D12" s="50"/>
      <c r="E12" s="48"/>
    </row>
    <row r="13" spans="1:10">
      <c r="B13" s="1" t="s">
        <v>485</v>
      </c>
      <c r="C13" s="32" t="str">
        <f>Market_currency</f>
        <v>HKD</v>
      </c>
      <c r="D13" s="48"/>
      <c r="E13" s="5"/>
    </row>
    <row r="14" spans="1:10">
      <c r="B14" s="4" t="s">
        <v>486</v>
      </c>
      <c r="C14" s="35">
        <f>投资主题!C12*Common_Shares/1000000</f>
        <v>74282.388618240002</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Negative Growth Asset Play</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Y</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9.3641570609339322</v>
      </c>
      <c r="D26" s="1" t="s">
        <v>446</v>
      </c>
      <c r="E26" s="301">
        <f ca="1">Scenarios!C87</f>
        <v>7.3158905462027413E-2</v>
      </c>
    </row>
    <row r="27" spans="2:6">
      <c r="D27" s="5"/>
      <c r="E27" s="5"/>
    </row>
    <row r="28" spans="2:6">
      <c r="B28" s="45" t="s">
        <v>448</v>
      </c>
      <c r="C28" s="309" t="str">
        <f>C145&amp;" ("&amp;Market_currency&amp;")"</f>
        <v>0083.HK (HKD)</v>
      </c>
      <c r="D28" s="309" t="str">
        <f>IF(D11="","",D145&amp;" ("&amp;D13&amp;")")</f>
        <v/>
      </c>
      <c r="E28" s="305" t="s">
        <v>453</v>
      </c>
      <c r="F28" s="361">
        <f>Thesis!F28</f>
        <v>3</v>
      </c>
    </row>
    <row r="29" spans="2:6">
      <c r="B29" s="1" t="s">
        <v>449</v>
      </c>
      <c r="C29" s="310">
        <f>C149</f>
        <v>4.7895979519113672</v>
      </c>
      <c r="D29" s="310" t="str">
        <f>D149</f>
        <v/>
      </c>
      <c r="E29" s="306" t="s">
        <v>455</v>
      </c>
      <c r="F29" s="362">
        <f>Thesis!F29</f>
        <v>0.35</v>
      </c>
    </row>
    <row r="30" spans="2:6">
      <c r="B30" s="1" t="s">
        <v>450</v>
      </c>
      <c r="C30" s="311">
        <f>C157</f>
        <v>5.9266084151981735</v>
      </c>
      <c r="D30" s="311" t="str">
        <f>D157</f>
        <v/>
      </c>
      <c r="E30" s="307" t="s">
        <v>454</v>
      </c>
      <c r="F30" s="224">
        <f>Thesis!F30</f>
        <v>0.25</v>
      </c>
    </row>
    <row r="31" spans="2:6">
      <c r="B31" s="1" t="s">
        <v>451</v>
      </c>
      <c r="C31" s="311">
        <f>C165</f>
        <v>9.0460821298724845</v>
      </c>
      <c r="D31" s="311" t="str">
        <f>D165</f>
        <v/>
      </c>
      <c r="E31" s="307" t="s">
        <v>491</v>
      </c>
      <c r="F31" s="224">
        <f>Thesis!F31</f>
        <v>7.4999999999999997E-2</v>
      </c>
    </row>
    <row r="32" spans="2:6">
      <c r="B32" s="1" t="s">
        <v>452</v>
      </c>
      <c r="C32" s="311">
        <f>C173</f>
        <v>8.1111667082917602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1000000</v>
      </c>
    </row>
    <row r="40" spans="1:6">
      <c r="B40" s="370" t="s">
        <v>494</v>
      </c>
      <c r="C40" s="370"/>
      <c r="D40" s="370"/>
      <c r="E40" s="370"/>
      <c r="F40" s="370"/>
    </row>
    <row r="41" spans="1:6">
      <c r="B41" s="47" t="s">
        <v>228</v>
      </c>
      <c r="C41" s="349">
        <f>Normalized_FCF!C8</f>
        <v>2591.8202592374382</v>
      </c>
      <c r="D41" s="1" t="str">
        <f>Reporting_currency</f>
        <v>HKD</v>
      </c>
    </row>
    <row r="42" spans="1:6">
      <c r="B42" s="47"/>
      <c r="C42" s="76"/>
    </row>
    <row r="43" spans="1:6" ht="24.6" customHeight="1">
      <c r="B43" s="370" t="s">
        <v>495</v>
      </c>
      <c r="C43" s="370"/>
      <c r="D43" s="370"/>
      <c r="E43" s="370"/>
      <c r="F43" s="370"/>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0" t="s">
        <v>496</v>
      </c>
      <c r="C47" s="370"/>
      <c r="D47" s="370"/>
      <c r="E47" s="370"/>
      <c r="F47" s="370"/>
    </row>
    <row r="48" spans="1:6">
      <c r="B48" s="47" t="s">
        <v>233</v>
      </c>
      <c r="C48" s="349">
        <f>Normalized_FCF!C11</f>
        <v>639</v>
      </c>
      <c r="D48" s="1" t="str">
        <f>Reporting_currency</f>
        <v>HKD</v>
      </c>
    </row>
    <row r="50" spans="2:6">
      <c r="B50" s="370" t="s">
        <v>497</v>
      </c>
      <c r="C50" s="370"/>
      <c r="D50" s="370"/>
      <c r="E50" s="370"/>
      <c r="F50" s="370"/>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498</v>
      </c>
    </row>
    <row r="56" spans="2:6">
      <c r="B56" s="47" t="s">
        <v>261</v>
      </c>
      <c r="C56" s="349">
        <f>Normalized_FCF!C15</f>
        <v>-22.869707937042335</v>
      </c>
      <c r="D56" s="1" t="str">
        <f>Reporting_currency</f>
        <v>HKD</v>
      </c>
    </row>
    <row r="58" spans="2:6">
      <c r="B58" s="370" t="s">
        <v>237</v>
      </c>
      <c r="C58" s="370"/>
      <c r="D58" s="370"/>
      <c r="E58" s="370"/>
      <c r="F58" s="370"/>
    </row>
    <row r="59" spans="2:6">
      <c r="B59" s="47" t="s">
        <v>235</v>
      </c>
      <c r="C59" s="349">
        <f>Normalized_FCF!C14</f>
        <v>-804.36319459009837</v>
      </c>
      <c r="D59" s="1" t="str">
        <f>Reporting_currency</f>
        <v>HKD</v>
      </c>
    </row>
    <row r="61" spans="2:6">
      <c r="B61" s="370" t="s">
        <v>499</v>
      </c>
      <c r="C61" s="376"/>
      <c r="D61" s="376"/>
      <c r="E61" s="376"/>
      <c r="F61" s="376"/>
    </row>
    <row r="62" spans="2:6">
      <c r="B62" s="47" t="s">
        <v>238</v>
      </c>
      <c r="C62" s="349">
        <f>Normalized_FCF!C17</f>
        <v>0</v>
      </c>
      <c r="D62" s="1" t="str">
        <f>Reporting_currency</f>
        <v>HKD</v>
      </c>
    </row>
    <row r="64" spans="2:6">
      <c r="B64" s="374" t="s">
        <v>500</v>
      </c>
      <c r="C64" s="374"/>
      <c r="D64" s="374"/>
      <c r="E64" s="374"/>
      <c r="F64" s="374"/>
    </row>
    <row r="65" spans="1:6">
      <c r="B65" s="374" t="s">
        <v>501</v>
      </c>
      <c r="C65" s="374"/>
      <c r="D65" s="374"/>
      <c r="E65" s="374"/>
      <c r="F65" s="374"/>
    </row>
    <row r="67" spans="1:6">
      <c r="B67" s="47" t="s">
        <v>502</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3.3982219139963146E-2</v>
      </c>
      <c r="F69" s="314"/>
    </row>
    <row r="70" spans="1:6">
      <c r="B70" s="227" t="s">
        <v>434</v>
      </c>
      <c r="C70" s="92">
        <f>Normalized_FCF!C94</f>
        <v>6.3806380638063806E-2</v>
      </c>
      <c r="E70" s="47" t="s">
        <v>503</v>
      </c>
      <c r="F70" s="315">
        <f>Normalized_FCF!C92</f>
        <v>1.8776401969295582</v>
      </c>
    </row>
    <row r="72" spans="1:6">
      <c r="B72" s="210" t="s">
        <v>513</v>
      </c>
      <c r="C72" s="323" t="s">
        <v>429</v>
      </c>
      <c r="D72" s="323" t="s">
        <v>504</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3.6340984939090002</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514</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515</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c r="B116" s="374" t="s">
        <v>516</v>
      </c>
      <c r="C116" s="374"/>
      <c r="D116" s="374"/>
      <c r="E116" s="374"/>
      <c r="F116" s="374"/>
    </row>
    <row r="118" spans="1:6">
      <c r="B118" s="47" t="s">
        <v>517</v>
      </c>
      <c r="C118" s="223">
        <f>IF(valuation_method="DCF",DCF!C12,DDM!C7)</f>
        <v>9.3786719966808736</v>
      </c>
      <c r="D118" s="1" t="str">
        <f>Market_currency</f>
        <v>HKD</v>
      </c>
    </row>
    <row r="119" spans="1:6">
      <c r="B119" s="296" t="s">
        <v>550</v>
      </c>
      <c r="C119" s="223">
        <f>BS!D47</f>
        <v>11.511512740854835</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0.57999999999999996</v>
      </c>
      <c r="D143" s="212" t="str">
        <f>Market_currency</f>
        <v>HKD</v>
      </c>
    </row>
    <row r="145" spans="2:4">
      <c r="B145" s="210" t="s">
        <v>531</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532</v>
      </c>
      <c r="C150" s="298" t="str">
        <f>Market_currency</f>
        <v>HKD</v>
      </c>
      <c r="D150" s="298" t="str">
        <f>IF($D$11="","",D$13)</f>
        <v/>
      </c>
    </row>
    <row r="151" spans="2:4">
      <c r="B151" s="214" t="s">
        <v>533</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532</v>
      </c>
      <c r="C158" s="298" t="str">
        <f>Market_currency</f>
        <v>HKD</v>
      </c>
      <c r="D158" s="298" t="str">
        <f>IF($D$11="","",D$13)</f>
        <v/>
      </c>
    </row>
    <row r="159" spans="2:4">
      <c r="B159" s="214" t="s">
        <v>533</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532</v>
      </c>
      <c r="C166" s="298" t="str">
        <f>Market_currency</f>
        <v>HKD</v>
      </c>
      <c r="D166" s="298" t="str">
        <f>IF($D$11="","",D$13)</f>
        <v/>
      </c>
    </row>
    <row r="167" spans="2:4">
      <c r="B167" s="214" t="s">
        <v>533</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532</v>
      </c>
      <c r="C174" s="298" t="str">
        <f>Market_currency</f>
        <v>HKD</v>
      </c>
      <c r="D174" s="298" t="str">
        <f>IF($D$11="","",D$13)</f>
        <v/>
      </c>
    </row>
    <row r="175" spans="2:4">
      <c r="B175" s="214" t="s">
        <v>533</v>
      </c>
      <c r="C175" s="92">
        <f>Scenarios!F105</f>
        <v>0.13353757665774979</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8171879936</v>
      </c>
      <c r="E6" s="48"/>
    </row>
    <row r="7" spans="1:10">
      <c r="B7" s="2" t="s">
        <v>460</v>
      </c>
      <c r="C7" s="250">
        <v>12</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9.09</v>
      </c>
      <c r="D12" s="50"/>
      <c r="E12" s="48"/>
    </row>
    <row r="13" spans="1:10">
      <c r="B13" s="1" t="s">
        <v>464</v>
      </c>
      <c r="C13" s="48" t="s">
        <v>377</v>
      </c>
      <c r="D13" s="48"/>
      <c r="E13" s="5"/>
    </row>
    <row r="14" spans="1:10">
      <c r="B14" s="4" t="s">
        <v>465</v>
      </c>
      <c r="C14" s="35">
        <f>Thesis!C12*Common_Shares/1000000</f>
        <v>74282.388618240002</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Negative Growth Asset Play</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9.3641570609339322</v>
      </c>
      <c r="D26" s="1" t="s">
        <v>380</v>
      </c>
      <c r="E26" s="301">
        <f ca="1">Scenarios!C87</f>
        <v>7.3158905462027413E-2</v>
      </c>
    </row>
    <row r="27" spans="2:6">
      <c r="D27" s="5"/>
      <c r="E27" s="5"/>
    </row>
    <row r="28" spans="2:6">
      <c r="B28" s="45" t="s">
        <v>409</v>
      </c>
      <c r="C28" s="309" t="str">
        <f>C145&amp;" ("&amp;Market_currency&amp;")"</f>
        <v>0083.HK (HKD)</v>
      </c>
      <c r="D28" s="309" t="str">
        <f>IF(D11="","",D145&amp;" ("&amp;D13&amp;")")</f>
        <v/>
      </c>
      <c r="E28" s="305" t="s">
        <v>405</v>
      </c>
      <c r="F28" s="303">
        <v>3</v>
      </c>
    </row>
    <row r="29" spans="2:6">
      <c r="B29" s="1" t="s">
        <v>401</v>
      </c>
      <c r="C29" s="310">
        <f>C149</f>
        <v>4.7895979519113672</v>
      </c>
      <c r="D29" s="310" t="str">
        <f>D149</f>
        <v/>
      </c>
      <c r="E29" s="306" t="s">
        <v>400</v>
      </c>
      <c r="F29" s="302">
        <v>0.35</v>
      </c>
    </row>
    <row r="30" spans="2:6">
      <c r="B30" s="1" t="s">
        <v>402</v>
      </c>
      <c r="C30" s="311">
        <f>C157</f>
        <v>5.9266084151981735</v>
      </c>
      <c r="D30" s="311" t="str">
        <f>D157</f>
        <v/>
      </c>
      <c r="E30" s="307" t="s">
        <v>413</v>
      </c>
      <c r="F30" s="312">
        <v>0.25</v>
      </c>
    </row>
    <row r="31" spans="2:6">
      <c r="B31" s="1" t="s">
        <v>403</v>
      </c>
      <c r="C31" s="311">
        <f>C165</f>
        <v>9.0460821298724845</v>
      </c>
      <c r="D31" s="311" t="str">
        <f>D165</f>
        <v/>
      </c>
      <c r="E31" s="307" t="s">
        <v>412</v>
      </c>
      <c r="F31" s="312">
        <v>7.4999999999999997E-2</v>
      </c>
    </row>
    <row r="32" spans="2:6">
      <c r="B32" s="1" t="s">
        <v>404</v>
      </c>
      <c r="C32" s="311">
        <f>C173</f>
        <v>8.1111667082917602</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2591.8202592374382</v>
      </c>
      <c r="D41" s="1" t="str">
        <f>Reporting_currency</f>
        <v>HKD</v>
      </c>
    </row>
    <row r="42" spans="1:6">
      <c r="B42" s="47"/>
      <c r="C42" s="76"/>
    </row>
    <row r="43" spans="1:6" ht="24.6" customHeight="1">
      <c r="B43" s="370" t="s">
        <v>229</v>
      </c>
      <c r="C43" s="370"/>
      <c r="D43" s="370"/>
      <c r="E43" s="370"/>
      <c r="F43" s="370"/>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70" t="s">
        <v>232</v>
      </c>
      <c r="C47" s="370"/>
      <c r="D47" s="370"/>
      <c r="E47" s="370"/>
      <c r="F47" s="370"/>
    </row>
    <row r="48" spans="1:6">
      <c r="B48" s="47" t="s">
        <v>233</v>
      </c>
      <c r="C48" s="349">
        <f>Normalized_FCF!C11</f>
        <v>639</v>
      </c>
      <c r="D48" s="1" t="str">
        <f>Reporting_currency</f>
        <v>HKD</v>
      </c>
    </row>
    <row r="50" spans="2:6">
      <c r="B50" s="370" t="s">
        <v>236</v>
      </c>
      <c r="C50" s="370"/>
      <c r="D50" s="370"/>
      <c r="E50" s="370"/>
      <c r="F50" s="370"/>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242</v>
      </c>
    </row>
    <row r="56" spans="2:6">
      <c r="B56" s="47" t="s">
        <v>261</v>
      </c>
      <c r="C56" s="349">
        <f>Normalized_FCF!C15</f>
        <v>-22.869707937042335</v>
      </c>
      <c r="D56" s="1" t="str">
        <f>Reporting_currency</f>
        <v>HKD</v>
      </c>
    </row>
    <row r="58" spans="2:6">
      <c r="B58" s="370" t="s">
        <v>237</v>
      </c>
      <c r="C58" s="370"/>
      <c r="D58" s="370"/>
      <c r="E58" s="370"/>
      <c r="F58" s="370"/>
    </row>
    <row r="59" spans="2:6">
      <c r="B59" s="47" t="s">
        <v>235</v>
      </c>
      <c r="C59" s="349">
        <f>Normalized_FCF!C14</f>
        <v>-804.36319459009837</v>
      </c>
      <c r="D59" s="1" t="str">
        <f>Reporting_currency</f>
        <v>HKD</v>
      </c>
    </row>
    <row r="61" spans="2:6">
      <c r="B61" s="370" t="s">
        <v>329</v>
      </c>
      <c r="C61" s="376"/>
      <c r="D61" s="376"/>
      <c r="E61" s="376"/>
      <c r="F61" s="376"/>
    </row>
    <row r="62" spans="2:6">
      <c r="B62" s="47" t="s">
        <v>238</v>
      </c>
      <c r="C62" s="349">
        <f>Normalized_FCF!C17</f>
        <v>0</v>
      </c>
      <c r="D62" s="1" t="str">
        <f>Reporting_currency</f>
        <v>HKD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3.3982219139963146E-2</v>
      </c>
      <c r="F69" s="314"/>
    </row>
    <row r="70" spans="1:6">
      <c r="B70" s="227" t="s">
        <v>434</v>
      </c>
      <c r="C70" s="92">
        <f>Normalized_FCF!C94</f>
        <v>6.3806380638063806E-2</v>
      </c>
      <c r="E70" s="47" t="s">
        <v>424</v>
      </c>
      <c r="F70" s="315">
        <f>Normalized_FCF!C92</f>
        <v>1.8776401969295582</v>
      </c>
    </row>
    <row r="72" spans="1:6">
      <c r="B72" s="210" t="s">
        <v>427</v>
      </c>
      <c r="C72" s="323" t="s">
        <v>429</v>
      </c>
      <c r="D72" s="323" t="s">
        <v>430</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3.6340984939090002</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250</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252</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ht="24.6" customHeight="1">
      <c r="B116" s="374" t="s">
        <v>352</v>
      </c>
      <c r="C116" s="374"/>
      <c r="D116" s="374"/>
      <c r="E116" s="374"/>
      <c r="F116" s="374"/>
    </row>
    <row r="118" spans="1:6">
      <c r="B118" s="47" t="s">
        <v>425</v>
      </c>
      <c r="C118" s="223">
        <f>IF(valuation_method="DCF",DCF!C12,DDM!C7)</f>
        <v>9.3786719966808736</v>
      </c>
      <c r="D118" s="1" t="str">
        <f>Market_currency</f>
        <v>HKD</v>
      </c>
    </row>
    <row r="119" spans="1:6">
      <c r="B119" s="296" t="s">
        <v>549</v>
      </c>
      <c r="C119" s="223">
        <f>BS!D47</f>
        <v>11.511512740854835</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0.57999999999999996</v>
      </c>
      <c r="D143" s="212" t="str">
        <f>Market_currency</f>
        <v>HKD</v>
      </c>
    </row>
    <row r="145" spans="2:4">
      <c r="B145" s="210" t="s">
        <v>388</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395</v>
      </c>
      <c r="C150" s="298" t="str">
        <f>Market_currency</f>
        <v>HKD</v>
      </c>
      <c r="D150" s="298" t="str">
        <f>IF($D$11="","",D$13)</f>
        <v/>
      </c>
    </row>
    <row r="151" spans="2:4">
      <c r="B151" s="214" t="s">
        <v>258</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395</v>
      </c>
      <c r="C158" s="298" t="str">
        <f>Market_currency</f>
        <v>HKD</v>
      </c>
      <c r="D158" s="298" t="str">
        <f>IF($D$11="","",D$13)</f>
        <v/>
      </c>
    </row>
    <row r="159" spans="2:4">
      <c r="B159" s="214" t="s">
        <v>258</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395</v>
      </c>
      <c r="C166" s="298" t="str">
        <f>Market_currency</f>
        <v>HKD</v>
      </c>
      <c r="D166" s="298" t="str">
        <f>IF($D$11="","",D$13)</f>
        <v/>
      </c>
    </row>
    <row r="167" spans="2:4">
      <c r="B167" s="214" t="s">
        <v>258</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395</v>
      </c>
      <c r="C174" s="298" t="str">
        <f>Market_currency</f>
        <v>HKD</v>
      </c>
      <c r="D174" s="298" t="str">
        <f>IF($D$11="","",D$13)</f>
        <v/>
      </c>
    </row>
    <row r="175" spans="2:4">
      <c r="B175" s="214" t="s">
        <v>258</v>
      </c>
      <c r="C175" s="92">
        <f>Scenarios!F105</f>
        <v>0.13353757665774979</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94</v>
      </c>
      <c r="C2" s="37"/>
      <c r="D2" s="37"/>
      <c r="E2" s="37"/>
      <c r="F2" s="37"/>
      <c r="G2" s="37"/>
      <c r="H2" s="37"/>
      <c r="I2" s="37"/>
      <c r="J2" s="37"/>
      <c r="K2" s="37"/>
      <c r="L2" s="37"/>
      <c r="M2" s="37"/>
    </row>
    <row r="3" spans="2:13">
      <c r="B3" s="16" t="s">
        <v>25</v>
      </c>
      <c r="C3" s="106">
        <v>1000000</v>
      </c>
    </row>
    <row r="4" spans="2:13">
      <c r="B4" s="32" t="s">
        <v>0</v>
      </c>
      <c r="C4" s="351">
        <v>8765</v>
      </c>
      <c r="D4" s="351">
        <v>11881</v>
      </c>
      <c r="E4" s="351">
        <v>15650.563377</v>
      </c>
      <c r="F4" s="351">
        <v>24433.371759000001</v>
      </c>
      <c r="G4" s="351">
        <v>5887</v>
      </c>
      <c r="H4" s="351"/>
      <c r="I4" s="351"/>
      <c r="J4" s="351"/>
      <c r="K4" s="351"/>
      <c r="L4" s="351"/>
      <c r="M4" s="351"/>
    </row>
    <row r="5" spans="2:13">
      <c r="B5" s="40" t="s">
        <v>41</v>
      </c>
      <c r="C5" s="351">
        <v>5344</v>
      </c>
      <c r="D5" s="351">
        <v>6492</v>
      </c>
      <c r="E5" s="351">
        <v>7482.8818240000001</v>
      </c>
      <c r="F5" s="351">
        <v>11196.89644</v>
      </c>
      <c r="G5" s="351">
        <v>2437</v>
      </c>
      <c r="H5" s="351"/>
      <c r="I5" s="351"/>
      <c r="J5" s="351"/>
      <c r="K5" s="351"/>
      <c r="L5" s="351"/>
      <c r="M5" s="351"/>
    </row>
    <row r="6" spans="2:13">
      <c r="B6" s="40" t="s">
        <v>52</v>
      </c>
      <c r="C6" s="351">
        <v>1084</v>
      </c>
      <c r="D6" s="351">
        <v>1129</v>
      </c>
      <c r="E6" s="351">
        <v>867.48327900000004</v>
      </c>
      <c r="F6" s="351">
        <v>823.28128300000003</v>
      </c>
      <c r="G6" s="351"/>
      <c r="H6" s="351"/>
      <c r="I6" s="351"/>
      <c r="J6" s="351"/>
      <c r="K6" s="351"/>
      <c r="L6" s="351"/>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43</v>
      </c>
      <c r="D12" s="351">
        <v>40.775368</v>
      </c>
      <c r="E12" s="351">
        <v>49.197794000000002</v>
      </c>
      <c r="F12" s="351">
        <v>81.763175000000004</v>
      </c>
      <c r="G12" s="351"/>
      <c r="H12" s="351"/>
      <c r="I12" s="351"/>
      <c r="J12" s="351"/>
      <c r="K12" s="351"/>
      <c r="L12" s="351"/>
      <c r="M12" s="351"/>
    </row>
    <row r="13" spans="2:13">
      <c r="B13" s="40" t="s">
        <v>65</v>
      </c>
      <c r="C13" s="351">
        <v>2340</v>
      </c>
      <c r="D13" s="351">
        <v>1390.845307</v>
      </c>
      <c r="E13" s="351">
        <v>337.25969199999997</v>
      </c>
      <c r="F13" s="351">
        <v>572.18514300000004</v>
      </c>
      <c r="G13" s="351"/>
      <c r="H13" s="351"/>
      <c r="I13" s="351"/>
      <c r="J13" s="351"/>
      <c r="K13" s="351"/>
      <c r="L13" s="351"/>
      <c r="M13" s="351"/>
    </row>
    <row r="14" spans="2:13">
      <c r="B14" s="40" t="s">
        <v>48</v>
      </c>
      <c r="C14" s="351">
        <v>519</v>
      </c>
      <c r="D14" s="351">
        <v>860.83482800000002</v>
      </c>
      <c r="E14" s="351">
        <v>1349.107495</v>
      </c>
      <c r="F14" s="351">
        <v>2530.7695309999999</v>
      </c>
      <c r="G14" s="351"/>
      <c r="H14" s="351"/>
      <c r="I14" s="351"/>
      <c r="J14" s="351"/>
      <c r="K14" s="351"/>
      <c r="L14" s="351"/>
      <c r="M14" s="351"/>
    </row>
    <row r="15" spans="2:13">
      <c r="B15" s="43" t="s">
        <v>40</v>
      </c>
      <c r="C15" s="353">
        <v>4251</v>
      </c>
      <c r="D15" s="353">
        <v>5880</v>
      </c>
      <c r="E15" s="353">
        <v>5735.3965490000001</v>
      </c>
      <c r="F15" s="353">
        <v>9646.0369900000005</v>
      </c>
      <c r="G15" s="353"/>
      <c r="H15" s="353"/>
      <c r="I15" s="353"/>
      <c r="J15" s="353"/>
      <c r="K15" s="353"/>
      <c r="L15" s="353"/>
      <c r="M15" s="353"/>
    </row>
    <row r="16" spans="2:13">
      <c r="B16" s="28" t="s">
        <v>42</v>
      </c>
      <c r="C16" s="351">
        <v>-151</v>
      </c>
      <c r="D16" s="351">
        <v>31</v>
      </c>
      <c r="E16" s="351"/>
      <c r="F16" s="351"/>
      <c r="G16" s="351"/>
      <c r="H16" s="351"/>
      <c r="I16" s="351"/>
      <c r="J16" s="351"/>
      <c r="K16" s="351"/>
      <c r="L16" s="351"/>
      <c r="M16" s="351"/>
    </row>
    <row r="18" spans="2:13">
      <c r="B18" s="16" t="s">
        <v>49</v>
      </c>
      <c r="C18" s="9"/>
    </row>
    <row r="19" spans="2:13">
      <c r="B19" s="27" t="s">
        <v>45</v>
      </c>
      <c r="C19" s="351">
        <v>160</v>
      </c>
      <c r="D19" s="351">
        <v>198</v>
      </c>
      <c r="E19" s="351">
        <v>181.018</v>
      </c>
      <c r="F19" s="351">
        <v>186.14699999999999</v>
      </c>
      <c r="G19" s="351"/>
      <c r="H19" s="351"/>
      <c r="I19" s="351"/>
      <c r="J19" s="351"/>
      <c r="K19" s="351"/>
      <c r="L19" s="351"/>
      <c r="M19" s="351"/>
    </row>
    <row r="20" spans="2:13">
      <c r="B20" s="27" t="s">
        <v>51</v>
      </c>
      <c r="C20" s="351">
        <v>69</v>
      </c>
      <c r="D20" s="351">
        <v>108</v>
      </c>
      <c r="E20" s="351"/>
      <c r="F20" s="351"/>
      <c r="G20" s="351"/>
      <c r="H20" s="351"/>
      <c r="I20" s="351"/>
      <c r="J20" s="351"/>
      <c r="K20" s="351"/>
      <c r="L20" s="351"/>
      <c r="M20" s="351"/>
    </row>
    <row r="21" spans="2:13">
      <c r="B21" s="27" t="s">
        <v>50</v>
      </c>
      <c r="C21" s="351">
        <v>910</v>
      </c>
      <c r="D21" s="351">
        <v>2541</v>
      </c>
      <c r="E21" s="351"/>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26</v>
      </c>
      <c r="C27" s="97" t="s">
        <v>558</v>
      </c>
    </row>
    <row r="28" spans="2:13">
      <c r="B28" s="26" t="s">
        <v>22</v>
      </c>
      <c r="C28" s="333">
        <f>BS!C4</f>
        <v>8029</v>
      </c>
      <c r="D28" s="351">
        <v>7251</v>
      </c>
      <c r="E28" s="351"/>
      <c r="F28" s="351"/>
      <c r="G28" s="351"/>
      <c r="H28" s="351"/>
      <c r="I28" s="351"/>
      <c r="J28" s="351"/>
      <c r="K28" s="351"/>
      <c r="L28" s="351"/>
      <c r="M28" s="351"/>
    </row>
    <row r="29" spans="2:13">
      <c r="B29" s="26" t="s">
        <v>30</v>
      </c>
      <c r="C29" s="333">
        <f>BS!C6</f>
        <v>9844</v>
      </c>
      <c r="D29" s="351">
        <v>16389</v>
      </c>
      <c r="E29" s="351"/>
      <c r="F29" s="351"/>
      <c r="G29" s="351"/>
      <c r="H29" s="351"/>
      <c r="I29" s="351"/>
      <c r="J29" s="351"/>
      <c r="K29" s="351"/>
      <c r="L29" s="351"/>
      <c r="M29" s="351"/>
    </row>
    <row r="30" spans="2:13">
      <c r="B30" s="29" t="s">
        <v>38</v>
      </c>
      <c r="C30" s="334">
        <f>BS!C33+BS!C42</f>
        <v>13889</v>
      </c>
      <c r="D30" s="353">
        <v>10902</v>
      </c>
      <c r="E30" s="353"/>
      <c r="F30" s="353"/>
      <c r="G30" s="353"/>
      <c r="H30" s="353"/>
      <c r="I30" s="353"/>
      <c r="J30" s="353"/>
      <c r="K30" s="353"/>
      <c r="L30" s="353"/>
      <c r="M30" s="353"/>
    </row>
    <row r="31" spans="2:13">
      <c r="B31" s="29" t="s">
        <v>28</v>
      </c>
      <c r="C31" s="334">
        <f>BS!G27</f>
        <v>167107</v>
      </c>
      <c r="D31" s="353">
        <v>163105</v>
      </c>
      <c r="E31" s="353"/>
      <c r="F31" s="353"/>
      <c r="G31" s="353"/>
      <c r="H31" s="353"/>
      <c r="I31" s="353"/>
      <c r="J31" s="353"/>
      <c r="K31" s="353"/>
      <c r="L31" s="353"/>
      <c r="M31" s="353"/>
    </row>
    <row r="32" spans="2:13">
      <c r="B32" s="26" t="s">
        <v>168</v>
      </c>
      <c r="C32" s="333">
        <f>BS!G28</f>
        <v>519</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84</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38</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45473</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8029</v>
      </c>
      <c r="D4" s="261">
        <v>0.6</v>
      </c>
      <c r="E4" s="25"/>
      <c r="F4" s="4" t="s">
        <v>75</v>
      </c>
      <c r="G4" s="19">
        <v>45665</v>
      </c>
      <c r="H4" s="261">
        <v>0.9</v>
      </c>
    </row>
    <row r="5" spans="2:8" ht="15" customHeight="1">
      <c r="B5" s="1" t="s">
        <v>31</v>
      </c>
      <c r="C5" s="19">
        <v>0</v>
      </c>
      <c r="D5" s="261">
        <v>0.6</v>
      </c>
      <c r="E5" s="25"/>
      <c r="F5" s="1" t="s">
        <v>27</v>
      </c>
      <c r="G5" s="19">
        <v>2014</v>
      </c>
      <c r="H5" s="261">
        <v>0.7</v>
      </c>
    </row>
    <row r="6" spans="2:8" ht="15" customHeight="1">
      <c r="B6" s="4" t="s">
        <v>8</v>
      </c>
      <c r="C6" s="19">
        <v>9844</v>
      </c>
      <c r="D6" s="261">
        <v>0.5</v>
      </c>
      <c r="E6" s="25"/>
      <c r="F6" s="4" t="s">
        <v>173</v>
      </c>
      <c r="G6" s="19">
        <v>156</v>
      </c>
      <c r="H6" s="261">
        <v>0.6</v>
      </c>
    </row>
    <row r="7" spans="2:8" ht="15" customHeight="1">
      <c r="B7" s="1" t="s">
        <v>67</v>
      </c>
      <c r="C7" s="19">
        <v>5466</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10</v>
      </c>
      <c r="D10" s="261">
        <v>0.9</v>
      </c>
      <c r="H10" s="262"/>
    </row>
    <row r="11" spans="2:8" ht="15" customHeight="1">
      <c r="B11" s="4" t="s">
        <v>10</v>
      </c>
      <c r="C11" s="19">
        <v>0</v>
      </c>
      <c r="D11" s="261">
        <v>0.05</v>
      </c>
      <c r="H11" s="262"/>
    </row>
    <row r="12" spans="2:8" ht="15" customHeight="1">
      <c r="B12" s="80" t="s">
        <v>70</v>
      </c>
      <c r="C12" s="81">
        <f>SUM(C4:C11)</f>
        <v>23349</v>
      </c>
      <c r="D12" s="20">
        <f>C4*D4+C5*D5+C9*D9+C6*D6+C8*D8+C7*D7+C10*D10+C11*D11</f>
        <v>13028</v>
      </c>
      <c r="F12" s="80" t="s">
        <v>68</v>
      </c>
      <c r="G12" s="81">
        <f>SUM(G4:G9)</f>
        <v>47835</v>
      </c>
      <c r="H12" s="20">
        <f>G4*H4+G5*H5+G6*H6+G7*H7+G8*H8+G9*H9</f>
        <v>42601.9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2757</v>
      </c>
      <c r="D15" s="261">
        <v>0.4</v>
      </c>
      <c r="F15" s="4" t="s">
        <v>76</v>
      </c>
      <c r="G15" s="19">
        <v>0</v>
      </c>
      <c r="H15" s="261">
        <v>0.8</v>
      </c>
    </row>
    <row r="16" spans="2:8" ht="15" customHeight="1">
      <c r="B16" s="1" t="s">
        <v>32</v>
      </c>
      <c r="C16" s="19">
        <v>0</v>
      </c>
      <c r="D16" s="261">
        <v>0.5</v>
      </c>
      <c r="F16" s="4" t="s">
        <v>173</v>
      </c>
      <c r="G16" s="19">
        <v>1373</v>
      </c>
      <c r="H16" s="261">
        <v>0.6</v>
      </c>
    </row>
    <row r="17" spans="2:8" ht="15" customHeight="1">
      <c r="B17" s="1" t="s">
        <v>67</v>
      </c>
      <c r="C17" s="19">
        <v>67668</v>
      </c>
      <c r="D17" s="261">
        <v>0.6</v>
      </c>
      <c r="F17" s="4" t="s">
        <v>174</v>
      </c>
      <c r="G17" s="19">
        <v>13024</v>
      </c>
      <c r="H17" s="261">
        <v>0.6</v>
      </c>
    </row>
    <row r="18" spans="2:8" ht="15" customHeight="1">
      <c r="B18" s="4" t="s">
        <v>169</v>
      </c>
      <c r="C18" s="19">
        <v>0</v>
      </c>
      <c r="D18" s="261">
        <v>0.6</v>
      </c>
      <c r="F18" s="4" t="s">
        <v>177</v>
      </c>
      <c r="G18" s="19">
        <v>23696</v>
      </c>
      <c r="H18" s="261">
        <v>0.1</v>
      </c>
    </row>
    <row r="19" spans="2:8" ht="15" customHeight="1">
      <c r="B19" s="4" t="s">
        <v>24</v>
      </c>
      <c r="C19" s="19">
        <v>1284</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10</v>
      </c>
      <c r="D22" s="261">
        <v>0.9</v>
      </c>
      <c r="H22" s="262"/>
    </row>
    <row r="23" spans="2:8" ht="15" customHeight="1">
      <c r="B23" s="4" t="s">
        <v>19</v>
      </c>
      <c r="C23" s="19">
        <v>0</v>
      </c>
      <c r="D23" s="261">
        <v>0</v>
      </c>
      <c r="H23" s="262"/>
    </row>
    <row r="24" spans="2:8" ht="15" customHeight="1">
      <c r="B24" s="80" t="s">
        <v>71</v>
      </c>
      <c r="C24" s="81">
        <f>SUM(C15:C23)</f>
        <v>71719</v>
      </c>
      <c r="D24" s="20">
        <f>C15*D15+C16*D16+C18*D18+C17*D17+C19*D19+C20*D20+C21*D21+C22*D22+C23*D23</f>
        <v>41841</v>
      </c>
      <c r="F24" s="80" t="s">
        <v>69</v>
      </c>
      <c r="G24" s="81">
        <f>SUM(G15:G21)</f>
        <v>38093</v>
      </c>
      <c r="H24" s="20">
        <f>G15*H15+G16*H16+G17*H17+G18*H18+G19*H19+G20*H20+G21*H21</f>
        <v>11007.8</v>
      </c>
    </row>
    <row r="26" spans="2:8" ht="15" customHeight="1">
      <c r="B26" s="16" t="s">
        <v>196</v>
      </c>
      <c r="C26" s="182" t="s">
        <v>132</v>
      </c>
      <c r="F26" s="184" t="s">
        <v>192</v>
      </c>
      <c r="G26" s="185" t="s">
        <v>132</v>
      </c>
      <c r="H26" s="186" t="s">
        <v>33</v>
      </c>
    </row>
    <row r="27" spans="2:8" ht="15" customHeight="1">
      <c r="B27" s="4" t="s">
        <v>3</v>
      </c>
      <c r="C27" s="19">
        <v>967</v>
      </c>
      <c r="F27" s="187" t="s">
        <v>28</v>
      </c>
      <c r="G27" s="85">
        <f>G32-G30</f>
        <v>167107</v>
      </c>
      <c r="H27" s="188">
        <f>H32-G30</f>
        <v>94589.7</v>
      </c>
    </row>
    <row r="28" spans="2:8" ht="15" customHeight="1">
      <c r="B28" s="4" t="s">
        <v>4</v>
      </c>
      <c r="C28" s="19">
        <v>37</v>
      </c>
      <c r="F28" s="189" t="s">
        <v>240</v>
      </c>
      <c r="G28" s="12">
        <v>519</v>
      </c>
      <c r="H28" s="188"/>
    </row>
    <row r="29" spans="2:8" ht="15" customHeight="1">
      <c r="B29" s="4" t="s">
        <v>5</v>
      </c>
      <c r="C29" s="19">
        <v>0</v>
      </c>
      <c r="F29" s="190" t="s">
        <v>73</v>
      </c>
      <c r="G29" s="14">
        <f>G27-G28</f>
        <v>166588</v>
      </c>
      <c r="H29" s="188">
        <f>H27-G28</f>
        <v>94070.7</v>
      </c>
    </row>
    <row r="30" spans="2:8" ht="15" customHeight="1">
      <c r="B30" s="2" t="s">
        <v>6</v>
      </c>
      <c r="C30" s="19">
        <v>0</v>
      </c>
      <c r="F30" s="187" t="s">
        <v>21</v>
      </c>
      <c r="G30" s="85">
        <f>C33+C42</f>
        <v>13889</v>
      </c>
      <c r="H30" s="188"/>
    </row>
    <row r="31" spans="2:8" ht="15" customHeight="1">
      <c r="B31" s="80" t="s">
        <v>199</v>
      </c>
      <c r="C31" s="81">
        <f>SUM(C27:C30)</f>
        <v>1004</v>
      </c>
      <c r="F31" s="190" t="s">
        <v>74</v>
      </c>
      <c r="G31" s="191">
        <f>C31+C40</f>
        <v>3093</v>
      </c>
      <c r="H31" s="188"/>
    </row>
    <row r="32" spans="2:8" ht="15" customHeight="1">
      <c r="B32" s="4" t="s">
        <v>7</v>
      </c>
      <c r="C32" s="21">
        <f>C33-C31</f>
        <v>8048</v>
      </c>
      <c r="F32" s="192" t="s">
        <v>72</v>
      </c>
      <c r="G32" s="193">
        <f>G35+G40</f>
        <v>180996</v>
      </c>
      <c r="H32" s="188">
        <f>H35+H40</f>
        <v>108478.7</v>
      </c>
    </row>
    <row r="33" spans="2:8" ht="15" customHeight="1">
      <c r="B33" s="83" t="s">
        <v>2</v>
      </c>
      <c r="C33" s="84">
        <v>9052</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95068</v>
      </c>
      <c r="H35" s="200">
        <f>D12+D24</f>
        <v>54869</v>
      </c>
    </row>
    <row r="36" spans="2:8" ht="15" customHeight="1">
      <c r="B36" s="4" t="s">
        <v>11</v>
      </c>
      <c r="C36" s="19">
        <v>832</v>
      </c>
      <c r="F36" s="190" t="s">
        <v>193</v>
      </c>
      <c r="G36" s="191">
        <f>C4+C15</f>
        <v>10786</v>
      </c>
      <c r="H36" s="195"/>
    </row>
    <row r="37" spans="2:8" ht="15" customHeight="1">
      <c r="B37" s="4" t="s">
        <v>12</v>
      </c>
      <c r="C37" s="19">
        <v>27</v>
      </c>
      <c r="F37" s="190" t="s">
        <v>194</v>
      </c>
      <c r="G37" s="191">
        <f>C6</f>
        <v>9844</v>
      </c>
      <c r="H37" s="195"/>
    </row>
    <row r="38" spans="2:8" ht="15" customHeight="1">
      <c r="B38" s="4" t="s">
        <v>13</v>
      </c>
      <c r="C38" s="19">
        <v>1230</v>
      </c>
      <c r="F38" s="190" t="s">
        <v>195</v>
      </c>
      <c r="G38" s="191">
        <f>C7+C17</f>
        <v>73134</v>
      </c>
      <c r="H38" s="195"/>
    </row>
    <row r="39" spans="2:8" ht="15" customHeight="1">
      <c r="B39" s="2" t="s">
        <v>14</v>
      </c>
      <c r="C39" s="19">
        <v>0</v>
      </c>
      <c r="F39" s="190" t="s">
        <v>77</v>
      </c>
      <c r="G39" s="191">
        <f>C7+C17+C19+C20</f>
        <v>74418</v>
      </c>
      <c r="H39" s="188">
        <f>C7*D7+C17*D17+C19*D19+C20*D20</f>
        <v>44008.799999999996</v>
      </c>
    </row>
    <row r="40" spans="2:8" ht="15" customHeight="1">
      <c r="B40" s="80" t="s">
        <v>200</v>
      </c>
      <c r="C40" s="81">
        <f>SUM(C36:C39)</f>
        <v>2089</v>
      </c>
      <c r="F40" s="199" t="s">
        <v>134</v>
      </c>
      <c r="G40" s="193">
        <f>G12+G24</f>
        <v>85928</v>
      </c>
      <c r="H40" s="200">
        <f>H12+H24</f>
        <v>53609.7</v>
      </c>
    </row>
    <row r="41" spans="2:8" ht="15" customHeight="1">
      <c r="B41" s="4" t="s">
        <v>15</v>
      </c>
      <c r="C41" s="21">
        <f>C42-C40</f>
        <v>2748</v>
      </c>
      <c r="F41" s="190" t="s">
        <v>187</v>
      </c>
      <c r="G41" s="191">
        <f>C70</f>
        <v>72904</v>
      </c>
      <c r="H41" s="200">
        <f>H40-H42</f>
        <v>45795.299999999996</v>
      </c>
    </row>
    <row r="42" spans="2:8" ht="15" customHeight="1">
      <c r="B42" s="83" t="s">
        <v>20</v>
      </c>
      <c r="C42" s="84">
        <v>4837</v>
      </c>
      <c r="F42" s="201" t="s">
        <v>188</v>
      </c>
      <c r="G42" s="202">
        <f>C82</f>
        <v>13024</v>
      </c>
      <c r="H42" s="203">
        <f>D82</f>
        <v>7814.4</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1.1933697905849452</v>
      </c>
      <c r="D50" s="95">
        <f>G31/Normalized_FCF!G8</f>
        <v>1.3234916559691912</v>
      </c>
      <c r="F50" s="253"/>
    </row>
    <row r="51" spans="2:8" ht="15" customHeight="1">
      <c r="B51" s="1" t="s">
        <v>172</v>
      </c>
      <c r="C51" s="181"/>
      <c r="D51" s="92">
        <f>G29/G32</f>
        <v>0.92039603085151056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2.7262804090098017E-2</v>
      </c>
      <c r="D54" s="92">
        <f>Normalized_FCF!G8/G35</f>
        <v>2.4582404173854506E-2</v>
      </c>
      <c r="F54" s="253"/>
    </row>
    <row r="55" spans="2:8" ht="15" customHeight="1">
      <c r="B55" s="1" t="s">
        <v>137</v>
      </c>
      <c r="C55" s="92">
        <f>Normalized_FCF!C11/G40</f>
        <v>7.4364584303137507E-3</v>
      </c>
      <c r="D55" s="92">
        <f>Normalized_FCF!G11/G40</f>
        <v>7.4364584303137507E-3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2.1500174688919346E-3</v>
      </c>
      <c r="F58" s="5"/>
    </row>
    <row r="59" spans="2:8" ht="15" customHeight="1">
      <c r="B59" s="1" t="s">
        <v>90</v>
      </c>
      <c r="C59" s="98"/>
      <c r="D59" s="92">
        <f>G39/G32</f>
        <v>0.41115825764105285</v>
      </c>
      <c r="F59" s="253"/>
    </row>
    <row r="60" spans="2:8" ht="15" customHeight="1">
      <c r="F60" s="253"/>
    </row>
    <row r="61" spans="2:8" ht="15" customHeight="1">
      <c r="B61" s="157" t="s">
        <v>269</v>
      </c>
      <c r="C61" s="235" t="s">
        <v>133</v>
      </c>
      <c r="D61" s="197" t="s">
        <v>92</v>
      </c>
      <c r="F61" s="253"/>
    </row>
    <row r="62" spans="2:8" ht="15" customHeight="1">
      <c r="B62" s="1" t="s">
        <v>241</v>
      </c>
      <c r="C62" s="92">
        <f>IF(G28&lt;=0,0,G28/G29)</f>
        <v>3.1154705020769802E-3</v>
      </c>
      <c r="D62" s="92">
        <f>G28/G29</f>
        <v>3.1154705020769802E-3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47679</v>
      </c>
      <c r="D66" s="76">
        <f>C66-D75</f>
        <v>42222.564948178719</v>
      </c>
      <c r="F66" s="5" t="s">
        <v>222</v>
      </c>
    </row>
    <row r="67" spans="2:6" ht="15" customHeight="1">
      <c r="B67" s="105" t="s">
        <v>173</v>
      </c>
      <c r="C67" s="20">
        <f>G6+G16</f>
        <v>1529</v>
      </c>
      <c r="F67" s="253"/>
    </row>
    <row r="68" spans="2:6" ht="15" customHeight="1">
      <c r="B68" s="105" t="s">
        <v>177</v>
      </c>
      <c r="C68" s="20">
        <f>G18</f>
        <v>23696</v>
      </c>
      <c r="F68" s="253"/>
    </row>
    <row r="69" spans="2:6" ht="15" customHeight="1">
      <c r="B69" s="105" t="s">
        <v>175</v>
      </c>
      <c r="C69" s="20">
        <f>G8+G20</f>
        <v>0</v>
      </c>
      <c r="F69" s="253"/>
    </row>
    <row r="70" spans="2:6" ht="15" customHeight="1">
      <c r="B70" s="80" t="s">
        <v>184</v>
      </c>
      <c r="C70" s="81">
        <f>SUM(C66:C69)</f>
        <v>72904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-930.64086357333326</v>
      </c>
      <c r="D73" s="349">
        <f>(Normalized_FCF!C25+Normalized_FCF!C35-Normalized_FCF!C91)/12</f>
        <v>-909.4058419702136</v>
      </c>
      <c r="F73" s="1" t="s">
        <v>342</v>
      </c>
    </row>
    <row r="74" spans="2:6" ht="15" customHeight="1">
      <c r="B74" s="257" t="s">
        <v>312</v>
      </c>
      <c r="C74" s="258">
        <f>-$C$66/C73</f>
        <v>51.232437631128107</v>
      </c>
      <c r="D74" s="258">
        <f>-$C$66/D73</f>
        <v>52.428737313479523</v>
      </c>
      <c r="F74" s="253" t="s">
        <v>310</v>
      </c>
    </row>
    <row r="75" spans="2:6" ht="15" customHeight="1">
      <c r="B75" s="80" t="s">
        <v>311</v>
      </c>
      <c r="C75" s="320"/>
      <c r="D75" s="321">
        <f>MAX(-D73*D76,G5)</f>
        <v>5456.4350518212814</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13024</v>
      </c>
      <c r="D79" s="76">
        <f>G7*H7+G17*H17</f>
        <v>7814.4</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13024</v>
      </c>
      <c r="D82" s="81">
        <f>SUM(D79:D81)</f>
        <v>7814.4</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-3093</v>
      </c>
      <c r="D86" s="223">
        <f>C86*scaling_factor/Common_Shares</f>
        <v>-0.37849307922088393</v>
      </c>
      <c r="E86" s="240" t="str">
        <f>Market_currency</f>
        <v>HKD</v>
      </c>
    </row>
    <row r="87" spans="2:8" ht="15" customHeight="1">
      <c r="B87" s="238" t="s">
        <v>282</v>
      </c>
      <c r="C87" s="76">
        <f>DCF!C8*Exchange_Rate</f>
        <v>42222.564948178719</v>
      </c>
      <c r="D87" s="223">
        <f>C87*scaling_factor/Common_Shares</f>
        <v>5.1668117102618574</v>
      </c>
      <c r="E87" s="240" t="str">
        <f>Market_currency</f>
        <v>HKD</v>
      </c>
    </row>
    <row r="88" spans="2:8" ht="15" customHeight="1">
      <c r="B88" s="239" t="s">
        <v>185</v>
      </c>
      <c r="C88" s="76">
        <f>DCF!C9*Exchange_Rate</f>
        <v>7814.4</v>
      </c>
      <c r="D88" s="223">
        <f>C88*scaling_factor/Common_Shares</f>
        <v>0.95625487173090062</v>
      </c>
      <c r="E88" s="240" t="str">
        <f>Market_currency</f>
        <v>HKD</v>
      </c>
    </row>
    <row r="89" spans="2:8" ht="15" customHeight="1">
      <c r="B89" s="80" t="s">
        <v>286</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44</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0.57805815639048053</v>
      </c>
      <c r="D28" s="26"/>
      <c r="E28" s="266" t="s">
        <v>324</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-1106.5</v>
      </c>
      <c r="E33" s="266" t="s">
        <v>324</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0.24</v>
      </c>
      <c r="D43" s="27"/>
      <c r="E43" s="265" t="s">
        <v>325</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0.03</v>
      </c>
      <c r="E53" s="265" t="s">
        <v>326</v>
      </c>
      <c r="G53" s="6">
        <f>IF(Normalized_FCF!G4="","",Normalized_FCF!G49/BS!$C$66)</f>
        <v>4.907821053293903E-2</v>
      </c>
      <c r="H53" s="169"/>
      <c r="I53" s="169"/>
      <c r="J53" s="169"/>
      <c r="K53" s="169"/>
      <c r="L53" s="169"/>
      <c r="M53" s="169"/>
      <c r="N53" s="169"/>
      <c r="O53" s="169"/>
      <c r="P53" s="169"/>
      <c r="Q53" s="169"/>
    </row>
    <row r="54" spans="1:17" ht="15.75" customHeight="1">
      <c r="A54" s="10"/>
      <c r="B54" s="8" t="s">
        <v>85</v>
      </c>
      <c r="C54" s="82">
        <f>G54</f>
        <v>1.3902360168121564E-2</v>
      </c>
      <c r="E54" s="265" t="s">
        <v>327</v>
      </c>
      <c r="G54" s="23">
        <f>IFERROR(ABS(Normalized_FCF!G47/BS!$G$31),0)</f>
        <v>1.3902360168121564E-2</v>
      </c>
      <c r="H54" s="169"/>
      <c r="I54" s="169"/>
      <c r="J54" s="169"/>
      <c r="K54" s="169"/>
      <c r="L54" s="169"/>
      <c r="M54" s="169"/>
      <c r="N54" s="169"/>
      <c r="O54" s="169"/>
      <c r="P54" s="169"/>
      <c r="Q54" s="169"/>
    </row>
    <row r="55" spans="1:17" ht="15.75" customHeight="1">
      <c r="A55" s="10"/>
      <c r="B55" s="26" t="s">
        <v>88</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1.8254420992584137E-2</v>
      </c>
      <c r="D78" s="27"/>
      <c r="E78" s="266" t="s">
        <v>559</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6.3806380638063806E-2</v>
      </c>
      <c r="E94" s="268"/>
      <c r="G94" s="23">
        <f t="shared" ref="G94:Q94" si="39">IF(G$4="","",(G90*(1-dividend_tax_rate))/Market_Price)</f>
        <v>6.3806380638063806E-2</v>
      </c>
      <c r="H94" s="23">
        <f t="shared" si="39"/>
        <v>6.3806380638063806E-2</v>
      </c>
      <c r="I94" s="23">
        <f t="shared" si="39"/>
        <v>6.2706270627062702E-2</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-0.26226748590186011</v>
      </c>
      <c r="H97" s="6">
        <f t="shared" si="40"/>
        <v>-0.2408579989228844</v>
      </c>
      <c r="I97" s="6">
        <f t="shared" si="40"/>
        <v>-0.35945953217712834</v>
      </c>
      <c r="J97" s="6">
        <f t="shared" si="40"/>
        <v>3.150394387463904</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1.8142471128666626E-2</v>
      </c>
      <c r="D98" s="27"/>
      <c r="E98" s="265"/>
      <c r="F98" s="27"/>
      <c r="G98" s="6">
        <f t="shared" ref="G98:Q98" si="41">IF(H5="","",G13/H13-1)</f>
        <v>-0.38988852302060206</v>
      </c>
      <c r="H98" s="6">
        <f t="shared" si="41"/>
        <v>-0.2598500907251543</v>
      </c>
      <c r="I98" s="6">
        <f t="shared" si="41"/>
        <v>-0.41198286803257977</v>
      </c>
      <c r="J98" s="6">
        <f t="shared" si="41"/>
        <v>2.5933079224075231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180996</v>
      </c>
      <c r="D102" s="26"/>
      <c r="E102" s="269"/>
      <c r="F102" s="26"/>
      <c r="G102" s="333">
        <f t="shared" ref="G102:Q102" si="42">IF(G$4="","",G106+G105)</f>
        <v>180996</v>
      </c>
      <c r="H102" s="333">
        <f t="shared" si="42"/>
        <v>174007</v>
      </c>
      <c r="I102" s="333">
        <f t="shared" si="42"/>
        <v>0</v>
      </c>
      <c r="J102" s="333">
        <f t="shared" si="42"/>
        <v>0</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8029</v>
      </c>
      <c r="D103" s="89"/>
      <c r="E103" s="270"/>
      <c r="F103" s="89"/>
      <c r="G103" s="346">
        <f>IF(G$4="","",Data!D77)</f>
        <v>7251</v>
      </c>
      <c r="H103" s="346">
        <f>IF(H$4="","",Data!E77)</f>
        <v>0</v>
      </c>
      <c r="I103" s="346">
        <f>IF(I$4="","",Data!F77)</f>
        <v>0</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15310</v>
      </c>
      <c r="D104" s="89"/>
      <c r="E104" s="270"/>
      <c r="F104" s="89"/>
      <c r="G104" s="346">
        <f>IF(G$4="","",Data!D78)</f>
        <v>16389</v>
      </c>
      <c r="H104" s="346">
        <f>IF(H$4="","",Data!E78)</f>
        <v>0</v>
      </c>
      <c r="I104" s="346">
        <f>IF(I$4="","",Data!F78)</f>
        <v>0</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13889</v>
      </c>
      <c r="D105" s="26"/>
      <c r="E105" s="269"/>
      <c r="F105" s="26"/>
      <c r="G105" s="333">
        <f>Data!C79</f>
        <v>13889</v>
      </c>
      <c r="H105" s="333">
        <f>Data!D79</f>
        <v>10902</v>
      </c>
      <c r="I105" s="333">
        <f>Data!E79</f>
        <v>0</v>
      </c>
      <c r="J105" s="333">
        <f>Data!F79</f>
        <v>0</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167107</v>
      </c>
      <c r="D106" s="26"/>
      <c r="E106" s="269"/>
      <c r="F106" s="26"/>
      <c r="G106" s="333">
        <f>Data!C80</f>
        <v>167107</v>
      </c>
      <c r="H106" s="333">
        <f>Data!D80</f>
        <v>163105</v>
      </c>
      <c r="I106" s="333">
        <f>Data!E80</f>
        <v>0</v>
      </c>
      <c r="J106" s="333">
        <f>Data!F80</f>
        <v>0</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0.91602966343411296</v>
      </c>
      <c r="D109" s="26"/>
      <c r="E109" s="269"/>
      <c r="F109" s="26"/>
      <c r="G109" s="94">
        <f t="shared" ref="G109:Q109" si="43">IF(G$4="","",G103/G$4)</f>
        <v>0.82726754135767255</v>
      </c>
      <c r="H109" s="94">
        <f t="shared" si="43"/>
        <v>0</v>
      </c>
      <c r="I109" s="94">
        <f t="shared" si="43"/>
        <v>0</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1.7467199087278951</v>
      </c>
      <c r="D110" s="26"/>
      <c r="E110" s="269"/>
      <c r="F110" s="26"/>
      <c r="G110" s="94">
        <f t="shared" ref="G110:Q110" si="44">IF(G$4="","",G104/G$4)</f>
        <v>1.8698231602966344</v>
      </c>
      <c r="H110" s="94">
        <f t="shared" si="44"/>
        <v>0</v>
      </c>
      <c r="I110" s="94">
        <f t="shared" si="44"/>
        <v>0</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8.343867655447804</v>
      </c>
      <c r="D111" s="26"/>
      <c r="E111" s="269"/>
      <c r="F111" s="26"/>
      <c r="G111" s="94">
        <f>BS!$G$38/G$4</f>
        <v>8.343867655447804</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t="e">
        <f>IF(K$4="","",Data!G$22/Data!G15)</f>
        <v>#DIV/0!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0.38237459335905039</v>
      </c>
      <c r="E118" s="268"/>
      <c r="G118" s="23">
        <f t="shared" ref="G118:Q118" si="45">IF(G4="","",IF(valuation_method="DDM",G13/(G4+G12),G81))</f>
        <v>0.37556098895979384</v>
      </c>
      <c r="H118" s="23">
        <f t="shared" si="45"/>
        <v>0.45411955525604425</v>
      </c>
      <c r="I118" s="23">
        <f t="shared" si="45"/>
        <v>0.46577216802347499</v>
      </c>
      <c r="J118" s="23">
        <f t="shared" si="45"/>
        <v>0.5073762415839953</v>
      </c>
      <c r="K118" s="23">
        <f t="shared" si="45"/>
        <v>0.5860370307457109</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4.8426484563194767E-2</v>
      </c>
      <c r="E119" s="268"/>
      <c r="G119" s="42">
        <f t="shared" ref="G119:Q119" si="46">IF(G4="","",IF(valuation_method="DDM",(G4+G12)/G102,G4/G102))</f>
        <v>4.8426484563194767E-2</v>
      </c>
      <c r="H119" s="42">
        <f t="shared" si="46"/>
        <v>6.8278862344618316E-2</v>
      </c>
      <c r="I119" s="42" t="e">
        <f t="shared" si="46"/>
        <v>#DIV/0!</v>
      </c>
      <c r="J119" s="42" t="e">
        <f t="shared" si="46"/>
        <v>#DIV/0!</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1.0831144117242246</v>
      </c>
      <c r="D120" s="11"/>
      <c r="E120" s="272"/>
      <c r="F120" s="11"/>
      <c r="G120" s="15">
        <f t="shared" ref="G120:Q120" si="47">IF(G$4="","",G102/G106)</f>
        <v>1.0831144117242246</v>
      </c>
      <c r="H120" s="15">
        <f t="shared" si="47"/>
        <v>1.0668403788970295</v>
      </c>
      <c r="I120" s="15" t="e">
        <f t="shared" si="47"/>
        <v>#DIV/0!</v>
      </c>
      <c r="J120" s="15" t="e">
        <f t="shared" si="47"/>
        <v>#DIV/0!</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2.0056091670558843E-2</v>
      </c>
      <c r="D121" s="103"/>
      <c r="E121" s="271"/>
      <c r="F121" s="103"/>
      <c r="G121" s="102">
        <f t="shared" ref="G121:Q121" si="48">IF(G$4="","",G13/G106)</f>
        <v>1.9698708421745308E-2</v>
      </c>
      <c r="H121" s="102">
        <f t="shared" si="48"/>
        <v>3.3079270629331178E-2</v>
      </c>
      <c r="I121" s="102" t="e">
        <f t="shared" si="48"/>
        <v>#DIV/0!</v>
      </c>
      <c r="J121" s="102" t="e">
        <f t="shared" si="48"/>
        <v>#DIV/0!</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0.308898371982265</v>
      </c>
      <c r="D125" s="27"/>
      <c r="E125" s="265"/>
      <c r="F125" s="27"/>
      <c r="G125" s="177">
        <f t="shared" ref="G125:Q125" si="49">IF(G$4="","",G16*$C$3/Common_Shares*Exchange_Rate)</f>
        <v>0.33930895827500729</v>
      </c>
      <c r="H125" s="177">
        <f t="shared" si="49"/>
        <v>0.55110447574704324</v>
      </c>
      <c r="I125" s="177">
        <f t="shared" si="49"/>
        <v>0.72694280709193337</v>
      </c>
      <c r="J125" s="177">
        <f t="shared" si="49"/>
        <v>1.2073284089554635</v>
      </c>
      <c r="K125" s="177">
        <f t="shared" si="49"/>
        <v>0.42217947730748451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3.3982219139963146E-2</v>
      </c>
      <c r="D126" s="27"/>
      <c r="E126" s="265"/>
      <c r="F126" s="27"/>
      <c r="G126" s="77">
        <f t="shared" ref="G126" si="50">IF(G$4="","",G125/Market_Price)</f>
        <v>3.7327718182069008E-2</v>
      </c>
      <c r="H126" s="77">
        <f t="shared" ref="H126" si="51">IF(H$4="","",H125/Market_Price)</f>
        <v>6.0627555087683527E-2</v>
      </c>
      <c r="I126" s="77">
        <f t="shared" ref="I126" si="52">IF(I$4="","",I125/Market_Price)</f>
        <v>7.9971705950707739E-2</v>
      </c>
      <c r="J126" s="77">
        <f t="shared" ref="J126" si="53">IF(J$4="","",J125/Market_Price)</f>
        <v>0.13281940692579355</v>
      </c>
      <c r="K126" s="77">
        <f t="shared" ref="K126" si="54">IF(K$4="","",K125/Market_Price)</f>
        <v>4.6444386942517547E-2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5.7227561997867271E-2</v>
      </c>
      <c r="H127" s="23">
        <f>IF(H$4="","",(Data!D47*$C$3)/(Market_Price*Common_Shares))</f>
        <v>7.9157389919421201E-2</v>
      </c>
      <c r="I127" s="23">
        <f>IF(I$4="","",(Data!E47*$C$3)/(Market_Price*Common_Shares))</f>
        <v>7.7210717852329219E-2</v>
      </c>
      <c r="J127" s="23">
        <f>IF(J$4="","",(Data!F47*$C$3)/(Market_Price*Common_Shares))</f>
        <v>0.12985631142765136</v>
      </c>
      <c r="K127" s="23">
        <f>IF(K$4="","",(Data!G47*$C$3)/(Market_Price*Common_Shares))</f>
        <v>0</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2524.2804082649359</v>
      </c>
      <c r="D4" t="str">
        <f>Reporting_currency</f>
        <v>HKD</v>
      </c>
      <c r="E4" s="100" t="s">
        <v>246</v>
      </c>
      <c r="F4" s="134">
        <f>Terminal_Growth</f>
        <v>0</v>
      </c>
      <c r="H4" s="120"/>
    </row>
    <row r="5" spans="2:8">
      <c r="B5" s="205" t="s">
        <v>119</v>
      </c>
      <c r="C5" s="206">
        <f>Equity_Cost</f>
        <v>8.4999999999999992E-2</v>
      </c>
      <c r="E5" s="148"/>
      <c r="H5" s="120"/>
    </row>
    <row r="6" spans="2:8" ht="13.35" customHeight="1">
      <c r="B6" s="149" t="s">
        <v>224</v>
      </c>
      <c r="C6" s="347">
        <f>(C4*(1+Terminal_Growth))/(Equity_Cost-Terminal_Growth)</f>
        <v>29697.416567822776</v>
      </c>
      <c r="D6" t="str">
        <f>Reporting_currency</f>
        <v>HKD</v>
      </c>
      <c r="E6" s="378" t="s">
        <v>245</v>
      </c>
      <c r="F6" s="378"/>
      <c r="H6" s="120"/>
    </row>
    <row r="7" spans="2:8">
      <c r="B7" s="148" t="s">
        <v>220</v>
      </c>
      <c r="C7" s="338">
        <f>BS!G31</f>
        <v>3093</v>
      </c>
      <c r="D7" t="str">
        <f>Reporting_currency</f>
        <v>HKD</v>
      </c>
      <c r="E7" s="378"/>
      <c r="F7" s="378"/>
      <c r="H7" s="120"/>
    </row>
    <row r="8" spans="2:8">
      <c r="B8" s="148" t="s">
        <v>221</v>
      </c>
      <c r="C8" s="338">
        <f>BS!D66</f>
        <v>42222.564948178719</v>
      </c>
      <c r="D8" t="str">
        <f>Reporting_currency</f>
        <v>HKD</v>
      </c>
      <c r="E8" s="378"/>
      <c r="F8" s="378"/>
      <c r="H8" s="120"/>
    </row>
    <row r="9" spans="2:8">
      <c r="B9" s="205" t="s">
        <v>186</v>
      </c>
      <c r="C9" s="348">
        <f>BS!H42</f>
        <v>7814.4</v>
      </c>
      <c r="D9" t="str">
        <f>Reporting_currency</f>
        <v>HKD</v>
      </c>
      <c r="E9" s="378"/>
      <c r="F9" s="378"/>
      <c r="H9" s="120"/>
    </row>
    <row r="10" spans="2:8" ht="13.15">
      <c r="B10" s="149" t="s">
        <v>223</v>
      </c>
      <c r="C10" s="347">
        <f>C6-C7+C8+C9</f>
        <v>76641.381516001493</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9.3786719966808736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-1.5334906308317399E-3</v>
      </c>
      <c r="H16" s="120"/>
    </row>
    <row r="17" spans="2:17" ht="13.35" customHeight="1">
      <c r="B17" s="118" t="s">
        <v>130</v>
      </c>
      <c r="C17" s="162">
        <f>Scenarios!C64</f>
        <v>10</v>
      </c>
      <c r="H17" s="120"/>
    </row>
    <row r="18" spans="2:17" ht="13.35" customHeight="1">
      <c r="B18" s="153" t="s">
        <v>103</v>
      </c>
      <c r="C18" s="140">
        <f>(F52-C7+C8+C9)*Exchange_Rate/Common_Shares*scaling_factor</f>
        <v>9.3612446307874944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29651.875857756117</v>
      </c>
      <c r="D51" s="139">
        <f>Terminal_Growth</f>
        <v>0</v>
      </c>
      <c r="E51" s="124">
        <f>1/(1+Equity_Cost)^C17</f>
        <v>0.44228541503689528</v>
      </c>
      <c r="F51" s="125">
        <f t="shared" si="1"/>
        <v>13114.592220370159</v>
      </c>
      <c r="H51" s="120"/>
    </row>
    <row r="52" spans="1:17">
      <c r="C52" s="114"/>
      <c r="E52" s="127" t="s">
        <v>97</v>
      </c>
      <c r="F52" s="137">
        <f>SUM(F21:F51)</f>
        <v>29555.00222614134</v>
      </c>
      <c r="H52" s="120"/>
    </row>
    <row r="53" spans="1:17">
      <c r="C53" s="114"/>
      <c r="H53" s="120"/>
    </row>
    <row r="54" spans="1:17" ht="13.15">
      <c r="B54" s="119" t="s">
        <v>125</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4739.6903628800001</v>
      </c>
      <c r="D4" t="str">
        <f>Market_currency</f>
        <v>HKD</v>
      </c>
      <c r="E4" s="100" t="s">
        <v>246</v>
      </c>
      <c r="F4" s="134">
        <f>Thesis!E22</f>
        <v>0</v>
      </c>
      <c r="H4" s="120"/>
    </row>
    <row r="5" spans="2:8">
      <c r="B5" s="205" t="s">
        <v>119</v>
      </c>
      <c r="C5" s="206">
        <f>Equity_Cost</f>
        <v>8.4999999999999992E-2</v>
      </c>
      <c r="E5" s="148"/>
      <c r="H5" s="120"/>
    </row>
    <row r="6" spans="2:8" ht="13.35" customHeight="1">
      <c r="B6" s="149" t="s">
        <v>417</v>
      </c>
      <c r="C6" s="319">
        <f>(C4*(1+Terminal_Growth))/(Equity_Cost-Terminal_Growth)</f>
        <v>55761.063092705888</v>
      </c>
      <c r="D6" t="str">
        <f>Reporting_currency</f>
        <v>HKD</v>
      </c>
      <c r="E6" s="378"/>
      <c r="F6" s="378"/>
      <c r="H6" s="120"/>
    </row>
    <row r="7" spans="2:8" ht="13.15">
      <c r="B7" s="149" t="s">
        <v>420</v>
      </c>
      <c r="C7" s="111">
        <f>(C6*scaling_factor)/Common_Shares*Exchange_Rate</f>
        <v>6.8235294117647065</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-1.5334906308317399E-3</v>
      </c>
      <c r="H11" s="120"/>
    </row>
    <row r="12" spans="2:8" ht="13.35" customHeight="1">
      <c r="B12" s="118" t="s">
        <v>130</v>
      </c>
      <c r="C12" s="162">
        <f>Scenarios!C64</f>
        <v>10</v>
      </c>
      <c r="H12" s="120"/>
    </row>
    <row r="13" spans="2:8" ht="13.35" customHeight="1">
      <c r="B13" s="153" t="s">
        <v>103</v>
      </c>
      <c r="C13" s="140">
        <f>F47/Common_Shares*scaling_factor</f>
        <v>6.7908070890366989</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55675.554024888006</v>
      </c>
      <c r="D46" s="139">
        <f>Terminal_Growth</f>
        <v>0</v>
      </c>
      <c r="E46" s="124">
        <f>1/(1+Equity_Cost)^C12</f>
        <v>0.44228541503689528</v>
      </c>
      <c r="F46" s="125">
        <f t="shared" si="1"/>
        <v>24624.485519306676</v>
      </c>
      <c r="H46" s="120"/>
    </row>
    <row r="47" spans="2:8">
      <c r="C47" s="114"/>
      <c r="E47" s="127" t="s">
        <v>97</v>
      </c>
      <c r="F47" s="137">
        <f>SUM(F16:F46)</f>
        <v>55493.660200145561</v>
      </c>
      <c r="H47" s="120"/>
    </row>
    <row r="48" spans="2:8">
      <c r="C48" s="114"/>
      <c r="H48" s="120"/>
    </row>
    <row r="49" spans="1:8" ht="13.15">
      <c r="B49" s="119" t="s">
        <v>125</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126</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-9.09</v>
      </c>
    </row>
    <row r="4" spans="2:9">
      <c r="B4" s="152" t="s">
        <v>142</v>
      </c>
      <c r="C4" s="120">
        <v>3</v>
      </c>
      <c r="D4" s="120"/>
      <c r="E4" s="155" t="s">
        <v>146</v>
      </c>
      <c r="F4" s="155"/>
      <c r="H4" s="247">
        <v>1</v>
      </c>
      <c r="I4" s="124">
        <f t="shared" ref="I4:I13" si="0">IF(ROW()-3 &lt; $C$76, $C$77, IF(ROW()-3 = $C$76, $C$77 + $C$60, ""))</f>
        <v>0.57999999999999996</v>
      </c>
    </row>
    <row r="5" spans="2:9">
      <c r="H5" s="247">
        <v>2</v>
      </c>
      <c r="I5" s="124">
        <f t="shared" si="0"/>
        <v>0.57999999999999996</v>
      </c>
    </row>
    <row r="6" spans="2:9" ht="13.15">
      <c r="B6" s="159" t="s">
        <v>92</v>
      </c>
      <c r="C6" s="107">
        <f>DCF!C3</f>
        <v>1000000</v>
      </c>
      <c r="E6" s="100" t="s">
        <v>274</v>
      </c>
      <c r="F6" s="100"/>
      <c r="H6" s="247">
        <v>3</v>
      </c>
      <c r="I6" s="124">
        <f t="shared" si="0"/>
        <v>9.9441570609339323</v>
      </c>
    </row>
    <row r="7" spans="2:9" ht="12.75" customHeight="1">
      <c r="B7" s="100" t="s">
        <v>270</v>
      </c>
      <c r="C7" s="338">
        <f>Normalized_FCF!G8</f>
        <v>2337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80"/>
      <c r="H7" s="247">
        <v>4</v>
      </c>
      <c r="I7" s="124" t="str">
        <f t="shared" si="0"/>
        <v/>
      </c>
    </row>
    <row r="8" spans="2:9">
      <c r="B8" s="100" t="s">
        <v>64</v>
      </c>
      <c r="C8" s="338">
        <f>Normalized_FCF!G19</f>
        <v>2772.792068232593</v>
      </c>
      <c r="D8" t="str">
        <f>Reporting_currency</f>
        <v>HKD</v>
      </c>
      <c r="E8" s="380"/>
      <c r="F8" s="380"/>
      <c r="H8" s="247">
        <v>5</v>
      </c>
      <c r="I8" s="124" t="str">
        <f t="shared" si="0"/>
        <v/>
      </c>
    </row>
    <row r="9" spans="2:9">
      <c r="B9" s="100" t="s">
        <v>55</v>
      </c>
      <c r="C9" s="338">
        <f>Normalized_FCF!C19</f>
        <v>2524.2804082649359</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-0.28945840615733698</v>
      </c>
      <c r="D12" s="158"/>
      <c r="E12" s="380"/>
      <c r="F12" s="380"/>
      <c r="H12" s="247">
        <v>9</v>
      </c>
      <c r="I12" s="124" t="str">
        <f t="shared" si="0"/>
        <v/>
      </c>
    </row>
    <row r="13" spans="2:9">
      <c r="B13" s="148" t="s">
        <v>148</v>
      </c>
      <c r="C13" s="158">
        <f ca="1">(Normalized_FCF!G8/OFFSET(Normalized_FCF!G8, 0, $C$4))^(1/$C$4) - 1</f>
        <v>-0.42686307479092267</v>
      </c>
      <c r="E13" s="380"/>
      <c r="F13" s="380"/>
      <c r="H13" s="247">
        <v>10</v>
      </c>
      <c r="I13" s="124" t="str">
        <f t="shared" si="0"/>
        <v/>
      </c>
    </row>
    <row r="14" spans="2:9">
      <c r="B14" s="100" t="s">
        <v>64</v>
      </c>
      <c r="C14" s="158">
        <f ca="1">(Normalized_FCF!G19/OFFSET(Normalized_FCF!G19, 0, $C$4))^(1/$C$4) - 1</f>
        <v>-0.34497687096016949</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9.09</v>
      </c>
      <c r="D21" t="str">
        <f>Market_currency</f>
        <v>HKD</v>
      </c>
      <c r="E21" s="381"/>
      <c r="F21" s="381"/>
    </row>
    <row r="22" spans="2:6">
      <c r="B22" s="100" t="s">
        <v>273</v>
      </c>
      <c r="C22" s="160">
        <f>IF(valuation_method="DCF",DCF!C12,DDM!C7)</f>
        <v>9.3786719966808736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v>
      </c>
      <c r="D26" s="164"/>
      <c r="E26" s="379"/>
      <c r="F26" s="379"/>
    </row>
    <row r="27" spans="2:6">
      <c r="B27" s="100" t="s">
        <v>109</v>
      </c>
      <c r="C27" s="160">
        <f>IF(valuation_method="DCF",DCF!E76,DDM!E71)</f>
        <v>9.3786719966808771</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9.1609121907724287</v>
      </c>
      <c r="D33" t="str">
        <f>Market_currency</f>
        <v>HKD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0.02</v>
      </c>
      <c r="D38" s="164"/>
      <c r="E38" s="379"/>
      <c r="F38" s="379"/>
    </row>
    <row r="39" spans="2:6">
      <c r="B39" s="100" t="s">
        <v>109</v>
      </c>
      <c r="C39" s="160">
        <f>IF(valuation_method="DCF",DCF!E75,DDM!E70)</f>
        <v>9.6179514207293444</v>
      </c>
      <c r="D39" t="str">
        <f>Market_currency</f>
        <v>HKD</v>
      </c>
      <c r="E39" s="379"/>
      <c r="F39" s="379"/>
    </row>
    <row r="40" spans="2:6">
      <c r="B40" s="100" t="s">
        <v>143</v>
      </c>
      <c r="C40" s="167">
        <f>1-C28-C34</f>
        <v>0.19999999999999996</v>
      </c>
      <c r="D40" s="165"/>
      <c r="E40" s="379"/>
      <c r="F40" s="379"/>
    </row>
    <row r="42" spans="2:6" ht="13.15">
      <c r="B42" s="100" t="s">
        <v>116</v>
      </c>
      <c r="C42" s="154">
        <f>C27*C28+C33*C34+C39*C40</f>
        <v>9.3720879300134587</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8.1183546765433707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10.467203801893012</v>
      </c>
      <c r="D57" t="str">
        <f>Market_currency</f>
        <v>HKD</v>
      </c>
      <c r="E57" s="379"/>
      <c r="F57" s="379"/>
    </row>
    <row r="58" spans="2:6">
      <c r="B58" s="100" t="s">
        <v>143</v>
      </c>
      <c r="C58" s="165">
        <v>0.05</v>
      </c>
      <c r="D58" s="165"/>
      <c r="E58" s="379"/>
      <c r="F58" s="379"/>
    </row>
    <row r="60" spans="2:6" ht="13.15">
      <c r="B60" s="100" t="s">
        <v>116</v>
      </c>
      <c r="C60" s="154">
        <f>C51*C52+C57*C58+C42*(1-C52-C58)</f>
        <v>9.3641570609339322</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-1.5334906308317399E-3</v>
      </c>
      <c r="D65" s="151"/>
      <c r="E65" s="251" t="s">
        <v>304</v>
      </c>
    </row>
    <row r="66" spans="2:6">
      <c r="B66" s="100" t="s">
        <v>99</v>
      </c>
      <c r="C66" s="160">
        <f>IF(valuation_method="DCF",DCF!C18,DDM!C13)</f>
        <v>9.3612446307874944</v>
      </c>
      <c r="D66" s="160" t="str">
        <f>Market_currency</f>
        <v>HKD</v>
      </c>
      <c r="E66" s="251" t="s">
        <v>305</v>
      </c>
    </row>
    <row r="68" spans="2:6" ht="13.15">
      <c r="B68" s="109" t="s">
        <v>341</v>
      </c>
      <c r="E68" s="252" t="s">
        <v>306</v>
      </c>
    </row>
    <row r="69" spans="2:6">
      <c r="B69" s="100" t="s">
        <v>300</v>
      </c>
      <c r="C69" s="244" t="str">
        <f>IF(C60&lt;C22,"Y","N")</f>
        <v>Y</v>
      </c>
      <c r="E69" s="134"/>
    </row>
    <row r="70" spans="2:6">
      <c r="B70" s="100" t="s">
        <v>288</v>
      </c>
      <c r="C70" s="244" t="str">
        <f>IF(C69="Y","N",IF(C65&gt;8%,"N","Y"))</f>
        <v>N</v>
      </c>
      <c r="E70" s="251" t="s">
        <v>289</v>
      </c>
    </row>
    <row r="71" spans="2:6">
      <c r="B71" s="100" t="s">
        <v>287</v>
      </c>
      <c r="C71" s="244" t="str">
        <f>IF(C65&gt;8%,"Y","N")</f>
        <v>N</v>
      </c>
      <c r="E71" s="251"/>
    </row>
    <row r="72" spans="2:6">
      <c r="B72" s="100" t="s">
        <v>279</v>
      </c>
      <c r="C72" s="243" t="str">
        <f>IF(F72&gt;50%,"Y","N")</f>
        <v>Y</v>
      </c>
      <c r="E72" s="134" t="s">
        <v>337</v>
      </c>
      <c r="F72" s="291">
        <f>BS!D89/C60</f>
        <v>0.61346402728949312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0.57999999999999996</v>
      </c>
      <c r="D77" t="str">
        <f>Market_currency</f>
        <v>HKD</v>
      </c>
    </row>
    <row r="79" spans="2:6" ht="13.15">
      <c r="B79" s="109" t="s">
        <v>296</v>
      </c>
    </row>
    <row r="80" spans="2:6">
      <c r="B80" s="148" t="s">
        <v>294</v>
      </c>
      <c r="C80" s="167">
        <f>Thesis!F29</f>
        <v>0.35</v>
      </c>
    </row>
    <row r="81" spans="2:8">
      <c r="B81" s="100" t="s">
        <v>117</v>
      </c>
      <c r="C81" s="116">
        <f>PV(C80, C76, -C77, 0)</f>
        <v>0.98361022201900128</v>
      </c>
      <c r="D81" s="116"/>
      <c r="E81" s="100"/>
      <c r="F81" s="100"/>
    </row>
    <row r="82" spans="2:8">
      <c r="B82" s="100" t="s">
        <v>118</v>
      </c>
      <c r="C82" s="116">
        <f>C60/(1+C80)^C76</f>
        <v>3.8059877298923661</v>
      </c>
      <c r="D82" s="116"/>
    </row>
    <row r="83" spans="2:8" ht="13.15">
      <c r="B83" s="110" t="s">
        <v>98</v>
      </c>
      <c r="C83" s="111">
        <f>C81+C82</f>
        <v>4.7895979519113672</v>
      </c>
      <c r="D83" t="str">
        <f>Market_currency</f>
        <v>HKD</v>
      </c>
      <c r="E83" s="146" t="s">
        <v>122</v>
      </c>
      <c r="F83" s="291">
        <f>(1-C83/C60)</f>
        <v>0.48851798183811346</v>
      </c>
    </row>
    <row r="84" spans="2:8">
      <c r="E84" s="120"/>
    </row>
    <row r="85" spans="2:8" ht="13.15">
      <c r="B85" s="109" t="s">
        <v>297</v>
      </c>
    </row>
    <row r="86" spans="2:8">
      <c r="B86" s="148" t="s">
        <v>295</v>
      </c>
      <c r="C86" s="116">
        <f>Market_Price</f>
        <v>9.09</v>
      </c>
      <c r="D86" t="str">
        <f>Market_currency</f>
        <v>HKD</v>
      </c>
    </row>
    <row r="87" spans="2:8" ht="13.15">
      <c r="B87" s="100" t="s">
        <v>293</v>
      </c>
      <c r="C87" s="237">
        <f ca="1">IRR(OFFSET($I$3, 0, 0, $C$76 + 1, 1))</f>
        <v>7.3158905462027413E-2</v>
      </c>
    </row>
    <row r="88" spans="2:8">
      <c r="B88" s="100"/>
    </row>
    <row r="89" spans="2:8" ht="13.15">
      <c r="B89" s="109" t="s">
        <v>392</v>
      </c>
    </row>
    <row r="90" spans="2:8">
      <c r="B90" s="148" t="s">
        <v>393</v>
      </c>
      <c r="C90" s="167">
        <f>Thesis!F30</f>
        <v>0.25</v>
      </c>
    </row>
    <row r="91" spans="2:8">
      <c r="B91" s="100" t="s">
        <v>117</v>
      </c>
      <c r="C91" s="116">
        <f>PV(C90, C76, -C77, 0)</f>
        <v>1.1321599999999998</v>
      </c>
      <c r="D91" s="116"/>
      <c r="E91" s="100"/>
      <c r="F91" s="100"/>
    </row>
    <row r="92" spans="2:8">
      <c r="B92" s="100" t="s">
        <v>118</v>
      </c>
      <c r="C92" s="116">
        <f>C60/(1+C90)^C76</f>
        <v>4.7944484151981737</v>
      </c>
      <c r="D92" s="116"/>
    </row>
    <row r="93" spans="2:8" ht="13.15">
      <c r="B93" s="110" t="s">
        <v>98</v>
      </c>
      <c r="C93" s="111">
        <f>C91+C92</f>
        <v>5.9266084151981735</v>
      </c>
      <c r="D93" t="str">
        <f>Market_currency</f>
        <v>HKD</v>
      </c>
      <c r="E93" s="146" t="s">
        <v>122</v>
      </c>
      <c r="F93" s="291">
        <f>(1-C93/C60)</f>
        <v>0.36709643199779007</v>
      </c>
    </row>
    <row r="95" spans="2:8" ht="13.15">
      <c r="B95" s="109" t="s">
        <v>378</v>
      </c>
      <c r="G95" s="2"/>
      <c r="H95" s="281"/>
    </row>
    <row r="96" spans="2:8">
      <c r="B96" s="148" t="s">
        <v>383</v>
      </c>
      <c r="C96" s="134">
        <f>Thesis!F31</f>
        <v>7.4999999999999997E-2</v>
      </c>
      <c r="G96" s="2"/>
      <c r="H96" s="281"/>
    </row>
    <row r="97" spans="2:8">
      <c r="B97" s="100" t="s">
        <v>117</v>
      </c>
      <c r="C97" s="116">
        <f>PV(C96, C76, -C77, 0)</f>
        <v>1.5083049291257364</v>
      </c>
      <c r="D97" s="116"/>
      <c r="G97" s="2"/>
      <c r="H97" s="281"/>
    </row>
    <row r="98" spans="2:8">
      <c r="B98" s="100" t="s">
        <v>118</v>
      </c>
      <c r="C98" s="116">
        <f>C60/(1+C96)^C76</f>
        <v>7.5377772007467483</v>
      </c>
      <c r="D98" s="116"/>
      <c r="G98" s="2"/>
      <c r="H98" s="281"/>
    </row>
    <row r="99" spans="2:8" ht="13.15">
      <c r="B99" s="110" t="s">
        <v>379</v>
      </c>
      <c r="C99" s="111">
        <f>C97+C98</f>
        <v>9.0460821298724845</v>
      </c>
      <c r="D99" t="s">
        <v>377</v>
      </c>
      <c r="E99" s="146" t="s">
        <v>122</v>
      </c>
      <c r="F99" s="291">
        <f>(1-C99/C60)</f>
        <v>3.3967278527227585E-2</v>
      </c>
    </row>
    <row r="100" spans="2:8">
      <c r="B100" s="100"/>
    </row>
    <row r="101" spans="2:8" ht="13.15">
      <c r="B101" s="109" t="s">
        <v>398</v>
      </c>
    </row>
    <row r="102" spans="2:8">
      <c r="B102" s="148" t="s">
        <v>397</v>
      </c>
      <c r="C102" s="134">
        <f>Thesis!F32</f>
        <v>0.1174</v>
      </c>
    </row>
    <row r="103" spans="2:8">
      <c r="B103" s="100" t="s">
        <v>117</v>
      </c>
      <c r="C103" s="116">
        <f>PV(C102, C76, -C77, 0)</f>
        <v>1.3993098130444164</v>
      </c>
      <c r="D103" s="116"/>
    </row>
    <row r="104" spans="2:8">
      <c r="B104" s="100" t="s">
        <v>118</v>
      </c>
      <c r="C104" s="116">
        <f>C60/(1+C102)^C76</f>
        <v>6.7118568952473439</v>
      </c>
      <c r="D104" s="116"/>
    </row>
    <row r="105" spans="2:8" ht="13.15">
      <c r="B105" s="110" t="s">
        <v>379</v>
      </c>
      <c r="C105" s="111">
        <f>C103+C104</f>
        <v>8.1111667082917602</v>
      </c>
      <c r="D105" t="s">
        <v>377</v>
      </c>
      <c r="E105" s="146" t="s">
        <v>122</v>
      </c>
      <c r="F105" s="291">
        <f>(1-C105/C66)</f>
        <v>0.13353757665774979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6AABD-FA7B-4795-9051-9DFC60FB53E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2025-07-28T09:08:48Z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