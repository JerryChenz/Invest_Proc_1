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showObjects="none" codeName="ThisWorkbook"/>
  <mc:AlternateContent xmlns:mc="http://schemas.openxmlformats.org/markup-compatibility/2006">
    <mc:Choice Requires="x15">
      <x15ac:absPath xmlns:x15ac="http://schemas.microsoft.com/office/spreadsheetml/2010/11/ac" url="/Users/kamanl/PycharmProjects/Invest_Proc/financial_models/opportunities/"/>
    </mc:Choice>
  </mc:AlternateContent>
  <xr:revisionPtr revIDLastSave="0" documentId="13_ncr:1_{AB036B18-16F0-0443-AE4B-451364E26988}" xr6:coauthVersionLast="47" xr6:coauthVersionMax="47" xr10:uidLastSave="{00000000-0000-0000-0000-000000000000}"/>
  <bookViews>
    <workbookView xWindow="0" yWindow="0" windowWidth="28800" windowHeight="18000"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4" i="2"/>
  <c r="C33" i="2"/>
  <c r="C34" i="2"/>
  <c r="C28" i="2"/>
  <c r="C29" i="2"/>
  <c r="C4" i="2"/>
  <c r="C28" i="4"/>
  <c r="C29" i="4"/>
  <c r="C30" i="4"/>
  <c r="C32" i="4"/>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B91" i="2" l="1"/>
  <c r="B90" i="2"/>
  <c r="C8" i="6"/>
  <c r="C71" i="9"/>
  <c r="D66" i="9"/>
  <c r="D18" i="8"/>
  <c r="D22" i="9"/>
  <c r="D21" i="9"/>
  <c r="D9" i="9"/>
  <c r="D86" i="9"/>
  <c r="C86" i="9"/>
  <c r="C76" i="9"/>
  <c r="E87" i="3"/>
  <c r="E88" i="3"/>
  <c r="E89" i="3"/>
  <c r="E86" i="3"/>
  <c r="I3" i="9"/>
  <c r="D114" i="6" l="1"/>
  <c r="D110" i="6"/>
  <c r="D103" i="6"/>
  <c r="D93" i="6"/>
  <c r="E7" i="9"/>
  <c r="D8" i="9"/>
  <c r="D7" i="9"/>
  <c r="C21" i="9"/>
  <c r="D67" i="6"/>
  <c r="B124"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7"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6"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C77" i="9"/>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93" i="2"/>
  <c r="C70" i="6" s="1"/>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C31" i="4" s="1"/>
  <c r="L68" i="4"/>
  <c r="D68" i="4"/>
  <c r="K68" i="4"/>
  <c r="C68" i="4"/>
  <c r="J68" i="4"/>
  <c r="I68" i="4"/>
  <c r="E68" i="4"/>
  <c r="H68" i="4"/>
  <c r="G68" i="4"/>
  <c r="F68" i="4"/>
  <c r="J4" i="2"/>
  <c r="Q4" i="2"/>
  <c r="Q120" i="2" s="1"/>
  <c r="P4" i="2"/>
  <c r="P120" i="2" s="1"/>
  <c r="I4" i="2"/>
  <c r="G4" i="2"/>
  <c r="H4" i="2"/>
  <c r="L4" i="2"/>
  <c r="L120" i="2" s="1"/>
  <c r="K4" i="2"/>
  <c r="K38" i="4"/>
  <c r="K43" i="4" s="1"/>
  <c r="K44" i="4" s="1"/>
  <c r="K58" i="4" s="1"/>
  <c r="O62" i="2" s="1"/>
  <c r="O4" i="2"/>
  <c r="O120" i="2" s="1"/>
  <c r="J38" i="4"/>
  <c r="J43" i="4" s="1"/>
  <c r="J44" i="4" s="1"/>
  <c r="J58" i="4" s="1"/>
  <c r="N62" i="2" s="1"/>
  <c r="N4" i="2"/>
  <c r="N120" i="2" s="1"/>
  <c r="I38" i="4"/>
  <c r="I43" i="4" s="1"/>
  <c r="I44" i="4" s="1"/>
  <c r="I58" i="4" s="1"/>
  <c r="M62" i="2" s="1"/>
  <c r="M4" i="2"/>
  <c r="M120" i="2" s="1"/>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G91" i="2" l="1"/>
  <c r="Q126" i="2"/>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5" i="2"/>
  <c r="G101" i="2" s="1"/>
  <c r="G119" i="2" s="1"/>
  <c r="D76" i="6" s="1"/>
  <c r="P40" i="2"/>
  <c r="P30" i="2"/>
  <c r="P63" i="2"/>
  <c r="P6" i="2"/>
  <c r="P73" i="2"/>
  <c r="C23" i="2"/>
  <c r="C49" i="2"/>
  <c r="C24" i="2"/>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G62" i="2"/>
  <c r="G63" i="2" s="1"/>
  <c r="C119" i="2"/>
  <c r="C76" i="6" s="1"/>
  <c r="C55" i="3"/>
  <c r="L119" i="2"/>
  <c r="J119" i="2"/>
  <c r="H119" i="2"/>
  <c r="K119" i="2"/>
  <c r="I119" i="2"/>
  <c r="C118" i="2"/>
  <c r="C75" i="6" s="1"/>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15" i="2" l="1"/>
  <c r="G1" i="2"/>
  <c r="C56"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51" i="6"/>
  <c r="C31" i="3"/>
  <c r="C87" i="3" l="1"/>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B1" i="2"/>
  <c r="O81" i="2" l="1"/>
  <c r="O117" i="2" s="1"/>
  <c r="O16" i="2"/>
  <c r="C7" i="8"/>
  <c r="C86" i="3" s="1"/>
  <c r="D86" i="3" s="1"/>
  <c r="D89" i="3" s="1"/>
  <c r="C104" i="6"/>
  <c r="P81" i="2"/>
  <c r="P117" i="2" s="1"/>
  <c r="P16" i="2"/>
  <c r="O97"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4" i="2"/>
  <c r="O125" i="2" s="1"/>
  <c r="P84" i="2"/>
  <c r="P19" i="2"/>
  <c r="P92" i="2" s="1"/>
  <c r="P124" i="2"/>
  <c r="P125" i="2" s="1"/>
  <c r="C47" i="2"/>
  <c r="O92" i="2" l="1"/>
  <c r="O114" i="2"/>
  <c r="O87" i="2"/>
  <c r="P114" i="2"/>
  <c r="P87" i="2"/>
  <c r="C55" i="2"/>
  <c r="C52" i="6"/>
  <c r="E78" i="8"/>
  <c r="C50" i="2"/>
  <c r="C12" i="2" s="1"/>
  <c r="I1" i="2"/>
  <c r="E130" i="6" l="1"/>
  <c r="C51" i="9"/>
  <c r="C13" i="2"/>
  <c r="C120" i="2" s="1"/>
  <c r="C73" i="6" s="1"/>
  <c r="C14" i="2"/>
  <c r="C59" i="6" s="1"/>
  <c r="C53" i="6"/>
  <c r="C80" i="2"/>
  <c r="J1" i="2"/>
  <c r="K1" i="2" s="1"/>
  <c r="L1" i="2" s="1"/>
  <c r="M1" i="2" s="1"/>
  <c r="N1" i="2" s="1"/>
  <c r="O1" i="2" s="1"/>
  <c r="P1" i="2" s="1"/>
  <c r="Q1" i="2" s="1"/>
  <c r="C16" i="2" l="1"/>
  <c r="C19" i="2" s="1"/>
  <c r="G118" i="2"/>
  <c r="D75" i="6" s="1"/>
  <c r="C16" i="10" l="1"/>
  <c r="C46" i="10" s="1"/>
  <c r="C6" i="10"/>
  <c r="C7" i="10" s="1"/>
  <c r="C4" i="8"/>
  <c r="C92" i="2"/>
  <c r="F70" i="6" s="1"/>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3" i="2"/>
  <c r="H120" i="2" s="1"/>
  <c r="H116" i="2" s="1"/>
  <c r="C172" i="6" l="1"/>
  <c r="C148" i="6"/>
  <c r="C99" i="9"/>
  <c r="C165" i="6" s="1"/>
  <c r="D173" i="6"/>
  <c r="D32" i="6" s="1"/>
  <c r="C32" i="6"/>
  <c r="E26" i="6"/>
  <c r="C93" i="9"/>
  <c r="C151" i="6"/>
  <c r="C149" i="6"/>
  <c r="H16" i="2"/>
  <c r="H19" i="2" s="1"/>
  <c r="H81" i="2"/>
  <c r="H117" i="2" s="1"/>
  <c r="F99" i="9" l="1"/>
  <c r="C167" i="6" s="1"/>
  <c r="D165" i="6"/>
  <c r="D31" i="6" s="1"/>
  <c r="C31" i="6"/>
  <c r="C29" i="6"/>
  <c r="D149" i="6"/>
  <c r="D29" i="6" s="1"/>
  <c r="H114" i="2"/>
  <c r="H92" i="2"/>
  <c r="F93" i="9"/>
  <c r="C159" i="6" s="1"/>
  <c r="C157" i="6"/>
  <c r="H124" i="2"/>
  <c r="H125" i="2" s="1"/>
  <c r="H84" i="2"/>
  <c r="G76" i="2"/>
  <c r="D54" i="3"/>
  <c r="D50" i="3"/>
  <c r="G13" i="2"/>
  <c r="G97" i="2" l="1"/>
  <c r="G120" i="2"/>
  <c r="C30" i="6"/>
  <c r="D157" i="6"/>
  <c r="D30" i="6" s="1"/>
  <c r="H87" i="2"/>
  <c r="G16" i="2"/>
  <c r="G19" i="2" s="1"/>
  <c r="G81" i="2"/>
  <c r="G117" i="2" s="1"/>
  <c r="D74" i="6" s="1"/>
  <c r="G116" i="2" l="1"/>
  <c r="D73" i="6"/>
  <c r="G114" i="2"/>
  <c r="G92" i="2"/>
  <c r="G124" i="2"/>
  <c r="G125" i="2" s="1"/>
  <c r="G84" i="2"/>
  <c r="N116" i="2"/>
  <c r="J76" i="2"/>
  <c r="I76" i="2"/>
  <c r="N76" i="2"/>
  <c r="L76" i="2"/>
  <c r="L116" i="2"/>
  <c r="M116" i="2"/>
  <c r="J13" i="2"/>
  <c r="J120" i="2" s="1"/>
  <c r="J116" i="2" s="1"/>
  <c r="M76" i="2"/>
  <c r="L13" i="2"/>
  <c r="K13" i="2"/>
  <c r="N13" i="2"/>
  <c r="N97" i="2" s="1"/>
  <c r="M13" i="2"/>
  <c r="I13" i="2"/>
  <c r="I120" i="2" s="1"/>
  <c r="I116" i="2" s="1"/>
  <c r="K76" i="2"/>
  <c r="K16" i="2" l="1"/>
  <c r="K19" i="2" s="1"/>
  <c r="K120" i="2"/>
  <c r="K116" i="2" s="1"/>
  <c r="K114" i="2"/>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5" i="6" s="1"/>
  <c r="C54" i="3"/>
  <c r="M114" i="2" l="1"/>
  <c r="M92" i="2"/>
  <c r="L92" i="2"/>
  <c r="L114" i="2"/>
  <c r="C14" i="9"/>
  <c r="M87" i="2"/>
  <c r="C81" i="2"/>
  <c r="C117" i="2" s="1"/>
  <c r="C74" i="6" s="1"/>
  <c r="C97" i="2"/>
  <c r="J87" i="2"/>
  <c r="C82" i="2"/>
  <c r="C124" i="2" l="1"/>
  <c r="C84" i="2" l="1"/>
  <c r="C9" i="9"/>
  <c r="C68" i="6" l="1"/>
  <c r="C125"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<sst xmlns="http://schemas.openxmlformats.org/spreadsheetml/2006/main" count="685" uniqueCount="465">
  <si>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</si>
  <si>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</si>
  <si>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</si>
  <si>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</si>
  <si>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</si>
  <si>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</si>
  <si>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</si>
  <si>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</si>
  <si>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</si>
  <si>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</si>
  <si>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</si>
  <si>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</si>
  <si>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</si>
  <si>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</si>
  <si>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</si>
  <si>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</si>
  <si>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</si>
  <si>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</si>
  <si>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</si>
  <si>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</si>
  <si>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</si>
  <si>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</si>
  <si>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</si>
  <si>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</si>
  <si>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</si>
  <si>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</si>
  <si>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</si>
  <si>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</si>
  <si>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</si>
  <si>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</si>
  <si>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</si>
  <si>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</si>
  <si>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</si>
  <si>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</si>
  <si>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</si>
  <si>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</si>
  <si>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</si>
  <si>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</si>
  <si>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</si>
  <si>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</si>
  <si>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</si>
  <si>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</si>
  <si>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</si>
  <si>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</si>
  <si>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</si>
  <si>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</si>
  <si>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</si>
  <si>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</si>
  <si>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</si>
  <si>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</si>
  <si>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</si>
  <si>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</si>
  <si>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</si>
  <si>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</si>
  <si>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</si>
  <si>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</si>
  <si>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</si>
  <si>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</si>
  <si>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</si>
  <si>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</si>
  <si>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</si>
  <si>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</si>
  <si>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</si>
  <si>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</si>
  <si>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</si>
  <si>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</si>
  <si>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</si>
  <si>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</si>
  <si>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</si>
  <si>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</si>
  <si>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</si>
  <si>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</si>
  <si>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</si>
  <si>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</si>
  <si>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</si>
  <si>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</si>
  <si>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</si>
  <si>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</si>
  <si>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</si>
  <si>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</si>
  <si>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</si>
  <si>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</si>
  <si>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</si>
  <si>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</si>
  <si>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</si>
  <si>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</si>
  <si>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</si>
  <si>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</si>
  <si>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</si>
  <si>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</si>
  <si>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</si>
  <si>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</si>
  <si>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</si>
  <si>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</si>
  <si>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</si>
  <si>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</si>
  <si>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</si>
  <si>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</si>
  <si>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</si>
  <si>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</si>
  <si>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</si>
  <si>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</si>
  <si>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</si>
  <si>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</si>
  <si>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</si>
  <si>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</si>
  <si>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</si>
  <si>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</si>
  <si>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</si>
  <si>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</si>
  <si>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</si>
  <si>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</si>
  <si>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</si>
  <si>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</si>
  <si>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</si>
  <si>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</si>
  <si>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</si>
  <si>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</si>
  <si>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</si>
  <si>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</si>
  <si>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</si>
  <si>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</si>
  <si>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</si>
  <si>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</si>
  <si>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</si>
  <si>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</si>
  <si>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</si>
  <si>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</si>
  <si>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</si>
  <si>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</si>
  <si>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</si>
  <si>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</si>
  <si>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</si>
  <si>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</si>
  <si>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</si>
  <si>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</si>
  <si>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</si>
  <si>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</si>
  <si>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</si>
  <si>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</si>
  <si>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</si>
  <si>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</si>
  <si>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</si>
  <si>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</si>
  <si>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</si>
  <si>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</si>
  <si>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</si>
  <si>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</si>
  <si>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</si>
  <si>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</si>
  <si>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</si>
  <si>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</si>
  <si>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</si>
  <si>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</si>
  <si>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</si>
  <si>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</si>
  <si>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</si>
  <si>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</si>
  <si>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</si>
  <si>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</si>
  <si>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</si>
  <si>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</si>
  <si>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</si>
  <si>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</si>
  <si>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</si>
  <si>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</si>
  <si>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</si>
  <si>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</si>
  <si>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</si>
  <si>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</si>
  <si>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</si>
  <si>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</si>
  <si>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</si>
  <si>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</si>
  <si>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</si>
  <si>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</si>
  <si>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</si>
  <si>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</si>
  <si>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</si>
  <si>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</si>
  <si>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</si>
  <si>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</si>
  <si>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</si>
  <si>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</si>
  <si>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</si>
  <si>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</si>
  <si>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</si>
  <si>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</si>
  <si>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</si>
  <si>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</si>
  <si>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</si>
  <si>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</si>
  <si>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</si>
  <si>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</si>
  <si>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</si>
  <si>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</si>
  <si>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</si>
  <si>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</si>
  <si>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</si>
  <si>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</si>
  <si>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</si>
  <si>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</si>
  <si>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</si>
  <si>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</si>
  <si>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</si>
  <si>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</si>
  <si>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</si>
  <si>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</si>
  <si>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</si>
  <si>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</si>
  <si>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</si>
  <si>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</si>
  <si>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</si>
  <si>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</si>
  <si>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</si>
  <si>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</si>
  <si>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</si>
  <si>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</si>
  <si>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</si>
  <si>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</si>
  <si>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</si>
  <si>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</si>
  <si>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</si>
  <si>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</si>
  <si>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</si>
  <si>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</si>
  <si>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</si>
  <si>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</si>
  <si>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</si>
  <si>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</si>
  <si>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</si>
  <si>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</si>
  <si>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</si>
  <si>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</si>
  <si>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</si>
  <si>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</si>
  <si>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</si>
  <si>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</si>
  <si>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</si>
  <si>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</si>
  <si>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</si>
  <si>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</si>
  <si>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</si>
  <si>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</si>
  <si>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</si>
  <si>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</si>
  <si>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</si>
  <si>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</si>
  <si>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</si>
  <si>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</si>
  <si>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</si>
  <si>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</si>
  <si>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</si>
  <si>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</si>
  <si>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</si>
  <si>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</si>
  <si>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</si>
  <si>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</si>
  <si>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</si>
  <si>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</si>
  <si>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</si>
  <si>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</si>
  <si>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</si>
  <si>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</si>
  <si>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</si>
  <si>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</si>
  <si>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</si>
  <si>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</si>
  <si>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</si>
  <si>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</si>
  <si>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</si>
  <si>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</si>
  <si>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</si>
  <si>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</si>
  <si>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</si>
  <si>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</si>
  <si>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</si>
  <si>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</si>
  <si>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</si>
  <si>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</si>
  <si>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</si>
  <si>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</si>
  <si>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</si>
  <si>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</si>
  <si>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</si>
  <si>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</si>
  <si>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</si>
  <si>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</si>
  <si>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</si>
  <si>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</si>
  <si>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</si>
  <si>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</si>
  <si>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</si>
  <si>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</si>
  <si>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</si>
  <si>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</si>
  <si>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</si>
  <si>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</si>
  <si>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</si>
  <si>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</si>
  <si>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</si>
  <si>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</si>
  <si>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</si>
  <si>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</si>
  <si>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</si>
  <si>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</si>
  <si>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</si>
  <si>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</si>
  <si>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</si>
  <si>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</si>
  <si>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</si>
  <si>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</si>
  <si>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</si>
  <si>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</si>
  <si>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</si>
  <si>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</si>
  <si>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</si>
  <si>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</si>
  <si>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</si>
  <si>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</si>
  <si>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</si>
  <si>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</si>
  <si>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</si>
  <si>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</si>
  <si>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</si>
  <si>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</si>
  <si>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</si>
  <si>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</si>
  <si>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</si>
  <si>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</si>
  <si>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</si>
  <si>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</si>
  <si>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</si>
  <si>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</si>
  <si>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</si>
  <si>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</si>
  <si>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</si>
  <si>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</si>
  <si>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</si>
  <si>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</si>
  <si>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</si>
  <si>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</si>
  <si>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</si>
  <si>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</si>
  <si>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</si>
  <si>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</si>
  <si>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</si>
  <si>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</si>
  <si>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</si>
  <si>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</si>
  <si>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</si>
  <si>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</si>
  <si>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</si>
  <si>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</si>
  <si>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</si>
  <si>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</si>
  <si>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</si>
  <si>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</si>
  <si>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</si>
  <si>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</si>
  <si>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</si>
  <si>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</si>
  <si>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</si>
  <si>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</si>
  <si>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</si>
  <si>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</si>
  <si>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</si>
  <si>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</si>
  <si>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</si>
  <si>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</si>
  <si>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</si>
  <si>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</si>
  <si>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</si>
  <si>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</si>
  <si>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</si>
  <si>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</si>
  <si>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</si>
  <si>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</si>
  <si>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</si>
  <si>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</si>
  <si>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</si>
  <si>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</si>
  <si>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</si>
  <si>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</si>
  <si>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</si>
  <si>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</si>
  <si>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</si>
  <si>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</si>
  <si>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</si>
  <si>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</si>
  <si>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</si>
  <si>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</si>
  <si>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</si>
  <si>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</si>
  <si>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</si>
  <si>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</si>
  <si>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</si>
  <si>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</si>
  <si>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</si>
  <si>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</si>
  <si>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</si>
  <si>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</si>
  <si>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</si>
  <si>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</si>
  <si>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</si>
  <si>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</si>
  <si>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</si>
  <si>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</si>
  <si>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</si>
  <si>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</si>
  <si>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</si>
  <si>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</si>
  <si>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</si>
  <si>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</si>
  <si>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</si>
  <si>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</si>
  <si>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</si>
  <si>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</si>
  <si>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</si>
  <si>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</si>
  <si>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</si>
  <si>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</si>
  <si>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</si>
  <si>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</si>
  <si>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</si>
  <si>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</si>
  <si>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</si>
  <si>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</si>
  <si>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</si>
  <si>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</si>
  <si>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</si>
  <si>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</si>
  <si>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</si>
  <si>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</si>
  <si>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</si>
  <si>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</si>
  <si>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</si>
  <si>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</si>
  <si>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</si>
  <si>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</si>
  <si>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</si>
  <si>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</si>
  <si>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</si>
  <si>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</si>
  <si>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</si>
  <si>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</si>
  <si>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</si>
  <si>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</si>
  <si>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</si>
  <si>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</si>
  <si>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</si>
  <si>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</si>
  <si>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</si>
  <si>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</si>
  <si>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</si>
  <si>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Y</t>
  </si>
  <si>
    <t>SINO LAND</t>
  </si>
  <si>
    <t>0083.HK</t>
  </si>
  <si>
    <t/>
  </si>
  <si>
    <t>RES_01</t>
  </si>
  <si>
    <t>N</t>
  </si>
  <si>
    <t>DCF</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</si>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</sst>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s>
  <fonts count="59"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178"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13" fillId="0" borderId="1" xfId="0" applyNumberFormat="1" applyFont="1" applyBorder="1" applyAlignment="1">
      <alignment wrapText="1"/>
    </xf>
    <xf numFmtId="37" fontId="3" fillId="0" borderId="1" xfId="0" applyNumberFormat="1" applyFont="1" applyBorder="1"/>
    <xf numFmtId="37" fontId="10" fillId="0" borderId="1" xfId="0" applyNumberFormat="1" applyFont="1" applyBorder="1"/>
    <xf numFmtId="37" fontId="11" fillId="0" borderId="1" xfId="0" applyNumberFormat="1" applyFont="1" applyBorder="1" applyAlignment="1">
      <alignment wrapText="1"/>
    </xf>
    <xf numFmtId="37" fontId="11" fillId="0" borderId="1" xfId="0" quotePrefix="1" applyNumberFormat="1" applyFont="1" applyBorder="1" applyAlignment="1">
      <alignment wrapText="1"/>
    </xf>
    <xf numFmtId="37" fontId="11" fillId="0" borderId="1" xfId="0" applyNumberFormat="1" applyFont="1" applyBorder="1"/>
    <xf numFmtId="37" fontId="8" fillId="0" borderId="1" xfId="0" applyNumberFormat="1" applyFont="1" applyBorder="1" applyAlignment="1">
      <alignment horizontal="right"/>
    </xf>
    <xf numFmtId="37" fontId="11" fillId="0" borderId="1" xfId="0" applyNumberFormat="1" applyFont="1" applyBorder="1" applyAlignment="1">
      <alignment horizontal="right"/>
    </xf>
    <xf numFmtId="37" fontId="3" fillId="8" borderId="1" xfId="0" applyNumberFormat="1" applyFont="1" applyFill="1" applyBorder="1"/>
    <xf numFmtId="37" fontId="3" fillId="5" borderId="1" xfId="0" applyNumberFormat="1" applyFont="1" applyFill="1" applyBorder="1"/>
    <xf numFmtId="37" fontId="8" fillId="0" borderId="1" xfId="0" applyNumberFormat="1" applyFont="1" applyBorder="1"/>
    <xf numFmtId="37" fontId="13" fillId="0" borderId="1" xfId="0" applyNumberFormat="1" applyFont="1" applyBorder="1"/>
    <xf numFmtId="37" fontId="12" fillId="0" borderId="1" xfId="0" applyNumberFormat="1" applyFont="1" applyBorder="1"/>
    <xf numFmtId="37" fontId="47" fillId="0" borderId="1" xfId="0" applyNumberFormat="1" applyFont="1" applyBorder="1"/>
    <xf numFmtId="37" fontId="8" fillId="0" borderId="1" xfId="0" applyNumberFormat="1" applyFont="1" applyBorder="1" applyAlignment="1">
      <alignment horizontal="right" wrapText="1"/>
    </xf>
    <xf numFmtId="37" fontId="14" fillId="0" borderId="1" xfId="0" applyNumberFormat="1" applyFont="1" applyBorder="1" applyAlignment="1">
      <alignment horizontal="right" wrapText="1"/>
    </xf>
    <xf numFmtId="37" fontId="14" fillId="0" borderId="1" xfId="0" applyNumberFormat="1" applyFont="1" applyBorder="1" applyAlignment="1">
      <alignment horizontal="right"/>
    </xf>
    <xf numFmtId="37" fontId="7" fillId="0" borderId="1" xfId="0" applyNumberFormat="1" applyFont="1" applyBorder="1" applyAlignment="1">
      <alignment horizontal="right"/>
    </xf>
    <xf numFmtId="37" fontId="17" fillId="0" borderId="1" xfId="0" applyNumberFormat="1" applyFont="1" applyBorder="1" applyAlignment="1">
      <alignment horizontal="right"/>
    </xf>
    <xf numFmtId="37" fontId="15" fillId="0" borderId="1" xfId="0" applyNumberFormat="1" applyFont="1" applyBorder="1" applyAlignment="1">
      <alignment horizontal="right"/>
    </xf>
    <xf numFmtId="37" fontId="12" fillId="0" borderId="0" xfId="0" applyNumberFormat="1" applyFont="1"/>
    <xf numFmtId="37" fontId="24" fillId="0" borderId="0" xfId="0" applyNumberFormat="1" applyFont="1"/>
    <xf numFmtId="37" fontId="0" fillId="0" borderId="2" xfId="0" applyNumberFormat="1" applyBorder="1"/>
    <xf numFmtId="37" fontId="3" fillId="0" borderId="0" xfId="0" applyNumberFormat="1" applyFont="1" applyAlignment="1">
      <alignment horizontal="right"/>
    </xf>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Normal"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zoomScale="158" zoomScaleNormal="100" workbookViewId="0">
      <selection activeCell="C27" sqref="C27"/>
    </sheetView>
  </sheetViews>
  <sheetFormatPr baseColWidth="10" defaultColWidth="9" defaultRowHeight="12" x14ac:dyDescent="0.15"/>
  <cols>
    <col min="1" max="1" width="2.6640625" style="1" customWidth="1"/>
    <col min="2" max="2" width="32.6640625" style="1" customWidth="1"/>
    <col min="3" max="4" width="25.6640625" style="1" customWidth="1"/>
    <col min="5" max="6" width="15.6640625" style="1" customWidth="1"/>
    <col min="7" max="16384" width="9" style="1"/>
  </cols>
  <sheetData>
    <row r="1" spans="1:10" x14ac:dyDescent="0.15">
      <c r="B1" s="3" t="s">
        <v>41</v>
      </c>
      <c r="C1" s="44">
        <v>45730</v>
      </c>
      <c r="D1" s="317" t="s">
        <v>450</v>
      </c>
      <c r="E1" s="292" t="s">
        <v>354</v>
      </c>
      <c r="F1" s="254" t="s">
        <v>455</v>
      </c>
    </row>
    <row r="2" spans="1:10" ht="16" x14ac:dyDescent="0.25">
      <c r="A2" s="222" t="s">
        <v>268</v>
      </c>
      <c r="B2" s="36"/>
      <c r="C2" s="36"/>
      <c r="D2" s="36"/>
      <c r="E2" s="36"/>
      <c r="F2" s="36"/>
      <c r="G2" s="22"/>
      <c r="H2" s="22"/>
      <c r="I2" s="22"/>
      <c r="J2" s="22"/>
    </row>
    <row r="4" spans="1:10" x14ac:dyDescent="0.15">
      <c r="B4" s="45" t="s">
        <v>415</v>
      </c>
      <c r="C4" s="46"/>
      <c r="D4" s="5"/>
      <c r="E4" s="2"/>
      <c r="F4" s="2"/>
    </row>
    <row r="5" spans="1:10" ht="14" x14ac:dyDescent="0.2">
      <c r="B5" s="4" t="s">
        <v>316</v>
      </c>
      <c r="C5" s="294" t="s">
        <v>456</v>
      </c>
    </row>
    <row r="6" spans="1:10" x14ac:dyDescent="0.15">
      <c r="B6" s="4" t="s">
        <v>0</v>
      </c>
      <c r="C6" s="51">
        <v>8171879936</v>
      </c>
      <c r="E6" s="48"/>
    </row>
    <row r="7" spans="1:10" x14ac:dyDescent="0.15">
      <c r="B7" s="2" t="s">
        <v>308</v>
      </c>
      <c r="C7" s="250">
        <v>12</v>
      </c>
      <c r="D7" s="48"/>
      <c r="E7" s="48"/>
    </row>
    <row r="8" spans="1:10" x14ac:dyDescent="0.15">
      <c r="B8" s="1" t="s">
        <v>269</v>
      </c>
      <c r="C8" s="33">
        <f>EOMONTH(EDATE(BS!C1,C7+2),0)</f>
        <v>45900</v>
      </c>
      <c r="E8" s="48"/>
    </row>
    <row r="9" spans="1:10" x14ac:dyDescent="0.15">
      <c r="E9" s="34"/>
    </row>
    <row r="10" spans="1:10" x14ac:dyDescent="0.15">
      <c r="B10" s="45" t="s">
        <v>418</v>
      </c>
      <c r="C10" s="46"/>
      <c r="E10" s="34"/>
    </row>
    <row r="11" spans="1:10" x14ac:dyDescent="0.15">
      <c r="B11" s="1" t="s">
        <v>417</v>
      </c>
      <c r="C11" s="49" t="s">
        <v>457</v>
      </c>
      <c r="D11" s="49" t="s">
        <v>458</v>
      </c>
      <c r="E11" s="34"/>
    </row>
    <row r="12" spans="1:10" x14ac:dyDescent="0.15">
      <c r="B12" s="4" t="s">
        <v>95</v>
      </c>
      <c r="C12" s="50">
        <v>8.15</v>
      </c>
      <c r="D12" s="50"/>
      <c r="E12" s="48"/>
    </row>
    <row r="13" spans="1:10" x14ac:dyDescent="0.15">
      <c r="B13" s="1" t="s">
        <v>416</v>
      </c>
      <c r="C13" s="48" t="s">
        <v>397</v>
      </c>
      <c r="D13" s="48"/>
      <c r="E13" s="5"/>
    </row>
    <row r="14" spans="1:10" x14ac:dyDescent="0.15">
      <c r="B14" s="4" t="s">
        <v>420</v>
      </c>
      <c r="C14" s="35">
        <f>Thesis!C12*Common_Shares/1000000</f>
        <v>66600.821478400001</v>
      </c>
      <c r="D14" s="35" t="str">
        <f>IF(D11="","",Thesis!D12*Common_Shares/1000000)</f>
        <v/>
      </c>
      <c r="E14" s="5"/>
    </row>
    <row r="15" spans="1:10" x14ac:dyDescent="0.15">
      <c r="B15" s="4" t="s">
        <v>419</v>
      </c>
      <c r="C15" s="32" t="str">
        <f>IF(C25=C13,C13,C25&amp;"/"&amp;C13)</f>
        <v>HKD</v>
      </c>
      <c r="D15" s="32" t="str">
        <f>IF(D11="","",IF(C25=D13,D13,C25&amp;"/"&amp;D13))</f>
        <v/>
      </c>
      <c r="E15" s="5"/>
    </row>
    <row r="16" spans="1:10" x14ac:dyDescent="0.15">
      <c r="B16" s="4" t="s">
        <v>1</v>
      </c>
      <c r="C16" s="50">
        <v>1</v>
      </c>
      <c r="D16" s="50"/>
      <c r="E16" s="5"/>
    </row>
    <row r="17" spans="2:6" x14ac:dyDescent="0.15">
      <c r="D17" s="5"/>
      <c r="E17" s="5"/>
    </row>
    <row r="18" spans="2:6" ht="24.5" customHeight="1" x14ac:dyDescent="0.15">
      <c r="B18" s="348" t="s">
        <v>360</v>
      </c>
      <c r="C18" s="348"/>
      <c r="D18" s="348"/>
      <c r="E18" s="348"/>
      <c r="F18" s="348"/>
    </row>
    <row r="20" spans="2:6" x14ac:dyDescent="0.15">
      <c r="B20" s="45" t="s">
        <v>307</v>
      </c>
      <c r="C20" s="46"/>
      <c r="D20" s="5"/>
    </row>
    <row r="21" spans="2:6" x14ac:dyDescent="0.15">
      <c r="B21" s="2" t="s">
        <v>349</v>
      </c>
      <c r="C21" s="32" t="str">
        <f>IF(Scenarios!C69="Y",Scenarios!B69,"")&amp;IF(Scenarios!C70="Y",Scenarios!B70,"")&amp;IF(Scenarios!C71="Y",Scenarios!B71,"")&amp;" "&amp;IF(Scenarios!C72="Y",Scenarios!B72,"")</f>
        <v>Negative Growth Asset Play</v>
      </c>
      <c r="D21" s="1" t="s">
        <v>439</v>
      </c>
      <c r="E21" s="309" t="s">
        <v>461</v>
      </c>
    </row>
    <row r="22" spans="2:6" x14ac:dyDescent="0.15">
      <c r="B22" s="2" t="s">
        <v>56</v>
      </c>
      <c r="C22" s="48" t="s">
        <v>459</v>
      </c>
      <c r="D22" s="1" t="str">
        <f>IF(valuation_method="DDM","DDM Terminal Value","")</f>
        <v/>
      </c>
      <c r="E22" s="314"/>
    </row>
    <row r="23" spans="2:6" x14ac:dyDescent="0.15">
      <c r="B23" s="1" t="s">
        <v>434</v>
      </c>
      <c r="C23" s="262" t="s">
        <v>455</v>
      </c>
    </row>
    <row r="24" spans="2:6" x14ac:dyDescent="0.15">
      <c r="B24" s="1" t="s">
        <v>435</v>
      </c>
      <c r="C24" s="262" t="s">
        <v>460</v>
      </c>
    </row>
    <row r="25" spans="2:6" x14ac:dyDescent="0.15">
      <c r="B25" s="4" t="s">
        <v>348</v>
      </c>
      <c r="C25" s="48" t="s">
        <v>397</v>
      </c>
      <c r="D25" s="32" t="str">
        <f>IF(D11="","",Market_currency&amp;"/"&amp;D13&amp;":")</f>
        <v/>
      </c>
      <c r="E25" s="300" t="str">
        <f>IF(D11="","",1/Exchange_Rate*D16)</f>
        <v/>
      </c>
    </row>
    <row r="26" spans="2:6" x14ac:dyDescent="0.15">
      <c r="B26" s="1" t="str">
        <f>"Expected Equity Value ("&amp;C13&amp;") :"</f>
        <v>Expected Equity Value (HKD) :</v>
      </c>
      <c r="C26" s="305">
        <f>C132</f>
        <v>9.3641570609339322</v>
      </c>
      <c r="D26" s="1" t="s">
        <v>400</v>
      </c>
      <c r="E26" s="302">
        <f ca="1">Scenarios!C87</f>
        <v>0.11550570160916585</v>
      </c>
    </row>
    <row r="27" spans="2:6" x14ac:dyDescent="0.15">
      <c r="D27" s="5"/>
      <c r="E27" s="5"/>
    </row>
    <row r="28" spans="2:6" x14ac:dyDescent="0.15">
      <c r="B28" s="45" t="s">
        <v>433</v>
      </c>
      <c r="C28" s="310" t="str">
        <f>C145&amp;" ("&amp;Market_currency&amp;")"</f>
        <v>0083.HK (HKD)</v>
      </c>
      <c r="D28" s="310" t="str">
        <f>IF(D11="","",D145&amp;" ("&amp;D13&amp;")")</f>
        <v/>
      </c>
      <c r="E28" s="306" t="s">
        <v>429</v>
      </c>
      <c r="F28" s="304">
        <v>3</v>
      </c>
    </row>
    <row r="29" spans="2:6" x14ac:dyDescent="0.15">
      <c r="B29" s="1" t="s">
        <v>425</v>
      </c>
      <c r="C29" s="311">
        <f>C149</f>
        <v>4.6237469150396135</v>
      </c>
      <c r="D29" s="311" t="str">
        <f>D149</f>
        <v/>
      </c>
      <c r="E29" s="307" t="s">
        <v>424</v>
      </c>
      <c r="F29" s="303">
        <v>0.3674</v>
      </c>
    </row>
    <row r="30" spans="2:6" x14ac:dyDescent="0.15">
      <c r="B30" s="1" t="s">
        <v>426</v>
      </c>
      <c r="C30" s="312">
        <f>C157</f>
        <v>6.3792496771334868</v>
      </c>
      <c r="D30" s="312" t="str">
        <f>D157</f>
        <v/>
      </c>
      <c r="E30" s="308" t="s">
        <v>437</v>
      </c>
      <c r="F30" s="313">
        <v>0.21740000000000001</v>
      </c>
    </row>
    <row r="31" spans="2:6" x14ac:dyDescent="0.15">
      <c r="B31" s="1" t="s">
        <v>427</v>
      </c>
      <c r="C31" s="312">
        <f>C165</f>
        <v>9.0460821298724845</v>
      </c>
      <c r="D31" s="312" t="str">
        <f>D165</f>
        <v/>
      </c>
      <c r="E31" s="308" t="s">
        <v>436</v>
      </c>
      <c r="F31" s="313">
        <v>7.4999999999999997E-2</v>
      </c>
    </row>
    <row r="32" spans="2:6" x14ac:dyDescent="0.15">
      <c r="B32" s="1" t="s">
        <v>428</v>
      </c>
      <c r="C32" s="312">
        <f>C173</f>
        <v>8.1111667082917602</v>
      </c>
      <c r="D32" s="312" t="str">
        <f>D173</f>
        <v/>
      </c>
      <c r="E32" s="308" t="s">
        <v>438</v>
      </c>
      <c r="F32" s="313">
        <v>0.1174</v>
      </c>
    </row>
    <row r="33" spans="1:6" x14ac:dyDescent="0.15">
      <c r="D33" s="5"/>
      <c r="E33" s="5"/>
    </row>
    <row r="34" spans="1:6" ht="16" x14ac:dyDescent="0.25">
      <c r="A34" s="222" t="s">
        <v>355</v>
      </c>
      <c r="B34" s="36"/>
      <c r="C34" s="36"/>
      <c r="D34" s="36"/>
      <c r="E34" s="36"/>
      <c r="F34" s="36"/>
    </row>
    <row r="36" spans="1:6" ht="24.5" customHeight="1" x14ac:dyDescent="0.15">
      <c r="B36" s="348" t="s">
        <v>361</v>
      </c>
      <c r="C36" s="348"/>
      <c r="D36" s="348"/>
      <c r="E36" s="348"/>
      <c r="F36" s="348"/>
    </row>
    <row r="37" spans="1:6" ht="24.5" customHeight="1" x14ac:dyDescent="0.15">
      <c r="B37" s="351" t="s">
        <v>340</v>
      </c>
      <c r="C37" s="351"/>
      <c r="D37" s="351"/>
      <c r="E37" s="351"/>
      <c r="F37" s="351"/>
    </row>
    <row r="39" spans="1:6" x14ac:dyDescent="0.15">
      <c r="B39" s="210" t="s">
        <v>231</v>
      </c>
      <c r="C39" s="108">
        <f>scaling_factor</f>
        <v>1000000</v>
      </c>
    </row>
    <row r="40" spans="1:6" ht="24.5" customHeight="1" x14ac:dyDescent="0.15">
      <c r="B40" s="349" t="s">
        <v>232</v>
      </c>
      <c r="C40" s="349"/>
      <c r="D40" s="349"/>
      <c r="E40" s="349"/>
      <c r="F40" s="349"/>
    </row>
    <row r="41" spans="1:6" x14ac:dyDescent="0.15">
      <c r="B41" s="47" t="s">
        <v>233</v>
      </c>
      <c r="C41" s="76">
        <f>Normalized_FCF!C8</f>
        <v>2591.8202592374382</v>
      </c>
      <c r="D41" s="1" t="str">
        <f>Reporting_currency</f>
        <v>HKD</v>
      </c>
    </row>
    <row r="42" spans="1:6" x14ac:dyDescent="0.15">
      <c r="B42" s="47"/>
      <c r="C42" s="76"/>
    </row>
    <row r="43" spans="1:6" ht="24.5" customHeight="1" x14ac:dyDescent="0.15">
      <c r="B43" s="349" t="s">
        <v>234</v>
      </c>
      <c r="C43" s="349"/>
      <c r="D43" s="349"/>
      <c r="E43" s="349"/>
      <c r="F43" s="349"/>
    </row>
    <row r="44" spans="1:6" x14ac:dyDescent="0.15">
      <c r="B44" s="47" t="s">
        <v>235</v>
      </c>
      <c r="C44" s="76">
        <f>Normalized_FCF!C9</f>
        <v>159.99999999999997</v>
      </c>
      <c r="D44" s="1" t="str">
        <f>Reporting_currency</f>
        <v>HKD</v>
      </c>
    </row>
    <row r="45" spans="1:6" x14ac:dyDescent="0.15">
      <c r="B45" s="52" t="s">
        <v>236</v>
      </c>
      <c r="C45" s="76">
        <f>Normalized_FCF!C10</f>
        <v>-159.99999999999997</v>
      </c>
      <c r="D45" s="1" t="str">
        <f>Reporting_currency</f>
        <v>HKD</v>
      </c>
    </row>
    <row r="47" spans="1:6" x14ac:dyDescent="0.15">
      <c r="B47" s="349" t="s">
        <v>237</v>
      </c>
      <c r="C47" s="349"/>
      <c r="D47" s="349"/>
      <c r="E47" s="349"/>
      <c r="F47" s="349"/>
    </row>
    <row r="48" spans="1:6" x14ac:dyDescent="0.15">
      <c r="B48" s="47" t="s">
        <v>238</v>
      </c>
      <c r="C48" s="76">
        <f>Normalized_FCF!C11</f>
        <v>639</v>
      </c>
      <c r="D48" s="1" t="str">
        <f>Reporting_currency</f>
        <v>HKD</v>
      </c>
    </row>
    <row r="50" spans="2:6" x14ac:dyDescent="0.15">
      <c r="B50" s="349" t="s">
        <v>241</v>
      </c>
      <c r="C50" s="349"/>
      <c r="D50" s="349"/>
      <c r="E50" s="349"/>
      <c r="F50" s="349"/>
    </row>
    <row r="51" spans="2:6" x14ac:dyDescent="0.15">
      <c r="B51" s="47" t="s">
        <v>341</v>
      </c>
      <c r="C51" s="341">
        <f>Normalized_FCF!C48</f>
        <v>163.69305155463843</v>
      </c>
      <c r="D51" s="1" t="str">
        <f>Reporting_currency</f>
        <v>HKD</v>
      </c>
      <c r="E51" s="286"/>
      <c r="F51" s="286"/>
    </row>
    <row r="52" spans="2:6" x14ac:dyDescent="0.15">
      <c r="B52" s="47" t="s">
        <v>342</v>
      </c>
      <c r="C52" s="341">
        <f>Normalized_FCF!C47</f>
        <v>-43</v>
      </c>
      <c r="D52" s="1" t="str">
        <f>Reporting_currency</f>
        <v>HKD</v>
      </c>
      <c r="E52" s="286"/>
      <c r="F52" s="286"/>
    </row>
    <row r="53" spans="2:6" x14ac:dyDescent="0.15">
      <c r="B53" s="47" t="s">
        <v>239</v>
      </c>
      <c r="C53" s="76">
        <f>Normalized_FCF!C12</f>
        <v>120.69305155463843</v>
      </c>
      <c r="D53" s="1" t="str">
        <f>Reporting_currency</f>
        <v>HKD</v>
      </c>
    </row>
    <row r="55" spans="2:6" x14ac:dyDescent="0.15">
      <c r="B55" s="1" t="s">
        <v>247</v>
      </c>
    </row>
    <row r="56" spans="2:6" x14ac:dyDescent="0.15">
      <c r="B56" s="47" t="s">
        <v>266</v>
      </c>
      <c r="C56" s="76">
        <f>Normalized_FCF!C15</f>
        <v>-22.869707937042335</v>
      </c>
      <c r="D56" s="1" t="str">
        <f>Reporting_currency</f>
        <v>HKD</v>
      </c>
    </row>
    <row r="58" spans="2:6" x14ac:dyDescent="0.15">
      <c r="B58" s="349" t="s">
        <v>242</v>
      </c>
      <c r="C58" s="349"/>
      <c r="D58" s="349"/>
      <c r="E58" s="349"/>
      <c r="F58" s="349"/>
    </row>
    <row r="59" spans="2:6" x14ac:dyDescent="0.15">
      <c r="B59" s="47" t="s">
        <v>240</v>
      </c>
      <c r="C59" s="76">
        <f>Normalized_FCF!C14</f>
        <v>-804.36319459009837</v>
      </c>
      <c r="D59" s="1" t="str">
        <f>Reporting_currency</f>
        <v>HKD</v>
      </c>
    </row>
    <row r="61" spans="2:6" x14ac:dyDescent="0.15">
      <c r="B61" s="349" t="s">
        <v>339</v>
      </c>
      <c r="C61" s="350"/>
      <c r="D61" s="350"/>
      <c r="E61" s="350"/>
      <c r="F61" s="350"/>
    </row>
    <row r="62" spans="2:6" x14ac:dyDescent="0.15">
      <c r="B62" s="47" t="s">
        <v>243</v>
      </c>
      <c r="C62" s="76">
        <f>Normalized_FCF!C17</f>
        <v>0</v>
      </c>
      <c r="D62" s="1" t="str">
        <f>Reporting_currency</f>
        <v>HKD</v>
      </c>
    </row>
    <row r="64" spans="2:6" ht="24.5" customHeight="1" x14ac:dyDescent="0.15">
      <c r="B64" s="348" t="s">
        <v>344</v>
      </c>
      <c r="C64" s="348"/>
      <c r="D64" s="348"/>
      <c r="E64" s="348"/>
      <c r="F64" s="348"/>
    </row>
    <row r="65" spans="1:6" ht="24.5" customHeight="1" x14ac:dyDescent="0.15">
      <c r="B65" s="348" t="s">
        <v>362</v>
      </c>
      <c r="C65" s="348"/>
      <c r="D65" s="348"/>
      <c r="E65" s="348"/>
      <c r="F65" s="348"/>
    </row>
    <row r="67" spans="1:6" x14ac:dyDescent="0.15">
      <c r="B67" s="47" t="s">
        <v>271</v>
      </c>
      <c r="C67" s="76">
        <f>Normalized_FCF!G19</f>
        <v>2772.792068232593</v>
      </c>
      <c r="D67" s="1" t="str">
        <f>Reporting_currency</f>
        <v>HKD</v>
      </c>
    </row>
    <row r="68" spans="1:6" x14ac:dyDescent="0.15">
      <c r="B68" s="47" t="s">
        <v>249</v>
      </c>
      <c r="C68" s="76">
        <f>Normalized_FCF!C19</f>
        <v>2524.2804082649359</v>
      </c>
      <c r="D68" s="1" t="str">
        <f>Reporting_currency</f>
        <v>HKD</v>
      </c>
    </row>
    <row r="69" spans="1:6" x14ac:dyDescent="0.15">
      <c r="B69" s="227" t="s">
        <v>391</v>
      </c>
      <c r="C69" s="92">
        <f>Normalized_FCF!C125</f>
        <v>3.7901640734020248E-2</v>
      </c>
      <c r="F69" s="315"/>
    </row>
    <row r="70" spans="1:6" x14ac:dyDescent="0.15">
      <c r="B70" s="227" t="s">
        <v>309</v>
      </c>
      <c r="C70" s="92">
        <f>Normalized_FCF!C93</f>
        <v>7.1165644171779133E-2</v>
      </c>
      <c r="E70" s="47" t="s">
        <v>448</v>
      </c>
      <c r="F70" s="316">
        <f>Normalized_FCF!C92</f>
        <v>1.8776401969295582</v>
      </c>
    </row>
    <row r="72" spans="1:6" x14ac:dyDescent="0.15">
      <c r="B72" s="210" t="s">
        <v>451</v>
      </c>
      <c r="C72" s="345" t="s">
        <v>453</v>
      </c>
      <c r="D72" s="345" t="s">
        <v>454</v>
      </c>
    </row>
    <row r="73" spans="1:6" x14ac:dyDescent="0.15">
      <c r="B73" s="47" t="s">
        <v>452</v>
      </c>
      <c r="C73" s="92">
        <f>Normalized_FCF!C120</f>
        <v>2.0056091670558843E-2</v>
      </c>
      <c r="D73" s="92">
        <f>Normalized_FCF!G120</f>
        <v>1.9698708421745308E-2</v>
      </c>
    </row>
    <row r="74" spans="1:6" x14ac:dyDescent="0.15">
      <c r="B74" s="259" t="str">
        <f>Normalized_FCF!B117</f>
        <v>Pre-tax Profit/Sales</v>
      </c>
      <c r="C74" s="344">
        <f>Normalized_FCF!C117</f>
        <v>0.38237459335905039</v>
      </c>
      <c r="D74" s="344">
        <f>Normalized_FCF!G117</f>
        <v>0.37556098895979384</v>
      </c>
    </row>
    <row r="75" spans="1:6" x14ac:dyDescent="0.15">
      <c r="B75" s="259" t="str">
        <f>Normalized_FCF!B118</f>
        <v>Sales/Total Assets</v>
      </c>
      <c r="C75" s="344">
        <f>Normalized_FCF!C118</f>
        <v>4.8426484563194767E-2</v>
      </c>
      <c r="D75" s="344">
        <f>Normalized_FCF!G118</f>
        <v>4.8426484563194767E-2</v>
      </c>
    </row>
    <row r="76" spans="1:6" x14ac:dyDescent="0.15">
      <c r="B76" s="259" t="str">
        <f>Normalized_FCF!B119</f>
        <v>Total Assets/Equity</v>
      </c>
      <c r="C76" s="344">
        <f>Normalized_FCF!C119</f>
        <v>1.0831144117242246</v>
      </c>
      <c r="D76" s="344">
        <f>Normalized_FCF!G119</f>
        <v>1.0831144117242246</v>
      </c>
    </row>
    <row r="78" spans="1:6" ht="16" x14ac:dyDescent="0.25">
      <c r="A78" s="222" t="s">
        <v>356</v>
      </c>
      <c r="B78" s="36"/>
      <c r="C78" s="36"/>
      <c r="D78" s="36"/>
      <c r="E78" s="36"/>
      <c r="F78" s="36"/>
    </row>
    <row r="79" spans="1:6" x14ac:dyDescent="0.15">
      <c r="A79" s="209"/>
    </row>
    <row r="80" spans="1:6" ht="24.5" customHeight="1" x14ac:dyDescent="0.15">
      <c r="A80" s="17"/>
      <c r="B80" s="348" t="s">
        <v>363</v>
      </c>
      <c r="C80" s="348"/>
      <c r="D80" s="348"/>
      <c r="E80" s="348"/>
      <c r="F80" s="348"/>
    </row>
    <row r="81" spans="1:6" x14ac:dyDescent="0.15">
      <c r="B81" s="351" t="s">
        <v>253</v>
      </c>
      <c r="C81" s="351"/>
      <c r="D81" s="351"/>
      <c r="E81" s="351"/>
      <c r="F81" s="351"/>
    </row>
    <row r="83" spans="1:6" x14ac:dyDescent="0.15">
      <c r="B83" s="210" t="s">
        <v>231</v>
      </c>
    </row>
    <row r="84" spans="1:6" x14ac:dyDescent="0.15">
      <c r="B84" s="1" t="s">
        <v>431</v>
      </c>
      <c r="C84" s="92">
        <f>F31</f>
        <v>7.4999999999999997E-2</v>
      </c>
    </row>
    <row r="85" spans="1:6" x14ac:dyDescent="0.15">
      <c r="B85" s="1" t="s">
        <v>430</v>
      </c>
      <c r="C85" s="92">
        <f>IF(C23="Y",1%,0)+IF(C24="Y",1%,0)</f>
        <v>0.01</v>
      </c>
    </row>
    <row r="86" spans="1:6" x14ac:dyDescent="0.15">
      <c r="B86" s="80" t="s">
        <v>248</v>
      </c>
      <c r="C86" s="236">
        <f>F31+C85</f>
        <v>8.4999999999999992E-2</v>
      </c>
    </row>
    <row r="87" spans="1:6" x14ac:dyDescent="0.15">
      <c r="C87" s="121"/>
    </row>
    <row r="88" spans="1:6" x14ac:dyDescent="0.15">
      <c r="B88" s="293" t="s">
        <v>357</v>
      </c>
      <c r="C88" s="121"/>
    </row>
    <row r="89" spans="1:6" ht="24.5" customHeight="1" x14ac:dyDescent="0.15">
      <c r="B89" s="348" t="s">
        <v>364</v>
      </c>
      <c r="C89" s="348"/>
      <c r="D89" s="348"/>
      <c r="E89" s="348"/>
      <c r="F89" s="348"/>
    </row>
    <row r="90" spans="1:6" ht="24.5" customHeight="1" x14ac:dyDescent="0.15">
      <c r="B90" s="348" t="s">
        <v>365</v>
      </c>
      <c r="C90" s="348"/>
      <c r="D90" s="348"/>
      <c r="E90" s="348"/>
      <c r="F90" s="348"/>
    </row>
    <row r="92" spans="1:6" x14ac:dyDescent="0.15">
      <c r="B92" s="47" t="s">
        <v>252</v>
      </c>
      <c r="C92" s="236">
        <v>0</v>
      </c>
    </row>
    <row r="93" spans="1:6" x14ac:dyDescent="0.15">
      <c r="B93" s="47" t="s">
        <v>281</v>
      </c>
      <c r="C93" s="223">
        <f>DCF!C6*scaling_factor*Exchange_Rate/Common_Shares</f>
        <v>3.6340984939090002</v>
      </c>
      <c r="D93" s="1" t="str">
        <f>Market_currency</f>
        <v>HKD</v>
      </c>
    </row>
    <row r="95" spans="1:6" ht="16" x14ac:dyDescent="0.25">
      <c r="A95" s="222" t="s">
        <v>358</v>
      </c>
      <c r="B95" s="36"/>
      <c r="C95" s="36"/>
      <c r="D95" s="36"/>
      <c r="E95" s="36"/>
      <c r="F95" s="36"/>
    </row>
    <row r="96" spans="1:6" x14ac:dyDescent="0.15">
      <c r="A96" s="209"/>
    </row>
    <row r="97" spans="2:6" x14ac:dyDescent="0.15">
      <c r="B97" s="348" t="s">
        <v>366</v>
      </c>
      <c r="C97" s="348"/>
      <c r="D97" s="348"/>
      <c r="E97" s="348"/>
      <c r="F97" s="348"/>
    </row>
    <row r="98" spans="2:6" x14ac:dyDescent="0.15">
      <c r="B98" s="1" t="s">
        <v>254</v>
      </c>
    </row>
    <row r="100" spans="2:6" x14ac:dyDescent="0.15">
      <c r="B100" s="210" t="s">
        <v>231</v>
      </c>
    </row>
    <row r="101" spans="2:6" ht="24.5" customHeight="1" x14ac:dyDescent="0.15">
      <c r="B101" s="348" t="s">
        <v>345</v>
      </c>
      <c r="C101" s="348"/>
      <c r="D101" s="348"/>
      <c r="E101" s="348"/>
      <c r="F101" s="348"/>
    </row>
    <row r="102" spans="2:6" x14ac:dyDescent="0.15">
      <c r="B102" s="47" t="s">
        <v>256</v>
      </c>
      <c r="C102" s="76">
        <f>DCF!C7</f>
        <v>3093</v>
      </c>
      <c r="D102" s="1" t="str">
        <f>Reporting_currency</f>
        <v>HKD</v>
      </c>
    </row>
    <row r="103" spans="2:6" x14ac:dyDescent="0.15">
      <c r="B103" s="47" t="s">
        <v>282</v>
      </c>
      <c r="C103" s="223">
        <f>C102*scaling_factor*Exchange_Rate/Common_Shares</f>
        <v>0.37849307922088393</v>
      </c>
      <c r="D103" s="1" t="str">
        <f>Market_currency</f>
        <v>HKD</v>
      </c>
    </row>
    <row r="104" spans="2:6" x14ac:dyDescent="0.15">
      <c r="B104" s="296" t="s">
        <v>405</v>
      </c>
      <c r="C104" s="297">
        <f>BS!G31/BS!G27</f>
        <v>1.8509098960546238E-2</v>
      </c>
    </row>
    <row r="105" spans="2:6" x14ac:dyDescent="0.15">
      <c r="B105" s="296" t="s">
        <v>407</v>
      </c>
      <c r="C105" s="298">
        <f>BS!C50</f>
        <v>1.1933697905849452</v>
      </c>
    </row>
    <row r="107" spans="2:6" x14ac:dyDescent="0.15">
      <c r="B107" s="1" t="s">
        <v>255</v>
      </c>
    </row>
    <row r="108" spans="2:6" x14ac:dyDescent="0.15">
      <c r="B108" s="47" t="s">
        <v>265</v>
      </c>
      <c r="C108" s="76">
        <f>BS!C66</f>
        <v>47679</v>
      </c>
      <c r="D108" s="1" t="str">
        <f>Reporting_currency</f>
        <v>HKD</v>
      </c>
    </row>
    <row r="109" spans="2:6" x14ac:dyDescent="0.15">
      <c r="B109" s="47" t="s">
        <v>267</v>
      </c>
      <c r="C109" s="76">
        <f>DCF!C8</f>
        <v>42222.564948178719</v>
      </c>
      <c r="D109" s="1" t="str">
        <f>Reporting_currency</f>
        <v>HKD</v>
      </c>
    </row>
    <row r="110" spans="2:6" x14ac:dyDescent="0.15">
      <c r="B110" s="47" t="s">
        <v>283</v>
      </c>
      <c r="C110" s="223">
        <f>C109*scaling_factor*Exchange_Rate/Common_Shares</f>
        <v>5.1668117102618574</v>
      </c>
      <c r="D110" s="1" t="str">
        <f>Market_currency</f>
        <v>HKD</v>
      </c>
    </row>
    <row r="112" spans="2:6" x14ac:dyDescent="0.15">
      <c r="B112" s="1" t="s">
        <v>257</v>
      </c>
    </row>
    <row r="113" spans="1:6" x14ac:dyDescent="0.15">
      <c r="B113" s="47" t="s">
        <v>258</v>
      </c>
      <c r="C113" s="76">
        <f>DCF!C9</f>
        <v>7814.4</v>
      </c>
      <c r="D113" s="1" t="str">
        <f>Reporting_currency</f>
        <v>HKD</v>
      </c>
    </row>
    <row r="114" spans="1:6" x14ac:dyDescent="0.15">
      <c r="B114" s="47" t="s">
        <v>284</v>
      </c>
      <c r="C114" s="223">
        <f>C113*scaling_factor*Exchange_Rate/Common_Shares</f>
        <v>0.95625487173090062</v>
      </c>
      <c r="D114" s="1" t="str">
        <f>Market_currency</f>
        <v>HKD</v>
      </c>
    </row>
    <row r="116" spans="1:6" ht="24.5" customHeight="1" x14ac:dyDescent="0.15">
      <c r="B116" s="348" t="s">
        <v>367</v>
      </c>
      <c r="C116" s="348"/>
      <c r="D116" s="348"/>
      <c r="E116" s="348"/>
      <c r="F116" s="348"/>
    </row>
    <row r="118" spans="1:6" x14ac:dyDescent="0.15">
      <c r="B118" s="47" t="s">
        <v>449</v>
      </c>
      <c r="C118" s="223">
        <f>IF(valuation_method="DCF",DCF!C12,DDM!C7)</f>
        <v>9.3786719966808736</v>
      </c>
      <c r="D118" s="1" t="str">
        <f>Market_currency</f>
        <v>HKD</v>
      </c>
    </row>
    <row r="119" spans="1:6" x14ac:dyDescent="0.15">
      <c r="B119" s="296" t="s">
        <v>406</v>
      </c>
      <c r="C119" s="223">
        <f>BS!D47</f>
        <v>11.511512740854835</v>
      </c>
      <c r="D119" s="1" t="str">
        <f>Market_currency</f>
        <v>HKD</v>
      </c>
    </row>
    <row r="121" spans="1:6" ht="16" x14ac:dyDescent="0.25">
      <c r="A121" s="222" t="s">
        <v>359</v>
      </c>
      <c r="B121" s="36"/>
      <c r="C121" s="36"/>
      <c r="D121" s="36"/>
      <c r="E121" s="36"/>
      <c r="F121" s="36"/>
    </row>
    <row r="123" spans="1:6" ht="24.5" customHeight="1" x14ac:dyDescent="0.15">
      <c r="B123" s="349" t="s">
        <v>368</v>
      </c>
      <c r="C123" s="349"/>
      <c r="D123" s="349"/>
      <c r="E123" s="349"/>
      <c r="F123" s="349"/>
    </row>
    <row r="125" spans="1:6" ht="14" x14ac:dyDescent="0.2">
      <c r="B125" s="233" t="s">
        <v>118</v>
      </c>
      <c r="C125" s="233" t="s">
        <v>133</v>
      </c>
      <c r="D125" s="233" t="s">
        <v>113</v>
      </c>
      <c r="E125" s="233" t="s">
        <v>260</v>
      </c>
      <c r="F125" s="233" t="s">
        <v>148</v>
      </c>
    </row>
    <row r="126" spans="1:6" x14ac:dyDescent="0.15">
      <c r="B126" s="228" t="str">
        <f>DCF!B74</f>
        <v>Snowball Scenario</v>
      </c>
      <c r="C126" s="229">
        <f>DCF!C74</f>
        <v>0.05</v>
      </c>
      <c r="D126" s="230">
        <f>DCF!D74</f>
        <v>15</v>
      </c>
      <c r="E126" s="231" t="str">
        <f>ROUND(IF(valuation_method="DCF",DCF!E74,DDM!E69),2)&amp;" "&amp;Market_currency</f>
        <v>10.47 HKD</v>
      </c>
      <c r="F126" s="232">
        <f>DCF!F74</f>
        <v>0.05</v>
      </c>
    </row>
    <row r="127" spans="1:6" x14ac:dyDescent="0.15">
      <c r="B127" s="218" t="str">
        <f>DCF!B75</f>
        <v>Optimistic</v>
      </c>
      <c r="C127" s="219">
        <f>DCF!C75</f>
        <v>0.02</v>
      </c>
      <c r="D127" s="220">
        <f>DCF!D75</f>
        <v>10</v>
      </c>
      <c r="E127" s="231" t="str">
        <f>ROUND(IF(valuation_method="DCF",DCF!E75,DDM!E70),2)&amp;" "&amp;Market_currency</f>
        <v>9.62 HKD</v>
      </c>
      <c r="F127" s="221">
        <f>DCF!F75</f>
        <v>0.17999999999999994</v>
      </c>
    </row>
    <row r="128" spans="1:6" x14ac:dyDescent="0.15">
      <c r="B128" s="218" t="str">
        <f>DCF!B76</f>
        <v>Base</v>
      </c>
      <c r="C128" s="219">
        <f>DCF!C76</f>
        <v>0</v>
      </c>
      <c r="D128" s="220">
        <f>DCF!D76</f>
        <v>10</v>
      </c>
      <c r="E128" s="231" t="str">
        <f>ROUND(IF(valuation_method="DCF",DCF!E76,DDM!E71),2)&amp;" "&amp;Market_currency</f>
        <v>9.38 HKD</v>
      </c>
      <c r="F128" s="221">
        <f>DCF!F76</f>
        <v>0.495</v>
      </c>
    </row>
    <row r="129" spans="1:6" x14ac:dyDescent="0.15">
      <c r="B129" s="218" t="str">
        <f>DCF!B77</f>
        <v>Pessimistic</v>
      </c>
      <c r="C129" s="219">
        <f>DCF!C77</f>
        <v>-0.02</v>
      </c>
      <c r="D129" s="220">
        <f>DCF!D77</f>
        <v>10</v>
      </c>
      <c r="E129" s="231" t="str">
        <f>ROUND(IF(valuation_method="DCF",DCF!E77,DDM!E72),2)&amp;" "&amp;Market_currency</f>
        <v>9.16 HKD</v>
      </c>
      <c r="F129" s="221">
        <f>DCF!F77</f>
        <v>0.22499999999999998</v>
      </c>
    </row>
    <row r="130" spans="1:6" x14ac:dyDescent="0.15">
      <c r="B130" s="218" t="str">
        <f>DCF!B78</f>
        <v>Devil's advocate</v>
      </c>
      <c r="C130" s="219">
        <f>DCF!C78</f>
        <v>-0.1</v>
      </c>
      <c r="D130" s="220">
        <f>DCF!D78</f>
        <v>15</v>
      </c>
      <c r="E130" s="231" t="str">
        <f>ROUND(IF(valuation_method="DCF",DCF!E78,DDM!E73),2)&amp;" "&amp;Market_currency</f>
        <v>8.12 HKD</v>
      </c>
      <c r="F130" s="221">
        <f>DCF!F78</f>
        <v>0.05</v>
      </c>
    </row>
    <row r="132" spans="1:6" x14ac:dyDescent="0.15">
      <c r="B132" s="211" t="s">
        <v>259</v>
      </c>
      <c r="C132" s="217">
        <f>Scenarios!C60</f>
        <v>9.3641570609339322</v>
      </c>
      <c r="D132" s="212" t="str">
        <f>Market_currency</f>
        <v>HKD</v>
      </c>
    </row>
    <row r="134" spans="1:6" ht="24.5" customHeight="1" x14ac:dyDescent="0.15">
      <c r="B134" s="352" t="s">
        <v>371</v>
      </c>
      <c r="C134" s="352"/>
      <c r="D134" s="352"/>
      <c r="E134" s="352"/>
      <c r="F134" s="352"/>
    </row>
    <row r="136" spans="1:6" ht="16" x14ac:dyDescent="0.25">
      <c r="A136" s="222" t="s">
        <v>403</v>
      </c>
      <c r="B136" s="36"/>
      <c r="C136" s="36"/>
      <c r="D136" s="36"/>
      <c r="E136" s="36"/>
      <c r="F136" s="36"/>
    </row>
    <row r="138" spans="1:6" x14ac:dyDescent="0.15">
      <c r="B138" s="353" t="s">
        <v>369</v>
      </c>
      <c r="C138" s="353"/>
      <c r="D138" s="353"/>
      <c r="E138" s="353"/>
      <c r="F138" s="353"/>
    </row>
    <row r="139" spans="1:6" ht="24.5" customHeight="1" x14ac:dyDescent="0.15">
      <c r="B139" s="348" t="s">
        <v>370</v>
      </c>
      <c r="C139" s="348"/>
      <c r="D139" s="348"/>
      <c r="E139" s="348"/>
      <c r="F139" s="348"/>
    </row>
    <row r="140" spans="1:6" x14ac:dyDescent="0.15">
      <c r="B140" s="210" t="s">
        <v>231</v>
      </c>
    </row>
    <row r="141" spans="1:6" x14ac:dyDescent="0.15">
      <c r="B141" s="1" t="s">
        <v>264</v>
      </c>
      <c r="C141" s="225">
        <f>F28</f>
        <v>3</v>
      </c>
    </row>
    <row r="142" spans="1:6" x14ac:dyDescent="0.15">
      <c r="B142" s="1" t="s">
        <v>277</v>
      </c>
      <c r="C142" s="224">
        <f>F29</f>
        <v>0.3674</v>
      </c>
    </row>
    <row r="143" spans="1:6" x14ac:dyDescent="0.15">
      <c r="B143" s="212" t="s">
        <v>262</v>
      </c>
      <c r="C143" s="213">
        <f>Scenarios!C77</f>
        <v>0.57999999999999996</v>
      </c>
      <c r="D143" s="212" t="str">
        <f>Market_currency</f>
        <v>HKD</v>
      </c>
    </row>
    <row r="145" spans="2:4" x14ac:dyDescent="0.15">
      <c r="B145" s="210" t="s">
        <v>409</v>
      </c>
      <c r="C145" s="241" t="str">
        <f>C11</f>
        <v>0083.HK</v>
      </c>
      <c r="D145" s="241" t="str">
        <f>IF(D11="","",D11)</f>
        <v/>
      </c>
    </row>
    <row r="146" spans="2:4" x14ac:dyDescent="0.15">
      <c r="B146" s="1" t="s">
        <v>408</v>
      </c>
      <c r="C146" s="297">
        <f>F29</f>
        <v>0.3674</v>
      </c>
    </row>
    <row r="147" spans="2:4" x14ac:dyDescent="0.15">
      <c r="B147" s="212" t="str">
        <f>"PV("&amp;C141&amp;" yrs of Dividends)"</f>
        <v>PV(3 yrs of Dividends)</v>
      </c>
      <c r="C147" s="216">
        <f>Scenarios!C81</f>
        <v>0.96121040523161805</v>
      </c>
    </row>
    <row r="148" spans="2:4" x14ac:dyDescent="0.15">
      <c r="B148" s="212" t="str">
        <f>"+ PV(Equity Value realized at year "&amp;C141&amp;")"</f>
        <v>+ PV(Equity Value realized at year 3)</v>
      </c>
      <c r="C148" s="216">
        <f>Scenarios!C82</f>
        <v>3.6625365098079956</v>
      </c>
    </row>
    <row r="149" spans="2:4" x14ac:dyDescent="0.15">
      <c r="B149" s="80" t="s">
        <v>261</v>
      </c>
      <c r="C149" s="215">
        <f>Scenarios!C83</f>
        <v>4.6237469150396135</v>
      </c>
      <c r="D149" s="301" t="str">
        <f>IF($D$11="","",C149*$E$25)</f>
        <v/>
      </c>
    </row>
    <row r="150" spans="2:4" x14ac:dyDescent="0.15">
      <c r="B150" s="259" t="s">
        <v>416</v>
      </c>
      <c r="C150" s="299" t="str">
        <f>Market_currency</f>
        <v>HKD</v>
      </c>
      <c r="D150" s="299" t="str">
        <f>IF($D$11="","",D$13)</f>
        <v/>
      </c>
    </row>
    <row r="151" spans="2:4" x14ac:dyDescent="0.15">
      <c r="B151" s="214" t="s">
        <v>263</v>
      </c>
      <c r="C151" s="92">
        <f>Scenarios!F83</f>
        <v>0.5062292435985194</v>
      </c>
    </row>
    <row r="153" spans="2:4" x14ac:dyDescent="0.15">
      <c r="B153" s="210" t="s">
        <v>412</v>
      </c>
    </row>
    <row r="154" spans="2:4" x14ac:dyDescent="0.15">
      <c r="B154" s="1" t="s">
        <v>411</v>
      </c>
      <c r="C154" s="297">
        <f>Scenarios!C90</f>
        <v>0.21740000000000001</v>
      </c>
    </row>
    <row r="155" spans="2:4" x14ac:dyDescent="0.15">
      <c r="B155" s="212" t="str">
        <f>"PV("&amp;C141&amp;" yrs of Dividends)"</f>
        <v>PV(3 yrs of Dividends)</v>
      </c>
      <c r="C155" s="216">
        <f>Scenarios!C91</f>
        <v>1.1892324778416632</v>
      </c>
    </row>
    <row r="156" spans="2:4" x14ac:dyDescent="0.15">
      <c r="B156" s="212" t="str">
        <f>"+ PV(Equity Value realized at year "&amp;C141&amp;")"</f>
        <v>+ PV(Equity Value realized at year 3)</v>
      </c>
      <c r="C156" s="216">
        <f>Scenarios!C92</f>
        <v>5.1900171992918231</v>
      </c>
    </row>
    <row r="157" spans="2:4" x14ac:dyDescent="0.15">
      <c r="B157" s="80" t="s">
        <v>261</v>
      </c>
      <c r="C157" s="215">
        <f>Scenarios!C93</f>
        <v>6.3792496771334868</v>
      </c>
      <c r="D157" s="301" t="str">
        <f>IF($D$11="","",C157*$E$25)</f>
        <v/>
      </c>
    </row>
    <row r="158" spans="2:4" x14ac:dyDescent="0.15">
      <c r="B158" s="259" t="s">
        <v>416</v>
      </c>
      <c r="C158" s="299" t="str">
        <f>Market_currency</f>
        <v>HKD</v>
      </c>
      <c r="D158" s="299" t="str">
        <f>IF($D$11="","",D$13)</f>
        <v/>
      </c>
    </row>
    <row r="159" spans="2:4" x14ac:dyDescent="0.15">
      <c r="B159" s="214" t="s">
        <v>263</v>
      </c>
      <c r="C159" s="92">
        <f>Scenarios!F93</f>
        <v>0.31875879103449667</v>
      </c>
    </row>
    <row r="161" spans="2:4" x14ac:dyDescent="0.15">
      <c r="B161" s="210" t="s">
        <v>401</v>
      </c>
    </row>
    <row r="162" spans="2:4" x14ac:dyDescent="0.15">
      <c r="B162" s="1" t="s">
        <v>410</v>
      </c>
      <c r="C162" s="92">
        <f>Scenarios!C96</f>
        <v>7.4999999999999997E-2</v>
      </c>
    </row>
    <row r="163" spans="2:4" x14ac:dyDescent="0.15">
      <c r="B163" s="212" t="str">
        <f>"PV("&amp;C141&amp;" yrs of Dividends)"</f>
        <v>PV(3 yrs of Dividends)</v>
      </c>
      <c r="C163" s="216">
        <f>Scenarios!C97</f>
        <v>1.5083049291257364</v>
      </c>
    </row>
    <row r="164" spans="2:4" x14ac:dyDescent="0.15">
      <c r="B164" s="212" t="str">
        <f>"+ PV(Equity Value realized at year "&amp;C141&amp;")"</f>
        <v>+ PV(Equity Value realized at year 3)</v>
      </c>
      <c r="C164" s="216">
        <f>Scenarios!C98</f>
        <v>7.5377772007467483</v>
      </c>
    </row>
    <row r="165" spans="2:4" x14ac:dyDescent="0.15">
      <c r="B165" s="80" t="s">
        <v>402</v>
      </c>
      <c r="C165" s="215">
        <f>Scenarios!C99</f>
        <v>9.0460821298724845</v>
      </c>
      <c r="D165" s="301" t="str">
        <f>IF($D$11="","",C165*$E$25)</f>
        <v/>
      </c>
    </row>
    <row r="166" spans="2:4" x14ac:dyDescent="0.15">
      <c r="B166" s="259" t="s">
        <v>416</v>
      </c>
      <c r="C166" s="299" t="str">
        <f>Market_currency</f>
        <v>HKD</v>
      </c>
      <c r="D166" s="299" t="str">
        <f>IF($D$11="","",D$13)</f>
        <v/>
      </c>
    </row>
    <row r="167" spans="2:4" x14ac:dyDescent="0.15">
      <c r="B167" s="214" t="s">
        <v>263</v>
      </c>
      <c r="C167" s="92">
        <f>Scenarios!F99</f>
        <v>3.3967278527227585E-2</v>
      </c>
    </row>
    <row r="169" spans="2:4" x14ac:dyDescent="0.15">
      <c r="B169" s="210" t="s">
        <v>432</v>
      </c>
    </row>
    <row r="170" spans="2:4" x14ac:dyDescent="0.15">
      <c r="B170" s="1" t="s">
        <v>423</v>
      </c>
      <c r="C170" s="92">
        <f>F32</f>
        <v>0.1174</v>
      </c>
    </row>
    <row r="171" spans="2:4" x14ac:dyDescent="0.15">
      <c r="B171" s="212" t="str">
        <f>"PV("&amp;C141&amp;" yrs of Dividends)"</f>
        <v>PV(3 yrs of Dividends)</v>
      </c>
      <c r="C171" s="216">
        <f>Scenarios!C103</f>
        <v>1.3993098130444164</v>
      </c>
    </row>
    <row r="172" spans="2:4" x14ac:dyDescent="0.15">
      <c r="B172" s="212" t="str">
        <f>"+ PV(Equity Value realized at year "&amp;C141&amp;")"</f>
        <v>+ PV(Equity Value realized at year 3)</v>
      </c>
      <c r="C172" s="216">
        <f>Scenarios!C104</f>
        <v>6.7118568952473439</v>
      </c>
    </row>
    <row r="173" spans="2:4" x14ac:dyDescent="0.15">
      <c r="B173" s="80" t="s">
        <v>402</v>
      </c>
      <c r="C173" s="215">
        <f>Scenarios!C105</f>
        <v>8.1111667082917602</v>
      </c>
      <c r="D173" s="301" t="str">
        <f>IF($D$11="","",C173*$E$25)</f>
        <v/>
      </c>
    </row>
    <row r="174" spans="2:4" x14ac:dyDescent="0.15">
      <c r="B174" s="259" t="s">
        <v>416</v>
      </c>
      <c r="C174" s="299" t="str">
        <f>Market_currency</f>
        <v>HKD</v>
      </c>
      <c r="D174" s="299" t="str">
        <f>IF($D$11="","",D$13)</f>
        <v/>
      </c>
    </row>
    <row r="175" spans="2:4" x14ac:dyDescent="0.15">
      <c r="B175" s="214" t="s">
        <v>263</v>
      </c>
      <c r="C175" s="92">
        <f>Scenarios!F105</f>
        <v>0.13353757665774979</v>
      </c>
    </row>
    <row r="177" spans="1:6" ht="16" x14ac:dyDescent="0.25">
      <c r="A177" s="222" t="s">
        <v>375</v>
      </c>
      <c r="B177" s="36"/>
      <c r="C177" s="36"/>
      <c r="D177" s="36"/>
      <c r="E177" s="36"/>
      <c r="F177" s="36"/>
    </row>
    <row r="179" spans="1:6" x14ac:dyDescent="0.15">
      <c r="B179" s="347" t="s">
        <v>377</v>
      </c>
      <c r="C179" s="348"/>
      <c r="D179" s="348"/>
      <c r="E179" s="348"/>
      <c r="F179" s="348"/>
    </row>
    <row r="181" spans="1:6" x14ac:dyDescent="0.15">
      <c r="B181" s="210" t="s">
        <v>376</v>
      </c>
    </row>
    <row r="182" spans="1:6" x14ac:dyDescent="0.15">
      <c r="B182" s="350" t="s">
        <v>381</v>
      </c>
      <c r="C182" s="350"/>
      <c r="D182" s="350"/>
      <c r="E182" s="350"/>
      <c r="F182" s="350"/>
    </row>
    <row r="183" spans="1:6" x14ac:dyDescent="0.15">
      <c r="B183" s="214" t="s">
        <v>378</v>
      </c>
    </row>
    <row r="184" spans="1:6" x14ac:dyDescent="0.15">
      <c r="B184" s="214" t="s">
        <v>379</v>
      </c>
    </row>
    <row r="185" spans="1:6" x14ac:dyDescent="0.15">
      <c r="B185" s="214" t="s">
        <v>380</v>
      </c>
    </row>
    <row r="187" spans="1:6" x14ac:dyDescent="0.15">
      <c r="B187" s="1" t="s">
        <v>385</v>
      </c>
    </row>
    <row r="188" spans="1:6" ht="46.5" customHeight="1" x14ac:dyDescent="0.15">
      <c r="B188" s="349" t="s">
        <v>382</v>
      </c>
      <c r="C188" s="349"/>
      <c r="D188" s="349"/>
      <c r="E188" s="349"/>
      <c r="F188" s="349"/>
    </row>
    <row r="190" spans="1:6" x14ac:dyDescent="0.15">
      <c r="B190" s="1" t="s">
        <v>386</v>
      </c>
    </row>
    <row r="191" spans="1:6" ht="24.5" customHeight="1" x14ac:dyDescent="0.15">
      <c r="B191" s="346" t="s">
        <v>383</v>
      </c>
      <c r="C191" s="346"/>
      <c r="D191" s="346"/>
      <c r="E191" s="346"/>
      <c r="F191" s="346"/>
    </row>
    <row r="192" spans="1:6" ht="24.5" customHeight="1" x14ac:dyDescent="0.15">
      <c r="B192" s="346" t="s">
        <v>384</v>
      </c>
      <c r="C192" s="346"/>
      <c r="D192" s="346"/>
      <c r="E192" s="346"/>
      <c r="F192" s="346"/>
    </row>
    <row r="194" spans="2:2" x14ac:dyDescent="0.15">
      <c r="B194" s="1" t="s">
        <v>390</v>
      </c>
    </row>
    <row r="195" spans="2:2" x14ac:dyDescent="0.15">
      <c r="B195" s="214" t="s">
        <v>387</v>
      </c>
    </row>
    <row r="196" spans="2:2" x14ac:dyDescent="0.15">
      <c r="B196" s="214" t="s">
        <v>388</v>
      </c>
    </row>
    <row r="197" spans="2:2" x14ac:dyDescent="0.15">
      <c r="B197" s="214" t="s">
        <v>389</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9" sqref="D9"/>
    </sheetView>
  </sheetViews>
  <sheetFormatPr baseColWidth="10" defaultColWidth="8.83203125" defaultRowHeight="12" x14ac:dyDescent="0.15"/>
  <cols>
    <col min="1" max="1" width="3" style="1" customWidth="1"/>
    <col min="2" max="2" width="27.33203125" style="1" customWidth="1"/>
    <col min="3" max="13" width="20.6640625" style="1" customWidth="1"/>
    <col min="14" max="16384" width="8.83203125" style="1"/>
  </cols>
  <sheetData>
    <row r="1" spans="2:13" x14ac:dyDescent="0.15">
      <c r="B1" s="90" t="str">
        <f>Thesis!C25</f>
        <v>HKD</v>
      </c>
      <c r="C1" s="104">
        <v>45473</v>
      </c>
      <c r="D1" s="38">
        <f>EOMONTH(EDATE(C1,-12),0)</f>
        <v>45107</v>
      </c>
      <c r="E1" s="38">
        <f t="shared" ref="E1:M1" si="0">EOMONTH(EDATE(D1,-12),0)</f>
        <v>44742</v>
      </c>
      <c r="F1" s="38">
        <f t="shared" si="0"/>
        <v>44377</v>
      </c>
      <c r="G1" s="38">
        <f t="shared" si="0"/>
        <v>44012</v>
      </c>
      <c r="H1" s="38">
        <f t="shared" si="0"/>
        <v>43646</v>
      </c>
      <c r="I1" s="38">
        <f t="shared" si="0"/>
        <v>43281</v>
      </c>
      <c r="J1" s="38">
        <f t="shared" si="0"/>
        <v>42916</v>
      </c>
      <c r="K1" s="38">
        <f t="shared" si="0"/>
        <v>42551</v>
      </c>
      <c r="L1" s="38">
        <f t="shared" si="0"/>
        <v>42185</v>
      </c>
      <c r="M1" s="38">
        <f t="shared" si="0"/>
        <v>41820</v>
      </c>
    </row>
    <row r="2" spans="2:13" ht="16" x14ac:dyDescent="0.25">
      <c r="B2" s="36" t="s">
        <v>98</v>
      </c>
      <c r="C2" s="37"/>
      <c r="D2" s="37"/>
      <c r="E2" s="37"/>
      <c r="F2" s="37"/>
      <c r="G2" s="37"/>
      <c r="H2" s="37"/>
      <c r="I2" s="37"/>
      <c r="J2" s="37"/>
      <c r="K2" s="37"/>
      <c r="L2" s="37"/>
      <c r="M2" s="37"/>
    </row>
    <row r="3" spans="2:13" x14ac:dyDescent="0.15">
      <c r="B3" s="16" t="s">
        <v>27</v>
      </c>
      <c r="C3" s="106">
        <v>1000000</v>
      </c>
    </row>
    <row r="4" spans="2:13" x14ac:dyDescent="0.15">
      <c r="B4" s="32" t="s">
        <v>2</v>
      </c>
      <c r="C4" s="335">
        <v>8765</v>
      </c>
      <c r="D4" s="335">
        <v>11881</v>
      </c>
      <c r="E4" s="335">
        <v>15650.563377</v>
      </c>
      <c r="F4" s="335">
        <v>24433.371759000001</v>
      </c>
      <c r="G4" s="335">
        <v>5887</v>
      </c>
      <c r="H4" s="335"/>
      <c r="I4" s="335"/>
      <c r="J4" s="335"/>
      <c r="K4" s="335"/>
      <c r="L4" s="335"/>
      <c r="M4" s="335"/>
    </row>
    <row r="5" spans="2:13" x14ac:dyDescent="0.15">
      <c r="B5" s="40" t="s">
        <v>43</v>
      </c>
      <c r="C5" s="335">
        <v>5344</v>
      </c>
      <c r="D5" s="335">
        <v>6492</v>
      </c>
      <c r="E5" s="335">
        <v>7482.8818240000001</v>
      </c>
      <c r="F5" s="335">
        <v>11196.89644</v>
      </c>
      <c r="G5" s="335">
        <v>2437</v>
      </c>
      <c r="H5" s="335"/>
      <c r="I5" s="335"/>
      <c r="J5" s="335"/>
      <c r="K5" s="335"/>
      <c r="L5" s="335"/>
      <c r="M5" s="335"/>
    </row>
    <row r="6" spans="2:13" x14ac:dyDescent="0.15">
      <c r="B6" s="40" t="s">
        <v>54</v>
      </c>
      <c r="C6" s="335">
        <v>1084</v>
      </c>
      <c r="D6" s="335">
        <v>1129</v>
      </c>
      <c r="E6" s="335">
        <v>867.48327900000004</v>
      </c>
      <c r="F6" s="335">
        <v>823.28128300000003</v>
      </c>
      <c r="G6" s="335"/>
      <c r="H6" s="335"/>
      <c r="I6" s="335"/>
      <c r="J6" s="335"/>
      <c r="K6" s="335"/>
      <c r="L6" s="335"/>
      <c r="M6" s="335"/>
    </row>
    <row r="7" spans="2:13" x14ac:dyDescent="0.15">
      <c r="B7" s="69" t="s">
        <v>61</v>
      </c>
      <c r="C7" s="336"/>
      <c r="D7" s="336"/>
      <c r="E7" s="336"/>
      <c r="F7" s="336"/>
      <c r="G7" s="336"/>
      <c r="H7" s="336"/>
      <c r="I7" s="336"/>
      <c r="J7" s="336"/>
      <c r="K7" s="336"/>
      <c r="L7" s="336"/>
      <c r="M7" s="336"/>
    </row>
    <row r="8" spans="2:13" x14ac:dyDescent="0.15">
      <c r="B8" s="40" t="s">
        <v>49</v>
      </c>
      <c r="C8" s="335"/>
      <c r="D8" s="335"/>
      <c r="E8" s="335"/>
      <c r="F8" s="335"/>
      <c r="G8" s="335"/>
      <c r="H8" s="335"/>
      <c r="I8" s="335"/>
      <c r="J8" s="335"/>
      <c r="K8" s="335"/>
      <c r="L8" s="335"/>
      <c r="M8" s="335"/>
    </row>
    <row r="9" spans="2:13" x14ac:dyDescent="0.15">
      <c r="B9" s="40" t="s">
        <v>160</v>
      </c>
      <c r="C9" s="335">
        <v>639</v>
      </c>
      <c r="D9" s="335">
        <v>927</v>
      </c>
      <c r="E9" s="335"/>
      <c r="F9" s="335"/>
      <c r="G9" s="335"/>
      <c r="H9" s="335"/>
      <c r="I9" s="335"/>
      <c r="J9" s="335"/>
      <c r="K9" s="335"/>
      <c r="L9" s="335"/>
      <c r="M9" s="335"/>
    </row>
    <row r="10" spans="2:13" x14ac:dyDescent="0.15">
      <c r="B10" s="40" t="s">
        <v>168</v>
      </c>
      <c r="C10" s="335"/>
      <c r="D10" s="335"/>
      <c r="E10" s="335"/>
      <c r="F10" s="335"/>
      <c r="G10" s="335"/>
      <c r="H10" s="335"/>
      <c r="I10" s="335"/>
      <c r="J10" s="335"/>
      <c r="K10" s="335"/>
      <c r="L10" s="335"/>
      <c r="M10" s="335"/>
    </row>
    <row r="11" spans="2:13" x14ac:dyDescent="0.15">
      <c r="B11" s="40" t="s">
        <v>159</v>
      </c>
      <c r="C11" s="335"/>
      <c r="D11" s="335"/>
      <c r="E11" s="335"/>
      <c r="F11" s="335"/>
      <c r="G11" s="335"/>
      <c r="H11" s="335"/>
      <c r="I11" s="335"/>
      <c r="J11" s="335"/>
      <c r="K11" s="335"/>
      <c r="L11" s="335"/>
      <c r="M11" s="335"/>
    </row>
    <row r="12" spans="2:13" x14ac:dyDescent="0.15">
      <c r="B12" s="40" t="s">
        <v>39</v>
      </c>
      <c r="C12" s="335">
        <v>43</v>
      </c>
      <c r="D12" s="335">
        <v>40.775368</v>
      </c>
      <c r="E12" s="335">
        <v>49.197794000000002</v>
      </c>
      <c r="F12" s="335">
        <v>81.763175000000004</v>
      </c>
      <c r="G12" s="335"/>
      <c r="H12" s="335"/>
      <c r="I12" s="335"/>
      <c r="J12" s="335"/>
      <c r="K12" s="335"/>
      <c r="L12" s="335"/>
      <c r="M12" s="335"/>
    </row>
    <row r="13" spans="2:13" x14ac:dyDescent="0.15">
      <c r="B13" s="40" t="s">
        <v>67</v>
      </c>
      <c r="C13" s="335">
        <v>2340</v>
      </c>
      <c r="D13" s="335">
        <v>1390.845307</v>
      </c>
      <c r="E13" s="335">
        <v>337.25969199999997</v>
      </c>
      <c r="F13" s="335">
        <v>572.18514300000004</v>
      </c>
      <c r="G13" s="335"/>
      <c r="H13" s="335"/>
      <c r="I13" s="335"/>
      <c r="J13" s="335"/>
      <c r="K13" s="335"/>
      <c r="L13" s="335"/>
      <c r="M13" s="335"/>
    </row>
    <row r="14" spans="2:13" x14ac:dyDescent="0.15">
      <c r="B14" s="40" t="s">
        <v>50</v>
      </c>
      <c r="C14" s="335">
        <v>519</v>
      </c>
      <c r="D14" s="335">
        <v>860.83482800000002</v>
      </c>
      <c r="E14" s="335">
        <v>1349.107495</v>
      </c>
      <c r="F14" s="335">
        <v>2530.7695309999999</v>
      </c>
      <c r="G14" s="335"/>
      <c r="H14" s="335"/>
      <c r="I14" s="335"/>
      <c r="J14" s="335"/>
      <c r="K14" s="335"/>
      <c r="L14" s="335"/>
      <c r="M14" s="335"/>
    </row>
    <row r="15" spans="2:13" x14ac:dyDescent="0.15">
      <c r="B15" s="43" t="s">
        <v>42</v>
      </c>
      <c r="C15" s="337">
        <v>4251</v>
      </c>
      <c r="D15" s="337">
        <v>5880</v>
      </c>
      <c r="E15" s="337">
        <v>5735.3965490000001</v>
      </c>
      <c r="F15" s="337">
        <v>9646.0369900000005</v>
      </c>
      <c r="G15" s="337"/>
      <c r="H15" s="337"/>
      <c r="I15" s="337"/>
      <c r="J15" s="337"/>
      <c r="K15" s="337"/>
      <c r="L15" s="337"/>
      <c r="M15" s="337"/>
    </row>
    <row r="16" spans="2:13" x14ac:dyDescent="0.15">
      <c r="B16" s="28" t="s">
        <v>44</v>
      </c>
      <c r="C16" s="335">
        <v>-151</v>
      </c>
      <c r="D16" s="335">
        <v>31</v>
      </c>
      <c r="E16" s="335"/>
      <c r="F16" s="335"/>
      <c r="G16" s="335"/>
      <c r="H16" s="335"/>
      <c r="I16" s="335"/>
      <c r="J16" s="335"/>
      <c r="K16" s="335"/>
      <c r="L16" s="335"/>
      <c r="M16" s="335"/>
    </row>
    <row r="18" spans="2:13" x14ac:dyDescent="0.15">
      <c r="B18" s="16" t="s">
        <v>51</v>
      </c>
      <c r="C18" s="9"/>
    </row>
    <row r="19" spans="2:13" ht="13" x14ac:dyDescent="0.15">
      <c r="B19" s="27" t="s">
        <v>47</v>
      </c>
      <c r="C19" s="335">
        <v>160</v>
      </c>
      <c r="D19" s="335">
        <v>198</v>
      </c>
      <c r="E19" s="335">
        <v>181.018</v>
      </c>
      <c r="F19" s="335">
        <v>186.14699999999999</v>
      </c>
      <c r="G19" s="335"/>
      <c r="H19" s="335"/>
      <c r="I19" s="335"/>
      <c r="J19" s="335"/>
      <c r="K19" s="335"/>
      <c r="L19" s="335"/>
      <c r="M19" s="335"/>
    </row>
    <row r="20" spans="2:13" ht="13" x14ac:dyDescent="0.15">
      <c r="B20" s="27" t="s">
        <v>53</v>
      </c>
      <c r="C20" s="335">
        <v>69</v>
      </c>
      <c r="D20" s="335">
        <v>108</v>
      </c>
      <c r="E20" s="335"/>
      <c r="F20" s="335"/>
      <c r="G20" s="335"/>
      <c r="H20" s="335"/>
      <c r="I20" s="335"/>
      <c r="J20" s="335"/>
      <c r="K20" s="335"/>
      <c r="L20" s="335"/>
      <c r="M20" s="335"/>
    </row>
    <row r="21" spans="2:13" ht="13" x14ac:dyDescent="0.15">
      <c r="B21" s="27" t="s">
        <v>52</v>
      </c>
      <c r="C21" s="335">
        <v>910</v>
      </c>
      <c r="D21" s="335">
        <v>2541</v>
      </c>
      <c r="E21" s="335"/>
      <c r="F21" s="335"/>
      <c r="G21" s="335"/>
      <c r="H21" s="335"/>
      <c r="I21" s="335"/>
      <c r="J21" s="335"/>
      <c r="K21" s="335"/>
      <c r="L21" s="335"/>
      <c r="M21" s="335"/>
    </row>
    <row r="22" spans="2:13" ht="13" x14ac:dyDescent="0.15">
      <c r="B22" s="27" t="s">
        <v>372</v>
      </c>
      <c r="C22" s="335"/>
      <c r="D22" s="335"/>
      <c r="E22" s="335"/>
      <c r="F22" s="335"/>
      <c r="G22" s="335"/>
      <c r="H22" s="335"/>
      <c r="I22" s="335"/>
      <c r="J22" s="335"/>
      <c r="K22" s="335"/>
      <c r="L22" s="335"/>
      <c r="M22" s="335"/>
    </row>
    <row r="23" spans="2:13" ht="13" x14ac:dyDescent="0.15">
      <c r="B23" s="27" t="s">
        <v>374</v>
      </c>
      <c r="C23" s="335"/>
      <c r="D23" s="335"/>
      <c r="E23" s="335"/>
      <c r="F23" s="335"/>
      <c r="G23" s="335"/>
      <c r="H23" s="335"/>
      <c r="I23" s="335"/>
      <c r="J23" s="335"/>
      <c r="K23" s="335"/>
      <c r="L23" s="335"/>
      <c r="M23" s="335"/>
    </row>
    <row r="24" spans="2:13" ht="13" x14ac:dyDescent="0.15">
      <c r="B24" s="27" t="s">
        <v>373</v>
      </c>
      <c r="C24" s="335"/>
      <c r="D24" s="335"/>
      <c r="E24" s="335"/>
      <c r="F24" s="335"/>
      <c r="G24" s="335"/>
      <c r="H24" s="335"/>
      <c r="I24" s="335"/>
      <c r="J24" s="335"/>
      <c r="K24" s="335"/>
      <c r="L24" s="335"/>
      <c r="M24" s="335"/>
    </row>
    <row r="25" spans="2:13" x14ac:dyDescent="0.15">
      <c r="B25" s="24" t="str">
        <f>"Dividend per share ("&amp;Market_currency&amp;")"</f>
        <v>Dividend per share (HKD)</v>
      </c>
      <c r="C25" s="39">
        <v>0.57999999999999996</v>
      </c>
      <c r="D25" s="39">
        <v>0.57999999999999996</v>
      </c>
      <c r="E25" s="39">
        <v>0.56999999999999995</v>
      </c>
      <c r="F25" s="39"/>
      <c r="G25" s="39"/>
      <c r="H25" s="39"/>
      <c r="I25" s="39"/>
      <c r="J25" s="39"/>
      <c r="K25" s="39"/>
      <c r="L25" s="39"/>
      <c r="M25" s="39"/>
    </row>
    <row r="27" spans="2:13" x14ac:dyDescent="0.15">
      <c r="B27" s="16" t="s">
        <v>28</v>
      </c>
      <c r="C27" s="97" t="s">
        <v>462</v>
      </c>
    </row>
    <row r="28" spans="2:13" ht="13" x14ac:dyDescent="0.15">
      <c r="B28" s="26" t="s">
        <v>24</v>
      </c>
      <c r="C28" s="324">
        <f>BS!C4</f>
        <v>8029</v>
      </c>
      <c r="D28" s="335">
        <v>7251</v>
      </c>
      <c r="E28" s="335"/>
      <c r="F28" s="335"/>
      <c r="G28" s="335"/>
      <c r="H28" s="335"/>
      <c r="I28" s="335"/>
      <c r="J28" s="335"/>
      <c r="K28" s="335"/>
      <c r="L28" s="335"/>
      <c r="M28" s="335"/>
    </row>
    <row r="29" spans="2:13" ht="13" x14ac:dyDescent="0.15">
      <c r="B29" s="26" t="s">
        <v>32</v>
      </c>
      <c r="C29" s="324">
        <f>BS!C6</f>
        <v>9844</v>
      </c>
      <c r="D29" s="335">
        <v>16389</v>
      </c>
      <c r="E29" s="335"/>
      <c r="F29" s="335"/>
      <c r="G29" s="335"/>
      <c r="H29" s="335"/>
      <c r="I29" s="335"/>
      <c r="J29" s="335"/>
      <c r="K29" s="335"/>
      <c r="L29" s="335"/>
      <c r="M29" s="335"/>
    </row>
    <row r="30" spans="2:13" ht="13" x14ac:dyDescent="0.15">
      <c r="B30" s="29" t="s">
        <v>40</v>
      </c>
      <c r="C30" s="325">
        <f>BS!C33+BS!C42</f>
        <v>13889</v>
      </c>
      <c r="D30" s="337">
        <v>10902</v>
      </c>
      <c r="E30" s="337"/>
      <c r="F30" s="337"/>
      <c r="G30" s="337"/>
      <c r="H30" s="337"/>
      <c r="I30" s="337"/>
      <c r="J30" s="337"/>
      <c r="K30" s="337"/>
      <c r="L30" s="337"/>
      <c r="M30" s="337"/>
    </row>
    <row r="31" spans="2:13" ht="13" x14ac:dyDescent="0.15">
      <c r="B31" s="29" t="s">
        <v>30</v>
      </c>
      <c r="C31" s="325">
        <f>BS!G27</f>
        <v>167107</v>
      </c>
      <c r="D31" s="337">
        <v>163105</v>
      </c>
      <c r="E31" s="337"/>
      <c r="F31" s="337"/>
      <c r="G31" s="337"/>
      <c r="H31" s="337"/>
      <c r="I31" s="337"/>
      <c r="J31" s="337"/>
      <c r="K31" s="337"/>
      <c r="L31" s="337"/>
      <c r="M31" s="337"/>
    </row>
    <row r="32" spans="2:13" ht="13" x14ac:dyDescent="0.15">
      <c r="B32" s="26" t="s">
        <v>173</v>
      </c>
      <c r="C32" s="324">
        <f>BS!G28</f>
        <v>519</v>
      </c>
      <c r="D32" s="335"/>
      <c r="E32" s="335"/>
      <c r="F32" s="335"/>
      <c r="G32" s="335"/>
      <c r="H32" s="335"/>
      <c r="I32" s="335"/>
      <c r="J32" s="335"/>
      <c r="K32" s="335"/>
      <c r="L32" s="335"/>
      <c r="M32" s="335"/>
    </row>
    <row r="34" spans="2:13" ht="16" x14ac:dyDescent="0.25">
      <c r="B34" s="36" t="s">
        <v>82</v>
      </c>
      <c r="C34" s="37"/>
      <c r="D34" s="37"/>
      <c r="E34" s="37"/>
      <c r="F34" s="37"/>
      <c r="G34" s="37"/>
      <c r="H34" s="37"/>
      <c r="I34" s="37"/>
      <c r="J34" s="37"/>
      <c r="K34" s="37"/>
      <c r="L34" s="37"/>
      <c r="M34" s="37"/>
    </row>
    <row r="35" spans="2:13" x14ac:dyDescent="0.15">
      <c r="B35" s="16" t="s">
        <v>27</v>
      </c>
    </row>
    <row r="36" spans="2:13" x14ac:dyDescent="0.15">
      <c r="B36" s="32" t="s">
        <v>2</v>
      </c>
      <c r="C36" s="324">
        <f t="shared" ref="C36:M36" si="1">IF(C$4="","",C4)</f>
        <v>8765</v>
      </c>
      <c r="D36" s="324">
        <f t="shared" si="1"/>
        <v>11881</v>
      </c>
      <c r="E36" s="324">
        <f t="shared" si="1"/>
        <v>15650.563377</v>
      </c>
      <c r="F36" s="324">
        <f t="shared" si="1"/>
        <v>24433.371759000001</v>
      </c>
      <c r="G36" s="324">
        <f t="shared" si="1"/>
        <v>5887</v>
      </c>
      <c r="H36" s="324" t="str">
        <f t="shared" si="1"/>
        <v/>
      </c>
      <c r="I36" s="324" t="str">
        <f t="shared" si="1"/>
        <v/>
      </c>
      <c r="J36" s="324" t="str">
        <f t="shared" si="1"/>
        <v/>
      </c>
      <c r="K36" s="324" t="str">
        <f t="shared" si="1"/>
        <v/>
      </c>
      <c r="L36" s="324" t="str">
        <f t="shared" si="1"/>
        <v/>
      </c>
      <c r="M36" s="324" t="str">
        <f t="shared" si="1"/>
        <v/>
      </c>
    </row>
    <row r="37" spans="2:13" x14ac:dyDescent="0.15">
      <c r="B37" s="40" t="s">
        <v>43</v>
      </c>
      <c r="C37" s="324">
        <f t="shared" ref="C37:M37" si="2">IF(C$4="","",-C5)</f>
        <v>-5344</v>
      </c>
      <c r="D37" s="324">
        <f t="shared" si="2"/>
        <v>-6492</v>
      </c>
      <c r="E37" s="324">
        <f t="shared" si="2"/>
        <v>-7482.8818240000001</v>
      </c>
      <c r="F37" s="324">
        <f t="shared" si="2"/>
        <v>-11196.89644</v>
      </c>
      <c r="G37" s="324">
        <f t="shared" si="2"/>
        <v>-2437</v>
      </c>
      <c r="H37" s="324" t="str">
        <f t="shared" si="2"/>
        <v/>
      </c>
      <c r="I37" s="324" t="str">
        <f t="shared" si="2"/>
        <v/>
      </c>
      <c r="J37" s="324" t="str">
        <f t="shared" si="2"/>
        <v/>
      </c>
      <c r="K37" s="324" t="str">
        <f t="shared" si="2"/>
        <v/>
      </c>
      <c r="L37" s="324" t="str">
        <f t="shared" si="2"/>
        <v/>
      </c>
      <c r="M37" s="324" t="str">
        <f t="shared" si="2"/>
        <v/>
      </c>
    </row>
    <row r="38" spans="2:13" ht="13" x14ac:dyDescent="0.15">
      <c r="B38" s="31" t="s">
        <v>58</v>
      </c>
      <c r="C38" s="320">
        <f>IF(C36="","",C36+C37)</f>
        <v>3421</v>
      </c>
      <c r="D38" s="320">
        <f t="shared" ref="D38" si="3">IF(D36="","",D36+D37)</f>
        <v>5389</v>
      </c>
      <c r="E38" s="320">
        <f t="shared" ref="E38" si="4">IF(E36="","",E36+E37)</f>
        <v>8167.6815530000003</v>
      </c>
      <c r="F38" s="320">
        <f t="shared" ref="F38" si="5">IF(F36="","",F36+F37)</f>
        <v>13236.475319000001</v>
      </c>
      <c r="G38" s="320">
        <f t="shared" ref="G38" si="6">IF(G36="","",G36+G37)</f>
        <v>3450</v>
      </c>
      <c r="H38" s="320" t="str">
        <f t="shared" ref="H38" si="7">IF(H36="","",H36+H37)</f>
        <v/>
      </c>
      <c r="I38" s="320" t="str">
        <f t="shared" ref="I38" si="8">IF(I36="","",I36+I37)</f>
        <v/>
      </c>
      <c r="J38" s="320" t="str">
        <f t="shared" ref="J38" si="9">IF(J36="","",J36+J37)</f>
        <v/>
      </c>
      <c r="K38" s="320" t="str">
        <f t="shared" ref="K38" si="10">IF(K36="","",K36+K37)</f>
        <v/>
      </c>
      <c r="L38" s="320" t="str">
        <f t="shared" ref="L38" si="11">IF(L36="","",L36+L37)</f>
        <v/>
      </c>
      <c r="M38" s="320" t="str">
        <f t="shared" ref="M38" si="12">IF(M36="","",M36+M37)</f>
        <v/>
      </c>
    </row>
    <row r="39" spans="2:13" x14ac:dyDescent="0.15">
      <c r="B39" s="40" t="s">
        <v>54</v>
      </c>
      <c r="C39" s="324">
        <f t="shared" ref="C39:M39" si="13">IF(C$4="","",-C6)</f>
        <v>-1084</v>
      </c>
      <c r="D39" s="324">
        <f t="shared" si="13"/>
        <v>-1129</v>
      </c>
      <c r="E39" s="324">
        <f t="shared" si="13"/>
        <v>-867.48327900000004</v>
      </c>
      <c r="F39" s="324">
        <f t="shared" si="13"/>
        <v>-823.28128300000003</v>
      </c>
      <c r="G39" s="324">
        <f t="shared" si="13"/>
        <v>0</v>
      </c>
      <c r="H39" s="324" t="str">
        <f t="shared" si="13"/>
        <v/>
      </c>
      <c r="I39" s="324" t="str">
        <f t="shared" si="13"/>
        <v/>
      </c>
      <c r="J39" s="324" t="str">
        <f t="shared" si="13"/>
        <v/>
      </c>
      <c r="K39" s="324" t="str">
        <f t="shared" si="13"/>
        <v/>
      </c>
      <c r="L39" s="324" t="str">
        <f t="shared" si="13"/>
        <v/>
      </c>
      <c r="M39" s="324" t="str">
        <f t="shared" si="13"/>
        <v/>
      </c>
    </row>
    <row r="40" spans="2:13" x14ac:dyDescent="0.15">
      <c r="B40" s="69" t="s">
        <v>61</v>
      </c>
      <c r="C40" s="334">
        <f t="shared" ref="C40:M40" si="14">IF(C$4="","",-C7)</f>
        <v>0</v>
      </c>
      <c r="D40" s="334">
        <f t="shared" si="14"/>
        <v>0</v>
      </c>
      <c r="E40" s="334">
        <f t="shared" si="14"/>
        <v>0</v>
      </c>
      <c r="F40" s="334">
        <f t="shared" si="14"/>
        <v>0</v>
      </c>
      <c r="G40" s="334">
        <f t="shared" si="14"/>
        <v>0</v>
      </c>
      <c r="H40" s="334" t="str">
        <f t="shared" si="14"/>
        <v/>
      </c>
      <c r="I40" s="334" t="str">
        <f t="shared" si="14"/>
        <v/>
      </c>
      <c r="J40" s="334" t="str">
        <f t="shared" si="14"/>
        <v/>
      </c>
      <c r="K40" s="334" t="str">
        <f t="shared" si="14"/>
        <v/>
      </c>
      <c r="L40" s="334" t="str">
        <f t="shared" si="14"/>
        <v/>
      </c>
      <c r="M40" s="334" t="str">
        <f t="shared" si="14"/>
        <v/>
      </c>
    </row>
    <row r="41" spans="2:13" x14ac:dyDescent="0.15">
      <c r="B41" s="69" t="s">
        <v>64</v>
      </c>
      <c r="C41" s="334">
        <f>IF(C$4="","",C39-C40)</f>
        <v>-1084</v>
      </c>
      <c r="D41" s="334">
        <f t="shared" ref="D41:M41" si="15">IF(D$4="","",D39-D40)</f>
        <v>-1129</v>
      </c>
      <c r="E41" s="334">
        <f t="shared" si="15"/>
        <v>-867.48327900000004</v>
      </c>
      <c r="F41" s="334">
        <f t="shared" si="15"/>
        <v>-823.28128300000003</v>
      </c>
      <c r="G41" s="334">
        <f t="shared" si="15"/>
        <v>0</v>
      </c>
      <c r="H41" s="334" t="str">
        <f t="shared" si="15"/>
        <v/>
      </c>
      <c r="I41" s="334" t="str">
        <f t="shared" si="15"/>
        <v/>
      </c>
      <c r="J41" s="334" t="str">
        <f t="shared" si="15"/>
        <v/>
      </c>
      <c r="K41" s="334" t="str">
        <f t="shared" si="15"/>
        <v/>
      </c>
      <c r="L41" s="334" t="str">
        <f t="shared" si="15"/>
        <v/>
      </c>
      <c r="M41" s="334" t="str">
        <f t="shared" si="15"/>
        <v/>
      </c>
    </row>
    <row r="42" spans="2:13" x14ac:dyDescent="0.15">
      <c r="B42" s="40" t="s">
        <v>49</v>
      </c>
      <c r="C42" s="324">
        <f t="shared" ref="C42:M42" si="16">IF(C$4="","",-C8)</f>
        <v>0</v>
      </c>
      <c r="D42" s="324">
        <f t="shared" si="16"/>
        <v>0</v>
      </c>
      <c r="E42" s="324">
        <f t="shared" si="16"/>
        <v>0</v>
      </c>
      <c r="F42" s="324">
        <f t="shared" si="16"/>
        <v>0</v>
      </c>
      <c r="G42" s="324">
        <f t="shared" si="16"/>
        <v>0</v>
      </c>
      <c r="H42" s="324" t="str">
        <f t="shared" si="16"/>
        <v/>
      </c>
      <c r="I42" s="324" t="str">
        <f t="shared" si="16"/>
        <v/>
      </c>
      <c r="J42" s="324" t="str">
        <f t="shared" si="16"/>
        <v/>
      </c>
      <c r="K42" s="324" t="str">
        <f t="shared" si="16"/>
        <v/>
      </c>
      <c r="L42" s="324" t="str">
        <f t="shared" si="16"/>
        <v/>
      </c>
      <c r="M42" s="324" t="str">
        <f t="shared" si="16"/>
        <v/>
      </c>
    </row>
    <row r="43" spans="2:13" x14ac:dyDescent="0.15">
      <c r="B43" s="43" t="s">
        <v>153</v>
      </c>
      <c r="C43" s="325">
        <f>IF(C$4="","",C38+C39+C42)</f>
        <v>2337</v>
      </c>
      <c r="D43" s="325">
        <f t="shared" ref="D43:M43" si="17">IF(D$4="","",D38+D39+D42)</f>
        <v>4260</v>
      </c>
      <c r="E43" s="325">
        <f t="shared" si="17"/>
        <v>7300.1982740000003</v>
      </c>
      <c r="F43" s="325">
        <f t="shared" si="17"/>
        <v>12413.194036000001</v>
      </c>
      <c r="G43" s="325">
        <f t="shared" si="17"/>
        <v>3450</v>
      </c>
      <c r="H43" s="325" t="str">
        <f t="shared" si="17"/>
        <v/>
      </c>
      <c r="I43" s="325" t="str">
        <f t="shared" si="17"/>
        <v/>
      </c>
      <c r="J43" s="325" t="str">
        <f t="shared" si="17"/>
        <v/>
      </c>
      <c r="K43" s="325" t="str">
        <f t="shared" si="17"/>
        <v/>
      </c>
      <c r="L43" s="325" t="str">
        <f t="shared" si="17"/>
        <v/>
      </c>
      <c r="M43" s="325" t="str">
        <f t="shared" si="17"/>
        <v/>
      </c>
    </row>
    <row r="44" spans="2:13" x14ac:dyDescent="0.15">
      <c r="B44" s="43" t="s">
        <v>169</v>
      </c>
      <c r="C44" s="180">
        <f t="shared" ref="C44:M44" si="18">IF(C$4="","",C47-C46-C45-C43)</f>
        <v>136</v>
      </c>
      <c r="D44" s="180">
        <f t="shared" si="18"/>
        <v>1130.764889</v>
      </c>
      <c r="E44" s="180">
        <f t="shared" si="18"/>
        <v>-503.75612799999999</v>
      </c>
      <c r="F44" s="180">
        <f t="shared" si="18"/>
        <v>-726.80948300000091</v>
      </c>
      <c r="G44" s="180">
        <f t="shared" si="18"/>
        <v>-3450</v>
      </c>
      <c r="H44" s="180" t="str">
        <f t="shared" si="18"/>
        <v/>
      </c>
      <c r="I44" s="180" t="str">
        <f t="shared" si="18"/>
        <v/>
      </c>
      <c r="J44" s="180" t="str">
        <f t="shared" si="18"/>
        <v/>
      </c>
      <c r="K44" s="180" t="str">
        <f t="shared" si="18"/>
        <v/>
      </c>
      <c r="L44" s="180" t="str">
        <f t="shared" si="18"/>
        <v/>
      </c>
      <c r="M44" s="180" t="str">
        <f t="shared" si="18"/>
        <v/>
      </c>
    </row>
    <row r="45" spans="2:13" x14ac:dyDescent="0.15">
      <c r="B45" s="40" t="s">
        <v>68</v>
      </c>
      <c r="C45" s="76">
        <f t="shared" ref="C45:M45" si="19">IF(C$4="","",C51+C52)</f>
        <v>2297</v>
      </c>
      <c r="D45" s="76">
        <f t="shared" si="19"/>
        <v>1350.069939</v>
      </c>
      <c r="E45" s="76">
        <f t="shared" si="19"/>
        <v>288.06189799999999</v>
      </c>
      <c r="F45" s="76">
        <f t="shared" si="19"/>
        <v>490.42196800000005</v>
      </c>
      <c r="G45" s="76">
        <f t="shared" si="19"/>
        <v>0</v>
      </c>
      <c r="H45" s="76" t="str">
        <f t="shared" si="19"/>
        <v/>
      </c>
      <c r="I45" s="76" t="str">
        <f t="shared" si="19"/>
        <v/>
      </c>
      <c r="J45" s="76" t="str">
        <f t="shared" si="19"/>
        <v/>
      </c>
      <c r="K45" s="76" t="str">
        <f t="shared" si="19"/>
        <v/>
      </c>
      <c r="L45" s="76" t="str">
        <f t="shared" si="19"/>
        <v/>
      </c>
      <c r="M45" s="76" t="str">
        <f t="shared" si="19"/>
        <v/>
      </c>
    </row>
    <row r="46" spans="2:13" x14ac:dyDescent="0.15">
      <c r="B46" s="40" t="s">
        <v>50</v>
      </c>
      <c r="C46" s="324">
        <f t="shared" ref="C46:M46" si="20">IF(C$4="","",-C14)</f>
        <v>-519</v>
      </c>
      <c r="D46" s="324">
        <f t="shared" si="20"/>
        <v>-860.83482800000002</v>
      </c>
      <c r="E46" s="324">
        <f t="shared" si="20"/>
        <v>-1349.107495</v>
      </c>
      <c r="F46" s="324">
        <f t="shared" si="20"/>
        <v>-2530.7695309999999</v>
      </c>
      <c r="G46" s="324">
        <f t="shared" si="20"/>
        <v>0</v>
      </c>
      <c r="H46" s="324" t="str">
        <f t="shared" si="20"/>
        <v/>
      </c>
      <c r="I46" s="324" t="str">
        <f t="shared" si="20"/>
        <v/>
      </c>
      <c r="J46" s="324" t="str">
        <f t="shared" si="20"/>
        <v/>
      </c>
      <c r="K46" s="324" t="str">
        <f t="shared" si="20"/>
        <v/>
      </c>
      <c r="L46" s="324" t="str">
        <f t="shared" si="20"/>
        <v/>
      </c>
      <c r="M46" s="324" t="str">
        <f t="shared" si="20"/>
        <v/>
      </c>
    </row>
    <row r="47" spans="2:13" x14ac:dyDescent="0.15">
      <c r="B47" s="43" t="s">
        <v>42</v>
      </c>
      <c r="C47" s="325">
        <f t="shared" ref="C47:M47" si="21">IF(C$4="","",C15)</f>
        <v>4251</v>
      </c>
      <c r="D47" s="325">
        <f t="shared" si="21"/>
        <v>5880</v>
      </c>
      <c r="E47" s="325">
        <f t="shared" si="21"/>
        <v>5735.3965490000001</v>
      </c>
      <c r="F47" s="325">
        <f t="shared" si="21"/>
        <v>9646.0369900000005</v>
      </c>
      <c r="G47" s="325">
        <f t="shared" si="21"/>
        <v>0</v>
      </c>
      <c r="H47" s="325" t="str">
        <f t="shared" si="21"/>
        <v/>
      </c>
      <c r="I47" s="325" t="str">
        <f t="shared" si="21"/>
        <v/>
      </c>
      <c r="J47" s="325" t="str">
        <f t="shared" si="21"/>
        <v/>
      </c>
      <c r="K47" s="325" t="str">
        <f t="shared" si="21"/>
        <v/>
      </c>
      <c r="L47" s="325" t="str">
        <f t="shared" si="21"/>
        <v/>
      </c>
      <c r="M47" s="325" t="str">
        <f t="shared" si="21"/>
        <v/>
      </c>
    </row>
    <row r="48" spans="2:13" x14ac:dyDescent="0.15">
      <c r="B48" s="28" t="s">
        <v>44</v>
      </c>
      <c r="C48" s="324">
        <f t="shared" ref="C48:M48" si="22">IF(C$4="","",MIN(-C16,0))</f>
        <v>0</v>
      </c>
      <c r="D48" s="324">
        <f t="shared" si="22"/>
        <v>-31</v>
      </c>
      <c r="E48" s="324">
        <f t="shared" si="22"/>
        <v>0</v>
      </c>
      <c r="F48" s="324">
        <f t="shared" si="22"/>
        <v>0</v>
      </c>
      <c r="G48" s="324">
        <f t="shared" si="22"/>
        <v>0</v>
      </c>
      <c r="H48" s="324" t="str">
        <f t="shared" si="22"/>
        <v/>
      </c>
      <c r="I48" s="324" t="str">
        <f t="shared" si="22"/>
        <v/>
      </c>
      <c r="J48" s="324" t="str">
        <f t="shared" si="22"/>
        <v/>
      </c>
      <c r="K48" s="324" t="str">
        <f t="shared" si="22"/>
        <v/>
      </c>
      <c r="L48" s="324" t="str">
        <f t="shared" si="22"/>
        <v/>
      </c>
      <c r="M48" s="324" t="str">
        <f t="shared" si="22"/>
        <v/>
      </c>
    </row>
    <row r="50" spans="2:13" x14ac:dyDescent="0.15">
      <c r="B50" s="16" t="s">
        <v>68</v>
      </c>
    </row>
    <row r="51" spans="2:13" x14ac:dyDescent="0.15">
      <c r="B51" s="40" t="s">
        <v>39</v>
      </c>
      <c r="C51" s="324">
        <f t="shared" ref="C51:M51" si="23">IF(C$4="","",-C12)</f>
        <v>-43</v>
      </c>
      <c r="D51" s="324">
        <f t="shared" si="23"/>
        <v>-40.775368</v>
      </c>
      <c r="E51" s="324">
        <f t="shared" si="23"/>
        <v>-49.197794000000002</v>
      </c>
      <c r="F51" s="324">
        <f t="shared" si="23"/>
        <v>-81.763175000000004</v>
      </c>
      <c r="G51" s="324">
        <f t="shared" si="23"/>
        <v>0</v>
      </c>
      <c r="H51" s="324" t="str">
        <f t="shared" si="23"/>
        <v/>
      </c>
      <c r="I51" s="324" t="str">
        <f t="shared" si="23"/>
        <v/>
      </c>
      <c r="J51" s="324" t="str">
        <f t="shared" si="23"/>
        <v/>
      </c>
      <c r="K51" s="324" t="str">
        <f t="shared" si="23"/>
        <v/>
      </c>
      <c r="L51" s="324" t="str">
        <f t="shared" si="23"/>
        <v/>
      </c>
      <c r="M51" s="324" t="str">
        <f t="shared" si="23"/>
        <v/>
      </c>
    </row>
    <row r="52" spans="2:13" x14ac:dyDescent="0.15">
      <c r="B52" s="40" t="s">
        <v>67</v>
      </c>
      <c r="C52" s="324">
        <f t="shared" ref="C52:M52" si="24">IF(C$4="","",C13)</f>
        <v>2340</v>
      </c>
      <c r="D52" s="324">
        <f t="shared" si="24"/>
        <v>1390.845307</v>
      </c>
      <c r="E52" s="324">
        <f t="shared" si="24"/>
        <v>337.25969199999997</v>
      </c>
      <c r="F52" s="324">
        <f t="shared" si="24"/>
        <v>572.18514300000004</v>
      </c>
      <c r="G52" s="324">
        <f t="shared" si="24"/>
        <v>0</v>
      </c>
      <c r="H52" s="324" t="str">
        <f t="shared" si="24"/>
        <v/>
      </c>
      <c r="I52" s="324" t="str">
        <f t="shared" si="24"/>
        <v/>
      </c>
      <c r="J52" s="324" t="str">
        <f t="shared" si="24"/>
        <v/>
      </c>
      <c r="K52" s="324" t="str">
        <f t="shared" si="24"/>
        <v/>
      </c>
      <c r="L52" s="324" t="str">
        <f t="shared" si="24"/>
        <v/>
      </c>
      <c r="M52" s="324" t="str">
        <f t="shared" si="24"/>
        <v/>
      </c>
    </row>
    <row r="54" spans="2:13" x14ac:dyDescent="0.15">
      <c r="B54" s="174" t="s">
        <v>169</v>
      </c>
    </row>
    <row r="55" spans="2:13" x14ac:dyDescent="0.15">
      <c r="B55" s="40" t="s">
        <v>160</v>
      </c>
      <c r="C55" s="76">
        <f t="shared" ref="C55:M55" si="25">IF(C$4="","",C9)</f>
        <v>639</v>
      </c>
      <c r="D55" s="76">
        <f t="shared" si="25"/>
        <v>927</v>
      </c>
      <c r="E55" s="76">
        <f t="shared" si="25"/>
        <v>0</v>
      </c>
      <c r="F55" s="76">
        <f t="shared" si="25"/>
        <v>0</v>
      </c>
      <c r="G55" s="76">
        <f t="shared" si="25"/>
        <v>0</v>
      </c>
      <c r="H55" s="76" t="str">
        <f t="shared" si="25"/>
        <v/>
      </c>
      <c r="I55" s="76" t="str">
        <f t="shared" si="25"/>
        <v/>
      </c>
      <c r="J55" s="76" t="str">
        <f t="shared" si="25"/>
        <v/>
      </c>
      <c r="K55" s="76" t="str">
        <f t="shared" si="25"/>
        <v/>
      </c>
      <c r="L55" s="76" t="str">
        <f t="shared" si="25"/>
        <v/>
      </c>
      <c r="M55" s="76" t="str">
        <f t="shared" si="25"/>
        <v/>
      </c>
    </row>
    <row r="56" spans="2:13" x14ac:dyDescent="0.15">
      <c r="B56" s="40" t="s">
        <v>168</v>
      </c>
      <c r="C56" s="76">
        <f t="shared" ref="C56:M56" si="26">IF(C$4="","",C10)</f>
        <v>0</v>
      </c>
      <c r="D56" s="76">
        <f t="shared" si="26"/>
        <v>0</v>
      </c>
      <c r="E56" s="76">
        <f t="shared" si="26"/>
        <v>0</v>
      </c>
      <c r="F56" s="76">
        <f t="shared" si="26"/>
        <v>0</v>
      </c>
      <c r="G56" s="76">
        <f t="shared" si="26"/>
        <v>0</v>
      </c>
      <c r="H56" s="76" t="str">
        <f t="shared" si="26"/>
        <v/>
      </c>
      <c r="I56" s="76" t="str">
        <f t="shared" si="26"/>
        <v/>
      </c>
      <c r="J56" s="76" t="str">
        <f t="shared" si="26"/>
        <v/>
      </c>
      <c r="K56" s="76" t="str">
        <f t="shared" si="26"/>
        <v/>
      </c>
      <c r="L56" s="76" t="str">
        <f t="shared" si="26"/>
        <v/>
      </c>
      <c r="M56" s="76" t="str">
        <f t="shared" si="26"/>
        <v/>
      </c>
    </row>
    <row r="57" spans="2:13" x14ac:dyDescent="0.15">
      <c r="B57" s="40" t="s">
        <v>159</v>
      </c>
      <c r="C57" s="76">
        <f t="shared" ref="C57:M57" si="27">IF(C$4="","",C11)</f>
        <v>0</v>
      </c>
      <c r="D57" s="76">
        <f t="shared" si="27"/>
        <v>0</v>
      </c>
      <c r="E57" s="76">
        <f t="shared" si="27"/>
        <v>0</v>
      </c>
      <c r="F57" s="76">
        <f t="shared" si="27"/>
        <v>0</v>
      </c>
      <c r="G57" s="76">
        <f t="shared" si="27"/>
        <v>0</v>
      </c>
      <c r="H57" s="76" t="str">
        <f t="shared" si="27"/>
        <v/>
      </c>
      <c r="I57" s="76" t="str">
        <f t="shared" si="27"/>
        <v/>
      </c>
      <c r="J57" s="76" t="str">
        <f t="shared" si="27"/>
        <v/>
      </c>
      <c r="K57" s="76" t="str">
        <f t="shared" si="27"/>
        <v/>
      </c>
      <c r="L57" s="76" t="str">
        <f t="shared" si="27"/>
        <v/>
      </c>
      <c r="M57" s="76" t="str">
        <f t="shared" si="27"/>
        <v/>
      </c>
    </row>
    <row r="58" spans="2:13" x14ac:dyDescent="0.15">
      <c r="B58" s="40" t="s">
        <v>161</v>
      </c>
      <c r="C58" s="76">
        <f>IF(C$4="","",C44-C55-C56-C57)</f>
        <v>-503</v>
      </c>
      <c r="D58" s="76">
        <f t="shared" ref="D58:M58" si="28">IF(D$4="","",D44-D55-D56-D57)</f>
        <v>203.76488900000004</v>
      </c>
      <c r="E58" s="76">
        <f t="shared" si="28"/>
        <v>-503.75612799999999</v>
      </c>
      <c r="F58" s="76">
        <f t="shared" si="28"/>
        <v>-726.80948300000091</v>
      </c>
      <c r="G58" s="76">
        <f t="shared" si="28"/>
        <v>-3450</v>
      </c>
      <c r="H58" s="76" t="str">
        <f t="shared" si="28"/>
        <v/>
      </c>
      <c r="I58" s="76" t="str">
        <f t="shared" si="28"/>
        <v/>
      </c>
      <c r="J58" s="76" t="str">
        <f t="shared" si="28"/>
        <v/>
      </c>
      <c r="K58" s="76" t="str">
        <f t="shared" si="28"/>
        <v/>
      </c>
      <c r="L58" s="76" t="str">
        <f t="shared" si="28"/>
        <v/>
      </c>
      <c r="M58" s="76" t="str">
        <f t="shared" si="28"/>
        <v/>
      </c>
    </row>
    <row r="60" spans="2:13" x14ac:dyDescent="0.15">
      <c r="B60" s="16" t="s">
        <v>51</v>
      </c>
      <c r="C60" s="9"/>
    </row>
    <row r="61" spans="2:13" ht="13" x14ac:dyDescent="0.15">
      <c r="B61" s="27" t="s">
        <v>47</v>
      </c>
      <c r="C61" s="324">
        <f>IF(C$4="","",-C19)</f>
        <v>-160</v>
      </c>
      <c r="D61" s="324">
        <f t="shared" ref="D61:M61" si="29">IF(D$4="","",-D19)</f>
        <v>-198</v>
      </c>
      <c r="E61" s="324">
        <f t="shared" si="29"/>
        <v>-181.018</v>
      </c>
      <c r="F61" s="324">
        <f t="shared" si="29"/>
        <v>-186.14699999999999</v>
      </c>
      <c r="G61" s="324">
        <f t="shared" si="29"/>
        <v>0</v>
      </c>
      <c r="H61" s="324" t="str">
        <f t="shared" si="29"/>
        <v/>
      </c>
      <c r="I61" s="324" t="str">
        <f t="shared" si="29"/>
        <v/>
      </c>
      <c r="J61" s="324" t="str">
        <f t="shared" si="29"/>
        <v/>
      </c>
      <c r="K61" s="324" t="str">
        <f t="shared" si="29"/>
        <v/>
      </c>
      <c r="L61" s="324" t="str">
        <f t="shared" si="29"/>
        <v/>
      </c>
      <c r="M61" s="324" t="str">
        <f t="shared" si="29"/>
        <v/>
      </c>
    </row>
    <row r="62" spans="2:13" ht="13" x14ac:dyDescent="0.15">
      <c r="B62" s="27" t="s">
        <v>53</v>
      </c>
      <c r="C62" s="324">
        <f>IF(C$4="","",IF(C20=0,C61,-C20))</f>
        <v>-69</v>
      </c>
      <c r="D62" s="324">
        <f t="shared" ref="D62:M62" si="30">IF(D$4="","",IF(D20=0,D61,-D20))</f>
        <v>-108</v>
      </c>
      <c r="E62" s="324">
        <f t="shared" si="30"/>
        <v>-181.018</v>
      </c>
      <c r="F62" s="324">
        <f t="shared" si="30"/>
        <v>-186.14699999999999</v>
      </c>
      <c r="G62" s="324">
        <f t="shared" si="30"/>
        <v>0</v>
      </c>
      <c r="H62" s="324" t="str">
        <f t="shared" si="30"/>
        <v/>
      </c>
      <c r="I62" s="324" t="str">
        <f t="shared" si="30"/>
        <v/>
      </c>
      <c r="J62" s="324" t="str">
        <f t="shared" si="30"/>
        <v/>
      </c>
      <c r="K62" s="324" t="str">
        <f t="shared" si="30"/>
        <v/>
      </c>
      <c r="L62" s="324" t="str">
        <f t="shared" si="30"/>
        <v/>
      </c>
      <c r="M62" s="324" t="str">
        <f t="shared" si="30"/>
        <v/>
      </c>
    </row>
    <row r="63" spans="2:13" ht="13" x14ac:dyDescent="0.15">
      <c r="B63" s="27" t="s">
        <v>52</v>
      </c>
      <c r="C63" s="324">
        <f>IF(C$4="","",-C21)</f>
        <v>-910</v>
      </c>
      <c r="D63" s="324">
        <f t="shared" ref="D63:M63" si="31">IF(D$4="","",-D21)</f>
        <v>-2541</v>
      </c>
      <c r="E63" s="324">
        <f t="shared" si="31"/>
        <v>0</v>
      </c>
      <c r="F63" s="324">
        <f t="shared" si="31"/>
        <v>0</v>
      </c>
      <c r="G63" s="324">
        <f t="shared" si="31"/>
        <v>0</v>
      </c>
      <c r="H63" s="324" t="str">
        <f t="shared" si="31"/>
        <v/>
      </c>
      <c r="I63" s="324" t="str">
        <f t="shared" si="31"/>
        <v/>
      </c>
      <c r="J63" s="324" t="str">
        <f t="shared" si="31"/>
        <v/>
      </c>
      <c r="K63" s="324" t="str">
        <f t="shared" si="31"/>
        <v/>
      </c>
      <c r="L63" s="324" t="str">
        <f t="shared" si="31"/>
        <v/>
      </c>
      <c r="M63" s="324" t="str">
        <f t="shared" si="31"/>
        <v/>
      </c>
    </row>
    <row r="64" spans="2:13" ht="13" x14ac:dyDescent="0.15">
      <c r="B64" s="27" t="s">
        <v>394</v>
      </c>
      <c r="C64" s="324">
        <f>IF(C$4="","",C22+C23+C24)</f>
        <v>0</v>
      </c>
      <c r="D64" s="324">
        <f t="shared" ref="D64:M64" si="32">IF(D$4="","",D22+D23+D24)</f>
        <v>0</v>
      </c>
      <c r="E64" s="324">
        <f t="shared" si="32"/>
        <v>0</v>
      </c>
      <c r="F64" s="324">
        <f t="shared" si="32"/>
        <v>0</v>
      </c>
      <c r="G64" s="324">
        <f t="shared" si="32"/>
        <v>0</v>
      </c>
      <c r="H64" s="324" t="str">
        <f t="shared" si="32"/>
        <v/>
      </c>
      <c r="I64" s="324" t="str">
        <f t="shared" si="32"/>
        <v/>
      </c>
      <c r="J64" s="324" t="str">
        <f t="shared" si="32"/>
        <v/>
      </c>
      <c r="K64" s="324" t="str">
        <f t="shared" si="32"/>
        <v/>
      </c>
      <c r="L64" s="324" t="str">
        <f t="shared" si="32"/>
        <v/>
      </c>
      <c r="M64" s="324" t="str">
        <f t="shared" si="32"/>
        <v/>
      </c>
    </row>
    <row r="65" spans="2:13" x14ac:dyDescent="0.15">
      <c r="B65" s="24" t="s">
        <v>36</v>
      </c>
      <c r="C65" s="73">
        <f>IF(C$4="","",C25)</f>
        <v>0.57999999999999996</v>
      </c>
      <c r="D65" s="73">
        <f t="shared" ref="D65:M65" si="33">IF(D$4="","",D25)</f>
        <v>0.57999999999999996</v>
      </c>
      <c r="E65" s="73">
        <f t="shared" si="33"/>
        <v>0.56999999999999995</v>
      </c>
      <c r="F65" s="73">
        <f t="shared" si="33"/>
        <v>0</v>
      </c>
      <c r="G65" s="73">
        <f t="shared" si="33"/>
        <v>0</v>
      </c>
      <c r="H65" s="73" t="str">
        <f t="shared" si="33"/>
        <v/>
      </c>
      <c r="I65" s="73" t="str">
        <f t="shared" si="33"/>
        <v/>
      </c>
      <c r="J65" s="73" t="str">
        <f t="shared" si="33"/>
        <v/>
      </c>
      <c r="K65" s="73" t="str">
        <f t="shared" si="33"/>
        <v/>
      </c>
      <c r="L65" s="73" t="str">
        <f t="shared" si="33"/>
        <v/>
      </c>
      <c r="M65" s="73" t="str">
        <f t="shared" si="33"/>
        <v/>
      </c>
    </row>
    <row r="67" spans="2:13" x14ac:dyDescent="0.15">
      <c r="B67" s="91" t="s">
        <v>85</v>
      </c>
    </row>
    <row r="68" spans="2:13" x14ac:dyDescent="0.15">
      <c r="B68" s="1" t="str">
        <f>B36</f>
        <v>Sales</v>
      </c>
      <c r="C68" s="92">
        <f t="shared" ref="C68:M68" si="34">IF(D$36="","",C36/D36-1)</f>
        <v>-0.26226748590186011</v>
      </c>
      <c r="D68" s="92">
        <f t="shared" si="34"/>
        <v>-0.2408579989228844</v>
      </c>
      <c r="E68" s="92">
        <f t="shared" si="34"/>
        <v>-0.35945953217712834</v>
      </c>
      <c r="F68" s="92">
        <f t="shared" si="34"/>
        <v>3.150394387463904</v>
      </c>
      <c r="G68" s="92" t="str">
        <f t="shared" si="34"/>
        <v/>
      </c>
      <c r="H68" s="92" t="str">
        <f t="shared" si="34"/>
        <v/>
      </c>
      <c r="I68" s="92" t="str">
        <f t="shared" si="34"/>
        <v/>
      </c>
      <c r="J68" s="92" t="str">
        <f t="shared" si="34"/>
        <v/>
      </c>
      <c r="K68" s="92" t="str">
        <f t="shared" si="34"/>
        <v/>
      </c>
      <c r="L68" s="92" t="str">
        <f t="shared" si="34"/>
        <v/>
      </c>
      <c r="M68" s="92" t="str">
        <f t="shared" si="34"/>
        <v/>
      </c>
    </row>
    <row r="69" spans="2:13" ht="13" x14ac:dyDescent="0.15">
      <c r="B69" s="31" t="s">
        <v>58</v>
      </c>
      <c r="C69" s="92">
        <f>IF(D$36="","",C38/D38-1)</f>
        <v>-0.36518834663202826</v>
      </c>
      <c r="D69" s="92">
        <f t="shared" ref="D69:M69" si="35">IF(E$36="","",D38/E38-1)</f>
        <v>-0.34020444295840435</v>
      </c>
      <c r="E69" s="92">
        <f t="shared" si="35"/>
        <v>-0.38294135287844455</v>
      </c>
      <c r="F69" s="92">
        <f t="shared" si="35"/>
        <v>2.8366595127536236</v>
      </c>
      <c r="G69" s="92" t="str">
        <f t="shared" si="35"/>
        <v/>
      </c>
      <c r="H69" s="92" t="str">
        <f t="shared" si="35"/>
        <v/>
      </c>
      <c r="I69" s="92" t="str">
        <f t="shared" si="35"/>
        <v/>
      </c>
      <c r="J69" s="92" t="str">
        <f t="shared" si="35"/>
        <v/>
      </c>
      <c r="K69" s="92" t="str">
        <f t="shared" si="35"/>
        <v/>
      </c>
      <c r="L69" s="92" t="str">
        <f t="shared" si="35"/>
        <v/>
      </c>
      <c r="M69" s="92" t="str">
        <f t="shared" si="35"/>
        <v/>
      </c>
    </row>
    <row r="70" spans="2:13" x14ac:dyDescent="0.15">
      <c r="B70" s="80" t="str">
        <f>B43</f>
        <v>Operating EBIT</v>
      </c>
      <c r="C70" s="101">
        <f>IF(D$36="","",C43/D43-1)</f>
        <v>-0.45140845070422531</v>
      </c>
      <c r="D70" s="101">
        <f t="shared" ref="D70:M70" si="36">IF(E$36="","",D43/E43-1)</f>
        <v>-0.41645420574778214</v>
      </c>
      <c r="E70" s="101">
        <f t="shared" si="36"/>
        <v>-0.41190009172269415</v>
      </c>
      <c r="F70" s="101">
        <f t="shared" si="36"/>
        <v>2.5980272568115943</v>
      </c>
      <c r="G70" s="101" t="str">
        <f t="shared" si="36"/>
        <v/>
      </c>
      <c r="H70" s="101" t="str">
        <f t="shared" si="36"/>
        <v/>
      </c>
      <c r="I70" s="101" t="str">
        <f t="shared" si="36"/>
        <v/>
      </c>
      <c r="J70" s="101" t="str">
        <f t="shared" si="36"/>
        <v/>
      </c>
      <c r="K70" s="101" t="str">
        <f t="shared" si="36"/>
        <v/>
      </c>
      <c r="L70" s="101" t="str">
        <f t="shared" si="36"/>
        <v/>
      </c>
      <c r="M70" s="101" t="str">
        <f t="shared" si="36"/>
        <v/>
      </c>
    </row>
    <row r="71" spans="2:13" x14ac:dyDescent="0.15">
      <c r="B71" s="43" t="s">
        <v>169</v>
      </c>
      <c r="C71" s="101">
        <f>IF(D$36="","",C44/D44-1)</f>
        <v>-0.87972742935070036</v>
      </c>
      <c r="D71" s="101">
        <f t="shared" ref="D71:M71" si="37">IF(E$36="","",D44/E44-1)</f>
        <v>-3.2446672628863782</v>
      </c>
      <c r="E71" s="101">
        <f t="shared" si="37"/>
        <v>-0.30689384249544893</v>
      </c>
      <c r="F71" s="101">
        <f t="shared" si="37"/>
        <v>-0.78933058463768091</v>
      </c>
      <c r="G71" s="101" t="str">
        <f t="shared" si="37"/>
        <v/>
      </c>
      <c r="H71" s="101" t="str">
        <f t="shared" si="37"/>
        <v/>
      </c>
      <c r="I71" s="101" t="str">
        <f t="shared" si="37"/>
        <v/>
      </c>
      <c r="J71" s="101" t="str">
        <f t="shared" si="37"/>
        <v/>
      </c>
      <c r="K71" s="101" t="str">
        <f t="shared" si="37"/>
        <v/>
      </c>
      <c r="L71" s="101" t="str">
        <f t="shared" si="37"/>
        <v/>
      </c>
      <c r="M71" s="101" t="str">
        <f t="shared" si="37"/>
        <v/>
      </c>
    </row>
    <row r="72" spans="2:13" x14ac:dyDescent="0.15">
      <c r="B72" s="80" t="str">
        <f>B47</f>
        <v>Reported Net Income</v>
      </c>
      <c r="C72" s="101">
        <f>IF(D$36="","",C47/D47-1)</f>
        <v>-0.27704081632653066</v>
      </c>
      <c r="D72" s="101">
        <f t="shared" ref="D72:M72" si="38">IF(E$36="","",D47/E47-1)</f>
        <v>2.5212459115004471E-2</v>
      </c>
      <c r="E72" s="101">
        <f t="shared" si="38"/>
        <v>-0.40541420741535017</v>
      </c>
      <c r="F72" s="101" t="e">
        <f t="shared" si="38"/>
        <v>#DIV/0!</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6" x14ac:dyDescent="0.25">
      <c r="B74" s="36" t="s">
        <v>83</v>
      </c>
      <c r="C74" s="37"/>
      <c r="D74" s="37"/>
      <c r="E74" s="37"/>
      <c r="F74" s="37"/>
      <c r="G74" s="37"/>
      <c r="H74" s="37"/>
      <c r="I74" s="37"/>
      <c r="J74" s="37"/>
      <c r="K74" s="37"/>
      <c r="L74" s="37"/>
      <c r="M74" s="37"/>
    </row>
    <row r="75" spans="2:13" x14ac:dyDescent="0.15">
      <c r="B75" s="16" t="s">
        <v>28</v>
      </c>
      <c r="C75" s="9"/>
    </row>
    <row r="76" spans="2:13" ht="13" x14ac:dyDescent="0.15">
      <c r="B76" s="26" t="s">
        <v>3</v>
      </c>
      <c r="C76" s="76">
        <f>IF(C$4="","",C79+C80)</f>
        <v>180996</v>
      </c>
      <c r="D76" s="76">
        <f t="shared" ref="D76:M76" si="39">IF(D$4="","",D79+D80)</f>
        <v>174007</v>
      </c>
      <c r="E76" s="76">
        <f t="shared" si="39"/>
        <v>0</v>
      </c>
      <c r="F76" s="76">
        <f t="shared" si="39"/>
        <v>0</v>
      </c>
      <c r="G76" s="76">
        <f t="shared" si="39"/>
        <v>0</v>
      </c>
      <c r="H76" s="76" t="str">
        <f t="shared" si="39"/>
        <v/>
      </c>
      <c r="I76" s="76" t="str">
        <f t="shared" si="39"/>
        <v/>
      </c>
      <c r="J76" s="76" t="str">
        <f t="shared" si="39"/>
        <v/>
      </c>
      <c r="K76" s="76" t="str">
        <f t="shared" si="39"/>
        <v/>
      </c>
      <c r="L76" s="76" t="str">
        <f t="shared" si="39"/>
        <v/>
      </c>
      <c r="M76" s="76" t="str">
        <f t="shared" si="39"/>
        <v/>
      </c>
    </row>
    <row r="77" spans="2:13" ht="13" x14ac:dyDescent="0.15">
      <c r="B77" s="93" t="s">
        <v>86</v>
      </c>
      <c r="C77" s="334">
        <f t="shared" ref="C77:H78" si="40">IF(C$4="","",C28)</f>
        <v>8029</v>
      </c>
      <c r="D77" s="334">
        <f t="shared" si="40"/>
        <v>7251</v>
      </c>
      <c r="E77" s="334">
        <f t="shared" si="40"/>
        <v>0</v>
      </c>
      <c r="F77" s="334">
        <f t="shared" si="40"/>
        <v>0</v>
      </c>
      <c r="G77" s="334">
        <f t="shared" si="40"/>
        <v>0</v>
      </c>
      <c r="H77" s="334" t="str">
        <f t="shared" si="40"/>
        <v/>
      </c>
      <c r="I77" s="338"/>
      <c r="J77" s="338"/>
      <c r="K77" s="338"/>
      <c r="L77" s="338"/>
      <c r="M77" s="338"/>
    </row>
    <row r="78" spans="2:13" ht="13" x14ac:dyDescent="0.15">
      <c r="B78" s="93" t="s">
        <v>87</v>
      </c>
      <c r="C78" s="334">
        <f t="shared" si="40"/>
        <v>9844</v>
      </c>
      <c r="D78" s="334">
        <f t="shared" si="40"/>
        <v>16389</v>
      </c>
      <c r="E78" s="334">
        <f t="shared" si="40"/>
        <v>0</v>
      </c>
      <c r="F78" s="334">
        <f t="shared" si="40"/>
        <v>0</v>
      </c>
      <c r="G78" s="334">
        <f t="shared" si="40"/>
        <v>0</v>
      </c>
      <c r="H78" s="334" t="str">
        <f t="shared" si="40"/>
        <v/>
      </c>
      <c r="I78" s="338"/>
      <c r="J78" s="338"/>
      <c r="K78" s="338"/>
      <c r="L78" s="338"/>
      <c r="M78" s="338"/>
    </row>
    <row r="79" spans="2:13" ht="13" x14ac:dyDescent="0.15">
      <c r="B79" s="26" t="s">
        <v>40</v>
      </c>
      <c r="C79" s="324">
        <f t="shared" ref="C79:M79" si="41">IF(C$4="","",C30)</f>
        <v>13889</v>
      </c>
      <c r="D79" s="324">
        <f t="shared" si="41"/>
        <v>10902</v>
      </c>
      <c r="E79" s="324">
        <f t="shared" si="41"/>
        <v>0</v>
      </c>
      <c r="F79" s="324">
        <f t="shared" si="41"/>
        <v>0</v>
      </c>
      <c r="G79" s="324">
        <f t="shared" si="41"/>
        <v>0</v>
      </c>
      <c r="H79" s="324" t="str">
        <f t="shared" si="41"/>
        <v/>
      </c>
      <c r="I79" s="324" t="str">
        <f t="shared" si="41"/>
        <v/>
      </c>
      <c r="J79" s="324" t="str">
        <f t="shared" si="41"/>
        <v/>
      </c>
      <c r="K79" s="324" t="str">
        <f t="shared" si="41"/>
        <v/>
      </c>
      <c r="L79" s="324" t="str">
        <f t="shared" si="41"/>
        <v/>
      </c>
      <c r="M79" s="324" t="str">
        <f t="shared" si="41"/>
        <v/>
      </c>
    </row>
    <row r="80" spans="2:13" ht="13" x14ac:dyDescent="0.15">
      <c r="B80" s="26" t="s">
        <v>30</v>
      </c>
      <c r="C80" s="324">
        <f t="shared" ref="C80:M80" si="42">IF(C$4="","",C31)</f>
        <v>167107</v>
      </c>
      <c r="D80" s="324">
        <f t="shared" si="42"/>
        <v>163105</v>
      </c>
      <c r="E80" s="324">
        <f t="shared" si="42"/>
        <v>0</v>
      </c>
      <c r="F80" s="324">
        <f t="shared" si="42"/>
        <v>0</v>
      </c>
      <c r="G80" s="324">
        <f t="shared" si="42"/>
        <v>0</v>
      </c>
      <c r="H80" s="324" t="str">
        <f t="shared" si="42"/>
        <v/>
      </c>
      <c r="I80" s="324" t="str">
        <f t="shared" si="42"/>
        <v/>
      </c>
      <c r="J80" s="324" t="str">
        <f t="shared" si="42"/>
        <v/>
      </c>
      <c r="K80" s="324" t="str">
        <f t="shared" si="42"/>
        <v/>
      </c>
      <c r="L80" s="324" t="str">
        <f t="shared" si="42"/>
        <v/>
      </c>
      <c r="M80" s="324"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48" zoomScaleNormal="100" workbookViewId="0">
      <selection activeCell="C75" sqref="C75:D75"/>
    </sheetView>
  </sheetViews>
  <sheetFormatPr baseColWidth="10" defaultColWidth="12.33203125" defaultRowHeight="15" customHeight="1" x14ac:dyDescent="0.1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15">
      <c r="B1" s="18" t="s">
        <v>37</v>
      </c>
      <c r="C1" s="99">
        <v>45473</v>
      </c>
      <c r="F1" s="86" t="str">
        <f>IF(MONTH(C1)=MONTH(Normalized_FCF!G1),"FY","Quarter")&amp;" Report"</f>
        <v>FY Report</v>
      </c>
      <c r="H1" s="107">
        <f>scaling_factor</f>
        <v>1000000</v>
      </c>
    </row>
    <row r="2" spans="2:8" ht="15" customHeight="1" x14ac:dyDescent="0.15">
      <c r="B2" s="79" t="s">
        <v>157</v>
      </c>
      <c r="C2" s="37"/>
      <c r="D2" s="37"/>
      <c r="E2" s="37"/>
      <c r="F2" s="37"/>
      <c r="G2" s="37"/>
      <c r="H2" s="37"/>
    </row>
    <row r="3" spans="2:8" ht="15" customHeight="1" x14ac:dyDescent="0.15">
      <c r="B3" s="16" t="s">
        <v>185</v>
      </c>
      <c r="C3" s="182" t="s">
        <v>137</v>
      </c>
      <c r="D3" s="183" t="s">
        <v>35</v>
      </c>
      <c r="F3" s="16" t="s">
        <v>186</v>
      </c>
      <c r="G3" s="182" t="s">
        <v>137</v>
      </c>
      <c r="H3" s="183" t="s">
        <v>35</v>
      </c>
    </row>
    <row r="4" spans="2:8" ht="15" customHeight="1" x14ac:dyDescent="0.15">
      <c r="B4" s="4" t="s">
        <v>24</v>
      </c>
      <c r="C4" s="19">
        <v>8029</v>
      </c>
      <c r="D4" s="261">
        <v>0.6</v>
      </c>
      <c r="E4" s="25"/>
      <c r="F4" s="4" t="s">
        <v>78</v>
      </c>
      <c r="G4" s="19">
        <v>45665</v>
      </c>
      <c r="H4" s="261">
        <v>0.9</v>
      </c>
    </row>
    <row r="5" spans="2:8" ht="15" customHeight="1" x14ac:dyDescent="0.15">
      <c r="B5" s="1" t="s">
        <v>33</v>
      </c>
      <c r="C5" s="19">
        <v>0</v>
      </c>
      <c r="D5" s="261">
        <v>0.6</v>
      </c>
      <c r="E5" s="25"/>
      <c r="F5" s="1" t="s">
        <v>29</v>
      </c>
      <c r="G5" s="19">
        <v>2014</v>
      </c>
      <c r="H5" s="261">
        <v>0.7</v>
      </c>
    </row>
    <row r="6" spans="2:8" ht="15" customHeight="1" x14ac:dyDescent="0.15">
      <c r="B6" s="4" t="s">
        <v>10</v>
      </c>
      <c r="C6" s="19">
        <v>9844</v>
      </c>
      <c r="D6" s="261">
        <v>0.5</v>
      </c>
      <c r="E6" s="25"/>
      <c r="F6" s="4" t="s">
        <v>178</v>
      </c>
      <c r="G6" s="19">
        <v>156</v>
      </c>
      <c r="H6" s="261">
        <v>0.6</v>
      </c>
    </row>
    <row r="7" spans="2:8" ht="15" customHeight="1" x14ac:dyDescent="0.15">
      <c r="B7" s="1" t="s">
        <v>69</v>
      </c>
      <c r="C7" s="19">
        <v>5466</v>
      </c>
      <c r="D7" s="261">
        <v>0.6</v>
      </c>
      <c r="E7" s="25"/>
      <c r="F7" s="4" t="s">
        <v>179</v>
      </c>
      <c r="G7" s="19">
        <v>0</v>
      </c>
      <c r="H7" s="261">
        <v>0.6</v>
      </c>
    </row>
    <row r="8" spans="2:8" ht="15" customHeight="1" x14ac:dyDescent="0.15">
      <c r="B8" s="1" t="s">
        <v>174</v>
      </c>
      <c r="C8" s="19">
        <v>0</v>
      </c>
      <c r="D8" s="261">
        <v>0.6</v>
      </c>
      <c r="E8" s="25"/>
      <c r="F8" s="1" t="s">
        <v>180</v>
      </c>
      <c r="G8" s="19">
        <v>0</v>
      </c>
      <c r="H8" s="261">
        <v>0.6</v>
      </c>
    </row>
    <row r="9" spans="2:8" ht="15" customHeight="1" x14ac:dyDescent="0.15">
      <c r="B9" s="4" t="s">
        <v>25</v>
      </c>
      <c r="C9" s="19">
        <v>0</v>
      </c>
      <c r="D9" s="261">
        <v>0.1</v>
      </c>
      <c r="E9" s="25"/>
      <c r="F9" s="4" t="s">
        <v>181</v>
      </c>
      <c r="G9" s="19">
        <v>0</v>
      </c>
      <c r="H9" s="261">
        <v>0.6</v>
      </c>
    </row>
    <row r="10" spans="2:8" ht="15" customHeight="1" x14ac:dyDescent="0.15">
      <c r="B10" s="4" t="s">
        <v>11</v>
      </c>
      <c r="C10" s="19">
        <v>10</v>
      </c>
      <c r="D10" s="261">
        <v>0.9</v>
      </c>
      <c r="H10" s="262"/>
    </row>
    <row r="11" spans="2:8" ht="15" customHeight="1" x14ac:dyDescent="0.15">
      <c r="B11" s="4" t="s">
        <v>12</v>
      </c>
      <c r="C11" s="19">
        <v>0</v>
      </c>
      <c r="D11" s="261">
        <v>0.05</v>
      </c>
      <c r="H11" s="262"/>
    </row>
    <row r="12" spans="2:8" ht="15" customHeight="1" x14ac:dyDescent="0.15">
      <c r="B12" s="80" t="s">
        <v>72</v>
      </c>
      <c r="C12" s="81">
        <f>SUM(C4:C11)</f>
        <v>23349</v>
      </c>
      <c r="D12" s="20">
        <f>C4*D4+C5*D5+C9*D9+C6*D6+C8*D8+C7*D7+C10*D10+C11*D11</f>
        <v>13028</v>
      </c>
      <c r="F12" s="80" t="s">
        <v>70</v>
      </c>
      <c r="G12" s="81">
        <f>SUM(G4:G9)</f>
        <v>47835</v>
      </c>
      <c r="H12" s="20">
        <f>G4*H4+G5*H5+G6*H6+G7*H7+G8*H8+G9*H9</f>
        <v>42601.9</v>
      </c>
    </row>
    <row r="13" spans="2:8" ht="15" customHeight="1" x14ac:dyDescent="0.15">
      <c r="F13" s="80"/>
      <c r="G13" s="81"/>
      <c r="H13" s="20"/>
    </row>
    <row r="14" spans="2:8" ht="15" customHeight="1" x14ac:dyDescent="0.15">
      <c r="B14" s="16" t="s">
        <v>184</v>
      </c>
      <c r="C14" s="182" t="s">
        <v>137</v>
      </c>
      <c r="D14" s="183" t="s">
        <v>35</v>
      </c>
      <c r="F14" s="16" t="s">
        <v>187</v>
      </c>
      <c r="G14" s="182" t="s">
        <v>137</v>
      </c>
      <c r="H14" s="183" t="s">
        <v>35</v>
      </c>
    </row>
    <row r="15" spans="2:8" ht="15" customHeight="1" x14ac:dyDescent="0.15">
      <c r="B15" s="4" t="s">
        <v>73</v>
      </c>
      <c r="C15" s="19">
        <v>2757</v>
      </c>
      <c r="D15" s="261">
        <v>0.4</v>
      </c>
      <c r="F15" s="4" t="s">
        <v>79</v>
      </c>
      <c r="G15" s="19">
        <v>0</v>
      </c>
      <c r="H15" s="261">
        <v>0.8</v>
      </c>
    </row>
    <row r="16" spans="2:8" ht="15" customHeight="1" x14ac:dyDescent="0.15">
      <c r="B16" s="1" t="s">
        <v>34</v>
      </c>
      <c r="C16" s="19">
        <v>0</v>
      </c>
      <c r="D16" s="261">
        <v>0.5</v>
      </c>
      <c r="F16" s="4" t="s">
        <v>178</v>
      </c>
      <c r="G16" s="19">
        <v>1373</v>
      </c>
      <c r="H16" s="261">
        <v>0.6</v>
      </c>
    </row>
    <row r="17" spans="2:8" ht="15" customHeight="1" x14ac:dyDescent="0.15">
      <c r="B17" s="1" t="s">
        <v>69</v>
      </c>
      <c r="C17" s="19">
        <v>67668</v>
      </c>
      <c r="D17" s="261">
        <v>0.6</v>
      </c>
      <c r="F17" s="4" t="s">
        <v>179</v>
      </c>
      <c r="G17" s="19">
        <v>13024</v>
      </c>
      <c r="H17" s="261">
        <v>0.6</v>
      </c>
    </row>
    <row r="18" spans="2:8" ht="15" customHeight="1" x14ac:dyDescent="0.15">
      <c r="B18" s="4" t="s">
        <v>174</v>
      </c>
      <c r="C18" s="19">
        <v>0</v>
      </c>
      <c r="D18" s="261">
        <v>0.6</v>
      </c>
      <c r="F18" s="4" t="s">
        <v>182</v>
      </c>
      <c r="G18" s="19">
        <v>23696</v>
      </c>
      <c r="H18" s="261">
        <v>0.1</v>
      </c>
    </row>
    <row r="19" spans="2:8" ht="15" customHeight="1" x14ac:dyDescent="0.15">
      <c r="B19" s="4" t="s">
        <v>26</v>
      </c>
      <c r="C19" s="19">
        <v>1284</v>
      </c>
      <c r="D19" s="261">
        <v>0.1</v>
      </c>
      <c r="F19" s="4" t="s">
        <v>183</v>
      </c>
      <c r="G19" s="19">
        <v>0</v>
      </c>
      <c r="H19" s="261">
        <v>0.1</v>
      </c>
    </row>
    <row r="20" spans="2:8" ht="15" customHeight="1" x14ac:dyDescent="0.15">
      <c r="B20" s="4" t="s">
        <v>18</v>
      </c>
      <c r="C20" s="19">
        <v>0</v>
      </c>
      <c r="D20" s="261">
        <v>0.05</v>
      </c>
      <c r="F20" s="4" t="s">
        <v>180</v>
      </c>
      <c r="G20" s="19">
        <v>0</v>
      </c>
      <c r="H20" s="261">
        <v>0.2</v>
      </c>
    </row>
    <row r="21" spans="2:8" ht="15" customHeight="1" x14ac:dyDescent="0.15">
      <c r="B21" s="4" t="s">
        <v>19</v>
      </c>
      <c r="C21" s="19">
        <v>0</v>
      </c>
      <c r="D21" s="261">
        <v>0.05</v>
      </c>
      <c r="F21" s="1" t="s">
        <v>181</v>
      </c>
      <c r="G21" s="19">
        <v>0</v>
      </c>
      <c r="H21" s="261">
        <v>0.1</v>
      </c>
    </row>
    <row r="22" spans="2:8" ht="15" customHeight="1" x14ac:dyDescent="0.15">
      <c r="B22" s="4" t="s">
        <v>20</v>
      </c>
      <c r="C22" s="19">
        <v>10</v>
      </c>
      <c r="D22" s="261">
        <v>0.9</v>
      </c>
      <c r="H22" s="262"/>
    </row>
    <row r="23" spans="2:8" ht="15" customHeight="1" x14ac:dyDescent="0.15">
      <c r="B23" s="4" t="s">
        <v>21</v>
      </c>
      <c r="C23" s="19">
        <v>0</v>
      </c>
      <c r="D23" s="261">
        <v>0</v>
      </c>
      <c r="H23" s="262"/>
    </row>
    <row r="24" spans="2:8" ht="15" customHeight="1" x14ac:dyDescent="0.15">
      <c r="B24" s="80" t="s">
        <v>74</v>
      </c>
      <c r="C24" s="81">
        <f>SUM(C15:C23)</f>
        <v>71719</v>
      </c>
      <c r="D24" s="20">
        <f>C15*D15+C16*D16+C18*D18+C17*D17+C19*D19+C20*D20+C21*D21+C22*D22+C23*D23</f>
        <v>41841</v>
      </c>
      <c r="F24" s="80" t="s">
        <v>71</v>
      </c>
      <c r="G24" s="81">
        <f>SUM(G15:G21)</f>
        <v>38093</v>
      </c>
      <c r="H24" s="20">
        <f>G15*H15+G16*H16+G17*H17+G18*H18+G19*H19+G20*H20+G21*H21</f>
        <v>11007.8</v>
      </c>
    </row>
    <row r="26" spans="2:8" ht="15" customHeight="1" x14ac:dyDescent="0.15">
      <c r="B26" s="16" t="s">
        <v>201</v>
      </c>
      <c r="C26" s="182" t="s">
        <v>137</v>
      </c>
      <c r="F26" s="184" t="s">
        <v>197</v>
      </c>
      <c r="G26" s="185" t="s">
        <v>137</v>
      </c>
      <c r="H26" s="186" t="s">
        <v>35</v>
      </c>
    </row>
    <row r="27" spans="2:8" ht="15" customHeight="1" x14ac:dyDescent="0.15">
      <c r="B27" s="4" t="s">
        <v>5</v>
      </c>
      <c r="C27" s="19">
        <v>967</v>
      </c>
      <c r="F27" s="187" t="s">
        <v>30</v>
      </c>
      <c r="G27" s="85">
        <f>G32-G30</f>
        <v>167107</v>
      </c>
      <c r="H27" s="188">
        <f>H32-G30</f>
        <v>94589.7</v>
      </c>
    </row>
    <row r="28" spans="2:8" ht="15" customHeight="1" x14ac:dyDescent="0.15">
      <c r="B28" s="4" t="s">
        <v>6</v>
      </c>
      <c r="C28" s="19">
        <v>37</v>
      </c>
      <c r="F28" s="189" t="s">
        <v>245</v>
      </c>
      <c r="G28" s="12">
        <v>519</v>
      </c>
      <c r="H28" s="188"/>
    </row>
    <row r="29" spans="2:8" ht="15" customHeight="1" x14ac:dyDescent="0.15">
      <c r="B29" s="4" t="s">
        <v>7</v>
      </c>
      <c r="C29" s="19">
        <v>0</v>
      </c>
      <c r="F29" s="190" t="s">
        <v>76</v>
      </c>
      <c r="G29" s="14">
        <f>G27-G28</f>
        <v>166588</v>
      </c>
      <c r="H29" s="188">
        <f>H27-G28</f>
        <v>94070.7</v>
      </c>
    </row>
    <row r="30" spans="2:8" ht="15" customHeight="1" x14ac:dyDescent="0.15">
      <c r="B30" s="2" t="s">
        <v>8</v>
      </c>
      <c r="C30" s="19">
        <v>0</v>
      </c>
      <c r="F30" s="187" t="s">
        <v>23</v>
      </c>
      <c r="G30" s="85">
        <f>C33+C42</f>
        <v>13889</v>
      </c>
      <c r="H30" s="188"/>
    </row>
    <row r="31" spans="2:8" ht="15" customHeight="1" x14ac:dyDescent="0.15">
      <c r="B31" s="80" t="s">
        <v>204</v>
      </c>
      <c r="C31" s="81">
        <f>SUM(C27:C30)</f>
        <v>1004</v>
      </c>
      <c r="F31" s="190" t="s">
        <v>77</v>
      </c>
      <c r="G31" s="191">
        <f>C31+C40</f>
        <v>3093</v>
      </c>
      <c r="H31" s="188"/>
    </row>
    <row r="32" spans="2:8" ht="15" customHeight="1" x14ac:dyDescent="0.15">
      <c r="B32" s="4" t="s">
        <v>9</v>
      </c>
      <c r="C32" s="21">
        <f>C33-C31</f>
        <v>8048</v>
      </c>
      <c r="F32" s="192" t="s">
        <v>75</v>
      </c>
      <c r="G32" s="193">
        <f>G35+G40</f>
        <v>180996</v>
      </c>
      <c r="H32" s="188">
        <f>H35+H40</f>
        <v>108478.7</v>
      </c>
    </row>
    <row r="33" spans="2:8" ht="15" customHeight="1" x14ac:dyDescent="0.15">
      <c r="B33" s="83" t="s">
        <v>4</v>
      </c>
      <c r="C33" s="84">
        <v>9052</v>
      </c>
      <c r="F33" s="194"/>
      <c r="G33" s="2"/>
      <c r="H33" s="195"/>
    </row>
    <row r="34" spans="2:8" ht="15" customHeight="1" x14ac:dyDescent="0.15">
      <c r="B34" s="83"/>
      <c r="C34" s="84"/>
      <c r="F34" s="196" t="s">
        <v>203</v>
      </c>
      <c r="G34" s="197" t="s">
        <v>137</v>
      </c>
      <c r="H34" s="198" t="s">
        <v>35</v>
      </c>
    </row>
    <row r="35" spans="2:8" ht="15" customHeight="1" x14ac:dyDescent="0.15">
      <c r="B35" s="16" t="s">
        <v>202</v>
      </c>
      <c r="C35" s="182" t="s">
        <v>137</v>
      </c>
      <c r="F35" s="199" t="s">
        <v>31</v>
      </c>
      <c r="G35" s="193">
        <f>C12+C24</f>
        <v>95068</v>
      </c>
      <c r="H35" s="200">
        <f>D12+D24</f>
        <v>54869</v>
      </c>
    </row>
    <row r="36" spans="2:8" ht="15" customHeight="1" x14ac:dyDescent="0.15">
      <c r="B36" s="4" t="s">
        <v>13</v>
      </c>
      <c r="C36" s="19">
        <v>832</v>
      </c>
      <c r="F36" s="190" t="s">
        <v>198</v>
      </c>
      <c r="G36" s="191">
        <f>C4+C15</f>
        <v>10786</v>
      </c>
      <c r="H36" s="195"/>
    </row>
    <row r="37" spans="2:8" ht="15" customHeight="1" x14ac:dyDescent="0.15">
      <c r="B37" s="4" t="s">
        <v>14</v>
      </c>
      <c r="C37" s="19">
        <v>27</v>
      </c>
      <c r="F37" s="190" t="s">
        <v>199</v>
      </c>
      <c r="G37" s="191">
        <f>C6</f>
        <v>9844</v>
      </c>
      <c r="H37" s="195"/>
    </row>
    <row r="38" spans="2:8" ht="15" customHeight="1" x14ac:dyDescent="0.15">
      <c r="B38" s="4" t="s">
        <v>15</v>
      </c>
      <c r="C38" s="19">
        <v>1230</v>
      </c>
      <c r="F38" s="190" t="s">
        <v>200</v>
      </c>
      <c r="G38" s="191">
        <f>C7+C17</f>
        <v>73134</v>
      </c>
      <c r="H38" s="195"/>
    </row>
    <row r="39" spans="2:8" ht="15" customHeight="1" x14ac:dyDescent="0.15">
      <c r="B39" s="2" t="s">
        <v>16</v>
      </c>
      <c r="C39" s="19">
        <v>0</v>
      </c>
      <c r="F39" s="190" t="s">
        <v>80</v>
      </c>
      <c r="G39" s="191">
        <f>C7+C17+C19+C20</f>
        <v>74418</v>
      </c>
      <c r="H39" s="188">
        <f>C7*D7+C17*D17+C19*D19+C20*D20</f>
        <v>44008.799999999996</v>
      </c>
    </row>
    <row r="40" spans="2:8" ht="15" customHeight="1" x14ac:dyDescent="0.15">
      <c r="B40" s="80" t="s">
        <v>205</v>
      </c>
      <c r="C40" s="81">
        <f>SUM(C36:C39)</f>
        <v>2089</v>
      </c>
      <c r="F40" s="199" t="s">
        <v>139</v>
      </c>
      <c r="G40" s="193">
        <f>G12+G24</f>
        <v>85928</v>
      </c>
      <c r="H40" s="200">
        <f>H12+H24</f>
        <v>53609.7</v>
      </c>
    </row>
    <row r="41" spans="2:8" ht="15" customHeight="1" x14ac:dyDescent="0.15">
      <c r="B41" s="4" t="s">
        <v>17</v>
      </c>
      <c r="C41" s="21">
        <f>C42-C40</f>
        <v>2748</v>
      </c>
      <c r="F41" s="190" t="s">
        <v>192</v>
      </c>
      <c r="G41" s="191">
        <f>C70</f>
        <v>72904</v>
      </c>
      <c r="H41" s="200">
        <f>H40-H42</f>
        <v>45795.299999999996</v>
      </c>
    </row>
    <row r="42" spans="2:8" ht="15" customHeight="1" x14ac:dyDescent="0.15">
      <c r="B42" s="83" t="s">
        <v>22</v>
      </c>
      <c r="C42" s="84">
        <v>4837</v>
      </c>
      <c r="F42" s="201" t="s">
        <v>193</v>
      </c>
      <c r="G42" s="202">
        <f>C82</f>
        <v>13024</v>
      </c>
      <c r="H42" s="203">
        <f>D82</f>
        <v>7814.4</v>
      </c>
    </row>
    <row r="44" spans="2:8" ht="15" customHeight="1" x14ac:dyDescent="0.15">
      <c r="B44" s="79" t="s">
        <v>97</v>
      </c>
      <c r="C44" s="37"/>
      <c r="D44" s="37"/>
      <c r="E44" s="37"/>
      <c r="F44" s="37"/>
      <c r="G44" s="37"/>
      <c r="H44" s="37"/>
    </row>
    <row r="45" spans="2:8" ht="15" customHeight="1" x14ac:dyDescent="0.15">
      <c r="B45" s="16" t="s">
        <v>272</v>
      </c>
      <c r="C45" s="234" t="s">
        <v>137</v>
      </c>
      <c r="D45" s="182" t="s">
        <v>406</v>
      </c>
      <c r="F45" s="256" t="s">
        <v>59</v>
      </c>
    </row>
    <row r="46" spans="2:8" ht="15" customHeight="1" x14ac:dyDescent="0.15">
      <c r="B46" s="1" t="s">
        <v>274</v>
      </c>
      <c r="C46" s="76">
        <f>G29</f>
        <v>166588</v>
      </c>
      <c r="D46" s="76">
        <f>H29</f>
        <v>94070.7</v>
      </c>
      <c r="F46" s="253"/>
    </row>
    <row r="47" spans="2:8" ht="15" customHeight="1" x14ac:dyDescent="0.15">
      <c r="B47" s="1" t="str">
        <f>"Equity per share ("&amp;Market_currency&amp;")"</f>
        <v>Equity per share (HKD)</v>
      </c>
      <c r="C47" s="147">
        <f>C46*H1/Common_Shares*Exchange_Rate</f>
        <v>20.385517323391081</v>
      </c>
      <c r="D47" s="147">
        <f>D46*H1/Common_Shares*Exchange_Rate</f>
        <v>11.511512740854835</v>
      </c>
      <c r="F47" s="253"/>
    </row>
    <row r="48" spans="2:8" ht="15" customHeight="1" x14ac:dyDescent="0.15">
      <c r="F48" s="253"/>
    </row>
    <row r="49" spans="2:8" ht="15" customHeight="1" x14ac:dyDescent="0.15">
      <c r="B49" s="157" t="s">
        <v>144</v>
      </c>
      <c r="C49" s="235" t="s">
        <v>57</v>
      </c>
      <c r="D49" s="197" t="s">
        <v>96</v>
      </c>
      <c r="E49" s="2"/>
      <c r="F49" s="253"/>
    </row>
    <row r="50" spans="2:8" ht="15" customHeight="1" x14ac:dyDescent="0.15">
      <c r="B50" s="8" t="s">
        <v>94</v>
      </c>
      <c r="C50" s="95">
        <f>G31/Normalized_FCF!C8</f>
        <v>1.1933697905849452</v>
      </c>
      <c r="D50" s="95">
        <f>G31/Normalized_FCF!G8</f>
        <v>1.3234916559691912</v>
      </c>
      <c r="F50" s="253"/>
    </row>
    <row r="51" spans="2:8" ht="15" customHeight="1" x14ac:dyDescent="0.15">
      <c r="B51" s="1" t="s">
        <v>177</v>
      </c>
      <c r="C51" s="181"/>
      <c r="D51" s="92">
        <f>G29/G32</f>
        <v>0.92039603085151056</v>
      </c>
      <c r="F51" s="253"/>
    </row>
    <row r="52" spans="2:8" ht="15" customHeight="1" x14ac:dyDescent="0.15">
      <c r="F52" s="253"/>
    </row>
    <row r="53" spans="2:8" ht="15" customHeight="1" x14ac:dyDescent="0.15">
      <c r="B53" s="157" t="s">
        <v>143</v>
      </c>
      <c r="C53" s="235" t="s">
        <v>57</v>
      </c>
      <c r="D53" s="197" t="s">
        <v>96</v>
      </c>
      <c r="F53" s="253"/>
    </row>
    <row r="54" spans="2:8" ht="15" customHeight="1" x14ac:dyDescent="0.15">
      <c r="B54" s="1" t="s">
        <v>140</v>
      </c>
      <c r="C54" s="92">
        <f>Normalized_FCF!C8/G35</f>
        <v>2.7262804090098017E-2</v>
      </c>
      <c r="D54" s="92">
        <f>Normalized_FCF!G8/G35</f>
        <v>2.4582404173854506E-2</v>
      </c>
      <c r="F54" s="253"/>
    </row>
    <row r="55" spans="2:8" ht="15" customHeight="1" x14ac:dyDescent="0.15">
      <c r="B55" s="1" t="s">
        <v>142</v>
      </c>
      <c r="C55" s="92">
        <f>Normalized_FCF!C11/G40</f>
        <v>7.4364584303137507E-3</v>
      </c>
      <c r="D55" s="92">
        <f>Normalized_FCF!G11/G40</f>
        <v>7.4364584303137507E-3</v>
      </c>
      <c r="F55" s="253"/>
    </row>
    <row r="56" spans="2:8" ht="15" customHeight="1" x14ac:dyDescent="0.15">
      <c r="F56" s="253"/>
    </row>
    <row r="57" spans="2:8" ht="15" customHeight="1" x14ac:dyDescent="0.15">
      <c r="B57" s="157" t="s">
        <v>176</v>
      </c>
      <c r="C57" s="235" t="s">
        <v>57</v>
      </c>
      <c r="D57" s="197" t="s">
        <v>96</v>
      </c>
      <c r="F57" s="253"/>
    </row>
    <row r="58" spans="2:8" ht="15" customHeight="1" x14ac:dyDescent="0.15">
      <c r="B58" s="2" t="s">
        <v>90</v>
      </c>
      <c r="C58" s="98"/>
      <c r="D58" s="23">
        <f>Normalized_FCF!G9/BS!$G$39</f>
        <v>2.1500174688919346E-3</v>
      </c>
      <c r="F58" s="5"/>
    </row>
    <row r="59" spans="2:8" ht="15" customHeight="1" x14ac:dyDescent="0.15">
      <c r="B59" s="1" t="s">
        <v>93</v>
      </c>
      <c r="C59" s="98"/>
      <c r="D59" s="92">
        <f>G39/G32</f>
        <v>0.41115825764105285</v>
      </c>
      <c r="F59" s="253"/>
    </row>
    <row r="60" spans="2:8" ht="15" customHeight="1" x14ac:dyDescent="0.15">
      <c r="F60" s="253"/>
    </row>
    <row r="61" spans="2:8" ht="15" customHeight="1" x14ac:dyDescent="0.15">
      <c r="B61" s="157" t="s">
        <v>275</v>
      </c>
      <c r="C61" s="235" t="s">
        <v>138</v>
      </c>
      <c r="D61" s="197" t="s">
        <v>96</v>
      </c>
      <c r="F61" s="253"/>
    </row>
    <row r="62" spans="2:8" ht="15" customHeight="1" x14ac:dyDescent="0.15">
      <c r="B62" s="1" t="s">
        <v>246</v>
      </c>
      <c r="C62" s="92">
        <f>IF(G28&lt;=0,0,G28/G29)</f>
        <v>3.1154705020769802E-3</v>
      </c>
      <c r="D62" s="92">
        <f>G28/G29</f>
        <v>3.1154705020769802E-3</v>
      </c>
      <c r="F62" s="253" t="s">
        <v>273</v>
      </c>
    </row>
    <row r="64" spans="2:8" ht="15" customHeight="1" x14ac:dyDescent="0.15">
      <c r="B64" s="79" t="s">
        <v>194</v>
      </c>
      <c r="C64" s="37"/>
      <c r="D64" s="37"/>
      <c r="E64" s="37"/>
      <c r="F64" s="37"/>
      <c r="G64" s="37"/>
      <c r="H64" s="37"/>
    </row>
    <row r="65" spans="2:6" ht="15" customHeight="1" x14ac:dyDescent="0.15">
      <c r="B65" s="16" t="s">
        <v>189</v>
      </c>
      <c r="C65" s="234" t="s">
        <v>137</v>
      </c>
      <c r="D65" s="183" t="s">
        <v>286</v>
      </c>
      <c r="F65" s="256" t="s">
        <v>59</v>
      </c>
    </row>
    <row r="66" spans="2:6" ht="15" customHeight="1" x14ac:dyDescent="0.15">
      <c r="B66" s="105" t="s">
        <v>188</v>
      </c>
      <c r="C66" s="20">
        <f>G4+G5+G15</f>
        <v>47679</v>
      </c>
      <c r="D66" s="76">
        <f>C66-D75</f>
        <v>42222.564948178719</v>
      </c>
      <c r="F66" s="5" t="s">
        <v>227</v>
      </c>
    </row>
    <row r="67" spans="2:6" ht="15" customHeight="1" x14ac:dyDescent="0.15">
      <c r="B67" s="105" t="s">
        <v>178</v>
      </c>
      <c r="C67" s="20">
        <f>G6+G16</f>
        <v>1529</v>
      </c>
      <c r="F67" s="253"/>
    </row>
    <row r="68" spans="2:6" ht="15" customHeight="1" x14ac:dyDescent="0.15">
      <c r="B68" s="105" t="s">
        <v>182</v>
      </c>
      <c r="C68" s="20">
        <f>G18</f>
        <v>23696</v>
      </c>
      <c r="F68" s="253"/>
    </row>
    <row r="69" spans="2:6" ht="15" customHeight="1" x14ac:dyDescent="0.15">
      <c r="B69" s="105" t="s">
        <v>180</v>
      </c>
      <c r="C69" s="20">
        <f>G8+G20</f>
        <v>0</v>
      </c>
      <c r="F69" s="253"/>
    </row>
    <row r="70" spans="2:6" ht="15" customHeight="1" x14ac:dyDescent="0.15">
      <c r="B70" s="80" t="s">
        <v>189</v>
      </c>
      <c r="C70" s="81">
        <f>SUM(C66:C69)</f>
        <v>72904</v>
      </c>
      <c r="F70" s="253"/>
    </row>
    <row r="71" spans="2:6" ht="15" customHeight="1" x14ac:dyDescent="0.15">
      <c r="F71" s="253"/>
    </row>
    <row r="72" spans="2:6" ht="15" customHeight="1" x14ac:dyDescent="0.15">
      <c r="B72" s="255" t="s">
        <v>319</v>
      </c>
      <c r="C72" s="234" t="s">
        <v>96</v>
      </c>
      <c r="D72" s="182" t="s">
        <v>57</v>
      </c>
      <c r="F72" s="253"/>
    </row>
    <row r="73" spans="2:6" ht="15" customHeight="1" x14ac:dyDescent="0.15">
      <c r="B73" s="105" t="s">
        <v>318</v>
      </c>
      <c r="C73" s="76">
        <f>(Normalized_FCF!G25+Normalized_FCF!G35-Normalized_FCF!G91)/12</f>
        <v>-930.64086357333326</v>
      </c>
      <c r="D73" s="76">
        <f>(Normalized_FCF!C25+Normalized_FCF!C35-Normalized_FCF!C91)/12</f>
        <v>-909.4058419702136</v>
      </c>
      <c r="F73" s="1" t="s">
        <v>352</v>
      </c>
    </row>
    <row r="74" spans="2:6" ht="15" customHeight="1" x14ac:dyDescent="0.15">
      <c r="B74" s="257" t="s">
        <v>322</v>
      </c>
      <c r="C74" s="258">
        <f>-$C$66/C73</f>
        <v>51.232437631128107</v>
      </c>
      <c r="D74" s="258">
        <f>-$C$66/D73</f>
        <v>52.428737313479523</v>
      </c>
      <c r="F74" s="253" t="s">
        <v>320</v>
      </c>
    </row>
    <row r="75" spans="2:6" ht="15" customHeight="1" x14ac:dyDescent="0.15">
      <c r="B75" s="80" t="s">
        <v>321</v>
      </c>
      <c r="C75" s="342"/>
      <c r="D75" s="343">
        <f>MAX(-D73*D76,G5)</f>
        <v>5456.4350518212814</v>
      </c>
      <c r="F75" s="253" t="s">
        <v>353</v>
      </c>
    </row>
    <row r="76" spans="2:6" ht="15" customHeight="1" x14ac:dyDescent="0.15">
      <c r="B76" s="259" t="s">
        <v>323</v>
      </c>
      <c r="C76" s="260"/>
      <c r="D76" s="290">
        <f>IF(D74&lt;=3,1,IF(D74&gt;18,6,2))</f>
        <v>6</v>
      </c>
      <c r="F76" s="253" t="s">
        <v>324</v>
      </c>
    </row>
    <row r="77" spans="2:6" ht="15" customHeight="1" x14ac:dyDescent="0.15">
      <c r="F77" s="253"/>
    </row>
    <row r="78" spans="2:6" ht="15" customHeight="1" x14ac:dyDescent="0.15">
      <c r="B78" s="16" t="s">
        <v>190</v>
      </c>
      <c r="C78" s="234" t="s">
        <v>137</v>
      </c>
      <c r="D78" s="183" t="s">
        <v>35</v>
      </c>
      <c r="F78" s="253"/>
    </row>
    <row r="79" spans="2:6" ht="15" customHeight="1" x14ac:dyDescent="0.15">
      <c r="B79" s="105" t="s">
        <v>179</v>
      </c>
      <c r="C79" s="20">
        <f>G7+G17</f>
        <v>13024</v>
      </c>
      <c r="D79" s="76">
        <f>G7*H7+G17*H17</f>
        <v>7814.4</v>
      </c>
      <c r="F79" s="253"/>
    </row>
    <row r="80" spans="2:6" ht="15" customHeight="1" x14ac:dyDescent="0.15">
      <c r="B80" s="105" t="s">
        <v>183</v>
      </c>
      <c r="C80" s="20">
        <f>G19</f>
        <v>0</v>
      </c>
      <c r="D80" s="76">
        <f>G19*H19</f>
        <v>0</v>
      </c>
      <c r="F80" s="253"/>
    </row>
    <row r="81" spans="2:8" ht="15" customHeight="1" x14ac:dyDescent="0.15">
      <c r="B81" s="105" t="s">
        <v>181</v>
      </c>
      <c r="C81" s="20">
        <f>G9+G21</f>
        <v>0</v>
      </c>
      <c r="D81" s="76">
        <f>G9*H9+G21*H21</f>
        <v>0</v>
      </c>
      <c r="F81" s="253"/>
    </row>
    <row r="82" spans="2:8" ht="15" customHeight="1" x14ac:dyDescent="0.15">
      <c r="B82" s="80" t="s">
        <v>190</v>
      </c>
      <c r="C82" s="81">
        <f>SUM(C79:C81)</f>
        <v>13024</v>
      </c>
      <c r="D82" s="81">
        <f>SUM(D79:D81)</f>
        <v>7814.4</v>
      </c>
      <c r="F82" s="253"/>
    </row>
    <row r="84" spans="2:8" ht="15" customHeight="1" x14ac:dyDescent="0.15">
      <c r="B84" s="79" t="s">
        <v>289</v>
      </c>
      <c r="C84" s="37"/>
      <c r="D84" s="37"/>
      <c r="E84" s="37"/>
      <c r="F84" s="37"/>
      <c r="G84" s="37"/>
      <c r="H84" s="37"/>
    </row>
    <row r="85" spans="2:8" ht="15" customHeight="1" x14ac:dyDescent="0.15">
      <c r="B85" s="16" t="s">
        <v>290</v>
      </c>
      <c r="D85" s="241" t="s">
        <v>291</v>
      </c>
    </row>
    <row r="86" spans="2:8" ht="15" customHeight="1" x14ac:dyDescent="0.15">
      <c r="B86" s="238" t="s">
        <v>287</v>
      </c>
      <c r="C86" s="76">
        <f>-DCF!C7*Exchange_Rate</f>
        <v>-3093</v>
      </c>
      <c r="D86" s="223">
        <f>C86*scaling_factor/Common_Shares</f>
        <v>-0.37849307922088393</v>
      </c>
      <c r="E86" s="240" t="str">
        <f>Market_currency</f>
        <v>HKD</v>
      </c>
    </row>
    <row r="87" spans="2:8" ht="15" customHeight="1" x14ac:dyDescent="0.15">
      <c r="B87" s="238" t="s">
        <v>288</v>
      </c>
      <c r="C87" s="76">
        <f>DCF!C8*Exchange_Rate</f>
        <v>42222.564948178719</v>
      </c>
      <c r="D87" s="223">
        <f>C87*scaling_factor/Common_Shares</f>
        <v>5.1668117102618574</v>
      </c>
      <c r="E87" s="240" t="str">
        <f>Market_currency</f>
        <v>HKD</v>
      </c>
    </row>
    <row r="88" spans="2:8" ht="15" customHeight="1" x14ac:dyDescent="0.15">
      <c r="B88" s="239" t="s">
        <v>190</v>
      </c>
      <c r="C88" s="76">
        <f>DCF!C9*Exchange_Rate</f>
        <v>7814.4</v>
      </c>
      <c r="D88" s="223">
        <f>C88*scaling_factor/Common_Shares</f>
        <v>0.95625487173090062</v>
      </c>
      <c r="E88" s="240" t="str">
        <f>Market_currency</f>
        <v>HKD</v>
      </c>
    </row>
    <row r="89" spans="2:8" ht="15" customHeight="1" x14ac:dyDescent="0.15">
      <c r="B89" s="80" t="s">
        <v>292</v>
      </c>
      <c r="C89" s="180">
        <f>SUM(C86:C88)</f>
        <v>46943.96494817872</v>
      </c>
      <c r="D89" s="242">
        <f>SUM(D86:D88)</f>
        <v>5.7445735027718738</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85" activePane="bottomRight" state="frozen"/>
      <selection pane="topRight" activeCell="C1" sqref="C1"/>
      <selection pane="bottomLeft" activeCell="A2" sqref="A2"/>
      <selection pane="bottomRight" activeCell="H111" sqref="H111"/>
    </sheetView>
  </sheetViews>
  <sheetFormatPr baseColWidth="10" defaultColWidth="12.33203125" defaultRowHeight="15" customHeight="1" x14ac:dyDescent="0.15"/>
  <cols>
    <col min="1" max="1" width="1.33203125" style="2" customWidth="1"/>
    <col min="2" max="2" width="26.33203125" style="2" customWidth="1"/>
    <col min="3" max="3" width="20.6640625" style="2" customWidth="1"/>
    <col min="4" max="4" width="2.6640625" style="2" customWidth="1"/>
    <col min="5" max="5" width="25.1640625" style="2" customWidth="1"/>
    <col min="6" max="6" width="2.6640625" style="2" customWidth="1"/>
    <col min="7" max="17" width="20.6640625" style="2" customWidth="1"/>
    <col min="18" max="16384" width="12.33203125" style="2"/>
  </cols>
  <sheetData>
    <row r="1" spans="1:17" ht="15.75" customHeight="1" x14ac:dyDescent="0.15">
      <c r="A1" s="3"/>
      <c r="B1" s="90" t="str">
        <f>Thesis!C25</f>
        <v>HKD</v>
      </c>
      <c r="C1" s="53" t="s">
        <v>57</v>
      </c>
      <c r="D1" s="53"/>
      <c r="E1" s="53"/>
      <c r="F1" s="53"/>
      <c r="G1" s="38">
        <f>Data!C1</f>
        <v>45473</v>
      </c>
      <c r="H1" s="38">
        <f>EOMONTH(EDATE(G1,-12),0)</f>
        <v>45107</v>
      </c>
      <c r="I1" s="38">
        <f t="shared" ref="I1:Q1" si="0">EOMONTH(EDATE(H1,-12),0)</f>
        <v>44742</v>
      </c>
      <c r="J1" s="38">
        <f t="shared" si="0"/>
        <v>44377</v>
      </c>
      <c r="K1" s="38">
        <f t="shared" si="0"/>
        <v>44012</v>
      </c>
      <c r="L1" s="38">
        <f t="shared" si="0"/>
        <v>43646</v>
      </c>
      <c r="M1" s="38">
        <f t="shared" si="0"/>
        <v>43281</v>
      </c>
      <c r="N1" s="38">
        <f t="shared" si="0"/>
        <v>42916</v>
      </c>
      <c r="O1" s="38">
        <f t="shared" si="0"/>
        <v>42551</v>
      </c>
      <c r="P1" s="38">
        <f t="shared" si="0"/>
        <v>42185</v>
      </c>
      <c r="Q1" s="38">
        <f t="shared" si="0"/>
        <v>41820</v>
      </c>
    </row>
    <row r="2" spans="1:17" ht="15.75" customHeight="1" x14ac:dyDescent="0.25">
      <c r="A2" s="3"/>
      <c r="B2" s="54" t="s">
        <v>100</v>
      </c>
      <c r="C2" s="54"/>
      <c r="D2" s="56"/>
      <c r="E2" s="66" t="s">
        <v>59</v>
      </c>
      <c r="F2" s="56"/>
      <c r="G2" s="37"/>
      <c r="H2" s="37"/>
      <c r="I2" s="37"/>
      <c r="J2" s="37"/>
      <c r="K2" s="37"/>
      <c r="L2" s="37"/>
      <c r="M2" s="37"/>
      <c r="N2" s="37"/>
      <c r="O2" s="37"/>
      <c r="P2" s="37"/>
      <c r="Q2" s="37"/>
    </row>
    <row r="3" spans="1:17" ht="15.75" customHeight="1" x14ac:dyDescent="0.15">
      <c r="A3" s="10"/>
      <c r="B3" s="16" t="s">
        <v>66</v>
      </c>
      <c r="C3" s="107">
        <f>scaling_factor</f>
        <v>1000000</v>
      </c>
      <c r="D3" s="9"/>
      <c r="E3" s="268"/>
      <c r="F3" s="9"/>
      <c r="G3" s="9"/>
    </row>
    <row r="4" spans="1:17" ht="15.75" customHeight="1" x14ac:dyDescent="0.15">
      <c r="A4" s="10"/>
      <c r="B4" s="26" t="s">
        <v>2</v>
      </c>
      <c r="C4" s="318">
        <f>G4</f>
        <v>8765</v>
      </c>
      <c r="D4" s="57"/>
      <c r="E4" s="266"/>
      <c r="F4" s="57"/>
      <c r="G4" s="324">
        <f>Data!C36</f>
        <v>8765</v>
      </c>
      <c r="H4" s="324">
        <f>Data!D36</f>
        <v>11881</v>
      </c>
      <c r="I4" s="324">
        <f>Data!E36</f>
        <v>15650.563377</v>
      </c>
      <c r="J4" s="324">
        <f>Data!F36</f>
        <v>24433.371759000001</v>
      </c>
      <c r="K4" s="324">
        <f>Data!G36</f>
        <v>5887</v>
      </c>
      <c r="L4" s="324" t="str">
        <f>Data!H36</f>
        <v/>
      </c>
      <c r="M4" s="324" t="str">
        <f>Data!I36</f>
        <v/>
      </c>
      <c r="N4" s="324" t="str">
        <f>Data!J36</f>
        <v/>
      </c>
      <c r="O4" s="324" t="str">
        <f>Data!K36</f>
        <v/>
      </c>
      <c r="P4" s="324" t="str">
        <f>Data!L36</f>
        <v/>
      </c>
      <c r="Q4" s="324" t="str">
        <f>Data!M36</f>
        <v/>
      </c>
    </row>
    <row r="5" spans="1:17" ht="15.75" customHeight="1" x14ac:dyDescent="0.15">
      <c r="A5" s="10"/>
      <c r="B5" s="2" t="s">
        <v>46</v>
      </c>
      <c r="C5" s="319">
        <f>C25</f>
        <v>-5066.6797407625618</v>
      </c>
      <c r="E5" s="268"/>
      <c r="G5" s="324">
        <f t="shared" ref="G5:Q5" si="1">G25</f>
        <v>-5344</v>
      </c>
      <c r="H5" s="324">
        <f t="shared" si="1"/>
        <v>-6492</v>
      </c>
      <c r="I5" s="324">
        <f t="shared" si="1"/>
        <v>-7482.8818240000001</v>
      </c>
      <c r="J5" s="324">
        <f t="shared" si="1"/>
        <v>-11196.89644</v>
      </c>
      <c r="K5" s="324">
        <f t="shared" si="1"/>
        <v>-2437</v>
      </c>
      <c r="L5" s="324" t="str">
        <f t="shared" si="1"/>
        <v/>
      </c>
      <c r="M5" s="324" t="str">
        <f t="shared" si="1"/>
        <v/>
      </c>
      <c r="N5" s="324" t="str">
        <f t="shared" si="1"/>
        <v/>
      </c>
      <c r="O5" s="324" t="str">
        <f t="shared" si="1"/>
        <v/>
      </c>
      <c r="P5" s="324" t="str">
        <f t="shared" si="1"/>
        <v/>
      </c>
      <c r="Q5" s="324" t="str">
        <f t="shared" si="1"/>
        <v/>
      </c>
    </row>
    <row r="6" spans="1:17" ht="15.75" customHeight="1" x14ac:dyDescent="0.15">
      <c r="A6" s="10"/>
      <c r="B6" s="31" t="s">
        <v>48</v>
      </c>
      <c r="C6" s="320">
        <f>C4+C5</f>
        <v>3698.3202592374382</v>
      </c>
      <c r="E6" s="268"/>
      <c r="G6" s="320">
        <f>IF(G4="","",G4+G5)</f>
        <v>3421</v>
      </c>
      <c r="H6" s="320">
        <f t="shared" ref="H6:Q6" si="2">IF(H4="","",H4+H5)</f>
        <v>5389</v>
      </c>
      <c r="I6" s="320">
        <f t="shared" si="2"/>
        <v>8167.6815530000003</v>
      </c>
      <c r="J6" s="320">
        <f t="shared" si="2"/>
        <v>13236.475319000001</v>
      </c>
      <c r="K6" s="320">
        <f t="shared" si="2"/>
        <v>3450</v>
      </c>
      <c r="L6" s="320" t="str">
        <f t="shared" si="2"/>
        <v/>
      </c>
      <c r="M6" s="320" t="str">
        <f t="shared" si="2"/>
        <v/>
      </c>
      <c r="N6" s="320" t="str">
        <f t="shared" si="2"/>
        <v/>
      </c>
      <c r="O6" s="320" t="str">
        <f t="shared" si="2"/>
        <v/>
      </c>
      <c r="P6" s="320" t="str">
        <f t="shared" si="2"/>
        <v/>
      </c>
      <c r="Q6" s="320" t="str">
        <f t="shared" si="2"/>
        <v/>
      </c>
    </row>
    <row r="7" spans="1:17" ht="15.75" customHeight="1" x14ac:dyDescent="0.15">
      <c r="A7" s="10"/>
      <c r="B7" s="8" t="s">
        <v>45</v>
      </c>
      <c r="C7" s="319">
        <f>C35</f>
        <v>-1106.5</v>
      </c>
      <c r="E7" s="268"/>
      <c r="G7" s="319">
        <f t="shared" ref="G7:Q7" si="3">G35</f>
        <v>-1084</v>
      </c>
      <c r="H7" s="319">
        <f t="shared" si="3"/>
        <v>-1129</v>
      </c>
      <c r="I7" s="319">
        <f t="shared" si="3"/>
        <v>-867.48327900000004</v>
      </c>
      <c r="J7" s="319">
        <f t="shared" si="3"/>
        <v>-823.28128300000003</v>
      </c>
      <c r="K7" s="319">
        <f t="shared" si="3"/>
        <v>0</v>
      </c>
      <c r="L7" s="319" t="str">
        <f t="shared" si="3"/>
        <v/>
      </c>
      <c r="M7" s="319" t="str">
        <f t="shared" si="3"/>
        <v/>
      </c>
      <c r="N7" s="319" t="str">
        <f t="shared" si="3"/>
        <v/>
      </c>
      <c r="O7" s="319" t="str">
        <f t="shared" si="3"/>
        <v/>
      </c>
      <c r="P7" s="319" t="str">
        <f t="shared" si="3"/>
        <v/>
      </c>
      <c r="Q7" s="319" t="str">
        <f t="shared" si="3"/>
        <v/>
      </c>
    </row>
    <row r="8" spans="1:17" ht="15.75" customHeight="1" x14ac:dyDescent="0.15">
      <c r="A8" s="10"/>
      <c r="B8" s="29" t="s">
        <v>153</v>
      </c>
      <c r="C8" s="321">
        <f>C6+C7</f>
        <v>2591.8202592374382</v>
      </c>
      <c r="D8" s="59"/>
      <c r="E8" s="274"/>
      <c r="F8" s="59"/>
      <c r="G8" s="320">
        <f>IF(G$4="","",G6+G7)</f>
        <v>2337</v>
      </c>
      <c r="H8" s="320">
        <f t="shared" ref="H8:Q8" si="4">IF(H$4="","",H6+H7)</f>
        <v>4260</v>
      </c>
      <c r="I8" s="320">
        <f t="shared" si="4"/>
        <v>7300.1982740000003</v>
      </c>
      <c r="J8" s="320">
        <f t="shared" si="4"/>
        <v>12413.194036000001</v>
      </c>
      <c r="K8" s="320">
        <f t="shared" si="4"/>
        <v>3450</v>
      </c>
      <c r="L8" s="320" t="str">
        <f t="shared" si="4"/>
        <v/>
      </c>
      <c r="M8" s="320" t="str">
        <f t="shared" si="4"/>
        <v/>
      </c>
      <c r="N8" s="320" t="str">
        <f t="shared" si="4"/>
        <v/>
      </c>
      <c r="O8" s="320" t="str">
        <f t="shared" si="4"/>
        <v/>
      </c>
      <c r="P8" s="320" t="str">
        <f t="shared" si="4"/>
        <v/>
      </c>
      <c r="Q8" s="320" t="str">
        <f t="shared" si="4"/>
        <v/>
      </c>
    </row>
    <row r="9" spans="1:17" ht="15.75" customHeight="1" x14ac:dyDescent="0.15">
      <c r="A9" s="10"/>
      <c r="B9" s="2" t="s">
        <v>65</v>
      </c>
      <c r="C9" s="319">
        <f>BS!$G$39*BS!D58</f>
        <v>159.99999999999997</v>
      </c>
      <c r="E9" s="268"/>
      <c r="G9" s="319">
        <f>IF(Data!C61="","",-Data!C61)</f>
        <v>160</v>
      </c>
      <c r="H9" s="319">
        <f>IF(Data!D61="","",-Data!D61)</f>
        <v>198</v>
      </c>
      <c r="I9" s="319">
        <f>IF(Data!E61="","",-Data!E61)</f>
        <v>181.018</v>
      </c>
      <c r="J9" s="319">
        <f>IF(Data!F61="","",-Data!F61)</f>
        <v>186.14699999999999</v>
      </c>
      <c r="K9" s="319">
        <f>IF(Data!G61="","",-Data!G61)</f>
        <v>0</v>
      </c>
      <c r="L9" s="319" t="str">
        <f>IF(Data!H61="","",-Data!H61)</f>
        <v/>
      </c>
      <c r="M9" s="319" t="str">
        <f>IF(Data!I61="","",-Data!I61)</f>
        <v/>
      </c>
      <c r="N9" s="319" t="str">
        <f>IF(Data!J61="","",-Data!J61)</f>
        <v/>
      </c>
      <c r="O9" s="319" t="str">
        <f>IF(Data!K61="","",-Data!K61)</f>
        <v/>
      </c>
      <c r="P9" s="319" t="str">
        <f>IF(Data!L61="","",-Data!L61)</f>
        <v/>
      </c>
      <c r="Q9" s="319" t="str">
        <f>IF(Data!M61="","",-Data!M61)</f>
        <v/>
      </c>
    </row>
    <row r="10" spans="1:17" ht="15.75" customHeight="1" x14ac:dyDescent="0.15">
      <c r="A10" s="10"/>
      <c r="B10" s="2" t="s">
        <v>81</v>
      </c>
      <c r="C10" s="319">
        <f>-C4*C78</f>
        <v>-159.99999999999997</v>
      </c>
      <c r="E10" s="268"/>
      <c r="G10" s="319">
        <f>Data!C62</f>
        <v>-69</v>
      </c>
      <c r="H10" s="319">
        <f>Data!D62</f>
        <v>-108</v>
      </c>
      <c r="I10" s="319">
        <f>Data!E62</f>
        <v>-181.018</v>
      </c>
      <c r="J10" s="319">
        <f>Data!F62</f>
        <v>-186.14699999999999</v>
      </c>
      <c r="K10" s="319">
        <f>Data!G62</f>
        <v>0</v>
      </c>
      <c r="L10" s="319" t="str">
        <f>Data!H62</f>
        <v/>
      </c>
      <c r="M10" s="319" t="str">
        <f>Data!I62</f>
        <v/>
      </c>
      <c r="N10" s="319" t="str">
        <f>Data!J62</f>
        <v/>
      </c>
      <c r="O10" s="319" t="str">
        <f>Data!K62</f>
        <v/>
      </c>
      <c r="P10" s="319" t="str">
        <f>Data!L62</f>
        <v/>
      </c>
      <c r="Q10" s="319" t="str">
        <f>Data!M62</f>
        <v/>
      </c>
    </row>
    <row r="11" spans="1:17" ht="15.75" customHeight="1" x14ac:dyDescent="0.15">
      <c r="A11" s="10"/>
      <c r="B11" s="31" t="s">
        <v>195</v>
      </c>
      <c r="C11" s="322">
        <f>C63</f>
        <v>639</v>
      </c>
      <c r="D11" s="168"/>
      <c r="E11" s="267"/>
      <c r="F11" s="168"/>
      <c r="G11" s="325">
        <f>G61</f>
        <v>639</v>
      </c>
      <c r="H11" s="325">
        <f t="shared" ref="H11:Q11" si="5">H61</f>
        <v>927</v>
      </c>
      <c r="I11" s="325">
        <f t="shared" si="5"/>
        <v>0</v>
      </c>
      <c r="J11" s="325">
        <f t="shared" si="5"/>
        <v>0</v>
      </c>
      <c r="K11" s="325">
        <f t="shared" si="5"/>
        <v>0</v>
      </c>
      <c r="L11" s="325" t="str">
        <f t="shared" si="5"/>
        <v/>
      </c>
      <c r="M11" s="325" t="str">
        <f t="shared" si="5"/>
        <v/>
      </c>
      <c r="N11" s="325" t="str">
        <f t="shared" si="5"/>
        <v/>
      </c>
      <c r="O11" s="325" t="str">
        <f t="shared" si="5"/>
        <v/>
      </c>
      <c r="P11" s="325" t="str">
        <f t="shared" si="5"/>
        <v/>
      </c>
      <c r="Q11" s="325" t="str">
        <f t="shared" si="5"/>
        <v/>
      </c>
    </row>
    <row r="12" spans="1:17" ht="15.75" customHeight="1" x14ac:dyDescent="0.15">
      <c r="A12" s="10"/>
      <c r="B12" s="2" t="s">
        <v>68</v>
      </c>
      <c r="C12" s="319">
        <f>C50</f>
        <v>120.69305155463843</v>
      </c>
      <c r="E12" s="268"/>
      <c r="G12" s="319">
        <f>G50</f>
        <v>224.79206823259295</v>
      </c>
      <c r="H12" s="319">
        <f t="shared" ref="H12:Q12" si="6">H50</f>
        <v>118.39443599706225</v>
      </c>
      <c r="I12" s="319">
        <f t="shared" si="6"/>
        <v>-10.601439105911425</v>
      </c>
      <c r="J12" s="319">
        <f t="shared" si="6"/>
        <v>-16.281703694046172</v>
      </c>
      <c r="K12" s="319">
        <f t="shared" si="6"/>
        <v>0</v>
      </c>
      <c r="L12" s="319" t="str">
        <f t="shared" si="6"/>
        <v/>
      </c>
      <c r="M12" s="319" t="str">
        <f t="shared" si="6"/>
        <v/>
      </c>
      <c r="N12" s="319" t="str">
        <f t="shared" si="6"/>
        <v/>
      </c>
      <c r="O12" s="319" t="str">
        <f t="shared" si="6"/>
        <v/>
      </c>
      <c r="P12" s="319" t="str">
        <f t="shared" si="6"/>
        <v/>
      </c>
      <c r="Q12" s="319" t="str">
        <f t="shared" si="6"/>
        <v/>
      </c>
    </row>
    <row r="13" spans="1:17" ht="15.75" customHeight="1" x14ac:dyDescent="0.15">
      <c r="A13" s="10"/>
      <c r="B13" s="70" t="s">
        <v>165</v>
      </c>
      <c r="C13" s="320">
        <f>SUM(C8:C12)</f>
        <v>3351.5133107920765</v>
      </c>
      <c r="E13" s="268"/>
      <c r="G13" s="320">
        <f>IF(G$4="","",SUM(G8:G12))</f>
        <v>3291.792068232593</v>
      </c>
      <c r="H13" s="320">
        <f t="shared" ref="H13:Q13" si="7">IF(H$4="","",SUM(H8:H12))</f>
        <v>5395.3944359970619</v>
      </c>
      <c r="I13" s="320">
        <f t="shared" si="7"/>
        <v>7289.5968348940887</v>
      </c>
      <c r="J13" s="320">
        <f t="shared" si="7"/>
        <v>12396.912332305954</v>
      </c>
      <c r="K13" s="320">
        <f t="shared" si="7"/>
        <v>3450</v>
      </c>
      <c r="L13" s="320" t="str">
        <f t="shared" si="7"/>
        <v/>
      </c>
      <c r="M13" s="320" t="str">
        <f t="shared" si="7"/>
        <v/>
      </c>
      <c r="N13" s="320" t="str">
        <f t="shared" si="7"/>
        <v/>
      </c>
      <c r="O13" s="320" t="str">
        <f t="shared" si="7"/>
        <v/>
      </c>
      <c r="P13" s="320" t="str">
        <f t="shared" si="7"/>
        <v/>
      </c>
      <c r="Q13" s="320" t="str">
        <f t="shared" si="7"/>
        <v/>
      </c>
    </row>
    <row r="14" spans="1:17" ht="15.75" customHeight="1" x14ac:dyDescent="0.15">
      <c r="A14" s="10"/>
      <c r="B14" s="2" t="s">
        <v>63</v>
      </c>
      <c r="C14" s="319">
        <f>-SUM(C8+C11,C12)*C43</f>
        <v>-804.36319459009837</v>
      </c>
      <c r="E14" s="268"/>
      <c r="G14" s="319">
        <f>Data!C46</f>
        <v>-519</v>
      </c>
      <c r="H14" s="319">
        <f>Data!D46</f>
        <v>-860.83482800000002</v>
      </c>
      <c r="I14" s="319">
        <f>Data!E46</f>
        <v>-1349.107495</v>
      </c>
      <c r="J14" s="319">
        <f>Data!F46</f>
        <v>-2530.7695309999999</v>
      </c>
      <c r="K14" s="319">
        <f>Data!G46</f>
        <v>0</v>
      </c>
      <c r="L14" s="319" t="str">
        <f>Data!H46</f>
        <v/>
      </c>
      <c r="M14" s="319" t="str">
        <f>Data!I46</f>
        <v/>
      </c>
      <c r="N14" s="319" t="str">
        <f>Data!J46</f>
        <v/>
      </c>
      <c r="O14" s="319" t="str">
        <f>Data!K46</f>
        <v/>
      </c>
      <c r="P14" s="319" t="str">
        <f>Data!L46</f>
        <v/>
      </c>
      <c r="Q14" s="319" t="str">
        <f>Data!M46</f>
        <v/>
      </c>
    </row>
    <row r="15" spans="1:17" ht="15.75" customHeight="1" x14ac:dyDescent="0.15">
      <c r="A15" s="10"/>
      <c r="B15" s="40" t="s">
        <v>244</v>
      </c>
      <c r="C15" s="319">
        <f>-C4*C83</f>
        <v>-22.869707937042335</v>
      </c>
      <c r="D15" s="60"/>
      <c r="E15" s="275"/>
      <c r="F15" s="60"/>
      <c r="G15" s="324">
        <f>Data!C48</f>
        <v>0</v>
      </c>
      <c r="H15" s="324">
        <f>Data!D48</f>
        <v>-31</v>
      </c>
      <c r="I15" s="324">
        <f>Data!E48</f>
        <v>0</v>
      </c>
      <c r="J15" s="324">
        <f>Data!F48</f>
        <v>0</v>
      </c>
      <c r="K15" s="324">
        <f>Data!G48</f>
        <v>0</v>
      </c>
      <c r="L15" s="324" t="str">
        <f>Data!H48</f>
        <v/>
      </c>
      <c r="M15" s="324" t="str">
        <f>Data!I48</f>
        <v/>
      </c>
      <c r="N15" s="324" t="str">
        <f>Data!J48</f>
        <v/>
      </c>
      <c r="O15" s="324" t="str">
        <f>Data!K48</f>
        <v/>
      </c>
      <c r="P15" s="324" t="str">
        <f>Data!L48</f>
        <v/>
      </c>
      <c r="Q15" s="324" t="str">
        <f>Data!M48</f>
        <v/>
      </c>
    </row>
    <row r="16" spans="1:17" ht="15.75" customHeight="1" x14ac:dyDescent="0.15">
      <c r="A16" s="10"/>
      <c r="B16" s="41" t="s">
        <v>155</v>
      </c>
      <c r="C16" s="323">
        <f>SUM(C13:C15)</f>
        <v>2524.2804082649359</v>
      </c>
      <c r="D16" s="61"/>
      <c r="E16" s="276"/>
      <c r="F16" s="61"/>
      <c r="G16" s="320">
        <f>IF(G$4="","",SUM(G13:G15))</f>
        <v>2772.792068232593</v>
      </c>
      <c r="H16" s="320">
        <f t="shared" ref="H16:Q16" si="8">IF(H$4="","",SUM(H13:H15))</f>
        <v>4503.5596079970619</v>
      </c>
      <c r="I16" s="320">
        <f t="shared" si="8"/>
        <v>5940.4893398940885</v>
      </c>
      <c r="J16" s="320">
        <f t="shared" si="8"/>
        <v>9866.142801305954</v>
      </c>
      <c r="K16" s="320">
        <f t="shared" si="8"/>
        <v>3450</v>
      </c>
      <c r="L16" s="320" t="str">
        <f t="shared" si="8"/>
        <v/>
      </c>
      <c r="M16" s="320" t="str">
        <f t="shared" si="8"/>
        <v/>
      </c>
      <c r="N16" s="320" t="str">
        <f t="shared" si="8"/>
        <v/>
      </c>
      <c r="O16" s="320" t="str">
        <f t="shared" si="8"/>
        <v/>
      </c>
      <c r="P16" s="320" t="str">
        <f t="shared" si="8"/>
        <v/>
      </c>
      <c r="Q16" s="320" t="str">
        <f t="shared" si="8"/>
        <v/>
      </c>
    </row>
    <row r="17" spans="1:17" ht="15.75" customHeight="1" x14ac:dyDescent="0.15">
      <c r="A17" s="10"/>
      <c r="B17" s="27" t="s">
        <v>52</v>
      </c>
      <c r="C17" s="319">
        <f>-C4*C85</f>
        <v>0</v>
      </c>
      <c r="D17" s="58"/>
      <c r="E17" s="267" t="s">
        <v>332</v>
      </c>
      <c r="F17" s="58"/>
      <c r="G17" s="326"/>
      <c r="H17" s="326"/>
      <c r="I17" s="326"/>
      <c r="J17" s="326"/>
      <c r="K17" s="326"/>
      <c r="L17" s="326"/>
      <c r="M17" s="326"/>
      <c r="N17" s="326"/>
      <c r="O17" s="326"/>
      <c r="P17" s="326"/>
      <c r="Q17" s="326"/>
    </row>
    <row r="18" spans="1:17" ht="15.75" customHeight="1" x14ac:dyDescent="0.15">
      <c r="A18" s="10"/>
      <c r="B18" s="27" t="s">
        <v>99</v>
      </c>
      <c r="C18" s="319">
        <v>0</v>
      </c>
      <c r="D18" s="58"/>
      <c r="E18" s="267" t="s">
        <v>333</v>
      </c>
      <c r="F18" s="58"/>
      <c r="G18" s="327"/>
      <c r="H18" s="327"/>
      <c r="I18" s="327"/>
      <c r="J18" s="327"/>
      <c r="K18" s="327"/>
      <c r="L18" s="327"/>
      <c r="M18" s="327"/>
      <c r="N18" s="327"/>
      <c r="O18" s="327"/>
      <c r="P18" s="327"/>
      <c r="Q18" s="327"/>
    </row>
    <row r="19" spans="1:17" ht="15.75" customHeight="1" x14ac:dyDescent="0.15">
      <c r="A19" s="10"/>
      <c r="B19" s="31" t="s">
        <v>66</v>
      </c>
      <c r="C19" s="320">
        <f>C16+C17</f>
        <v>2524.2804082649359</v>
      </c>
      <c r="D19" s="27"/>
      <c r="E19" s="265"/>
      <c r="F19" s="27"/>
      <c r="G19" s="325">
        <f>IF(G$4="","",G16+G17)</f>
        <v>2772.792068232593</v>
      </c>
      <c r="H19" s="325">
        <f t="shared" ref="H19:Q19" si="9">IF(H$4="","",H16+H17)</f>
        <v>4503.5596079970619</v>
      </c>
      <c r="I19" s="325">
        <f t="shared" si="9"/>
        <v>5940.4893398940885</v>
      </c>
      <c r="J19" s="325">
        <f t="shared" si="9"/>
        <v>9866.142801305954</v>
      </c>
      <c r="K19" s="325">
        <f t="shared" si="9"/>
        <v>3450</v>
      </c>
      <c r="L19" s="325" t="str">
        <f t="shared" si="9"/>
        <v/>
      </c>
      <c r="M19" s="325" t="str">
        <f t="shared" si="9"/>
        <v/>
      </c>
      <c r="N19" s="325" t="str">
        <f t="shared" si="9"/>
        <v/>
      </c>
      <c r="O19" s="325" t="str">
        <f t="shared" si="9"/>
        <v/>
      </c>
      <c r="P19" s="325" t="str">
        <f t="shared" si="9"/>
        <v/>
      </c>
      <c r="Q19" s="325" t="str">
        <f t="shared" si="9"/>
        <v/>
      </c>
    </row>
    <row r="20" spans="1:17" ht="15.75" customHeight="1" x14ac:dyDescent="0.15">
      <c r="A20" s="10"/>
      <c r="B20" s="27"/>
      <c r="C20" s="62"/>
      <c r="D20" s="27"/>
      <c r="E20" s="67"/>
      <c r="F20" s="27"/>
      <c r="G20" s="12"/>
      <c r="H20" s="12"/>
      <c r="I20" s="12"/>
      <c r="J20" s="12"/>
      <c r="K20" s="12"/>
      <c r="L20" s="12"/>
      <c r="M20" s="12"/>
      <c r="N20" s="12"/>
      <c r="O20" s="12"/>
      <c r="P20" s="12"/>
      <c r="Q20" s="12"/>
    </row>
    <row r="21" spans="1:17" ht="15.75" customHeight="1" x14ac:dyDescent="0.25">
      <c r="A21" s="10"/>
      <c r="B21" s="54" t="s">
        <v>206</v>
      </c>
      <c r="C21" s="54"/>
      <c r="D21" s="56"/>
      <c r="E21" s="66" t="s">
        <v>59</v>
      </c>
      <c r="F21" s="56"/>
      <c r="G21" s="37"/>
      <c r="H21" s="37"/>
      <c r="I21" s="37"/>
      <c r="J21" s="37"/>
      <c r="K21" s="37"/>
      <c r="L21" s="37"/>
      <c r="M21" s="37"/>
      <c r="N21" s="37"/>
      <c r="O21" s="37"/>
      <c r="P21" s="37"/>
      <c r="Q21" s="37"/>
    </row>
    <row r="22" spans="1:17" ht="15.75" customHeight="1" x14ac:dyDescent="0.15">
      <c r="A22" s="10"/>
      <c r="B22" s="64" t="s">
        <v>46</v>
      </c>
      <c r="C22" s="62"/>
      <c r="D22" s="27"/>
      <c r="E22" s="265"/>
      <c r="F22" s="27"/>
      <c r="G22" s="12"/>
      <c r="H22" s="12"/>
      <c r="I22" s="12"/>
      <c r="J22" s="12"/>
      <c r="K22" s="12"/>
      <c r="L22" s="12"/>
      <c r="M22" s="12"/>
      <c r="N22" s="12"/>
      <c r="O22" s="12"/>
      <c r="P22" s="12"/>
      <c r="Q22" s="12"/>
    </row>
    <row r="23" spans="1:17" ht="15.75" customHeight="1" x14ac:dyDescent="0.15">
      <c r="A23" s="10"/>
      <c r="B23" s="27" t="s">
        <v>43</v>
      </c>
      <c r="C23" s="328">
        <f>-C4*C28</f>
        <v>-5066.6797407625618</v>
      </c>
      <c r="D23" s="58"/>
      <c r="E23" s="267"/>
      <c r="F23" s="58"/>
      <c r="G23" s="324">
        <f>Data!C37</f>
        <v>-5344</v>
      </c>
      <c r="H23" s="324">
        <f>Data!D37</f>
        <v>-6492</v>
      </c>
      <c r="I23" s="324">
        <f>Data!E37</f>
        <v>-7482.8818240000001</v>
      </c>
      <c r="J23" s="324">
        <f>Data!F37</f>
        <v>-11196.89644</v>
      </c>
      <c r="K23" s="324">
        <f>Data!G37</f>
        <v>-2437</v>
      </c>
      <c r="L23" s="324" t="str">
        <f>Data!H37</f>
        <v/>
      </c>
      <c r="M23" s="324" t="str">
        <f>Data!I37</f>
        <v/>
      </c>
      <c r="N23" s="324" t="str">
        <f>Data!J37</f>
        <v/>
      </c>
      <c r="O23" s="324" t="str">
        <f>Data!K37</f>
        <v/>
      </c>
      <c r="P23" s="324" t="str">
        <f>Data!L37</f>
        <v/>
      </c>
      <c r="Q23" s="324" t="str">
        <f>Data!M37</f>
        <v/>
      </c>
    </row>
    <row r="24" spans="1:17" ht="15.75" customHeight="1" x14ac:dyDescent="0.2">
      <c r="A24" s="10"/>
      <c r="B24" s="68" t="s">
        <v>62</v>
      </c>
      <c r="C24" s="319">
        <f>-C4*C29</f>
        <v>0</v>
      </c>
      <c r="D24" s="27"/>
      <c r="E24" s="265"/>
      <c r="F24" s="27"/>
      <c r="G24" s="324">
        <f>Data!C40</f>
        <v>0</v>
      </c>
      <c r="H24" s="324">
        <f>Data!D40</f>
        <v>0</v>
      </c>
      <c r="I24" s="324">
        <f>Data!E40</f>
        <v>0</v>
      </c>
      <c r="J24" s="324">
        <f>Data!F40</f>
        <v>0</v>
      </c>
      <c r="K24" s="324">
        <f>Data!G40</f>
        <v>0</v>
      </c>
      <c r="L24" s="324" t="str">
        <f>Data!H40</f>
        <v/>
      </c>
      <c r="M24" s="324" t="str">
        <f>Data!I40</f>
        <v/>
      </c>
      <c r="N24" s="324" t="str">
        <f>Data!J40</f>
        <v/>
      </c>
      <c r="O24" s="324" t="str">
        <f>Data!K40</f>
        <v/>
      </c>
      <c r="P24" s="324" t="str">
        <f>Data!L40</f>
        <v/>
      </c>
      <c r="Q24" s="324" t="str">
        <f>Data!M40</f>
        <v/>
      </c>
    </row>
    <row r="25" spans="1:17" ht="15.75" customHeight="1" x14ac:dyDescent="0.15">
      <c r="A25" s="10"/>
      <c r="B25" s="70" t="s">
        <v>46</v>
      </c>
      <c r="C25" s="320">
        <f>C23+C24</f>
        <v>-5066.6797407625618</v>
      </c>
      <c r="D25" s="9"/>
      <c r="E25" s="273"/>
      <c r="F25" s="9"/>
      <c r="G25" s="320">
        <f t="shared" ref="G25:Q25" si="10">IF(G$4="","",G23+G24)</f>
        <v>-5344</v>
      </c>
      <c r="H25" s="320">
        <f t="shared" si="10"/>
        <v>-6492</v>
      </c>
      <c r="I25" s="320">
        <f t="shared" si="10"/>
        <v>-7482.8818240000001</v>
      </c>
      <c r="J25" s="320">
        <f t="shared" si="10"/>
        <v>-11196.89644</v>
      </c>
      <c r="K25" s="320">
        <f t="shared" si="10"/>
        <v>-2437</v>
      </c>
      <c r="L25" s="320" t="str">
        <f t="shared" si="10"/>
        <v/>
      </c>
      <c r="M25" s="320" t="str">
        <f t="shared" si="10"/>
        <v/>
      </c>
      <c r="N25" s="320" t="str">
        <f t="shared" si="10"/>
        <v/>
      </c>
      <c r="O25" s="320" t="str">
        <f t="shared" si="10"/>
        <v/>
      </c>
      <c r="P25" s="320" t="str">
        <f t="shared" si="10"/>
        <v/>
      </c>
      <c r="Q25" s="320" t="str">
        <f t="shared" si="10"/>
        <v/>
      </c>
    </row>
    <row r="26" spans="1:17" ht="15.75" customHeight="1" x14ac:dyDescent="0.15">
      <c r="A26" s="10"/>
      <c r="E26" s="268"/>
    </row>
    <row r="27" spans="1:17" ht="15.75" customHeight="1" x14ac:dyDescent="0.15">
      <c r="A27" s="10"/>
      <c r="B27" s="64" t="s">
        <v>207</v>
      </c>
      <c r="E27" s="268"/>
    </row>
    <row r="28" spans="1:17" ht="15.75" customHeight="1" x14ac:dyDescent="0.15">
      <c r="A28" s="10"/>
      <c r="B28" s="26" t="s">
        <v>43</v>
      </c>
      <c r="C28" s="63">
        <f>AVERAGE(G28:H28)</f>
        <v>0.57805815639048053</v>
      </c>
      <c r="D28" s="26"/>
      <c r="E28" s="266" t="s">
        <v>334</v>
      </c>
      <c r="F28" s="26"/>
      <c r="G28" s="13">
        <f t="shared" ref="G28:Q28" si="11">IF(G$4="","",ABS(G23/G$4))</f>
        <v>0.60969766115231028</v>
      </c>
      <c r="H28" s="13">
        <f t="shared" si="11"/>
        <v>0.54641865162865078</v>
      </c>
      <c r="I28" s="13">
        <f t="shared" si="11"/>
        <v>0.47812220197752181</v>
      </c>
      <c r="J28" s="13">
        <f t="shared" si="11"/>
        <v>0.45826243510069942</v>
      </c>
      <c r="K28" s="13">
        <f t="shared" si="11"/>
        <v>0.4139629692542891</v>
      </c>
      <c r="L28" s="13" t="str">
        <f t="shared" si="11"/>
        <v/>
      </c>
      <c r="M28" s="13" t="str">
        <f t="shared" si="11"/>
        <v/>
      </c>
      <c r="N28" s="13" t="str">
        <f t="shared" si="11"/>
        <v/>
      </c>
      <c r="O28" s="13" t="str">
        <f t="shared" si="11"/>
        <v/>
      </c>
      <c r="P28" s="13" t="str">
        <f t="shared" si="11"/>
        <v/>
      </c>
      <c r="Q28" s="13" t="str">
        <f t="shared" si="11"/>
        <v/>
      </c>
    </row>
    <row r="29" spans="1:17" ht="15.75" customHeight="1" x14ac:dyDescent="0.2">
      <c r="A29" s="10"/>
      <c r="B29" s="68" t="str">
        <f>B24</f>
        <v>Selling Expenses</v>
      </c>
      <c r="C29" s="63">
        <f>AVERAGE(G29:J29)</f>
        <v>0</v>
      </c>
      <c r="D29" s="26"/>
      <c r="E29" s="266" t="s">
        <v>334</v>
      </c>
      <c r="F29" s="26"/>
      <c r="G29" s="13">
        <f t="shared" ref="G29:Q29" si="12">IF(G$4="","",ABS(G24/G$4))</f>
        <v>0</v>
      </c>
      <c r="H29" s="13">
        <f t="shared" si="12"/>
        <v>0</v>
      </c>
      <c r="I29" s="13">
        <f t="shared" si="12"/>
        <v>0</v>
      </c>
      <c r="J29" s="13">
        <f t="shared" si="12"/>
        <v>0</v>
      </c>
      <c r="K29" s="13">
        <f t="shared" si="12"/>
        <v>0</v>
      </c>
      <c r="L29" s="13" t="str">
        <f t="shared" si="12"/>
        <v/>
      </c>
      <c r="M29" s="13" t="str">
        <f t="shared" si="12"/>
        <v/>
      </c>
      <c r="N29" s="13" t="str">
        <f t="shared" si="12"/>
        <v/>
      </c>
      <c r="O29" s="13" t="str">
        <f t="shared" si="12"/>
        <v/>
      </c>
      <c r="P29" s="13" t="str">
        <f t="shared" si="12"/>
        <v/>
      </c>
      <c r="Q29" s="13" t="str">
        <f t="shared" si="12"/>
        <v/>
      </c>
    </row>
    <row r="30" spans="1:17" ht="15.75" customHeight="1" x14ac:dyDescent="0.15">
      <c r="A30" s="10"/>
      <c r="B30" s="70" t="s">
        <v>46</v>
      </c>
      <c r="C30" s="71">
        <f>ABS(C25/$C$4)</f>
        <v>0.57805815639048053</v>
      </c>
      <c r="E30" s="268"/>
      <c r="G30" s="30">
        <f t="shared" ref="G30:Q30" si="13">IF(G$4="","",ABS(G25/G$4))</f>
        <v>0.60969766115231028</v>
      </c>
      <c r="H30" s="30">
        <f t="shared" si="13"/>
        <v>0.54641865162865078</v>
      </c>
      <c r="I30" s="30">
        <f t="shared" si="13"/>
        <v>0.47812220197752181</v>
      </c>
      <c r="J30" s="30">
        <f t="shared" si="13"/>
        <v>0.45826243510069942</v>
      </c>
      <c r="K30" s="30">
        <f t="shared" si="13"/>
        <v>0.4139629692542891</v>
      </c>
      <c r="L30" s="30" t="str">
        <f t="shared" si="13"/>
        <v/>
      </c>
      <c r="M30" s="30" t="str">
        <f t="shared" si="13"/>
        <v/>
      </c>
      <c r="N30" s="30" t="str">
        <f t="shared" si="13"/>
        <v/>
      </c>
      <c r="O30" s="30" t="str">
        <f t="shared" si="13"/>
        <v/>
      </c>
      <c r="P30" s="30" t="str">
        <f t="shared" si="13"/>
        <v/>
      </c>
      <c r="Q30" s="30" t="str">
        <f t="shared" si="13"/>
        <v/>
      </c>
    </row>
    <row r="31" spans="1:17" ht="15.75" customHeight="1" x14ac:dyDescent="0.15">
      <c r="A31" s="10"/>
      <c r="E31" s="268"/>
    </row>
    <row r="32" spans="1:17" ht="15.75" customHeight="1" x14ac:dyDescent="0.15">
      <c r="A32" s="10"/>
      <c r="B32" s="64" t="s">
        <v>45</v>
      </c>
      <c r="E32" s="268"/>
    </row>
    <row r="33" spans="1:17" ht="15.75" customHeight="1" x14ac:dyDescent="0.15">
      <c r="A33" s="10"/>
      <c r="B33" s="8" t="s">
        <v>175</v>
      </c>
      <c r="C33" s="329">
        <f>AVERAGE(G33:H33)</f>
        <v>-1106.5</v>
      </c>
      <c r="E33" s="266" t="s">
        <v>334</v>
      </c>
      <c r="G33" s="319">
        <f>Data!C41</f>
        <v>-1084</v>
      </c>
      <c r="H33" s="319">
        <f>Data!D41</f>
        <v>-1129</v>
      </c>
      <c r="I33" s="319">
        <f>Data!E41</f>
        <v>-867.48327900000004</v>
      </c>
      <c r="J33" s="319">
        <f>Data!F41</f>
        <v>-823.28128300000003</v>
      </c>
      <c r="K33" s="319">
        <f>Data!G41</f>
        <v>0</v>
      </c>
      <c r="L33" s="319" t="str">
        <f>Data!H41</f>
        <v/>
      </c>
      <c r="M33" s="319" t="str">
        <f>Data!I41</f>
        <v/>
      </c>
      <c r="N33" s="319" t="str">
        <f>Data!J41</f>
        <v/>
      </c>
      <c r="O33" s="319" t="str">
        <f>Data!K41</f>
        <v/>
      </c>
      <c r="P33" s="319" t="str">
        <f>Data!L41</f>
        <v/>
      </c>
      <c r="Q33" s="319" t="str">
        <f>Data!M41</f>
        <v/>
      </c>
    </row>
    <row r="34" spans="1:17" ht="15.75" customHeight="1" x14ac:dyDescent="0.15">
      <c r="A34" s="10"/>
      <c r="B34" s="27" t="s">
        <v>49</v>
      </c>
      <c r="C34" s="329">
        <f>AVERAGE(G34:J34)</f>
        <v>0</v>
      </c>
      <c r="D34" s="58"/>
      <c r="E34" s="266" t="s">
        <v>334</v>
      </c>
      <c r="F34" s="58"/>
      <c r="G34" s="324">
        <f>Data!C42</f>
        <v>0</v>
      </c>
      <c r="H34" s="324">
        <f>Data!D42</f>
        <v>0</v>
      </c>
      <c r="I34" s="324">
        <f>Data!E42</f>
        <v>0</v>
      </c>
      <c r="J34" s="324">
        <f>Data!F42</f>
        <v>0</v>
      </c>
      <c r="K34" s="324">
        <f>Data!G42</f>
        <v>0</v>
      </c>
      <c r="L34" s="324" t="str">
        <f>Data!H42</f>
        <v/>
      </c>
      <c r="M34" s="324" t="str">
        <f>Data!I42</f>
        <v/>
      </c>
      <c r="N34" s="324" t="str">
        <f>Data!J42</f>
        <v/>
      </c>
      <c r="O34" s="324" t="str">
        <f>Data!K42</f>
        <v/>
      </c>
      <c r="P34" s="324" t="str">
        <f>Data!L42</f>
        <v/>
      </c>
      <c r="Q34" s="324" t="str">
        <f>Data!M42</f>
        <v/>
      </c>
    </row>
    <row r="35" spans="1:17" ht="15.75" customHeight="1" x14ac:dyDescent="0.15">
      <c r="A35" s="10"/>
      <c r="B35" s="70" t="s">
        <v>45</v>
      </c>
      <c r="C35" s="320">
        <f>C33+C34</f>
        <v>-1106.5</v>
      </c>
      <c r="D35" s="58"/>
      <c r="E35" s="267"/>
      <c r="F35" s="58"/>
      <c r="G35" s="320">
        <f t="shared" ref="G35:Q35" si="14">IF(G4="","",G33+G34)</f>
        <v>-1084</v>
      </c>
      <c r="H35" s="320">
        <f t="shared" si="14"/>
        <v>-1129</v>
      </c>
      <c r="I35" s="320">
        <f t="shared" si="14"/>
        <v>-867.48327900000004</v>
      </c>
      <c r="J35" s="320">
        <f t="shared" si="14"/>
        <v>-823.28128300000003</v>
      </c>
      <c r="K35" s="320">
        <f t="shared" si="14"/>
        <v>0</v>
      </c>
      <c r="L35" s="320" t="str">
        <f t="shared" si="14"/>
        <v/>
      </c>
      <c r="M35" s="320" t="str">
        <f t="shared" si="14"/>
        <v/>
      </c>
      <c r="N35" s="320" t="str">
        <f t="shared" si="14"/>
        <v/>
      </c>
      <c r="O35" s="320" t="str">
        <f t="shared" si="14"/>
        <v/>
      </c>
      <c r="P35" s="320" t="str">
        <f t="shared" si="14"/>
        <v/>
      </c>
      <c r="Q35" s="320" t="str">
        <f t="shared" si="14"/>
        <v/>
      </c>
    </row>
    <row r="36" spans="1:17" ht="15.75" customHeight="1" x14ac:dyDescent="0.15">
      <c r="A36" s="10"/>
      <c r="E36" s="268"/>
    </row>
    <row r="37" spans="1:17" ht="15.75" customHeight="1" x14ac:dyDescent="0.15">
      <c r="A37" s="10"/>
      <c r="B37" s="64" t="s">
        <v>208</v>
      </c>
      <c r="E37" s="268"/>
    </row>
    <row r="38" spans="1:17" ht="15.75" customHeight="1" x14ac:dyDescent="0.15">
      <c r="A38" s="10"/>
      <c r="B38" s="2" t="str">
        <f>B33</f>
        <v>G&amp;A and other Opex</v>
      </c>
      <c r="C38" s="23">
        <f>ABS(C33/$C$4)</f>
        <v>0.1262407301768397</v>
      </c>
      <c r="D38" s="27"/>
      <c r="E38" s="265"/>
      <c r="F38" s="27"/>
      <c r="G38" s="13">
        <f t="shared" ref="G38:Q38" si="15">IF(G$4="","",ABS(G33/G$4))</f>
        <v>0.12367370222475756</v>
      </c>
      <c r="H38" s="13">
        <f t="shared" si="15"/>
        <v>9.5025671239794635E-2</v>
      </c>
      <c r="I38" s="13">
        <f t="shared" si="15"/>
        <v>5.5428246134247773E-2</v>
      </c>
      <c r="J38" s="13">
        <f t="shared" si="15"/>
        <v>3.3694951770082464E-2</v>
      </c>
      <c r="K38" s="13">
        <f t="shared" si="15"/>
        <v>0</v>
      </c>
      <c r="L38" s="13" t="str">
        <f t="shared" si="15"/>
        <v/>
      </c>
      <c r="M38" s="13" t="str">
        <f t="shared" si="15"/>
        <v/>
      </c>
      <c r="N38" s="13" t="str">
        <f t="shared" si="15"/>
        <v/>
      </c>
      <c r="O38" s="13" t="str">
        <f t="shared" si="15"/>
        <v/>
      </c>
      <c r="P38" s="13" t="str">
        <f t="shared" si="15"/>
        <v/>
      </c>
      <c r="Q38" s="13" t="str">
        <f t="shared" si="15"/>
        <v/>
      </c>
    </row>
    <row r="39" spans="1:17" ht="15.75" customHeight="1" x14ac:dyDescent="0.15">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t="str">
        <f t="shared" si="16"/>
        <v/>
      </c>
      <c r="M39" s="13" t="str">
        <f t="shared" si="16"/>
        <v/>
      </c>
      <c r="N39" s="13" t="str">
        <f t="shared" si="16"/>
        <v/>
      </c>
      <c r="O39" s="13" t="str">
        <f t="shared" si="16"/>
        <v/>
      </c>
      <c r="P39" s="13" t="str">
        <f t="shared" si="16"/>
        <v/>
      </c>
      <c r="Q39" s="13" t="str">
        <f t="shared" si="16"/>
        <v/>
      </c>
    </row>
    <row r="40" spans="1:17" ht="15.75" customHeight="1" x14ac:dyDescent="0.15">
      <c r="A40" s="10"/>
      <c r="B40" s="70" t="s">
        <v>45</v>
      </c>
      <c r="C40" s="71">
        <f>ABS(C35/$C$4)</f>
        <v>0.1262407301768397</v>
      </c>
      <c r="E40" s="268"/>
      <c r="G40" s="30">
        <f t="shared" ref="G40:Q40" si="17">IF(G$4="","",ABS(G35/G$4))</f>
        <v>0.12367370222475756</v>
      </c>
      <c r="H40" s="30">
        <f t="shared" si="17"/>
        <v>9.5025671239794635E-2</v>
      </c>
      <c r="I40" s="30">
        <f t="shared" si="17"/>
        <v>5.5428246134247773E-2</v>
      </c>
      <c r="J40" s="30">
        <f t="shared" si="17"/>
        <v>3.3694951770082464E-2</v>
      </c>
      <c r="K40" s="30">
        <f t="shared" si="17"/>
        <v>0</v>
      </c>
      <c r="L40" s="30" t="str">
        <f t="shared" si="17"/>
        <v/>
      </c>
      <c r="M40" s="30" t="str">
        <f t="shared" si="17"/>
        <v/>
      </c>
      <c r="N40" s="30" t="str">
        <f t="shared" si="17"/>
        <v/>
      </c>
      <c r="O40" s="30" t="str">
        <f t="shared" si="17"/>
        <v/>
      </c>
      <c r="P40" s="30" t="str">
        <f t="shared" si="17"/>
        <v/>
      </c>
      <c r="Q40" s="30" t="str">
        <f t="shared" si="17"/>
        <v/>
      </c>
    </row>
    <row r="41" spans="1:17" ht="15.75" customHeight="1" x14ac:dyDescent="0.15">
      <c r="A41" s="10"/>
      <c r="E41" s="268"/>
    </row>
    <row r="42" spans="1:17" ht="15.75" customHeight="1" x14ac:dyDescent="0.15">
      <c r="A42" s="10"/>
      <c r="B42" s="64" t="s">
        <v>209</v>
      </c>
      <c r="E42" s="268"/>
    </row>
    <row r="43" spans="1:17" ht="15.75" customHeight="1" x14ac:dyDescent="0.15">
      <c r="A43" s="10"/>
      <c r="B43" s="27" t="s">
        <v>172</v>
      </c>
      <c r="C43" s="263">
        <v>0.24</v>
      </c>
      <c r="D43" s="27"/>
      <c r="E43" s="265" t="s">
        <v>335</v>
      </c>
      <c r="F43" s="27"/>
      <c r="G43" s="6">
        <f t="shared" ref="G43:Q43" si="18">IF(G$4="","",-G14/SUM(G8+G11,G12))</f>
        <v>0.16214736506972799</v>
      </c>
      <c r="H43" s="6">
        <f t="shared" si="18"/>
        <v>0.16225651803742283</v>
      </c>
      <c r="I43" s="6">
        <f t="shared" si="18"/>
        <v>0.18507299176575123</v>
      </c>
      <c r="J43" s="6">
        <f t="shared" si="18"/>
        <v>0.20414515027301566</v>
      </c>
      <c r="K43" s="6">
        <f t="shared" si="18"/>
        <v>0</v>
      </c>
      <c r="L43" s="6" t="str">
        <f t="shared" si="18"/>
        <v/>
      </c>
      <c r="M43" s="6" t="str">
        <f t="shared" si="18"/>
        <v/>
      </c>
      <c r="N43" s="6" t="str">
        <f t="shared" si="18"/>
        <v/>
      </c>
      <c r="O43" s="6" t="str">
        <f t="shared" si="18"/>
        <v/>
      </c>
      <c r="P43" s="6" t="str">
        <f t="shared" si="18"/>
        <v/>
      </c>
      <c r="Q43" s="6" t="str">
        <f t="shared" si="18"/>
        <v/>
      </c>
    </row>
    <row r="44" spans="1:17" ht="15.75" customHeight="1" x14ac:dyDescent="0.15">
      <c r="A44" s="10"/>
    </row>
    <row r="45" spans="1:17" ht="15.75" customHeight="1" x14ac:dyDescent="0.25">
      <c r="A45" s="10"/>
      <c r="B45" s="54" t="s">
        <v>210</v>
      </c>
      <c r="C45" s="54"/>
      <c r="D45" s="56"/>
      <c r="E45" s="66" t="s">
        <v>59</v>
      </c>
      <c r="F45" s="56"/>
      <c r="G45" s="37"/>
      <c r="H45" s="37"/>
      <c r="I45" s="37"/>
      <c r="J45" s="37"/>
      <c r="K45" s="37"/>
      <c r="L45" s="37"/>
      <c r="M45" s="37"/>
      <c r="N45" s="37"/>
      <c r="O45" s="37"/>
      <c r="P45" s="37"/>
      <c r="Q45" s="37"/>
    </row>
    <row r="46" spans="1:17" ht="15.75" customHeight="1" x14ac:dyDescent="0.15">
      <c r="A46" s="10"/>
      <c r="B46" s="64" t="s">
        <v>60</v>
      </c>
      <c r="E46" s="268"/>
    </row>
    <row r="47" spans="1:17" ht="15.75" customHeight="1" x14ac:dyDescent="0.15">
      <c r="A47" s="10"/>
      <c r="B47" s="2" t="s">
        <v>39</v>
      </c>
      <c r="C47" s="319">
        <f>-BS!G31*Normalized_FCF!C54</f>
        <v>-43</v>
      </c>
      <c r="E47" s="268"/>
      <c r="G47" s="319">
        <f>Data!C51</f>
        <v>-43</v>
      </c>
      <c r="H47" s="319">
        <f>Data!D51</f>
        <v>-40.775368</v>
      </c>
      <c r="I47" s="319">
        <f>Data!E51</f>
        <v>-49.197794000000002</v>
      </c>
      <c r="J47" s="319">
        <f>Data!F51</f>
        <v>-81.763175000000004</v>
      </c>
      <c r="K47" s="319">
        <f>Data!G51</f>
        <v>0</v>
      </c>
      <c r="L47" s="319" t="str">
        <f>Data!H51</f>
        <v/>
      </c>
      <c r="M47" s="319" t="str">
        <f>Data!I51</f>
        <v/>
      </c>
      <c r="N47" s="319" t="str">
        <f>Data!J51</f>
        <v/>
      </c>
      <c r="O47" s="319" t="str">
        <f>Data!K51</f>
        <v/>
      </c>
      <c r="P47" s="319" t="str">
        <f>Data!L51</f>
        <v/>
      </c>
      <c r="Q47" s="319" t="str">
        <f>Data!M51</f>
        <v/>
      </c>
    </row>
    <row r="48" spans="1:17" ht="15.75" customHeight="1" x14ac:dyDescent="0.15">
      <c r="A48" s="10"/>
      <c r="B48" s="2" t="s">
        <v>346</v>
      </c>
      <c r="C48" s="319">
        <f>BS!D75*C53</f>
        <v>163.69305155463843</v>
      </c>
      <c r="E48" s="268"/>
      <c r="G48" s="328">
        <f>IFERROR(IF(G$4="","",($C$48/$C$49)*G49),0)</f>
        <v>267.79206823259295</v>
      </c>
      <c r="H48" s="328">
        <f t="shared" ref="H48:Q48" si="19">IFERROR(IF(H$4="","",($C$48/$C$49)*H49),0)</f>
        <v>159.16980399706225</v>
      </c>
      <c r="I48" s="328">
        <f t="shared" si="19"/>
        <v>38.596354894088577</v>
      </c>
      <c r="J48" s="328">
        <f t="shared" si="19"/>
        <v>65.481471305953832</v>
      </c>
      <c r="K48" s="328">
        <f t="shared" si="19"/>
        <v>0</v>
      </c>
      <c r="L48" s="328" t="str">
        <f t="shared" si="19"/>
        <v/>
      </c>
      <c r="M48" s="328" t="str">
        <f t="shared" si="19"/>
        <v/>
      </c>
      <c r="N48" s="328" t="str">
        <f t="shared" si="19"/>
        <v/>
      </c>
      <c r="O48" s="328" t="str">
        <f t="shared" si="19"/>
        <v/>
      </c>
      <c r="P48" s="328" t="str">
        <f t="shared" si="19"/>
        <v/>
      </c>
      <c r="Q48" s="328" t="str">
        <f t="shared" si="19"/>
        <v/>
      </c>
    </row>
    <row r="49" spans="1:17" ht="15.75" customHeight="1" x14ac:dyDescent="0.15">
      <c r="A49" s="10"/>
      <c r="B49" s="287" t="s">
        <v>343</v>
      </c>
      <c r="C49" s="330">
        <f>BS!$C$66*C53</f>
        <v>1430.37</v>
      </c>
      <c r="D49" s="288"/>
      <c r="E49" s="289"/>
      <c r="F49" s="288"/>
      <c r="G49" s="330">
        <f>Data!C52</f>
        <v>2340</v>
      </c>
      <c r="H49" s="330">
        <f>Data!D52</f>
        <v>1390.845307</v>
      </c>
      <c r="I49" s="330">
        <f>Data!E52</f>
        <v>337.25969199999997</v>
      </c>
      <c r="J49" s="330">
        <f>Data!F52</f>
        <v>572.18514300000004</v>
      </c>
      <c r="K49" s="330">
        <f>Data!G52</f>
        <v>0</v>
      </c>
      <c r="L49" s="330" t="str">
        <f>Data!H52</f>
        <v/>
      </c>
      <c r="M49" s="330" t="str">
        <f>Data!I52</f>
        <v/>
      </c>
      <c r="N49" s="330" t="str">
        <f>Data!J52</f>
        <v/>
      </c>
      <c r="O49" s="330" t="str">
        <f>Data!K52</f>
        <v/>
      </c>
      <c r="P49" s="330" t="str">
        <f>Data!L52</f>
        <v/>
      </c>
      <c r="Q49" s="330" t="str">
        <f>Data!M52</f>
        <v/>
      </c>
    </row>
    <row r="50" spans="1:17" ht="15.75" customHeight="1" x14ac:dyDescent="0.15">
      <c r="A50" s="10"/>
      <c r="B50" s="70" t="s">
        <v>68</v>
      </c>
      <c r="C50" s="320">
        <f>C47+C48</f>
        <v>120.69305155463843</v>
      </c>
      <c r="E50" s="268"/>
      <c r="G50" s="320">
        <f>IF(G$4="","",(G47+G48))</f>
        <v>224.79206823259295</v>
      </c>
      <c r="H50" s="320">
        <f t="shared" ref="H50:Q50" si="20">IF(H$4="","",(H47+H48))</f>
        <v>118.39443599706225</v>
      </c>
      <c r="I50" s="320">
        <f t="shared" si="20"/>
        <v>-10.601439105911425</v>
      </c>
      <c r="J50" s="320">
        <f t="shared" si="20"/>
        <v>-16.281703694046172</v>
      </c>
      <c r="K50" s="320">
        <f t="shared" si="20"/>
        <v>0</v>
      </c>
      <c r="L50" s="320" t="str">
        <f t="shared" si="20"/>
        <v/>
      </c>
      <c r="M50" s="320" t="str">
        <f t="shared" si="20"/>
        <v/>
      </c>
      <c r="N50" s="320" t="str">
        <f t="shared" si="20"/>
        <v/>
      </c>
      <c r="O50" s="320" t="str">
        <f t="shared" si="20"/>
        <v/>
      </c>
      <c r="P50" s="320" t="str">
        <f t="shared" si="20"/>
        <v/>
      </c>
      <c r="Q50" s="320" t="str">
        <f t="shared" si="20"/>
        <v/>
      </c>
    </row>
    <row r="51" spans="1:17" ht="15.75" customHeight="1" x14ac:dyDescent="0.15">
      <c r="A51" s="10"/>
      <c r="E51" s="268"/>
    </row>
    <row r="52" spans="1:17" ht="15.75" customHeight="1" x14ac:dyDescent="0.15">
      <c r="A52" s="10"/>
      <c r="B52" s="72" t="s">
        <v>156</v>
      </c>
      <c r="E52" s="268"/>
      <c r="G52" s="97" t="s">
        <v>220</v>
      </c>
    </row>
    <row r="53" spans="1:17" ht="15.75" customHeight="1" x14ac:dyDescent="0.15">
      <c r="A53" s="10"/>
      <c r="B53" s="8" t="s">
        <v>89</v>
      </c>
      <c r="C53" s="87">
        <v>0.03</v>
      </c>
      <c r="E53" s="265" t="s">
        <v>336</v>
      </c>
      <c r="G53" s="6">
        <f>IF(Normalized_FCF!G4="","",Normalized_FCF!G49/BS!$C$66)</f>
        <v>4.907821053293903E-2</v>
      </c>
      <c r="H53" s="169"/>
      <c r="I53" s="169"/>
      <c r="J53" s="169"/>
      <c r="K53" s="169"/>
      <c r="L53" s="169"/>
      <c r="M53" s="169"/>
      <c r="N53" s="169"/>
      <c r="O53" s="169"/>
      <c r="P53" s="169"/>
      <c r="Q53" s="169"/>
    </row>
    <row r="54" spans="1:17" ht="15.75" customHeight="1" x14ac:dyDescent="0.15">
      <c r="A54" s="10"/>
      <c r="B54" s="8" t="s">
        <v>88</v>
      </c>
      <c r="C54" s="82">
        <f>G54</f>
        <v>1.3902360168121564E-2</v>
      </c>
      <c r="E54" s="265" t="s">
        <v>337</v>
      </c>
      <c r="G54" s="23">
        <f>IFERROR(ABS(Normalized_FCF!G47/BS!$G$31),0)</f>
        <v>1.3902360168121564E-2</v>
      </c>
      <c r="H54" s="169"/>
      <c r="I54" s="169"/>
      <c r="J54" s="169"/>
      <c r="K54" s="169"/>
      <c r="L54" s="169"/>
      <c r="M54" s="169"/>
      <c r="N54" s="169"/>
      <c r="O54" s="169"/>
      <c r="P54" s="169"/>
      <c r="Q54" s="169"/>
    </row>
    <row r="55" spans="1:17" ht="15.75" customHeight="1" x14ac:dyDescent="0.15">
      <c r="A55" s="10"/>
      <c r="B55" s="26" t="s">
        <v>91</v>
      </c>
      <c r="C55" s="42">
        <f>-C8/C47</f>
        <v>60.274889749707867</v>
      </c>
      <c r="E55" s="268"/>
      <c r="G55" s="42">
        <f t="shared" ref="G55:Q55" si="21">IF(G4="","",-G8/G47)</f>
        <v>54.348837209302324</v>
      </c>
      <c r="H55" s="42">
        <f t="shared" si="21"/>
        <v>104.47483882916765</v>
      </c>
      <c r="I55" s="42">
        <f t="shared" si="21"/>
        <v>148.38466688160855</v>
      </c>
      <c r="J55" s="42">
        <f t="shared" si="21"/>
        <v>151.81888467516092</v>
      </c>
      <c r="K55" s="42" t="e">
        <f t="shared" si="21"/>
        <v>#DIV/0!</v>
      </c>
      <c r="L55" s="42" t="str">
        <f t="shared" si="21"/>
        <v/>
      </c>
      <c r="M55" s="42" t="str">
        <f t="shared" si="21"/>
        <v/>
      </c>
      <c r="N55" s="42" t="str">
        <f t="shared" si="21"/>
        <v/>
      </c>
      <c r="O55" s="42" t="str">
        <f t="shared" si="21"/>
        <v/>
      </c>
      <c r="P55" s="42" t="str">
        <f t="shared" si="21"/>
        <v/>
      </c>
      <c r="Q55" s="42" t="str">
        <f t="shared" si="21"/>
        <v/>
      </c>
    </row>
    <row r="56" spans="1:17" ht="15.75" customHeight="1" x14ac:dyDescent="0.15">
      <c r="A56" s="10"/>
      <c r="E56" s="268"/>
    </row>
    <row r="57" spans="1:17" ht="15.75" customHeight="1" x14ac:dyDescent="0.15">
      <c r="A57" s="10"/>
      <c r="B57" s="64" t="s">
        <v>169</v>
      </c>
      <c r="E57" s="268"/>
      <c r="G57" s="97" t="s">
        <v>220</v>
      </c>
    </row>
    <row r="58" spans="1:17" ht="15.75" customHeight="1" x14ac:dyDescent="0.15">
      <c r="A58" s="10"/>
      <c r="B58" s="40" t="s">
        <v>168</v>
      </c>
      <c r="C58" s="319">
        <f>BS!$C67*C66</f>
        <v>0</v>
      </c>
      <c r="E58" s="268"/>
      <c r="G58" s="319">
        <f>Data!C56</f>
        <v>0</v>
      </c>
      <c r="H58" s="319">
        <f>Data!D56</f>
        <v>0</v>
      </c>
      <c r="I58" s="319">
        <f>Data!E56</f>
        <v>0</v>
      </c>
      <c r="J58" s="319">
        <f>Data!F56</f>
        <v>0</v>
      </c>
      <c r="K58" s="319">
        <f>Data!G56</f>
        <v>0</v>
      </c>
      <c r="L58" s="319" t="str">
        <f>Data!H56</f>
        <v/>
      </c>
      <c r="M58" s="319" t="str">
        <f>Data!I56</f>
        <v/>
      </c>
      <c r="N58" s="319" t="str">
        <f>Data!J56</f>
        <v/>
      </c>
      <c r="O58" s="319" t="str">
        <f>Data!K56</f>
        <v/>
      </c>
      <c r="P58" s="319" t="str">
        <f>Data!L56</f>
        <v/>
      </c>
      <c r="Q58" s="319" t="str">
        <f>Data!M56</f>
        <v/>
      </c>
    </row>
    <row r="59" spans="1:17" ht="15.75" customHeight="1" x14ac:dyDescent="0.15">
      <c r="A59" s="10"/>
      <c r="B59" s="40" t="s">
        <v>160</v>
      </c>
      <c r="C59" s="319">
        <f>BS!$C68*C67</f>
        <v>639</v>
      </c>
      <c r="E59" s="268"/>
      <c r="G59" s="319">
        <f>Data!C55</f>
        <v>639</v>
      </c>
      <c r="H59" s="319">
        <f>Data!D55</f>
        <v>927</v>
      </c>
      <c r="I59" s="319">
        <f>Data!E55</f>
        <v>0</v>
      </c>
      <c r="J59" s="319">
        <f>Data!F55</f>
        <v>0</v>
      </c>
      <c r="K59" s="319">
        <f>Data!G55</f>
        <v>0</v>
      </c>
      <c r="L59" s="319" t="str">
        <f>Data!H55</f>
        <v/>
      </c>
      <c r="M59" s="319" t="str">
        <f>Data!I55</f>
        <v/>
      </c>
      <c r="N59" s="319" t="str">
        <f>Data!J55</f>
        <v/>
      </c>
      <c r="O59" s="319" t="str">
        <f>Data!K55</f>
        <v/>
      </c>
      <c r="P59" s="319" t="str">
        <f>Data!L55</f>
        <v/>
      </c>
      <c r="Q59" s="319" t="str">
        <f>Data!M55</f>
        <v/>
      </c>
    </row>
    <row r="60" spans="1:17" ht="15.75" customHeight="1" x14ac:dyDescent="0.15">
      <c r="A60" s="10"/>
      <c r="B60" s="40" t="s">
        <v>159</v>
      </c>
      <c r="C60" s="319">
        <f>BS!$C69*C68</f>
        <v>0</v>
      </c>
      <c r="E60" s="268"/>
      <c r="G60" s="319">
        <f>Data!C57</f>
        <v>0</v>
      </c>
      <c r="H60" s="319">
        <f>Data!D57</f>
        <v>0</v>
      </c>
      <c r="I60" s="319">
        <f>Data!E57</f>
        <v>0</v>
      </c>
      <c r="J60" s="319">
        <f>Data!F57</f>
        <v>0</v>
      </c>
      <c r="K60" s="319">
        <f>Data!G57</f>
        <v>0</v>
      </c>
      <c r="L60" s="319" t="str">
        <f>Data!H57</f>
        <v/>
      </c>
      <c r="M60" s="319" t="str">
        <f>Data!I57</f>
        <v/>
      </c>
      <c r="N60" s="319" t="str">
        <f>Data!J57</f>
        <v/>
      </c>
      <c r="O60" s="319" t="str">
        <f>Data!K57</f>
        <v/>
      </c>
      <c r="P60" s="319" t="str">
        <f>Data!L57</f>
        <v/>
      </c>
      <c r="Q60" s="319" t="str">
        <f>Data!M57</f>
        <v/>
      </c>
    </row>
    <row r="61" spans="1:17" ht="15.75" customHeight="1" x14ac:dyDescent="0.15">
      <c r="A61" s="10"/>
      <c r="B61" s="31" t="s">
        <v>195</v>
      </c>
      <c r="C61" s="320">
        <f>SUM(C58:C60)</f>
        <v>639</v>
      </c>
      <c r="E61" s="268"/>
      <c r="G61" s="320">
        <f t="shared" ref="G61:Q61" si="22">IF(G4="","",SUM(G58:G60))</f>
        <v>639</v>
      </c>
      <c r="H61" s="320">
        <f t="shared" si="22"/>
        <v>927</v>
      </c>
      <c r="I61" s="320">
        <f t="shared" si="22"/>
        <v>0</v>
      </c>
      <c r="J61" s="320">
        <f t="shared" si="22"/>
        <v>0</v>
      </c>
      <c r="K61" s="320">
        <f t="shared" si="22"/>
        <v>0</v>
      </c>
      <c r="L61" s="320" t="str">
        <f t="shared" si="22"/>
        <v/>
      </c>
      <c r="M61" s="320" t="str">
        <f t="shared" si="22"/>
        <v/>
      </c>
      <c r="N61" s="320" t="str">
        <f t="shared" si="22"/>
        <v/>
      </c>
      <c r="O61" s="320" t="str">
        <f t="shared" si="22"/>
        <v/>
      </c>
      <c r="P61" s="320" t="str">
        <f t="shared" si="22"/>
        <v/>
      </c>
      <c r="Q61" s="320" t="str">
        <f t="shared" si="22"/>
        <v/>
      </c>
    </row>
    <row r="62" spans="1:17" ht="15.75" customHeight="1" x14ac:dyDescent="0.15">
      <c r="A62" s="10"/>
      <c r="B62" s="40" t="s">
        <v>161</v>
      </c>
      <c r="C62" s="331">
        <v>0</v>
      </c>
      <c r="E62" s="266" t="s">
        <v>338</v>
      </c>
      <c r="G62" s="319">
        <f>Data!C58</f>
        <v>-503</v>
      </c>
      <c r="H62" s="319">
        <f>Data!D58</f>
        <v>203.76488900000004</v>
      </c>
      <c r="I62" s="319">
        <f>Data!E58</f>
        <v>-503.75612799999999</v>
      </c>
      <c r="J62" s="319">
        <f>Data!F58</f>
        <v>-726.80948300000091</v>
      </c>
      <c r="K62" s="319">
        <f>Data!G58</f>
        <v>-3450</v>
      </c>
      <c r="L62" s="319" t="str">
        <f>Data!H58</f>
        <v/>
      </c>
      <c r="M62" s="319" t="str">
        <f>Data!I58</f>
        <v/>
      </c>
      <c r="N62" s="319" t="str">
        <f>Data!J58</f>
        <v/>
      </c>
      <c r="O62" s="319" t="str">
        <f>Data!K58</f>
        <v/>
      </c>
      <c r="P62" s="319" t="str">
        <f>Data!L58</f>
        <v/>
      </c>
      <c r="Q62" s="319" t="str">
        <f>Data!M58</f>
        <v/>
      </c>
    </row>
    <row r="63" spans="1:17" ht="15.75" customHeight="1" x14ac:dyDescent="0.15">
      <c r="A63" s="10"/>
      <c r="B63" s="31" t="s">
        <v>196</v>
      </c>
      <c r="C63" s="320">
        <f>C61+C62</f>
        <v>639</v>
      </c>
      <c r="E63" s="268"/>
      <c r="G63" s="320">
        <f t="shared" ref="G63:Q63" si="23">IF(G4="","",G61+G62)</f>
        <v>136</v>
      </c>
      <c r="H63" s="320">
        <f t="shared" si="23"/>
        <v>1130.764889</v>
      </c>
      <c r="I63" s="320">
        <f t="shared" si="23"/>
        <v>-503.75612799999999</v>
      </c>
      <c r="J63" s="320">
        <f t="shared" si="23"/>
        <v>-726.80948300000091</v>
      </c>
      <c r="K63" s="320">
        <f t="shared" si="23"/>
        <v>-3450</v>
      </c>
      <c r="L63" s="320" t="str">
        <f t="shared" si="23"/>
        <v/>
      </c>
      <c r="M63" s="320" t="str">
        <f t="shared" si="23"/>
        <v/>
      </c>
      <c r="N63" s="320" t="str">
        <f t="shared" si="23"/>
        <v/>
      </c>
      <c r="O63" s="320" t="str">
        <f t="shared" si="23"/>
        <v/>
      </c>
      <c r="P63" s="320" t="str">
        <f t="shared" si="23"/>
        <v/>
      </c>
      <c r="Q63" s="320" t="str">
        <f t="shared" si="23"/>
        <v/>
      </c>
    </row>
    <row r="64" spans="1:17" ht="15.75" customHeight="1" x14ac:dyDescent="0.15">
      <c r="A64" s="10"/>
      <c r="E64" s="268"/>
    </row>
    <row r="65" spans="1:17" ht="15.75" customHeight="1" x14ac:dyDescent="0.15">
      <c r="A65" s="10"/>
      <c r="B65" s="96" t="s">
        <v>170</v>
      </c>
      <c r="E65" s="268"/>
      <c r="G65" s="97" t="s">
        <v>220</v>
      </c>
    </row>
    <row r="66" spans="1:17" ht="15.75" customHeight="1" x14ac:dyDescent="0.15">
      <c r="A66" s="10"/>
      <c r="B66" s="40" t="s">
        <v>168</v>
      </c>
      <c r="C66" s="176">
        <f>G66</f>
        <v>0</v>
      </c>
      <c r="E66" s="268"/>
      <c r="G66" s="23">
        <f>IFERROR(G58/BS!$C$67,0)</f>
        <v>0</v>
      </c>
      <c r="H66" s="175"/>
      <c r="I66" s="175"/>
      <c r="J66" s="175"/>
      <c r="K66" s="175"/>
      <c r="L66" s="175"/>
      <c r="M66" s="175"/>
      <c r="N66" s="175"/>
      <c r="O66" s="175"/>
      <c r="P66" s="175"/>
      <c r="Q66" s="175"/>
    </row>
    <row r="67" spans="1:17" ht="15.75" customHeight="1" x14ac:dyDescent="0.15">
      <c r="A67" s="10"/>
      <c r="B67" s="105" t="s">
        <v>158</v>
      </c>
      <c r="C67" s="176">
        <f>G67</f>
        <v>2.6966576637407157E-2</v>
      </c>
      <c r="E67" s="268"/>
      <c r="G67" s="23">
        <f>IFERROR(G59/BS!$C$68,0)</f>
        <v>2.6966576637407157E-2</v>
      </c>
      <c r="H67" s="175"/>
      <c r="I67" s="175"/>
      <c r="J67" s="175"/>
      <c r="K67" s="175"/>
      <c r="L67" s="175"/>
      <c r="M67" s="175"/>
      <c r="N67" s="175"/>
      <c r="O67" s="175"/>
      <c r="P67" s="175"/>
      <c r="Q67" s="175"/>
    </row>
    <row r="68" spans="1:17" ht="15.75" customHeight="1" x14ac:dyDescent="0.15">
      <c r="A68" s="10"/>
      <c r="B68" s="105" t="s">
        <v>159</v>
      </c>
      <c r="C68" s="176">
        <f>G68</f>
        <v>0</v>
      </c>
      <c r="E68" s="268"/>
      <c r="G68" s="23">
        <f>IFERROR(G60/BS!$C$69,0)</f>
        <v>0</v>
      </c>
      <c r="H68" s="175"/>
      <c r="I68" s="175"/>
      <c r="J68" s="175"/>
      <c r="K68" s="175"/>
      <c r="L68" s="175"/>
      <c r="M68" s="175"/>
      <c r="N68" s="175"/>
      <c r="O68" s="175"/>
      <c r="P68" s="175"/>
      <c r="Q68" s="175"/>
    </row>
    <row r="69" spans="1:17" ht="15.75" customHeight="1" x14ac:dyDescent="0.15">
      <c r="A69" s="10"/>
      <c r="B69" s="31" t="s">
        <v>195</v>
      </c>
      <c r="C69" s="71">
        <f>C61/BS!C70</f>
        <v>8.7649511686601553E-3</v>
      </c>
      <c r="D69" s="9"/>
      <c r="E69" s="273"/>
      <c r="F69" s="9"/>
      <c r="G69" s="71">
        <f>G61/BS!C70</f>
        <v>8.7649511686601553E-3</v>
      </c>
      <c r="H69" s="175"/>
      <c r="I69" s="175"/>
      <c r="J69" s="175"/>
      <c r="K69" s="175"/>
      <c r="L69" s="175"/>
      <c r="M69" s="175"/>
      <c r="N69" s="175"/>
      <c r="O69" s="175"/>
      <c r="P69" s="175"/>
      <c r="Q69" s="175"/>
    </row>
    <row r="70" spans="1:17" ht="15.75" customHeight="1" x14ac:dyDescent="0.15">
      <c r="A70" s="10"/>
    </row>
    <row r="71" spans="1:17" ht="15.75" customHeight="1" x14ac:dyDescent="0.25">
      <c r="A71" s="10"/>
      <c r="B71" s="54" t="s">
        <v>213</v>
      </c>
      <c r="C71" s="54"/>
      <c r="D71" s="56"/>
      <c r="E71" s="66" t="s">
        <v>463</v>
      </c>
      <c r="F71" s="56"/>
      <c r="G71" s="37"/>
      <c r="H71" s="37"/>
      <c r="I71" s="37"/>
      <c r="J71" s="37"/>
      <c r="K71" s="37"/>
      <c r="L71" s="37"/>
      <c r="M71" s="37"/>
      <c r="N71" s="37"/>
      <c r="O71" s="37"/>
      <c r="P71" s="37"/>
      <c r="Q71" s="37"/>
    </row>
    <row r="72" spans="1:17" ht="15.75" customHeight="1" x14ac:dyDescent="0.15">
      <c r="A72" s="10"/>
      <c r="B72" s="72" t="s">
        <v>217</v>
      </c>
      <c r="C72" s="62"/>
      <c r="D72" s="27"/>
      <c r="E72" s="265"/>
      <c r="F72" s="27"/>
      <c r="G72" s="97"/>
      <c r="H72" s="12"/>
      <c r="I72" s="12"/>
      <c r="J72" s="12"/>
      <c r="K72" s="12"/>
      <c r="L72" s="12"/>
      <c r="M72" s="12"/>
      <c r="N72" s="12"/>
      <c r="O72" s="12"/>
      <c r="P72" s="12"/>
      <c r="Q72" s="12"/>
    </row>
    <row r="73" spans="1:17" ht="15.75" customHeight="1" x14ac:dyDescent="0.15">
      <c r="A73" s="10"/>
      <c r="B73" s="2" t="s">
        <v>46</v>
      </c>
      <c r="C73" s="77">
        <f>ABS(C5/C$4)</f>
        <v>0.57805815639048053</v>
      </c>
      <c r="D73" s="27"/>
      <c r="E73" s="265"/>
      <c r="F73" s="27"/>
      <c r="G73" s="6">
        <f t="shared" ref="G73:Q73" si="24">IF(G$4="","",ABS(G5/G$4))</f>
        <v>0.60969766115231028</v>
      </c>
      <c r="H73" s="6">
        <f t="shared" si="24"/>
        <v>0.54641865162865078</v>
      </c>
      <c r="I73" s="6">
        <f t="shared" si="24"/>
        <v>0.47812220197752181</v>
      </c>
      <c r="J73" s="6">
        <f t="shared" si="24"/>
        <v>0.45826243510069942</v>
      </c>
      <c r="K73" s="6">
        <f t="shared" si="24"/>
        <v>0.4139629692542891</v>
      </c>
      <c r="L73" s="6" t="str">
        <f t="shared" si="24"/>
        <v/>
      </c>
      <c r="M73" s="6" t="str">
        <f t="shared" si="24"/>
        <v/>
      </c>
      <c r="N73" s="6" t="str">
        <f t="shared" si="24"/>
        <v/>
      </c>
      <c r="O73" s="6" t="str">
        <f t="shared" si="24"/>
        <v/>
      </c>
      <c r="P73" s="6" t="str">
        <f t="shared" si="24"/>
        <v/>
      </c>
      <c r="Q73" s="6" t="str">
        <f t="shared" si="24"/>
        <v/>
      </c>
    </row>
    <row r="74" spans="1:17" ht="15.75" customHeight="1" x14ac:dyDescent="0.15">
      <c r="A74" s="10"/>
      <c r="B74" s="31" t="s">
        <v>48</v>
      </c>
      <c r="C74" s="78">
        <f>ABS(C6/C$4)</f>
        <v>0.42194184360951947</v>
      </c>
      <c r="D74" s="27"/>
      <c r="E74" s="265"/>
      <c r="F74" s="27"/>
      <c r="G74" s="65">
        <f t="shared" ref="G74:Q74" si="25">IF(G$4="","",ABS(G6/G$4))</f>
        <v>0.39030233884768967</v>
      </c>
      <c r="H74" s="65">
        <f t="shared" si="25"/>
        <v>0.45358134837134922</v>
      </c>
      <c r="I74" s="65">
        <f t="shared" si="25"/>
        <v>0.52187779802247813</v>
      </c>
      <c r="J74" s="65">
        <f t="shared" si="25"/>
        <v>0.54173756489930058</v>
      </c>
      <c r="K74" s="65">
        <f t="shared" si="25"/>
        <v>0.5860370307457109</v>
      </c>
      <c r="L74" s="65" t="str">
        <f t="shared" si="25"/>
        <v/>
      </c>
      <c r="M74" s="65" t="str">
        <f t="shared" si="25"/>
        <v/>
      </c>
      <c r="N74" s="65" t="str">
        <f t="shared" si="25"/>
        <v/>
      </c>
      <c r="O74" s="65" t="str">
        <f t="shared" si="25"/>
        <v/>
      </c>
      <c r="P74" s="65" t="str">
        <f t="shared" si="25"/>
        <v/>
      </c>
      <c r="Q74" s="65" t="str">
        <f t="shared" si="25"/>
        <v/>
      </c>
    </row>
    <row r="75" spans="1:17" ht="15.75" customHeight="1" x14ac:dyDescent="0.15">
      <c r="A75" s="10"/>
      <c r="B75" s="8" t="s">
        <v>45</v>
      </c>
      <c r="C75" s="77">
        <f>ABS(C7/C$4)</f>
        <v>0.1262407301768397</v>
      </c>
      <c r="D75" s="27"/>
      <c r="E75" s="265"/>
      <c r="F75" s="27"/>
      <c r="G75" s="6">
        <f t="shared" ref="G75:Q75" si="26">IF(G$4="","",ABS(G7/G$4))</f>
        <v>0.12367370222475756</v>
      </c>
      <c r="H75" s="6">
        <f t="shared" si="26"/>
        <v>9.5025671239794635E-2</v>
      </c>
      <c r="I75" s="6">
        <f t="shared" si="26"/>
        <v>5.5428246134247773E-2</v>
      </c>
      <c r="J75" s="6">
        <f t="shared" si="26"/>
        <v>3.3694951770082464E-2</v>
      </c>
      <c r="K75" s="6">
        <f t="shared" si="26"/>
        <v>0</v>
      </c>
      <c r="L75" s="6" t="str">
        <f t="shared" si="26"/>
        <v/>
      </c>
      <c r="M75" s="6" t="str">
        <f t="shared" si="26"/>
        <v/>
      </c>
      <c r="N75" s="6" t="str">
        <f t="shared" si="26"/>
        <v/>
      </c>
      <c r="O75" s="6" t="str">
        <f t="shared" si="26"/>
        <v/>
      </c>
      <c r="P75" s="6" t="str">
        <f t="shared" si="26"/>
        <v/>
      </c>
      <c r="Q75" s="6" t="str">
        <f t="shared" si="26"/>
        <v/>
      </c>
    </row>
    <row r="76" spans="1:17" ht="15.75" customHeight="1" x14ac:dyDescent="0.15">
      <c r="A76" s="10"/>
      <c r="B76" s="29" t="s">
        <v>153</v>
      </c>
      <c r="C76" s="78">
        <f>ABS(C8/C$4)</f>
        <v>0.2957011134326798</v>
      </c>
      <c r="D76" s="27"/>
      <c r="E76" s="265"/>
      <c r="F76" s="27"/>
      <c r="G76" s="65">
        <f t="shared" ref="G76:Q76" si="27">IF(G$4="","",ABS(G8/G$4))</f>
        <v>0.26662863662293212</v>
      </c>
      <c r="H76" s="65">
        <f t="shared" si="27"/>
        <v>0.35855567713155456</v>
      </c>
      <c r="I76" s="65">
        <f t="shared" si="27"/>
        <v>0.4664495518882304</v>
      </c>
      <c r="J76" s="65">
        <f t="shared" si="27"/>
        <v>0.50804261312921806</v>
      </c>
      <c r="K76" s="65">
        <f t="shared" si="27"/>
        <v>0.5860370307457109</v>
      </c>
      <c r="L76" s="65" t="str">
        <f t="shared" si="27"/>
        <v/>
      </c>
      <c r="M76" s="65" t="str">
        <f t="shared" si="27"/>
        <v/>
      </c>
      <c r="N76" s="65" t="str">
        <f t="shared" si="27"/>
        <v/>
      </c>
      <c r="O76" s="65" t="str">
        <f t="shared" si="27"/>
        <v/>
      </c>
      <c r="P76" s="65" t="str">
        <f t="shared" si="27"/>
        <v/>
      </c>
      <c r="Q76" s="65" t="str">
        <f t="shared" si="27"/>
        <v/>
      </c>
    </row>
    <row r="77" spans="1:17" ht="15.75" customHeight="1" x14ac:dyDescent="0.15">
      <c r="A77" s="10"/>
      <c r="B77" s="2" t="s">
        <v>65</v>
      </c>
      <c r="C77" s="77">
        <f>ABS(C9/C$4)</f>
        <v>1.8254420992584137E-2</v>
      </c>
      <c r="D77" s="27"/>
      <c r="E77" s="265"/>
      <c r="F77" s="27"/>
      <c r="G77" s="6">
        <f t="shared" ref="G77:Q77" si="28">IF(G$4="","",G9/G$4)</f>
        <v>1.825442099258414E-2</v>
      </c>
      <c r="H77" s="6">
        <f t="shared" si="28"/>
        <v>1.6665263866677889E-2</v>
      </c>
      <c r="I77" s="6">
        <f t="shared" si="28"/>
        <v>1.1566229000166427E-2</v>
      </c>
      <c r="J77" s="6">
        <f t="shared" si="28"/>
        <v>7.6185555491919766E-3</v>
      </c>
      <c r="K77" s="6">
        <f t="shared" si="28"/>
        <v>0</v>
      </c>
      <c r="L77" s="6" t="str">
        <f t="shared" si="28"/>
        <v/>
      </c>
      <c r="M77" s="6" t="str">
        <f t="shared" si="28"/>
        <v/>
      </c>
      <c r="N77" s="6" t="str">
        <f t="shared" si="28"/>
        <v/>
      </c>
      <c r="O77" s="6" t="str">
        <f t="shared" si="28"/>
        <v/>
      </c>
      <c r="P77" s="6" t="str">
        <f t="shared" si="28"/>
        <v/>
      </c>
      <c r="Q77" s="6" t="str">
        <f t="shared" si="28"/>
        <v/>
      </c>
    </row>
    <row r="78" spans="1:17" ht="15.75" customHeight="1" x14ac:dyDescent="0.15">
      <c r="A78" s="10"/>
      <c r="B78" s="2" t="s">
        <v>81</v>
      </c>
      <c r="C78" s="88">
        <f>MAX(AVERAGE(G78:J78),C77)</f>
        <v>1.8254420992584137E-2</v>
      </c>
      <c r="D78" s="27"/>
      <c r="E78" s="266" t="s">
        <v>464</v>
      </c>
      <c r="F78" s="27"/>
      <c r="G78" s="6">
        <f t="shared" ref="G78:Q78" si="29">IF(G$4="","",-G10/G$4)</f>
        <v>7.8722190530519116E-3</v>
      </c>
      <c r="H78" s="6">
        <f t="shared" si="29"/>
        <v>9.0901439272788494E-3</v>
      </c>
      <c r="I78" s="6">
        <f t="shared" si="29"/>
        <v>1.1566229000166427E-2</v>
      </c>
      <c r="J78" s="6">
        <f t="shared" si="29"/>
        <v>7.6185555491919766E-3</v>
      </c>
      <c r="K78" s="6">
        <f t="shared" si="29"/>
        <v>0</v>
      </c>
      <c r="L78" s="6" t="str">
        <f t="shared" si="29"/>
        <v/>
      </c>
      <c r="M78" s="6" t="str">
        <f t="shared" si="29"/>
        <v/>
      </c>
      <c r="N78" s="6" t="str">
        <f t="shared" si="29"/>
        <v/>
      </c>
      <c r="O78" s="6" t="str">
        <f t="shared" si="29"/>
        <v/>
      </c>
      <c r="P78" s="6" t="str">
        <f t="shared" si="29"/>
        <v/>
      </c>
      <c r="Q78" s="6" t="str">
        <f t="shared" si="29"/>
        <v/>
      </c>
    </row>
    <row r="79" spans="1:17" ht="15.75" customHeight="1" x14ac:dyDescent="0.15">
      <c r="A79" s="10"/>
      <c r="B79" s="31" t="s">
        <v>154</v>
      </c>
      <c r="C79" s="78">
        <f>ABS(C11/C$4)</f>
        <v>7.2903593839132919E-2</v>
      </c>
      <c r="D79" s="27"/>
      <c r="E79" s="265"/>
      <c r="F79" s="27"/>
      <c r="G79" s="65">
        <f t="shared" ref="G79:Q79" si="30">IF(G$4="","",G11/G$4)</f>
        <v>7.2903593839132919E-2</v>
      </c>
      <c r="H79" s="65">
        <f t="shared" si="30"/>
        <v>7.8023735375810116E-2</v>
      </c>
      <c r="I79" s="65">
        <f t="shared" si="30"/>
        <v>0</v>
      </c>
      <c r="J79" s="65">
        <f t="shared" si="30"/>
        <v>0</v>
      </c>
      <c r="K79" s="65">
        <f t="shared" si="30"/>
        <v>0</v>
      </c>
      <c r="L79" s="65" t="str">
        <f t="shared" si="30"/>
        <v/>
      </c>
      <c r="M79" s="65" t="str">
        <f t="shared" si="30"/>
        <v/>
      </c>
      <c r="N79" s="65" t="str">
        <f t="shared" si="30"/>
        <v/>
      </c>
      <c r="O79" s="65" t="str">
        <f t="shared" si="30"/>
        <v/>
      </c>
      <c r="P79" s="65" t="str">
        <f t="shared" si="30"/>
        <v/>
      </c>
      <c r="Q79" s="65" t="str">
        <f t="shared" si="30"/>
        <v/>
      </c>
    </row>
    <row r="80" spans="1:17" ht="15.75" customHeight="1" x14ac:dyDescent="0.15">
      <c r="A80" s="10"/>
      <c r="B80" s="2" t="s">
        <v>68</v>
      </c>
      <c r="C80" s="77">
        <f>ABS(C12/C$4)</f>
        <v>1.3769886087237698E-2</v>
      </c>
      <c r="D80" s="27"/>
      <c r="E80" s="265"/>
      <c r="F80" s="27"/>
      <c r="G80" s="6">
        <f t="shared" ref="G80:Q80" si="31">IF(G$4="","",ABS(G12/G$4))</f>
        <v>2.5646556558196573E-2</v>
      </c>
      <c r="H80" s="6">
        <f t="shared" si="31"/>
        <v>9.9650228092805528E-3</v>
      </c>
      <c r="I80" s="6">
        <f t="shared" si="31"/>
        <v>6.7738386475538973E-4</v>
      </c>
      <c r="J80" s="6">
        <f t="shared" si="31"/>
        <v>6.6637154522272712E-4</v>
      </c>
      <c r="K80" s="6">
        <f t="shared" si="31"/>
        <v>0</v>
      </c>
      <c r="L80" s="6" t="str">
        <f t="shared" si="31"/>
        <v/>
      </c>
      <c r="M80" s="6" t="str">
        <f t="shared" si="31"/>
        <v/>
      </c>
      <c r="N80" s="6" t="str">
        <f t="shared" si="31"/>
        <v/>
      </c>
      <c r="O80" s="6" t="str">
        <f t="shared" si="31"/>
        <v/>
      </c>
      <c r="P80" s="6" t="str">
        <f t="shared" si="31"/>
        <v/>
      </c>
      <c r="Q80" s="6" t="str">
        <f t="shared" si="31"/>
        <v/>
      </c>
    </row>
    <row r="81" spans="1:17" ht="15.75" customHeight="1" x14ac:dyDescent="0.15">
      <c r="A81" s="10"/>
      <c r="B81" s="70" t="s">
        <v>165</v>
      </c>
      <c r="C81" s="78">
        <f>C13/C4</f>
        <v>0.38237459335905039</v>
      </c>
      <c r="D81" s="27"/>
      <c r="E81" s="265"/>
      <c r="F81" s="27"/>
      <c r="G81" s="65">
        <f t="shared" ref="G81:Q81" si="32">IF(G$4="","",G13/G$4)</f>
        <v>0.37556098895979384</v>
      </c>
      <c r="H81" s="65">
        <f t="shared" si="32"/>
        <v>0.45411955525604425</v>
      </c>
      <c r="I81" s="65">
        <f t="shared" si="32"/>
        <v>0.46577216802347504</v>
      </c>
      <c r="J81" s="65">
        <f t="shared" si="32"/>
        <v>0.5073762415839953</v>
      </c>
      <c r="K81" s="65">
        <f t="shared" si="32"/>
        <v>0.5860370307457109</v>
      </c>
      <c r="L81" s="65" t="str">
        <f t="shared" si="32"/>
        <v/>
      </c>
      <c r="M81" s="65" t="str">
        <f t="shared" si="32"/>
        <v/>
      </c>
      <c r="N81" s="65" t="str">
        <f t="shared" si="32"/>
        <v/>
      </c>
      <c r="O81" s="65" t="str">
        <f t="shared" si="32"/>
        <v/>
      </c>
      <c r="P81" s="65" t="str">
        <f t="shared" si="32"/>
        <v/>
      </c>
      <c r="Q81" s="65" t="str">
        <f t="shared" si="32"/>
        <v/>
      </c>
    </row>
    <row r="82" spans="1:17" ht="15.75" customHeight="1" x14ac:dyDescent="0.15">
      <c r="A82" s="10"/>
      <c r="B82" s="2" t="s">
        <v>63</v>
      </c>
      <c r="C82" s="77">
        <f>ABS(C14/C$4)</f>
        <v>9.1769902406172096E-2</v>
      </c>
      <c r="D82" s="27"/>
      <c r="E82" s="265"/>
      <c r="F82" s="27"/>
      <c r="G82" s="6">
        <f t="shared" ref="G82:Q82" si="33">IF(G$4="","",ABS(G14/G$4))</f>
        <v>5.9212778094694808E-2</v>
      </c>
      <c r="H82" s="6">
        <f t="shared" si="33"/>
        <v>7.2454745223466038E-2</v>
      </c>
      <c r="I82" s="6">
        <f t="shared" si="33"/>
        <v>8.6201848617324689E-2</v>
      </c>
      <c r="J82" s="6">
        <f t="shared" si="33"/>
        <v>0.10357839908312262</v>
      </c>
      <c r="K82" s="6">
        <f t="shared" si="33"/>
        <v>0</v>
      </c>
      <c r="L82" s="6" t="str">
        <f t="shared" si="33"/>
        <v/>
      </c>
      <c r="M82" s="6" t="str">
        <f t="shared" si="33"/>
        <v/>
      </c>
      <c r="N82" s="6" t="str">
        <f t="shared" si="33"/>
        <v/>
      </c>
      <c r="O82" s="6" t="str">
        <f t="shared" si="33"/>
        <v/>
      </c>
      <c r="P82" s="6" t="str">
        <f t="shared" si="33"/>
        <v/>
      </c>
      <c r="Q82" s="6" t="str">
        <f t="shared" si="33"/>
        <v/>
      </c>
    </row>
    <row r="83" spans="1:17" ht="15.75" customHeight="1" x14ac:dyDescent="0.15">
      <c r="A83" s="10"/>
      <c r="B83" s="40" t="str">
        <f>B15</f>
        <v>NCI’s Share of Profits</v>
      </c>
      <c r="C83" s="264">
        <f>MIN(BS!C62,MAX(G83:K83))</f>
        <v>2.6092079791263361E-3</v>
      </c>
      <c r="D83" s="27"/>
      <c r="E83" s="265"/>
      <c r="F83" s="27"/>
      <c r="G83" s="6">
        <f t="shared" ref="G83:Q83" si="34">IF(G$4="","",-G15/G$4)</f>
        <v>0</v>
      </c>
      <c r="H83" s="6">
        <f t="shared" si="34"/>
        <v>2.6092079791263361E-3</v>
      </c>
      <c r="I83" s="6">
        <f t="shared" si="34"/>
        <v>0</v>
      </c>
      <c r="J83" s="6">
        <f t="shared" si="34"/>
        <v>0</v>
      </c>
      <c r="K83" s="6">
        <f t="shared" si="34"/>
        <v>0</v>
      </c>
      <c r="L83" s="6" t="str">
        <f t="shared" si="34"/>
        <v/>
      </c>
      <c r="M83" s="6" t="str">
        <f t="shared" si="34"/>
        <v/>
      </c>
      <c r="N83" s="6" t="str">
        <f t="shared" si="34"/>
        <v/>
      </c>
      <c r="O83" s="6" t="str">
        <f t="shared" si="34"/>
        <v/>
      </c>
      <c r="P83" s="6" t="str">
        <f t="shared" si="34"/>
        <v/>
      </c>
      <c r="Q83" s="6" t="str">
        <f t="shared" si="34"/>
        <v/>
      </c>
    </row>
    <row r="84" spans="1:17" ht="15.75" customHeight="1" x14ac:dyDescent="0.15">
      <c r="A84" s="10"/>
      <c r="B84" s="41" t="s">
        <v>155</v>
      </c>
      <c r="C84" s="78">
        <f>ABS(C16/C$4)</f>
        <v>0.28799548297375194</v>
      </c>
      <c r="D84" s="27"/>
      <c r="E84" s="265"/>
      <c r="F84" s="27"/>
      <c r="G84" s="65">
        <f t="shared" ref="G84:Q84" si="35">IF(G$4="","",ABS(G16/G$4))</f>
        <v>0.31634821086509901</v>
      </c>
      <c r="H84" s="65">
        <f t="shared" si="35"/>
        <v>0.3790556020534519</v>
      </c>
      <c r="I84" s="65">
        <f t="shared" si="35"/>
        <v>0.37957031940615032</v>
      </c>
      <c r="J84" s="65">
        <f t="shared" si="35"/>
        <v>0.40379784250087269</v>
      </c>
      <c r="K84" s="65">
        <f t="shared" si="35"/>
        <v>0.5860370307457109</v>
      </c>
      <c r="L84" s="65" t="str">
        <f t="shared" si="35"/>
        <v/>
      </c>
      <c r="M84" s="65" t="str">
        <f t="shared" si="35"/>
        <v/>
      </c>
      <c r="N84" s="65" t="str">
        <f t="shared" si="35"/>
        <v/>
      </c>
      <c r="O84" s="65" t="str">
        <f t="shared" si="35"/>
        <v/>
      </c>
      <c r="P84" s="65" t="str">
        <f t="shared" si="35"/>
        <v/>
      </c>
      <c r="Q84" s="65" t="str">
        <f t="shared" si="35"/>
        <v/>
      </c>
    </row>
    <row r="85" spans="1:17" ht="15.75" customHeight="1" x14ac:dyDescent="0.15">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x14ac:dyDescent="0.15">
      <c r="A86" s="10"/>
      <c r="B86" s="8" t="s">
        <v>99</v>
      </c>
      <c r="C86" s="77">
        <v>0</v>
      </c>
      <c r="E86" s="267" t="str">
        <f>E18</f>
        <v>Net borrowing is excluded</v>
      </c>
      <c r="G86" s="169"/>
      <c r="H86" s="169"/>
      <c r="I86" s="169"/>
      <c r="J86" s="169"/>
      <c r="K86" s="169"/>
      <c r="L86" s="169"/>
      <c r="M86" s="169"/>
      <c r="N86" s="169"/>
      <c r="O86" s="169"/>
      <c r="P86" s="169"/>
      <c r="Q86" s="169"/>
    </row>
    <row r="87" spans="1:17" ht="15.75" customHeight="1" x14ac:dyDescent="0.15">
      <c r="A87" s="10"/>
      <c r="B87" s="31" t="s">
        <v>141</v>
      </c>
      <c r="C87" s="78">
        <f>ABS(C19/C$4)</f>
        <v>0.28799548297375194</v>
      </c>
      <c r="D87" s="75"/>
      <c r="E87" s="265"/>
      <c r="F87" s="75"/>
      <c r="G87" s="65">
        <f t="shared" ref="G87:Q87" si="36">IF(G$4="","",ABS(G19/G$4))</f>
        <v>0.31634821086509901</v>
      </c>
      <c r="H87" s="65">
        <f t="shared" si="36"/>
        <v>0.3790556020534519</v>
      </c>
      <c r="I87" s="65">
        <f t="shared" si="36"/>
        <v>0.37957031940615032</v>
      </c>
      <c r="J87" s="65">
        <f t="shared" si="36"/>
        <v>0.40379784250087269</v>
      </c>
      <c r="K87" s="65">
        <f t="shared" si="36"/>
        <v>0.5860370307457109</v>
      </c>
      <c r="L87" s="65" t="str">
        <f t="shared" si="36"/>
        <v/>
      </c>
      <c r="M87" s="65" t="str">
        <f t="shared" si="36"/>
        <v/>
      </c>
      <c r="N87" s="65" t="str">
        <f t="shared" si="36"/>
        <v/>
      </c>
      <c r="O87" s="65" t="str">
        <f t="shared" si="36"/>
        <v/>
      </c>
      <c r="P87" s="65" t="str">
        <f t="shared" si="36"/>
        <v/>
      </c>
      <c r="Q87" s="65" t="str">
        <f t="shared" si="36"/>
        <v/>
      </c>
    </row>
    <row r="88" spans="1:17" ht="15.75" customHeight="1" x14ac:dyDescent="0.15">
      <c r="A88" s="10"/>
      <c r="E88" s="268"/>
    </row>
    <row r="89" spans="1:17" ht="15.75" customHeight="1" x14ac:dyDescent="0.15">
      <c r="A89" s="10"/>
      <c r="B89" s="64" t="s">
        <v>215</v>
      </c>
      <c r="E89" s="268"/>
    </row>
    <row r="90" spans="1:17" ht="15.75" customHeight="1" x14ac:dyDescent="0.15">
      <c r="A90" s="10"/>
      <c r="B90" s="2" t="str">
        <f>"Dividend per share ("&amp;Market_currency&amp;")"</f>
        <v>Dividend per share (HKD)</v>
      </c>
      <c r="C90" s="113">
        <f>G90</f>
        <v>0.57999999999999996</v>
      </c>
      <c r="E90" s="268"/>
      <c r="G90" s="112">
        <f>Data!C65</f>
        <v>0.57999999999999996</v>
      </c>
      <c r="H90" s="112">
        <f>Data!D65</f>
        <v>0.57999999999999996</v>
      </c>
      <c r="I90" s="112">
        <f>Data!E65</f>
        <v>0.56999999999999995</v>
      </c>
      <c r="J90" s="112">
        <f>Data!F65</f>
        <v>0</v>
      </c>
      <c r="K90" s="112">
        <f>Data!G65</f>
        <v>0</v>
      </c>
      <c r="L90" s="112" t="str">
        <f>Data!H65</f>
        <v/>
      </c>
      <c r="M90" s="112" t="str">
        <f>Data!I65</f>
        <v/>
      </c>
      <c r="N90" s="112" t="str">
        <f>Data!J65</f>
        <v/>
      </c>
      <c r="O90" s="112" t="str">
        <f>Data!K65</f>
        <v/>
      </c>
      <c r="P90" s="112" t="str">
        <f>Data!L65</f>
        <v/>
      </c>
      <c r="Q90" s="112" t="str">
        <f>Data!M65</f>
        <v/>
      </c>
    </row>
    <row r="91" spans="1:17" ht="15.75" customHeight="1" x14ac:dyDescent="0.15">
      <c r="A91" s="10"/>
      <c r="B91" s="2" t="str">
        <f>"Dividend ("&amp;Market_currency&amp;")"</f>
        <v>Dividend (HKD)</v>
      </c>
      <c r="C91" s="74">
        <f>C90*Common_Shares/scaling_factor</f>
        <v>4739.6903628800001</v>
      </c>
      <c r="E91" s="268"/>
      <c r="G91" s="74">
        <f t="shared" ref="G91:Q91" si="37">IF(G$4="","",G90*Common_Shares/scaling_factor)</f>
        <v>4739.6903628800001</v>
      </c>
      <c r="H91" s="74">
        <f t="shared" si="37"/>
        <v>4739.6903628800001</v>
      </c>
      <c r="I91" s="74">
        <f t="shared" si="37"/>
        <v>4657.9715635199991</v>
      </c>
      <c r="J91" s="74">
        <f t="shared" si="37"/>
        <v>0</v>
      </c>
      <c r="K91" s="74">
        <f t="shared" si="37"/>
        <v>0</v>
      </c>
      <c r="L91" s="74" t="str">
        <f t="shared" si="37"/>
        <v/>
      </c>
      <c r="M91" s="74" t="str">
        <f t="shared" si="37"/>
        <v/>
      </c>
      <c r="N91" s="74" t="str">
        <f t="shared" si="37"/>
        <v/>
      </c>
      <c r="O91" s="74" t="str">
        <f t="shared" si="37"/>
        <v/>
      </c>
      <c r="P91" s="74" t="str">
        <f t="shared" si="37"/>
        <v/>
      </c>
      <c r="Q91" s="74" t="str">
        <f t="shared" si="37"/>
        <v/>
      </c>
    </row>
    <row r="92" spans="1:17" ht="15.75" customHeight="1" x14ac:dyDescent="0.15">
      <c r="A92" s="10"/>
      <c r="B92" s="2" t="s">
        <v>214</v>
      </c>
      <c r="C92" s="23">
        <f>C90/(C19*scaling_factor/Common_Shares)</f>
        <v>1.8776401969295582</v>
      </c>
      <c r="E92" s="268"/>
      <c r="G92" s="170">
        <f t="shared" ref="G92:Q92" si="38">IF(G$4="","",G90/(G19*scaling_factor/Common_Shares))</f>
        <v>1.7093565785843898</v>
      </c>
      <c r="H92" s="170">
        <f t="shared" si="38"/>
        <v>1.0524320260941227</v>
      </c>
      <c r="I92" s="170">
        <f t="shared" si="38"/>
        <v>0.78410570190553441</v>
      </c>
      <c r="J92" s="170">
        <f t="shared" si="38"/>
        <v>0</v>
      </c>
      <c r="K92" s="170">
        <f t="shared" si="38"/>
        <v>0</v>
      </c>
      <c r="L92" s="170" t="str">
        <f t="shared" si="38"/>
        <v/>
      </c>
      <c r="M92" s="170" t="str">
        <f t="shared" si="38"/>
        <v/>
      </c>
      <c r="N92" s="170" t="str">
        <f t="shared" si="38"/>
        <v/>
      </c>
      <c r="O92" s="170" t="str">
        <f t="shared" si="38"/>
        <v/>
      </c>
      <c r="P92" s="170" t="str">
        <f t="shared" si="38"/>
        <v/>
      </c>
      <c r="Q92" s="170" t="str">
        <f t="shared" si="38"/>
        <v/>
      </c>
    </row>
    <row r="93" spans="1:17" ht="15.75" customHeight="1" x14ac:dyDescent="0.15">
      <c r="A93" s="10"/>
      <c r="B93" s="2" t="s">
        <v>310</v>
      </c>
      <c r="C93" s="23">
        <f>C90/Market_Price</f>
        <v>7.1165644171779133E-2</v>
      </c>
      <c r="E93" s="268"/>
      <c r="G93" s="23">
        <f t="shared" ref="G93:Q93" si="39">IF(G$4="","",G90/Market_Price)</f>
        <v>7.1165644171779133E-2</v>
      </c>
      <c r="H93" s="23">
        <f t="shared" si="39"/>
        <v>7.1165644171779133E-2</v>
      </c>
      <c r="I93" s="23">
        <f t="shared" si="39"/>
        <v>6.9938650306748451E-2</v>
      </c>
      <c r="J93" s="23">
        <f t="shared" si="39"/>
        <v>0</v>
      </c>
      <c r="K93" s="23">
        <f t="shared" si="39"/>
        <v>0</v>
      </c>
      <c r="L93" s="23" t="str">
        <f t="shared" si="39"/>
        <v/>
      </c>
      <c r="M93" s="23" t="str">
        <f t="shared" si="39"/>
        <v/>
      </c>
      <c r="N93" s="23" t="str">
        <f t="shared" si="39"/>
        <v/>
      </c>
      <c r="O93" s="23" t="str">
        <f t="shared" si="39"/>
        <v/>
      </c>
      <c r="P93" s="23" t="str">
        <f t="shared" si="39"/>
        <v/>
      </c>
      <c r="Q93" s="23" t="str">
        <f t="shared" si="39"/>
        <v/>
      </c>
    </row>
    <row r="94" spans="1:17" ht="15.75" customHeight="1" x14ac:dyDescent="0.15">
      <c r="A94" s="10"/>
      <c r="E94" s="268"/>
    </row>
    <row r="95" spans="1:17" ht="15.75" customHeight="1" x14ac:dyDescent="0.15">
      <c r="A95" s="10"/>
      <c r="B95" s="157" t="s">
        <v>85</v>
      </c>
      <c r="C95" s="62"/>
      <c r="D95" s="27"/>
      <c r="E95" s="265"/>
      <c r="F95" s="27"/>
      <c r="G95" s="12"/>
      <c r="H95" s="12"/>
      <c r="I95" s="12"/>
      <c r="J95" s="12"/>
      <c r="K95" s="12"/>
      <c r="L95" s="12"/>
      <c r="M95" s="12"/>
      <c r="N95" s="12"/>
      <c r="O95" s="12"/>
      <c r="P95" s="12"/>
      <c r="Q95" s="12"/>
    </row>
    <row r="96" spans="1:17" ht="15.75" customHeight="1" x14ac:dyDescent="0.15">
      <c r="A96" s="10"/>
      <c r="B96" s="27" t="s">
        <v>145</v>
      </c>
      <c r="C96" s="77">
        <f>C4/G4-1</f>
        <v>0</v>
      </c>
      <c r="D96" s="27"/>
      <c r="E96" s="265"/>
      <c r="F96" s="27"/>
      <c r="G96" s="6">
        <f t="shared" ref="G96:Q96" si="40">IF(H4="","",G4/H4-1)</f>
        <v>-0.26226748590186011</v>
      </c>
      <c r="H96" s="6">
        <f t="shared" si="40"/>
        <v>-0.2408579989228844</v>
      </c>
      <c r="I96" s="6">
        <f t="shared" si="40"/>
        <v>-0.35945953217712834</v>
      </c>
      <c r="J96" s="6">
        <f t="shared" si="40"/>
        <v>3.150394387463904</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x14ac:dyDescent="0.15">
      <c r="A97" s="10"/>
      <c r="B97" s="70" t="s">
        <v>165</v>
      </c>
      <c r="C97" s="77">
        <f>C13/G13-1</f>
        <v>1.8142471128666626E-2</v>
      </c>
      <c r="D97" s="27"/>
      <c r="E97" s="265"/>
      <c r="F97" s="27"/>
      <c r="G97" s="6">
        <f t="shared" ref="G97:Q97" si="41">IF(H5="","",G13/H13-1)</f>
        <v>-0.38988852302060206</v>
      </c>
      <c r="H97" s="6">
        <f t="shared" si="41"/>
        <v>-0.2598500907251543</v>
      </c>
      <c r="I97" s="6">
        <f t="shared" si="41"/>
        <v>-0.41198286803257977</v>
      </c>
      <c r="J97" s="6">
        <f t="shared" si="41"/>
        <v>2.5933079224075231</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x14ac:dyDescent="0.15">
      <c r="A98" s="10"/>
    </row>
    <row r="99" spans="1:17" ht="15.75" customHeight="1" x14ac:dyDescent="0.25">
      <c r="A99" s="3"/>
      <c r="B99" s="54" t="s">
        <v>216</v>
      </c>
      <c r="C99" s="54"/>
      <c r="D99" s="56"/>
      <c r="E99" s="66" t="s">
        <v>59</v>
      </c>
      <c r="F99" s="56"/>
      <c r="G99" s="37"/>
      <c r="H99" s="37"/>
      <c r="I99" s="37"/>
      <c r="J99" s="37"/>
      <c r="K99" s="37"/>
      <c r="L99" s="37"/>
      <c r="M99" s="37"/>
      <c r="N99" s="37"/>
      <c r="O99" s="37"/>
      <c r="P99" s="37"/>
      <c r="Q99" s="37"/>
    </row>
    <row r="100" spans="1:17" ht="15.75" customHeight="1" x14ac:dyDescent="0.15">
      <c r="A100" s="10"/>
      <c r="B100" s="64" t="s">
        <v>28</v>
      </c>
      <c r="E100" s="268"/>
      <c r="G100" s="97" t="s">
        <v>220</v>
      </c>
    </row>
    <row r="101" spans="1:17" ht="15.75" customHeight="1" x14ac:dyDescent="0.15">
      <c r="A101" s="10"/>
      <c r="B101" s="26" t="s">
        <v>3</v>
      </c>
      <c r="C101" s="332">
        <f>BS!G32</f>
        <v>180996</v>
      </c>
      <c r="D101" s="26"/>
      <c r="E101" s="269"/>
      <c r="F101" s="26"/>
      <c r="G101" s="324">
        <f t="shared" ref="G101:Q101" si="42">IF(G$4="","",G105+G104)</f>
        <v>180996</v>
      </c>
      <c r="H101" s="324">
        <f t="shared" si="42"/>
        <v>174007</v>
      </c>
      <c r="I101" s="324">
        <f t="shared" si="42"/>
        <v>0</v>
      </c>
      <c r="J101" s="324">
        <f t="shared" si="42"/>
        <v>0</v>
      </c>
      <c r="K101" s="324">
        <f t="shared" si="42"/>
        <v>0</v>
      </c>
      <c r="L101" s="324" t="str">
        <f t="shared" si="42"/>
        <v/>
      </c>
      <c r="M101" s="324" t="str">
        <f t="shared" si="42"/>
        <v/>
      </c>
      <c r="N101" s="324" t="str">
        <f t="shared" si="42"/>
        <v/>
      </c>
      <c r="O101" s="324" t="str">
        <f t="shared" si="42"/>
        <v/>
      </c>
      <c r="P101" s="324" t="str">
        <f t="shared" si="42"/>
        <v/>
      </c>
      <c r="Q101" s="324" t="str">
        <f t="shared" si="42"/>
        <v/>
      </c>
    </row>
    <row r="102" spans="1:17" ht="15.75" customHeight="1" x14ac:dyDescent="0.15">
      <c r="A102" s="10"/>
      <c r="B102" s="93" t="s">
        <v>211</v>
      </c>
      <c r="C102" s="333">
        <f>BS!C4</f>
        <v>8029</v>
      </c>
      <c r="D102" s="89"/>
      <c r="E102" s="270"/>
      <c r="F102" s="89"/>
      <c r="G102" s="334">
        <f>IF(G$4="","",Data!D77)</f>
        <v>7251</v>
      </c>
      <c r="H102" s="334">
        <f>IF(H$4="","",Data!E77)</f>
        <v>0</v>
      </c>
      <c r="I102" s="334">
        <f>IF(I$4="","",Data!F77)</f>
        <v>0</v>
      </c>
      <c r="J102" s="334">
        <f>IF(J$4="","",Data!G77)</f>
        <v>0</v>
      </c>
      <c r="K102" s="334" t="str">
        <f>IF(K$4="","",Data!H77)</f>
        <v/>
      </c>
      <c r="L102" s="334" t="str">
        <f>IF(L$4="","",Data!I77)</f>
        <v/>
      </c>
      <c r="M102" s="334" t="str">
        <f>IF(M$4="","",Data!J77)</f>
        <v/>
      </c>
      <c r="N102" s="334" t="str">
        <f>IF(N$4="","",Data!K77)</f>
        <v/>
      </c>
      <c r="O102" s="334" t="str">
        <f>IF(O$4="","",Data!L77)</f>
        <v/>
      </c>
      <c r="P102" s="334" t="str">
        <f>IF(P$4="","",Data!M77)</f>
        <v/>
      </c>
      <c r="Q102" s="334" t="str">
        <f>IF(Q$4="","",Data!N77)</f>
        <v/>
      </c>
    </row>
    <row r="103" spans="1:17" ht="15.75" customHeight="1" x14ac:dyDescent="0.15">
      <c r="A103" s="10"/>
      <c r="B103" s="93" t="s">
        <v>212</v>
      </c>
      <c r="C103" s="333">
        <f>BS!C6+BS!C7</f>
        <v>15310</v>
      </c>
      <c r="D103" s="89"/>
      <c r="E103" s="270"/>
      <c r="F103" s="89"/>
      <c r="G103" s="334">
        <f>IF(G$4="","",Data!D78)</f>
        <v>16389</v>
      </c>
      <c r="H103" s="334">
        <f>IF(H$4="","",Data!E78)</f>
        <v>0</v>
      </c>
      <c r="I103" s="334">
        <f>IF(I$4="","",Data!F78)</f>
        <v>0</v>
      </c>
      <c r="J103" s="334">
        <f>IF(J$4="","",Data!G78)</f>
        <v>0</v>
      </c>
      <c r="K103" s="334" t="str">
        <f>IF(K$4="","",Data!H78)</f>
        <v/>
      </c>
      <c r="L103" s="334" t="str">
        <f>IF(L$4="","",Data!I78)</f>
        <v/>
      </c>
      <c r="M103" s="334" t="str">
        <f>IF(M$4="","",Data!J78)</f>
        <v/>
      </c>
      <c r="N103" s="334" t="str">
        <f>IF(N$4="","",Data!K78)</f>
        <v/>
      </c>
      <c r="O103" s="334" t="str">
        <f>IF(O$4="","",Data!L78)</f>
        <v/>
      </c>
      <c r="P103" s="334" t="str">
        <f>IF(P$4="","",Data!M78)</f>
        <v/>
      </c>
      <c r="Q103" s="334" t="str">
        <f>IF(Q$4="","",Data!N78)</f>
        <v/>
      </c>
    </row>
    <row r="104" spans="1:17" ht="15.75" customHeight="1" x14ac:dyDescent="0.15">
      <c r="A104" s="10"/>
      <c r="B104" s="26" t="s">
        <v>40</v>
      </c>
      <c r="C104" s="332">
        <f>BS!G30</f>
        <v>13889</v>
      </c>
      <c r="D104" s="26"/>
      <c r="E104" s="269"/>
      <c r="F104" s="26"/>
      <c r="G104" s="324">
        <f>Data!C79</f>
        <v>13889</v>
      </c>
      <c r="H104" s="324">
        <f>Data!D79</f>
        <v>10902</v>
      </c>
      <c r="I104" s="324">
        <f>Data!E79</f>
        <v>0</v>
      </c>
      <c r="J104" s="324">
        <f>Data!F79</f>
        <v>0</v>
      </c>
      <c r="K104" s="324">
        <f>Data!G79</f>
        <v>0</v>
      </c>
      <c r="L104" s="324" t="str">
        <f>Data!H79</f>
        <v/>
      </c>
      <c r="M104" s="324" t="str">
        <f>Data!I79</f>
        <v/>
      </c>
      <c r="N104" s="324" t="str">
        <f>Data!J79</f>
        <v/>
      </c>
      <c r="O104" s="324" t="str">
        <f>Data!K79</f>
        <v/>
      </c>
      <c r="P104" s="324" t="str">
        <f>Data!L79</f>
        <v/>
      </c>
      <c r="Q104" s="324" t="str">
        <f>Data!M79</f>
        <v/>
      </c>
    </row>
    <row r="105" spans="1:17" ht="15.75" customHeight="1" x14ac:dyDescent="0.15">
      <c r="A105" s="10"/>
      <c r="B105" s="26" t="s">
        <v>30</v>
      </c>
      <c r="C105" s="332">
        <f>BS!G27</f>
        <v>167107</v>
      </c>
      <c r="D105" s="26"/>
      <c r="E105" s="269"/>
      <c r="F105" s="26"/>
      <c r="G105" s="324">
        <f>Data!C80</f>
        <v>167107</v>
      </c>
      <c r="H105" s="324">
        <f>Data!D80</f>
        <v>163105</v>
      </c>
      <c r="I105" s="324">
        <f>Data!E80</f>
        <v>0</v>
      </c>
      <c r="J105" s="324">
        <f>Data!F80</f>
        <v>0</v>
      </c>
      <c r="K105" s="324">
        <f>Data!G80</f>
        <v>0</v>
      </c>
      <c r="L105" s="324" t="str">
        <f>Data!H80</f>
        <v/>
      </c>
      <c r="M105" s="324" t="str">
        <f>Data!I80</f>
        <v/>
      </c>
      <c r="N105" s="324" t="str">
        <f>Data!J80</f>
        <v/>
      </c>
      <c r="O105" s="324" t="str">
        <f>Data!K80</f>
        <v/>
      </c>
      <c r="P105" s="324" t="str">
        <f>Data!L80</f>
        <v/>
      </c>
      <c r="Q105" s="324" t="str">
        <f>Data!M80</f>
        <v/>
      </c>
    </row>
    <row r="106" spans="1:17" ht="15.75" customHeight="1" x14ac:dyDescent="0.15">
      <c r="A106" s="10"/>
      <c r="E106" s="268"/>
    </row>
    <row r="107" spans="1:17" ht="15.75" customHeight="1" x14ac:dyDescent="0.15">
      <c r="A107" s="10"/>
      <c r="B107" s="91" t="s">
        <v>221</v>
      </c>
      <c r="C107" s="26"/>
      <c r="D107" s="26"/>
      <c r="E107" s="269"/>
      <c r="F107" s="26"/>
      <c r="G107" s="97" t="s">
        <v>220</v>
      </c>
      <c r="H107" s="12"/>
      <c r="I107" s="12"/>
      <c r="J107" s="12"/>
      <c r="K107" s="12"/>
      <c r="L107" s="12"/>
      <c r="M107" s="12"/>
      <c r="N107" s="12"/>
      <c r="O107" s="12"/>
      <c r="P107" s="12"/>
      <c r="Q107" s="12"/>
    </row>
    <row r="108" spans="1:17" ht="15.75" customHeight="1" x14ac:dyDescent="0.15">
      <c r="A108" s="10"/>
      <c r="B108" s="26" t="s">
        <v>218</v>
      </c>
      <c r="C108" s="94">
        <f>C102/C$4</f>
        <v>0.91602966343411296</v>
      </c>
      <c r="D108" s="26"/>
      <c r="E108" s="269"/>
      <c r="F108" s="26"/>
      <c r="G108" s="94">
        <f t="shared" ref="G108:Q108" si="43">IF(G$4="","",G102/G$4)</f>
        <v>0.82726754135767255</v>
      </c>
      <c r="H108" s="94">
        <f t="shared" si="43"/>
        <v>0</v>
      </c>
      <c r="I108" s="94">
        <f t="shared" si="43"/>
        <v>0</v>
      </c>
      <c r="J108" s="94">
        <f t="shared" si="43"/>
        <v>0</v>
      </c>
      <c r="K108" s="94" t="e">
        <f t="shared" si="43"/>
        <v>#VALUE!</v>
      </c>
      <c r="L108" s="94" t="str">
        <f t="shared" si="43"/>
        <v/>
      </c>
      <c r="M108" s="94" t="str">
        <f t="shared" si="43"/>
        <v/>
      </c>
      <c r="N108" s="94" t="str">
        <f t="shared" si="43"/>
        <v/>
      </c>
      <c r="O108" s="94" t="str">
        <f t="shared" si="43"/>
        <v/>
      </c>
      <c r="P108" s="94" t="str">
        <f t="shared" si="43"/>
        <v/>
      </c>
      <c r="Q108" s="94" t="str">
        <f t="shared" si="43"/>
        <v/>
      </c>
    </row>
    <row r="109" spans="1:17" ht="15.75" customHeight="1" x14ac:dyDescent="0.15">
      <c r="A109" s="10"/>
      <c r="B109" s="26" t="s">
        <v>219</v>
      </c>
      <c r="C109" s="94">
        <f>C103/C$4</f>
        <v>1.7467199087278951</v>
      </c>
      <c r="D109" s="26"/>
      <c r="E109" s="269"/>
      <c r="F109" s="26"/>
      <c r="G109" s="94">
        <f t="shared" ref="G109:Q109" si="44">IF(G$4="","",G103/G$4)</f>
        <v>1.8698231602966344</v>
      </c>
      <c r="H109" s="94">
        <f t="shared" si="44"/>
        <v>0</v>
      </c>
      <c r="I109" s="94">
        <f t="shared" si="44"/>
        <v>0</v>
      </c>
      <c r="J109" s="94">
        <f t="shared" si="44"/>
        <v>0</v>
      </c>
      <c r="K109" s="94" t="e">
        <f t="shared" si="44"/>
        <v>#VALUE!</v>
      </c>
      <c r="L109" s="94" t="str">
        <f t="shared" si="44"/>
        <v/>
      </c>
      <c r="M109" s="94" t="str">
        <f t="shared" si="44"/>
        <v/>
      </c>
      <c r="N109" s="94" t="str">
        <f t="shared" si="44"/>
        <v/>
      </c>
      <c r="O109" s="94" t="str">
        <f t="shared" si="44"/>
        <v/>
      </c>
      <c r="P109" s="94" t="str">
        <f t="shared" si="44"/>
        <v/>
      </c>
      <c r="Q109" s="94" t="str">
        <f t="shared" si="44"/>
        <v/>
      </c>
    </row>
    <row r="110" spans="1:17" ht="15.75" customHeight="1" x14ac:dyDescent="0.15">
      <c r="A110" s="10"/>
      <c r="B110" s="26" t="s">
        <v>69</v>
      </c>
      <c r="C110" s="94">
        <f>BS!$G$38/C$4</f>
        <v>8.343867655447804</v>
      </c>
      <c r="D110" s="26"/>
      <c r="E110" s="269"/>
      <c r="F110" s="26"/>
      <c r="G110" s="94">
        <f>BS!$G$38/G$4</f>
        <v>8.343867655447804</v>
      </c>
      <c r="H110" s="204"/>
      <c r="I110" s="204"/>
      <c r="J110" s="204"/>
      <c r="K110" s="204"/>
      <c r="L110" s="204"/>
      <c r="M110" s="204"/>
      <c r="N110" s="204"/>
      <c r="O110" s="204"/>
      <c r="P110" s="204"/>
      <c r="Q110" s="204"/>
    </row>
    <row r="111" spans="1:17" ht="15.75" customHeight="1" x14ac:dyDescent="0.15">
      <c r="A111" s="10"/>
      <c r="E111" s="268"/>
    </row>
    <row r="112" spans="1:17" ht="15.75" customHeight="1" x14ac:dyDescent="0.15">
      <c r="A112" s="10"/>
      <c r="B112" s="64" t="s">
        <v>51</v>
      </c>
      <c r="E112" s="268"/>
    </row>
    <row r="113" spans="1:17" ht="15.75" customHeight="1" x14ac:dyDescent="0.15">
      <c r="A113" s="10"/>
      <c r="B113" s="2" t="s">
        <v>392</v>
      </c>
      <c r="C113" s="169"/>
      <c r="E113" s="268"/>
      <c r="G113" s="295">
        <f>IF(G$4="","",Data!C$22/Data!C15)</f>
        <v>0</v>
      </c>
      <c r="H113" s="295">
        <f>IF(H$4="","",Data!D$22/Data!D15)</f>
        <v>0</v>
      </c>
      <c r="I113" s="295">
        <f>IF(I$4="","",Data!E$22/Data!E15)</f>
        <v>0</v>
      </c>
      <c r="J113" s="295">
        <f>IF(J$4="","",Data!F$22/Data!F15)</f>
        <v>0</v>
      </c>
      <c r="K113" s="295" t="e">
        <f>IF(K$4="","",Data!G$22/Data!G15)</f>
        <v>#DIV/0!</v>
      </c>
      <c r="L113" s="295" t="str">
        <f>IF(L$4="","",Data!H$22/Data!H15)</f>
        <v/>
      </c>
      <c r="M113" s="295" t="str">
        <f>IF(M$4="","",Data!I$22/Data!I15)</f>
        <v/>
      </c>
      <c r="N113" s="295" t="str">
        <f>IF(N$4="","",Data!J$22/Data!J15)</f>
        <v/>
      </c>
      <c r="O113" s="295" t="str">
        <f>IF(O$4="","",Data!K$22/Data!K15)</f>
        <v/>
      </c>
      <c r="P113" s="295" t="str">
        <f>IF(P$4="","",Data!L$22/Data!L15)</f>
        <v/>
      </c>
      <c r="Q113" s="295" t="str">
        <f>IF(Q$4="","",Data!M$22/Data!M15)</f>
        <v/>
      </c>
    </row>
    <row r="114" spans="1:17" ht="15.75" customHeight="1" x14ac:dyDescent="0.15">
      <c r="A114" s="10"/>
      <c r="B114" s="2" t="s">
        <v>393</v>
      </c>
      <c r="C114" s="169"/>
      <c r="E114" s="268"/>
      <c r="G114" s="295">
        <f>IF(G$4="","",Data!C$22/G19)</f>
        <v>0</v>
      </c>
      <c r="H114" s="295">
        <f>IF(H$4="","",Data!D$22/H19)</f>
        <v>0</v>
      </c>
      <c r="I114" s="295">
        <f>IF(I$4="","",Data!E$22/I19)</f>
        <v>0</v>
      </c>
      <c r="J114" s="295">
        <f>IF(J$4="","",Data!F$22/J19)</f>
        <v>0</v>
      </c>
      <c r="K114" s="295">
        <f>IF(K$4="","",Data!G$22/K19)</f>
        <v>0</v>
      </c>
      <c r="L114" s="295" t="str">
        <f>IF(L$4="","",Data!H$22/L19)</f>
        <v/>
      </c>
      <c r="M114" s="295" t="str">
        <f>IF(M$4="","",Data!I$22/M19)</f>
        <v/>
      </c>
      <c r="N114" s="295" t="str">
        <f>IF(N$4="","",Data!J$22/N19)</f>
        <v/>
      </c>
      <c r="O114" s="295" t="str">
        <f>IF(O$4="","",Data!K$22/O19)</f>
        <v/>
      </c>
      <c r="P114" s="295" t="str">
        <f>IF(P$4="","",Data!L$22/P19)</f>
        <v/>
      </c>
      <c r="Q114" s="295" t="str">
        <f>IF(Q$4="","",Data!M$22/Q19)</f>
        <v/>
      </c>
    </row>
    <row r="115" spans="1:17" ht="15.75" customHeight="1" x14ac:dyDescent="0.15">
      <c r="A115" s="10"/>
      <c r="E115" s="268"/>
    </row>
    <row r="116" spans="1:17" ht="15.75" customHeight="1" x14ac:dyDescent="0.15">
      <c r="A116" s="10"/>
      <c r="B116" s="91" t="s">
        <v>38</v>
      </c>
      <c r="C116" s="55"/>
      <c r="D116" s="55"/>
      <c r="E116" s="27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x14ac:dyDescent="0.15">
      <c r="A117" s="10"/>
      <c r="B117" s="7" t="s">
        <v>222</v>
      </c>
      <c r="C117" s="23">
        <f>C81</f>
        <v>0.38237459335905039</v>
      </c>
      <c r="E117" s="268"/>
      <c r="G117" s="23">
        <f t="shared" ref="G117:Q117" si="45">G81</f>
        <v>0.37556098895979384</v>
      </c>
      <c r="H117" s="23">
        <f t="shared" si="45"/>
        <v>0.45411955525604425</v>
      </c>
      <c r="I117" s="23">
        <f t="shared" si="45"/>
        <v>0.46577216802347504</v>
      </c>
      <c r="J117" s="23">
        <f t="shared" si="45"/>
        <v>0.5073762415839953</v>
      </c>
      <c r="K117" s="23">
        <f t="shared" si="45"/>
        <v>0.5860370307457109</v>
      </c>
      <c r="L117" s="23" t="str">
        <f t="shared" si="45"/>
        <v/>
      </c>
      <c r="M117" s="23" t="str">
        <f t="shared" si="45"/>
        <v/>
      </c>
      <c r="N117" s="23" t="str">
        <f t="shared" si="45"/>
        <v/>
      </c>
      <c r="O117" s="23" t="str">
        <f t="shared" si="45"/>
        <v/>
      </c>
      <c r="P117" s="23" t="str">
        <f t="shared" si="45"/>
        <v/>
      </c>
      <c r="Q117" s="23" t="str">
        <f t="shared" si="45"/>
        <v/>
      </c>
    </row>
    <row r="118" spans="1:17" ht="15.75" customHeight="1" x14ac:dyDescent="0.15">
      <c r="B118" s="7" t="s">
        <v>84</v>
      </c>
      <c r="C118" s="42">
        <f>C4/C101</f>
        <v>4.8426484563194767E-2</v>
      </c>
      <c r="E118" s="268"/>
      <c r="G118" s="42">
        <f t="shared" ref="G118:Q118" si="46">IF(G4="","",G4/G101)</f>
        <v>4.8426484563194767E-2</v>
      </c>
      <c r="H118" s="42">
        <f t="shared" si="46"/>
        <v>6.8278862344618316E-2</v>
      </c>
      <c r="I118" s="42" t="e">
        <f t="shared" si="46"/>
        <v>#DIV/0!</v>
      </c>
      <c r="J118" s="42" t="e">
        <f t="shared" si="46"/>
        <v>#DIV/0!</v>
      </c>
      <c r="K118" s="42" t="e">
        <f t="shared" si="46"/>
        <v>#DIV/0!</v>
      </c>
      <c r="L118" s="42" t="str">
        <f t="shared" si="46"/>
        <v/>
      </c>
      <c r="M118" s="42" t="str">
        <f t="shared" si="46"/>
        <v/>
      </c>
      <c r="N118" s="42" t="str">
        <f t="shared" si="46"/>
        <v/>
      </c>
      <c r="O118" s="42" t="str">
        <f t="shared" si="46"/>
        <v/>
      </c>
      <c r="P118" s="42" t="str">
        <f t="shared" si="46"/>
        <v/>
      </c>
      <c r="Q118" s="42" t="str">
        <f t="shared" si="46"/>
        <v/>
      </c>
    </row>
    <row r="119" spans="1:17" ht="15.75" customHeight="1" x14ac:dyDescent="0.15">
      <c r="B119" s="7" t="s">
        <v>92</v>
      </c>
      <c r="C119" s="15">
        <f>C101/C105</f>
        <v>1.0831144117242246</v>
      </c>
      <c r="D119" s="11"/>
      <c r="E119" s="272"/>
      <c r="F119" s="11"/>
      <c r="G119" s="15">
        <f t="shared" ref="G119:Q119" si="47">IF(G$4="","",G101/G105)</f>
        <v>1.0831144117242246</v>
      </c>
      <c r="H119" s="15">
        <f t="shared" si="47"/>
        <v>1.0668403788970295</v>
      </c>
      <c r="I119" s="15" t="e">
        <f t="shared" si="47"/>
        <v>#DIV/0!</v>
      </c>
      <c r="J119" s="15" t="e">
        <f t="shared" si="47"/>
        <v>#DIV/0!</v>
      </c>
      <c r="K119" s="15" t="e">
        <f t="shared" si="47"/>
        <v>#DIV/0!</v>
      </c>
      <c r="L119" s="15" t="str">
        <f t="shared" si="47"/>
        <v/>
      </c>
      <c r="M119" s="15" t="str">
        <f t="shared" si="47"/>
        <v/>
      </c>
      <c r="N119" s="15" t="str">
        <f t="shared" si="47"/>
        <v/>
      </c>
      <c r="O119" s="15" t="str">
        <f t="shared" si="47"/>
        <v/>
      </c>
      <c r="P119" s="15" t="str">
        <f t="shared" si="47"/>
        <v/>
      </c>
      <c r="Q119" s="15" t="str">
        <f t="shared" si="47"/>
        <v/>
      </c>
    </row>
    <row r="120" spans="1:17" ht="15.75" customHeight="1" x14ac:dyDescent="0.15">
      <c r="A120" s="10"/>
      <c r="B120" s="70" t="s">
        <v>223</v>
      </c>
      <c r="C120" s="102">
        <f>C13/C105</f>
        <v>2.0056091670558843E-2</v>
      </c>
      <c r="D120" s="103"/>
      <c r="E120" s="271"/>
      <c r="F120" s="103"/>
      <c r="G120" s="102">
        <f>IF(G$4="","",G13/G105)</f>
        <v>1.9698708421745308E-2</v>
      </c>
      <c r="H120" s="102">
        <f t="shared" ref="H120:Q120" si="48">IF(H$4="","",H13/H105)</f>
        <v>3.3079270629331178E-2</v>
      </c>
      <c r="I120" s="102" t="e">
        <f t="shared" si="48"/>
        <v>#DIV/0!</v>
      </c>
      <c r="J120" s="102" t="e">
        <f t="shared" si="48"/>
        <v>#DIV/0!</v>
      </c>
      <c r="K120" s="102" t="e">
        <f t="shared" si="48"/>
        <v>#DIV/0!</v>
      </c>
      <c r="L120" s="102" t="str">
        <f t="shared" si="48"/>
        <v/>
      </c>
      <c r="M120" s="102" t="str">
        <f t="shared" si="48"/>
        <v/>
      </c>
      <c r="N120" s="102" t="str">
        <f t="shared" si="48"/>
        <v/>
      </c>
      <c r="O120" s="102" t="str">
        <f t="shared" si="48"/>
        <v/>
      </c>
      <c r="P120" s="102" t="str">
        <f t="shared" si="48"/>
        <v/>
      </c>
      <c r="Q120" s="102" t="str">
        <f t="shared" si="48"/>
        <v/>
      </c>
    </row>
    <row r="121" spans="1:17" ht="15.75" customHeight="1" x14ac:dyDescent="0.15">
      <c r="A121" s="10"/>
      <c r="B121" s="27"/>
      <c r="C121" s="62"/>
      <c r="D121" s="27"/>
      <c r="E121" s="67"/>
      <c r="F121" s="27"/>
      <c r="G121" s="12"/>
      <c r="H121" s="12"/>
      <c r="I121" s="12"/>
      <c r="J121" s="12"/>
      <c r="K121" s="12"/>
      <c r="L121" s="12"/>
      <c r="M121" s="12"/>
      <c r="N121" s="12"/>
      <c r="O121" s="12"/>
      <c r="P121" s="12"/>
      <c r="Q121" s="12"/>
    </row>
    <row r="122" spans="1:17" ht="15.75" customHeight="1" x14ac:dyDescent="0.25">
      <c r="A122" s="10"/>
      <c r="B122" s="54" t="s">
        <v>224</v>
      </c>
      <c r="C122" s="54"/>
      <c r="D122" s="56"/>
      <c r="E122" s="66" t="s">
        <v>59</v>
      </c>
      <c r="F122" s="56"/>
      <c r="G122" s="37"/>
      <c r="H122" s="37"/>
      <c r="I122" s="37"/>
      <c r="J122" s="37"/>
      <c r="K122" s="37"/>
      <c r="L122" s="37"/>
      <c r="M122" s="37"/>
      <c r="N122" s="37"/>
      <c r="O122" s="37"/>
      <c r="P122" s="37"/>
      <c r="Q122" s="37"/>
    </row>
    <row r="123" spans="1:17" ht="15.75" customHeight="1" x14ac:dyDescent="0.15">
      <c r="A123" s="10"/>
      <c r="B123" s="178" t="s">
        <v>171</v>
      </c>
      <c r="C123" s="179"/>
      <c r="D123" s="27"/>
      <c r="E123" s="265"/>
      <c r="F123" s="27"/>
      <c r="G123" s="12"/>
      <c r="H123" s="12"/>
      <c r="I123" s="12"/>
      <c r="J123" s="12"/>
      <c r="K123" s="12"/>
      <c r="L123" s="12"/>
      <c r="M123" s="12"/>
      <c r="N123" s="12"/>
      <c r="O123" s="12"/>
      <c r="P123" s="12"/>
      <c r="Q123" s="12"/>
    </row>
    <row r="124" spans="1:17" ht="15.75" customHeight="1" x14ac:dyDescent="0.15">
      <c r="A124" s="10"/>
      <c r="B124" s="27" t="str">
        <f>"FCFE per share ("&amp;Market_currency&amp;")"</f>
        <v>FCFE per share (HKD)</v>
      </c>
      <c r="C124" s="177">
        <f>C16*$C$3/Common_Shares*Exchange_Rate</f>
        <v>0.308898371982265</v>
      </c>
      <c r="D124" s="27"/>
      <c r="E124" s="265"/>
      <c r="F124" s="27"/>
      <c r="G124" s="177">
        <f t="shared" ref="G124:Q124" si="49">IF(G$4="","",G16*$C$3/Common_Shares*Exchange_Rate)</f>
        <v>0.33930895827500729</v>
      </c>
      <c r="H124" s="177">
        <f t="shared" si="49"/>
        <v>0.55110447574704324</v>
      </c>
      <c r="I124" s="177">
        <f t="shared" si="49"/>
        <v>0.72694280709193337</v>
      </c>
      <c r="J124" s="177">
        <f t="shared" si="49"/>
        <v>1.2073284089554635</v>
      </c>
      <c r="K124" s="177">
        <f t="shared" si="49"/>
        <v>0.42217947730748451</v>
      </c>
      <c r="L124" s="177" t="str">
        <f t="shared" si="49"/>
        <v/>
      </c>
      <c r="M124" s="177" t="str">
        <f t="shared" si="49"/>
        <v/>
      </c>
      <c r="N124" s="177" t="str">
        <f t="shared" si="49"/>
        <v/>
      </c>
      <c r="O124" s="177" t="str">
        <f t="shared" si="49"/>
        <v/>
      </c>
      <c r="P124" s="177" t="str">
        <f t="shared" si="49"/>
        <v/>
      </c>
      <c r="Q124" s="177" t="str">
        <f t="shared" si="49"/>
        <v/>
      </c>
    </row>
    <row r="125" spans="1:17" ht="15.75" customHeight="1" x14ac:dyDescent="0.15">
      <c r="A125" s="10"/>
      <c r="B125" s="27" t="s">
        <v>270</v>
      </c>
      <c r="C125" s="77">
        <f>C19*Exchange_Rate*$C$3/(Market_Price*Common_Shares)</f>
        <v>3.7901640734020248E-2</v>
      </c>
      <c r="D125" s="27"/>
      <c r="E125" s="265"/>
      <c r="F125" s="27"/>
      <c r="G125" s="77">
        <f t="shared" ref="G125" si="50">IF(G$4="","",G124/Market_Price)</f>
        <v>4.1633001015338317E-2</v>
      </c>
      <c r="H125" s="77">
        <f t="shared" ref="H125" si="51">IF(H$4="","",H124/Market_Price)</f>
        <v>6.7620181073256833E-2</v>
      </c>
      <c r="I125" s="77">
        <f t="shared" ref="I125" si="52">IF(I$4="","",I124/Market_Price)</f>
        <v>8.9195436452997962E-2</v>
      </c>
      <c r="J125" s="77">
        <f t="shared" ref="J125" si="53">IF(J$4="","",J124/Market_Price)</f>
        <v>0.14813845508655993</v>
      </c>
      <c r="K125" s="77">
        <f t="shared" ref="K125" si="54">IF(K$4="","",K124/Market_Price)</f>
        <v>5.1801162859814051E-2</v>
      </c>
      <c r="L125" s="77" t="str">
        <f t="shared" ref="L125" si="55">IF(L$4="","",L124/Market_Price)</f>
        <v/>
      </c>
      <c r="M125" s="77" t="str">
        <f t="shared" ref="M125" si="56">IF(M$4="","",M124/Market_Price)</f>
        <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x14ac:dyDescent="0.15">
      <c r="B126" s="2" t="s">
        <v>395</v>
      </c>
      <c r="C126" s="169"/>
      <c r="G126" s="23">
        <f>IF(G$4="","",(Data!C47*$C$3)/(Market_Price*Common_Shares))</f>
        <v>6.3828041541179575E-2</v>
      </c>
      <c r="H126" s="23">
        <f>IF(H$4="","",(Data!D47*$C$3)/(Market_Price*Common_Shares))</f>
        <v>8.8287199308900471E-2</v>
      </c>
      <c r="I126" s="23">
        <f>IF(I$4="","",(Data!E47*$C$3)/(Market_Price*Common_Shares))</f>
        <v>8.6116003101554914E-2</v>
      </c>
      <c r="J126" s="23">
        <f>IF(J$4="","",(Data!F47*$C$3)/(Market_Price*Common_Shares))</f>
        <v>0.14483360378863203</v>
      </c>
      <c r="K126" s="23">
        <f>IF(K$4="","",(Data!G47*$C$3)/(Market_Price*Common_Shares))</f>
        <v>0</v>
      </c>
      <c r="L126" s="23" t="str">
        <f>IF(L$4="","",(Data!H47*$C$3)/(Market_Price*Common_Shares))</f>
        <v/>
      </c>
      <c r="M126" s="23" t="str">
        <f>IF(M$4="","",(Data!I47*$C$3)/(Market_Price*Common_Shares))</f>
        <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x14ac:dyDescent="0.15"/>
    <row r="128" spans="1:17"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F52" sqref="F52"/>
    </sheetView>
  </sheetViews>
  <sheetFormatPr baseColWidth="10" defaultColWidth="8.83203125" defaultRowHeight="13" x14ac:dyDescent="0.15"/>
  <cols>
    <col min="1" max="1" width="6.1640625" customWidth="1"/>
    <col min="2" max="2" width="24.6640625" customWidth="1"/>
    <col min="3" max="6" width="20.6640625" customWidth="1"/>
    <col min="7" max="7" width="5.6640625" customWidth="1"/>
    <col min="8" max="8" width="56.83203125" bestFit="1" customWidth="1"/>
  </cols>
  <sheetData>
    <row r="2" spans="2:8" ht="16" x14ac:dyDescent="0.25">
      <c r="B2" s="36" t="s">
        <v>55</v>
      </c>
      <c r="C2" s="37"/>
      <c r="D2" s="37"/>
      <c r="E2" s="37"/>
      <c r="F2" s="37"/>
      <c r="H2" s="130" t="s">
        <v>59</v>
      </c>
    </row>
    <row r="3" spans="2:8" x14ac:dyDescent="0.15">
      <c r="B3" s="109" t="s">
        <v>164</v>
      </c>
      <c r="C3" s="107">
        <f>scaling_factor</f>
        <v>1000000</v>
      </c>
      <c r="E3" s="109" t="s">
        <v>125</v>
      </c>
      <c r="H3" s="120"/>
    </row>
    <row r="4" spans="2:8" x14ac:dyDescent="0.15">
      <c r="B4" s="100" t="s">
        <v>129</v>
      </c>
      <c r="C4" s="114">
        <f>Normalized_FCF!C19</f>
        <v>2524.2804082649359</v>
      </c>
      <c r="D4" t="str">
        <f>Reporting_currency</f>
        <v>HKD</v>
      </c>
      <c r="E4" s="100" t="s">
        <v>251</v>
      </c>
      <c r="F4" s="134">
        <f>Terminal_Growth</f>
        <v>0</v>
      </c>
      <c r="H4" s="120"/>
    </row>
    <row r="5" spans="2:8" x14ac:dyDescent="0.15">
      <c r="B5" s="205" t="s">
        <v>124</v>
      </c>
      <c r="C5" s="206">
        <f>Equity_Cost</f>
        <v>8.4999999999999992E-2</v>
      </c>
      <c r="E5" s="148"/>
      <c r="H5" s="120"/>
    </row>
    <row r="6" spans="2:8" ht="13.25" customHeight="1" x14ac:dyDescent="0.15">
      <c r="B6" s="149" t="s">
        <v>229</v>
      </c>
      <c r="C6" s="339">
        <f>(C4*(1+Terminal_Growth))/(Equity_Cost-Terminal_Growth)</f>
        <v>29697.416567822776</v>
      </c>
      <c r="D6" t="str">
        <f>Reporting_currency</f>
        <v>HKD</v>
      </c>
      <c r="E6" s="354" t="s">
        <v>250</v>
      </c>
      <c r="F6" s="354"/>
      <c r="H6" s="120"/>
    </row>
    <row r="7" spans="2:8" x14ac:dyDescent="0.15">
      <c r="B7" s="148" t="s">
        <v>225</v>
      </c>
      <c r="C7" s="114">
        <f>BS!G31</f>
        <v>3093</v>
      </c>
      <c r="D7" t="str">
        <f>Reporting_currency</f>
        <v>HKD</v>
      </c>
      <c r="E7" s="354"/>
      <c r="F7" s="354"/>
      <c r="H7" s="120"/>
    </row>
    <row r="8" spans="2:8" x14ac:dyDescent="0.15">
      <c r="B8" s="148" t="s">
        <v>226</v>
      </c>
      <c r="C8" s="114">
        <f>BS!D66</f>
        <v>42222.564948178719</v>
      </c>
      <c r="D8" t="str">
        <f>Reporting_currency</f>
        <v>HKD</v>
      </c>
      <c r="E8" s="354"/>
      <c r="F8" s="354"/>
      <c r="H8" s="120"/>
    </row>
    <row r="9" spans="2:8" x14ac:dyDescent="0.15">
      <c r="B9" s="205" t="s">
        <v>191</v>
      </c>
      <c r="C9" s="340">
        <f>BS!H42</f>
        <v>7814.4</v>
      </c>
      <c r="D9" t="str">
        <f>Reporting_currency</f>
        <v>HKD</v>
      </c>
      <c r="E9" s="354"/>
      <c r="F9" s="354"/>
      <c r="H9" s="120"/>
    </row>
    <row r="10" spans="2:8" x14ac:dyDescent="0.15">
      <c r="B10" s="149" t="s">
        <v>228</v>
      </c>
      <c r="C10" s="339">
        <f>C6-C7+C8+C9</f>
        <v>76641.381516001493</v>
      </c>
      <c r="D10" t="str">
        <f>Reporting_currency</f>
        <v>HKD</v>
      </c>
      <c r="H10" s="120"/>
    </row>
    <row r="11" spans="2:8" ht="14" thickBot="1" x14ac:dyDescent="0.2">
      <c r="B11" s="207" t="s">
        <v>167</v>
      </c>
      <c r="C11" s="208">
        <f>Exchange_Rate</f>
        <v>1</v>
      </c>
      <c r="D11" t="str">
        <f>Thesis!C15</f>
        <v>HKD</v>
      </c>
      <c r="H11" s="120"/>
    </row>
    <row r="12" spans="2:8" ht="14" thickTop="1" x14ac:dyDescent="0.15">
      <c r="B12" s="149" t="s">
        <v>103</v>
      </c>
      <c r="C12" s="111">
        <f>(C10*scaling_factor)/Common_Shares*Exchange_Rate</f>
        <v>9.3786719966808736</v>
      </c>
      <c r="D12" t="str">
        <f>Market_currency</f>
        <v>HKD</v>
      </c>
      <c r="H12" s="120"/>
    </row>
    <row r="13" spans="2:8" x14ac:dyDescent="0.15">
      <c r="H13" s="120"/>
    </row>
    <row r="14" spans="2:8" ht="16" x14ac:dyDescent="0.25">
      <c r="B14" s="36" t="s">
        <v>230</v>
      </c>
      <c r="C14" s="37"/>
      <c r="D14" s="37"/>
      <c r="E14" s="37"/>
      <c r="F14" s="37"/>
      <c r="H14" s="120"/>
    </row>
    <row r="15" spans="2:8" x14ac:dyDescent="0.15">
      <c r="B15" s="119" t="s">
        <v>136</v>
      </c>
      <c r="H15" s="120"/>
    </row>
    <row r="16" spans="2:8" ht="13.25" customHeight="1" x14ac:dyDescent="0.15">
      <c r="B16" s="152" t="s">
        <v>134</v>
      </c>
      <c r="C16" s="161">
        <f>Scenarios!C65</f>
        <v>-1.5334906308317399E-3</v>
      </c>
      <c r="H16" s="120"/>
    </row>
    <row r="17" spans="2:8" ht="13.25" customHeight="1" x14ac:dyDescent="0.15">
      <c r="B17" s="118" t="s">
        <v>135</v>
      </c>
      <c r="C17" s="162">
        <f>Scenarios!C64</f>
        <v>10</v>
      </c>
      <c r="H17" s="120"/>
    </row>
    <row r="18" spans="2:8" ht="13.25" customHeight="1" x14ac:dyDescent="0.15">
      <c r="B18" s="153" t="s">
        <v>107</v>
      </c>
      <c r="C18" s="140">
        <f>(F52-C7+C8+C9)*Exchange_Rate/Common_Shares*scaling_factor</f>
        <v>9.3612446307874944</v>
      </c>
      <c r="D18" t="str">
        <f>Market_currency</f>
        <v>HKD</v>
      </c>
      <c r="H18" s="120"/>
    </row>
    <row r="19" spans="2:8" x14ac:dyDescent="0.15">
      <c r="H19" s="120"/>
    </row>
    <row r="20" spans="2:8" ht="14" x14ac:dyDescent="0.2">
      <c r="B20" s="128" t="s">
        <v>108</v>
      </c>
      <c r="C20" s="128" t="s">
        <v>109</v>
      </c>
      <c r="D20" s="128" t="s">
        <v>119</v>
      </c>
      <c r="E20" s="128" t="s">
        <v>110</v>
      </c>
      <c r="F20" s="129" t="s">
        <v>111</v>
      </c>
      <c r="H20" s="120"/>
    </row>
    <row r="21" spans="2:8" x14ac:dyDescent="0.15">
      <c r="B21" s="122">
        <v>1</v>
      </c>
      <c r="C21" s="123">
        <f>C4*(1+D21)</f>
        <v>2520.4094479092696</v>
      </c>
      <c r="D21" s="138">
        <f>IF($C$17&lt;B21,0,DCF!$C$16)</f>
        <v>-1.5334906308317399E-3</v>
      </c>
      <c r="E21" s="124">
        <f t="shared" ref="E21:E50" si="0">IF($C$17&lt;B21,0,1/(1+Equity_Cost)^B21)</f>
        <v>0.92165898617511521</v>
      </c>
      <c r="F21" s="125">
        <f t="shared" ref="F21:F51" si="1">C21*E21</f>
        <v>2322.9580165062393</v>
      </c>
      <c r="H21" s="120"/>
    </row>
    <row r="22" spans="2:8" x14ac:dyDescent="0.15">
      <c r="B22" s="122">
        <v>2</v>
      </c>
      <c r="C22" s="123">
        <f t="shared" ref="C22:C50" si="2">IF(ROW()-ROW($C$21)&lt;$C$17, $C$21*(1+D22)^(ROW()-ROW($C$21)), 0)</f>
        <v>2516.5444236350409</v>
      </c>
      <c r="D22" s="138">
        <f>IF($C$17&lt;B22,0,DCF!$C$16)</f>
        <v>-1.5334906308317399E-3</v>
      </c>
      <c r="E22" s="124">
        <f t="shared" si="0"/>
        <v>0.84945528679734128</v>
      </c>
      <c r="F22" s="125">
        <f t="shared" si="1"/>
        <v>2137.6919651171534</v>
      </c>
      <c r="H22" s="120"/>
    </row>
    <row r="23" spans="2:8" x14ac:dyDescent="0.15">
      <c r="B23" s="122">
        <v>3</v>
      </c>
      <c r="C23" s="123">
        <f t="shared" si="2"/>
        <v>2512.6853263393245</v>
      </c>
      <c r="D23" s="138">
        <f>IF($C$17&lt;B23,0,DCF!$C$16)</f>
        <v>-1.5334906308317399E-3</v>
      </c>
      <c r="E23" s="124">
        <f t="shared" si="0"/>
        <v>0.78290809843072917</v>
      </c>
      <c r="F23" s="125">
        <f t="shared" si="1"/>
        <v>1967.2016907991167</v>
      </c>
      <c r="H23" s="120"/>
    </row>
    <row r="24" spans="2:8" x14ac:dyDescent="0.15">
      <c r="B24" s="122">
        <v>4</v>
      </c>
      <c r="C24" s="123">
        <f t="shared" si="2"/>
        <v>2508.8321469331549</v>
      </c>
      <c r="D24" s="138">
        <f>IF($C$17&lt;B24,0,DCF!$C$16)</f>
        <v>-1.5334906308317399E-3</v>
      </c>
      <c r="E24" s="124">
        <f t="shared" si="0"/>
        <v>0.72157428426795334</v>
      </c>
      <c r="F24" s="125">
        <f t="shared" si="1"/>
        <v>1810.3087607717241</v>
      </c>
      <c r="H24" s="120"/>
    </row>
    <row r="25" spans="2:8" x14ac:dyDescent="0.15">
      <c r="B25" s="122">
        <v>5</v>
      </c>
      <c r="C25" s="123">
        <f t="shared" si="2"/>
        <v>2504.9848763415034</v>
      </c>
      <c r="D25" s="138">
        <f>IF($C$17&lt;B25,0,DCF!$C$16)</f>
        <v>-1.5334906308317399E-3</v>
      </c>
      <c r="E25" s="124">
        <f t="shared" si="0"/>
        <v>0.66504542328843619</v>
      </c>
      <c r="F25" s="125">
        <f t="shared" si="1"/>
        <v>1665.9287274176661</v>
      </c>
      <c r="H25" s="120"/>
    </row>
    <row r="26" spans="2:8" x14ac:dyDescent="0.15">
      <c r="B26" s="122">
        <v>6</v>
      </c>
      <c r="C26" s="123">
        <f t="shared" si="2"/>
        <v>2501.1435055032584</v>
      </c>
      <c r="D26" s="138">
        <f>IF($C$17&lt;B26,0,DCF!$C$16)</f>
        <v>-1.5334906308317399E-3</v>
      </c>
      <c r="E26" s="124">
        <f t="shared" si="0"/>
        <v>0.6129450905884205</v>
      </c>
      <c r="F26" s="125">
        <f t="shared" si="1"/>
        <v>1533.0636325553344</v>
      </c>
      <c r="H26" s="120"/>
    </row>
    <row r="27" spans="2:8" x14ac:dyDescent="0.15">
      <c r="B27" s="122">
        <v>7</v>
      </c>
      <c r="C27" s="123">
        <f t="shared" si="2"/>
        <v>2497.3080253712037</v>
      </c>
      <c r="D27" s="138">
        <f>IF($C$17&lt;B27,0,DCF!$C$16)</f>
        <v>-1.5334906308317399E-3</v>
      </c>
      <c r="E27" s="124">
        <f t="shared" si="0"/>
        <v>0.56492635077273778</v>
      </c>
      <c r="F27" s="125">
        <f t="shared" si="1"/>
        <v>1410.7951095284259</v>
      </c>
      <c r="H27" s="120"/>
    </row>
    <row r="28" spans="2:8" x14ac:dyDescent="0.15">
      <c r="B28" s="122">
        <v>8</v>
      </c>
      <c r="C28" s="123">
        <f t="shared" si="2"/>
        <v>2493.4784269119959</v>
      </c>
      <c r="D28" s="138">
        <f>IF($C$17&lt;B28,0,DCF!$C$16)</f>
        <v>-1.5334906308317399E-3</v>
      </c>
      <c r="E28" s="124">
        <f t="shared" si="0"/>
        <v>0.52066944771680901</v>
      </c>
      <c r="F28" s="125">
        <f t="shared" si="1"/>
        <v>1298.2780354340466</v>
      </c>
      <c r="H28" s="120"/>
    </row>
    <row r="29" spans="2:8" x14ac:dyDescent="0.15">
      <c r="B29" s="122">
        <v>9</v>
      </c>
      <c r="C29" s="123">
        <f t="shared" si="2"/>
        <v>2489.6547011061448</v>
      </c>
      <c r="D29" s="138">
        <f>IF($C$17&lt;B29,0,DCF!$C$16)</f>
        <v>-1.5334906308317399E-3</v>
      </c>
      <c r="E29" s="124">
        <f t="shared" si="0"/>
        <v>0.4798796753150314</v>
      </c>
      <c r="F29" s="125">
        <f t="shared" si="1"/>
        <v>1194.7346896133583</v>
      </c>
      <c r="H29" s="120"/>
    </row>
    <row r="30" spans="2:8" x14ac:dyDescent="0.15">
      <c r="B30" s="122">
        <v>10</v>
      </c>
      <c r="C30" s="123">
        <f t="shared" si="2"/>
        <v>2485.8368389479924</v>
      </c>
      <c r="D30" s="138">
        <f>IF($C$17&lt;B30,0,DCF!$C$16)</f>
        <v>-1.5334906308317399E-3</v>
      </c>
      <c r="E30" s="124">
        <f t="shared" si="0"/>
        <v>0.44228541503689528</v>
      </c>
      <c r="F30" s="125">
        <f t="shared" si="1"/>
        <v>1099.4493780281166</v>
      </c>
      <c r="H30" s="120"/>
    </row>
    <row r="31" spans="2:8" x14ac:dyDescent="0.15">
      <c r="B31" s="122">
        <v>11</v>
      </c>
      <c r="C31" s="123">
        <f t="shared" si="2"/>
        <v>0</v>
      </c>
      <c r="D31" s="138">
        <f>IF($C$17&lt;B31,0,DCF!$C$16)</f>
        <v>0</v>
      </c>
      <c r="E31" s="124">
        <f t="shared" si="0"/>
        <v>0</v>
      </c>
      <c r="F31" s="125">
        <f t="shared" si="1"/>
        <v>0</v>
      </c>
      <c r="H31" s="120"/>
    </row>
    <row r="32" spans="2:8" x14ac:dyDescent="0.15">
      <c r="B32" s="122">
        <v>12</v>
      </c>
      <c r="C32" s="123">
        <f t="shared" si="2"/>
        <v>0</v>
      </c>
      <c r="D32" s="138">
        <f>IF($C$17&lt;B32,0,DCF!$C$16)</f>
        <v>0</v>
      </c>
      <c r="E32" s="124">
        <f t="shared" si="0"/>
        <v>0</v>
      </c>
      <c r="F32" s="125">
        <f t="shared" si="1"/>
        <v>0</v>
      </c>
      <c r="H32" s="120"/>
    </row>
    <row r="33" spans="2:8" x14ac:dyDescent="0.15">
      <c r="B33" s="122">
        <v>13</v>
      </c>
      <c r="C33" s="123">
        <f t="shared" si="2"/>
        <v>0</v>
      </c>
      <c r="D33" s="138">
        <f>IF($C$17&lt;B33,0,DCF!$C$16)</f>
        <v>0</v>
      </c>
      <c r="E33" s="124">
        <f t="shared" si="0"/>
        <v>0</v>
      </c>
      <c r="F33" s="125">
        <f t="shared" si="1"/>
        <v>0</v>
      </c>
      <c r="H33" s="120"/>
    </row>
    <row r="34" spans="2:8" x14ac:dyDescent="0.15">
      <c r="B34" s="122">
        <v>14</v>
      </c>
      <c r="C34" s="123">
        <f t="shared" si="2"/>
        <v>0</v>
      </c>
      <c r="D34" s="138">
        <f>IF($C$17&lt;B34,0,DCF!$C$16)</f>
        <v>0</v>
      </c>
      <c r="E34" s="124">
        <f t="shared" si="0"/>
        <v>0</v>
      </c>
      <c r="F34" s="125">
        <f t="shared" si="1"/>
        <v>0</v>
      </c>
      <c r="H34" s="120"/>
    </row>
    <row r="35" spans="2:8" x14ac:dyDescent="0.15">
      <c r="B35" s="122">
        <v>15</v>
      </c>
      <c r="C35" s="123">
        <f t="shared" si="2"/>
        <v>0</v>
      </c>
      <c r="D35" s="138">
        <f>IF($C$17&lt;B35,0,DCF!$C$16)</f>
        <v>0</v>
      </c>
      <c r="E35" s="124">
        <f t="shared" si="0"/>
        <v>0</v>
      </c>
      <c r="F35" s="125">
        <f t="shared" si="1"/>
        <v>0</v>
      </c>
      <c r="H35" s="120"/>
    </row>
    <row r="36" spans="2:8" x14ac:dyDescent="0.15">
      <c r="B36" s="122">
        <v>16</v>
      </c>
      <c r="C36" s="123">
        <f t="shared" si="2"/>
        <v>0</v>
      </c>
      <c r="D36" s="138">
        <f>IF($C$17&lt;B36,0,DCF!$C$16)</f>
        <v>0</v>
      </c>
      <c r="E36" s="124">
        <f t="shared" si="0"/>
        <v>0</v>
      </c>
      <c r="F36" s="125">
        <f t="shared" si="1"/>
        <v>0</v>
      </c>
      <c r="H36" s="120"/>
    </row>
    <row r="37" spans="2:8" x14ac:dyDescent="0.15">
      <c r="B37" s="122">
        <v>17</v>
      </c>
      <c r="C37" s="123">
        <f t="shared" si="2"/>
        <v>0</v>
      </c>
      <c r="D37" s="138">
        <f>IF($C$17&lt;B37,0,DCF!$C$16)</f>
        <v>0</v>
      </c>
      <c r="E37" s="124">
        <f t="shared" si="0"/>
        <v>0</v>
      </c>
      <c r="F37" s="125">
        <f t="shared" si="1"/>
        <v>0</v>
      </c>
      <c r="H37" s="120"/>
    </row>
    <row r="38" spans="2:8" x14ac:dyDescent="0.15">
      <c r="B38" s="122">
        <v>18</v>
      </c>
      <c r="C38" s="123">
        <f t="shared" si="2"/>
        <v>0</v>
      </c>
      <c r="D38" s="138">
        <f>IF($C$17&lt;B38,0,DCF!$C$16)</f>
        <v>0</v>
      </c>
      <c r="E38" s="124">
        <f t="shared" si="0"/>
        <v>0</v>
      </c>
      <c r="F38" s="125">
        <f t="shared" si="1"/>
        <v>0</v>
      </c>
      <c r="H38" s="120"/>
    </row>
    <row r="39" spans="2:8" x14ac:dyDescent="0.15">
      <c r="B39" s="122">
        <v>19</v>
      </c>
      <c r="C39" s="123">
        <f t="shared" si="2"/>
        <v>0</v>
      </c>
      <c r="D39" s="138">
        <f>IF($C$17&lt;B39,0,DCF!$C$16)</f>
        <v>0</v>
      </c>
      <c r="E39" s="124">
        <f t="shared" si="0"/>
        <v>0</v>
      </c>
      <c r="F39" s="125">
        <f t="shared" si="1"/>
        <v>0</v>
      </c>
      <c r="H39" s="120"/>
    </row>
    <row r="40" spans="2:8" x14ac:dyDescent="0.15">
      <c r="B40" s="122">
        <v>20</v>
      </c>
      <c r="C40" s="123">
        <f t="shared" si="2"/>
        <v>0</v>
      </c>
      <c r="D40" s="138">
        <f>IF($C$17&lt;B40,0,DCF!$C$16)</f>
        <v>0</v>
      </c>
      <c r="E40" s="124">
        <f t="shared" si="0"/>
        <v>0</v>
      </c>
      <c r="F40" s="125">
        <f t="shared" si="1"/>
        <v>0</v>
      </c>
      <c r="H40" s="120"/>
    </row>
    <row r="41" spans="2:8" x14ac:dyDescent="0.15">
      <c r="B41" s="122">
        <v>21</v>
      </c>
      <c r="C41" s="123">
        <f t="shared" si="2"/>
        <v>0</v>
      </c>
      <c r="D41" s="138">
        <f>IF($C$17&lt;B41,0,DCF!$C$16)</f>
        <v>0</v>
      </c>
      <c r="E41" s="124">
        <f t="shared" si="0"/>
        <v>0</v>
      </c>
      <c r="F41" s="125">
        <f t="shared" si="1"/>
        <v>0</v>
      </c>
      <c r="H41" s="120"/>
    </row>
    <row r="42" spans="2:8" x14ac:dyDescent="0.15">
      <c r="B42" s="122">
        <v>22</v>
      </c>
      <c r="C42" s="123">
        <f t="shared" si="2"/>
        <v>0</v>
      </c>
      <c r="D42" s="138">
        <f>IF($C$17&lt;B42,0,DCF!$C$16)</f>
        <v>0</v>
      </c>
      <c r="E42" s="124">
        <f t="shared" si="0"/>
        <v>0</v>
      </c>
      <c r="F42" s="125">
        <f t="shared" si="1"/>
        <v>0</v>
      </c>
      <c r="H42" s="120"/>
    </row>
    <row r="43" spans="2:8" x14ac:dyDescent="0.15">
      <c r="B43" s="122">
        <v>23</v>
      </c>
      <c r="C43" s="123">
        <f t="shared" si="2"/>
        <v>0</v>
      </c>
      <c r="D43" s="138">
        <f>IF($C$17&lt;B43,0,DCF!$C$16)</f>
        <v>0</v>
      </c>
      <c r="E43" s="124">
        <f t="shared" si="0"/>
        <v>0</v>
      </c>
      <c r="F43" s="125">
        <f t="shared" si="1"/>
        <v>0</v>
      </c>
      <c r="H43" s="120"/>
    </row>
    <row r="44" spans="2:8" x14ac:dyDescent="0.15">
      <c r="B44" s="122">
        <v>24</v>
      </c>
      <c r="C44" s="123">
        <f t="shared" si="2"/>
        <v>0</v>
      </c>
      <c r="D44" s="138">
        <f>IF($C$17&lt;B44,0,DCF!$C$16)</f>
        <v>0</v>
      </c>
      <c r="E44" s="124">
        <f t="shared" si="0"/>
        <v>0</v>
      </c>
      <c r="F44" s="125">
        <f t="shared" si="1"/>
        <v>0</v>
      </c>
      <c r="H44" s="120"/>
    </row>
    <row r="45" spans="2:8" x14ac:dyDescent="0.15">
      <c r="B45" s="122">
        <v>25</v>
      </c>
      <c r="C45" s="123">
        <f t="shared" si="2"/>
        <v>0</v>
      </c>
      <c r="D45" s="138">
        <f>IF($C$17&lt;B45,0,DCF!$C$16)</f>
        <v>0</v>
      </c>
      <c r="E45" s="124">
        <f t="shared" si="0"/>
        <v>0</v>
      </c>
      <c r="F45" s="125">
        <f t="shared" si="1"/>
        <v>0</v>
      </c>
      <c r="H45" s="120"/>
    </row>
    <row r="46" spans="2:8" x14ac:dyDescent="0.15">
      <c r="B46" s="122">
        <v>26</v>
      </c>
      <c r="C46" s="123">
        <f t="shared" si="2"/>
        <v>0</v>
      </c>
      <c r="D46" s="138">
        <f>IF($C$17&lt;B46,0,DCF!$C$16)</f>
        <v>0</v>
      </c>
      <c r="E46" s="124">
        <f t="shared" si="0"/>
        <v>0</v>
      </c>
      <c r="F46" s="125">
        <f t="shared" si="1"/>
        <v>0</v>
      </c>
      <c r="H46" s="120"/>
    </row>
    <row r="47" spans="2:8" x14ac:dyDescent="0.15">
      <c r="B47" s="122">
        <v>27</v>
      </c>
      <c r="C47" s="123">
        <f t="shared" si="2"/>
        <v>0</v>
      </c>
      <c r="D47" s="138">
        <f>IF($C$17&lt;B47,0,DCF!$C$16)</f>
        <v>0</v>
      </c>
      <c r="E47" s="124">
        <f t="shared" si="0"/>
        <v>0</v>
      </c>
      <c r="F47" s="125">
        <f t="shared" si="1"/>
        <v>0</v>
      </c>
      <c r="H47" s="120"/>
    </row>
    <row r="48" spans="2:8" x14ac:dyDescent="0.15">
      <c r="B48" s="122">
        <v>28</v>
      </c>
      <c r="C48" s="123">
        <f t="shared" si="2"/>
        <v>0</v>
      </c>
      <c r="D48" s="138">
        <f>IF($C$17&lt;B48,0,DCF!$C$16)</f>
        <v>0</v>
      </c>
      <c r="E48" s="124">
        <f t="shared" si="0"/>
        <v>0</v>
      </c>
      <c r="F48" s="125">
        <f t="shared" si="1"/>
        <v>0</v>
      </c>
      <c r="H48" s="120"/>
    </row>
    <row r="49" spans="1:8" x14ac:dyDescent="0.15">
      <c r="B49" s="122">
        <v>29</v>
      </c>
      <c r="C49" s="123">
        <f t="shared" si="2"/>
        <v>0</v>
      </c>
      <c r="D49" s="138">
        <f>IF($C$17&lt;B49,0,DCF!$C$16)</f>
        <v>0</v>
      </c>
      <c r="E49" s="124">
        <f t="shared" si="0"/>
        <v>0</v>
      </c>
      <c r="F49" s="125">
        <f t="shared" si="1"/>
        <v>0</v>
      </c>
      <c r="H49" s="120"/>
    </row>
    <row r="50" spans="1:8" x14ac:dyDescent="0.15">
      <c r="B50" s="122">
        <v>30</v>
      </c>
      <c r="C50" s="123">
        <f t="shared" si="2"/>
        <v>0</v>
      </c>
      <c r="D50" s="138">
        <f>IF($C$17&lt;B50,0,DCF!$C$16)</f>
        <v>0</v>
      </c>
      <c r="E50" s="124">
        <f t="shared" si="0"/>
        <v>0</v>
      </c>
      <c r="F50" s="125">
        <f t="shared" si="1"/>
        <v>0</v>
      </c>
      <c r="H50" s="120"/>
    </row>
    <row r="51" spans="1:8" x14ac:dyDescent="0.15">
      <c r="B51" s="126" t="s">
        <v>132</v>
      </c>
      <c r="C51" s="123">
        <f>C$21*(1+Terminal_Growth)^$C$17/Equity_Cost</f>
        <v>29651.875857756117</v>
      </c>
      <c r="D51" s="139">
        <f>Terminal_Growth</f>
        <v>0</v>
      </c>
      <c r="E51" s="124">
        <f>1/(1+Equity_Cost)^C17</f>
        <v>0.44228541503689528</v>
      </c>
      <c r="F51" s="125">
        <f t="shared" si="1"/>
        <v>13114.592220370159</v>
      </c>
      <c r="H51" s="120"/>
    </row>
    <row r="52" spans="1:8" x14ac:dyDescent="0.15">
      <c r="C52" s="114"/>
      <c r="E52" s="127" t="s">
        <v>101</v>
      </c>
      <c r="F52" s="137">
        <f>SUM(F21:F51)</f>
        <v>29555.00222614134</v>
      </c>
      <c r="H52" s="120"/>
    </row>
    <row r="53" spans="1:8" x14ac:dyDescent="0.15">
      <c r="C53" s="114"/>
      <c r="H53" s="120"/>
    </row>
    <row r="54" spans="1:8" x14ac:dyDescent="0.15">
      <c r="B54" s="119" t="s">
        <v>130</v>
      </c>
      <c r="C54" s="136"/>
      <c r="D54" s="136"/>
      <c r="E54" s="117"/>
      <c r="F54" s="117"/>
      <c r="H54" s="120"/>
    </row>
    <row r="55" spans="1:8" x14ac:dyDescent="0.15">
      <c r="A55" s="133">
        <f>F52</f>
        <v>29555.00222614134</v>
      </c>
      <c r="B55" s="131">
        <f>C78</f>
        <v>-0.1</v>
      </c>
      <c r="C55" s="131">
        <f>C77</f>
        <v>-0.02</v>
      </c>
      <c r="D55" s="131">
        <f>C76</f>
        <v>0</v>
      </c>
      <c r="E55" s="131">
        <f>C75</f>
        <v>0.02</v>
      </c>
      <c r="F55" s="131">
        <f>C74</f>
        <v>0.05</v>
      </c>
      <c r="H55" s="120"/>
    </row>
    <row r="56" spans="1:8" x14ac:dyDescent="0.15">
      <c r="A56" s="143">
        <v>5</v>
      </c>
      <c r="B56" s="123">
        <f t="dataTable" ref="B56:F61" dt2D="1" dtr="1" r1="C16" r2="C17"/>
        <v>25232.900968573613</v>
      </c>
      <c r="C56" s="123">
        <v>28752.052557087645</v>
      </c>
      <c r="D56" s="123">
        <v>29697.41656782278</v>
      </c>
      <c r="E56" s="123">
        <v>30671.415406130091</v>
      </c>
      <c r="F56" s="123">
        <v>32188.893326587175</v>
      </c>
      <c r="H56" s="120"/>
    </row>
    <row r="57" spans="1:8" x14ac:dyDescent="0.15">
      <c r="A57" s="143">
        <v>10</v>
      </c>
      <c r="B57" s="123">
        <v>22207.735232977087</v>
      </c>
      <c r="C57" s="123">
        <v>27917.909579052299</v>
      </c>
      <c r="D57" s="123">
        <v>29697.416567822787</v>
      </c>
      <c r="E57" s="123">
        <v>31652.779292302119</v>
      </c>
      <c r="F57" s="123">
        <v>34962.383315560364</v>
      </c>
      <c r="H57" s="120"/>
    </row>
    <row r="58" spans="1:8" x14ac:dyDescent="0.15">
      <c r="A58" s="143">
        <v>15</v>
      </c>
      <c r="B58" s="123">
        <v>19398.25474639783</v>
      </c>
      <c r="C58" s="123">
        <v>27002.215722284458</v>
      </c>
      <c r="D58" s="123">
        <v>29697.416567822787</v>
      </c>
      <c r="E58" s="123">
        <v>32840.425091866557</v>
      </c>
      <c r="F58" s="123">
        <v>38592.76778653371</v>
      </c>
      <c r="H58" s="120"/>
    </row>
    <row r="59" spans="1:8" x14ac:dyDescent="0.15">
      <c r="A59" s="144">
        <v>20</v>
      </c>
      <c r="B59" s="123">
        <v>17216.599869374983</v>
      </c>
      <c r="C59" s="123">
        <v>26176.252669591642</v>
      </c>
      <c r="D59" s="123">
        <v>29697.416567822791</v>
      </c>
      <c r="E59" s="123">
        <v>34023.09044341556</v>
      </c>
      <c r="F59" s="123">
        <v>42522.973388971492</v>
      </c>
      <c r="H59" s="120"/>
    </row>
    <row r="60" spans="1:8" x14ac:dyDescent="0.15">
      <c r="A60" s="144">
        <v>25</v>
      </c>
      <c r="B60" s="123">
        <v>15642.6968722281</v>
      </c>
      <c r="C60" s="123">
        <v>25496.509511901309</v>
      </c>
      <c r="D60" s="123">
        <v>29697.416567822791</v>
      </c>
      <c r="E60" s="123">
        <v>35098.055263803675</v>
      </c>
      <c r="F60" s="123">
        <v>46423.356990661821</v>
      </c>
      <c r="H60" s="120"/>
    </row>
    <row r="61" spans="1:8" x14ac:dyDescent="0.15">
      <c r="A61" s="144">
        <v>30</v>
      </c>
      <c r="B61" s="123">
        <v>14547.676121079345</v>
      </c>
      <c r="C61" s="123">
        <v>24966.035513960298</v>
      </c>
      <c r="D61" s="123">
        <v>29697.416567822795</v>
      </c>
      <c r="E61" s="123">
        <v>36024.745774998097</v>
      </c>
      <c r="F61" s="123">
        <v>50109.351885683602</v>
      </c>
      <c r="H61" s="120"/>
    </row>
    <row r="62" spans="1:8" x14ac:dyDescent="0.15">
      <c r="C62" s="114"/>
      <c r="D62" s="114"/>
      <c r="E62" s="114"/>
      <c r="F62" s="114"/>
      <c r="H62" s="120"/>
    </row>
    <row r="63" spans="1:8" x14ac:dyDescent="0.15">
      <c r="B63" s="119" t="s">
        <v>131</v>
      </c>
      <c r="C63" s="114"/>
      <c r="D63" s="114"/>
      <c r="E63" s="114"/>
      <c r="F63" s="114"/>
      <c r="H63" s="120"/>
    </row>
    <row r="64" spans="1:8" x14ac:dyDescent="0.15">
      <c r="B64" s="132">
        <f>B55</f>
        <v>-0.1</v>
      </c>
      <c r="C64" s="132">
        <f>C55</f>
        <v>-0.02</v>
      </c>
      <c r="D64" s="132">
        <f>D55</f>
        <v>0</v>
      </c>
      <c r="E64" s="132">
        <f>E55</f>
        <v>0.02</v>
      </c>
      <c r="F64" s="132">
        <f>F55</f>
        <v>0.05</v>
      </c>
      <c r="H64" s="120"/>
    </row>
    <row r="65" spans="1:8" x14ac:dyDescent="0.15">
      <c r="A65" s="143">
        <v>0</v>
      </c>
      <c r="B65" s="124">
        <f>C12</f>
        <v>9.3786719966808736</v>
      </c>
      <c r="C65" s="124">
        <f>C12</f>
        <v>9.3786719966808736</v>
      </c>
      <c r="D65" s="124">
        <f>C12</f>
        <v>9.3786719966808736</v>
      </c>
      <c r="E65" s="141">
        <f>C12</f>
        <v>9.3786719966808736</v>
      </c>
      <c r="F65" s="124">
        <f>C12</f>
        <v>9.3786719966808736</v>
      </c>
      <c r="H65" s="120"/>
    </row>
    <row r="66" spans="1:8" x14ac:dyDescent="0.15">
      <c r="A66" s="143">
        <f t="shared" ref="A66:A71" si="3">A56</f>
        <v>5</v>
      </c>
      <c r="B66" s="124">
        <f t="shared" ref="B66:F71" si="4">(B56-$C$7+$C$8+$C$9)/Common_Shares*$C$3*Exchange_Rate</f>
        <v>8.8323453699788086</v>
      </c>
      <c r="C66" s="124">
        <f t="shared" si="4"/>
        <v>9.2629869868497234</v>
      </c>
      <c r="D66" s="124">
        <f t="shared" si="4"/>
        <v>9.3786719966808736</v>
      </c>
      <c r="E66" s="124">
        <f t="shared" si="4"/>
        <v>9.4978610750735335</v>
      </c>
      <c r="F66" s="124">
        <f t="shared" si="4"/>
        <v>9.683556157764615</v>
      </c>
      <c r="H66" s="120"/>
    </row>
    <row r="67" spans="1:8" x14ac:dyDescent="0.15">
      <c r="A67" s="143">
        <f t="shared" si="3"/>
        <v>10</v>
      </c>
      <c r="B67" s="124">
        <f t="shared" si="4"/>
        <v>8.4621532282331113</v>
      </c>
      <c r="C67" s="124">
        <f t="shared" si="4"/>
        <v>9.1609121907724287</v>
      </c>
      <c r="D67" s="124">
        <f t="shared" si="4"/>
        <v>9.3786719966808771</v>
      </c>
      <c r="E67" s="124">
        <f t="shared" si="4"/>
        <v>9.6179514207293444</v>
      </c>
      <c r="F67" s="124">
        <f t="shared" si="4"/>
        <v>10.022950521202944</v>
      </c>
      <c r="H67" s="120"/>
    </row>
    <row r="68" spans="1:8" x14ac:dyDescent="0.15">
      <c r="A68" s="143">
        <f t="shared" si="3"/>
        <v>15</v>
      </c>
      <c r="B68" s="124">
        <f t="shared" si="4"/>
        <v>8.1183546765433707</v>
      </c>
      <c r="C68" s="124">
        <f t="shared" si="4"/>
        <v>9.0488579432872331</v>
      </c>
      <c r="D68" s="124">
        <f t="shared" si="4"/>
        <v>9.3786719966808771</v>
      </c>
      <c r="E68" s="124">
        <f t="shared" si="4"/>
        <v>9.7632846621457343</v>
      </c>
      <c r="F68" s="124">
        <f t="shared" si="4"/>
        <v>10.467203801893012</v>
      </c>
      <c r="H68" s="120"/>
    </row>
    <row r="69" spans="1:8" x14ac:dyDescent="0.15">
      <c r="A69" s="144">
        <f t="shared" si="3"/>
        <v>20</v>
      </c>
      <c r="B69" s="124">
        <f t="shared" si="4"/>
        <v>7.8513836865008129</v>
      </c>
      <c r="C69" s="124">
        <f t="shared" si="4"/>
        <v>8.9477841317332771</v>
      </c>
      <c r="D69" s="124">
        <f t="shared" si="4"/>
        <v>9.3786719966808771</v>
      </c>
      <c r="E69" s="124">
        <f t="shared" si="4"/>
        <v>9.908008441840412</v>
      </c>
      <c r="F69" s="124">
        <f t="shared" si="4"/>
        <v>10.948146453182325</v>
      </c>
      <c r="H69" s="120"/>
    </row>
    <row r="70" spans="1:8" x14ac:dyDescent="0.15">
      <c r="A70" s="144">
        <f t="shared" si="3"/>
        <v>25</v>
      </c>
      <c r="B70" s="124">
        <f t="shared" si="4"/>
        <v>7.6587838184810577</v>
      </c>
      <c r="C70" s="124">
        <f t="shared" si="4"/>
        <v>8.8646033749167437</v>
      </c>
      <c r="D70" s="124">
        <f t="shared" si="4"/>
        <v>9.3786719966808771</v>
      </c>
      <c r="E70" s="124">
        <f t="shared" si="4"/>
        <v>10.039552814592698</v>
      </c>
      <c r="F70" s="124">
        <f t="shared" si="4"/>
        <v>11.425439760504151</v>
      </c>
    </row>
    <row r="71" spans="1:8" x14ac:dyDescent="0.15">
      <c r="A71" s="144">
        <f t="shared" si="3"/>
        <v>30</v>
      </c>
      <c r="B71" s="124">
        <f t="shared" si="4"/>
        <v>7.5247851841735693</v>
      </c>
      <c r="C71" s="124">
        <f t="shared" si="4"/>
        <v>8.7996888139961786</v>
      </c>
      <c r="D71" s="124">
        <f t="shared" si="4"/>
        <v>9.3786719966808771</v>
      </c>
      <c r="E71" s="124">
        <f t="shared" si="4"/>
        <v>10.152952732170048</v>
      </c>
      <c r="F71" s="124">
        <f t="shared" si="4"/>
        <v>11.876498136776137</v>
      </c>
    </row>
    <row r="73" spans="1:8" ht="14" x14ac:dyDescent="0.2">
      <c r="B73" s="171" t="s">
        <v>118</v>
      </c>
      <c r="C73" s="171" t="s">
        <v>133</v>
      </c>
      <c r="D73" s="171" t="s">
        <v>113</v>
      </c>
      <c r="E73" s="172" t="s">
        <v>114</v>
      </c>
      <c r="F73" s="172" t="s">
        <v>120</v>
      </c>
    </row>
    <row r="74" spans="1:8" x14ac:dyDescent="0.15">
      <c r="B74" s="127" t="str">
        <f>Scenarios!B54</f>
        <v>Snowball Scenario</v>
      </c>
      <c r="C74" s="142">
        <f>Scenarios!C56</f>
        <v>0.05</v>
      </c>
      <c r="D74" s="145">
        <f>Scenarios!C55</f>
        <v>15</v>
      </c>
      <c r="E74" s="135">
        <f>INDEX(B$65:F$71, MATCH(D74, A$65:A$71, 0), MATCH(C74, B$64:F$64, 0))</f>
        <v>10.467203801893012</v>
      </c>
      <c r="F74" s="142">
        <f>Scenarios!C58</f>
        <v>0.05</v>
      </c>
    </row>
    <row r="75" spans="1:8" x14ac:dyDescent="0.15">
      <c r="B75" s="127" t="str">
        <f>Scenarios!B36</f>
        <v>Optimistic</v>
      </c>
      <c r="C75" s="142">
        <f>Scenarios!C38</f>
        <v>0.02</v>
      </c>
      <c r="D75" s="145">
        <f>Scenarios!C37</f>
        <v>10</v>
      </c>
      <c r="E75" s="135">
        <f>INDEX(B$65:F$71, MATCH(D75, A$65:A$71, 0), MATCH(C75, B$64:F$64, 0))</f>
        <v>9.6179514207293444</v>
      </c>
      <c r="F75" s="142">
        <f>Scenarios!C40*(1-F$74-F$78)</f>
        <v>0.17999999999999994</v>
      </c>
      <c r="H75" s="120"/>
    </row>
    <row r="76" spans="1:8" x14ac:dyDescent="0.15">
      <c r="B76" s="127" t="str">
        <f>Scenarios!B24</f>
        <v>Base</v>
      </c>
      <c r="C76" s="142">
        <f>Scenarios!C26</f>
        <v>0</v>
      </c>
      <c r="D76" s="145">
        <f>Scenarios!C25</f>
        <v>10</v>
      </c>
      <c r="E76" s="135">
        <f>INDEX(B$65:F$71, MATCH(D76, A$65:A$71, 0), MATCH(C76, B$64:F$64, 0))</f>
        <v>9.3786719966808771</v>
      </c>
      <c r="F76" s="142">
        <f>Scenarios!C28*(1-F$74-F$78)</f>
        <v>0.495</v>
      </c>
      <c r="H76" s="120"/>
    </row>
    <row r="77" spans="1:8" x14ac:dyDescent="0.15">
      <c r="B77" s="127" t="str">
        <f>Scenarios!B30</f>
        <v>Pessimistic</v>
      </c>
      <c r="C77" s="142">
        <f>Scenarios!C32</f>
        <v>-0.02</v>
      </c>
      <c r="D77" s="145">
        <f>Scenarios!C31</f>
        <v>10</v>
      </c>
      <c r="E77" s="135">
        <f>INDEX(B$65:F$71, MATCH(D77, A$65:A$71, 0), MATCH(C77, B$64:F$64, 0))</f>
        <v>9.1609121907724287</v>
      </c>
      <c r="F77" s="142">
        <f>Scenarios!C34*(1-F$74-F$78)</f>
        <v>0.22499999999999998</v>
      </c>
      <c r="H77" s="120"/>
    </row>
    <row r="78" spans="1:8" x14ac:dyDescent="0.15">
      <c r="B78" s="127" t="str">
        <f>Scenarios!B48</f>
        <v>Devil's advocate</v>
      </c>
      <c r="C78" s="142">
        <f>Scenarios!C50</f>
        <v>-0.1</v>
      </c>
      <c r="D78" s="145">
        <f>Scenarios!C49</f>
        <v>15</v>
      </c>
      <c r="E78" s="135">
        <f>INDEX(B$65:F$71, MATCH(D78, A$65:A$71, 0), MATCH(C78, B$64:F$64, 0))</f>
        <v>8.1183546765433707</v>
      </c>
      <c r="F78" s="142">
        <f>Scenarios!C52</f>
        <v>0.05</v>
      </c>
    </row>
    <row r="79" spans="1:8" x14ac:dyDescent="0.15">
      <c r="B79" s="155"/>
      <c r="C79" s="155"/>
      <c r="D79" s="155"/>
      <c r="E79" s="155"/>
      <c r="F79" s="156"/>
    </row>
    <row r="80" spans="1:8" x14ac:dyDescent="0.15">
      <c r="B80" s="155" t="s">
        <v>311</v>
      </c>
      <c r="C80" s="155" t="s">
        <v>106</v>
      </c>
    </row>
    <row r="81" spans="3:3" x14ac:dyDescent="0.15">
      <c r="C81" s="155" t="s">
        <v>105</v>
      </c>
    </row>
    <row r="82" spans="3:3" x14ac:dyDescent="0.15">
      <c r="C82" s="155" t="s">
        <v>104</v>
      </c>
    </row>
    <row r="92" spans="3:3" x14ac:dyDescent="0.15">
      <c r="C92" s="115"/>
    </row>
    <row r="93" spans="3:3" x14ac:dyDescent="0.15">
      <c r="C93" s="115"/>
    </row>
    <row r="94" spans="3:3" x14ac:dyDescent="0.15">
      <c r="C94" s="115"/>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E14" sqref="E14"/>
    </sheetView>
  </sheetViews>
  <sheetFormatPr baseColWidth="10" defaultColWidth="8.83203125" defaultRowHeight="13" x14ac:dyDescent="0.15"/>
  <cols>
    <col min="1" max="1" width="6.1640625" customWidth="1"/>
    <col min="2" max="2" width="24.6640625" customWidth="1"/>
    <col min="3" max="6" width="20.6640625" customWidth="1"/>
    <col min="7" max="7" width="5.6640625" customWidth="1"/>
    <col min="8" max="8" width="56.83203125" bestFit="1" customWidth="1"/>
  </cols>
  <sheetData>
    <row r="2" spans="2:8" ht="16" x14ac:dyDescent="0.25">
      <c r="B2" s="36" t="s">
        <v>443</v>
      </c>
      <c r="C2" s="37"/>
      <c r="D2" s="37"/>
      <c r="E2" s="37"/>
      <c r="F2" s="37"/>
      <c r="H2" s="130" t="s">
        <v>59</v>
      </c>
    </row>
    <row r="3" spans="2:8" x14ac:dyDescent="0.15">
      <c r="B3" s="109" t="s">
        <v>442</v>
      </c>
      <c r="C3" s="107">
        <f>scaling_factor</f>
        <v>1000000</v>
      </c>
      <c r="E3" s="109" t="s">
        <v>125</v>
      </c>
      <c r="H3" s="120"/>
    </row>
    <row r="4" spans="2:8" x14ac:dyDescent="0.15">
      <c r="B4" s="100" t="s">
        <v>440</v>
      </c>
      <c r="C4" s="114">
        <f>Normalized_FCF!C91</f>
        <v>4739.6903628800001</v>
      </c>
      <c r="D4" t="str">
        <f>Market_currency</f>
        <v>HKD</v>
      </c>
      <c r="E4" s="100" t="s">
        <v>251</v>
      </c>
      <c r="F4" s="134">
        <f>Thesis!E22</f>
        <v>0</v>
      </c>
      <c r="H4" s="120"/>
    </row>
    <row r="5" spans="2:8" x14ac:dyDescent="0.15">
      <c r="B5" s="205" t="s">
        <v>124</v>
      </c>
      <c r="C5" s="206">
        <f>Equity_Cost</f>
        <v>8.4999999999999992E-2</v>
      </c>
      <c r="E5" s="148"/>
      <c r="H5" s="120"/>
    </row>
    <row r="6" spans="2:8" ht="13.25" customHeight="1" x14ac:dyDescent="0.15">
      <c r="B6" s="149" t="s">
        <v>441</v>
      </c>
      <c r="C6" s="339">
        <f>(C4*(1+Terminal_Growth))/(Equity_Cost-Terminal_Growth)</f>
        <v>55761.063092705888</v>
      </c>
      <c r="D6" t="str">
        <f>Reporting_currency</f>
        <v>HKD</v>
      </c>
      <c r="E6" s="354"/>
      <c r="F6" s="354"/>
      <c r="H6" s="120"/>
    </row>
    <row r="7" spans="2:8" x14ac:dyDescent="0.15">
      <c r="B7" s="149" t="s">
        <v>444</v>
      </c>
      <c r="C7" s="111">
        <f>(C6*scaling_factor)/Common_Shares*Exchange_Rate</f>
        <v>6.8235294117647065</v>
      </c>
      <c r="D7" t="str">
        <f>Market_currency</f>
        <v>HKD</v>
      </c>
      <c r="H7" s="120"/>
    </row>
    <row r="8" spans="2:8" x14ac:dyDescent="0.15">
      <c r="H8" s="120"/>
    </row>
    <row r="9" spans="2:8" ht="16" x14ac:dyDescent="0.25">
      <c r="B9" s="36" t="s">
        <v>230</v>
      </c>
      <c r="C9" s="37"/>
      <c r="D9" s="37"/>
      <c r="E9" s="37"/>
      <c r="F9" s="37"/>
      <c r="H9" s="120"/>
    </row>
    <row r="10" spans="2:8" x14ac:dyDescent="0.15">
      <c r="B10" s="119" t="s">
        <v>136</v>
      </c>
      <c r="H10" s="120"/>
    </row>
    <row r="11" spans="2:8" ht="13.25" customHeight="1" x14ac:dyDescent="0.15">
      <c r="B11" s="152" t="s">
        <v>134</v>
      </c>
      <c r="C11" s="161">
        <f>Scenarios!C65</f>
        <v>-1.5334906308317399E-3</v>
      </c>
      <c r="H11" s="120"/>
    </row>
    <row r="12" spans="2:8" ht="13.25" customHeight="1" x14ac:dyDescent="0.15">
      <c r="B12" s="118" t="s">
        <v>135</v>
      </c>
      <c r="C12" s="162">
        <f>Scenarios!C64</f>
        <v>10</v>
      </c>
      <c r="H12" s="120"/>
    </row>
    <row r="13" spans="2:8" ht="13.25" customHeight="1" x14ac:dyDescent="0.15">
      <c r="B13" s="153" t="s">
        <v>107</v>
      </c>
      <c r="C13" s="140">
        <f>F47/Common_Shares*scaling_factor</f>
        <v>6.7908070890366989</v>
      </c>
      <c r="D13" t="str">
        <f>Market_currency</f>
        <v>HKD</v>
      </c>
      <c r="H13" s="120"/>
    </row>
    <row r="14" spans="2:8" x14ac:dyDescent="0.15">
      <c r="H14" s="120"/>
    </row>
    <row r="15" spans="2:8" ht="14" x14ac:dyDescent="0.2">
      <c r="B15" s="128" t="s">
        <v>108</v>
      </c>
      <c r="C15" s="128" t="s">
        <v>446</v>
      </c>
      <c r="D15" s="128" t="s">
        <v>119</v>
      </c>
      <c r="E15" s="128" t="s">
        <v>110</v>
      </c>
      <c r="F15" s="129" t="s">
        <v>445</v>
      </c>
      <c r="H15" s="120"/>
    </row>
    <row r="16" spans="2:8" x14ac:dyDescent="0.15">
      <c r="B16" s="122">
        <v>1</v>
      </c>
      <c r="C16" s="123">
        <f>C4*(1+D16)</f>
        <v>4732.4220921154802</v>
      </c>
      <c r="D16" s="138">
        <f>IF($C$12&lt;B16,0,DDM!$C$11)</f>
        <v>-1.5334906308317399E-3</v>
      </c>
      <c r="E16" s="124">
        <f t="shared" ref="E16:E45" si="0">IF($C$12&lt;B16,0,1/(1+Equity_Cost)^B16)</f>
        <v>0.92165898617511521</v>
      </c>
      <c r="F16" s="125">
        <f t="shared" ref="F16:F46" si="1">C16*E16</f>
        <v>4361.6793475718714</v>
      </c>
      <c r="H16" s="120"/>
    </row>
    <row r="17" spans="2:8" x14ac:dyDescent="0.15">
      <c r="B17" s="122">
        <v>2</v>
      </c>
      <c r="C17" s="123">
        <f t="shared" ref="C17:C45" si="2">IF(ROW()-ROW($C$16)&lt;$C$12, $C$16*(1+D17)^(ROW()-ROW($C$16)), 0)</f>
        <v>4725.1649671760797</v>
      </c>
      <c r="D17" s="138">
        <f>IF($C$12&lt;B17,0,DDM!$C$11)</f>
        <v>-1.5334906308317399E-3</v>
      </c>
      <c r="E17" s="124">
        <f t="shared" si="0"/>
        <v>0.84945528679734128</v>
      </c>
      <c r="F17" s="125">
        <f t="shared" si="1"/>
        <v>4013.8163623573064</v>
      </c>
      <c r="H17" s="120"/>
    </row>
    <row r="18" spans="2:8" x14ac:dyDescent="0.15">
      <c r="B18" s="122">
        <v>3</v>
      </c>
      <c r="C18" s="123">
        <f t="shared" si="2"/>
        <v>4717.9189709697812</v>
      </c>
      <c r="D18" s="138">
        <f>IF($C$12&lt;B18,0,DDM!$C$11)</f>
        <v>-1.5334906308317399E-3</v>
      </c>
      <c r="E18" s="124">
        <f t="shared" si="0"/>
        <v>0.78290809843072917</v>
      </c>
      <c r="F18" s="125">
        <f t="shared" si="1"/>
        <v>3693.6969701122139</v>
      </c>
      <c r="H18" s="120"/>
    </row>
    <row r="19" spans="2:8" x14ac:dyDescent="0.15">
      <c r="B19" s="122">
        <v>4</v>
      </c>
      <c r="C19" s="123">
        <f t="shared" si="2"/>
        <v>4710.6840864307751</v>
      </c>
      <c r="D19" s="138">
        <f>IF($C$12&lt;B19,0,DDM!$C$11)</f>
        <v>-1.5334906308317399E-3</v>
      </c>
      <c r="E19" s="124">
        <f t="shared" si="0"/>
        <v>0.72157428426795334</v>
      </c>
      <c r="F19" s="125">
        <f t="shared" si="1"/>
        <v>3399.1084980787241</v>
      </c>
      <c r="H19" s="120"/>
    </row>
    <row r="20" spans="2:8" x14ac:dyDescent="0.15">
      <c r="B20" s="122">
        <v>5</v>
      </c>
      <c r="C20" s="123">
        <f t="shared" si="2"/>
        <v>4703.4602965194254</v>
      </c>
      <c r="D20" s="138">
        <f>IF($C$12&lt;B20,0,DDM!$C$11)</f>
        <v>-1.5334906308317399E-3</v>
      </c>
      <c r="E20" s="124">
        <f t="shared" si="0"/>
        <v>0.66504542328843619</v>
      </c>
      <c r="F20" s="125">
        <f t="shared" si="1"/>
        <v>3128.0147438191148</v>
      </c>
      <c r="H20" s="120"/>
    </row>
    <row r="21" spans="2:8" x14ac:dyDescent="0.15">
      <c r="B21" s="122">
        <v>6</v>
      </c>
      <c r="C21" s="123">
        <f t="shared" si="2"/>
        <v>4696.2475842222238</v>
      </c>
      <c r="D21" s="138">
        <f>IF($C$12&lt;B21,0,DDM!$C$11)</f>
        <v>-1.5334906308317399E-3</v>
      </c>
      <c r="E21" s="124">
        <f t="shared" si="0"/>
        <v>0.6129450905884205</v>
      </c>
      <c r="F21" s="125">
        <f t="shared" si="1"/>
        <v>2878.541900936742</v>
      </c>
      <c r="H21" s="120"/>
    </row>
    <row r="22" spans="2:8" x14ac:dyDescent="0.15">
      <c r="B22" s="122">
        <v>7</v>
      </c>
      <c r="C22" s="123">
        <f t="shared" si="2"/>
        <v>4689.0459325517531</v>
      </c>
      <c r="D22" s="138">
        <f>IF($C$12&lt;B22,0,DDM!$C$11)</f>
        <v>-1.5334906308317399E-3</v>
      </c>
      <c r="E22" s="124">
        <f t="shared" si="0"/>
        <v>0.56492635077273778</v>
      </c>
      <c r="F22" s="125">
        <f t="shared" si="1"/>
        <v>2648.9656072822108</v>
      </c>
      <c r="H22" s="120"/>
    </row>
    <row r="23" spans="2:8" x14ac:dyDescent="0.15">
      <c r="B23" s="122">
        <v>8</v>
      </c>
      <c r="C23" s="123">
        <f t="shared" si="2"/>
        <v>4681.8553245466455</v>
      </c>
      <c r="D23" s="138">
        <f>IF($C$12&lt;B23,0,DDM!$C$11)</f>
        <v>-1.5334906308317399E-3</v>
      </c>
      <c r="E23" s="124">
        <f t="shared" si="0"/>
        <v>0.52066944771680901</v>
      </c>
      <c r="F23" s="125">
        <f t="shared" si="1"/>
        <v>2437.6990261217034</v>
      </c>
      <c r="H23" s="120"/>
    </row>
    <row r="24" spans="2:8" x14ac:dyDescent="0.15">
      <c r="B24" s="122">
        <v>9</v>
      </c>
      <c r="C24" s="123">
        <f t="shared" si="2"/>
        <v>4674.6757432715422</v>
      </c>
      <c r="D24" s="138">
        <f>IF($C$12&lt;B24,0,DDM!$C$11)</f>
        <v>-1.5334906308317399E-3</v>
      </c>
      <c r="E24" s="124">
        <f t="shared" si="0"/>
        <v>0.4798796753150314</v>
      </c>
      <c r="F24" s="125">
        <f t="shared" si="1"/>
        <v>2243.2818778842006</v>
      </c>
      <c r="H24" s="120"/>
    </row>
    <row r="25" spans="2:8" x14ac:dyDescent="0.15">
      <c r="B25" s="122">
        <v>10</v>
      </c>
      <c r="C25" s="123">
        <f t="shared" si="2"/>
        <v>4667.5071718170593</v>
      </c>
      <c r="D25" s="138">
        <f>IF($C$12&lt;B25,0,DDM!$C$11)</f>
        <v>-1.5334906308317399E-3</v>
      </c>
      <c r="E25" s="124">
        <f t="shared" si="0"/>
        <v>0.44228541503689528</v>
      </c>
      <c r="F25" s="125">
        <f t="shared" si="1"/>
        <v>2064.3703466747934</v>
      </c>
      <c r="H25" s="120"/>
    </row>
    <row r="26" spans="2:8" x14ac:dyDescent="0.15">
      <c r="B26" s="122">
        <v>11</v>
      </c>
      <c r="C26" s="123">
        <f t="shared" si="2"/>
        <v>0</v>
      </c>
      <c r="D26" s="138">
        <f>IF($C$12&lt;B26,0,DDM!$C$11)</f>
        <v>0</v>
      </c>
      <c r="E26" s="124">
        <f t="shared" si="0"/>
        <v>0</v>
      </c>
      <c r="F26" s="125">
        <f t="shared" si="1"/>
        <v>0</v>
      </c>
      <c r="H26" s="120"/>
    </row>
    <row r="27" spans="2:8" x14ac:dyDescent="0.15">
      <c r="B27" s="122">
        <v>12</v>
      </c>
      <c r="C27" s="123">
        <f t="shared" si="2"/>
        <v>0</v>
      </c>
      <c r="D27" s="138">
        <f>IF($C$12&lt;B27,0,DDM!$C$11)</f>
        <v>0</v>
      </c>
      <c r="E27" s="124">
        <f t="shared" si="0"/>
        <v>0</v>
      </c>
      <c r="F27" s="125">
        <f t="shared" si="1"/>
        <v>0</v>
      </c>
      <c r="H27" s="120"/>
    </row>
    <row r="28" spans="2:8" x14ac:dyDescent="0.15">
      <c r="B28" s="122">
        <v>13</v>
      </c>
      <c r="C28" s="123">
        <f t="shared" si="2"/>
        <v>0</v>
      </c>
      <c r="D28" s="138">
        <f>IF($C$12&lt;B28,0,DDM!$C$11)</f>
        <v>0</v>
      </c>
      <c r="E28" s="124">
        <f t="shared" si="0"/>
        <v>0</v>
      </c>
      <c r="F28" s="125">
        <f t="shared" si="1"/>
        <v>0</v>
      </c>
      <c r="H28" s="120"/>
    </row>
    <row r="29" spans="2:8" x14ac:dyDescent="0.15">
      <c r="B29" s="122">
        <v>14</v>
      </c>
      <c r="C29" s="123">
        <f t="shared" si="2"/>
        <v>0</v>
      </c>
      <c r="D29" s="138">
        <f>IF($C$12&lt;B29,0,DDM!$C$11)</f>
        <v>0</v>
      </c>
      <c r="E29" s="124">
        <f t="shared" si="0"/>
        <v>0</v>
      </c>
      <c r="F29" s="125">
        <f t="shared" si="1"/>
        <v>0</v>
      </c>
      <c r="H29" s="120"/>
    </row>
    <row r="30" spans="2:8" x14ac:dyDescent="0.15">
      <c r="B30" s="122">
        <v>15</v>
      </c>
      <c r="C30" s="123">
        <f t="shared" si="2"/>
        <v>0</v>
      </c>
      <c r="D30" s="138">
        <f>IF($C$12&lt;B30,0,DDM!$C$11)</f>
        <v>0</v>
      </c>
      <c r="E30" s="124">
        <f t="shared" si="0"/>
        <v>0</v>
      </c>
      <c r="F30" s="125">
        <f t="shared" si="1"/>
        <v>0</v>
      </c>
      <c r="H30" s="120"/>
    </row>
    <row r="31" spans="2:8" x14ac:dyDescent="0.15">
      <c r="B31" s="122">
        <v>16</v>
      </c>
      <c r="C31" s="123">
        <f t="shared" si="2"/>
        <v>0</v>
      </c>
      <c r="D31" s="138">
        <f>IF($C$12&lt;B31,0,DDM!$C$11)</f>
        <v>0</v>
      </c>
      <c r="E31" s="124">
        <f t="shared" si="0"/>
        <v>0</v>
      </c>
      <c r="F31" s="125">
        <f t="shared" si="1"/>
        <v>0</v>
      </c>
      <c r="H31" s="120"/>
    </row>
    <row r="32" spans="2:8" x14ac:dyDescent="0.15">
      <c r="B32" s="122">
        <v>17</v>
      </c>
      <c r="C32" s="123">
        <f t="shared" si="2"/>
        <v>0</v>
      </c>
      <c r="D32" s="138">
        <f>IF($C$12&lt;B32,0,DDM!$C$11)</f>
        <v>0</v>
      </c>
      <c r="E32" s="124">
        <f t="shared" si="0"/>
        <v>0</v>
      </c>
      <c r="F32" s="125">
        <f t="shared" si="1"/>
        <v>0</v>
      </c>
      <c r="H32" s="120"/>
    </row>
    <row r="33" spans="2:8" x14ac:dyDescent="0.15">
      <c r="B33" s="122">
        <v>18</v>
      </c>
      <c r="C33" s="123">
        <f t="shared" si="2"/>
        <v>0</v>
      </c>
      <c r="D33" s="138">
        <f>IF($C$12&lt;B33,0,DDM!$C$11)</f>
        <v>0</v>
      </c>
      <c r="E33" s="124">
        <f t="shared" si="0"/>
        <v>0</v>
      </c>
      <c r="F33" s="125">
        <f t="shared" si="1"/>
        <v>0</v>
      </c>
      <c r="H33" s="120"/>
    </row>
    <row r="34" spans="2:8" x14ac:dyDescent="0.15">
      <c r="B34" s="122">
        <v>19</v>
      </c>
      <c r="C34" s="123">
        <f t="shared" si="2"/>
        <v>0</v>
      </c>
      <c r="D34" s="138">
        <f>IF($C$12&lt;B34,0,DDM!$C$11)</f>
        <v>0</v>
      </c>
      <c r="E34" s="124">
        <f t="shared" si="0"/>
        <v>0</v>
      </c>
      <c r="F34" s="125">
        <f t="shared" si="1"/>
        <v>0</v>
      </c>
      <c r="H34" s="120"/>
    </row>
    <row r="35" spans="2:8" x14ac:dyDescent="0.15">
      <c r="B35" s="122">
        <v>20</v>
      </c>
      <c r="C35" s="123">
        <f t="shared" si="2"/>
        <v>0</v>
      </c>
      <c r="D35" s="138">
        <f>IF($C$12&lt;B35,0,DDM!$C$11)</f>
        <v>0</v>
      </c>
      <c r="E35" s="124">
        <f t="shared" si="0"/>
        <v>0</v>
      </c>
      <c r="F35" s="125">
        <f t="shared" si="1"/>
        <v>0</v>
      </c>
      <c r="H35" s="120"/>
    </row>
    <row r="36" spans="2:8" x14ac:dyDescent="0.15">
      <c r="B36" s="122">
        <v>21</v>
      </c>
      <c r="C36" s="123">
        <f t="shared" si="2"/>
        <v>0</v>
      </c>
      <c r="D36" s="138">
        <f>IF($C$12&lt;B36,0,DDM!$C$11)</f>
        <v>0</v>
      </c>
      <c r="E36" s="124">
        <f t="shared" si="0"/>
        <v>0</v>
      </c>
      <c r="F36" s="125">
        <f t="shared" si="1"/>
        <v>0</v>
      </c>
      <c r="H36" s="120"/>
    </row>
    <row r="37" spans="2:8" x14ac:dyDescent="0.15">
      <c r="B37" s="122">
        <v>22</v>
      </c>
      <c r="C37" s="123">
        <f t="shared" si="2"/>
        <v>0</v>
      </c>
      <c r="D37" s="138">
        <f>IF($C$12&lt;B37,0,DDM!$C$11)</f>
        <v>0</v>
      </c>
      <c r="E37" s="124">
        <f t="shared" si="0"/>
        <v>0</v>
      </c>
      <c r="F37" s="125">
        <f t="shared" si="1"/>
        <v>0</v>
      </c>
      <c r="H37" s="120"/>
    </row>
    <row r="38" spans="2:8" x14ac:dyDescent="0.15">
      <c r="B38" s="122">
        <v>23</v>
      </c>
      <c r="C38" s="123">
        <f t="shared" si="2"/>
        <v>0</v>
      </c>
      <c r="D38" s="138">
        <f>IF($C$12&lt;B38,0,DDM!$C$11)</f>
        <v>0</v>
      </c>
      <c r="E38" s="124">
        <f t="shared" si="0"/>
        <v>0</v>
      </c>
      <c r="F38" s="125">
        <f t="shared" si="1"/>
        <v>0</v>
      </c>
      <c r="H38" s="120"/>
    </row>
    <row r="39" spans="2:8" x14ac:dyDescent="0.15">
      <c r="B39" s="122">
        <v>24</v>
      </c>
      <c r="C39" s="123">
        <f t="shared" si="2"/>
        <v>0</v>
      </c>
      <c r="D39" s="138">
        <f>IF($C$12&lt;B39,0,DDM!$C$11)</f>
        <v>0</v>
      </c>
      <c r="E39" s="124">
        <f t="shared" si="0"/>
        <v>0</v>
      </c>
      <c r="F39" s="125">
        <f t="shared" si="1"/>
        <v>0</v>
      </c>
      <c r="H39" s="120"/>
    </row>
    <row r="40" spans="2:8" x14ac:dyDescent="0.15">
      <c r="B40" s="122">
        <v>25</v>
      </c>
      <c r="C40" s="123">
        <f t="shared" si="2"/>
        <v>0</v>
      </c>
      <c r="D40" s="138">
        <f>IF($C$12&lt;B40,0,DDM!$C$11)</f>
        <v>0</v>
      </c>
      <c r="E40" s="124">
        <f t="shared" si="0"/>
        <v>0</v>
      </c>
      <c r="F40" s="125">
        <f t="shared" si="1"/>
        <v>0</v>
      </c>
      <c r="H40" s="120"/>
    </row>
    <row r="41" spans="2:8" x14ac:dyDescent="0.15">
      <c r="B41" s="122">
        <v>26</v>
      </c>
      <c r="C41" s="123">
        <f t="shared" si="2"/>
        <v>0</v>
      </c>
      <c r="D41" s="138">
        <f>IF($C$12&lt;B41,0,DDM!$C$11)</f>
        <v>0</v>
      </c>
      <c r="E41" s="124">
        <f t="shared" si="0"/>
        <v>0</v>
      </c>
      <c r="F41" s="125">
        <f t="shared" si="1"/>
        <v>0</v>
      </c>
      <c r="H41" s="120"/>
    </row>
    <row r="42" spans="2:8" x14ac:dyDescent="0.15">
      <c r="B42" s="122">
        <v>27</v>
      </c>
      <c r="C42" s="123">
        <f t="shared" si="2"/>
        <v>0</v>
      </c>
      <c r="D42" s="138">
        <f>IF($C$12&lt;B42,0,DDM!$C$11)</f>
        <v>0</v>
      </c>
      <c r="E42" s="124">
        <f t="shared" si="0"/>
        <v>0</v>
      </c>
      <c r="F42" s="125">
        <f t="shared" si="1"/>
        <v>0</v>
      </c>
      <c r="H42" s="120"/>
    </row>
    <row r="43" spans="2:8" x14ac:dyDescent="0.15">
      <c r="B43" s="122">
        <v>28</v>
      </c>
      <c r="C43" s="123">
        <f t="shared" si="2"/>
        <v>0</v>
      </c>
      <c r="D43" s="138">
        <f>IF($C$12&lt;B43,0,DDM!$C$11)</f>
        <v>0</v>
      </c>
      <c r="E43" s="124">
        <f t="shared" si="0"/>
        <v>0</v>
      </c>
      <c r="F43" s="125">
        <f t="shared" si="1"/>
        <v>0</v>
      </c>
      <c r="H43" s="120"/>
    </row>
    <row r="44" spans="2:8" x14ac:dyDescent="0.15">
      <c r="B44" s="122">
        <v>29</v>
      </c>
      <c r="C44" s="123">
        <f t="shared" si="2"/>
        <v>0</v>
      </c>
      <c r="D44" s="138">
        <f>IF($C$12&lt;B44,0,DDM!$C$11)</f>
        <v>0</v>
      </c>
      <c r="E44" s="124">
        <f t="shared" si="0"/>
        <v>0</v>
      </c>
      <c r="F44" s="125">
        <f t="shared" si="1"/>
        <v>0</v>
      </c>
      <c r="H44" s="120"/>
    </row>
    <row r="45" spans="2:8" x14ac:dyDescent="0.15">
      <c r="B45" s="122">
        <v>30</v>
      </c>
      <c r="C45" s="123">
        <f t="shared" si="2"/>
        <v>0</v>
      </c>
      <c r="D45" s="138">
        <f>IF($C$12&lt;B45,0,DDM!$C$11)</f>
        <v>0</v>
      </c>
      <c r="E45" s="124">
        <f t="shared" si="0"/>
        <v>0</v>
      </c>
      <c r="F45" s="125">
        <f t="shared" si="1"/>
        <v>0</v>
      </c>
      <c r="H45" s="120"/>
    </row>
    <row r="46" spans="2:8" x14ac:dyDescent="0.15">
      <c r="B46" s="126" t="s">
        <v>132</v>
      </c>
      <c r="C46" s="123">
        <f>C$16*(1+F4)^$C$12/Equity_Cost</f>
        <v>55675.554024888006</v>
      </c>
      <c r="D46" s="139">
        <f>Terminal_Growth</f>
        <v>0</v>
      </c>
      <c r="E46" s="124">
        <f>1/(1+Equity_Cost)^C12</f>
        <v>0.44228541503689528</v>
      </c>
      <c r="F46" s="125">
        <f t="shared" si="1"/>
        <v>24624.485519306676</v>
      </c>
      <c r="H46" s="120"/>
    </row>
    <row r="47" spans="2:8" x14ac:dyDescent="0.15">
      <c r="C47" s="114"/>
      <c r="E47" s="127" t="s">
        <v>101</v>
      </c>
      <c r="F47" s="137">
        <f>SUM(F16:F46)</f>
        <v>55493.660200145561</v>
      </c>
      <c r="H47" s="120"/>
    </row>
    <row r="48" spans="2:8" x14ac:dyDescent="0.15">
      <c r="C48" s="114"/>
      <c r="H48" s="120"/>
    </row>
    <row r="49" spans="1:8" x14ac:dyDescent="0.15">
      <c r="B49" s="119" t="s">
        <v>130</v>
      </c>
      <c r="C49" s="136"/>
      <c r="D49" s="136"/>
      <c r="E49" s="117"/>
      <c r="F49" s="117"/>
      <c r="H49" s="120"/>
    </row>
    <row r="50" spans="1:8" x14ac:dyDescent="0.15">
      <c r="A50" s="133">
        <f>F47</f>
        <v>55493.660200145561</v>
      </c>
      <c r="B50" s="131">
        <f>C73</f>
        <v>-0.1</v>
      </c>
      <c r="C50" s="131">
        <f>C72</f>
        <v>-0.02</v>
      </c>
      <c r="D50" s="131">
        <f>C71</f>
        <v>0</v>
      </c>
      <c r="E50" s="131">
        <f>C70</f>
        <v>0.02</v>
      </c>
      <c r="F50" s="131">
        <f>C69</f>
        <v>0.05</v>
      </c>
      <c r="H50" s="120"/>
    </row>
    <row r="51" spans="1:8" x14ac:dyDescent="0.15">
      <c r="A51" s="143">
        <v>5</v>
      </c>
      <c r="B51" s="123">
        <f t="dataTable" ref="B51:F56" dt2D="1" dtr="1" r1="C11" r2="C12"/>
        <v>47378.309143736595</v>
      </c>
      <c r="C51" s="123">
        <v>53986.009625419058</v>
      </c>
      <c r="D51" s="123">
        <v>55761.063092705896</v>
      </c>
      <c r="E51" s="123">
        <v>57589.882463274385</v>
      </c>
      <c r="F51" s="123">
        <v>60439.160004677688</v>
      </c>
      <c r="H51" s="120"/>
    </row>
    <row r="52" spans="1:8" x14ac:dyDescent="0.15">
      <c r="A52" s="143">
        <v>10</v>
      </c>
      <c r="B52" s="123">
        <v>41698.136356206596</v>
      </c>
      <c r="C52" s="123">
        <v>52419.789239873367</v>
      </c>
      <c r="D52" s="123">
        <v>55761.063092705896</v>
      </c>
      <c r="E52" s="123">
        <v>59432.530743765994</v>
      </c>
      <c r="F52" s="123">
        <v>65646.776293755465</v>
      </c>
      <c r="H52" s="120"/>
    </row>
    <row r="53" spans="1:8" x14ac:dyDescent="0.15">
      <c r="A53" s="143">
        <v>15</v>
      </c>
      <c r="B53" s="123">
        <v>36422.942862116164</v>
      </c>
      <c r="C53" s="123">
        <v>50700.44564632461</v>
      </c>
      <c r="D53" s="123">
        <v>55761.063092705888</v>
      </c>
      <c r="E53" s="123">
        <v>61662.502236742715</v>
      </c>
      <c r="F53" s="123">
        <v>72463.332106763861</v>
      </c>
      <c r="H53" s="120"/>
    </row>
    <row r="54" spans="1:8" x14ac:dyDescent="0.15">
      <c r="A54" s="144">
        <v>20</v>
      </c>
      <c r="B54" s="123">
        <v>32326.57996919065</v>
      </c>
      <c r="C54" s="123">
        <v>49149.584217409916</v>
      </c>
      <c r="D54" s="123">
        <v>55761.063092705896</v>
      </c>
      <c r="E54" s="123">
        <v>63883.122240326964</v>
      </c>
      <c r="F54" s="123">
        <v>79842.844128098775</v>
      </c>
      <c r="H54" s="120"/>
    </row>
    <row r="55" spans="1:8" x14ac:dyDescent="0.15">
      <c r="A55" s="144">
        <v>25</v>
      </c>
      <c r="B55" s="123">
        <v>29371.356435679765</v>
      </c>
      <c r="C55" s="123">
        <v>47873.271140942721</v>
      </c>
      <c r="D55" s="123">
        <v>55761.063092705903</v>
      </c>
      <c r="E55" s="123">
        <v>65901.519397372875</v>
      </c>
      <c r="F55" s="123">
        <v>87166.361162077432</v>
      </c>
      <c r="H55" s="120"/>
    </row>
    <row r="56" spans="1:8" x14ac:dyDescent="0.15">
      <c r="A56" s="144">
        <v>30</v>
      </c>
      <c r="B56" s="123">
        <v>27315.301456850866</v>
      </c>
      <c r="C56" s="123">
        <v>46877.231838982749</v>
      </c>
      <c r="D56" s="123">
        <v>55761.063092705917</v>
      </c>
      <c r="E56" s="123">
        <v>67641.510751304711</v>
      </c>
      <c r="F56" s="123">
        <v>94087.3333426475</v>
      </c>
      <c r="H56" s="120"/>
    </row>
    <row r="57" spans="1:8" x14ac:dyDescent="0.15">
      <c r="C57" s="114"/>
      <c r="D57" s="114"/>
      <c r="E57" s="114"/>
      <c r="F57" s="114"/>
      <c r="H57" s="120"/>
    </row>
    <row r="58" spans="1:8" x14ac:dyDescent="0.15">
      <c r="B58" s="119" t="s">
        <v>131</v>
      </c>
      <c r="C58" s="114"/>
      <c r="D58" s="114"/>
      <c r="E58" s="114"/>
      <c r="F58" s="114"/>
      <c r="H58" s="120"/>
    </row>
    <row r="59" spans="1:8" x14ac:dyDescent="0.15">
      <c r="B59" s="132">
        <f>B50</f>
        <v>-0.1</v>
      </c>
      <c r="C59" s="132">
        <f>C50</f>
        <v>-0.02</v>
      </c>
      <c r="D59" s="132">
        <f>D50</f>
        <v>0</v>
      </c>
      <c r="E59" s="132">
        <f>E50</f>
        <v>0.02</v>
      </c>
      <c r="F59" s="132">
        <f>F50</f>
        <v>0.05</v>
      </c>
      <c r="H59" s="120"/>
    </row>
    <row r="60" spans="1:8" x14ac:dyDescent="0.15">
      <c r="A60" s="143">
        <v>0</v>
      </c>
      <c r="B60" s="124">
        <f>C7</f>
        <v>6.8235294117647065</v>
      </c>
      <c r="C60" s="124">
        <f>C7</f>
        <v>6.8235294117647065</v>
      </c>
      <c r="D60" s="124">
        <f>C7</f>
        <v>6.8235294117647065</v>
      </c>
      <c r="E60" s="141">
        <f>C7</f>
        <v>6.8235294117647065</v>
      </c>
      <c r="F60" s="124">
        <f>C7</f>
        <v>6.8235294117647065</v>
      </c>
      <c r="H60" s="120"/>
    </row>
    <row r="61" spans="1:8" x14ac:dyDescent="0.15">
      <c r="A61" s="143">
        <f t="shared" ref="A61:A66" si="3">A51</f>
        <v>5</v>
      </c>
      <c r="B61" s="124">
        <f t="shared" ref="B61:F66" si="4">B51/Common_Shares*$C$3*Exchange_Rate</f>
        <v>5.7977245768159795</v>
      </c>
      <c r="C61" s="124">
        <f t="shared" si="4"/>
        <v>6.6063145871235491</v>
      </c>
      <c r="D61" s="124">
        <f t="shared" si="4"/>
        <v>6.8235294117647074</v>
      </c>
      <c r="E61" s="124">
        <f t="shared" si="4"/>
        <v>7.047323616389753</v>
      </c>
      <c r="F61" s="124">
        <f t="shared" si="4"/>
        <v>7.3959921680226817</v>
      </c>
      <c r="H61" s="120"/>
    </row>
    <row r="62" spans="1:8" x14ac:dyDescent="0.15">
      <c r="A62" s="143">
        <f t="shared" si="3"/>
        <v>10</v>
      </c>
      <c r="B62" s="124">
        <f t="shared" si="4"/>
        <v>5.102636930886816</v>
      </c>
      <c r="C62" s="124">
        <f t="shared" si="4"/>
        <v>6.4146548469154316</v>
      </c>
      <c r="D62" s="124">
        <f t="shared" si="4"/>
        <v>6.8235294117647074</v>
      </c>
      <c r="E62" s="124">
        <f t="shared" si="4"/>
        <v>7.2728100766562696</v>
      </c>
      <c r="F62" s="124">
        <f t="shared" si="4"/>
        <v>8.0332526674258116</v>
      </c>
      <c r="H62" s="120"/>
    </row>
    <row r="63" spans="1:8" x14ac:dyDescent="0.15">
      <c r="A63" s="143">
        <f t="shared" si="3"/>
        <v>15</v>
      </c>
      <c r="B63" s="124">
        <f t="shared" si="4"/>
        <v>4.4571069505879937</v>
      </c>
      <c r="C63" s="124">
        <f t="shared" si="4"/>
        <v>6.2042572876005364</v>
      </c>
      <c r="D63" s="124">
        <f t="shared" si="4"/>
        <v>6.8235294117647065</v>
      </c>
      <c r="E63" s="124">
        <f t="shared" si="4"/>
        <v>7.5456936126897487</v>
      </c>
      <c r="F63" s="124">
        <f t="shared" si="4"/>
        <v>8.8674004848673125</v>
      </c>
      <c r="H63" s="120"/>
    </row>
    <row r="64" spans="1:8" x14ac:dyDescent="0.15">
      <c r="A64" s="144">
        <f t="shared" si="3"/>
        <v>20</v>
      </c>
      <c r="B64" s="124">
        <f t="shared" si="4"/>
        <v>3.9558314882700021</v>
      </c>
      <c r="C64" s="124">
        <f t="shared" si="4"/>
        <v>6.0144770361699447</v>
      </c>
      <c r="D64" s="124">
        <f t="shared" si="4"/>
        <v>6.8235294117647074</v>
      </c>
      <c r="E64" s="124">
        <f t="shared" si="4"/>
        <v>7.8174327988960508</v>
      </c>
      <c r="F64" s="124">
        <f t="shared" si="4"/>
        <v>9.7704377393459989</v>
      </c>
      <c r="H64" s="120"/>
    </row>
    <row r="65" spans="1:8" x14ac:dyDescent="0.15">
      <c r="A65" s="144">
        <f t="shared" si="3"/>
        <v>25</v>
      </c>
      <c r="B65" s="124">
        <f t="shared" si="4"/>
        <v>3.5941982341527838</v>
      </c>
      <c r="C65" s="124">
        <f t="shared" si="4"/>
        <v>5.8582935035601968</v>
      </c>
      <c r="D65" s="124">
        <f t="shared" si="4"/>
        <v>6.8235294117647083</v>
      </c>
      <c r="E65" s="124">
        <f t="shared" si="4"/>
        <v>8.0644258008556324</v>
      </c>
      <c r="F65" s="124">
        <f t="shared" si="4"/>
        <v>10.666622838898917</v>
      </c>
    </row>
    <row r="66" spans="1:8" x14ac:dyDescent="0.15">
      <c r="A66" s="144">
        <f t="shared" si="3"/>
        <v>30</v>
      </c>
      <c r="B66" s="124">
        <f t="shared" si="4"/>
        <v>3.3425970120433823</v>
      </c>
      <c r="C66" s="124">
        <f t="shared" si="4"/>
        <v>5.7364073146097132</v>
      </c>
      <c r="D66" s="124">
        <f t="shared" si="4"/>
        <v>6.8235294117647101</v>
      </c>
      <c r="E66" s="124">
        <f t="shared" si="4"/>
        <v>8.2773500444273669</v>
      </c>
      <c r="F66" s="124">
        <f t="shared" si="4"/>
        <v>11.51354817734898</v>
      </c>
    </row>
    <row r="68" spans="1:8" ht="14" x14ac:dyDescent="0.2">
      <c r="B68" s="171" t="s">
        <v>118</v>
      </c>
      <c r="C68" s="171" t="s">
        <v>133</v>
      </c>
      <c r="D68" s="171" t="s">
        <v>113</v>
      </c>
      <c r="E68" s="172" t="s">
        <v>114</v>
      </c>
      <c r="F68" s="172" t="s">
        <v>120</v>
      </c>
    </row>
    <row r="69" spans="1:8" x14ac:dyDescent="0.15">
      <c r="B69" s="127" t="str">
        <f>Scenarios!B54</f>
        <v>Snowball Scenario</v>
      </c>
      <c r="C69" s="142">
        <f>Scenarios!C56</f>
        <v>0.05</v>
      </c>
      <c r="D69" s="145">
        <f>Scenarios!C55</f>
        <v>15</v>
      </c>
      <c r="E69" s="135">
        <f>INDEX(B$60:F$66, MATCH(D69, A$60:A$66, 0), MATCH(C69, B$59:F$59, 0))</f>
        <v>8.8674004848673125</v>
      </c>
      <c r="F69" s="142">
        <f>Scenarios!C58</f>
        <v>0.05</v>
      </c>
    </row>
    <row r="70" spans="1:8" x14ac:dyDescent="0.15">
      <c r="B70" s="127" t="str">
        <f>Scenarios!B36</f>
        <v>Optimistic</v>
      </c>
      <c r="C70" s="142">
        <f>Scenarios!C38</f>
        <v>0.02</v>
      </c>
      <c r="D70" s="145">
        <f>Scenarios!C37</f>
        <v>10</v>
      </c>
      <c r="E70" s="135">
        <f>INDEX(B$60:F$66, MATCH(D70, A$60:A$66, 0), MATCH(C70, B$59:F$59, 0))</f>
        <v>7.2728100766562696</v>
      </c>
      <c r="F70" s="142">
        <f>Scenarios!C40*(1-F$69-F$73)</f>
        <v>0.17999999999999994</v>
      </c>
      <c r="H70" s="120"/>
    </row>
    <row r="71" spans="1:8" x14ac:dyDescent="0.15">
      <c r="B71" s="127" t="str">
        <f>Scenarios!B24</f>
        <v>Base</v>
      </c>
      <c r="C71" s="142">
        <f>Scenarios!C26</f>
        <v>0</v>
      </c>
      <c r="D71" s="145">
        <f>Scenarios!C25</f>
        <v>10</v>
      </c>
      <c r="E71" s="135">
        <f>INDEX(B$60:F$66, MATCH(D71, A$60:A$66, 0), MATCH(C71, B$59:F$59, 0))</f>
        <v>6.8235294117647074</v>
      </c>
      <c r="F71" s="142">
        <f>Scenarios!C28*(1-F$69-F$73)</f>
        <v>0.495</v>
      </c>
      <c r="H71" s="120"/>
    </row>
    <row r="72" spans="1:8" x14ac:dyDescent="0.15">
      <c r="B72" s="127" t="str">
        <f>Scenarios!B30</f>
        <v>Pessimistic</v>
      </c>
      <c r="C72" s="142">
        <f>Scenarios!C32</f>
        <v>-0.02</v>
      </c>
      <c r="D72" s="145">
        <f>Scenarios!C31</f>
        <v>10</v>
      </c>
      <c r="E72" s="135">
        <f>INDEX(B$60:F$66, MATCH(D72, A$60:A$66, 0), MATCH(C72, B$59:F$59, 0))</f>
        <v>6.4146548469154316</v>
      </c>
      <c r="F72" s="142">
        <f>Scenarios!C34*(1-F$69-F$73)</f>
        <v>0.22499999999999998</v>
      </c>
      <c r="H72" s="120"/>
    </row>
    <row r="73" spans="1:8" x14ac:dyDescent="0.15">
      <c r="B73" s="127" t="str">
        <f>Scenarios!B48</f>
        <v>Devil's advocate</v>
      </c>
      <c r="C73" s="142">
        <f>Scenarios!C50</f>
        <v>-0.1</v>
      </c>
      <c r="D73" s="145">
        <f>Scenarios!C49</f>
        <v>15</v>
      </c>
      <c r="E73" s="135">
        <f>INDEX(B$60:F$66, MATCH(D73, A$60:A$66, 0), MATCH(C73, B$59:F$59, 0))</f>
        <v>4.4571069505879937</v>
      </c>
      <c r="F73" s="142">
        <f>Scenarios!C52</f>
        <v>0.05</v>
      </c>
    </row>
    <row r="74" spans="1:8" x14ac:dyDescent="0.15">
      <c r="B74" s="155"/>
      <c r="C74" s="155"/>
      <c r="D74" s="155"/>
      <c r="E74" s="155"/>
      <c r="F74" s="156"/>
    </row>
    <row r="75" spans="1:8" x14ac:dyDescent="0.15">
      <c r="B75" s="155" t="s">
        <v>311</v>
      </c>
      <c r="C75" s="155" t="s">
        <v>106</v>
      </c>
    </row>
    <row r="76" spans="1:8" x14ac:dyDescent="0.15">
      <c r="C76" s="155" t="s">
        <v>105</v>
      </c>
    </row>
    <row r="77" spans="1:8" x14ac:dyDescent="0.15">
      <c r="C77" s="155" t="s">
        <v>104</v>
      </c>
    </row>
    <row r="87" spans="3:3" x14ac:dyDescent="0.15">
      <c r="C87" s="115"/>
    </row>
    <row r="88" spans="3:3" x14ac:dyDescent="0.15">
      <c r="C88" s="115"/>
    </row>
    <row r="89" spans="3:3" x14ac:dyDescent="0.15">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zoomScale="75" zoomScaleNormal="100" workbookViewId="0">
      <selection activeCell="D35" sqref="D35"/>
    </sheetView>
  </sheetViews>
  <sheetFormatPr baseColWidth="10" defaultColWidth="8.83203125" defaultRowHeight="13" x14ac:dyDescent="0.15"/>
  <cols>
    <col min="1" max="1" width="2.6640625" customWidth="1"/>
    <col min="2" max="2" width="22.6640625" customWidth="1"/>
    <col min="3" max="3" width="14" bestFit="1" customWidth="1"/>
    <col min="4" max="4" width="10.6640625" customWidth="1"/>
    <col min="5" max="6" width="42.6640625" customWidth="1"/>
    <col min="8" max="9" width="15.6640625" customWidth="1"/>
  </cols>
  <sheetData>
    <row r="2" spans="2:9" ht="16" x14ac:dyDescent="0.25">
      <c r="B2" s="36" t="s">
        <v>146</v>
      </c>
      <c r="C2" s="37"/>
      <c r="D2" s="37"/>
      <c r="E2" s="37"/>
      <c r="F2" s="37"/>
      <c r="H2" s="248" t="s">
        <v>296</v>
      </c>
      <c r="I2" s="249"/>
    </row>
    <row r="3" spans="2:9" x14ac:dyDescent="0.15">
      <c r="B3" s="159" t="s">
        <v>149</v>
      </c>
      <c r="H3" s="247">
        <v>0</v>
      </c>
      <c r="I3" s="124">
        <f>-Market_Price</f>
        <v>-8.15</v>
      </c>
    </row>
    <row r="4" spans="2:9" x14ac:dyDescent="0.15">
      <c r="B4" s="152" t="s">
        <v>147</v>
      </c>
      <c r="C4" s="120">
        <v>3</v>
      </c>
      <c r="D4" s="120"/>
      <c r="E4" s="155" t="s">
        <v>151</v>
      </c>
      <c r="F4" s="155"/>
      <c r="H4" s="247">
        <v>1</v>
      </c>
      <c r="I4" s="124">
        <f t="shared" ref="I4:I13" si="0">IF(ROW()-3 &lt; $C$76, $C$77, IF(ROW()-3 = $C$76, $C$77 + $C$60, ""))</f>
        <v>0.57999999999999996</v>
      </c>
    </row>
    <row r="5" spans="2:9" x14ac:dyDescent="0.15">
      <c r="H5" s="247">
        <v>2</v>
      </c>
      <c r="I5" s="124">
        <f t="shared" si="0"/>
        <v>0.57999999999999996</v>
      </c>
    </row>
    <row r="6" spans="2:9" x14ac:dyDescent="0.15">
      <c r="B6" s="159" t="s">
        <v>96</v>
      </c>
      <c r="C6" s="107">
        <f>DCF!C3</f>
        <v>1000000</v>
      </c>
      <c r="E6" s="100" t="s">
        <v>280</v>
      </c>
      <c r="F6" s="100"/>
      <c r="H6" s="247">
        <v>3</v>
      </c>
      <c r="I6" s="124">
        <f t="shared" si="0"/>
        <v>9.9441570609339323</v>
      </c>
    </row>
    <row r="7" spans="2:9" ht="12.75" customHeight="1" x14ac:dyDescent="0.15">
      <c r="B7" s="100" t="s">
        <v>276</v>
      </c>
      <c r="C7" s="114">
        <f>Normalized_FCF!G8</f>
        <v>2337</v>
      </c>
      <c r="D7" t="str">
        <f>Reporting_currency</f>
        <v>HKD</v>
      </c>
      <c r="E7" s="356"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SINO LAND(0083.HK). Each scenario should include the Compound Growth Rate, the Probability Assessment, and the Business Narrative.</v>
      </c>
      <c r="F7" s="356"/>
      <c r="H7" s="247">
        <v>4</v>
      </c>
      <c r="I7" s="124" t="str">
        <f t="shared" si="0"/>
        <v/>
      </c>
    </row>
    <row r="8" spans="2:9" x14ac:dyDescent="0.15">
      <c r="B8" s="100" t="s">
        <v>66</v>
      </c>
      <c r="C8" s="114">
        <f>Normalized_FCF!G19</f>
        <v>2772.792068232593</v>
      </c>
      <c r="D8" t="str">
        <f>Reporting_currency</f>
        <v>HKD</v>
      </c>
      <c r="E8" s="356"/>
      <c r="F8" s="356"/>
      <c r="H8" s="247">
        <v>5</v>
      </c>
      <c r="I8" s="124" t="str">
        <f t="shared" si="0"/>
        <v/>
      </c>
    </row>
    <row r="9" spans="2:9" x14ac:dyDescent="0.15">
      <c r="B9" s="100" t="s">
        <v>57</v>
      </c>
      <c r="C9" s="114">
        <f>Normalized_FCF!C19</f>
        <v>2524.2804082649359</v>
      </c>
      <c r="D9" t="str">
        <f>Reporting_currency</f>
        <v>HKD</v>
      </c>
      <c r="E9" s="356"/>
      <c r="F9" s="356"/>
      <c r="H9" s="247">
        <v>6</v>
      </c>
      <c r="I9" s="124" t="str">
        <f t="shared" si="0"/>
        <v/>
      </c>
    </row>
    <row r="10" spans="2:9" x14ac:dyDescent="0.15">
      <c r="E10" s="356"/>
      <c r="F10" s="356"/>
      <c r="H10" s="247">
        <v>7</v>
      </c>
      <c r="I10" s="124" t="str">
        <f t="shared" si="0"/>
        <v/>
      </c>
    </row>
    <row r="11" spans="2:9" x14ac:dyDescent="0.15">
      <c r="B11" s="159" t="s">
        <v>447</v>
      </c>
      <c r="E11" s="356"/>
      <c r="F11" s="356"/>
      <c r="H11" s="247">
        <v>8</v>
      </c>
      <c r="I11" s="124" t="str">
        <f t="shared" si="0"/>
        <v/>
      </c>
    </row>
    <row r="12" spans="2:9" ht="14" x14ac:dyDescent="0.15">
      <c r="B12" s="118" t="s">
        <v>145</v>
      </c>
      <c r="C12" s="158">
        <f ca="1">(Normalized_FCF!G4/OFFSET(Normalized_FCF!G4, 0, $C$4))^(1/$C$4) - 1</f>
        <v>-0.28945840615733698</v>
      </c>
      <c r="D12" s="158"/>
      <c r="E12" s="356"/>
      <c r="F12" s="356"/>
      <c r="H12" s="247">
        <v>9</v>
      </c>
      <c r="I12" s="124" t="str">
        <f t="shared" si="0"/>
        <v/>
      </c>
    </row>
    <row r="13" spans="2:9" x14ac:dyDescent="0.15">
      <c r="B13" s="148" t="s">
        <v>153</v>
      </c>
      <c r="C13" s="158">
        <f ca="1">(Normalized_FCF!G8/OFFSET(Normalized_FCF!G8, 0, $C$4))^(1/$C$4) - 1</f>
        <v>-0.42686307479092267</v>
      </c>
      <c r="E13" s="356"/>
      <c r="F13" s="356"/>
      <c r="H13" s="247">
        <v>10</v>
      </c>
      <c r="I13" s="124" t="str">
        <f t="shared" si="0"/>
        <v/>
      </c>
    </row>
    <row r="14" spans="2:9" x14ac:dyDescent="0.15">
      <c r="B14" s="100" t="s">
        <v>66</v>
      </c>
      <c r="C14" s="158">
        <f ca="1">(Normalized_FCF!G19/OFFSET(Normalized_FCF!G19, 0, $C$4))^(1/$C$4) - 1</f>
        <v>-0.34497687096016949</v>
      </c>
      <c r="E14" s="356"/>
      <c r="F14" s="356"/>
    </row>
    <row r="16" spans="2:9" ht="16" x14ac:dyDescent="0.25">
      <c r="B16" s="36" t="s">
        <v>163</v>
      </c>
      <c r="C16" s="37"/>
      <c r="D16" s="37"/>
      <c r="E16" s="37"/>
      <c r="F16" s="37"/>
    </row>
    <row r="17" spans="2:6" x14ac:dyDescent="0.15">
      <c r="B17" s="109" t="s">
        <v>152</v>
      </c>
      <c r="E17" s="159" t="s">
        <v>330</v>
      </c>
    </row>
    <row r="18" spans="2:6" x14ac:dyDescent="0.15">
      <c r="B18" s="152" t="s">
        <v>134</v>
      </c>
      <c r="C18" s="150">
        <v>10</v>
      </c>
      <c r="E18" s="356" t="s">
        <v>331</v>
      </c>
      <c r="F18" s="357"/>
    </row>
    <row r="19" spans="2:6" x14ac:dyDescent="0.15">
      <c r="E19" s="357"/>
      <c r="F19" s="357"/>
    </row>
    <row r="20" spans="2:6" x14ac:dyDescent="0.15">
      <c r="B20" s="159" t="s">
        <v>304</v>
      </c>
      <c r="E20" s="357"/>
      <c r="F20" s="357"/>
    </row>
    <row r="21" spans="2:6" x14ac:dyDescent="0.15">
      <c r="B21" s="100" t="s">
        <v>278</v>
      </c>
      <c r="C21" s="160">
        <f>Market_Price</f>
        <v>8.15</v>
      </c>
      <c r="D21" t="str">
        <f>Market_currency</f>
        <v>HKD</v>
      </c>
      <c r="E21" s="357"/>
      <c r="F21" s="357"/>
    </row>
    <row r="22" spans="2:6" x14ac:dyDescent="0.15">
      <c r="B22" s="100" t="s">
        <v>279</v>
      </c>
      <c r="C22" s="160">
        <f>IF(valuation_method="DCF",DCF!C12,DDM!C7)</f>
        <v>9.3786719966808736</v>
      </c>
      <c r="D22" t="str">
        <f>Market_currency</f>
        <v>HKD</v>
      </c>
      <c r="E22" s="357"/>
      <c r="F22" s="357"/>
    </row>
    <row r="24" spans="2:6" x14ac:dyDescent="0.15">
      <c r="B24" s="159" t="s">
        <v>116</v>
      </c>
      <c r="E24" s="159" t="s">
        <v>150</v>
      </c>
      <c r="F24" s="159"/>
    </row>
    <row r="25" spans="2:6" x14ac:dyDescent="0.15">
      <c r="B25" s="152" t="s">
        <v>134</v>
      </c>
      <c r="C25" s="166">
        <f>C18</f>
        <v>10</v>
      </c>
      <c r="D25" s="163"/>
      <c r="E25" s="355"/>
      <c r="F25" s="355"/>
    </row>
    <row r="26" spans="2:6" ht="14" x14ac:dyDescent="0.15">
      <c r="B26" s="118" t="s">
        <v>135</v>
      </c>
      <c r="C26" s="164">
        <v>0</v>
      </c>
      <c r="D26" s="164"/>
      <c r="E26" s="355"/>
      <c r="F26" s="355"/>
    </row>
    <row r="27" spans="2:6" x14ac:dyDescent="0.15">
      <c r="B27" s="100" t="s">
        <v>114</v>
      </c>
      <c r="C27" s="160">
        <f>IF(valuation_method="DCF",DCF!E76,DDM!E71)</f>
        <v>9.3786719966808771</v>
      </c>
      <c r="D27" s="160" t="str">
        <f>Market_currency</f>
        <v>HKD</v>
      </c>
      <c r="E27" s="355"/>
      <c r="F27" s="355"/>
    </row>
    <row r="28" spans="2:6" x14ac:dyDescent="0.15">
      <c r="B28" s="100" t="s">
        <v>148</v>
      </c>
      <c r="C28" s="165">
        <v>0.55000000000000004</v>
      </c>
      <c r="D28" s="165"/>
      <c r="E28" s="355"/>
      <c r="F28" s="355"/>
    </row>
    <row r="30" spans="2:6" x14ac:dyDescent="0.15">
      <c r="B30" s="159" t="s">
        <v>117</v>
      </c>
      <c r="E30" s="159" t="s">
        <v>150</v>
      </c>
      <c r="F30" s="159"/>
    </row>
    <row r="31" spans="2:6" x14ac:dyDescent="0.15">
      <c r="B31" s="152" t="s">
        <v>134</v>
      </c>
      <c r="C31" s="166">
        <f>C18</f>
        <v>10</v>
      </c>
      <c r="D31" s="163"/>
      <c r="E31" s="355"/>
      <c r="F31" s="355"/>
    </row>
    <row r="32" spans="2:6" ht="14" x14ac:dyDescent="0.15">
      <c r="B32" s="118" t="s">
        <v>135</v>
      </c>
      <c r="C32" s="164">
        <v>-0.02</v>
      </c>
      <c r="D32" s="164"/>
      <c r="E32" s="355"/>
      <c r="F32" s="355"/>
    </row>
    <row r="33" spans="2:6" x14ac:dyDescent="0.15">
      <c r="B33" s="100" t="s">
        <v>114</v>
      </c>
      <c r="C33" s="160">
        <f>IF(valuation_method="DCF",DCF!E77,DDM!E72)</f>
        <v>9.1609121907724287</v>
      </c>
      <c r="D33" t="str">
        <f>Market_currency</f>
        <v>HKD</v>
      </c>
      <c r="E33" s="355"/>
      <c r="F33" s="355"/>
    </row>
    <row r="34" spans="2:6" x14ac:dyDescent="0.15">
      <c r="B34" s="100" t="s">
        <v>148</v>
      </c>
      <c r="C34" s="165">
        <v>0.25</v>
      </c>
      <c r="D34" s="165"/>
      <c r="E34" s="355"/>
      <c r="F34" s="355"/>
    </row>
    <row r="36" spans="2:6" x14ac:dyDescent="0.15">
      <c r="B36" s="159" t="s">
        <v>115</v>
      </c>
      <c r="E36" s="159" t="s">
        <v>150</v>
      </c>
      <c r="F36" s="159"/>
    </row>
    <row r="37" spans="2:6" x14ac:dyDescent="0.15">
      <c r="B37" s="152" t="s">
        <v>134</v>
      </c>
      <c r="C37" s="166">
        <f>C18</f>
        <v>10</v>
      </c>
      <c r="D37" s="163"/>
      <c r="E37" s="355"/>
      <c r="F37" s="355"/>
    </row>
    <row r="38" spans="2:6" ht="14" x14ac:dyDescent="0.15">
      <c r="B38" s="118" t="s">
        <v>135</v>
      </c>
      <c r="C38" s="164">
        <v>0.02</v>
      </c>
      <c r="D38" s="164"/>
      <c r="E38" s="355"/>
      <c r="F38" s="355"/>
    </row>
    <row r="39" spans="2:6" x14ac:dyDescent="0.15">
      <c r="B39" s="100" t="s">
        <v>114</v>
      </c>
      <c r="C39" s="160">
        <f>IF(valuation_method="DCF",DCF!E75,DDM!E70)</f>
        <v>9.6179514207293444</v>
      </c>
      <c r="D39" t="str">
        <f>Market_currency</f>
        <v>HKD</v>
      </c>
      <c r="E39" s="355"/>
      <c r="F39" s="355"/>
    </row>
    <row r="40" spans="2:6" x14ac:dyDescent="0.15">
      <c r="B40" s="100" t="s">
        <v>148</v>
      </c>
      <c r="C40" s="167">
        <f>1-C28-C34</f>
        <v>0.19999999999999996</v>
      </c>
      <c r="D40" s="165"/>
      <c r="E40" s="355"/>
      <c r="F40" s="355"/>
    </row>
    <row r="42" spans="2:6" x14ac:dyDescent="0.15">
      <c r="B42" s="100" t="s">
        <v>121</v>
      </c>
      <c r="C42" s="154">
        <f>C27*C28+C33*C34+C39*C40</f>
        <v>9.3720879300134587</v>
      </c>
      <c r="D42" t="str">
        <f>Market_currency</f>
        <v>HKD</v>
      </c>
    </row>
    <row r="44" spans="2:6" ht="16" x14ac:dyDescent="0.25">
      <c r="B44" s="36" t="s">
        <v>162</v>
      </c>
      <c r="C44" s="37"/>
      <c r="D44" s="37"/>
      <c r="E44" s="37"/>
      <c r="F44" s="37"/>
    </row>
    <row r="45" spans="2:6" x14ac:dyDescent="0.15">
      <c r="B45" s="109" t="s">
        <v>152</v>
      </c>
    </row>
    <row r="46" spans="2:6" x14ac:dyDescent="0.15">
      <c r="B46" s="152" t="s">
        <v>134</v>
      </c>
      <c r="C46" s="150">
        <v>15</v>
      </c>
      <c r="E46" s="100"/>
      <c r="F46" s="100"/>
    </row>
    <row r="47" spans="2:6" x14ac:dyDescent="0.15">
      <c r="B47" s="159"/>
      <c r="E47" s="159"/>
      <c r="F47" s="159"/>
    </row>
    <row r="48" spans="2:6" x14ac:dyDescent="0.15">
      <c r="B48" s="159" t="s">
        <v>166</v>
      </c>
      <c r="E48" s="159" t="s">
        <v>150</v>
      </c>
      <c r="F48" s="159"/>
    </row>
    <row r="49" spans="2:6" ht="12.75" customHeight="1" x14ac:dyDescent="0.15">
      <c r="B49" s="152" t="s">
        <v>134</v>
      </c>
      <c r="C49" s="166">
        <f>C46</f>
        <v>15</v>
      </c>
      <c r="D49" s="163"/>
      <c r="E49" s="355"/>
      <c r="F49" s="355"/>
    </row>
    <row r="50" spans="2:6" ht="14" x14ac:dyDescent="0.15">
      <c r="B50" s="118" t="s">
        <v>135</v>
      </c>
      <c r="C50" s="164">
        <v>-0.1</v>
      </c>
      <c r="D50" s="164"/>
      <c r="E50" s="355"/>
      <c r="F50" s="355"/>
    </row>
    <row r="51" spans="2:6" x14ac:dyDescent="0.15">
      <c r="B51" s="100" t="s">
        <v>114</v>
      </c>
      <c r="C51" s="160">
        <f>IF(valuation_method="DCF",DCF!E78,DDM!E73)</f>
        <v>8.1183546765433707</v>
      </c>
      <c r="D51" t="str">
        <f>Market_currency</f>
        <v>HKD</v>
      </c>
      <c r="E51" s="355"/>
      <c r="F51" s="355"/>
    </row>
    <row r="52" spans="2:6" x14ac:dyDescent="0.15">
      <c r="B52" s="100" t="s">
        <v>148</v>
      </c>
      <c r="C52" s="165">
        <v>0.05</v>
      </c>
      <c r="D52" s="165"/>
      <c r="E52" s="355"/>
      <c r="F52" s="355"/>
    </row>
    <row r="54" spans="2:6" x14ac:dyDescent="0.15">
      <c r="B54" s="159" t="s">
        <v>317</v>
      </c>
      <c r="E54" s="159" t="s">
        <v>150</v>
      </c>
      <c r="F54" s="159"/>
    </row>
    <row r="55" spans="2:6" x14ac:dyDescent="0.15">
      <c r="B55" s="152" t="s">
        <v>134</v>
      </c>
      <c r="C55" s="166">
        <f>C46</f>
        <v>15</v>
      </c>
      <c r="D55" s="163"/>
      <c r="E55" s="355"/>
      <c r="F55" s="355"/>
    </row>
    <row r="56" spans="2:6" ht="14" x14ac:dyDescent="0.15">
      <c r="B56" s="118" t="s">
        <v>135</v>
      </c>
      <c r="C56" s="164">
        <v>0.05</v>
      </c>
      <c r="D56" s="164"/>
      <c r="E56" s="355"/>
      <c r="F56" s="355"/>
    </row>
    <row r="57" spans="2:6" x14ac:dyDescent="0.15">
      <c r="B57" s="100" t="s">
        <v>114</v>
      </c>
      <c r="C57" s="160">
        <f>IF(valuation_method="DCF",DCF!E74,DDM!E69)</f>
        <v>10.467203801893012</v>
      </c>
      <c r="D57" t="str">
        <f>Market_currency</f>
        <v>HKD</v>
      </c>
      <c r="E57" s="355"/>
      <c r="F57" s="355"/>
    </row>
    <row r="58" spans="2:6" x14ac:dyDescent="0.15">
      <c r="B58" s="100" t="s">
        <v>148</v>
      </c>
      <c r="C58" s="165">
        <v>0.05</v>
      </c>
      <c r="D58" s="165"/>
      <c r="E58" s="355"/>
      <c r="F58" s="355"/>
    </row>
    <row r="60" spans="2:6" x14ac:dyDescent="0.15">
      <c r="B60" s="100" t="s">
        <v>121</v>
      </c>
      <c r="C60" s="154">
        <f>C51*C52+C57*C58+C42*(1-C52-C58)</f>
        <v>9.3641570609339322</v>
      </c>
      <c r="D60" t="str">
        <f>Market_currency</f>
        <v>HKD</v>
      </c>
      <c r="E60" s="100" t="s">
        <v>297</v>
      </c>
      <c r="F60" s="277">
        <f>Thesis!F28</f>
        <v>3</v>
      </c>
    </row>
    <row r="62" spans="2:6" ht="16" x14ac:dyDescent="0.25">
      <c r="B62" s="36" t="s">
        <v>350</v>
      </c>
      <c r="C62" s="37"/>
      <c r="D62" s="37"/>
      <c r="E62" s="37"/>
      <c r="F62" s="37"/>
    </row>
    <row r="63" spans="2:6" x14ac:dyDescent="0.15">
      <c r="B63" s="109" t="s">
        <v>305</v>
      </c>
      <c r="E63" s="252" t="s">
        <v>312</v>
      </c>
    </row>
    <row r="64" spans="2:6" x14ac:dyDescent="0.15">
      <c r="B64" s="152" t="s">
        <v>134</v>
      </c>
      <c r="C64" s="166">
        <f>C18</f>
        <v>10</v>
      </c>
      <c r="D64" s="150"/>
      <c r="E64" s="251" t="s">
        <v>396</v>
      </c>
    </row>
    <row r="65" spans="2:6" ht="14" x14ac:dyDescent="0.15">
      <c r="B65" s="118" t="s">
        <v>135</v>
      </c>
      <c r="C65" s="151">
        <v>-1.5334906308317399E-3</v>
      </c>
      <c r="D65" s="151"/>
      <c r="E65" s="251" t="s">
        <v>313</v>
      </c>
    </row>
    <row r="66" spans="2:6" x14ac:dyDescent="0.15">
      <c r="B66" s="100" t="s">
        <v>103</v>
      </c>
      <c r="C66" s="160">
        <f>IF(valuation_method="DCF",DCF!C18,DDM!C13)</f>
        <v>9.3612446307874944</v>
      </c>
      <c r="D66" s="160" t="str">
        <f>Market_currency</f>
        <v>HKD</v>
      </c>
      <c r="E66" s="251" t="s">
        <v>314</v>
      </c>
    </row>
    <row r="68" spans="2:6" x14ac:dyDescent="0.15">
      <c r="B68" s="109" t="s">
        <v>351</v>
      </c>
      <c r="E68" s="252" t="s">
        <v>315</v>
      </c>
    </row>
    <row r="69" spans="2:6" x14ac:dyDescent="0.15">
      <c r="B69" s="100" t="s">
        <v>306</v>
      </c>
      <c r="C69" s="244" t="str">
        <f>IF(C60&lt;C22,"Y","N")</f>
        <v>Y</v>
      </c>
      <c r="E69" s="134"/>
    </row>
    <row r="70" spans="2:6" x14ac:dyDescent="0.15">
      <c r="B70" s="100" t="s">
        <v>294</v>
      </c>
      <c r="C70" s="244" t="str">
        <f>IF(C69="Y","N",IF(C65&gt;8%,"N","Y"))</f>
        <v>N</v>
      </c>
      <c r="E70" s="251" t="s">
        <v>295</v>
      </c>
    </row>
    <row r="71" spans="2:6" x14ac:dyDescent="0.15">
      <c r="B71" s="100" t="s">
        <v>293</v>
      </c>
      <c r="C71" s="244" t="str">
        <f>IF(C65&gt;8%,"Y","N")</f>
        <v>N</v>
      </c>
      <c r="E71" s="251"/>
    </row>
    <row r="72" spans="2:6" x14ac:dyDescent="0.15">
      <c r="B72" s="100" t="s">
        <v>285</v>
      </c>
      <c r="C72" s="243" t="str">
        <f>IF(F72&gt;50%,"Y","N")</f>
        <v>Y</v>
      </c>
      <c r="E72" s="134" t="s">
        <v>347</v>
      </c>
      <c r="F72" s="291">
        <f>BS!D89/C60</f>
        <v>0.61346402728949312</v>
      </c>
    </row>
    <row r="74" spans="2:6" ht="16" x14ac:dyDescent="0.25">
      <c r="B74" s="36" t="s">
        <v>128</v>
      </c>
      <c r="C74" s="37"/>
      <c r="D74" s="37"/>
      <c r="E74" s="37"/>
      <c r="F74" s="37"/>
    </row>
    <row r="75" spans="2:6" x14ac:dyDescent="0.15">
      <c r="B75" s="109" t="s">
        <v>126</v>
      </c>
    </row>
    <row r="76" spans="2:6" x14ac:dyDescent="0.15">
      <c r="B76" s="246" t="s">
        <v>298</v>
      </c>
      <c r="C76" s="245">
        <f>F60</f>
        <v>3</v>
      </c>
      <c r="D76" s="134"/>
    </row>
    <row r="77" spans="2:6" x14ac:dyDescent="0.15">
      <c r="B77" s="100" t="s">
        <v>112</v>
      </c>
      <c r="C77" s="173">
        <f>Normalized_FCF!C90</f>
        <v>0.57999999999999996</v>
      </c>
      <c r="D77" t="str">
        <f>Market_currency</f>
        <v>HKD</v>
      </c>
    </row>
    <row r="79" spans="2:6" x14ac:dyDescent="0.15">
      <c r="B79" s="109" t="s">
        <v>302</v>
      </c>
    </row>
    <row r="80" spans="2:6" x14ac:dyDescent="0.15">
      <c r="B80" s="148" t="s">
        <v>300</v>
      </c>
      <c r="C80" s="167">
        <f>Thesis!F29</f>
        <v>0.3674</v>
      </c>
    </row>
    <row r="81" spans="2:8" x14ac:dyDescent="0.15">
      <c r="B81" s="100" t="s">
        <v>122</v>
      </c>
      <c r="C81" s="116">
        <f>PV(C80, C76, -C77, 0)</f>
        <v>0.96121040523161805</v>
      </c>
      <c r="D81" s="116"/>
      <c r="E81" s="100"/>
      <c r="F81" s="100"/>
    </row>
    <row r="82" spans="2:8" x14ac:dyDescent="0.15">
      <c r="B82" s="100" t="s">
        <v>123</v>
      </c>
      <c r="C82" s="116">
        <f>C60/(1+C80)^C76</f>
        <v>3.6625365098079956</v>
      </c>
      <c r="D82" s="116"/>
    </row>
    <row r="83" spans="2:8" x14ac:dyDescent="0.15">
      <c r="B83" s="110" t="s">
        <v>102</v>
      </c>
      <c r="C83" s="111">
        <f>C81+C82</f>
        <v>4.6237469150396135</v>
      </c>
      <c r="D83" t="str">
        <f>Market_currency</f>
        <v>HKD</v>
      </c>
      <c r="E83" s="146" t="s">
        <v>127</v>
      </c>
      <c r="F83" s="291">
        <f>(1-C83/C60)</f>
        <v>0.5062292435985194</v>
      </c>
    </row>
    <row r="84" spans="2:8" x14ac:dyDescent="0.15">
      <c r="E84" s="120"/>
    </row>
    <row r="85" spans="2:8" x14ac:dyDescent="0.15">
      <c r="B85" s="109" t="s">
        <v>303</v>
      </c>
    </row>
    <row r="86" spans="2:8" x14ac:dyDescent="0.15">
      <c r="B86" s="148" t="s">
        <v>301</v>
      </c>
      <c r="C86" s="116">
        <f>Market_Price</f>
        <v>8.15</v>
      </c>
      <c r="D86" t="str">
        <f>Market_currency</f>
        <v>HKD</v>
      </c>
    </row>
    <row r="87" spans="2:8" x14ac:dyDescent="0.15">
      <c r="B87" s="100" t="s">
        <v>299</v>
      </c>
      <c r="C87" s="237">
        <f ca="1">IRR(OFFSET($I$3, 0, 0, $C$76 + 1, 1))</f>
        <v>0.11550570160916585</v>
      </c>
    </row>
    <row r="88" spans="2:8" x14ac:dyDescent="0.15">
      <c r="B88" s="100"/>
    </row>
    <row r="89" spans="2:8" x14ac:dyDescent="0.15">
      <c r="B89" s="109" t="s">
        <v>413</v>
      </c>
    </row>
    <row r="90" spans="2:8" x14ac:dyDescent="0.15">
      <c r="B90" s="148" t="s">
        <v>414</v>
      </c>
      <c r="C90" s="167">
        <f>Thesis!F30</f>
        <v>0.21740000000000001</v>
      </c>
    </row>
    <row r="91" spans="2:8" x14ac:dyDescent="0.15">
      <c r="B91" s="100" t="s">
        <v>122</v>
      </c>
      <c r="C91" s="116">
        <f>PV(C90, C76, -C77, 0)</f>
        <v>1.1892324778416632</v>
      </c>
      <c r="D91" s="116"/>
      <c r="E91" s="100"/>
      <c r="F91" s="100"/>
    </row>
    <row r="92" spans="2:8" x14ac:dyDescent="0.15">
      <c r="B92" s="100" t="s">
        <v>123</v>
      </c>
      <c r="C92" s="116">
        <f>C60/(1+C90)^C76</f>
        <v>5.1900171992918231</v>
      </c>
      <c r="D92" s="116"/>
    </row>
    <row r="93" spans="2:8" x14ac:dyDescent="0.15">
      <c r="B93" s="110" t="s">
        <v>102</v>
      </c>
      <c r="C93" s="111">
        <f>C91+C92</f>
        <v>6.3792496771334868</v>
      </c>
      <c r="D93" t="str">
        <f>Market_currency</f>
        <v>HKD</v>
      </c>
      <c r="E93" s="146" t="s">
        <v>127</v>
      </c>
      <c r="F93" s="291">
        <f>(1-C93/C60)</f>
        <v>0.31875879103449667</v>
      </c>
    </row>
    <row r="95" spans="2:8" x14ac:dyDescent="0.15">
      <c r="B95" s="109" t="s">
        <v>398</v>
      </c>
      <c r="G95" s="2"/>
      <c r="H95" s="281"/>
    </row>
    <row r="96" spans="2:8" x14ac:dyDescent="0.15">
      <c r="B96" s="148" t="s">
        <v>404</v>
      </c>
      <c r="C96" s="134">
        <f>Thesis!F31</f>
        <v>7.4999999999999997E-2</v>
      </c>
      <c r="G96" s="2"/>
      <c r="H96" s="281"/>
    </row>
    <row r="97" spans="2:8" x14ac:dyDescent="0.15">
      <c r="B97" s="100" t="s">
        <v>122</v>
      </c>
      <c r="C97" s="116">
        <f>PV(C96, C76, -C77, 0)</f>
        <v>1.5083049291257364</v>
      </c>
      <c r="D97" s="116"/>
      <c r="G97" s="2"/>
      <c r="H97" s="281"/>
    </row>
    <row r="98" spans="2:8" x14ac:dyDescent="0.15">
      <c r="B98" s="100" t="s">
        <v>123</v>
      </c>
      <c r="C98" s="116">
        <f>C60/(1+C96)^C76</f>
        <v>7.5377772007467483</v>
      </c>
      <c r="D98" s="116"/>
      <c r="G98" s="2"/>
      <c r="H98" s="281"/>
    </row>
    <row r="99" spans="2:8" x14ac:dyDescent="0.15">
      <c r="B99" s="110" t="s">
        <v>399</v>
      </c>
      <c r="C99" s="111">
        <f>C97+C98</f>
        <v>9.0460821298724845</v>
      </c>
      <c r="D99" t="s">
        <v>397</v>
      </c>
      <c r="E99" s="146" t="s">
        <v>127</v>
      </c>
      <c r="F99" s="291">
        <f>(1-C99/C60)</f>
        <v>3.3967278527227585E-2</v>
      </c>
    </row>
    <row r="100" spans="2:8" x14ac:dyDescent="0.15">
      <c r="B100" s="100"/>
    </row>
    <row r="101" spans="2:8" x14ac:dyDescent="0.15">
      <c r="B101" s="109" t="s">
        <v>422</v>
      </c>
    </row>
    <row r="102" spans="2:8" x14ac:dyDescent="0.15">
      <c r="B102" s="148" t="s">
        <v>421</v>
      </c>
      <c r="C102" s="134">
        <f>Thesis!F32</f>
        <v>0.1174</v>
      </c>
    </row>
    <row r="103" spans="2:8" x14ac:dyDescent="0.15">
      <c r="B103" s="100" t="s">
        <v>122</v>
      </c>
      <c r="C103" s="116">
        <f>PV(C102, C76, -C77, 0)</f>
        <v>1.3993098130444164</v>
      </c>
      <c r="D103" s="116"/>
    </row>
    <row r="104" spans="2:8" x14ac:dyDescent="0.15">
      <c r="B104" s="100" t="s">
        <v>123</v>
      </c>
      <c r="C104" s="116">
        <f>C60/(1+C102)^C76</f>
        <v>6.7118568952473439</v>
      </c>
      <c r="D104" s="116"/>
    </row>
    <row r="105" spans="2:8" x14ac:dyDescent="0.15">
      <c r="B105" s="110" t="s">
        <v>399</v>
      </c>
      <c r="C105" s="111">
        <f>C103+C104</f>
        <v>8.1111667082917602</v>
      </c>
      <c r="D105" t="s">
        <v>397</v>
      </c>
      <c r="E105" s="146" t="s">
        <v>127</v>
      </c>
      <c r="F105" s="291">
        <f>(1-C105/C66)</f>
        <v>0.13353757665774979</v>
      </c>
    </row>
    <row r="106" spans="2:8" x14ac:dyDescent="0.15">
      <c r="B106" s="100"/>
    </row>
    <row r="107" spans="2:8" ht="16" x14ac:dyDescent="0.25">
      <c r="E107" s="285" t="s">
        <v>325</v>
      </c>
      <c r="F107" s="282"/>
    </row>
    <row r="108" spans="2:8" ht="16" x14ac:dyDescent="0.25">
      <c r="E108" s="278" t="s">
        <v>326</v>
      </c>
      <c r="F108" s="283" t="s">
        <v>327</v>
      </c>
    </row>
    <row r="109" spans="2:8" ht="16" x14ac:dyDescent="0.25">
      <c r="E109" s="279" t="s">
        <v>326</v>
      </c>
      <c r="F109" s="283" t="s">
        <v>328</v>
      </c>
    </row>
    <row r="110" spans="2:8" ht="16" x14ac:dyDescent="0.25">
      <c r="E110" s="280" t="s">
        <v>326</v>
      </c>
      <c r="F110" s="284" t="s">
        <v>329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Thesis</vt:lpstr>
      <vt:lpstr>Data</vt:lpstr>
      <vt:lpstr>BS</vt:lpstr>
      <vt:lpstr>Normalized_FCF</vt:lpstr>
      <vt:lpstr>DCF</vt:lpstr>
      <vt:lpstr>DDM</vt:lpstr>
      <vt:lpstr>Scenarios</vt:lpstr>
      <vt:lpstr>Common_Shares</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2760</cp:lastModifiedBy>
  <cp:revision/>
  <cp:lastPrinted>2025-04-07T04:13:20Z</cp:lastPrinted>
  <dcterms:created xsi:type="dcterms:W3CDTF">2022-08-10T03:52:42Z</dcterms:created>
  <dcterms:modified xsi:type="dcterms:W3CDTF">2025-05-21T15:40:49Z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