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980E859-2B0A-4F53-BB7B-8E2C5D356041}" xr6:coauthVersionLast="47" xr6:coauthVersionMax="47" xr10:uidLastSave="{00000000-0000-0000-0000-000000000000}"/>
  <bookViews>
    <workbookView xWindow="1470" yWindow="1470"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<sst xmlns="http://schemas.openxmlformats.org/spreadsheetml/2006/main" count="836" uniqueCount="560">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</sst>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F0FCBED-9A97-4E4F-9495-D6954C897BA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8171879936</v>
          </cell>
        </row>
        <row r="12">
          <cell r="C12">
            <v>9.27</v>
          </cell>
        </row>
        <row r="13">
          <cell r="C13" t="str">
            <v>HKD</v>
          </cell>
        </row>
        <row r="16">
          <cell r="C16">
            <v>1</v>
          </cell>
        </row>
        <row r="21">
          <cell r="E21" t="str">
            <v>DCF</v>
          </cell>
        </row>
        <row r="25">
          <cell r="C25" t="str">
            <v>HKD</v>
          </cell>
        </row>
        <row r="86">
          <cell r="C86">
            <v>8.4999999999999992E-2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9.31</v>
      </c>
      <c r="D12" s="50"/>
      <c r="E12" s="48"/>
    </row>
    <row r="13" spans="1:10">
      <c r="B13" s="1" t="s">
        <v>464</v>
      </c>
      <c r="C13" s="48" t="s">
        <v>377</v>
      </c>
      <c r="D13" s="48"/>
      <c r="E13" s="5"/>
    </row>
    <row r="14" spans="1:10">
      <c r="B14" s="4" t="s">
        <v>465</v>
      </c>
      <c r="C14" s="35">
        <f>Thesis!C12*Common_Shares/1000000</f>
        <v>76080.202204159999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6.4118452191501696E-2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229</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232</v>
      </c>
      <c r="C47" s="373"/>
      <c r="D47" s="373"/>
      <c r="E47" s="373"/>
      <c r="F47" s="373"/>
    </row>
    <row r="48" spans="1:6">
      <c r="B48" s="47" t="s">
        <v>233</v>
      </c>
      <c r="C48" s="349">
        <f>Normalized_FCF!C11</f>
        <v>639</v>
      </c>
      <c r="D48" s="1" t="str">
        <f>Reporting_currency</f>
        <v>HKD</v>
      </c>
    </row>
    <row r="50" spans="2:6">
      <c r="B50" s="373" t="s">
        <v>236</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3.3179202146322771E-2</v>
      </c>
      <c r="F69" s="314"/>
    </row>
    <row r="70" spans="1:6">
      <c r="B70" s="227" t="s">
        <v>434</v>
      </c>
      <c r="C70" s="92">
        <f>Normalized_FCF!C94</f>
        <v>6.2298603651987104E-2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2" t="s">
        <v>352</v>
      </c>
      <c r="C116" s="372"/>
      <c r="D116" s="372"/>
      <c r="E116" s="372"/>
      <c r="F116" s="372"/>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6.2298603651987104E-2</v>
      </c>
      <c r="E94" s="268"/>
      <c r="G94" s="23">
        <f t="shared" ref="G94:Q94" si="39">IF(G$4="","",(G90*(1-dividend_tax_rate))/Market_Price)</f>
        <v>6.2298603651987104E-2</v>
      </c>
      <c r="H94" s="23">
        <f t="shared" si="39"/>
        <v>6.2298603651987104E-2</v>
      </c>
      <c r="I94" s="23">
        <f t="shared" si="39"/>
        <v>6.1224489795918359E-2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3.3179202146322771E-2</v>
      </c>
      <c r="D126" s="27"/>
      <c r="E126" s="265"/>
      <c r="F126" s="27"/>
      <c r="G126" s="77">
        <f t="shared" ref="G126" si="50">IF(G$4="","",G125/Market_Price)</f>
        <v>3.644564535714364E-2</v>
      </c>
      <c r="H126" s="77">
        <f t="shared" ref="H126" si="51">IF(H$4="","",H125/Market_Price)</f>
        <v>5.9194895354139979E-2</v>
      </c>
      <c r="I126" s="77">
        <f t="shared" ref="I126" si="52">IF(I$4="","",I125/Market_Price)</f>
        <v>7.8081934166695316E-2</v>
      </c>
      <c r="J126" s="77">
        <f t="shared" ref="J126" si="53">IF(J$4="","",J125/Market_Price)</f>
        <v>0.12968081728844935</v>
      </c>
      <c r="K126" s="77">
        <f t="shared" ref="K126" si="54">IF(K$4="","",K125/Market_Price)</f>
        <v>4.5346882632382866E-2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5.5875245817466543E-2</v>
      </c>
      <c r="H127" s="23">
        <f>IF(H$4="","",(Data!D47*$C$3)/(Market_Price*Common_Shares))</f>
        <v>7.728686083432211E-2</v>
      </c>
      <c r="I127" s="23">
        <f>IF(I$4="","",(Data!E47*$C$3)/(Market_Price*Common_Shares))</f>
        <v>7.5386189610920792E-2</v>
      </c>
      <c r="J127" s="23">
        <f>IF(J$4="","",(Data!F47*$C$3)/(Market_Price*Common_Shares))</f>
        <v>0.12678774123279818</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-9.31</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9.31</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9.31</v>
      </c>
      <c r="D86" t="str">
        <f>Market_currency</f>
        <v>HKD</v>
      </c>
    </row>
    <row r="87" spans="2:8" ht="13.15">
      <c r="B87" s="100" t="s">
        <v>293</v>
      </c>
      <c r="C87" s="237">
        <f ca="1">IRR(OFFSET($I$3, 0, 0, $C$76 + 1, 1))</f>
        <v>6.4118452191501696E-2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9.31</v>
      </c>
      <c r="D12" s="50"/>
      <c r="E12" s="48"/>
    </row>
    <row r="13" spans="1:10">
      <c r="B13" s="1" t="s">
        <v>485</v>
      </c>
      <c r="C13" s="32" t="str">
        <f>Market_currency</f>
        <v>HKD</v>
      </c>
      <c r="D13" s="48"/>
      <c r="E13" s="5"/>
    </row>
    <row r="14" spans="1:10">
      <c r="B14" s="4" t="s">
        <v>486</v>
      </c>
      <c r="C14" s="35">
        <f>投资主题!C12*Common_Shares/1000000</f>
        <v>76080.202204159999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6.4118452191501696E-2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2591.8202592374382</v>
      </c>
      <c r="D41" s="1" t="str">
        <f>Reporting_currency</f>
        <v>HKD</v>
      </c>
    </row>
    <row r="42" spans="1:6">
      <c r="B42" s="47"/>
      <c r="C42" s="76"/>
    </row>
    <row r="43" spans="1:6" ht="24.6" customHeight="1">
      <c r="B43" s="373" t="s">
        <v>495</v>
      </c>
      <c r="C43" s="373"/>
      <c r="D43" s="373"/>
      <c r="E43" s="373"/>
      <c r="F43" s="373"/>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3" t="s">
        <v>496</v>
      </c>
      <c r="C47" s="373"/>
      <c r="D47" s="373"/>
      <c r="E47" s="373"/>
      <c r="F47" s="373"/>
    </row>
    <row r="48" spans="1:6">
      <c r="B48" s="47" t="s">
        <v>233</v>
      </c>
      <c r="C48" s="349">
        <f>Normalized_FCF!C11</f>
        <v>639</v>
      </c>
      <c r="D48" s="1" t="str">
        <f>Reporting_currency</f>
        <v>HKD</v>
      </c>
    </row>
    <row r="50" spans="2:6">
      <c r="B50" s="373" t="s">
        <v>497</v>
      </c>
      <c r="C50" s="373"/>
      <c r="D50" s="373"/>
      <c r="E50" s="373"/>
      <c r="F50" s="373"/>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3" t="s">
        <v>237</v>
      </c>
      <c r="C58" s="373"/>
      <c r="D58" s="373"/>
      <c r="E58" s="373"/>
      <c r="F58" s="373"/>
    </row>
    <row r="59" spans="2:6">
      <c r="B59" s="47" t="s">
        <v>235</v>
      </c>
      <c r="C59" s="349">
        <f>Normalized_FCF!C14</f>
        <v>-804.36319459009837</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3.3179202146322771E-2</v>
      </c>
      <c r="F69" s="314"/>
    </row>
    <row r="70" spans="1:6">
      <c r="B70" s="227" t="s">
        <v>434</v>
      </c>
      <c r="C70" s="92">
        <f>Normalized_FCF!C94</f>
        <v>6.2298603651987104E-2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2" t="s">
        <v>516</v>
      </c>
      <c r="C116" s="372"/>
      <c r="D116" s="372"/>
      <c r="E116" s="372"/>
      <c r="F116" s="372"/>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9701-1B71-468A-97B5-3832BC243C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