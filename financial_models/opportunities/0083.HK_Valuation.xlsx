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F74D6B-BD23-4878-9D8F-5477F5E973C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<sst xmlns="http://schemas.openxmlformats.org/spreadsheetml/2006/main" count="685" uniqueCount="465">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</sst>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7.92</v>
      </c>
      <c r="D12" s="50"/>
      <c r="E12" s="48"/>
    </row>
    <row r="13" spans="1:10">
      <c r="B13" s="1" t="s">
        <v>415</v>
      </c>
      <c r="C13" s="48" t="s">
        <v>396</v>
      </c>
      <c r="D13" s="48"/>
      <c r="E13" s="5"/>
    </row>
    <row r="14" spans="1:10">
      <c r="B14" s="4" t="s">
        <v>419</v>
      </c>
      <c r="C14" s="35">
        <f>Thesis!C12*Common_Shares/1000000</f>
        <v>64721.289093120002</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0.12691246127787958</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2591.8202592374382</v>
      </c>
      <c r="D41" s="1" t="str">
        <f>Reporting_currency</f>
        <v>HKD</v>
      </c>
    </row>
    <row r="42" spans="1:6">
      <c r="B42" s="47"/>
      <c r="C42" s="76"/>
    </row>
    <row r="43" spans="1:6" ht="24.5" customHeight="1">
      <c r="B43" s="359" t="s">
        <v>233</v>
      </c>
      <c r="C43" s="359"/>
      <c r="D43" s="359"/>
      <c r="E43" s="359"/>
      <c r="F43" s="359"/>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9" t="s">
        <v>236</v>
      </c>
      <c r="C47" s="359"/>
      <c r="D47" s="359"/>
      <c r="E47" s="359"/>
      <c r="F47" s="359"/>
    </row>
    <row r="48" spans="1:6">
      <c r="B48" s="47" t="s">
        <v>237</v>
      </c>
      <c r="C48" s="349">
        <f>Normalized_FCF!C11</f>
        <v>639</v>
      </c>
      <c r="D48" s="1" t="str">
        <f>Reporting_currency</f>
        <v>HKD</v>
      </c>
    </row>
    <row r="50" spans="2:6">
      <c r="B50" s="359" t="s">
        <v>240</v>
      </c>
      <c r="C50" s="359"/>
      <c r="D50" s="359"/>
      <c r="E50" s="359"/>
      <c r="F50" s="359"/>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9" t="s">
        <v>241</v>
      </c>
      <c r="C58" s="359"/>
      <c r="D58" s="359"/>
      <c r="E58" s="359"/>
      <c r="F58" s="359"/>
    </row>
    <row r="59" spans="2:6">
      <c r="B59" s="47" t="s">
        <v>239</v>
      </c>
      <c r="C59" s="349">
        <f>Normalized_FCF!C14</f>
        <v>-804.36319459009837</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3.9002319694730427E-2</v>
      </c>
      <c r="F69" s="314"/>
    </row>
    <row r="70" spans="1:6">
      <c r="B70" s="227" t="s">
        <v>308</v>
      </c>
      <c r="C70" s="92">
        <f>Normalized_FCF!C93</f>
        <v>7.3232323232323232E-2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8" t="s">
        <v>366</v>
      </c>
      <c r="C116" s="358"/>
      <c r="D116" s="358"/>
      <c r="E116" s="358"/>
      <c r="F116" s="358"/>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7.3232323232323232E-2</v>
      </c>
      <c r="E93" s="268"/>
      <c r="G93" s="23">
        <f t="shared" ref="G93:Q93" si="39">IF(G$4="","",G90/Market_Price)</f>
        <v>7.3232323232323232E-2</v>
      </c>
      <c r="H93" s="23">
        <f t="shared" si="39"/>
        <v>7.3232323232323232E-2</v>
      </c>
      <c r="I93" s="23">
        <f t="shared" si="39"/>
        <v>7.1969696969696961E-2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3.9002319694730427E-2</v>
      </c>
      <c r="D125" s="27"/>
      <c r="E125" s="265"/>
      <c r="F125" s="27"/>
      <c r="G125" s="77">
        <f t="shared" ref="G125" si="50">IF(G$4="","",G124/Market_Price)</f>
        <v>4.2842040186238294E-2</v>
      </c>
      <c r="H125" s="77">
        <f t="shared" ref="H125" si="51">IF(H$4="","",H124/Market_Price)</f>
        <v>6.9583898452909507E-2</v>
      </c>
      <c r="I125" s="77">
        <f t="shared" ref="I125" si="52">IF(I$4="","",I124/Market_Price)</f>
        <v>9.1785707966153207E-2</v>
      </c>
      <c r="J125" s="77">
        <f t="shared" ref="J125" si="53">IF(J$4="","",J124/Market_Price)</f>
        <v>0.15244045567619488</v>
      </c>
      <c r="K125" s="77">
        <f t="shared" ref="K125" si="54">IF(K$4="","",K124/Market_Price)</f>
        <v>5.3305489559025823E-2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6.5681633656643118E-2</v>
      </c>
      <c r="H126" s="23">
        <f>IF(H$4="","",(Data!D47*$C$3)/(Market_Price*Common_Shares))</f>
        <v>9.0851095248426619E-2</v>
      </c>
      <c r="I126" s="23">
        <f>IF(I$4="","",(Data!E47*$C$3)/(Market_Price*Common_Shares))</f>
        <v>8.8616846625968762E-2</v>
      </c>
      <c r="J126" s="23">
        <f>IF(J$4="","",(Data!F47*$C$3)/(Market_Price*Common_Shares))</f>
        <v>0.14903963016128169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-7.92</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7.92</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7.92</v>
      </c>
      <c r="D86" t="str">
        <f>Market_currency</f>
        <v>HKD</v>
      </c>
    </row>
    <row r="87" spans="2:8" ht="13.15">
      <c r="B87" s="100" t="s">
        <v>298</v>
      </c>
      <c r="C87" s="237">
        <f ca="1">IRR(OFFSET($I$3, 0, 0, $C$76 + 1, 1))</f>
        <v>0.12691246127787958</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