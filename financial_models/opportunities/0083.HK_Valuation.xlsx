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95C24DB-F554-455A-A233-C1281589B504}"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P126" i="2"/>
  <c r="P91" i="2"/>
  <c r="P92" i="2"/>
  <c r="P48" i="2"/>
  <c r="F69" i="4"/>
  <c r="I91" i="2"/>
  <c r="O126" i="2"/>
  <c r="O92" i="2"/>
  <c r="O48" i="2"/>
  <c r="O91" i="2"/>
  <c r="Q126" i="2"/>
  <c r="Q91" i="2"/>
  <c r="Q48" i="2"/>
  <c r="Q92" i="2"/>
  <c r="D69" i="4"/>
  <c r="J91" i="2"/>
  <c r="K126" i="2"/>
  <c r="K91" i="2"/>
  <c r="N126" i="2"/>
  <c r="N48" i="2"/>
  <c r="N92" i="2"/>
  <c r="N91" i="2"/>
  <c r="L126" i="2"/>
  <c r="L92" i="2"/>
  <c r="L48" i="2"/>
  <c r="L91" i="2"/>
  <c r="M126" i="2"/>
  <c r="M91" i="2"/>
  <c r="M92" i="2"/>
  <c r="M48"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G119" i="2" s="1"/>
  <c r="C76" i="4"/>
  <c r="E58" i="4"/>
  <c r="E71"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G50" i="2" s="1"/>
  <c r="G12" i="2" s="1"/>
  <c r="G43" i="2" s="1"/>
  <c r="J48" i="2"/>
  <c r="I48" i="2"/>
  <c r="I50" i="2" s="1"/>
  <c r="I12" i="2" s="1"/>
  <c r="I80" i="2" s="1"/>
  <c r="H48" i="2"/>
  <c r="H50" i="2" s="1"/>
  <c r="H12" i="2" s="1"/>
  <c r="H80" i="2" s="1"/>
  <c r="K48" i="2"/>
  <c r="K50" i="2" s="1"/>
  <c r="K12" i="2" s="1"/>
  <c r="K43" i="2" s="1"/>
  <c r="M50" i="2"/>
  <c r="M12" i="2" s="1"/>
  <c r="P50" i="2"/>
  <c r="P12" i="2" s="1"/>
  <c r="J50" i="2"/>
  <c r="J12" i="2" s="1"/>
  <c r="J80" i="2" s="1"/>
  <c r="N50" i="2"/>
  <c r="N12" i="2" s="1"/>
  <c r="C40" i="6"/>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<sst xmlns="http://schemas.openxmlformats.org/spreadsheetml/2006/main" count="606" uniqueCount="428">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</sst>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420</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421</v>
      </c>
      <c r="D5" s="49" t="s">
        <v>422</v>
      </c>
    </row>
    <row r="6" spans="1:10">
      <c r="B6" s="4" t="s">
        <v>95</v>
      </c>
      <c r="C6" s="50">
        <v>7.85</v>
      </c>
      <c r="D6" s="48" t="s">
        <v>405</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64149.257497599996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405</v>
      </c>
      <c r="D16" s="32"/>
      <c r="E16" s="5"/>
    </row>
    <row r="17" spans="1:6">
      <c r="B17" s="4" t="s">
        <v>1</v>
      </c>
      <c r="C17" s="50">
        <v>1</v>
      </c>
      <c r="D17" s="32" t="str">
        <f>IF(C16=D6,D6,C16&amp;"/"&amp;D6)</f>
        <v>HKD</v>
      </c>
      <c r="E17" s="5"/>
    </row>
    <row r="18" spans="1:6">
      <c r="B18" s="2" t="s">
        <v>56</v>
      </c>
      <c r="C18" s="48" t="s">
        <v>423</v>
      </c>
      <c r="E18" s="5"/>
    </row>
    <row r="19" spans="1:6">
      <c r="B19" s="2" t="s">
        <v>277</v>
      </c>
      <c r="C19" s="249">
        <v>0.25</v>
      </c>
      <c r="D19" s="1" t="s">
        <v>404</v>
      </c>
      <c r="E19" s="336">
        <v>3.4500000000000003E-2</v>
      </c>
    </row>
    <row r="20" spans="1:6">
      <c r="B20" s="2" t="str">
        <f>"Target Buy Price ("&amp;Market_currency&amp;"):"</f>
        <v>Target Buy Price (HKD):</v>
      </c>
      <c r="C20" s="252">
        <f>C133</f>
        <v>5.8235187175367322</v>
      </c>
      <c r="D20" s="1" t="s">
        <v>315</v>
      </c>
      <c r="E20" s="330">
        <v>3</v>
      </c>
    </row>
    <row r="21" spans="1:6">
      <c r="B21" s="1" t="s">
        <v>408</v>
      </c>
      <c r="C21" s="280">
        <f ca="1">Scenarios!C87</f>
        <v>0.12328963999428066</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2591.8202592374382</v>
      </c>
      <c r="D30" s="1" t="str">
        <f>Reporting_currency</f>
        <v>HKD</v>
      </c>
    </row>
    <row r="31" spans="1:6">
      <c r="B31" s="47"/>
      <c r="C31" s="76"/>
    </row>
    <row r="32" spans="1:6" ht="24.4" customHeight="1">
      <c r="B32" s="341" t="s">
        <v>234</v>
      </c>
      <c r="C32" s="341"/>
      <c r="D32" s="341"/>
      <c r="E32" s="341"/>
      <c r="F32" s="341"/>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1" t="s">
        <v>237</v>
      </c>
      <c r="C36" s="341"/>
      <c r="D36" s="341"/>
      <c r="E36" s="341"/>
      <c r="F36" s="341"/>
    </row>
    <row r="37" spans="2:6">
      <c r="B37" s="47" t="s">
        <v>238</v>
      </c>
      <c r="C37" s="188">
        <f>Normalized_FCF!C11</f>
        <v>639</v>
      </c>
      <c r="D37" s="1" t="str">
        <f>Reporting_currency</f>
        <v>HKD</v>
      </c>
    </row>
    <row r="39" spans="2:6">
      <c r="B39" s="341" t="s">
        <v>241</v>
      </c>
      <c r="C39" s="341"/>
      <c r="D39" s="341"/>
      <c r="E39" s="341"/>
      <c r="F39" s="341"/>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1" t="s">
        <v>242</v>
      </c>
      <c r="C47" s="341"/>
      <c r="D47" s="341"/>
      <c r="E47" s="341"/>
      <c r="F47" s="341"/>
    </row>
    <row r="48" spans="2:6">
      <c r="B48" s="47" t="s">
        <v>240</v>
      </c>
      <c r="C48" s="188">
        <f>Normalized_FCF!C14</f>
        <v>-804.36319459009837</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3.9350111080543315E-2</v>
      </c>
    </row>
    <row r="59" spans="1:6">
      <c r="B59" s="254" t="s">
        <v>316</v>
      </c>
      <c r="C59" s="92">
        <f>Normalized_FCF!C93</f>
        <v>7.3885350318471335E-2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0.01</v>
      </c>
      <c r="D68" s="286" t="s">
        <v>420</v>
      </c>
    </row>
    <row r="69" spans="1:6">
      <c r="B69" s="1" t="s">
        <v>289</v>
      </c>
      <c r="C69" s="263">
        <f>IF(D69="Y",1%,0)</f>
        <v>0</v>
      </c>
      <c r="D69" s="286" t="s">
        <v>424</v>
      </c>
    </row>
    <row r="70" spans="1:6">
      <c r="B70" s="80" t="s">
        <v>248</v>
      </c>
      <c r="C70" s="263">
        <f>SUM(C67:C69)</f>
        <v>0.09</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7" t="s">
        <v>414</v>
      </c>
      <c r="C88" s="338">
        <f>BS!G30/BS!G27</f>
        <v>8.3114411724224596E-2</v>
      </c>
    </row>
    <row r="89" spans="2:6">
      <c r="B89" s="337" t="s">
        <v>415</v>
      </c>
      <c r="C89" s="338">
        <f>BS!G31/BS!G27</f>
        <v>1.8509098960546238E-2</v>
      </c>
    </row>
    <row r="90" spans="2:6">
      <c r="B90" s="337" t="s">
        <v>417</v>
      </c>
      <c r="C90" s="339">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0" t="s">
        <v>374</v>
      </c>
      <c r="C101" s="340"/>
      <c r="D101" s="340"/>
      <c r="E101" s="340"/>
      <c r="F101" s="340"/>
    </row>
    <row r="103" spans="1:6">
      <c r="B103" s="47" t="s">
        <v>283</v>
      </c>
      <c r="C103" s="248">
        <f>Valuation_Model!C12</f>
        <v>9.1767776359081505</v>
      </c>
      <c r="D103" s="1" t="str">
        <f>Market_currency</f>
        <v>HKD</v>
      </c>
    </row>
    <row r="104" spans="1:6">
      <c r="B104" s="337" t="s">
        <v>416</v>
      </c>
      <c r="C104" s="248">
        <f>BS!D47</f>
        <v>11.511512740854835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0.57999999999999996</v>
      </c>
      <c r="D128" s="236" t="str">
        <f>Market_currency</f>
        <v>HKD</v>
      </c>
    </row>
    <row r="130" spans="1:6">
      <c r="B130" s="234" t="s">
        <v>409</v>
      </c>
      <c r="C130" s="338">
        <f>C19</f>
        <v>0.25</v>
      </c>
      <c r="D130" s="1" t="s">
        <v>419</v>
      </c>
    </row>
    <row r="131" spans="1:6">
      <c r="B131" s="236" t="str">
        <f>"PV("&amp;C126&amp;" yrs of Dividends)"</f>
        <v>PV(3 yrs of Dividends)</v>
      </c>
      <c r="C131" s="240">
        <f>Scenarios!C81</f>
        <v>1.1321599999999998</v>
      </c>
    </row>
    <row r="132" spans="1:6">
      <c r="B132" s="236" t="str">
        <f>"+ PV(Equity Value realized at year "&amp;C126&amp;")"</f>
        <v>+ PV(Equity Value realized at year 3)</v>
      </c>
      <c r="C132" s="240">
        <f>Scenarios!C82</f>
        <v>4.6913587175367324</v>
      </c>
    </row>
    <row r="133" spans="1:6">
      <c r="B133" s="80" t="s">
        <v>261</v>
      </c>
      <c r="C133" s="239">
        <f>Scenarios!C83</f>
        <v>5.8235187175367322</v>
      </c>
      <c r="D133" s="47" t="str">
        <f>Reporting_currency</f>
        <v>HKD</v>
      </c>
    </row>
    <row r="134" spans="1:6">
      <c r="B134" s="238" t="s">
        <v>263</v>
      </c>
      <c r="C134" s="92">
        <f>Scenarios!F83</f>
        <v>0.3644396510901724</v>
      </c>
    </row>
    <row r="136" spans="1:6">
      <c r="B136" s="234" t="s">
        <v>410</v>
      </c>
      <c r="C136" s="92">
        <f>Scenarios!C90</f>
        <v>0.06</v>
      </c>
      <c r="D136" s="1" t="s">
        <v>418</v>
      </c>
    </row>
    <row r="137" spans="1:6">
      <c r="B137" s="236" t="str">
        <f>"PV("&amp;C126&amp;" yrs of Dividends)"</f>
        <v>PV(3 yrs of Dividends)</v>
      </c>
      <c r="C137" s="240">
        <f>Scenarios!C91</f>
        <v>1.5503469306877509</v>
      </c>
    </row>
    <row r="138" spans="1:6">
      <c r="B138" s="236" t="str">
        <f>"+ PV(Equity Value realized at year "&amp;C126&amp;")"</f>
        <v>+ PV(Equity Value realized at year 3)</v>
      </c>
      <c r="C138" s="240">
        <f>Scenarios!C92</f>
        <v>7.693271958721736</v>
      </c>
    </row>
    <row r="139" spans="1:6">
      <c r="B139" s="80" t="s">
        <v>411</v>
      </c>
      <c r="C139" s="239">
        <f>Scenarios!C93</f>
        <v>9.2436188894094862</v>
      </c>
      <c r="D139" s="101" t="str">
        <f>Reporting_currency</f>
        <v>HKD</v>
      </c>
    </row>
    <row r="140" spans="1:6">
      <c r="B140" s="238" t="s">
        <v>263</v>
      </c>
      <c r="C140" s="92">
        <f>Scenarios!F93</f>
        <v>-8.8192262267783317E-3</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425</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427</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7.3885350318471335E-2</v>
      </c>
      <c r="E93" s="302"/>
      <c r="G93" s="23">
        <f t="shared" ref="G93:Q93" si="39">IF(G$4="","",G90/Market_Price)</f>
        <v>7.3885350318471335E-2</v>
      </c>
      <c r="H93" s="23">
        <f t="shared" si="39"/>
        <v>7.3885350318471335E-2</v>
      </c>
      <c r="I93" s="23">
        <f t="shared" si="39"/>
        <v>7.2611464968152864E-2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3.9350111080543315E-2</v>
      </c>
      <c r="D125" s="27"/>
      <c r="E125" s="299"/>
      <c r="F125" s="27"/>
      <c r="G125" s="77">
        <f t="shared" ref="G125" si="50">IF(G$4="","",G124/Market_Price)</f>
        <v>4.3224071117835328E-2</v>
      </c>
      <c r="H125" s="77">
        <f t="shared" ref="H125" si="51">IF(H$4="","",H124/Market_Price)</f>
        <v>7.0204391814909964E-2</v>
      </c>
      <c r="I125" s="77">
        <f t="shared" ref="I125" si="52">IF(I$4="","",I124/Market_Price)</f>
        <v>9.5426004581940976E-2</v>
      </c>
      <c r="J125" s="77">
        <f t="shared" ref="J125" si="53">IF(J$4="","",J124/Market_Price)</f>
        <v>0.15670157681376184</v>
      </c>
      <c r="K125" s="77">
        <f t="shared" ref="K125" si="54">IF(K$4="","",K124/Market_Price)</f>
        <v>5.3780825134711406E-2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6.6267329752944401E-2</v>
      </c>
      <c r="H126" s="23">
        <f>IF(H$4="","",(Data!D47*$C$3)/(Market_Price*Common_Shares))</f>
        <v>9.1661232403508139E-2</v>
      </c>
      <c r="I126" s="23">
        <f>IF(I$4="","",(Data!E47*$C$3)/(Market_Price*Common_Shares))</f>
        <v>8.9407060544926448E-2</v>
      </c>
      <c r="J126" s="23">
        <f>IF(J$4="","",(Data!F47*$C$3)/(Market_Price*Common_Shares))</f>
        <v>0.15036864597163707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-7.85</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7.85</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0.25</v>
      </c>
    </row>
    <row r="81" spans="2:8">
      <c r="B81" s="100" t="s">
        <v>122</v>
      </c>
      <c r="C81" s="117">
        <f>PV(C80, C76, -C77, 0)</f>
        <v>1.1321599999999998</v>
      </c>
      <c r="D81" s="117"/>
      <c r="E81" s="100"/>
      <c r="F81" s="100"/>
    </row>
    <row r="82" spans="2:8">
      <c r="B82" s="100" t="s">
        <v>123</v>
      </c>
      <c r="C82" s="117">
        <f>C60/(1+C80)^C76</f>
        <v>4.6913587175367324</v>
      </c>
      <c r="D82" s="117"/>
    </row>
    <row r="83" spans="2:8" ht="13.15">
      <c r="B83" s="111" t="s">
        <v>102</v>
      </c>
      <c r="C83" s="112">
        <f>C81+C82</f>
        <v>5.8235187175367322</v>
      </c>
      <c r="D83" t="str">
        <f>Market_currency</f>
        <v>HKD</v>
      </c>
      <c r="E83" s="147" t="s">
        <v>127</v>
      </c>
      <c r="F83" s="329">
        <f>(1-C83/C60)</f>
        <v>0.3644396510901724</v>
      </c>
    </row>
    <row r="84" spans="2:8">
      <c r="E84" s="121"/>
    </row>
    <row r="85" spans="2:8" ht="13.15">
      <c r="B85" s="109" t="s">
        <v>309</v>
      </c>
    </row>
    <row r="86" spans="2:8">
      <c r="B86" s="149" t="s">
        <v>307</v>
      </c>
      <c r="C86" s="266">
        <f>Market_Price</f>
        <v>7.85</v>
      </c>
      <c r="D86" t="str">
        <f>Market_currency</f>
        <v>HKD</v>
      </c>
    </row>
    <row r="87" spans="2:8" ht="13.15">
      <c r="B87" s="100" t="s">
        <v>305</v>
      </c>
      <c r="C87" s="265">
        <f ca="1">IRR(OFFSET($I$3, 0, 0, $C$76 + 1, 1))</f>
        <v>0.12328963999428066</v>
      </c>
    </row>
    <row r="88" spans="2:8">
      <c r="B88" s="100"/>
    </row>
    <row r="89" spans="2:8" ht="13.15">
      <c r="B89" s="109" t="s">
        <v>406</v>
      </c>
    </row>
    <row r="90" spans="2:8">
      <c r="B90" s="149" t="s">
        <v>413</v>
      </c>
      <c r="C90" s="135">
        <f>MAX(6%,(Thesis!E19+Thesis!C67)/2)</f>
        <v>0.06</v>
      </c>
    </row>
    <row r="91" spans="2:8">
      <c r="B91" s="100" t="s">
        <v>122</v>
      </c>
      <c r="C91" s="117">
        <f>PV(C90, C76, -C77, 0)</f>
        <v>1.5503469306877509</v>
      </c>
      <c r="D91" s="117"/>
    </row>
    <row r="92" spans="2:8">
      <c r="B92" s="100" t="s">
        <v>123</v>
      </c>
      <c r="C92" s="117">
        <f>C60/(1+C90)^C76</f>
        <v>7.693271958721736</v>
      </c>
      <c r="D92" s="117"/>
    </row>
    <row r="93" spans="2:8" ht="13.15">
      <c r="B93" s="111" t="s">
        <v>407</v>
      </c>
      <c r="C93" s="112">
        <f>C91+C92</f>
        <v>9.2436188894094862</v>
      </c>
      <c r="D93" t="s">
        <v>405</v>
      </c>
      <c r="E93" s="147" t="s">
        <v>127</v>
      </c>
      <c r="F93" s="329">
        <f>(1-C93/C60)</f>
        <v>-8.8192262267783317E-3</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