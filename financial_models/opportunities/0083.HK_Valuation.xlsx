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7F4A816-B579-4DC6-9DE1-5F9D38450F1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C81" i="9"/>
  <c r="C121" i="6" s="1"/>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<sst xmlns="http://schemas.openxmlformats.org/spreadsheetml/2006/main" count="556" uniqueCount="386">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</sst>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7" zoomScale="86" zoomScaleNormal="100" workbookViewId="0">
      <selection activeCell="E22" sqref="E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376</v>
      </c>
      <c r="D5" s="49" t="s">
        <v>377</v>
      </c>
    </row>
    <row r="6" spans="1:10" x14ac:dyDescent="0.35">
      <c r="B6" s="4" t="s">
        <v>99</v>
      </c>
      <c r="C6" s="50">
        <v>7.9</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7.4179368510878518</v>
      </c>
      <c r="D20" s="1" t="s">
        <v>344</v>
      </c>
      <c r="E20" s="289">
        <f>Scenarios!C76</f>
        <v>3</v>
      </c>
    </row>
    <row r="21" spans="1:6" x14ac:dyDescent="0.35">
      <c r="B21" s="1" t="s">
        <v>343</v>
      </c>
      <c r="C21" s="288">
        <f ca="1">Scenarios!C87</f>
        <v>0.17349059186547722</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1000000</v>
      </c>
    </row>
    <row r="29" spans="1:6" ht="24.4" customHeight="1" x14ac:dyDescent="0.35">
      <c r="B29" s="331" t="s">
        <v>238</v>
      </c>
      <c r="C29" s="331"/>
      <c r="D29" s="331"/>
      <c r="E29" s="331"/>
      <c r="F29" s="331"/>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1" t="s">
        <v>243</v>
      </c>
      <c r="C36" s="331"/>
      <c r="D36" s="331"/>
      <c r="E36" s="331"/>
      <c r="F36" s="331"/>
    </row>
    <row r="37" spans="2:6" x14ac:dyDescent="0.35">
      <c r="B37" s="47" t="s">
        <v>244</v>
      </c>
      <c r="C37" s="192">
        <f>Normalized_FCF!C11</f>
        <v>639</v>
      </c>
      <c r="D37" s="1" t="str">
        <f>Reporting_currency</f>
        <v>HKD</v>
      </c>
    </row>
    <row r="39" spans="2:6" x14ac:dyDescent="0.35">
      <c r="B39" s="331" t="s">
        <v>247</v>
      </c>
      <c r="C39" s="331"/>
      <c r="D39" s="331"/>
      <c r="E39" s="331"/>
      <c r="F39" s="331"/>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1" t="s">
        <v>248</v>
      </c>
      <c r="C45" s="331"/>
      <c r="D45" s="331"/>
      <c r="E45" s="331"/>
      <c r="F45" s="331"/>
    </row>
    <row r="46" spans="2:6" x14ac:dyDescent="0.35">
      <c r="B46" s="47" t="s">
        <v>246</v>
      </c>
      <c r="C46" s="192">
        <f>Normalized_FCF!C14</f>
        <v>-1108.3656622169851</v>
      </c>
      <c r="D46" s="1" t="str">
        <f>Reporting_currency</f>
        <v>HKD</v>
      </c>
    </row>
    <row r="48" spans="2:6" ht="24.4" customHeight="1" x14ac:dyDescent="0.35">
      <c r="B48" s="331" t="s">
        <v>251</v>
      </c>
      <c r="C48" s="332"/>
      <c r="D48" s="332"/>
      <c r="E48" s="332"/>
      <c r="F48" s="332"/>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29" t="s">
        <v>272</v>
      </c>
      <c r="C52" s="329"/>
      <c r="D52" s="329"/>
      <c r="E52" s="329"/>
      <c r="F52" s="329"/>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5.401287075648549E-2</v>
      </c>
    </row>
    <row r="56" spans="1:6" x14ac:dyDescent="0.35">
      <c r="B56" s="261" t="s">
        <v>345</v>
      </c>
      <c r="C56" s="94">
        <f>Normalized_FCF!C92</f>
        <v>7.3417721518987331E-2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v>
      </c>
      <c r="D66" s="296" t="s">
        <v>362</v>
      </c>
    </row>
    <row r="67" spans="1:6" x14ac:dyDescent="0.35">
      <c r="B67" s="82" t="s">
        <v>257</v>
      </c>
      <c r="C67" s="271">
        <f>SUM(C64:C66)</f>
        <v>0.09</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29" t="s">
        <v>271</v>
      </c>
      <c r="C93" s="329"/>
      <c r="D93" s="329"/>
      <c r="E93" s="329"/>
      <c r="F93" s="329"/>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1" t="s">
        <v>374</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4" t="s">
        <v>375</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275</v>
      </c>
      <c r="C123" s="246">
        <f>Scenarios!C83</f>
        <v>7.4179368510878518</v>
      </c>
      <c r="D123" s="47" t="str">
        <f>Reporting_currency</f>
        <v>HKD</v>
      </c>
    </row>
    <row r="124" spans="2:6" x14ac:dyDescent="0.35">
      <c r="B124" s="245" t="s">
        <v>277</v>
      </c>
      <c r="C124" s="158">
        <f>Scenarios!F83</f>
        <v>-0.30718778376753109</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5">
        <v>0.6</v>
      </c>
      <c r="E4" s="25"/>
      <c r="F4" s="4" t="s">
        <v>82</v>
      </c>
      <c r="G4" s="19">
        <v>45665</v>
      </c>
      <c r="H4" s="305">
        <v>0.9</v>
      </c>
    </row>
    <row r="5" spans="2:8" ht="15" customHeight="1" x14ac:dyDescent="0.35">
      <c r="B5" s="1" t="s">
        <v>34</v>
      </c>
      <c r="C5" s="19">
        <v>0</v>
      </c>
      <c r="D5" s="305">
        <v>0.6</v>
      </c>
      <c r="E5" s="25"/>
      <c r="F5" s="1" t="s">
        <v>30</v>
      </c>
      <c r="G5" s="19">
        <v>2014</v>
      </c>
      <c r="H5" s="305">
        <v>0.7</v>
      </c>
    </row>
    <row r="6" spans="2:8" ht="15" customHeight="1" x14ac:dyDescent="0.35">
      <c r="B6" s="4" t="s">
        <v>11</v>
      </c>
      <c r="C6" s="19">
        <v>9844</v>
      </c>
      <c r="D6" s="305">
        <v>0.5</v>
      </c>
      <c r="E6" s="25"/>
      <c r="F6" s="4" t="s">
        <v>182</v>
      </c>
      <c r="G6" s="19">
        <v>156</v>
      </c>
      <c r="H6" s="305">
        <v>0.6</v>
      </c>
    </row>
    <row r="7" spans="2:8" ht="15" customHeight="1" x14ac:dyDescent="0.35">
      <c r="B7" s="1" t="s">
        <v>73</v>
      </c>
      <c r="C7" s="19">
        <v>5466</v>
      </c>
      <c r="D7" s="305">
        <v>0.6</v>
      </c>
      <c r="E7" s="25"/>
      <c r="F7" s="4" t="s">
        <v>183</v>
      </c>
      <c r="G7" s="19">
        <v>0</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0</v>
      </c>
      <c r="D9" s="305">
        <v>0.1</v>
      </c>
      <c r="E9" s="25"/>
      <c r="F9" s="4" t="s">
        <v>185</v>
      </c>
      <c r="G9" s="19">
        <v>0</v>
      </c>
      <c r="H9" s="305">
        <v>0.6</v>
      </c>
    </row>
    <row r="10" spans="2:8" ht="15" customHeight="1" x14ac:dyDescent="0.35">
      <c r="B10" s="4" t="s">
        <v>12</v>
      </c>
      <c r="C10" s="19">
        <v>10</v>
      </c>
      <c r="D10" s="305">
        <v>0.9</v>
      </c>
      <c r="H10" s="306"/>
    </row>
    <row r="11" spans="2:8" ht="15" customHeight="1" x14ac:dyDescent="0.35">
      <c r="B11" s="4" t="s">
        <v>13</v>
      </c>
      <c r="C11" s="19">
        <v>0</v>
      </c>
      <c r="D11" s="305">
        <v>0.05</v>
      </c>
      <c r="H11" s="306"/>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5">
        <v>0.4</v>
      </c>
      <c r="F15" s="4" t="s">
        <v>83</v>
      </c>
      <c r="G15" s="19">
        <v>0</v>
      </c>
      <c r="H15" s="305">
        <v>0.8</v>
      </c>
    </row>
    <row r="16" spans="2:8" ht="15" customHeight="1" x14ac:dyDescent="0.35">
      <c r="B16" s="1" t="s">
        <v>35</v>
      </c>
      <c r="C16" s="19">
        <v>0</v>
      </c>
      <c r="D16" s="305">
        <v>0.5</v>
      </c>
      <c r="F16" s="4" t="s">
        <v>182</v>
      </c>
      <c r="G16" s="19">
        <v>1373</v>
      </c>
      <c r="H16" s="305">
        <v>0.6</v>
      </c>
    </row>
    <row r="17" spans="2:8" ht="15" customHeight="1" x14ac:dyDescent="0.35">
      <c r="B17" s="1" t="s">
        <v>73</v>
      </c>
      <c r="C17" s="19">
        <v>67668</v>
      </c>
      <c r="D17" s="305">
        <v>0.6</v>
      </c>
      <c r="F17" s="4" t="s">
        <v>183</v>
      </c>
      <c r="G17" s="19">
        <v>13024</v>
      </c>
      <c r="H17" s="305">
        <v>0.6</v>
      </c>
    </row>
    <row r="18" spans="2:8" ht="15" customHeight="1" x14ac:dyDescent="0.35">
      <c r="B18" s="4" t="s">
        <v>178</v>
      </c>
      <c r="C18" s="19">
        <v>0</v>
      </c>
      <c r="D18" s="305">
        <v>0.6</v>
      </c>
      <c r="F18" s="4" t="s">
        <v>186</v>
      </c>
      <c r="G18" s="19">
        <v>23696</v>
      </c>
      <c r="H18" s="305">
        <v>0.1</v>
      </c>
    </row>
    <row r="19" spans="2:8" ht="15" customHeight="1" x14ac:dyDescent="0.35">
      <c r="B19" s="4" t="s">
        <v>27</v>
      </c>
      <c r="C19" s="19">
        <v>1284</v>
      </c>
      <c r="D19" s="305">
        <v>0.1</v>
      </c>
      <c r="F19" s="4" t="s">
        <v>187</v>
      </c>
      <c r="G19" s="19">
        <v>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0</v>
      </c>
      <c r="D21" s="305">
        <v>0.05</v>
      </c>
      <c r="F21" s="1" t="s">
        <v>185</v>
      </c>
      <c r="G21" s="19">
        <v>0</v>
      </c>
      <c r="H21" s="305">
        <v>0.1</v>
      </c>
    </row>
    <row r="22" spans="2:8" ht="15" customHeight="1" x14ac:dyDescent="0.35">
      <c r="B22" s="4" t="s">
        <v>21</v>
      </c>
      <c r="C22" s="19">
        <v>10</v>
      </c>
      <c r="D22" s="305">
        <v>0.9</v>
      </c>
      <c r="H22" s="306"/>
    </row>
    <row r="23" spans="2:8" ht="15" customHeight="1" x14ac:dyDescent="0.35">
      <c r="B23" s="4" t="s">
        <v>22</v>
      </c>
      <c r="C23" s="19">
        <v>0</v>
      </c>
      <c r="D23" s="305">
        <v>0</v>
      </c>
      <c r="H23" s="306"/>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166588</v>
      </c>
      <c r="D46" s="192">
        <f>H29</f>
        <v>94070.7</v>
      </c>
      <c r="F46" s="292"/>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1.1933697905849452</v>
      </c>
      <c r="D50" s="98">
        <f>G31/Normalized_FCF!G8</f>
        <v>1.3234916559691912</v>
      </c>
      <c r="F50" s="292"/>
    </row>
    <row r="51" spans="2:8" ht="15" customHeight="1" x14ac:dyDescent="0.35">
      <c r="B51" s="1" t="s">
        <v>181</v>
      </c>
      <c r="C51" s="209"/>
      <c r="D51" s="94">
        <f>G29/G32</f>
        <v>0.92039603085151056</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2.7262804090098017E-2</v>
      </c>
      <c r="D54" s="94">
        <f>Normalized_FCF!G8/G35</f>
        <v>2.4582404173854506E-2</v>
      </c>
      <c r="F54" s="292"/>
    </row>
    <row r="55" spans="2:8" ht="15" customHeight="1" x14ac:dyDescent="0.35">
      <c r="B55" s="1" t="s">
        <v>146</v>
      </c>
      <c r="C55" s="94">
        <f>Normalized_FCF!C11/G40</f>
        <v>7.4364584303137507E-3</v>
      </c>
      <c r="D55" s="94">
        <f>Normalized_FCF!G11/G40</f>
        <v>7.4364584303137507E-3</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3.1154705020769802E-3</v>
      </c>
      <c r="D62" s="94">
        <f>G28/G29</f>
        <v>3.1154705020769802E-3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2"/>
    </row>
    <row r="68" spans="2:6" ht="15" customHeight="1" x14ac:dyDescent="0.35">
      <c r="B68" s="108" t="s">
        <v>186</v>
      </c>
      <c r="C68" s="20">
        <f>G18</f>
        <v>23696</v>
      </c>
      <c r="F68" s="292"/>
    </row>
    <row r="69" spans="2:6" ht="15" customHeight="1" x14ac:dyDescent="0.35">
      <c r="B69" s="108" t="s">
        <v>184</v>
      </c>
      <c r="C69" s="20">
        <f>G8+G20</f>
        <v>0</v>
      </c>
      <c r="F69" s="292"/>
    </row>
    <row r="70" spans="2:6" ht="15" customHeight="1" x14ac:dyDescent="0.35">
      <c r="B70" s="82" t="s">
        <v>193</v>
      </c>
      <c r="C70" s="83">
        <f>SUM(C66:C69)</f>
        <v>72904</v>
      </c>
      <c r="F70" s="292"/>
    </row>
    <row r="71" spans="2:6" ht="15" customHeight="1" x14ac:dyDescent="0.35">
      <c r="F71" s="292"/>
    </row>
    <row r="72" spans="2:6" ht="15" customHeight="1" x14ac:dyDescent="0.35">
      <c r="B72" s="295" t="s">
        <v>359</v>
      </c>
      <c r="C72" s="268" t="s">
        <v>100</v>
      </c>
      <c r="D72" s="210" t="s">
        <v>61</v>
      </c>
      <c r="F72" s="292"/>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8" t="s">
        <v>364</v>
      </c>
      <c r="C74" s="299">
        <f>-$C$66/C73</f>
        <v>89.008711885500944</v>
      </c>
      <c r="D74" s="299">
        <f>-$C$66/D73</f>
        <v>92.682867505381196</v>
      </c>
      <c r="F74" s="292" t="s">
        <v>360</v>
      </c>
    </row>
    <row r="75" spans="2:6" ht="15" customHeight="1" x14ac:dyDescent="0.35">
      <c r="B75" s="82" t="s">
        <v>361</v>
      </c>
      <c r="C75" s="304"/>
      <c r="D75" s="303">
        <f>MIN(D73*D76,-G5)</f>
        <v>-2572.1582253177344</v>
      </c>
      <c r="F75" s="292" t="s">
        <v>363</v>
      </c>
    </row>
    <row r="76" spans="2:6" ht="15" customHeight="1" x14ac:dyDescent="0.35">
      <c r="B76" s="300" t="s">
        <v>365</v>
      </c>
      <c r="C76" s="301"/>
      <c r="D76" s="302">
        <f>IF(D74&lt;=3,1,IF(D74&gt;10,5,2))</f>
        <v>5</v>
      </c>
      <c r="F76" s="292" t="s">
        <v>366</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13024</v>
      </c>
      <c r="D79" s="192">
        <f>G7*H7+G17*H17</f>
        <v>7814.4</v>
      </c>
      <c r="F79" s="292"/>
    </row>
    <row r="80" spans="2:6" ht="15" customHeight="1" x14ac:dyDescent="0.35">
      <c r="B80" s="108" t="s">
        <v>187</v>
      </c>
      <c r="C80" s="20">
        <f>G19</f>
        <v>0</v>
      </c>
      <c r="D80" s="192">
        <f>G19*H19</f>
        <v>0</v>
      </c>
      <c r="F80" s="292"/>
    </row>
    <row r="81" spans="2:8" ht="15" customHeight="1" x14ac:dyDescent="0.35">
      <c r="B81" s="108" t="s">
        <v>185</v>
      </c>
      <c r="C81" s="20">
        <f>G9+G21</f>
        <v>0</v>
      </c>
      <c r="D81" s="192">
        <f>G9*H9+G21*H21</f>
        <v>0</v>
      </c>
      <c r="F81" s="292"/>
    </row>
    <row r="82" spans="2:8" ht="15" customHeight="1" x14ac:dyDescent="0.35">
      <c r="B82" s="82" t="s">
        <v>194</v>
      </c>
      <c r="C82" s="83">
        <f>SUM(C79:C81)</f>
        <v>13024</v>
      </c>
      <c r="D82" s="83">
        <f>SUM(D79:D81)</f>
        <v>7814.4</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3"/>
      <c r="F3" s="9"/>
      <c r="G3" s="9"/>
    </row>
    <row r="4" spans="1:17" ht="15.75" customHeight="1" x14ac:dyDescent="0.35">
      <c r="A4" s="10"/>
      <c r="B4" s="26" t="s">
        <v>3</v>
      </c>
      <c r="C4" s="197">
        <f>G4</f>
        <v>8765</v>
      </c>
      <c r="D4" s="57"/>
      <c r="E4" s="311"/>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3"/>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3"/>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3"/>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9"/>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3"/>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3"/>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3"/>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3"/>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3"/>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20"/>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1"/>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10"/>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2"/>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10"/>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8"/>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AVERAGE(G28:H28)</f>
        <v>0.57805815639048053</v>
      </c>
      <c r="D28" s="26"/>
      <c r="E28" s="311" t="s">
        <v>380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1" t="s">
        <v>380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AVERAGE(G33:H33)</f>
        <v>-1106.5</v>
      </c>
      <c r="E33" s="311" t="s">
        <v>380</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2"/>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0.1262407301768397</v>
      </c>
      <c r="D38" s="27"/>
      <c r="E38" s="31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0.24</v>
      </c>
      <c r="D43" s="27"/>
      <c r="E43" s="310" t="s">
        <v>381</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-43</v>
      </c>
      <c r="E47" s="313"/>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3"/>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3"/>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v>0.03</v>
      </c>
      <c r="E52" s="310" t="s">
        <v>382</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10" t="s">
        <v>383</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3"/>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3"/>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3"/>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8"/>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10"/>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10"/>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10"/>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10"/>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10"/>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1" t="s">
        <v>385</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10"/>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10"/>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10"/>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10"/>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2.6092079791263361E-3</v>
      </c>
      <c r="D82" s="27"/>
      <c r="E82" s="310"/>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10"/>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10"/>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0.57999999999999996</v>
      </c>
      <c r="E89" s="313"/>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3"/>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3"/>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7.3417721518987331E-2</v>
      </c>
      <c r="E92" s="313"/>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0</v>
      </c>
      <c r="D95" s="27"/>
      <c r="E95" s="310"/>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10"/>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180996</v>
      </c>
      <c r="D100" s="26"/>
      <c r="E100" s="314"/>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5"/>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5"/>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4"/>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4"/>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4"/>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4"/>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4"/>
      <c r="F109" s="26"/>
      <c r="G109" s="97">
        <f>BS!$G$38/G$4</f>
        <v>8.343867655447804</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3"/>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3"/>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7"/>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6"/>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10"/>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5.401287075648549E-2</v>
      </c>
      <c r="D120" s="27"/>
      <c r="E120" s="310"/>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5" t="s">
        <v>259</v>
      </c>
      <c r="F6" s="335"/>
      <c r="H6" s="124"/>
    </row>
    <row r="7" spans="2:8" x14ac:dyDescent="0.35">
      <c r="B7" s="152" t="s">
        <v>229</v>
      </c>
      <c r="C7" s="233">
        <f>BS!G31</f>
        <v>3093</v>
      </c>
      <c r="D7" t="str">
        <f>Reporting_currency</f>
        <v>HKD</v>
      </c>
      <c r="E7" s="335"/>
      <c r="F7" s="335"/>
      <c r="H7" s="124"/>
    </row>
    <row r="8" spans="2:8" x14ac:dyDescent="0.35">
      <c r="B8" s="152" t="s">
        <v>230</v>
      </c>
      <c r="C8" s="208">
        <f>BS!D66</f>
        <v>45106.841774682267</v>
      </c>
      <c r="D8" t="str">
        <f>Reporting_currency</f>
        <v>HKD</v>
      </c>
      <c r="E8" s="335"/>
      <c r="F8" s="335"/>
      <c r="H8" s="124"/>
    </row>
    <row r="9" spans="2:8" x14ac:dyDescent="0.35">
      <c r="B9" s="234" t="s">
        <v>195</v>
      </c>
      <c r="C9" s="236">
        <f>BS!H42</f>
        <v>7814.4</v>
      </c>
      <c r="D9" t="str">
        <f>Reporting_currency</f>
        <v>HKD</v>
      </c>
      <c r="E9" s="335"/>
      <c r="F9" s="335"/>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302</v>
      </c>
      <c r="F6" s="103"/>
      <c r="H6" s="284">
        <v>3</v>
      </c>
      <c r="I6" s="272">
        <f t="shared" si="0"/>
        <v>11.286994878679808</v>
      </c>
    </row>
    <row r="7" spans="2:9" ht="12.75" customHeight="1" x14ac:dyDescent="0.35">
      <c r="B7" s="103" t="s">
        <v>296</v>
      </c>
      <c r="C7" s="118">
        <f>Normalized_FCF!G8</f>
        <v>2337</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7"/>
      <c r="H7" s="284">
        <v>4</v>
      </c>
      <c r="I7" s="272" t="str">
        <f t="shared" si="0"/>
        <v/>
      </c>
    </row>
    <row r="8" spans="2:9" x14ac:dyDescent="0.35">
      <c r="B8" s="103" t="s">
        <v>70</v>
      </c>
      <c r="C8" s="118">
        <f>Normalized_FCF!G19</f>
        <v>4845</v>
      </c>
      <c r="D8" t="str">
        <f>Reporting_currency</f>
        <v>HKD</v>
      </c>
      <c r="E8" s="337"/>
      <c r="F8" s="337"/>
      <c r="H8" s="284">
        <v>5</v>
      </c>
      <c r="I8" s="272" t="str">
        <f t="shared" si="0"/>
        <v/>
      </c>
    </row>
    <row r="9" spans="2:9" x14ac:dyDescent="0.35">
      <c r="B9" s="103" t="s">
        <v>61</v>
      </c>
      <c r="C9" s="208">
        <f>Normalized_FCF!C19</f>
        <v>3486.9548890834108</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-0.28945840615733698</v>
      </c>
      <c r="D12" s="163"/>
      <c r="E12" s="337"/>
      <c r="F12" s="337"/>
      <c r="H12" s="284">
        <v>9</v>
      </c>
      <c r="I12" s="272" t="str">
        <f t="shared" si="0"/>
        <v/>
      </c>
    </row>
    <row r="13" spans="2:9" x14ac:dyDescent="0.35">
      <c r="B13" s="152" t="s">
        <v>157</v>
      </c>
      <c r="C13" s="163">
        <f ca="1">(Normalized_FCF!G8/OFFSET(Normalized_FCF!G8, 0, $C$4))^(1/$C$4) - 1</f>
        <v>-0.42686307479092267</v>
      </c>
      <c r="E13" s="337"/>
      <c r="F13" s="337"/>
      <c r="H13" s="284">
        <v>10</v>
      </c>
      <c r="I13" s="272" t="str">
        <f t="shared" si="0"/>
        <v/>
      </c>
    </row>
    <row r="14" spans="2:9" x14ac:dyDescent="0.35">
      <c r="B14" s="103" t="s">
        <v>70</v>
      </c>
      <c r="C14" s="163">
        <f ca="1">(Normalized_FCF!G19/OFFSET(Normalized_FCF!G19, 0, $C$4))^(1/$C$4) - 1</f>
        <v>-0.22869925060693375</v>
      </c>
      <c r="E14" s="337"/>
      <c r="F14" s="337"/>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37" t="s">
        <v>373</v>
      </c>
      <c r="F18" s="338"/>
    </row>
    <row r="19" spans="2:6" x14ac:dyDescent="0.35">
      <c r="E19" s="338"/>
      <c r="F19" s="338"/>
    </row>
    <row r="20" spans="2:6" ht="13.15" x14ac:dyDescent="0.4">
      <c r="B20" s="164" t="s">
        <v>337</v>
      </c>
      <c r="E20" s="338"/>
      <c r="F20" s="338"/>
    </row>
    <row r="21" spans="2:6" x14ac:dyDescent="0.35">
      <c r="B21" s="103" t="s">
        <v>300</v>
      </c>
      <c r="C21" s="165">
        <f>Market_Price</f>
        <v>7.9</v>
      </c>
      <c r="D21" t="str">
        <f>Market_currency</f>
        <v>HKD</v>
      </c>
      <c r="E21" s="338"/>
      <c r="F21" s="338"/>
    </row>
    <row r="22" spans="2:6" x14ac:dyDescent="0.35">
      <c r="B22" s="103" t="s">
        <v>301</v>
      </c>
      <c r="C22" s="165">
        <f>Valuation_Model!C12</f>
        <v>10.838654713529085</v>
      </c>
      <c r="D22" t="str">
        <f>Market_currency</f>
        <v>HKD</v>
      </c>
      <c r="E22" s="338"/>
      <c r="F22" s="338"/>
    </row>
    <row r="24" spans="2:6" ht="13.15" x14ac:dyDescent="0.4">
      <c r="B24" s="164" t="s">
        <v>120</v>
      </c>
      <c r="E24" s="164" t="s">
        <v>154</v>
      </c>
      <c r="F24" s="164"/>
    </row>
    <row r="25" spans="2:6" x14ac:dyDescent="0.35">
      <c r="B25" s="156" t="s">
        <v>138</v>
      </c>
      <c r="C25" s="171">
        <f>C18</f>
        <v>10</v>
      </c>
      <c r="D25" s="168"/>
      <c r="E25" s="336"/>
      <c r="F25" s="336"/>
    </row>
    <row r="26" spans="2:6" x14ac:dyDescent="0.35">
      <c r="B26" s="122" t="s">
        <v>139</v>
      </c>
      <c r="C26" s="169">
        <v>0</v>
      </c>
      <c r="D26" s="169"/>
      <c r="E26" s="336"/>
      <c r="F26" s="336"/>
    </row>
    <row r="27" spans="2:6" x14ac:dyDescent="0.35">
      <c r="B27" s="103" t="s">
        <v>118</v>
      </c>
      <c r="C27" s="165">
        <f>Valuation_Model!E76</f>
        <v>10.838654713529081</v>
      </c>
      <c r="D27" s="165" t="str">
        <f>Market_currency</f>
        <v>HKD</v>
      </c>
      <c r="E27" s="336"/>
      <c r="F27" s="336"/>
    </row>
    <row r="28" spans="2:6" x14ac:dyDescent="0.35">
      <c r="B28" s="103" t="s">
        <v>152</v>
      </c>
      <c r="C28" s="170">
        <v>0.55000000000000004</v>
      </c>
      <c r="D28" s="170"/>
      <c r="E28" s="336"/>
      <c r="F28" s="336"/>
    </row>
    <row r="30" spans="2:6" ht="13.15" x14ac:dyDescent="0.4">
      <c r="B30" s="164" t="s">
        <v>121</v>
      </c>
      <c r="E30" s="164" t="s">
        <v>154</v>
      </c>
      <c r="F30" s="164"/>
    </row>
    <row r="31" spans="2:6" x14ac:dyDescent="0.35">
      <c r="B31" s="156" t="s">
        <v>138</v>
      </c>
      <c r="C31" s="171">
        <f>C18</f>
        <v>10</v>
      </c>
      <c r="D31" s="168"/>
      <c r="E31" s="336"/>
      <c r="F31" s="336"/>
    </row>
    <row r="32" spans="2:6" x14ac:dyDescent="0.35">
      <c r="B32" s="122" t="s">
        <v>139</v>
      </c>
      <c r="C32" s="169">
        <v>-0.05</v>
      </c>
      <c r="D32" s="169"/>
      <c r="E32" s="336"/>
      <c r="F32" s="336"/>
    </row>
    <row r="33" spans="2:6" x14ac:dyDescent="0.35">
      <c r="B33" s="103" t="s">
        <v>118</v>
      </c>
      <c r="C33" s="165">
        <f>Valuation_Model!E77</f>
        <v>10.163266547548384</v>
      </c>
      <c r="D33" t="str">
        <f>Market_currency</f>
        <v>HKD</v>
      </c>
      <c r="E33" s="336"/>
      <c r="F33" s="336"/>
    </row>
    <row r="34" spans="2:6" x14ac:dyDescent="0.35">
      <c r="B34" s="103" t="s">
        <v>152</v>
      </c>
      <c r="C34" s="170">
        <v>0.2</v>
      </c>
      <c r="D34" s="170"/>
      <c r="E34" s="336"/>
      <c r="F34" s="336"/>
    </row>
    <row r="36" spans="2:6" ht="13.15" x14ac:dyDescent="0.4">
      <c r="B36" s="164" t="s">
        <v>119</v>
      </c>
      <c r="E36" s="164" t="s">
        <v>154</v>
      </c>
      <c r="F36" s="164"/>
    </row>
    <row r="37" spans="2:6" x14ac:dyDescent="0.35">
      <c r="B37" s="156" t="s">
        <v>138</v>
      </c>
      <c r="C37" s="171">
        <f>C18</f>
        <v>10</v>
      </c>
      <c r="D37" s="168"/>
      <c r="E37" s="336"/>
      <c r="F37" s="336"/>
    </row>
    <row r="38" spans="2:6" x14ac:dyDescent="0.35">
      <c r="B38" s="122" t="s">
        <v>139</v>
      </c>
      <c r="C38" s="169">
        <v>0.02</v>
      </c>
      <c r="D38" s="169"/>
      <c r="E38" s="336"/>
      <c r="F38" s="336"/>
    </row>
    <row r="39" spans="2:6" x14ac:dyDescent="0.35">
      <c r="B39" s="103" t="s">
        <v>118</v>
      </c>
      <c r="C39" s="165">
        <f>Valuation_Model!E75</f>
        <v>11.156364901945436</v>
      </c>
      <c r="D39" t="str">
        <f>Market_currency</f>
        <v>HKD</v>
      </c>
      <c r="E39" s="336"/>
      <c r="F39" s="336"/>
    </row>
    <row r="40" spans="2:6" x14ac:dyDescent="0.35">
      <c r="B40" s="103" t="s">
        <v>152</v>
      </c>
      <c r="C40" s="172">
        <f>1-C28-C34</f>
        <v>0.24999999999999994</v>
      </c>
      <c r="D40" s="170"/>
      <c r="E40" s="336"/>
      <c r="F40" s="336"/>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6"/>
      <c r="F49" s="336"/>
    </row>
    <row r="50" spans="2:6" x14ac:dyDescent="0.35">
      <c r="B50" s="122" t="s">
        <v>139</v>
      </c>
      <c r="C50" s="169">
        <v>-0.3</v>
      </c>
      <c r="D50" s="169"/>
      <c r="E50" s="336"/>
      <c r="F50" s="336"/>
    </row>
    <row r="51" spans="2:6" x14ac:dyDescent="0.35">
      <c r="B51" s="103" t="s">
        <v>118</v>
      </c>
      <c r="C51" s="165">
        <f>Valuation_Model!E78</f>
        <v>7.7735358606357119</v>
      </c>
      <c r="D51" t="str">
        <f>Market_currency</f>
        <v>HKD</v>
      </c>
      <c r="E51" s="336"/>
      <c r="F51" s="336"/>
    </row>
    <row r="52" spans="2:6" x14ac:dyDescent="0.35">
      <c r="B52" s="103" t="s">
        <v>152</v>
      </c>
      <c r="C52" s="170">
        <v>0.05</v>
      </c>
      <c r="D52" s="170"/>
      <c r="E52" s="336"/>
      <c r="F52" s="336"/>
    </row>
    <row r="54" spans="2:6" ht="13.15" x14ac:dyDescent="0.4">
      <c r="B54" s="164" t="s">
        <v>355</v>
      </c>
      <c r="E54" s="164" t="s">
        <v>154</v>
      </c>
      <c r="F54" s="164"/>
    </row>
    <row r="55" spans="2:6" x14ac:dyDescent="0.35">
      <c r="B55" s="156" t="s">
        <v>138</v>
      </c>
      <c r="C55" s="171">
        <f>C46</f>
        <v>15</v>
      </c>
      <c r="D55" s="168"/>
      <c r="E55" s="336"/>
      <c r="F55" s="336"/>
    </row>
    <row r="56" spans="2:6" x14ac:dyDescent="0.35">
      <c r="B56" s="122" t="s">
        <v>139</v>
      </c>
      <c r="C56" s="169">
        <v>0.05</v>
      </c>
      <c r="D56" s="169"/>
      <c r="E56" s="336"/>
      <c r="F56" s="336"/>
    </row>
    <row r="57" spans="2:6" x14ac:dyDescent="0.35">
      <c r="B57" s="103" t="s">
        <v>118</v>
      </c>
      <c r="C57" s="165">
        <f>Valuation_Model!E74</f>
        <v>12.272278419093899</v>
      </c>
      <c r="D57" t="str">
        <f>Market_currency</f>
        <v>HKD</v>
      </c>
      <c r="E57" s="336"/>
      <c r="F57" s="336"/>
    </row>
    <row r="58" spans="2:6" x14ac:dyDescent="0.35">
      <c r="B58" s="103" t="s">
        <v>152</v>
      </c>
      <c r="C58" s="170">
        <v>0.05</v>
      </c>
      <c r="D58" s="170"/>
      <c r="E58" s="336"/>
      <c r="F58" s="336"/>
    </row>
    <row r="60" spans="2:6" ht="13.15" x14ac:dyDescent="0.4">
      <c r="B60" s="103" t="s">
        <v>125</v>
      </c>
      <c r="C60" s="159">
        <f>C51*C52+C57*C58+C42*(1-C52-C58)</f>
        <v>10.706994878679808</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-8.7951517171891095E-3</v>
      </c>
      <c r="D65" s="155"/>
      <c r="E65" s="290" t="s">
        <v>350</v>
      </c>
    </row>
    <row r="66" spans="2:6" x14ac:dyDescent="0.35">
      <c r="B66" s="103" t="s">
        <v>107</v>
      </c>
      <c r="C66" s="165">
        <f>Valuation_Model!C18</f>
        <v>10.708213341286156</v>
      </c>
      <c r="D66" s="165" t="str">
        <f>Market_currency</f>
        <v>HKD</v>
      </c>
      <c r="E66" s="290" t="s">
        <v>351</v>
      </c>
    </row>
    <row r="68" spans="2:6" ht="13.15" x14ac:dyDescent="0.4">
      <c r="B68" s="112" t="s">
        <v>325</v>
      </c>
      <c r="E68" s="291" t="s">
        <v>352</v>
      </c>
    </row>
    <row r="69" spans="2:6" x14ac:dyDescent="0.35">
      <c r="B69" s="103" t="s">
        <v>339</v>
      </c>
      <c r="C69" s="281" t="str">
        <f>IF(C60&lt;C22,"Y","N")</f>
        <v>Y</v>
      </c>
      <c r="E69" s="138"/>
    </row>
    <row r="70" spans="2:6" x14ac:dyDescent="0.35">
      <c r="B70" s="103" t="s">
        <v>327</v>
      </c>
      <c r="C70" s="281" t="str">
        <f>IF(C69="Y","N",IF(C65&gt;8%,"N","Y"))</f>
        <v>N</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9" x14ac:dyDescent="0.45">
      <c r="B75" s="112" t="s">
        <v>130</v>
      </c>
      <c r="E75" s="325" t="s">
        <v>367</v>
      </c>
      <c r="F75" s="323"/>
    </row>
    <row r="76" spans="2:6" ht="13.9" x14ac:dyDescent="0.45">
      <c r="B76" s="283" t="s">
        <v>331</v>
      </c>
      <c r="C76" s="282">
        <f>F60</f>
        <v>3</v>
      </c>
      <c r="D76" s="138"/>
      <c r="E76" s="326" t="s">
        <v>368</v>
      </c>
      <c r="F76" s="323" t="s">
        <v>369</v>
      </c>
    </row>
    <row r="77" spans="2:6" ht="13.9" x14ac:dyDescent="0.45">
      <c r="B77" s="103" t="s">
        <v>116</v>
      </c>
      <c r="C77" s="178">
        <f>Normalized_FCF!C89</f>
        <v>0.57999999999999996</v>
      </c>
      <c r="D77" t="str">
        <f>Market_currency</f>
        <v>HKD</v>
      </c>
      <c r="E77" s="327" t="s">
        <v>368</v>
      </c>
      <c r="F77" s="323" t="s">
        <v>370</v>
      </c>
    </row>
    <row r="78" spans="2:6" ht="13.9" x14ac:dyDescent="0.45">
      <c r="E78" s="328" t="s">
        <v>368</v>
      </c>
      <c r="F78" s="323" t="s">
        <v>371</v>
      </c>
    </row>
    <row r="79" spans="2:6" ht="13.15" x14ac:dyDescent="0.4">
      <c r="B79" s="112" t="s">
        <v>335</v>
      </c>
    </row>
    <row r="80" spans="2:6" x14ac:dyDescent="0.35">
      <c r="B80" s="152" t="s">
        <v>333</v>
      </c>
      <c r="C80" s="172">
        <f>Thesis!C117</f>
        <v>0.2</v>
      </c>
    </row>
    <row r="81" spans="2:6" x14ac:dyDescent="0.35">
      <c r="B81" s="103" t="s">
        <v>126</v>
      </c>
      <c r="C81" s="120">
        <f>PV(C80, C76, -C77, 0)</f>
        <v>1.2217592592592592</v>
      </c>
      <c r="D81" s="120"/>
      <c r="E81" s="103"/>
      <c r="F81" s="103"/>
    </row>
    <row r="82" spans="2:6" x14ac:dyDescent="0.35">
      <c r="B82" s="103" t="s">
        <v>127</v>
      </c>
      <c r="C82" s="120">
        <f>C60/(1+C80)^C76</f>
        <v>6.1961775918285928</v>
      </c>
      <c r="D82" s="120"/>
    </row>
    <row r="83" spans="2:6" ht="13.15" x14ac:dyDescent="0.4">
      <c r="B83" s="114" t="s">
        <v>106</v>
      </c>
      <c r="C83" s="115">
        <f>C81+C82</f>
        <v>7.4179368510878518</v>
      </c>
      <c r="D83" t="str">
        <f>Market_currency</f>
        <v>HKD</v>
      </c>
      <c r="E83" s="150" t="s">
        <v>131</v>
      </c>
      <c r="F83" s="270">
        <f>(C83/C60-1)</f>
        <v>-0.30718778376753109</v>
      </c>
    </row>
    <row r="84" spans="2:6" x14ac:dyDescent="0.35">
      <c r="E84" s="124"/>
    </row>
    <row r="85" spans="2:6" ht="13.15" x14ac:dyDescent="0.4">
      <c r="B85" s="112" t="s">
        <v>336</v>
      </c>
    </row>
    <row r="86" spans="2:6" x14ac:dyDescent="0.35">
      <c r="B86" s="152" t="s">
        <v>334</v>
      </c>
      <c r="C86" s="274">
        <f>Market_Price</f>
        <v>7.9</v>
      </c>
      <c r="D86" t="str">
        <f>Market_currency</f>
        <v>HKD</v>
      </c>
    </row>
    <row r="87" spans="2:6" ht="13.15" x14ac:dyDescent="0.4">
      <c r="B87" s="103" t="s">
        <v>332</v>
      </c>
      <c r="C87" s="273">
        <f ca="1">IRR(OFFSET($I$3, 0, 0, $C$76 + 1, 1))</f>
        <v>0.17349059186547722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2025-03-21T02:16:28Z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