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78A952F-5C57-487B-B7B7-ACDFC72D9F46}"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2" i="2"/>
  <c r="P94" i="2"/>
  <c r="I94" i="2"/>
  <c r="O92" i="2"/>
  <c r="O94" i="2"/>
  <c r="Q92" i="2"/>
  <c r="Q94" i="2"/>
  <c r="N92" i="2"/>
  <c r="N94" i="2"/>
  <c r="J94" i="2"/>
  <c r="K94" i="2"/>
  <c r="L92" i="2"/>
  <c r="L94" i="2"/>
  <c r="M92" i="2"/>
  <c r="M94" i="2"/>
  <c r="H94" i="2"/>
  <c r="L121" i="2"/>
  <c r="L119" i="2"/>
  <c r="L118" i="2"/>
  <c r="M121" i="2"/>
  <c r="M119" i="2"/>
  <c r="M118" i="2"/>
  <c r="N121" i="2"/>
  <c r="N118" i="2"/>
  <c r="N119" i="2"/>
  <c r="P121" i="2"/>
  <c r="P118" i="2"/>
  <c r="P119" i="2"/>
  <c r="O121" i="2"/>
  <c r="O118" i="2"/>
  <c r="O119"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<sst xmlns="http://schemas.openxmlformats.org/spreadsheetml/2006/main" count="686" uniqueCount="465">
  <si>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</si>
  <si>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</si>
  <si>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</si>
  <si>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</si>
  <si>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</si>
  <si>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</si>
  <si>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</si>
  <si>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</si>
  <si>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</si>
  <si>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</si>
  <si>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</si>
  <si>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</si>
  <si>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</si>
  <si>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</si>
  <si>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</si>
  <si>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</si>
  <si>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</si>
  <si>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</si>
  <si>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</si>
  <si>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</si>
  <si>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</si>
  <si>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</si>
  <si>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</si>
  <si>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</si>
  <si>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</si>
  <si>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</si>
  <si>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</si>
  <si>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</si>
  <si>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</si>
  <si>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</si>
  <si>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</si>
  <si>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</si>
  <si>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</si>
  <si>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</si>
  <si>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</si>
  <si>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</si>
  <si>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</si>
  <si>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</si>
  <si>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</si>
  <si>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</si>
  <si>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</si>
  <si>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</si>
  <si>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</si>
  <si>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</si>
  <si>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</si>
  <si>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</si>
  <si>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</si>
  <si>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</si>
  <si>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</si>
  <si>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</si>
  <si>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</si>
  <si>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</si>
  <si>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</si>
  <si>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</si>
  <si>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</si>
  <si>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</si>
  <si>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</si>
  <si>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</si>
  <si>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</si>
  <si>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</si>
  <si>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</si>
  <si>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</si>
  <si>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</si>
  <si>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</si>
  <si>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</si>
  <si>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</si>
  <si>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</si>
  <si>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</si>
  <si>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</si>
  <si>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</si>
  <si>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</si>
  <si>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</si>
  <si>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</si>
  <si>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</si>
  <si>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</si>
  <si>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</si>
  <si>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</si>
  <si>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</si>
  <si>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</si>
  <si>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</si>
  <si>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</si>
  <si>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</si>
  <si>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</si>
  <si>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</si>
  <si>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</si>
  <si>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</si>
  <si>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</si>
  <si>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</si>
  <si>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</si>
  <si>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</si>
  <si>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</si>
  <si>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</si>
  <si>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</si>
  <si>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</si>
  <si>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</si>
  <si>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</si>
  <si>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</si>
  <si>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</si>
  <si>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</si>
  <si>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</si>
  <si>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</si>
  <si>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</si>
  <si>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</si>
  <si>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</si>
  <si>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</si>
  <si>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</si>
  <si>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</si>
  <si>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</si>
  <si>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</si>
  <si>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</si>
  <si>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</si>
  <si>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</si>
  <si>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</si>
  <si>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</si>
  <si>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</si>
  <si>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</si>
  <si>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</si>
  <si>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</si>
  <si>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</si>
  <si>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</si>
  <si>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</si>
  <si>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</si>
  <si>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</si>
  <si>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</si>
  <si>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</si>
  <si>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</si>
  <si>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</si>
  <si>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</si>
  <si>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</si>
  <si>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</si>
  <si>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</si>
  <si>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</si>
  <si>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</si>
  <si>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</si>
  <si>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</si>
  <si>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</si>
  <si>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</si>
  <si>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</si>
  <si>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</si>
  <si>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</si>
  <si>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</si>
  <si>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</si>
  <si>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</si>
  <si>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</si>
  <si>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</si>
  <si>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</si>
  <si>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</si>
  <si>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</si>
  <si>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</si>
  <si>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</si>
  <si>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</si>
  <si>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</si>
  <si>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</si>
  <si>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</si>
  <si>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</si>
  <si>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</si>
  <si>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</si>
  <si>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</si>
  <si>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</si>
  <si>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</si>
  <si>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</si>
  <si>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</si>
  <si>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</si>
  <si>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</si>
  <si>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</si>
  <si>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</si>
  <si>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</si>
  <si>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</si>
  <si>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</si>
  <si>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</si>
  <si>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</si>
  <si>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</si>
  <si>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</si>
  <si>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</si>
  <si>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</si>
  <si>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</si>
  <si>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</si>
  <si>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</si>
  <si>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</si>
  <si>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</si>
  <si>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</si>
  <si>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</si>
  <si>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</si>
  <si>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</si>
  <si>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</si>
  <si>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</si>
  <si>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</si>
  <si>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</si>
  <si>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</si>
  <si>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</si>
  <si>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</si>
  <si>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</si>
  <si>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</si>
  <si>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</si>
  <si>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</si>
  <si>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</si>
  <si>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</si>
  <si>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</si>
  <si>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</si>
  <si>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</si>
  <si>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</si>
  <si>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</si>
  <si>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</si>
  <si>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</si>
  <si>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</si>
  <si>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</si>
  <si>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</si>
  <si>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</si>
  <si>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</si>
  <si>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</si>
  <si>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</si>
  <si>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</si>
  <si>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</si>
  <si>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</si>
  <si>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</si>
  <si>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</si>
  <si>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</si>
  <si>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</si>
  <si>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</si>
  <si>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</si>
  <si>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</si>
  <si>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</si>
  <si>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</si>
  <si>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</si>
  <si>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</si>
  <si>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</si>
  <si>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</si>
  <si>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</si>
  <si>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</si>
  <si>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</si>
  <si>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</si>
  <si>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</si>
  <si>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</si>
  <si>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</si>
  <si>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</si>
  <si>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</si>
  <si>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</si>
  <si>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</si>
  <si>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</si>
  <si>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</si>
  <si>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</si>
  <si>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</si>
  <si>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</si>
  <si>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</si>
  <si>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</si>
  <si>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</si>
  <si>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</si>
  <si>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</si>
  <si>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</si>
  <si>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</si>
  <si>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</si>
  <si>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</si>
  <si>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</si>
  <si>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</si>
  <si>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</si>
  <si>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</si>
  <si>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</si>
  <si>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</si>
  <si>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</si>
  <si>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</si>
  <si>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</si>
  <si>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</si>
  <si>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</si>
  <si>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</si>
  <si>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</si>
  <si>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</si>
  <si>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</si>
  <si>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</si>
  <si>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</si>
  <si>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</si>
  <si>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</si>
  <si>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</si>
  <si>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</si>
  <si>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</si>
  <si>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</si>
  <si>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</si>
  <si>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</si>
  <si>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</si>
  <si>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</si>
  <si>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</si>
  <si>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</si>
  <si>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</si>
  <si>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</si>
  <si>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</si>
  <si>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</si>
  <si>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</si>
  <si>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</si>
  <si>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</si>
  <si>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</si>
  <si>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</si>
  <si>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</si>
  <si>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</si>
  <si>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</si>
  <si>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</si>
  <si>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</si>
  <si>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</si>
  <si>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</si>
  <si>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</si>
  <si>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</si>
  <si>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</si>
  <si>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</si>
  <si>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</si>
  <si>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</si>
  <si>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</si>
  <si>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</si>
  <si>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</si>
  <si>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</si>
  <si>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</si>
  <si>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</si>
  <si>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</si>
  <si>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</si>
  <si>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</si>
  <si>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</si>
  <si>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</si>
  <si>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</si>
  <si>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</si>
  <si>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</si>
  <si>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</si>
  <si>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</si>
  <si>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</si>
  <si>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</si>
  <si>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</si>
  <si>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</si>
  <si>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</si>
  <si>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</si>
  <si>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</si>
  <si>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</si>
  <si>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</si>
  <si>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</si>
  <si>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</si>
  <si>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</si>
  <si>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</si>
  <si>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</si>
  <si>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</si>
  <si>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</si>
  <si>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</si>
  <si>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</si>
  <si>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</si>
  <si>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</si>
  <si>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</si>
  <si>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</si>
  <si>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</si>
  <si>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</si>
  <si>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</si>
  <si>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</si>
  <si>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</si>
  <si>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</si>
  <si>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</si>
  <si>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</si>
  <si>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</si>
  <si>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</si>
  <si>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</si>
  <si>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</si>
  <si>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</si>
  <si>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</si>
  <si>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</si>
  <si>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</si>
  <si>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</si>
  <si>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</si>
  <si>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</si>
  <si>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</si>
  <si>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</si>
  <si>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</si>
  <si>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</si>
  <si>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</si>
  <si>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</si>
  <si>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</si>
  <si>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</si>
  <si>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</si>
  <si>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</si>
  <si>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</si>
  <si>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</si>
  <si>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</si>
  <si>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</si>
  <si>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</si>
  <si>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</si>
  <si>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</si>
  <si>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</si>
  <si>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</si>
  <si>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</si>
  <si>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</si>
  <si>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</si>
  <si>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</si>
  <si>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</si>
  <si>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</si>
  <si>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</si>
  <si>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</si>
  <si>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</si>
  <si>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</si>
  <si>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</si>
  <si>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</si>
  <si>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</si>
  <si>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</si>
  <si>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</si>
  <si>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</si>
  <si>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</si>
  <si>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</si>
  <si>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</si>
  <si>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</si>
  <si>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</si>
  <si>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</si>
  <si>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</si>
  <si>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</si>
  <si>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</si>
  <si>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</si>
  <si>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</si>
  <si>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</si>
  <si>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</si>
  <si>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</si>
  <si>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</si>
  <si>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</si>
  <si>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</si>
  <si>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</si>
  <si>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</si>
  <si>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</si>
  <si>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</si>
  <si>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</si>
  <si>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</si>
  <si>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</si>
  <si>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</si>
  <si>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</si>
  <si>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</si>
  <si>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</si>
  <si>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</si>
  <si>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</si>
  <si>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</si>
  <si>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</si>
  <si>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</si>
  <si>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</si>
  <si>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</si>
  <si>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</si>
  <si>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</si>
  <si>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</si>
  <si>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</si>
  <si>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</si>
  <si>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</si>
  <si>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</si>
  <si>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</si>
  <si>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</si>
  <si>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</si>
  <si>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</si>
  <si>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</si>
  <si>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</si>
  <si>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</si>
  <si>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</si>
  <si>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</si>
  <si>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</si>
  <si>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</si>
  <si>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</si>
  <si>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</si>
  <si>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</si>
  <si>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</si>
  <si>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</si>
  <si>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</si>
  <si>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</si>
  <si>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</si>
  <si>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</si>
  <si>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SINO LAND</t>
  </si>
  <si>
    <t>0083.HK</t>
  </si>
  <si>
    <t/>
  </si>
  <si>
    <t>RES_01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</si>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</sst>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45730</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8171879936</v>
      </c>
      <c r="E6" s="48"/>
    </row>
    <row r="7" spans="1:10">
      <c r="B7" s="2" t="s">
        <v>306</v>
      </c>
      <c r="C7" s="250">
        <v>12</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8.65</v>
      </c>
      <c r="D12" s="50"/>
      <c r="E12" s="48"/>
    </row>
    <row r="13" spans="1:10">
      <c r="B13" s="1" t="s">
        <v>412</v>
      </c>
      <c r="C13" s="48" t="s">
        <v>393</v>
      </c>
      <c r="D13" s="48"/>
      <c r="E13" s="5"/>
    </row>
    <row r="14" spans="1:10">
      <c r="B14" s="4" t="s">
        <v>416</v>
      </c>
      <c r="C14" s="35">
        <f>Thesis!C12*Common_Shares/1000000</f>
        <v>70686.761446400007</v>
      </c>
      <c r="D14" s="35" t="str">
        <f>IF(D11="","",Thesis!D12*Common_Shares/1000000)</f>
        <v/>
      </c>
      <c r="E14" s="5"/>
    </row>
    <row r="15" spans="1:10">
      <c r="B15" s="4" t="s">
        <v>415</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Negative Growth Asset Play</v>
      </c>
      <c r="D21" s="1" t="s">
        <v>435</v>
      </c>
      <c r="E21" s="308" t="s">
        <v>462</v>
      </c>
    </row>
    <row r="22" spans="2:6">
      <c r="B22" s="2" t="s">
        <v>56</v>
      </c>
      <c r="C22" s="48" t="s">
        <v>460</v>
      </c>
      <c r="D22" s="1" t="str">
        <f>IF(valuation_method="DDM","DDM Terminal Value","")</f>
        <v/>
      </c>
      <c r="E22" s="313"/>
    </row>
    <row r="23" spans="2:6">
      <c r="B23" s="1" t="s">
        <v>430</v>
      </c>
      <c r="C23" s="262" t="s">
        <v>456</v>
      </c>
    </row>
    <row r="24" spans="2:6">
      <c r="B24" s="1" t="s">
        <v>431</v>
      </c>
      <c r="C24" s="262" t="s">
        <v>461</v>
      </c>
    </row>
    <row r="25" spans="2:6">
      <c r="B25" s="4" t="s">
        <v>344</v>
      </c>
      <c r="C25" s="48" t="s">
        <v>393</v>
      </c>
      <c r="D25" s="32" t="str">
        <f>IF(D11="","",Market_currency&amp;"/"&amp;D13&amp;":")</f>
        <v/>
      </c>
      <c r="E25" s="299" t="str">
        <f>IF(D11="","",1/Exchange_Rate*D16)</f>
        <v/>
      </c>
    </row>
    <row r="26" spans="2:6">
      <c r="B26" s="1" t="str">
        <f>"Expected Equity Value ("&amp;C13&amp;") :"</f>
        <v>Expected Equity Value (HKD) :</v>
      </c>
      <c r="C26" s="304">
        <f>C132</f>
        <v>9.3641570609339322</v>
      </c>
      <c r="D26" s="1" t="s">
        <v>396</v>
      </c>
      <c r="E26" s="301">
        <f ca="1">Scenarios!C87</f>
        <v>9.2184508771591345E-2</v>
      </c>
    </row>
    <row r="27" spans="2:6">
      <c r="D27" s="5"/>
      <c r="E27" s="5"/>
    </row>
    <row r="28" spans="2:6">
      <c r="B28" s="45" t="s">
        <v>429</v>
      </c>
      <c r="C28" s="309" t="str">
        <f>C145&amp;" ("&amp;Market_currency&amp;")"</f>
        <v>0083.HK (HKD)</v>
      </c>
      <c r="D28" s="309" t="str">
        <f>IF(D11="","",D145&amp;" ("&amp;D13&amp;")")</f>
        <v/>
      </c>
      <c r="E28" s="305" t="s">
        <v>425</v>
      </c>
      <c r="F28" s="303">
        <v>3</v>
      </c>
    </row>
    <row r="29" spans="2:6">
      <c r="B29" s="1" t="s">
        <v>421</v>
      </c>
      <c r="C29" s="310">
        <f>C149</f>
        <v>4.7895979519113672</v>
      </c>
      <c r="D29" s="310" t="str">
        <f>D149</f>
        <v/>
      </c>
      <c r="E29" s="306" t="s">
        <v>420</v>
      </c>
      <c r="F29" s="302">
        <v>0.35</v>
      </c>
    </row>
    <row r="30" spans="2:6">
      <c r="B30" s="1" t="s">
        <v>422</v>
      </c>
      <c r="C30" s="311">
        <f>C157</f>
        <v>5.9266084151981735</v>
      </c>
      <c r="D30" s="311" t="str">
        <f>D157</f>
        <v/>
      </c>
      <c r="E30" s="307" t="s">
        <v>433</v>
      </c>
      <c r="F30" s="312">
        <v>0.25</v>
      </c>
    </row>
    <row r="31" spans="2:6">
      <c r="B31" s="1" t="s">
        <v>423</v>
      </c>
      <c r="C31" s="311">
        <f>C165</f>
        <v>9.0460821298724845</v>
      </c>
      <c r="D31" s="311" t="str">
        <f>D165</f>
        <v/>
      </c>
      <c r="E31" s="307" t="s">
        <v>432</v>
      </c>
      <c r="F31" s="312">
        <v>7.4999999999999997E-2</v>
      </c>
    </row>
    <row r="32" spans="2:6">
      <c r="B32" s="1" t="s">
        <v>424</v>
      </c>
      <c r="C32" s="311">
        <f>C173</f>
        <v>8.1111667082917602</v>
      </c>
      <c r="D32" s="311" t="str">
        <f>D173</f>
        <v/>
      </c>
      <c r="E32" s="307" t="s">
        <v>434</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1000000</v>
      </c>
    </row>
    <row r="40" spans="1:6" ht="24.6" customHeight="1">
      <c r="B40" s="361" t="s">
        <v>230</v>
      </c>
      <c r="C40" s="361"/>
      <c r="D40" s="361"/>
      <c r="E40" s="361"/>
      <c r="F40" s="361"/>
    </row>
    <row r="41" spans="1:6">
      <c r="B41" s="47" t="s">
        <v>231</v>
      </c>
      <c r="C41" s="349">
        <f>Normalized_FCF!C8</f>
        <v>2591.8202592374382</v>
      </c>
      <c r="D41" s="1" t="str">
        <f>Reporting_currency</f>
        <v>HKD</v>
      </c>
    </row>
    <row r="42" spans="1:6">
      <c r="B42" s="47"/>
      <c r="C42" s="76"/>
    </row>
    <row r="43" spans="1:6" ht="24.6" customHeight="1">
      <c r="B43" s="361" t="s">
        <v>232</v>
      </c>
      <c r="C43" s="361"/>
      <c r="D43" s="361"/>
      <c r="E43" s="361"/>
      <c r="F43" s="361"/>
    </row>
    <row r="44" spans="1:6">
      <c r="B44" s="47" t="s">
        <v>233</v>
      </c>
      <c r="C44" s="349">
        <f>Normalized_FCF!C9</f>
        <v>159.99999999999997</v>
      </c>
      <c r="D44" s="1" t="str">
        <f>Reporting_currency</f>
        <v>HKD</v>
      </c>
    </row>
    <row r="45" spans="1:6">
      <c r="B45" s="52" t="s">
        <v>234</v>
      </c>
      <c r="C45" s="349">
        <f>Normalized_FCF!C10</f>
        <v>-159.99999999999997</v>
      </c>
      <c r="D45" s="1" t="str">
        <f>Reporting_currency</f>
        <v>HKD</v>
      </c>
    </row>
    <row r="47" spans="1:6">
      <c r="B47" s="361" t="s">
        <v>235</v>
      </c>
      <c r="C47" s="361"/>
      <c r="D47" s="361"/>
      <c r="E47" s="361"/>
      <c r="F47" s="361"/>
    </row>
    <row r="48" spans="1:6">
      <c r="B48" s="47" t="s">
        <v>236</v>
      </c>
      <c r="C48" s="349">
        <f>Normalized_FCF!C11</f>
        <v>639</v>
      </c>
      <c r="D48" s="1" t="str">
        <f>Reporting_currency</f>
        <v>HKD</v>
      </c>
    </row>
    <row r="50" spans="2:6">
      <c r="B50" s="361" t="s">
        <v>239</v>
      </c>
      <c r="C50" s="361"/>
      <c r="D50" s="361"/>
      <c r="E50" s="361"/>
      <c r="F50" s="361"/>
    </row>
    <row r="51" spans="2:6">
      <c r="B51" s="47" t="s">
        <v>337</v>
      </c>
      <c r="C51" s="350">
        <f>Normalized_FCF!C48</f>
        <v>163.69305155463843</v>
      </c>
      <c r="D51" s="1" t="str">
        <f>Reporting_currency</f>
        <v>HKD</v>
      </c>
      <c r="E51" s="286"/>
      <c r="F51" s="286"/>
    </row>
    <row r="52" spans="2:6">
      <c r="B52" s="47" t="s">
        <v>338</v>
      </c>
      <c r="C52" s="350">
        <f>Normalized_FCF!C47</f>
        <v>-43</v>
      </c>
      <c r="D52" s="1" t="str">
        <f>Reporting_currency</f>
        <v>HKD</v>
      </c>
      <c r="E52" s="286"/>
      <c r="F52" s="286"/>
    </row>
    <row r="53" spans="2:6">
      <c r="B53" s="47" t="s">
        <v>237</v>
      </c>
      <c r="C53" s="349">
        <f>Normalized_FCF!C12</f>
        <v>120.69305155463843</v>
      </c>
      <c r="D53" s="1" t="str">
        <f>Reporting_currency</f>
        <v>HKD</v>
      </c>
    </row>
    <row r="55" spans="2:6">
      <c r="B55" s="1" t="s">
        <v>245</v>
      </c>
    </row>
    <row r="56" spans="2:6">
      <c r="B56" s="47" t="s">
        <v>264</v>
      </c>
      <c r="C56" s="349">
        <f>Normalized_FCF!C15</f>
        <v>-22.869707937042335</v>
      </c>
      <c r="D56" s="1" t="str">
        <f>Reporting_currency</f>
        <v>HKD</v>
      </c>
    </row>
    <row r="58" spans="2:6">
      <c r="B58" s="361" t="s">
        <v>240</v>
      </c>
      <c r="C58" s="361"/>
      <c r="D58" s="361"/>
      <c r="E58" s="361"/>
      <c r="F58" s="361"/>
    </row>
    <row r="59" spans="2:6">
      <c r="B59" s="47" t="s">
        <v>238</v>
      </c>
      <c r="C59" s="349">
        <f>Normalized_FCF!C14</f>
        <v>-804.36319459009837</v>
      </c>
      <c r="D59" s="1" t="str">
        <f>Reporting_currency</f>
        <v>HKD</v>
      </c>
    </row>
    <row r="61" spans="2:6">
      <c r="B61" s="361" t="s">
        <v>335</v>
      </c>
      <c r="C61" s="362"/>
      <c r="D61" s="362"/>
      <c r="E61" s="362"/>
      <c r="F61" s="362"/>
    </row>
    <row r="62" spans="2:6">
      <c r="B62" s="47" t="s">
        <v>241</v>
      </c>
      <c r="C62" s="349">
        <f>Normalized_FCF!C17</f>
        <v>0</v>
      </c>
      <c r="D62" s="1" t="str">
        <f>Reporting_currency</f>
        <v>HKD</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2772.792068232593</v>
      </c>
      <c r="D67" s="1" t="str">
        <f>Reporting_currency</f>
        <v>HKD</v>
      </c>
    </row>
    <row r="68" spans="1:6">
      <c r="B68" s="47" t="s">
        <v>247</v>
      </c>
      <c r="C68" s="349">
        <f>Normalized_FCF!C19</f>
        <v>2524.2804082649359</v>
      </c>
      <c r="D68" s="1" t="str">
        <f>Reporting_currency</f>
        <v>HKD</v>
      </c>
    </row>
    <row r="69" spans="1:6">
      <c r="B69" s="227" t="s">
        <v>387</v>
      </c>
      <c r="C69" s="92">
        <f>Normalized_FCF!C126</f>
        <v>3.5710794448816759E-2</v>
      </c>
      <c r="F69" s="314"/>
    </row>
    <row r="70" spans="1:6">
      <c r="B70" s="227" t="s">
        <v>454</v>
      </c>
      <c r="C70" s="92">
        <f>Normalized_FCF!C94</f>
        <v>6.7052023121387277E-2</v>
      </c>
      <c r="E70" s="47" t="s">
        <v>444</v>
      </c>
      <c r="F70" s="315">
        <f>Normalized_FCF!C92</f>
        <v>1.8776401969295582</v>
      </c>
    </row>
    <row r="72" spans="1:6">
      <c r="B72" s="210" t="s">
        <v>447</v>
      </c>
      <c r="C72" s="323" t="s">
        <v>449</v>
      </c>
      <c r="D72" s="323" t="s">
        <v>450</v>
      </c>
    </row>
    <row r="73" spans="1:6">
      <c r="B73" s="47" t="s">
        <v>448</v>
      </c>
      <c r="C73" s="92">
        <f>Normalized_FCF!C121</f>
        <v>2.0056091670558843E-2</v>
      </c>
      <c r="D73" s="92">
        <f>Normalized_FCF!G121</f>
        <v>1.9698708421745308E-2</v>
      </c>
    </row>
    <row r="74" spans="1:6">
      <c r="B74" s="259" t="str">
        <f>Normalized_FCF!B118</f>
        <v>Pre-tax Profit/Sales</v>
      </c>
      <c r="C74" s="322">
        <f>Normalized_FCF!C118</f>
        <v>0.38237459335905039</v>
      </c>
      <c r="D74" s="322">
        <f>Normalized_FCF!G118</f>
        <v>0.37556098895979384</v>
      </c>
    </row>
    <row r="75" spans="1:6">
      <c r="B75" s="259" t="str">
        <f>Normalized_FCF!B119</f>
        <v>Sales/Total Assets</v>
      </c>
      <c r="C75" s="324">
        <f>Normalized_FCF!C119</f>
        <v>4.8426484563194767E-2</v>
      </c>
      <c r="D75" s="324">
        <f>Normalized_FCF!G119</f>
        <v>4.8426484563194767E-2</v>
      </c>
    </row>
    <row r="76" spans="1:6">
      <c r="B76" s="259" t="str">
        <f>Normalized_FCF!B120</f>
        <v>Total Assets/Equity</v>
      </c>
      <c r="C76" s="324">
        <f>Normalized_FCF!C120</f>
        <v>1.0831144117242246</v>
      </c>
      <c r="D76" s="324">
        <f>Normalized_FCF!G120</f>
        <v>1.0831144117242246</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0.01</v>
      </c>
    </row>
    <row r="86" spans="1:6">
      <c r="B86" s="80" t="s">
        <v>246</v>
      </c>
      <c r="C86" s="236">
        <f>F31+C85</f>
        <v>8.4999999999999992E-2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3.6340984939090002</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3093</v>
      </c>
      <c r="D102" s="1" t="str">
        <f>Reporting_currency</f>
        <v>HKD</v>
      </c>
    </row>
    <row r="103" spans="2:6">
      <c r="B103" s="47" t="s">
        <v>280</v>
      </c>
      <c r="C103" s="223">
        <f>C102*scaling_factor*Exchange_Rate/Common_Shares</f>
        <v>0.37849307922088393</v>
      </c>
      <c r="D103" s="1" t="str">
        <f>Market_currency</f>
        <v>HKD</v>
      </c>
    </row>
    <row r="104" spans="2:6">
      <c r="B104" s="296" t="s">
        <v>401</v>
      </c>
      <c r="C104" s="325">
        <f>IF(BS!G31/BS!G27&gt;300%,"nm",BS!G31/BS!G27)</f>
        <v>1.8509098960546238E-2</v>
      </c>
    </row>
    <row r="105" spans="2:6">
      <c r="B105" s="296" t="s">
        <v>403</v>
      </c>
      <c r="C105" s="326">
        <f>IF(BS!C50&gt;30,"nm",BS!C50)</f>
        <v>1.1933697905849452</v>
      </c>
    </row>
    <row r="107" spans="2:6">
      <c r="B107" s="1" t="s">
        <v>253</v>
      </c>
    </row>
    <row r="108" spans="2:6">
      <c r="B108" s="47" t="s">
        <v>263</v>
      </c>
      <c r="C108" s="349">
        <f>BS!C66</f>
        <v>47679</v>
      </c>
      <c r="D108" s="1" t="str">
        <f>Reporting_currency</f>
        <v>HKD</v>
      </c>
    </row>
    <row r="109" spans="2:6">
      <c r="B109" s="47" t="s">
        <v>265</v>
      </c>
      <c r="C109" s="349">
        <f>DCF!C8</f>
        <v>42222.564948178719</v>
      </c>
      <c r="D109" s="1" t="str">
        <f>Reporting_currency</f>
        <v>HKD</v>
      </c>
    </row>
    <row r="110" spans="2:6">
      <c r="B110" s="47" t="s">
        <v>281</v>
      </c>
      <c r="C110" s="223">
        <f>C109*scaling_factor*Exchange_Rate/Common_Shares</f>
        <v>5.1668117102618574</v>
      </c>
      <c r="D110" s="1" t="str">
        <f>Market_currency</f>
        <v>HKD</v>
      </c>
    </row>
    <row r="112" spans="2:6">
      <c r="B112" s="1" t="s">
        <v>255</v>
      </c>
    </row>
    <row r="113" spans="1:6">
      <c r="B113" s="47" t="s">
        <v>256</v>
      </c>
      <c r="C113" s="349">
        <f>DCF!C9</f>
        <v>7814.4</v>
      </c>
      <c r="D113" s="1" t="str">
        <f>Reporting_currency</f>
        <v>HKD</v>
      </c>
    </row>
    <row r="114" spans="1:6">
      <c r="B114" s="47" t="s">
        <v>282</v>
      </c>
      <c r="C114" s="223">
        <f>C113*scaling_factor*Exchange_Rate/Common_Shares</f>
        <v>0.95625487173090062</v>
      </c>
      <c r="D114" s="1" t="str">
        <f>Market_currency</f>
        <v>HKD</v>
      </c>
    </row>
    <row r="116" spans="1:6" ht="24.6" customHeight="1">
      <c r="B116" s="360" t="s">
        <v>363</v>
      </c>
      <c r="C116" s="360"/>
      <c r="D116" s="360"/>
      <c r="E116" s="360"/>
      <c r="F116" s="360"/>
    </row>
    <row r="118" spans="1:6">
      <c r="B118" s="47" t="s">
        <v>445</v>
      </c>
      <c r="C118" s="223">
        <f>IF(valuation_method="DCF",DCF!C12,DDM!C7)</f>
        <v>9.3786719966808736</v>
      </c>
      <c r="D118" s="1" t="str">
        <f>Market_currency</f>
        <v>HKD</v>
      </c>
    </row>
    <row r="119" spans="1:6">
      <c r="B119" s="296" t="s">
        <v>402</v>
      </c>
      <c r="C119" s="223">
        <f>BS!D47</f>
        <v>11.511512740854835</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0.05</v>
      </c>
      <c r="D126" s="230">
        <f>DCF!D74</f>
        <v>15</v>
      </c>
      <c r="E126" s="231" t="str">
        <f>ROUND(IF(valuation_method="DCF",DCF!E74,DDM!E69),2)&amp;" "&amp;Market_currency</f>
        <v>10.47 HKD</v>
      </c>
      <c r="F126" s="232">
        <f>DCF!F74</f>
        <v>0.05</v>
      </c>
    </row>
    <row r="127" spans="1:6">
      <c r="B127" s="218" t="str">
        <f>DCF!B75</f>
        <v>Optimistic</v>
      </c>
      <c r="C127" s="219">
        <f>DCF!C75</f>
        <v>0.02</v>
      </c>
      <c r="D127" s="220">
        <f>DCF!D75</f>
        <v>10</v>
      </c>
      <c r="E127" s="231" t="str">
        <f>ROUND(IF(valuation_method="DCF",DCF!E75,DDM!E70),2)&amp;" "&amp;Market_currency</f>
        <v>9.62 HKD</v>
      </c>
      <c r="F127" s="221">
        <f>DCF!F75</f>
        <v>0.17999999999999994</v>
      </c>
    </row>
    <row r="128" spans="1:6">
      <c r="B128" s="218" t="str">
        <f>DCF!B76</f>
        <v>Base</v>
      </c>
      <c r="C128" s="219">
        <f>DCF!C76</f>
        <v>0</v>
      </c>
      <c r="D128" s="220">
        <f>DCF!D76</f>
        <v>10</v>
      </c>
      <c r="E128" s="231" t="str">
        <f>ROUND(IF(valuation_method="DCF",DCF!E76,DDM!E71),2)&amp;" "&amp;Market_currency</f>
        <v>9.38 HKD</v>
      </c>
      <c r="F128" s="221">
        <f>DCF!F76</f>
        <v>0.495</v>
      </c>
    </row>
    <row r="129" spans="1:6">
      <c r="B129" s="218" t="str">
        <f>DCF!B77</f>
        <v>Pessimistic</v>
      </c>
      <c r="C129" s="219">
        <f>DCF!C77</f>
        <v>-0.02</v>
      </c>
      <c r="D129" s="220">
        <f>DCF!D77</f>
        <v>10</v>
      </c>
      <c r="E129" s="231" t="str">
        <f>ROUND(IF(valuation_method="DCF",DCF!E77,DDM!E72),2)&amp;" "&amp;Market_currency</f>
        <v>9.16 HKD</v>
      </c>
      <c r="F129" s="221">
        <f>DCF!F77</f>
        <v>0.22499999999999998</v>
      </c>
    </row>
    <row r="130" spans="1:6">
      <c r="B130" s="218" t="str">
        <f>DCF!B78</f>
        <v>Devil's advocate</v>
      </c>
      <c r="C130" s="219">
        <f>DCF!C78</f>
        <v>-0.1</v>
      </c>
      <c r="D130" s="220">
        <f>DCF!D78</f>
        <v>15</v>
      </c>
      <c r="E130" s="231" t="str">
        <f>ROUND(IF(valuation_method="DCF",DCF!E78,DDM!E73),2)&amp;" "&amp;Market_currency</f>
        <v>8.12 HKD</v>
      </c>
      <c r="F130" s="221">
        <f>DCF!F78</f>
        <v>0.05</v>
      </c>
    </row>
    <row r="132" spans="1:6">
      <c r="B132" s="211" t="s">
        <v>257</v>
      </c>
      <c r="C132" s="217">
        <f>Scenarios!C60</f>
        <v>9.3641570609339322</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0.57999999999999996</v>
      </c>
      <c r="D143" s="212" t="str">
        <f>Market_currency</f>
        <v>HKD</v>
      </c>
    </row>
    <row r="145" spans="2:4">
      <c r="B145" s="210" t="s">
        <v>405</v>
      </c>
      <c r="C145" s="241" t="str">
        <f>C11</f>
        <v>0083.HK</v>
      </c>
      <c r="D145" s="241" t="str">
        <f>IF(D11="","",D11)</f>
        <v/>
      </c>
    </row>
    <row r="146" spans="2:4">
      <c r="B146" s="1" t="s">
        <v>404</v>
      </c>
      <c r="C146" s="297">
        <f>F29</f>
        <v>0.35</v>
      </c>
    </row>
    <row r="147" spans="2:4">
      <c r="B147" s="212" t="str">
        <f>"PV("&amp;C141&amp;" yrs of Dividends)"</f>
        <v>PV(3 yrs of Dividends)</v>
      </c>
      <c r="C147" s="216">
        <f>Scenarios!C81</f>
        <v>0.98361022201900128</v>
      </c>
    </row>
    <row r="148" spans="2:4">
      <c r="B148" s="212" t="str">
        <f>"+ PV(Equity Value realized at year "&amp;C141&amp;")"</f>
        <v>+ PV(Equity Value realized at year 3)</v>
      </c>
      <c r="C148" s="216">
        <f>Scenarios!C82</f>
        <v>3.8059877298923661</v>
      </c>
    </row>
    <row r="149" spans="2:4">
      <c r="B149" s="80" t="s">
        <v>259</v>
      </c>
      <c r="C149" s="215">
        <f>Scenarios!C83</f>
        <v>4.7895979519113672</v>
      </c>
      <c r="D149" s="300" t="str">
        <f>IF($D$11="","",C149*$E$25)</f>
        <v/>
      </c>
    </row>
    <row r="150" spans="2:4">
      <c r="B150" s="259" t="s">
        <v>412</v>
      </c>
      <c r="C150" s="298" t="str">
        <f>Market_currency</f>
        <v>HKD</v>
      </c>
      <c r="D150" s="298" t="str">
        <f>IF($D$11="","",D$13)</f>
        <v/>
      </c>
    </row>
    <row r="151" spans="2:4">
      <c r="B151" s="214" t="s">
        <v>261</v>
      </c>
      <c r="C151" s="92">
        <f>Scenarios!F83</f>
        <v>0.48851798183811346</v>
      </c>
    </row>
    <row r="153" spans="2:4">
      <c r="B153" s="210" t="s">
        <v>408</v>
      </c>
    </row>
    <row r="154" spans="2:4">
      <c r="B154" s="1" t="s">
        <v>407</v>
      </c>
      <c r="C154" s="297">
        <f>Scenarios!C90</f>
        <v>0.25</v>
      </c>
    </row>
    <row r="155" spans="2:4">
      <c r="B155" s="212" t="str">
        <f>"PV("&amp;C141&amp;" yrs of Dividends)"</f>
        <v>PV(3 yrs of Dividends)</v>
      </c>
      <c r="C155" s="216">
        <f>Scenarios!C91</f>
        <v>1.1321599999999998</v>
      </c>
    </row>
    <row r="156" spans="2:4">
      <c r="B156" s="212" t="str">
        <f>"+ PV(Equity Value realized at year "&amp;C141&amp;")"</f>
        <v>+ PV(Equity Value realized at year 3)</v>
      </c>
      <c r="C156" s="216">
        <f>Scenarios!C92</f>
        <v>4.7944484151981737</v>
      </c>
    </row>
    <row r="157" spans="2:4">
      <c r="B157" s="80" t="s">
        <v>259</v>
      </c>
      <c r="C157" s="215">
        <f>Scenarios!C93</f>
        <v>5.9266084151981735</v>
      </c>
      <c r="D157" s="300" t="str">
        <f>IF($D$11="","",C157*$E$25)</f>
        <v/>
      </c>
    </row>
    <row r="158" spans="2:4">
      <c r="B158" s="259" t="s">
        <v>412</v>
      </c>
      <c r="C158" s="298" t="str">
        <f>Market_currency</f>
        <v>HKD</v>
      </c>
      <c r="D158" s="298" t="str">
        <f>IF($D$11="","",D$13)</f>
        <v/>
      </c>
    </row>
    <row r="159" spans="2:4">
      <c r="B159" s="214" t="s">
        <v>261</v>
      </c>
      <c r="C159" s="92">
        <f>Scenarios!F93</f>
        <v>0.36709643199779007</v>
      </c>
    </row>
    <row r="161" spans="2:4">
      <c r="B161" s="210" t="s">
        <v>397</v>
      </c>
    </row>
    <row r="162" spans="2:4">
      <c r="B162" s="1" t="s">
        <v>406</v>
      </c>
      <c r="C162" s="92">
        <f>Scenarios!C96</f>
        <v>7.4999999999999997E-2</v>
      </c>
    </row>
    <row r="163" spans="2:4">
      <c r="B163" s="212" t="str">
        <f>"PV("&amp;C141&amp;" yrs of Dividends)"</f>
        <v>PV(3 yrs of Dividends)</v>
      </c>
      <c r="C163" s="216">
        <f>Scenarios!C97</f>
        <v>1.5083049291257364</v>
      </c>
    </row>
    <row r="164" spans="2:4">
      <c r="B164" s="212" t="str">
        <f>"+ PV(Equity Value realized at year "&amp;C141&amp;")"</f>
        <v>+ PV(Equity Value realized at year 3)</v>
      </c>
      <c r="C164" s="216">
        <f>Scenarios!C98</f>
        <v>7.5377772007467483</v>
      </c>
    </row>
    <row r="165" spans="2:4">
      <c r="B165" s="80" t="s">
        <v>398</v>
      </c>
      <c r="C165" s="215">
        <f>Scenarios!C99</f>
        <v>9.0460821298724845</v>
      </c>
      <c r="D165" s="300" t="str">
        <f>IF($D$11="","",C165*$E$25)</f>
        <v/>
      </c>
    </row>
    <row r="166" spans="2:4">
      <c r="B166" s="259" t="s">
        <v>412</v>
      </c>
      <c r="C166" s="298" t="str">
        <f>Market_currency</f>
        <v>HKD</v>
      </c>
      <c r="D166" s="298" t="str">
        <f>IF($D$11="","",D$13)</f>
        <v/>
      </c>
    </row>
    <row r="167" spans="2:4">
      <c r="B167" s="214" t="s">
        <v>261</v>
      </c>
      <c r="C167" s="92">
        <f>Scenarios!F99</f>
        <v>3.3967278527227585E-2</v>
      </c>
    </row>
    <row r="169" spans="2:4">
      <c r="B169" s="210" t="s">
        <v>428</v>
      </c>
    </row>
    <row r="170" spans="2:4">
      <c r="B170" s="1" t="s">
        <v>419</v>
      </c>
      <c r="C170" s="92">
        <f>F32</f>
        <v>0.1174</v>
      </c>
    </row>
    <row r="171" spans="2:4">
      <c r="B171" s="212" t="str">
        <f>"PV("&amp;C141&amp;" yrs of Dividends)"</f>
        <v>PV(3 yrs of Dividends)</v>
      </c>
      <c r="C171" s="216">
        <f>Scenarios!C103</f>
        <v>1.3993098130444164</v>
      </c>
    </row>
    <row r="172" spans="2:4">
      <c r="B172" s="212" t="str">
        <f>"+ PV(Equity Value realized at year "&amp;C141&amp;")"</f>
        <v>+ PV(Equity Value realized at year 3)</v>
      </c>
      <c r="C172" s="216">
        <f>Scenarios!C104</f>
        <v>6.7118568952473439</v>
      </c>
    </row>
    <row r="173" spans="2:4">
      <c r="B173" s="80" t="s">
        <v>398</v>
      </c>
      <c r="C173" s="215">
        <f>Scenarios!C105</f>
        <v>8.1111667082917602</v>
      </c>
      <c r="D173" s="300" t="str">
        <f>IF($D$11="","",C173*$E$25)</f>
        <v/>
      </c>
    </row>
    <row r="174" spans="2:4">
      <c r="B174" s="259" t="s">
        <v>412</v>
      </c>
      <c r="C174" s="298" t="str">
        <f>Market_currency</f>
        <v>HKD</v>
      </c>
      <c r="D174" s="298" t="str">
        <f>IF($D$11="","",D$13)</f>
        <v/>
      </c>
    </row>
    <row r="175" spans="2:4">
      <c r="B175" s="214" t="s">
        <v>261</v>
      </c>
      <c r="C175" s="92">
        <f>Scenarios!F105</f>
        <v>0.13353757665774979</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c r="B2" s="36" t="s">
        <v>97</v>
      </c>
      <c r="C2" s="37"/>
      <c r="D2" s="37"/>
      <c r="E2" s="37"/>
      <c r="F2" s="37"/>
      <c r="G2" s="37"/>
      <c r="H2" s="37"/>
      <c r="I2" s="37"/>
      <c r="J2" s="37"/>
      <c r="K2" s="37"/>
      <c r="L2" s="37"/>
      <c r="M2" s="37"/>
    </row>
    <row r="3" spans="2:13">
      <c r="B3" s="16" t="s">
        <v>27</v>
      </c>
      <c r="C3" s="106">
        <v>1000000</v>
      </c>
    </row>
    <row r="4" spans="2:13">
      <c r="B4" s="32" t="s">
        <v>2</v>
      </c>
      <c r="C4" s="351">
        <v>8765</v>
      </c>
      <c r="D4" s="351">
        <v>11881</v>
      </c>
      <c r="E4" s="351">
        <v>15650.563377</v>
      </c>
      <c r="F4" s="351">
        <v>24433.371759000001</v>
      </c>
      <c r="G4" s="351">
        <v>5887</v>
      </c>
      <c r="H4" s="351"/>
      <c r="I4" s="351"/>
      <c r="J4" s="351"/>
      <c r="K4" s="351"/>
      <c r="L4" s="351"/>
      <c r="M4" s="351"/>
    </row>
    <row r="5" spans="2:13">
      <c r="B5" s="40" t="s">
        <v>43</v>
      </c>
      <c r="C5" s="351">
        <v>5344</v>
      </c>
      <c r="D5" s="351">
        <v>6492</v>
      </c>
      <c r="E5" s="351">
        <v>7482.8818240000001</v>
      </c>
      <c r="F5" s="351">
        <v>11196.89644</v>
      </c>
      <c r="G5" s="351">
        <v>2437</v>
      </c>
      <c r="H5" s="351"/>
      <c r="I5" s="351"/>
      <c r="J5" s="351"/>
      <c r="K5" s="351"/>
      <c r="L5" s="351"/>
      <c r="M5" s="351"/>
    </row>
    <row r="6" spans="2:13">
      <c r="B6" s="40" t="s">
        <v>54</v>
      </c>
      <c r="C6" s="351">
        <v>1084</v>
      </c>
      <c r="D6" s="351">
        <v>1129</v>
      </c>
      <c r="E6" s="351">
        <v>867.48327900000004</v>
      </c>
      <c r="F6" s="351">
        <v>823.28128300000003</v>
      </c>
      <c r="G6" s="351"/>
      <c r="H6" s="351"/>
      <c r="I6" s="351"/>
      <c r="J6" s="351"/>
      <c r="K6" s="351"/>
      <c r="L6" s="351"/>
      <c r="M6" s="351"/>
    </row>
    <row r="7" spans="2:13">
      <c r="B7" s="69" t="s">
        <v>61</v>
      </c>
      <c r="C7" s="352"/>
      <c r="D7" s="352"/>
      <c r="E7" s="352"/>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v>639</v>
      </c>
      <c r="D9" s="351">
        <v>927</v>
      </c>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43</v>
      </c>
      <c r="D12" s="351">
        <v>40.775368</v>
      </c>
      <c r="E12" s="351">
        <v>49.197794000000002</v>
      </c>
      <c r="F12" s="351">
        <v>81.763175000000004</v>
      </c>
      <c r="G12" s="351"/>
      <c r="H12" s="351"/>
      <c r="I12" s="351"/>
      <c r="J12" s="351"/>
      <c r="K12" s="351"/>
      <c r="L12" s="351"/>
      <c r="M12" s="351"/>
    </row>
    <row r="13" spans="2:13">
      <c r="B13" s="40" t="s">
        <v>67</v>
      </c>
      <c r="C13" s="351">
        <v>2340</v>
      </c>
      <c r="D13" s="351">
        <v>1390.845307</v>
      </c>
      <c r="E13" s="351">
        <v>337.25969199999997</v>
      </c>
      <c r="F13" s="351">
        <v>572.18514300000004</v>
      </c>
      <c r="G13" s="351"/>
      <c r="H13" s="351"/>
      <c r="I13" s="351"/>
      <c r="J13" s="351"/>
      <c r="K13" s="351"/>
      <c r="L13" s="351"/>
      <c r="M13" s="351"/>
    </row>
    <row r="14" spans="2:13">
      <c r="B14" s="40" t="s">
        <v>50</v>
      </c>
      <c r="C14" s="351">
        <v>519</v>
      </c>
      <c r="D14" s="351">
        <v>860.83482800000002</v>
      </c>
      <c r="E14" s="351">
        <v>1349.107495</v>
      </c>
      <c r="F14" s="351">
        <v>2530.7695309999999</v>
      </c>
      <c r="G14" s="351"/>
      <c r="H14" s="351"/>
      <c r="I14" s="351"/>
      <c r="J14" s="351"/>
      <c r="K14" s="351"/>
      <c r="L14" s="351"/>
      <c r="M14" s="351"/>
    </row>
    <row r="15" spans="2:13">
      <c r="B15" s="43" t="s">
        <v>42</v>
      </c>
      <c r="C15" s="353">
        <v>4251</v>
      </c>
      <c r="D15" s="353">
        <v>5880</v>
      </c>
      <c r="E15" s="353">
        <v>5735.3965490000001</v>
      </c>
      <c r="F15" s="353">
        <v>9646.0369900000005</v>
      </c>
      <c r="G15" s="353"/>
      <c r="H15" s="353"/>
      <c r="I15" s="353"/>
      <c r="J15" s="353"/>
      <c r="K15" s="353"/>
      <c r="L15" s="353"/>
      <c r="M15" s="353"/>
    </row>
    <row r="16" spans="2:13">
      <c r="B16" s="28" t="s">
        <v>44</v>
      </c>
      <c r="C16" s="351">
        <v>-151</v>
      </c>
      <c r="D16" s="351">
        <v>31</v>
      </c>
      <c r="E16" s="351"/>
      <c r="F16" s="351"/>
      <c r="G16" s="351"/>
      <c r="H16" s="351"/>
      <c r="I16" s="351"/>
      <c r="J16" s="351"/>
      <c r="K16" s="351"/>
      <c r="L16" s="351"/>
      <c r="M16" s="351"/>
    </row>
    <row r="18" spans="2:13">
      <c r="B18" s="16" t="s">
        <v>51</v>
      </c>
      <c r="C18" s="9"/>
    </row>
    <row r="19" spans="2:13">
      <c r="B19" s="27" t="s">
        <v>47</v>
      </c>
      <c r="C19" s="351">
        <v>160</v>
      </c>
      <c r="D19" s="351">
        <v>198</v>
      </c>
      <c r="E19" s="351">
        <v>181.018</v>
      </c>
      <c r="F19" s="351">
        <v>186.14699999999999</v>
      </c>
      <c r="G19" s="351"/>
      <c r="H19" s="351"/>
      <c r="I19" s="351"/>
      <c r="J19" s="351"/>
      <c r="K19" s="351"/>
      <c r="L19" s="351"/>
      <c r="M19" s="351"/>
    </row>
    <row r="20" spans="2:13">
      <c r="B20" s="27" t="s">
        <v>53</v>
      </c>
      <c r="C20" s="351">
        <v>69</v>
      </c>
      <c r="D20" s="351">
        <v>108</v>
      </c>
      <c r="E20" s="351"/>
      <c r="F20" s="351"/>
      <c r="G20" s="351"/>
      <c r="H20" s="351"/>
      <c r="I20" s="351"/>
      <c r="J20" s="351"/>
      <c r="K20" s="351"/>
      <c r="L20" s="351"/>
      <c r="M20" s="351"/>
    </row>
    <row r="21" spans="2:13">
      <c r="B21" s="27" t="s">
        <v>52</v>
      </c>
      <c r="C21" s="351">
        <v>910</v>
      </c>
      <c r="D21" s="351">
        <v>2541</v>
      </c>
      <c r="E21" s="351"/>
      <c r="F21" s="351"/>
      <c r="G21" s="351"/>
      <c r="H21" s="351"/>
      <c r="I21" s="351"/>
      <c r="J21" s="351"/>
      <c r="K21" s="351"/>
      <c r="L21" s="351"/>
      <c r="M21" s="351"/>
    </row>
    <row r="22" spans="2:13">
      <c r="B22" s="27" t="s">
        <v>368</v>
      </c>
      <c r="C22" s="351"/>
      <c r="D22" s="351"/>
      <c r="E22" s="351"/>
      <c r="F22" s="351"/>
      <c r="G22" s="351"/>
      <c r="H22" s="351"/>
      <c r="I22" s="351"/>
      <c r="J22" s="351"/>
      <c r="K22" s="351"/>
      <c r="L22" s="351"/>
      <c r="M22" s="351"/>
    </row>
    <row r="23" spans="2:13">
      <c r="B23" s="27" t="s">
        <v>370</v>
      </c>
      <c r="C23" s="351"/>
      <c r="D23" s="351"/>
      <c r="E23" s="351"/>
      <c r="F23" s="351"/>
      <c r="G23" s="351"/>
      <c r="H23" s="351"/>
      <c r="I23" s="351"/>
      <c r="J23" s="351"/>
      <c r="K23" s="351"/>
      <c r="L23" s="351"/>
      <c r="M23" s="351"/>
    </row>
    <row r="24" spans="2:13">
      <c r="B24" s="27" t="s">
        <v>369</v>
      </c>
      <c r="C24" s="351"/>
      <c r="D24" s="351"/>
      <c r="E24" s="351"/>
      <c r="F24" s="351"/>
      <c r="G24" s="351"/>
      <c r="H24" s="351"/>
      <c r="I24" s="351"/>
      <c r="J24" s="351"/>
      <c r="K24" s="351"/>
      <c r="L24" s="351"/>
      <c r="M24" s="351"/>
    </row>
    <row r="25" spans="2:13">
      <c r="B25" s="24" t="str">
        <f>"Dividend per share ("&amp;Market_currency&amp;")"</f>
        <v>Dividend per share (HKD)</v>
      </c>
      <c r="C25" s="39">
        <v>0.57999999999999996</v>
      </c>
      <c r="D25" s="39">
        <v>0.57999999999999996</v>
      </c>
      <c r="E25" s="39">
        <v>0.56999999999999995</v>
      </c>
      <c r="F25" s="39"/>
      <c r="G25" s="39"/>
      <c r="H25" s="39"/>
      <c r="I25" s="39"/>
      <c r="J25" s="39"/>
      <c r="K25" s="39"/>
      <c r="L25" s="39"/>
      <c r="M25" s="39"/>
    </row>
    <row r="27" spans="2:13">
      <c r="B27" s="16" t="s">
        <v>28</v>
      </c>
      <c r="C27" s="97" t="s">
        <v>463</v>
      </c>
    </row>
    <row r="28" spans="2:13">
      <c r="B28" s="26" t="s">
        <v>24</v>
      </c>
      <c r="C28" s="333">
        <f>BS!C4</f>
        <v>8029</v>
      </c>
      <c r="D28" s="351">
        <v>7251</v>
      </c>
      <c r="E28" s="351"/>
      <c r="F28" s="351"/>
      <c r="G28" s="351"/>
      <c r="H28" s="351"/>
      <c r="I28" s="351"/>
      <c r="J28" s="351"/>
      <c r="K28" s="351"/>
      <c r="L28" s="351"/>
      <c r="M28" s="351"/>
    </row>
    <row r="29" spans="2:13">
      <c r="B29" s="26" t="s">
        <v>32</v>
      </c>
      <c r="C29" s="333">
        <f>BS!C6</f>
        <v>9844</v>
      </c>
      <c r="D29" s="351">
        <v>16389</v>
      </c>
      <c r="E29" s="351"/>
      <c r="F29" s="351"/>
      <c r="G29" s="351"/>
      <c r="H29" s="351"/>
      <c r="I29" s="351"/>
      <c r="J29" s="351"/>
      <c r="K29" s="351"/>
      <c r="L29" s="351"/>
      <c r="M29" s="351"/>
    </row>
    <row r="30" spans="2:13">
      <c r="B30" s="29" t="s">
        <v>40</v>
      </c>
      <c r="C30" s="334">
        <f>BS!C33+BS!C42</f>
        <v>13889</v>
      </c>
      <c r="D30" s="353">
        <v>10902</v>
      </c>
      <c r="E30" s="353"/>
      <c r="F30" s="353"/>
      <c r="G30" s="353"/>
      <c r="H30" s="353"/>
      <c r="I30" s="353"/>
      <c r="J30" s="353"/>
      <c r="K30" s="353"/>
      <c r="L30" s="353"/>
      <c r="M30" s="353"/>
    </row>
    <row r="31" spans="2:13">
      <c r="B31" s="29" t="s">
        <v>30</v>
      </c>
      <c r="C31" s="334">
        <f>BS!G27</f>
        <v>167107</v>
      </c>
      <c r="D31" s="353">
        <v>163105</v>
      </c>
      <c r="E31" s="353"/>
      <c r="F31" s="353"/>
      <c r="G31" s="353"/>
      <c r="H31" s="353"/>
      <c r="I31" s="353"/>
      <c r="J31" s="353"/>
      <c r="K31" s="353"/>
      <c r="L31" s="353"/>
      <c r="M31" s="353"/>
    </row>
    <row r="32" spans="2:13">
      <c r="B32" s="26" t="s">
        <v>171</v>
      </c>
      <c r="C32" s="333">
        <f>BS!G28</f>
        <v>519</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8765</v>
      </c>
      <c r="D36" s="333">
        <f t="shared" si="1"/>
        <v>11881</v>
      </c>
      <c r="E36" s="333">
        <f t="shared" si="1"/>
        <v>15650.563377</v>
      </c>
      <c r="F36" s="333">
        <f t="shared" si="1"/>
        <v>24433.371759000001</v>
      </c>
      <c r="G36" s="333">
        <f t="shared" si="1"/>
        <v>5887</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-5344</v>
      </c>
      <c r="D37" s="333">
        <f t="shared" si="2"/>
        <v>-6492</v>
      </c>
      <c r="E37" s="333">
        <f t="shared" si="2"/>
        <v>-7482.8818240000001</v>
      </c>
      <c r="F37" s="333">
        <f t="shared" si="2"/>
        <v>-11196.89644</v>
      </c>
      <c r="G37" s="333">
        <f t="shared" si="2"/>
        <v>-2437</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3421</v>
      </c>
      <c r="D38" s="329">
        <f t="shared" ref="D38" si="3">IF(D36="","",D36+D37)</f>
        <v>5389</v>
      </c>
      <c r="E38" s="329">
        <f t="shared" ref="E38" si="4">IF(E36="","",E36+E37)</f>
        <v>8167.6815530000003</v>
      </c>
      <c r="F38" s="329">
        <f t="shared" ref="F38" si="5">IF(F36="","",F36+F37)</f>
        <v>13236.475319000001</v>
      </c>
      <c r="G38" s="329">
        <f t="shared" ref="G38" si="6">IF(G36="","",G36+G37)</f>
        <v>3450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-1084</v>
      </c>
      <c r="D39" s="333">
        <f t="shared" si="13"/>
        <v>-1129</v>
      </c>
      <c r="E39" s="333">
        <f t="shared" si="13"/>
        <v>-867.48327900000004</v>
      </c>
      <c r="F39" s="333">
        <f t="shared" si="13"/>
        <v>-823.28128300000003</v>
      </c>
      <c r="G39" s="333">
        <f t="shared" si="13"/>
        <v>0</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0</v>
      </c>
      <c r="D40" s="346">
        <f t="shared" si="14"/>
        <v>0</v>
      </c>
      <c r="E40" s="346">
        <f t="shared" si="14"/>
        <v>0</v>
      </c>
      <c r="F40" s="346">
        <f t="shared" si="14"/>
        <v>0</v>
      </c>
      <c r="G40" s="346">
        <f t="shared" si="14"/>
        <v>0</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-1084</v>
      </c>
      <c r="D41" s="346">
        <f t="shared" ref="D41:M41" si="15">IF(D$4="","",D39-D40)</f>
        <v>-1129</v>
      </c>
      <c r="E41" s="346">
        <f t="shared" si="15"/>
        <v>-867.48327900000004</v>
      </c>
      <c r="F41" s="346">
        <f t="shared" si="15"/>
        <v>-823.28128300000003</v>
      </c>
      <c r="G41" s="346">
        <f t="shared" si="15"/>
        <v>0</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151</v>
      </c>
      <c r="C43" s="334">
        <f>IF(C$4="","",C38+C39+C42)</f>
        <v>2337</v>
      </c>
      <c r="D43" s="334">
        <f t="shared" ref="D43:M43" si="17">IF(D$4="","",D38+D39+D42)</f>
        <v>4260</v>
      </c>
      <c r="E43" s="334">
        <f t="shared" si="17"/>
        <v>7300.1982740000003</v>
      </c>
      <c r="F43" s="334">
        <f t="shared" si="17"/>
        <v>12413.194036000001</v>
      </c>
      <c r="G43" s="334">
        <f t="shared" si="17"/>
        <v>3450</v>
      </c>
      <c r="H43" s="334" t="str">
        <f t="shared" si="17"/>
        <v/>
      </c>
      <c r="I43" s="334" t="str">
        <f t="shared" si="17"/>
        <v/>
      </c>
      <c r="J43" s="334" t="str">
        <f t="shared" si="17"/>
        <v/>
      </c>
      <c r="K43" s="334" t="str">
        <f t="shared" si="17"/>
        <v/>
      </c>
      <c r="L43" s="334" t="str">
        <f t="shared" si="17"/>
        <v/>
      </c>
      <c r="M43" s="334" t="str">
        <f t="shared" si="17"/>
        <v/>
      </c>
    </row>
    <row r="44" spans="2:13">
      <c r="B44" s="43" t="s">
        <v>167</v>
      </c>
      <c r="C44" s="354">
        <f t="shared" ref="C44:M44" si="18">IF(C$4="","",C47-C46-C45-C43)</f>
        <v>136</v>
      </c>
      <c r="D44" s="354">
        <f t="shared" si="18"/>
        <v>1130.764889</v>
      </c>
      <c r="E44" s="354">
        <f t="shared" si="18"/>
        <v>-503.75612799999999</v>
      </c>
      <c r="F44" s="354">
        <f t="shared" si="18"/>
        <v>-726.80948300000091</v>
      </c>
      <c r="G44" s="354">
        <f t="shared" si="18"/>
        <v>-3450</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2297</v>
      </c>
      <c r="D45" s="349">
        <f t="shared" si="19"/>
        <v>1350.069939</v>
      </c>
      <c r="E45" s="349">
        <f t="shared" si="19"/>
        <v>288.06189799999999</v>
      </c>
      <c r="F45" s="349">
        <f t="shared" si="19"/>
        <v>490.42196800000005</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-519</v>
      </c>
      <c r="D46" s="333">
        <f t="shared" si="20"/>
        <v>-860.83482800000002</v>
      </c>
      <c r="E46" s="333">
        <f t="shared" si="20"/>
        <v>-1349.107495</v>
      </c>
      <c r="F46" s="333">
        <f t="shared" si="20"/>
        <v>-2530.7695309999999</v>
      </c>
      <c r="G46" s="333">
        <f t="shared" si="20"/>
        <v>0</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4251</v>
      </c>
      <c r="D47" s="334">
        <f t="shared" si="21"/>
        <v>5880</v>
      </c>
      <c r="E47" s="334">
        <f t="shared" si="21"/>
        <v>5735.3965490000001</v>
      </c>
      <c r="F47" s="334">
        <f t="shared" si="21"/>
        <v>9646.0369900000005</v>
      </c>
      <c r="G47" s="334">
        <f t="shared" si="21"/>
        <v>0</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0</v>
      </c>
      <c r="D48" s="333">
        <f t="shared" si="22"/>
        <v>-31</v>
      </c>
      <c r="E48" s="333">
        <f t="shared" si="22"/>
        <v>0</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-43</v>
      </c>
      <c r="D51" s="333">
        <f t="shared" si="23"/>
        <v>-40.775368</v>
      </c>
      <c r="E51" s="333">
        <f t="shared" si="23"/>
        <v>-49.197794000000002</v>
      </c>
      <c r="F51" s="333">
        <f t="shared" si="23"/>
        <v>-81.763175000000004</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2340</v>
      </c>
      <c r="D52" s="333">
        <f t="shared" si="24"/>
        <v>1390.845307</v>
      </c>
      <c r="E52" s="333">
        <f t="shared" si="24"/>
        <v>337.25969199999997</v>
      </c>
      <c r="F52" s="333">
        <f t="shared" si="24"/>
        <v>572.18514300000004</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159</v>
      </c>
      <c r="C58" s="349">
        <f>IF(C$4="","",C44-C55-C56-C57)</f>
        <v>-503</v>
      </c>
      <c r="D58" s="349">
        <f t="shared" ref="D58:M58" si="28">IF(D$4="","",D44-D55-D56-D57)</f>
        <v>203.76488900000004</v>
      </c>
      <c r="E58" s="349">
        <f t="shared" si="28"/>
        <v>-503.75612799999999</v>
      </c>
      <c r="F58" s="349">
        <f t="shared" si="28"/>
        <v>-726.80948300000091</v>
      </c>
      <c r="G58" s="349">
        <f t="shared" si="28"/>
        <v>-3450</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-160</v>
      </c>
      <c r="D61" s="333">
        <f t="shared" ref="D61:M61" si="29">IF(D$4="","",-D19)</f>
        <v>-198</v>
      </c>
      <c r="E61" s="333">
        <f t="shared" si="29"/>
        <v>-181.018</v>
      </c>
      <c r="F61" s="333">
        <f t="shared" si="29"/>
        <v>-186.14699999999999</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-69</v>
      </c>
      <c r="D62" s="333">
        <f t="shared" ref="D62:M62" si="30">IF(D$4="","",IF(D20=0,D61,-D20))</f>
        <v>-108</v>
      </c>
      <c r="E62" s="333">
        <f t="shared" si="30"/>
        <v>-181.018</v>
      </c>
      <c r="F62" s="333">
        <f t="shared" si="30"/>
        <v>-186.14699999999999</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-910</v>
      </c>
      <c r="D63" s="333">
        <f t="shared" ref="D63:M63" si="31">IF(D$4="","",-D21)</f>
        <v>-2541</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390</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0.57999999999999996</v>
      </c>
      <c r="D65" s="73">
        <f t="shared" ref="D65:M65" si="33">IF(D$4="","",D25)</f>
        <v>0.57999999999999996</v>
      </c>
      <c r="E65" s="73">
        <f t="shared" si="33"/>
        <v>0.56999999999999995</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-0.26226748590186011</v>
      </c>
      <c r="D68" s="92">
        <f t="shared" si="34"/>
        <v>-0.2408579989228844</v>
      </c>
      <c r="E68" s="92">
        <f t="shared" si="34"/>
        <v>-0.35945953217712834</v>
      </c>
      <c r="F68" s="92">
        <f t="shared" si="34"/>
        <v>3.150394387463904</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-0.36518834663202826</v>
      </c>
      <c r="D69" s="92">
        <f t="shared" ref="D69:M69" si="35">IF(E$36="","",D38/E38-1)</f>
        <v>-0.34020444295840435</v>
      </c>
      <c r="E69" s="92">
        <f t="shared" si="35"/>
        <v>-0.38294135287844455</v>
      </c>
      <c r="F69" s="92">
        <f t="shared" si="35"/>
        <v>2.8366595127536236</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-0.45140845070422531</v>
      </c>
      <c r="D70" s="101">
        <f t="shared" ref="D70:M70" si="36">IF(E$36="","",D43/E43-1)</f>
        <v>-0.41645420574778214</v>
      </c>
      <c r="E70" s="101">
        <f t="shared" si="36"/>
        <v>-0.41190009172269415</v>
      </c>
      <c r="F70" s="101">
        <f t="shared" si="36"/>
        <v>2.5980272568115943</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167</v>
      </c>
      <c r="C71" s="101">
        <f>IF(D$36="","",C44/D44-1)</f>
        <v>-0.87972742935070036</v>
      </c>
      <c r="D71" s="101">
        <f t="shared" ref="D71:M71" si="37">IF(E$36="","",D44/E44-1)</f>
        <v>-3.2446672628863782</v>
      </c>
      <c r="E71" s="101">
        <f t="shared" si="37"/>
        <v>-0.30689384249544893</v>
      </c>
      <c r="F71" s="101">
        <f t="shared" si="37"/>
        <v>-0.78933058463768091</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-0.27704081632653066</v>
      </c>
      <c r="D72" s="101">
        <f t="shared" ref="D72:M72" si="38">IF(E$36="","",D47/E47-1)</f>
        <v>2.5212459115004471E-2</v>
      </c>
      <c r="E72" s="101">
        <f t="shared" si="38"/>
        <v>-0.40541420741535017</v>
      </c>
      <c r="F72" s="101" t="e">
        <f t="shared" si="38"/>
        <v>#DIV/0!</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180996</v>
      </c>
      <c r="D76" s="349">
        <f t="shared" ref="D76:M76" si="39">IF(D$4="","",D79+D80)</f>
        <v>174007</v>
      </c>
      <c r="E76" s="349">
        <f t="shared" si="39"/>
        <v>0</v>
      </c>
      <c r="F76" s="349">
        <f t="shared" si="39"/>
        <v>0</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8029</v>
      </c>
      <c r="D77" s="346">
        <f t="shared" si="40"/>
        <v>7251</v>
      </c>
      <c r="E77" s="346">
        <f t="shared" si="40"/>
        <v>0</v>
      </c>
      <c r="F77" s="346">
        <f t="shared" si="40"/>
        <v>0</v>
      </c>
      <c r="G77" s="346">
        <f t="shared" si="40"/>
        <v>0</v>
      </c>
      <c r="H77" s="346" t="str">
        <f t="shared" si="40"/>
        <v/>
      </c>
      <c r="I77" s="355"/>
      <c r="J77" s="355"/>
      <c r="K77" s="355"/>
      <c r="L77" s="355"/>
      <c r="M77" s="355"/>
    </row>
    <row r="78" spans="2:13">
      <c r="B78" s="93" t="s">
        <v>86</v>
      </c>
      <c r="C78" s="318">
        <f t="shared" si="40"/>
        <v>9844</v>
      </c>
      <c r="D78" s="346">
        <f t="shared" si="40"/>
        <v>16389</v>
      </c>
      <c r="E78" s="346">
        <f t="shared" si="40"/>
        <v>0</v>
      </c>
      <c r="F78" s="346">
        <f t="shared" si="40"/>
        <v>0</v>
      </c>
      <c r="G78" s="346">
        <f t="shared" si="40"/>
        <v>0</v>
      </c>
      <c r="H78" s="346" t="str">
        <f t="shared" si="40"/>
        <v/>
      </c>
      <c r="I78" s="355"/>
      <c r="J78" s="355"/>
      <c r="K78" s="355"/>
      <c r="L78" s="355"/>
      <c r="M78" s="355"/>
    </row>
    <row r="79" spans="2:13">
      <c r="B79" s="26" t="s">
        <v>40</v>
      </c>
      <c r="C79" s="317">
        <f t="shared" ref="C79:M79" si="41">IF(C$4="","",C30)</f>
        <v>13889</v>
      </c>
      <c r="D79" s="333">
        <f t="shared" si="41"/>
        <v>10902</v>
      </c>
      <c r="E79" s="333">
        <f t="shared" si="41"/>
        <v>0</v>
      </c>
      <c r="F79" s="333">
        <f t="shared" si="41"/>
        <v>0</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167107</v>
      </c>
      <c r="D80" s="333">
        <f t="shared" si="42"/>
        <v>163105</v>
      </c>
      <c r="E80" s="333">
        <f t="shared" si="42"/>
        <v>0</v>
      </c>
      <c r="F80" s="333">
        <f t="shared" si="42"/>
        <v>0</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45473</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8029</v>
      </c>
      <c r="D4" s="261">
        <v>0.6</v>
      </c>
      <c r="E4" s="25"/>
      <c r="F4" s="4" t="s">
        <v>77</v>
      </c>
      <c r="G4" s="19">
        <v>45665</v>
      </c>
      <c r="H4" s="261">
        <v>0.9</v>
      </c>
    </row>
    <row r="5" spans="2:8" ht="15" customHeight="1">
      <c r="B5" s="1" t="s">
        <v>33</v>
      </c>
      <c r="C5" s="19">
        <v>0</v>
      </c>
      <c r="D5" s="261">
        <v>0.6</v>
      </c>
      <c r="E5" s="25"/>
      <c r="F5" s="1" t="s">
        <v>29</v>
      </c>
      <c r="G5" s="19">
        <v>2014</v>
      </c>
      <c r="H5" s="261">
        <v>0.7</v>
      </c>
    </row>
    <row r="6" spans="2:8" ht="15" customHeight="1">
      <c r="B6" s="4" t="s">
        <v>10</v>
      </c>
      <c r="C6" s="19">
        <v>9844</v>
      </c>
      <c r="D6" s="261">
        <v>0.5</v>
      </c>
      <c r="E6" s="25"/>
      <c r="F6" s="4" t="s">
        <v>176</v>
      </c>
      <c r="G6" s="19">
        <v>156</v>
      </c>
      <c r="H6" s="261">
        <v>0.6</v>
      </c>
    </row>
    <row r="7" spans="2:8" ht="15" customHeight="1">
      <c r="B7" s="1" t="s">
        <v>69</v>
      </c>
      <c r="C7" s="19">
        <v>5466</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10</v>
      </c>
      <c r="D10" s="261">
        <v>0.9</v>
      </c>
      <c r="H10" s="262"/>
    </row>
    <row r="11" spans="2:8" ht="15" customHeight="1">
      <c r="B11" s="4" t="s">
        <v>12</v>
      </c>
      <c r="C11" s="19">
        <v>0</v>
      </c>
      <c r="D11" s="261">
        <v>0.05</v>
      </c>
      <c r="H11" s="262"/>
    </row>
    <row r="12" spans="2:8" ht="15" customHeight="1">
      <c r="B12" s="80" t="s">
        <v>72</v>
      </c>
      <c r="C12" s="81">
        <f>SUM(C4:C11)</f>
        <v>23349</v>
      </c>
      <c r="D12" s="20">
        <f>C4*D4+C5*D5+C9*D9+C6*D6+C8*D8+C7*D7+C10*D10+C11*D11</f>
        <v>13028</v>
      </c>
      <c r="F12" s="80" t="s">
        <v>70</v>
      </c>
      <c r="G12" s="81">
        <f>SUM(G4:G9)</f>
        <v>47835</v>
      </c>
      <c r="H12" s="20">
        <f>G4*H4+G5*H5+G6*H6+G7*H7+G8*H8+G9*H9</f>
        <v>42601.9</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2757</v>
      </c>
      <c r="D15" s="261">
        <v>0.4</v>
      </c>
      <c r="F15" s="4" t="s">
        <v>78</v>
      </c>
      <c r="G15" s="19">
        <v>0</v>
      </c>
      <c r="H15" s="261">
        <v>0.8</v>
      </c>
    </row>
    <row r="16" spans="2:8" ht="15" customHeight="1">
      <c r="B16" s="1" t="s">
        <v>34</v>
      </c>
      <c r="C16" s="19">
        <v>0</v>
      </c>
      <c r="D16" s="261">
        <v>0.5</v>
      </c>
      <c r="F16" s="4" t="s">
        <v>176</v>
      </c>
      <c r="G16" s="19">
        <v>1373</v>
      </c>
      <c r="H16" s="261">
        <v>0.6</v>
      </c>
    </row>
    <row r="17" spans="2:8" ht="15" customHeight="1">
      <c r="B17" s="1" t="s">
        <v>69</v>
      </c>
      <c r="C17" s="19">
        <v>67668</v>
      </c>
      <c r="D17" s="261">
        <v>0.6</v>
      </c>
      <c r="F17" s="4" t="s">
        <v>177</v>
      </c>
      <c r="G17" s="19">
        <v>13024</v>
      </c>
      <c r="H17" s="261">
        <v>0.6</v>
      </c>
    </row>
    <row r="18" spans="2:8" ht="15" customHeight="1">
      <c r="B18" s="4" t="s">
        <v>172</v>
      </c>
      <c r="C18" s="19">
        <v>0</v>
      </c>
      <c r="D18" s="261">
        <v>0.6</v>
      </c>
      <c r="F18" s="4" t="s">
        <v>180</v>
      </c>
      <c r="G18" s="19">
        <v>23696</v>
      </c>
      <c r="H18" s="261">
        <v>0.1</v>
      </c>
    </row>
    <row r="19" spans="2:8" ht="15" customHeight="1">
      <c r="B19" s="4" t="s">
        <v>26</v>
      </c>
      <c r="C19" s="19">
        <v>1284</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0</v>
      </c>
      <c r="D21" s="261">
        <v>0.05</v>
      </c>
      <c r="F21" s="1" t="s">
        <v>179</v>
      </c>
      <c r="G21" s="19">
        <v>0</v>
      </c>
      <c r="H21" s="261">
        <v>0.1</v>
      </c>
    </row>
    <row r="22" spans="2:8" ht="15" customHeight="1">
      <c r="B22" s="4" t="s">
        <v>20</v>
      </c>
      <c r="C22" s="19">
        <v>10</v>
      </c>
      <c r="D22" s="261">
        <v>0.9</v>
      </c>
      <c r="H22" s="262"/>
    </row>
    <row r="23" spans="2:8" ht="15" customHeight="1">
      <c r="B23" s="4" t="s">
        <v>21</v>
      </c>
      <c r="C23" s="19">
        <v>0</v>
      </c>
      <c r="D23" s="261">
        <v>0</v>
      </c>
      <c r="H23" s="262"/>
    </row>
    <row r="24" spans="2:8" ht="15" customHeight="1">
      <c r="B24" s="80" t="s">
        <v>73</v>
      </c>
      <c r="C24" s="81">
        <f>SUM(C15:C23)</f>
        <v>71719</v>
      </c>
      <c r="D24" s="20">
        <f>C15*D15+C16*D16+C18*D18+C17*D17+C19*D19+C20*D20+C21*D21+C22*D22+C23*D23</f>
        <v>41841</v>
      </c>
      <c r="F24" s="80" t="s">
        <v>71</v>
      </c>
      <c r="G24" s="81">
        <f>SUM(G15:G21)</f>
        <v>38093</v>
      </c>
      <c r="H24" s="20">
        <f>G15*H15+G16*H16+G17*H17+G18*H18+G19*H19+G20*H20+G21*H21</f>
        <v>11007.8</v>
      </c>
    </row>
    <row r="26" spans="2:8" ht="15" customHeight="1">
      <c r="B26" s="16" t="s">
        <v>199</v>
      </c>
      <c r="C26" s="182" t="s">
        <v>135</v>
      </c>
      <c r="F26" s="184" t="s">
        <v>195</v>
      </c>
      <c r="G26" s="185" t="s">
        <v>135</v>
      </c>
      <c r="H26" s="186" t="s">
        <v>35</v>
      </c>
    </row>
    <row r="27" spans="2:8" ht="15" customHeight="1">
      <c r="B27" s="4" t="s">
        <v>5</v>
      </c>
      <c r="C27" s="19">
        <v>967</v>
      </c>
      <c r="F27" s="187" t="s">
        <v>30</v>
      </c>
      <c r="G27" s="85">
        <f>G32-G30</f>
        <v>167107</v>
      </c>
      <c r="H27" s="188">
        <f>H32-G30</f>
        <v>94589.7</v>
      </c>
    </row>
    <row r="28" spans="2:8" ht="15" customHeight="1">
      <c r="B28" s="4" t="s">
        <v>6</v>
      </c>
      <c r="C28" s="19">
        <v>37</v>
      </c>
      <c r="F28" s="189" t="s">
        <v>243</v>
      </c>
      <c r="G28" s="12">
        <v>519</v>
      </c>
      <c r="H28" s="188"/>
    </row>
    <row r="29" spans="2:8" ht="15" customHeight="1">
      <c r="B29" s="4" t="s">
        <v>7</v>
      </c>
      <c r="C29" s="19">
        <v>0</v>
      </c>
      <c r="F29" s="190" t="s">
        <v>75</v>
      </c>
      <c r="G29" s="14">
        <f>G27-G28</f>
        <v>166588</v>
      </c>
      <c r="H29" s="188">
        <f>H27-G28</f>
        <v>94070.7</v>
      </c>
    </row>
    <row r="30" spans="2:8" ht="15" customHeight="1">
      <c r="B30" s="2" t="s">
        <v>8</v>
      </c>
      <c r="C30" s="19">
        <v>0</v>
      </c>
      <c r="F30" s="187" t="s">
        <v>23</v>
      </c>
      <c r="G30" s="85">
        <f>C33+C42</f>
        <v>13889</v>
      </c>
      <c r="H30" s="188"/>
    </row>
    <row r="31" spans="2:8" ht="15" customHeight="1">
      <c r="B31" s="80" t="s">
        <v>202</v>
      </c>
      <c r="C31" s="81">
        <f>SUM(C27:C30)</f>
        <v>1004</v>
      </c>
      <c r="F31" s="190" t="s">
        <v>76</v>
      </c>
      <c r="G31" s="191">
        <f>C31+C40</f>
        <v>3093</v>
      </c>
      <c r="H31" s="188"/>
    </row>
    <row r="32" spans="2:8" ht="15" customHeight="1">
      <c r="B32" s="4" t="s">
        <v>9</v>
      </c>
      <c r="C32" s="21">
        <f>C33-C31</f>
        <v>8048</v>
      </c>
      <c r="F32" s="192" t="s">
        <v>74</v>
      </c>
      <c r="G32" s="193">
        <f>G35+G40</f>
        <v>180996</v>
      </c>
      <c r="H32" s="188">
        <f>H35+H40</f>
        <v>108478.7</v>
      </c>
    </row>
    <row r="33" spans="2:8" ht="15" customHeight="1">
      <c r="B33" s="83" t="s">
        <v>4</v>
      </c>
      <c r="C33" s="84">
        <v>9052</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95068</v>
      </c>
      <c r="H35" s="200">
        <f>D12+D24</f>
        <v>54869</v>
      </c>
    </row>
    <row r="36" spans="2:8" ht="15" customHeight="1">
      <c r="B36" s="4" t="s">
        <v>13</v>
      </c>
      <c r="C36" s="19">
        <v>832</v>
      </c>
      <c r="F36" s="190" t="s">
        <v>196</v>
      </c>
      <c r="G36" s="191">
        <f>C4+C15</f>
        <v>10786</v>
      </c>
      <c r="H36" s="195"/>
    </row>
    <row r="37" spans="2:8" ht="15" customHeight="1">
      <c r="B37" s="4" t="s">
        <v>14</v>
      </c>
      <c r="C37" s="19">
        <v>27</v>
      </c>
      <c r="F37" s="190" t="s">
        <v>197</v>
      </c>
      <c r="G37" s="191">
        <f>C6</f>
        <v>9844</v>
      </c>
      <c r="H37" s="195"/>
    </row>
    <row r="38" spans="2:8" ht="15" customHeight="1">
      <c r="B38" s="4" t="s">
        <v>15</v>
      </c>
      <c r="C38" s="19">
        <v>1230</v>
      </c>
      <c r="F38" s="190" t="s">
        <v>198</v>
      </c>
      <c r="G38" s="191">
        <f>C7+C17</f>
        <v>73134</v>
      </c>
      <c r="H38" s="195"/>
    </row>
    <row r="39" spans="2:8" ht="15" customHeight="1">
      <c r="B39" s="2" t="s">
        <v>16</v>
      </c>
      <c r="C39" s="19">
        <v>0</v>
      </c>
      <c r="F39" s="190" t="s">
        <v>79</v>
      </c>
      <c r="G39" s="191">
        <f>C7+C17+C19+C20</f>
        <v>74418</v>
      </c>
      <c r="H39" s="188">
        <f>C7*D7+C17*D17+C19*D19+C20*D20</f>
        <v>44008.799999999996</v>
      </c>
    </row>
    <row r="40" spans="2:8" ht="15" customHeight="1">
      <c r="B40" s="80" t="s">
        <v>203</v>
      </c>
      <c r="C40" s="81">
        <f>SUM(C36:C39)</f>
        <v>2089</v>
      </c>
      <c r="F40" s="199" t="s">
        <v>137</v>
      </c>
      <c r="G40" s="193">
        <f>G12+G24</f>
        <v>85928</v>
      </c>
      <c r="H40" s="200">
        <f>H12+H24</f>
        <v>53609.7</v>
      </c>
    </row>
    <row r="41" spans="2:8" ht="15" customHeight="1">
      <c r="B41" s="4" t="s">
        <v>17</v>
      </c>
      <c r="C41" s="21">
        <f>C42-C40</f>
        <v>2748</v>
      </c>
      <c r="F41" s="190" t="s">
        <v>190</v>
      </c>
      <c r="G41" s="191">
        <f>C70</f>
        <v>72904</v>
      </c>
      <c r="H41" s="200">
        <f>H40-H42</f>
        <v>45795.299999999996</v>
      </c>
    </row>
    <row r="42" spans="2:8" ht="15" customHeight="1">
      <c r="B42" s="83" t="s">
        <v>22</v>
      </c>
      <c r="C42" s="84">
        <v>4837</v>
      </c>
      <c r="F42" s="201" t="s">
        <v>191</v>
      </c>
      <c r="G42" s="202">
        <f>C82</f>
        <v>13024</v>
      </c>
      <c r="H42" s="203">
        <f>D82</f>
        <v>7814.4</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166588</v>
      </c>
      <c r="D46" s="76">
        <f>H29</f>
        <v>94070.7</v>
      </c>
      <c r="F46" s="253"/>
    </row>
    <row r="47" spans="2:8" ht="15" customHeight="1">
      <c r="B47" s="1" t="str">
        <f>"Equity per share ("&amp;Market_currency&amp;")"</f>
        <v>Equity per share (HKD)</v>
      </c>
      <c r="C47" s="147">
        <f>C46*H1/Common_Shares*Exchange_Rate</f>
        <v>20.385517323391081</v>
      </c>
      <c r="D47" s="147">
        <f>D46*H1/Common_Shares*Exchange_Rate</f>
        <v>11.511512740854835</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1.1933697905849452</v>
      </c>
      <c r="D50" s="95">
        <f>G31/Normalized_FCF!G8</f>
        <v>1.3234916559691912</v>
      </c>
      <c r="F50" s="253"/>
    </row>
    <row r="51" spans="2:8" ht="15" customHeight="1">
      <c r="B51" s="1" t="s">
        <v>175</v>
      </c>
      <c r="C51" s="181"/>
      <c r="D51" s="92">
        <f>G29/G32</f>
        <v>0.92039603085151056</v>
      </c>
      <c r="F51" s="253"/>
    </row>
    <row r="52" spans="2:8" ht="15" customHeight="1">
      <c r="F52" s="253"/>
    </row>
    <row r="53" spans="2:8" ht="15" customHeight="1">
      <c r="B53" s="157" t="s">
        <v>141</v>
      </c>
      <c r="C53" s="235" t="s">
        <v>57</v>
      </c>
      <c r="D53" s="197" t="s">
        <v>95</v>
      </c>
      <c r="F53" s="253"/>
    </row>
    <row r="54" spans="2:8" ht="15" customHeight="1">
      <c r="B54" s="1" t="s">
        <v>138</v>
      </c>
      <c r="C54" s="92">
        <f>Normalized_FCF!C8/G35</f>
        <v>2.7262804090098017E-2</v>
      </c>
      <c r="D54" s="92">
        <f>Normalized_FCF!G8/G35</f>
        <v>2.4582404173854506E-2</v>
      </c>
      <c r="F54" s="253"/>
    </row>
    <row r="55" spans="2:8" ht="15" customHeight="1">
      <c r="B55" s="1" t="s">
        <v>140</v>
      </c>
      <c r="C55" s="92">
        <f>Normalized_FCF!C11/G40</f>
        <v>7.4364584303137507E-3</v>
      </c>
      <c r="D55" s="92">
        <f>Normalized_FCF!G11/G40</f>
        <v>7.4364584303137507E-3</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2.1500174688919346E-3</v>
      </c>
      <c r="F58" s="5"/>
    </row>
    <row r="59" spans="2:8" ht="15" customHeight="1">
      <c r="B59" s="1" t="s">
        <v>92</v>
      </c>
      <c r="C59" s="98"/>
      <c r="D59" s="92">
        <f>G39/G32</f>
        <v>0.41115825764105285</v>
      </c>
      <c r="F59" s="253"/>
    </row>
    <row r="60" spans="2:8" ht="15" customHeight="1">
      <c r="F60" s="253"/>
    </row>
    <row r="61" spans="2:8" ht="15" customHeight="1">
      <c r="B61" s="157" t="s">
        <v>273</v>
      </c>
      <c r="C61" s="235" t="s">
        <v>136</v>
      </c>
      <c r="D61" s="197" t="s">
        <v>95</v>
      </c>
      <c r="F61" s="253"/>
    </row>
    <row r="62" spans="2:8" ht="15" customHeight="1">
      <c r="B62" s="1" t="s">
        <v>244</v>
      </c>
      <c r="C62" s="92">
        <f>IF(G28&lt;=0,0,G28/G29)</f>
        <v>3.1154705020769802E-3</v>
      </c>
      <c r="D62" s="92">
        <f>G28/G29</f>
        <v>3.1154705020769802E-3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47679</v>
      </c>
      <c r="D66" s="76">
        <f>C66-D75</f>
        <v>42222.564948178719</v>
      </c>
      <c r="F66" s="5" t="s">
        <v>225</v>
      </c>
    </row>
    <row r="67" spans="2:6" ht="15" customHeight="1">
      <c r="B67" s="105" t="s">
        <v>176</v>
      </c>
      <c r="C67" s="20">
        <f>G6+G16</f>
        <v>1529</v>
      </c>
      <c r="F67" s="253"/>
    </row>
    <row r="68" spans="2:6" ht="15" customHeight="1">
      <c r="B68" s="105" t="s">
        <v>180</v>
      </c>
      <c r="C68" s="20">
        <f>G18</f>
        <v>23696</v>
      </c>
      <c r="F68" s="253"/>
    </row>
    <row r="69" spans="2:6" ht="15" customHeight="1">
      <c r="B69" s="105" t="s">
        <v>178</v>
      </c>
      <c r="C69" s="20">
        <f>G8+G20</f>
        <v>0</v>
      </c>
      <c r="F69" s="253"/>
    </row>
    <row r="70" spans="2:6" ht="15" customHeight="1">
      <c r="B70" s="80" t="s">
        <v>187</v>
      </c>
      <c r="C70" s="81">
        <f>SUM(C66:C69)</f>
        <v>72904</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-930.64086357333326</v>
      </c>
      <c r="D73" s="349">
        <f>(Normalized_FCF!C25+Normalized_FCF!C35-Normalized_FCF!C91)/12</f>
        <v>-909.4058419702136</v>
      </c>
      <c r="F73" s="1" t="s">
        <v>348</v>
      </c>
    </row>
    <row r="74" spans="2:6" ht="15" customHeight="1">
      <c r="B74" s="257" t="s">
        <v>318</v>
      </c>
      <c r="C74" s="258">
        <f>-$C$66/C73</f>
        <v>51.232437631128107</v>
      </c>
      <c r="D74" s="258">
        <f>-$C$66/D73</f>
        <v>52.428737313479523</v>
      </c>
      <c r="F74" s="253" t="s">
        <v>316</v>
      </c>
    </row>
    <row r="75" spans="2:6" ht="15" customHeight="1">
      <c r="B75" s="80" t="s">
        <v>317</v>
      </c>
      <c r="C75" s="320"/>
      <c r="D75" s="321">
        <f>MAX(-D73*D76,G5)</f>
        <v>5456.4350518212814</v>
      </c>
      <c r="F75" s="253" t="s">
        <v>349</v>
      </c>
    </row>
    <row r="76" spans="2:6" ht="15" customHeight="1">
      <c r="B76" s="259" t="s">
        <v>319</v>
      </c>
      <c r="C76" s="260"/>
      <c r="D76" s="290">
        <f>IF(D74&lt;=3,1,IF(D74&gt;18,6,2))</f>
        <v>6</v>
      </c>
      <c r="F76" s="253" t="s">
        <v>320</v>
      </c>
    </row>
    <row r="77" spans="2:6" ht="15" customHeight="1">
      <c r="F77" s="253"/>
    </row>
    <row r="78" spans="2:6" ht="15" customHeight="1">
      <c r="B78" s="16" t="s">
        <v>188</v>
      </c>
      <c r="C78" s="234" t="s">
        <v>135</v>
      </c>
      <c r="D78" s="183" t="s">
        <v>35</v>
      </c>
      <c r="F78" s="253"/>
    </row>
    <row r="79" spans="2:6" ht="15" customHeight="1">
      <c r="B79" s="105" t="s">
        <v>177</v>
      </c>
      <c r="C79" s="20">
        <f>G7+G17</f>
        <v>13024</v>
      </c>
      <c r="D79" s="76">
        <f>G7*H7+G17*H17</f>
        <v>7814.4</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13024</v>
      </c>
      <c r="D82" s="81">
        <f>SUM(D79:D81)</f>
        <v>7814.4</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-3093</v>
      </c>
      <c r="D86" s="223">
        <f>C86*scaling_factor/Common_Shares</f>
        <v>-0.37849307922088393</v>
      </c>
      <c r="E86" s="240" t="str">
        <f>Market_currency</f>
        <v>HKD</v>
      </c>
    </row>
    <row r="87" spans="2:8" ht="15" customHeight="1">
      <c r="B87" s="238" t="s">
        <v>286</v>
      </c>
      <c r="C87" s="76">
        <f>DCF!C8*Exchange_Rate</f>
        <v>42222.564948178719</v>
      </c>
      <c r="D87" s="223">
        <f>C87*scaling_factor/Common_Shares</f>
        <v>5.1668117102618574</v>
      </c>
      <c r="E87" s="240" t="str">
        <f>Market_currency</f>
        <v>HKD</v>
      </c>
    </row>
    <row r="88" spans="2:8" ht="15" customHeight="1">
      <c r="B88" s="239" t="s">
        <v>188</v>
      </c>
      <c r="C88" s="76">
        <f>DCF!C9*Exchange_Rate</f>
        <v>7814.4</v>
      </c>
      <c r="D88" s="223">
        <f>C88*scaling_factor/Common_Shares</f>
        <v>0.95625487173090062</v>
      </c>
      <c r="E88" s="240" t="str">
        <f>Market_currency</f>
        <v>HKD</v>
      </c>
    </row>
    <row r="89" spans="2:8" ht="15" customHeight="1">
      <c r="B89" s="80" t="s">
        <v>290</v>
      </c>
      <c r="C89" s="180">
        <f>SUM(C86:C88)</f>
        <v>46943.96494817872</v>
      </c>
      <c r="D89" s="242">
        <f>SUM(D86:D88)</f>
        <v>5.7445735027718738</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G4</f>
        <v>8765</v>
      </c>
      <c r="D4" s="57"/>
      <c r="E4" s="266"/>
      <c r="F4" s="57"/>
      <c r="G4" s="333">
        <f>Data!C36</f>
        <v>8765</v>
      </c>
      <c r="H4" s="333">
        <f>Data!D36</f>
        <v>11881</v>
      </c>
      <c r="I4" s="333">
        <f>Data!E36</f>
        <v>15650.563377</v>
      </c>
      <c r="J4" s="333">
        <f>Data!F36</f>
        <v>24433.371759000001</v>
      </c>
      <c r="K4" s="333">
        <f>Data!G36</f>
        <v>5887</v>
      </c>
      <c r="L4" s="333" t="str">
        <f>Data!H36</f>
        <v/>
      </c>
      <c r="M4" s="333" t="str">
        <f>Data!I36</f>
        <v/>
      </c>
      <c r="N4" s="333" t="str">
        <f>Data!J36</f>
        <v/>
      </c>
      <c r="O4" s="333" t="str">
        <f>Data!K36</f>
        <v/>
      </c>
      <c r="P4" s="333" t="str">
        <f>Data!L36</f>
        <v/>
      </c>
      <c r="Q4" s="333" t="str">
        <f>Data!M36</f>
        <v/>
      </c>
    </row>
    <row r="5" spans="1:17" ht="15.75" customHeight="1">
      <c r="A5" s="10"/>
      <c r="B5" s="2" t="s">
        <v>46</v>
      </c>
      <c r="C5" s="328">
        <f>C25</f>
        <v>-5066.6797407625618</v>
      </c>
      <c r="E5" s="268"/>
      <c r="G5" s="333">
        <f t="shared" ref="G5:Q5" si="1">G25</f>
        <v>-5344</v>
      </c>
      <c r="H5" s="333">
        <f t="shared" si="1"/>
        <v>-6492</v>
      </c>
      <c r="I5" s="333">
        <f t="shared" si="1"/>
        <v>-7482.8818240000001</v>
      </c>
      <c r="J5" s="333">
        <f t="shared" si="1"/>
        <v>-11196.89644</v>
      </c>
      <c r="K5" s="333">
        <f t="shared" si="1"/>
        <v>-2437</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3698.3202592374382</v>
      </c>
      <c r="E6" s="268"/>
      <c r="G6" s="329">
        <f>IF(G4="","",G4+G5)</f>
        <v>3421</v>
      </c>
      <c r="H6" s="329">
        <f t="shared" ref="H6:Q6" si="2">IF(H4="","",H4+H5)</f>
        <v>5389</v>
      </c>
      <c r="I6" s="329">
        <f t="shared" si="2"/>
        <v>8167.6815530000003</v>
      </c>
      <c r="J6" s="329">
        <f t="shared" si="2"/>
        <v>13236.475319000001</v>
      </c>
      <c r="K6" s="329">
        <f t="shared" si="2"/>
        <v>3450</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-1106.5</v>
      </c>
      <c r="E7" s="268"/>
      <c r="G7" s="328">
        <f t="shared" ref="G7:Q7" si="3">G35</f>
        <v>-1084</v>
      </c>
      <c r="H7" s="328">
        <f t="shared" si="3"/>
        <v>-1129</v>
      </c>
      <c r="I7" s="328">
        <f t="shared" si="3"/>
        <v>-867.48327900000004</v>
      </c>
      <c r="J7" s="328">
        <f t="shared" si="3"/>
        <v>-823.28128300000003</v>
      </c>
      <c r="K7" s="328">
        <f t="shared" si="3"/>
        <v>0</v>
      </c>
      <c r="L7" s="328" t="str">
        <f t="shared" si="3"/>
        <v/>
      </c>
      <c r="M7" s="328" t="str">
        <f t="shared" si="3"/>
        <v/>
      </c>
      <c r="N7" s="328" t="str">
        <f t="shared" si="3"/>
        <v/>
      </c>
      <c r="O7" s="328" t="str">
        <f t="shared" si="3"/>
        <v/>
      </c>
      <c r="P7" s="328" t="str">
        <f t="shared" si="3"/>
        <v/>
      </c>
      <c r="Q7" s="328" t="str">
        <f t="shared" si="3"/>
        <v/>
      </c>
    </row>
    <row r="8" spans="1:17" ht="15.75" customHeight="1">
      <c r="A8" s="10"/>
      <c r="B8" s="29" t="s">
        <v>151</v>
      </c>
      <c r="C8" s="330">
        <f>C6+C7</f>
        <v>2591.8202592374382</v>
      </c>
      <c r="D8" s="59"/>
      <c r="E8" s="274"/>
      <c r="F8" s="59"/>
      <c r="G8" s="329">
        <f>IF(G$4="","",G6+G7)</f>
        <v>2337</v>
      </c>
      <c r="H8" s="329">
        <f t="shared" ref="H8:Q8" si="4">IF(H$4="","",H6+H7)</f>
        <v>4260</v>
      </c>
      <c r="I8" s="329">
        <f t="shared" si="4"/>
        <v>7300.1982740000003</v>
      </c>
      <c r="J8" s="329">
        <f t="shared" si="4"/>
        <v>12413.194036000001</v>
      </c>
      <c r="K8" s="329">
        <f t="shared" si="4"/>
        <v>3450</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159.99999999999997</v>
      </c>
      <c r="E9" s="268"/>
      <c r="G9" s="328">
        <f>IF(Data!C61="","",-Data!C61)</f>
        <v>160</v>
      </c>
      <c r="H9" s="328">
        <f>IF(Data!D61="","",-Data!D61)</f>
        <v>198</v>
      </c>
      <c r="I9" s="328">
        <f>IF(Data!E61="","",-Data!E61)</f>
        <v>181.018</v>
      </c>
      <c r="J9" s="328">
        <f>IF(Data!F61="","",-Data!F61)</f>
        <v>186.14699999999999</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-159.99999999999997</v>
      </c>
      <c r="E10" s="268"/>
      <c r="G10" s="328">
        <f>Data!C62</f>
        <v>-69</v>
      </c>
      <c r="H10" s="328">
        <f>Data!D62</f>
        <v>-108</v>
      </c>
      <c r="I10" s="328">
        <f>Data!E62</f>
        <v>-181.018</v>
      </c>
      <c r="J10" s="328">
        <f>Data!F62</f>
        <v>-186.14699999999999</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193</v>
      </c>
      <c r="C11" s="331">
        <f>C63</f>
        <v>639</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120.69305155463843</v>
      </c>
      <c r="E12" s="268"/>
      <c r="G12" s="328">
        <f>G50</f>
        <v>224.79206823259295</v>
      </c>
      <c r="H12" s="328">
        <f t="shared" ref="H12:Q12" si="6">H50</f>
        <v>118.39443599706225</v>
      </c>
      <c r="I12" s="328">
        <f t="shared" si="6"/>
        <v>-10.601439105911425</v>
      </c>
      <c r="J12" s="328">
        <f t="shared" si="6"/>
        <v>-16.281703694046172</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163</v>
      </c>
      <c r="C13" s="329">
        <f>SUM(C8:C12)</f>
        <v>3351.5133107920765</v>
      </c>
      <c r="E13" s="268"/>
      <c r="G13" s="329">
        <f>IF(G$4="","",SUM(G8:G12))</f>
        <v>3291.792068232593</v>
      </c>
      <c r="H13" s="329">
        <f t="shared" ref="H13:Q13" si="7">IF(H$4="","",SUM(H8:H12))</f>
        <v>5395.3944359970619</v>
      </c>
      <c r="I13" s="329">
        <f t="shared" si="7"/>
        <v>7289.5968348940887</v>
      </c>
      <c r="J13" s="329">
        <f t="shared" si="7"/>
        <v>12396.912332305954</v>
      </c>
      <c r="K13" s="329">
        <f t="shared" si="7"/>
        <v>3450</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-804.36319459009837</v>
      </c>
      <c r="E14" s="268"/>
      <c r="G14" s="328">
        <f>Data!C46</f>
        <v>-519</v>
      </c>
      <c r="H14" s="328">
        <f>Data!D46</f>
        <v>-860.83482800000002</v>
      </c>
      <c r="I14" s="328">
        <f>Data!E46</f>
        <v>-1349.107495</v>
      </c>
      <c r="J14" s="328">
        <f>Data!F46</f>
        <v>-2530.7695309999999</v>
      </c>
      <c r="K14" s="328">
        <f>Data!G46</f>
        <v>0</v>
      </c>
      <c r="L14" s="328" t="str">
        <f>Data!H46</f>
        <v/>
      </c>
      <c r="M14" s="328" t="str">
        <f>Data!I46</f>
        <v/>
      </c>
      <c r="N14" s="328" t="str">
        <f>Data!J46</f>
        <v/>
      </c>
      <c r="O14" s="328" t="str">
        <f>Data!K46</f>
        <v/>
      </c>
      <c r="P14" s="328" t="str">
        <f>Data!L46</f>
        <v/>
      </c>
      <c r="Q14" s="328" t="str">
        <f>Data!M46</f>
        <v/>
      </c>
    </row>
    <row r="15" spans="1:17" ht="15.75" customHeight="1">
      <c r="A15" s="10"/>
      <c r="B15" s="40" t="s">
        <v>242</v>
      </c>
      <c r="C15" s="328">
        <f>-C4*C83</f>
        <v>-22.869707937042335</v>
      </c>
      <c r="D15" s="60"/>
      <c r="E15" s="275"/>
      <c r="F15" s="60"/>
      <c r="G15" s="333">
        <f>Data!C48</f>
        <v>0</v>
      </c>
      <c r="H15" s="333">
        <f>Data!D48</f>
        <v>-31</v>
      </c>
      <c r="I15" s="333">
        <f>Data!E48</f>
        <v>0</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153</v>
      </c>
      <c r="C16" s="332">
        <f>SUM(C13:C15)</f>
        <v>2524.2804082649359</v>
      </c>
      <c r="D16" s="61"/>
      <c r="E16" s="276"/>
      <c r="F16" s="61"/>
      <c r="G16" s="329">
        <f>IF(G$4="","",SUM(G13:G15))</f>
        <v>2772.792068232593</v>
      </c>
      <c r="H16" s="329">
        <f t="shared" ref="H16:Q16" si="8">IF(H$4="","",SUM(H13:H15))</f>
        <v>4503.5596079970619</v>
      </c>
      <c r="I16" s="329">
        <f t="shared" si="8"/>
        <v>5940.4893398940885</v>
      </c>
      <c r="J16" s="329">
        <f t="shared" si="8"/>
        <v>9866.142801305954</v>
      </c>
      <c r="K16" s="329">
        <f t="shared" si="8"/>
        <v>3450</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2524.2804082649359</v>
      </c>
      <c r="D19" s="27"/>
      <c r="E19" s="265"/>
      <c r="F19" s="27"/>
      <c r="G19" s="334">
        <f>IF(G$4="","",G16+G17)</f>
        <v>2772.792068232593</v>
      </c>
      <c r="H19" s="334">
        <f t="shared" ref="H19:Q19" si="9">IF(H$4="","",H16+H17)</f>
        <v>4503.5596079970619</v>
      </c>
      <c r="I19" s="334">
        <f t="shared" si="9"/>
        <v>5940.4893398940885</v>
      </c>
      <c r="J19" s="334">
        <f t="shared" si="9"/>
        <v>9866.142801305954</v>
      </c>
      <c r="K19" s="334">
        <f t="shared" si="9"/>
        <v>3450</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-5066.6797407625618</v>
      </c>
      <c r="D23" s="58"/>
      <c r="E23" s="267"/>
      <c r="F23" s="58"/>
      <c r="G23" s="333">
        <f>Data!C37</f>
        <v>-5344</v>
      </c>
      <c r="H23" s="333">
        <f>Data!D37</f>
        <v>-6492</v>
      </c>
      <c r="I23" s="333">
        <f>Data!E37</f>
        <v>-7482.8818240000001</v>
      </c>
      <c r="J23" s="333">
        <f>Data!F37</f>
        <v>-11196.89644</v>
      </c>
      <c r="K23" s="333">
        <f>Data!G37</f>
        <v>-2437</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0</v>
      </c>
      <c r="D24" s="27"/>
      <c r="E24" s="265"/>
      <c r="F24" s="27"/>
      <c r="G24" s="333">
        <f>Data!C40</f>
        <v>0</v>
      </c>
      <c r="H24" s="333">
        <f>Data!D40</f>
        <v>0</v>
      </c>
      <c r="I24" s="333">
        <f>Data!E40</f>
        <v>0</v>
      </c>
      <c r="J24" s="333">
        <f>Data!F40</f>
        <v>0</v>
      </c>
      <c r="K24" s="333">
        <f>Data!G40</f>
        <v>0</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-5066.6797407625618</v>
      </c>
      <c r="D25" s="9"/>
      <c r="E25" s="273"/>
      <c r="F25" s="9"/>
      <c r="G25" s="329">
        <f t="shared" ref="G25:Q25" si="10">IF(G$4="","",G23+G24)</f>
        <v>-5344</v>
      </c>
      <c r="H25" s="329">
        <f t="shared" si="10"/>
        <v>-6492</v>
      </c>
      <c r="I25" s="329">
        <f t="shared" si="10"/>
        <v>-7482.8818240000001</v>
      </c>
      <c r="J25" s="329">
        <f t="shared" si="10"/>
        <v>-11196.89644</v>
      </c>
      <c r="K25" s="329">
        <f t="shared" si="10"/>
        <v>-2437</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AVERAGE(G28:H28)</f>
        <v>0.57805815639048053</v>
      </c>
      <c r="D28" s="26"/>
      <c r="E28" s="266" t="s">
        <v>330</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v>
      </c>
      <c r="D29" s="26"/>
      <c r="E29" s="266" t="s">
        <v>330</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0.57805815639048053</v>
      </c>
      <c r="E30" s="268"/>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AVERAGE(G33:H33)</f>
        <v>-1106.5</v>
      </c>
      <c r="E33" s="266" t="s">
        <v>330</v>
      </c>
      <c r="G33" s="328">
        <f>Data!C41</f>
        <v>-1084</v>
      </c>
      <c r="H33" s="328">
        <f>Data!D41</f>
        <v>-1129</v>
      </c>
      <c r="I33" s="328">
        <f>Data!E41</f>
        <v>-867.48327900000004</v>
      </c>
      <c r="J33" s="328">
        <f>Data!F41</f>
        <v>-823.28128300000003</v>
      </c>
      <c r="K33" s="328">
        <f>Data!G41</f>
        <v>0</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-1106.5</v>
      </c>
      <c r="D35" s="58"/>
      <c r="E35" s="267"/>
      <c r="F35" s="58"/>
      <c r="G35" s="329">
        <f t="shared" ref="G35:Q35" si="14">IF(G4="","",G33+G34)</f>
        <v>-1084</v>
      </c>
      <c r="H35" s="329">
        <f t="shared" si="14"/>
        <v>-1129</v>
      </c>
      <c r="I35" s="329">
        <f t="shared" si="14"/>
        <v>-867.48327900000004</v>
      </c>
      <c r="J35" s="329">
        <f t="shared" si="14"/>
        <v>-823.28128300000003</v>
      </c>
      <c r="K35" s="329">
        <f t="shared" si="14"/>
        <v>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0.1262407301768397</v>
      </c>
      <c r="D38" s="27"/>
      <c r="E38" s="265"/>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0.1262407301768397</v>
      </c>
      <c r="E40" s="268"/>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0.24</v>
      </c>
      <c r="D43" s="27"/>
      <c r="E43" s="265" t="s">
        <v>331</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-43</v>
      </c>
      <c r="E47" s="268"/>
      <c r="G47" s="328">
        <f>Data!C51</f>
        <v>-43</v>
      </c>
      <c r="H47" s="328">
        <f>Data!D51</f>
        <v>-40.775368</v>
      </c>
      <c r="I47" s="328">
        <f>Data!E51</f>
        <v>-49.197794000000002</v>
      </c>
      <c r="J47" s="328">
        <f>Data!F51</f>
        <v>-81.763175000000004</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342</v>
      </c>
      <c r="C48" s="328">
        <f>BS!D75*C53</f>
        <v>163.69305155463843</v>
      </c>
      <c r="E48" s="268"/>
      <c r="G48" s="337">
        <f>IFERROR(IF(G$4="","",($C$48/$C$49)*G49),0)</f>
        <v>267.79206823259295</v>
      </c>
      <c r="H48" s="337">
        <f t="shared" ref="H48:Q48" si="19">IFERROR(IF(H$4="","",($C$48/$C$49)*H49),0)</f>
        <v>159.16980399706225</v>
      </c>
      <c r="I48" s="337">
        <f t="shared" si="19"/>
        <v>38.596354894088577</v>
      </c>
      <c r="J48" s="337">
        <f t="shared" si="19"/>
        <v>65.481471305953832</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339</v>
      </c>
      <c r="C49" s="342">
        <f>BS!$C$66*C53</f>
        <v>1430.37</v>
      </c>
      <c r="D49" s="288"/>
      <c r="E49" s="289"/>
      <c r="F49" s="288"/>
      <c r="G49" s="342">
        <f>Data!C52</f>
        <v>2340</v>
      </c>
      <c r="H49" s="342">
        <f>Data!D52</f>
        <v>1390.845307</v>
      </c>
      <c r="I49" s="342">
        <f>Data!E52</f>
        <v>337.25969199999997</v>
      </c>
      <c r="J49" s="342">
        <f>Data!F52</f>
        <v>572.18514300000004</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120.69305155463843</v>
      </c>
      <c r="E50" s="268"/>
      <c r="G50" s="329">
        <f>IF(G$4="","",(G47+G48))</f>
        <v>224.79206823259295</v>
      </c>
      <c r="H50" s="329">
        <f t="shared" ref="H50:Q50" si="20">IF(H$4="","",(H47+H48))</f>
        <v>118.39443599706225</v>
      </c>
      <c r="I50" s="329">
        <f t="shared" si="20"/>
        <v>-10.601439105911425</v>
      </c>
      <c r="J50" s="329">
        <f t="shared" si="20"/>
        <v>-16.281703694046172</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0.03</v>
      </c>
      <c r="E53" s="265" t="s">
        <v>332</v>
      </c>
      <c r="G53" s="6">
        <f>IF(Normalized_FCF!G4="","",Normalized_FCF!G49/BS!$C$66)</f>
        <v>4.907821053293903E-2</v>
      </c>
      <c r="H53" s="169"/>
      <c r="I53" s="169"/>
      <c r="J53" s="169"/>
      <c r="K53" s="169"/>
      <c r="L53" s="169"/>
      <c r="M53" s="169"/>
      <c r="N53" s="169"/>
      <c r="O53" s="169"/>
      <c r="P53" s="169"/>
      <c r="Q53" s="169"/>
    </row>
    <row r="54" spans="1:17" ht="15.75" customHeight="1">
      <c r="A54" s="10"/>
      <c r="B54" s="8" t="s">
        <v>87</v>
      </c>
      <c r="C54" s="82">
        <f>G54</f>
        <v>1.3902360168121564E-2</v>
      </c>
      <c r="E54" s="265" t="s">
        <v>333</v>
      </c>
      <c r="G54" s="23">
        <f>IFERROR(ABS(Normalized_FCF!G47/BS!$G$31),0)</f>
        <v>1.3902360168121564E-2</v>
      </c>
      <c r="H54" s="169"/>
      <c r="I54" s="169"/>
      <c r="J54" s="169"/>
      <c r="K54" s="169"/>
      <c r="L54" s="169"/>
      <c r="M54" s="169"/>
      <c r="N54" s="169"/>
      <c r="O54" s="169"/>
      <c r="P54" s="169"/>
      <c r="Q54" s="169"/>
    </row>
    <row r="55" spans="1:17" ht="15.75" customHeight="1">
      <c r="A55" s="10"/>
      <c r="B55" s="26" t="s">
        <v>90</v>
      </c>
      <c r="C55" s="42">
        <f>-C8/C47</f>
        <v>60.274889749707867</v>
      </c>
      <c r="E55" s="268"/>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158</v>
      </c>
      <c r="C59" s="328">
        <f>BS!$C68*C67</f>
        <v>639</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193</v>
      </c>
      <c r="C61" s="329">
        <f>SUM(C58:C60)</f>
        <v>639</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-503</v>
      </c>
      <c r="H62" s="328">
        <f>Data!D58</f>
        <v>203.76488900000004</v>
      </c>
      <c r="I62" s="328">
        <f>Data!E58</f>
        <v>-503.75612799999999</v>
      </c>
      <c r="J62" s="328">
        <f>Data!F58</f>
        <v>-726.80948300000091</v>
      </c>
      <c r="K62" s="328">
        <f>Data!G58</f>
        <v>-3450</v>
      </c>
      <c r="L62" s="328" t="str">
        <f>Data!H58</f>
        <v/>
      </c>
      <c r="M62" s="328" t="str">
        <f>Data!I58</f>
        <v/>
      </c>
      <c r="N62" s="328" t="str">
        <f>Data!J58</f>
        <v/>
      </c>
      <c r="O62" s="328" t="str">
        <f>Data!K58</f>
        <v/>
      </c>
      <c r="P62" s="328" t="str">
        <f>Data!L58</f>
        <v/>
      </c>
      <c r="Q62" s="328" t="str">
        <f>Data!M58</f>
        <v/>
      </c>
    </row>
    <row r="63" spans="1:17" ht="15.75" customHeight="1">
      <c r="A63" s="10"/>
      <c r="B63" s="31" t="s">
        <v>194</v>
      </c>
      <c r="C63" s="329">
        <f>C61+C62</f>
        <v>639</v>
      </c>
      <c r="E63" s="268"/>
      <c r="G63" s="329">
        <f t="shared" ref="G63:Q63" si="23">IF(G4="","",G61+G62)</f>
        <v>136</v>
      </c>
      <c r="H63" s="329">
        <f t="shared" si="23"/>
        <v>1130.764889</v>
      </c>
      <c r="I63" s="329">
        <f t="shared" si="23"/>
        <v>-503.75612799999999</v>
      </c>
      <c r="J63" s="329">
        <f t="shared" si="23"/>
        <v>-726.80948300000091</v>
      </c>
      <c r="K63" s="329">
        <f t="shared" si="23"/>
        <v>-3450</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2.6966576637407157E-2</v>
      </c>
      <c r="E67" s="268"/>
      <c r="G67" s="23">
        <f>IFERROR(G59/BS!$C$68,0)</f>
        <v>2.6966576637407157E-2</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8.7649511686601553E-3</v>
      </c>
      <c r="D69" s="9"/>
      <c r="E69" s="273"/>
      <c r="F69" s="9"/>
      <c r="G69" s="71">
        <f>G61/BS!C70</f>
        <v>8.7649511686601553E-3</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0.57805815639048053</v>
      </c>
      <c r="D73" s="27"/>
      <c r="E73" s="265"/>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0.42194184360951947</v>
      </c>
      <c r="D74" s="27"/>
      <c r="E74" s="265"/>
      <c r="F74" s="27"/>
      <c r="G74" s="65">
        <f t="shared" ref="G74:Q74" si="25">IF(G$4="","",ABS(G6/G$4))</f>
        <v>0.39030233884768967</v>
      </c>
      <c r="H74" s="65">
        <f t="shared" si="25"/>
        <v>0.45358134837134922</v>
      </c>
      <c r="I74" s="65">
        <f t="shared" si="25"/>
        <v>0.52187779802247813</v>
      </c>
      <c r="J74" s="65">
        <f t="shared" si="25"/>
        <v>0.54173756489930058</v>
      </c>
      <c r="K74" s="65">
        <f t="shared" si="25"/>
        <v>0.5860370307457109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0.1262407301768397</v>
      </c>
      <c r="D75" s="27"/>
      <c r="E75" s="265"/>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c r="A76" s="10"/>
      <c r="B76" s="29" t="s">
        <v>151</v>
      </c>
      <c r="C76" s="78">
        <f>ABS(C8/C$4)</f>
        <v>0.2957011134326798</v>
      </c>
      <c r="D76" s="27"/>
      <c r="E76" s="265"/>
      <c r="F76" s="27"/>
      <c r="G76" s="65">
        <f t="shared" ref="G76:Q76" si="27">IF(G$4="","",ABS(G8/G$4))</f>
        <v>0.26662863662293212</v>
      </c>
      <c r="H76" s="65">
        <f t="shared" si="27"/>
        <v>0.35855567713155456</v>
      </c>
      <c r="I76" s="65">
        <f t="shared" si="27"/>
        <v>0.4664495518882304</v>
      </c>
      <c r="J76" s="65">
        <f t="shared" si="27"/>
        <v>0.50804261312921806</v>
      </c>
      <c r="K76" s="65">
        <f t="shared" si="27"/>
        <v>0.5860370307457109</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1.8254420992584137E-2</v>
      </c>
      <c r="D77" s="27"/>
      <c r="E77" s="265"/>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1.8254420992584137E-2</v>
      </c>
      <c r="D78" s="27"/>
      <c r="E78" s="266" t="s">
        <v>464</v>
      </c>
      <c r="F78" s="27"/>
      <c r="G78" s="6">
        <f t="shared" ref="G78:Q78" si="29">IF(G$4="","",-G10/G$4)</f>
        <v>7.8722190530519116E-3</v>
      </c>
      <c r="H78" s="6">
        <f t="shared" si="29"/>
        <v>9.0901439272788494E-3</v>
      </c>
      <c r="I78" s="6">
        <f t="shared" si="29"/>
        <v>1.1566229000166427E-2</v>
      </c>
      <c r="J78" s="6">
        <f t="shared" si="29"/>
        <v>7.6185555491919766E-3</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152</v>
      </c>
      <c r="C79" s="78">
        <f>ABS(C11/C$4)</f>
        <v>7.2903593839132919E-2</v>
      </c>
      <c r="D79" s="27"/>
      <c r="E79" s="265"/>
      <c r="F79" s="27"/>
      <c r="G79" s="65">
        <f t="shared" ref="G79:Q79" si="30">IF(G$4="","",G11/G$4)</f>
        <v>7.2903593839132919E-2</v>
      </c>
      <c r="H79" s="65">
        <f t="shared" si="30"/>
        <v>7.8023735375810116E-2</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1.3769886087237698E-2</v>
      </c>
      <c r="D80" s="27"/>
      <c r="E80" s="265"/>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163</v>
      </c>
      <c r="C81" s="78">
        <f>C13/C4</f>
        <v>0.38237459335905039</v>
      </c>
      <c r="D81" s="27"/>
      <c r="E81" s="265"/>
      <c r="F81" s="27"/>
      <c r="G81" s="65">
        <f t="shared" ref="G81:Q81" si="32">IF(G$4="","",G13/G$4)</f>
        <v>0.37556098895979384</v>
      </c>
      <c r="H81" s="65">
        <f t="shared" si="32"/>
        <v>0.45411955525604425</v>
      </c>
      <c r="I81" s="65">
        <f t="shared" si="32"/>
        <v>0.46577216802347499</v>
      </c>
      <c r="J81" s="65">
        <f t="shared" si="32"/>
        <v>0.5073762415839953</v>
      </c>
      <c r="K81" s="65">
        <f t="shared" si="32"/>
        <v>0.5860370307457109</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9.1769902406172096E-2</v>
      </c>
      <c r="D82" s="27"/>
      <c r="E82" s="265"/>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2.6092079791263361E-3</v>
      </c>
      <c r="D83" s="27"/>
      <c r="E83" s="265"/>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153</v>
      </c>
      <c r="C84" s="78">
        <f>ABS(C16/C$4)</f>
        <v>0.28799548297375194</v>
      </c>
      <c r="D84" s="27"/>
      <c r="E84" s="265"/>
      <c r="F84" s="27"/>
      <c r="G84" s="65">
        <f t="shared" ref="G84:Q84" si="35">IF(G$4="","",ABS(G16/G$4))</f>
        <v>0.31634821086509901</v>
      </c>
      <c r="H84" s="65">
        <f t="shared" si="35"/>
        <v>0.3790556020534519</v>
      </c>
      <c r="I84" s="65">
        <f t="shared" si="35"/>
        <v>0.37957031940615032</v>
      </c>
      <c r="J84" s="65">
        <f t="shared" si="35"/>
        <v>0.40379784250087269</v>
      </c>
      <c r="K84" s="65">
        <f t="shared" si="35"/>
        <v>0.5860370307457109</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0.28799548297375194</v>
      </c>
      <c r="D87" s="75"/>
      <c r="E87" s="265"/>
      <c r="F87" s="75"/>
      <c r="G87" s="65">
        <f t="shared" ref="G87:Q87" si="36">IF(G$4="","",ABS(G19/G$4))</f>
        <v>0.31634821086509901</v>
      </c>
      <c r="H87" s="65">
        <f t="shared" si="36"/>
        <v>0.3790556020534519</v>
      </c>
      <c r="I87" s="65">
        <f t="shared" si="36"/>
        <v>0.37957031940615032</v>
      </c>
      <c r="J87" s="65">
        <f t="shared" si="36"/>
        <v>0.40379784250087269</v>
      </c>
      <c r="K87" s="65">
        <f t="shared" si="36"/>
        <v>0.5860370307457109</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0.57999999999999996</v>
      </c>
      <c r="E90" s="268"/>
      <c r="G90" s="112">
        <f>Data!C65</f>
        <v>0.57999999999999996</v>
      </c>
      <c r="H90" s="112">
        <f>Data!D65</f>
        <v>0.57999999999999996</v>
      </c>
      <c r="I90" s="112">
        <f>Data!E65</f>
        <v>0.56999999999999995</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4739.6903628800001</v>
      </c>
      <c r="E91" s="268"/>
      <c r="G91" s="74">
        <f t="shared" ref="G91:Q91" si="37">IF(G$4="","",G90*Common_Shares/scaling_factor)</f>
        <v>4739.6903628800001</v>
      </c>
      <c r="H91" s="74">
        <f t="shared" si="37"/>
        <v>4739.6903628800001</v>
      </c>
      <c r="I91" s="74">
        <f t="shared" si="37"/>
        <v>4657.9715635199991</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212</v>
      </c>
      <c r="C92" s="23">
        <f>C90/(C19*scaling_factor/Common_Shares)</f>
        <v>1.8776401969295582</v>
      </c>
      <c r="E92" s="268"/>
      <c r="G92" s="170">
        <f t="shared" ref="G92:Q92" si="38">IF(G$4="","",G90/(G19*scaling_factor/Common_Shares))</f>
        <v>1.7093565785843898</v>
      </c>
      <c r="H92" s="170">
        <f t="shared" si="38"/>
        <v>1.0524320260941227</v>
      </c>
      <c r="I92" s="170">
        <f t="shared" si="38"/>
        <v>0.78410570190553441</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6.7052023121387277E-2</v>
      </c>
      <c r="E94" s="268"/>
      <c r="G94" s="23">
        <f t="shared" ref="G94:Q94" si="39">IF(G$4="","",(G90*(1-dividend_tax_rate))/Market_Price)</f>
        <v>6.7052023121387277E-2</v>
      </c>
      <c r="H94" s="23">
        <f t="shared" si="39"/>
        <v>6.7052023121387277E-2</v>
      </c>
      <c r="I94" s="23">
        <f t="shared" si="39"/>
        <v>6.5895953757225428E-2</v>
      </c>
      <c r="J94" s="23">
        <f t="shared" si="39"/>
        <v>0</v>
      </c>
      <c r="K94" s="23">
        <f t="shared" si="39"/>
        <v>0</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v>
      </c>
      <c r="D97" s="27"/>
      <c r="E97" s="265"/>
      <c r="F97" s="27"/>
      <c r="G97" s="6">
        <f t="shared" ref="G97:Q97" si="40">IF(H4="","",G4/H4-1)</f>
        <v>-0.26226748590186011</v>
      </c>
      <c r="H97" s="6">
        <f t="shared" si="40"/>
        <v>-0.2408579989228844</v>
      </c>
      <c r="I97" s="6">
        <f t="shared" si="40"/>
        <v>-0.35945953217712834</v>
      </c>
      <c r="J97" s="6">
        <f t="shared" si="40"/>
        <v>3.150394387463904</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163</v>
      </c>
      <c r="C98" s="77">
        <f>C13/G13-1</f>
        <v>1.8142471128666626E-2</v>
      </c>
      <c r="D98" s="27"/>
      <c r="E98" s="265"/>
      <c r="F98" s="27"/>
      <c r="G98" s="6">
        <f t="shared" ref="G98:Q98" si="41">IF(H5="","",G13/H13-1)</f>
        <v>-0.38988852302060206</v>
      </c>
      <c r="H98" s="6">
        <f t="shared" si="41"/>
        <v>-0.2598500907251543</v>
      </c>
      <c r="I98" s="6">
        <f t="shared" si="41"/>
        <v>-0.41198286803257977</v>
      </c>
      <c r="J98" s="6">
        <f t="shared" si="41"/>
        <v>2.5933079224075231</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180996</v>
      </c>
      <c r="D102" s="26"/>
      <c r="E102" s="269"/>
      <c r="F102" s="26"/>
      <c r="G102" s="333">
        <f t="shared" ref="G102:Q102" si="42">IF(G$4="","",G106+G105)</f>
        <v>180996</v>
      </c>
      <c r="H102" s="333">
        <f t="shared" si="42"/>
        <v>174007</v>
      </c>
      <c r="I102" s="333">
        <f t="shared" si="42"/>
        <v>0</v>
      </c>
      <c r="J102" s="333">
        <f t="shared" si="42"/>
        <v>0</v>
      </c>
      <c r="K102" s="333">
        <f t="shared" si="42"/>
        <v>0</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209</v>
      </c>
      <c r="C103" s="345">
        <f>BS!C4</f>
        <v>8029</v>
      </c>
      <c r="D103" s="89"/>
      <c r="E103" s="270"/>
      <c r="F103" s="89"/>
      <c r="G103" s="346">
        <f>IF(G$4="","",Data!D77)</f>
        <v>7251</v>
      </c>
      <c r="H103" s="346">
        <f>IF(H$4="","",Data!E77)</f>
        <v>0</v>
      </c>
      <c r="I103" s="346">
        <f>IF(I$4="","",Data!F77)</f>
        <v>0</v>
      </c>
      <c r="J103" s="346">
        <f>IF(J$4="","",Data!G77)</f>
        <v>0</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210</v>
      </c>
      <c r="C104" s="345">
        <f>BS!C6+BS!C7</f>
        <v>15310</v>
      </c>
      <c r="D104" s="89"/>
      <c r="E104" s="270"/>
      <c r="F104" s="89"/>
      <c r="G104" s="346">
        <f>IF(G$4="","",Data!D78)</f>
        <v>16389</v>
      </c>
      <c r="H104" s="346">
        <f>IF(H$4="","",Data!E78)</f>
        <v>0</v>
      </c>
      <c r="I104" s="346">
        <f>IF(I$4="","",Data!F78)</f>
        <v>0</v>
      </c>
      <c r="J104" s="346">
        <f>IF(J$4="","",Data!G78)</f>
        <v>0</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40</v>
      </c>
      <c r="C105" s="344">
        <f>BS!G30</f>
        <v>13889</v>
      </c>
      <c r="D105" s="26"/>
      <c r="E105" s="269"/>
      <c r="F105" s="26"/>
      <c r="G105" s="333">
        <f>Data!C79</f>
        <v>13889</v>
      </c>
      <c r="H105" s="333">
        <f>Data!D79</f>
        <v>10902</v>
      </c>
      <c r="I105" s="333">
        <f>Data!E79</f>
        <v>0</v>
      </c>
      <c r="J105" s="333">
        <f>Data!F79</f>
        <v>0</v>
      </c>
      <c r="K105" s="333">
        <f>Data!G79</f>
        <v>0</v>
      </c>
      <c r="L105" s="333" t="str">
        <f>Data!H79</f>
        <v/>
      </c>
      <c r="M105" s="333" t="str">
        <f>Data!I79</f>
        <v/>
      </c>
      <c r="N105" s="333" t="str">
        <f>Data!J79</f>
        <v/>
      </c>
      <c r="O105" s="333" t="str">
        <f>Data!K79</f>
        <v/>
      </c>
      <c r="P105" s="333" t="str">
        <f>Data!L79</f>
        <v/>
      </c>
      <c r="Q105" s="333" t="str">
        <f>Data!M79</f>
        <v/>
      </c>
    </row>
    <row r="106" spans="1:17" ht="15.75" customHeight="1">
      <c r="A106" s="10"/>
      <c r="B106" s="26" t="s">
        <v>30</v>
      </c>
      <c r="C106" s="344">
        <f>BS!G27</f>
        <v>167107</v>
      </c>
      <c r="D106" s="26"/>
      <c r="E106" s="269"/>
      <c r="F106" s="26"/>
      <c r="G106" s="333">
        <f>Data!C80</f>
        <v>167107</v>
      </c>
      <c r="H106" s="333">
        <f>Data!D80</f>
        <v>163105</v>
      </c>
      <c r="I106" s="333">
        <f>Data!E80</f>
        <v>0</v>
      </c>
      <c r="J106" s="333">
        <f>Data!F80</f>
        <v>0</v>
      </c>
      <c r="K106" s="333">
        <f>Data!G80</f>
        <v>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0.91602966343411296</v>
      </c>
      <c r="D109" s="26"/>
      <c r="E109" s="269"/>
      <c r="F109" s="26"/>
      <c r="G109" s="94">
        <f t="shared" ref="G109:Q109" si="43">IF(G$4="","",G103/G$4)</f>
        <v>0.82726754135767255</v>
      </c>
      <c r="H109" s="94">
        <f t="shared" si="43"/>
        <v>0</v>
      </c>
      <c r="I109" s="94">
        <f t="shared" si="43"/>
        <v>0</v>
      </c>
      <c r="J109" s="94">
        <f t="shared" si="43"/>
        <v>0</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217</v>
      </c>
      <c r="C110" s="94">
        <f>C104/C$4</f>
        <v>1.7467199087278951</v>
      </c>
      <c r="D110" s="26"/>
      <c r="E110" s="269"/>
      <c r="F110" s="26"/>
      <c r="G110" s="94">
        <f t="shared" ref="G110:Q110" si="44">IF(G$4="","",G104/G$4)</f>
        <v>1.8698231602966344</v>
      </c>
      <c r="H110" s="94">
        <f t="shared" si="44"/>
        <v>0</v>
      </c>
      <c r="I110" s="94">
        <f t="shared" si="44"/>
        <v>0</v>
      </c>
      <c r="J110" s="94">
        <f t="shared" si="44"/>
        <v>0</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69</v>
      </c>
      <c r="C111" s="94">
        <f>BS!$G$38/C$4</f>
        <v>8.343867655447804</v>
      </c>
      <c r="D111" s="26"/>
      <c r="E111" s="269"/>
      <c r="F111" s="26"/>
      <c r="G111" s="94">
        <f>BS!$G$38/G$4</f>
        <v>8.343867655447804</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v>
      </c>
      <c r="H114" s="295">
        <f>IF(H$4="","",Data!D$22/Data!D15)</f>
        <v>0</v>
      </c>
      <c r="I114" s="295">
        <f>IF(I$4="","",Data!E$22/Data!E15)</f>
        <v>0</v>
      </c>
      <c r="J114" s="295">
        <f>IF(J$4="","",Data!F$22/Data!F15)</f>
        <v>0</v>
      </c>
      <c r="K114" s="295" t="e">
        <f>IF(K$4="","",Data!G$22/Data!G15)</f>
        <v>#DIV/0!</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0</v>
      </c>
      <c r="H115" s="295">
        <f>IF(H$4="","",Data!D$22/H19)</f>
        <v>0</v>
      </c>
      <c r="I115" s="295">
        <f>IF(I$4="","",Data!E$22/I19)</f>
        <v>0</v>
      </c>
      <c r="J115" s="295">
        <f>IF(J$4="","",Data!F$22/J19)</f>
        <v>0</v>
      </c>
      <c r="K115" s="295">
        <f>IF(K$4="","",Data!G$22/K19)</f>
        <v>0</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0.38237459335905039</v>
      </c>
      <c r="E118" s="268"/>
      <c r="G118" s="23">
        <f t="shared" ref="G118:Q118" si="45">IF(G4="","",IF(valuation_method="DDM",G13/(G4+G12),G81))</f>
        <v>0.37556098895979384</v>
      </c>
      <c r="H118" s="23">
        <f t="shared" si="45"/>
        <v>0.45411955525604425</v>
      </c>
      <c r="I118" s="23">
        <f t="shared" si="45"/>
        <v>0.46577216802347499</v>
      </c>
      <c r="J118" s="23">
        <f t="shared" si="45"/>
        <v>0.5073762415839953</v>
      </c>
      <c r="K118" s="23">
        <f t="shared" si="45"/>
        <v>0.5860370307457109</v>
      </c>
      <c r="L118" s="23" t="str">
        <f t="shared" si="45"/>
        <v/>
      </c>
      <c r="M118" s="23" t="str">
        <f t="shared" si="45"/>
        <v/>
      </c>
      <c r="N118" s="23" t="str">
        <f t="shared" si="45"/>
        <v/>
      </c>
      <c r="O118" s="23" t="str">
        <f t="shared" si="45"/>
        <v/>
      </c>
      <c r="P118" s="23" t="str">
        <f t="shared" si="45"/>
        <v/>
      </c>
      <c r="Q118" s="23" t="str">
        <f t="shared" si="45"/>
        <v/>
      </c>
    </row>
    <row r="119" spans="1:17" ht="15.75" customHeight="1">
      <c r="B119" s="7" t="s">
        <v>83</v>
      </c>
      <c r="C119" s="42">
        <f>IF(valuation_method="DDM",(C4+C12)/C102,C4/C102)</f>
        <v>4.8426484563194767E-2</v>
      </c>
      <c r="E119" s="268"/>
      <c r="G119" s="42">
        <f t="shared" ref="G119:Q119" si="46">IF(G4="","",IF(valuation_method="DDM",(G4+G12)/G102,G4/G102))</f>
        <v>4.8426484563194767E-2</v>
      </c>
      <c r="H119" s="42">
        <f t="shared" si="46"/>
        <v>6.8278862344618316E-2</v>
      </c>
      <c r="I119" s="42" t="e">
        <f t="shared" si="46"/>
        <v>#DIV/0!</v>
      </c>
      <c r="J119" s="42" t="e">
        <f t="shared" si="46"/>
        <v>#DIV/0!</v>
      </c>
      <c r="K119" s="42" t="e">
        <f t="shared" si="46"/>
        <v>#DIV/0!</v>
      </c>
      <c r="L119" s="42" t="str">
        <f t="shared" si="46"/>
        <v/>
      </c>
      <c r="M119" s="42" t="str">
        <f t="shared" si="46"/>
        <v/>
      </c>
      <c r="N119" s="42" t="str">
        <f t="shared" si="46"/>
        <v/>
      </c>
      <c r="O119" s="42" t="str">
        <f t="shared" si="46"/>
        <v/>
      </c>
      <c r="P119" s="42" t="str">
        <f t="shared" si="46"/>
        <v/>
      </c>
      <c r="Q119" s="42" t="str">
        <f t="shared" si="46"/>
        <v/>
      </c>
    </row>
    <row r="120" spans="1:17" ht="15.75" customHeight="1">
      <c r="B120" s="7" t="s">
        <v>91</v>
      </c>
      <c r="C120" s="15">
        <f>C102/C106</f>
        <v>1.0831144117242246</v>
      </c>
      <c r="D120" s="11"/>
      <c r="E120" s="272"/>
      <c r="F120" s="11"/>
      <c r="G120" s="15">
        <f t="shared" ref="G120:Q120" si="47">IF(G$4="","",G102/G106)</f>
        <v>1.0831144117242246</v>
      </c>
      <c r="H120" s="15">
        <f t="shared" si="47"/>
        <v>1.0668403788970295</v>
      </c>
      <c r="I120" s="15" t="e">
        <f t="shared" si="47"/>
        <v>#DIV/0!</v>
      </c>
      <c r="J120" s="15" t="e">
        <f t="shared" si="47"/>
        <v>#DIV/0!</v>
      </c>
      <c r="K120" s="15" t="e">
        <f t="shared" si="47"/>
        <v>#DIV/0!</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221</v>
      </c>
      <c r="C121" s="102">
        <f>C13/C106</f>
        <v>2.0056091670558843E-2</v>
      </c>
      <c r="D121" s="103"/>
      <c r="E121" s="271"/>
      <c r="F121" s="103"/>
      <c r="G121" s="102">
        <f t="shared" ref="G121:Q121" si="48">IF(G$4="","",G13/G106)</f>
        <v>1.9698708421745308E-2</v>
      </c>
      <c r="H121" s="102">
        <f t="shared" si="48"/>
        <v>3.3079270629331178E-2</v>
      </c>
      <c r="I121" s="102" t="e">
        <f t="shared" si="48"/>
        <v>#DIV/0!</v>
      </c>
      <c r="J121" s="102" t="e">
        <f t="shared" si="48"/>
        <v>#DIV/0!</v>
      </c>
      <c r="K121" s="102" t="e">
        <f t="shared" si="48"/>
        <v>#DIV/0!</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0.308898371982265</v>
      </c>
      <c r="D125" s="27"/>
      <c r="E125" s="265"/>
      <c r="F125" s="27"/>
      <c r="G125" s="177">
        <f t="shared" ref="G125:Q125" si="49">IF(G$4="","",G16*$C$3/Common_Shares*Exchange_Rate)</f>
        <v>0.33930895827500729</v>
      </c>
      <c r="H125" s="177">
        <f t="shared" si="49"/>
        <v>0.55110447574704324</v>
      </c>
      <c r="I125" s="177">
        <f t="shared" si="49"/>
        <v>0.72694280709193337</v>
      </c>
      <c r="J125" s="177">
        <f t="shared" si="49"/>
        <v>1.2073284089554635</v>
      </c>
      <c r="K125" s="177">
        <f t="shared" si="49"/>
        <v>0.42217947730748451</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3.5710794448816759E-2</v>
      </c>
      <c r="D126" s="27"/>
      <c r="E126" s="265"/>
      <c r="F126" s="27"/>
      <c r="G126" s="77">
        <f t="shared" ref="G126" si="50">IF(G$4="","",G125/Market_Price)</f>
        <v>3.9226469164740728E-2</v>
      </c>
      <c r="H126" s="77">
        <f t="shared" ref="H126" si="51">IF(H$4="","",H125/Market_Price)</f>
        <v>6.3711500086363379E-2</v>
      </c>
      <c r="I126" s="77">
        <f t="shared" ref="I126" si="52">IF(I$4="","",I125/Market_Price)</f>
        <v>8.4039630877680155E-2</v>
      </c>
      <c r="J126" s="77">
        <f t="shared" ref="J126" si="53">IF(J$4="","",J125/Market_Price)</f>
        <v>0.13957553860756802</v>
      </c>
      <c r="K126" s="77">
        <f t="shared" ref="K126" si="54">IF(K$4="","",K125/Market_Price)</f>
        <v>4.8806875989304568E-2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6.0138559371169187E-2</v>
      </c>
      <c r="H127" s="23">
        <f>IF(H$4="","",(Data!D47*$C$3)/(Market_Price*Common_Shares))</f>
        <v>8.3183892990466898E-2</v>
      </c>
      <c r="I127" s="23">
        <f>IF(I$4="","",(Data!E47*$C$3)/(Market_Price*Common_Shares))</f>
        <v>8.1138199454066182E-2</v>
      </c>
      <c r="J127" s="23">
        <f>IF(J$4="","",(Data!F47*$C$3)/(Market_Price*Common_Shares))</f>
        <v>0.13646171917657235</v>
      </c>
      <c r="K127" s="23">
        <f>IF(K$4="","",(Data!G47*$C$3)/(Market_Price*Common_Shares))</f>
        <v>0</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2524.2804082649359</v>
      </c>
      <c r="D4" t="str">
        <f>Reporting_currency</f>
        <v>HKD</v>
      </c>
      <c r="E4" s="100" t="s">
        <v>249</v>
      </c>
      <c r="F4" s="134">
        <f>Terminal_Growth</f>
        <v>0</v>
      </c>
      <c r="H4" s="120"/>
    </row>
    <row r="5" spans="2:8">
      <c r="B5" s="205" t="s">
        <v>122</v>
      </c>
      <c r="C5" s="206">
        <f>Equity_Cost</f>
        <v>8.4999999999999992E-2</v>
      </c>
      <c r="E5" s="148"/>
      <c r="H5" s="120"/>
    </row>
    <row r="6" spans="2:8" ht="13.35" customHeight="1">
      <c r="B6" s="149" t="s">
        <v>227</v>
      </c>
      <c r="C6" s="347">
        <f>(C4*(1+Terminal_Growth))/(Equity_Cost-Terminal_Growth)</f>
        <v>29697.416567822776</v>
      </c>
      <c r="D6" t="str">
        <f>Reporting_currency</f>
        <v>HKD</v>
      </c>
      <c r="E6" s="366" t="s">
        <v>248</v>
      </c>
      <c r="F6" s="366"/>
      <c r="H6" s="120"/>
    </row>
    <row r="7" spans="2:8">
      <c r="B7" s="148" t="s">
        <v>223</v>
      </c>
      <c r="C7" s="338">
        <f>BS!G31</f>
        <v>3093</v>
      </c>
      <c r="D7" t="str">
        <f>Reporting_currency</f>
        <v>HKD</v>
      </c>
      <c r="E7" s="366"/>
      <c r="F7" s="366"/>
      <c r="H7" s="120"/>
    </row>
    <row r="8" spans="2:8">
      <c r="B8" s="148" t="s">
        <v>224</v>
      </c>
      <c r="C8" s="338">
        <f>BS!D66</f>
        <v>42222.564948178719</v>
      </c>
      <c r="D8" t="str">
        <f>Reporting_currency</f>
        <v>HKD</v>
      </c>
      <c r="E8" s="366"/>
      <c r="F8" s="366"/>
      <c r="H8" s="120"/>
    </row>
    <row r="9" spans="2:8">
      <c r="B9" s="205" t="s">
        <v>189</v>
      </c>
      <c r="C9" s="348">
        <f>BS!H42</f>
        <v>7814.4</v>
      </c>
      <c r="D9" t="str">
        <f>Reporting_currency</f>
        <v>HKD</v>
      </c>
      <c r="E9" s="366"/>
      <c r="F9" s="366"/>
      <c r="H9" s="120"/>
    </row>
    <row r="10" spans="2:8" ht="13.15">
      <c r="B10" s="149" t="s">
        <v>226</v>
      </c>
      <c r="C10" s="347">
        <f>C6-C7+C8+C9</f>
        <v>76641.381516001493</v>
      </c>
      <c r="D10" t="str">
        <f>Reporting_currency</f>
        <v>HKD</v>
      </c>
      <c r="H10" s="120"/>
    </row>
    <row r="11" spans="2:8" ht="13.15" thickBot="1">
      <c r="B11" s="207" t="s">
        <v>165</v>
      </c>
      <c r="C11" s="208">
        <f>Exchange_Rate</f>
        <v>1</v>
      </c>
      <c r="D11" t="str">
        <f>Thesis!C15</f>
        <v>HKD</v>
      </c>
      <c r="H11" s="120"/>
    </row>
    <row r="12" spans="2:8" ht="13.5" thickTop="1">
      <c r="B12" s="149" t="s">
        <v>102</v>
      </c>
      <c r="C12" s="111">
        <f>(C10*scaling_factor)/Common_Shares*Exchange_Rate</f>
        <v>9.3786719966808736</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-1.5334906308317399E-3</v>
      </c>
      <c r="H16" s="120"/>
    </row>
    <row r="17" spans="2:17" ht="13.35" customHeight="1">
      <c r="B17" s="118" t="s">
        <v>133</v>
      </c>
      <c r="C17" s="162">
        <f>Scenarios!C64</f>
        <v>10</v>
      </c>
      <c r="H17" s="120"/>
    </row>
    <row r="18" spans="2:17" ht="13.35" customHeight="1">
      <c r="B18" s="153" t="s">
        <v>106</v>
      </c>
      <c r="C18" s="140">
        <f>(F52-C7+C8+C9)*Exchange_Rate/Common_Shares*scaling_factor</f>
        <v>9.3612446307874944</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2520.4094479092696</v>
      </c>
      <c r="D21" s="138">
        <f>IF($C$17&lt;B21,0,DCF!$C$16)</f>
        <v>-1.5334906308317399E-3</v>
      </c>
      <c r="E21" s="124">
        <f t="shared" ref="E21:E50" si="0">IF($C$17&lt;B21,0,1/(1+Equity_Cost)^B21)</f>
        <v>0.92165898617511521</v>
      </c>
      <c r="F21" s="125">
        <f t="shared" ref="F21:F51" si="1">C21*E21</f>
        <v>2322.9580165062393</v>
      </c>
      <c r="H21" s="120"/>
    </row>
    <row r="22" spans="2:17">
      <c r="B22" s="122">
        <v>2</v>
      </c>
      <c r="C22" s="123">
        <f t="shared" ref="C22:C50" si="2">IF(ROW()-ROW($C$21)&lt;$C$17, $C$21*(1+D22)^(ROW()-ROW($C$21)), 0)</f>
        <v>2516.5444236350409</v>
      </c>
      <c r="D22" s="138">
        <f>IF($C$17&lt;B22,0,DCF!$C$16)</f>
        <v>-1.5334906308317399E-3</v>
      </c>
      <c r="E22" s="124">
        <f t="shared" si="0"/>
        <v>0.84945528679734128</v>
      </c>
      <c r="F22" s="125">
        <f t="shared" si="1"/>
        <v>2137.6919651171534</v>
      </c>
      <c r="H22" s="120"/>
    </row>
    <row r="23" spans="2:17">
      <c r="B23" s="122">
        <v>3</v>
      </c>
      <c r="C23" s="123">
        <f t="shared" si="2"/>
        <v>2512.6853263393245</v>
      </c>
      <c r="D23" s="138">
        <f>IF($C$17&lt;B23,0,DCF!$C$16)</f>
        <v>-1.5334906308317399E-3</v>
      </c>
      <c r="E23" s="124">
        <f t="shared" si="0"/>
        <v>0.78290809843072917</v>
      </c>
      <c r="F23" s="125">
        <f t="shared" si="1"/>
        <v>1967.2016907991167</v>
      </c>
      <c r="G23" s="338"/>
      <c r="H23" s="339"/>
      <c r="I23" s="338"/>
      <c r="J23" s="338"/>
      <c r="K23" s="338"/>
      <c r="L23" s="338"/>
      <c r="M23" s="338"/>
      <c r="N23" s="338"/>
      <c r="O23" s="338"/>
      <c r="P23" s="338"/>
      <c r="Q23" s="338"/>
    </row>
    <row r="24" spans="2:17">
      <c r="B24" s="122">
        <v>4</v>
      </c>
      <c r="C24" s="123">
        <f t="shared" si="2"/>
        <v>2508.8321469331549</v>
      </c>
      <c r="D24" s="138">
        <f>IF($C$17&lt;B24,0,DCF!$C$16)</f>
        <v>-1.5334906308317399E-3</v>
      </c>
      <c r="E24" s="124">
        <f t="shared" si="0"/>
        <v>0.72157428426795334</v>
      </c>
      <c r="F24" s="125">
        <f t="shared" si="1"/>
        <v>1810.3087607717241</v>
      </c>
      <c r="G24" s="338"/>
      <c r="H24" s="339"/>
      <c r="I24" s="338"/>
      <c r="J24" s="338"/>
      <c r="K24" s="338"/>
      <c r="L24" s="338"/>
      <c r="M24" s="338"/>
      <c r="N24" s="338"/>
      <c r="O24" s="338"/>
      <c r="P24" s="338"/>
      <c r="Q24" s="338"/>
    </row>
    <row r="25" spans="2:17">
      <c r="B25" s="122">
        <v>5</v>
      </c>
      <c r="C25" s="123">
        <f t="shared" si="2"/>
        <v>2504.9848763415034</v>
      </c>
      <c r="D25" s="138">
        <f>IF($C$17&lt;B25,0,DCF!$C$16)</f>
        <v>-1.5334906308317399E-3</v>
      </c>
      <c r="E25" s="124">
        <f t="shared" si="0"/>
        <v>0.66504542328843619</v>
      </c>
      <c r="F25" s="125">
        <f t="shared" si="1"/>
        <v>1665.9287274176661</v>
      </c>
      <c r="G25" s="338"/>
      <c r="H25" s="339"/>
      <c r="I25" s="338"/>
      <c r="J25" s="338"/>
      <c r="K25" s="338"/>
      <c r="L25" s="338"/>
      <c r="M25" s="338"/>
      <c r="N25" s="338"/>
      <c r="O25" s="338"/>
      <c r="P25" s="338"/>
      <c r="Q25" s="338"/>
    </row>
    <row r="26" spans="2:17">
      <c r="B26" s="122">
        <v>6</v>
      </c>
      <c r="C26" s="123">
        <f t="shared" si="2"/>
        <v>2501.1435055032584</v>
      </c>
      <c r="D26" s="138">
        <f>IF($C$17&lt;B26,0,DCF!$C$16)</f>
        <v>-1.5334906308317399E-3</v>
      </c>
      <c r="E26" s="124">
        <f t="shared" si="0"/>
        <v>0.6129450905884205</v>
      </c>
      <c r="F26" s="125">
        <f t="shared" si="1"/>
        <v>1533.0636325553344</v>
      </c>
      <c r="H26" s="120"/>
    </row>
    <row r="27" spans="2:17">
      <c r="B27" s="122">
        <v>7</v>
      </c>
      <c r="C27" s="123">
        <f t="shared" si="2"/>
        <v>2497.3080253712037</v>
      </c>
      <c r="D27" s="138">
        <f>IF($C$17&lt;B27,0,DCF!$C$16)</f>
        <v>-1.5334906308317399E-3</v>
      </c>
      <c r="E27" s="124">
        <f t="shared" si="0"/>
        <v>0.56492635077273778</v>
      </c>
      <c r="F27" s="125">
        <f t="shared" si="1"/>
        <v>1410.7951095284259</v>
      </c>
      <c r="H27" s="120"/>
    </row>
    <row r="28" spans="2:17">
      <c r="B28" s="122">
        <v>8</v>
      </c>
      <c r="C28" s="123">
        <f t="shared" si="2"/>
        <v>2493.4784269119959</v>
      </c>
      <c r="D28" s="138">
        <f>IF($C$17&lt;B28,0,DCF!$C$16)</f>
        <v>-1.5334906308317399E-3</v>
      </c>
      <c r="E28" s="124">
        <f t="shared" si="0"/>
        <v>0.52066944771680901</v>
      </c>
      <c r="F28" s="125">
        <f t="shared" si="1"/>
        <v>1298.2780354340466</v>
      </c>
      <c r="H28" s="120"/>
    </row>
    <row r="29" spans="2:17">
      <c r="B29" s="122">
        <v>9</v>
      </c>
      <c r="C29" s="123">
        <f t="shared" si="2"/>
        <v>2489.6547011061448</v>
      </c>
      <c r="D29" s="138">
        <f>IF($C$17&lt;B29,0,DCF!$C$16)</f>
        <v>-1.5334906308317399E-3</v>
      </c>
      <c r="E29" s="124">
        <f t="shared" si="0"/>
        <v>0.4798796753150314</v>
      </c>
      <c r="F29" s="125">
        <f t="shared" si="1"/>
        <v>1194.7346896133583</v>
      </c>
      <c r="H29" s="120"/>
    </row>
    <row r="30" spans="2:17">
      <c r="B30" s="122">
        <v>10</v>
      </c>
      <c r="C30" s="123">
        <f t="shared" si="2"/>
        <v>2485.8368389479924</v>
      </c>
      <c r="D30" s="138">
        <f>IF($C$17&lt;B30,0,DCF!$C$16)</f>
        <v>-1.5334906308317399E-3</v>
      </c>
      <c r="E30" s="124">
        <f t="shared" si="0"/>
        <v>0.44228541503689528</v>
      </c>
      <c r="F30" s="125">
        <f t="shared" si="1"/>
        <v>1099.4493780281166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29651.875857756117</v>
      </c>
      <c r="D51" s="139">
        <f>Terminal_Growth</f>
        <v>0</v>
      </c>
      <c r="E51" s="124">
        <f>1/(1+Equity_Cost)^C17</f>
        <v>0.44228541503689528</v>
      </c>
      <c r="F51" s="125">
        <f t="shared" si="1"/>
        <v>13114.592220370159</v>
      </c>
      <c r="H51" s="120"/>
    </row>
    <row r="52" spans="1:17">
      <c r="C52" s="114"/>
      <c r="E52" s="127" t="s">
        <v>100</v>
      </c>
      <c r="F52" s="137">
        <f>SUM(F21:F51)</f>
        <v>29555.00222614134</v>
      </c>
      <c r="H52" s="120"/>
    </row>
    <row r="53" spans="1:17">
      <c r="C53" s="114"/>
      <c r="H53" s="120"/>
    </row>
    <row r="54" spans="1:17" ht="13.15">
      <c r="B54" s="119" t="s">
        <v>128</v>
      </c>
      <c r="C54" s="136"/>
      <c r="D54" s="136"/>
      <c r="E54" s="117"/>
      <c r="F54" s="117"/>
      <c r="H54" s="120"/>
    </row>
    <row r="55" spans="1:17" ht="13.15">
      <c r="A55" s="133">
        <f>F52</f>
        <v>29555.00222614134</v>
      </c>
      <c r="B55" s="131">
        <f>C78</f>
        <v>-0.1</v>
      </c>
      <c r="C55" s="131">
        <f>C77</f>
        <v>-0.02</v>
      </c>
      <c r="D55" s="131">
        <f>C76</f>
        <v>0</v>
      </c>
      <c r="E55" s="131">
        <f>C75</f>
        <v>0.02</v>
      </c>
      <c r="F55" s="131">
        <f>C74</f>
        <v>0.05</v>
      </c>
      <c r="H55" s="120"/>
    </row>
    <row r="56" spans="1:17" ht="13.15">
      <c r="A56" s="143">
        <v>5</v>
      </c>
      <c r="B56" s="123">
        <f t="dataTable" ref="B56:F61" dt2D="1" dtr="1" r1="C16" r2="C17"/>
        <v>25232.900968573613</v>
      </c>
      <c r="C56" s="123">
        <v>28752.052557087645</v>
      </c>
      <c r="D56" s="123">
        <v>29697.41656782278</v>
      </c>
      <c r="E56" s="123">
        <v>30671.415406130091</v>
      </c>
      <c r="F56" s="123">
        <v>32188.893326587175</v>
      </c>
      <c r="H56" s="120"/>
    </row>
    <row r="57" spans="1:17" ht="13.15">
      <c r="A57" s="143">
        <v>10</v>
      </c>
      <c r="B57" s="123">
        <v>22207.735232977087</v>
      </c>
      <c r="C57" s="123">
        <v>27917.909579052299</v>
      </c>
      <c r="D57" s="123">
        <v>29697.416567822787</v>
      </c>
      <c r="E57" s="123">
        <v>31652.779292302119</v>
      </c>
      <c r="F57" s="123">
        <v>34962.383315560364</v>
      </c>
      <c r="H57" s="120"/>
    </row>
    <row r="58" spans="1:17" ht="13.15">
      <c r="A58" s="143">
        <v>15</v>
      </c>
      <c r="B58" s="123">
        <v>19398.25474639783</v>
      </c>
      <c r="C58" s="341">
        <v>27002.215722284458</v>
      </c>
      <c r="D58" s="123">
        <v>29697.416567822787</v>
      </c>
      <c r="E58" s="123">
        <v>32840.425091866557</v>
      </c>
      <c r="F58" s="123">
        <v>38592.76778653371</v>
      </c>
      <c r="G58" s="338"/>
      <c r="H58" s="339"/>
      <c r="I58" s="338"/>
      <c r="J58" s="338"/>
      <c r="K58" s="338"/>
      <c r="L58" s="338"/>
      <c r="M58" s="338"/>
      <c r="N58" s="338"/>
      <c r="O58" s="338"/>
      <c r="P58" s="338"/>
      <c r="Q58" s="338"/>
    </row>
    <row r="59" spans="1:17" ht="13.15">
      <c r="A59" s="144">
        <v>20</v>
      </c>
      <c r="B59" s="123">
        <v>17216.599869374983</v>
      </c>
      <c r="C59" s="341">
        <v>26176.252669591642</v>
      </c>
      <c r="D59" s="123">
        <v>29697.416567822791</v>
      </c>
      <c r="E59" s="123">
        <v>34023.09044341556</v>
      </c>
      <c r="F59" s="123">
        <v>42522.973388971492</v>
      </c>
      <c r="G59" s="338"/>
      <c r="H59" s="339"/>
      <c r="I59" s="338"/>
      <c r="J59" s="338"/>
      <c r="K59" s="338"/>
      <c r="L59" s="338"/>
      <c r="M59" s="338"/>
      <c r="N59" s="338"/>
      <c r="O59" s="338"/>
      <c r="P59" s="338"/>
      <c r="Q59" s="338"/>
    </row>
    <row r="60" spans="1:17" ht="13.15">
      <c r="A60" s="144">
        <v>25</v>
      </c>
      <c r="B60" s="123">
        <v>15642.6968722281</v>
      </c>
      <c r="C60" s="341">
        <v>25496.509511901309</v>
      </c>
      <c r="D60" s="123">
        <v>29697.416567822791</v>
      </c>
      <c r="E60" s="123">
        <v>35098.055263803675</v>
      </c>
      <c r="F60" s="123">
        <v>46423.356990661821</v>
      </c>
      <c r="G60" s="338"/>
      <c r="H60" s="339"/>
      <c r="I60" s="338"/>
      <c r="J60" s="338"/>
      <c r="K60" s="338"/>
      <c r="L60" s="338"/>
      <c r="M60" s="338"/>
      <c r="N60" s="338"/>
      <c r="O60" s="338"/>
      <c r="P60" s="338"/>
      <c r="Q60" s="338"/>
    </row>
    <row r="61" spans="1:17" ht="13.15">
      <c r="A61" s="144">
        <v>30</v>
      </c>
      <c r="B61" s="123">
        <v>14547.676121079345</v>
      </c>
      <c r="C61" s="341">
        <v>24966.035513960298</v>
      </c>
      <c r="D61" s="123">
        <v>29697.416567822795</v>
      </c>
      <c r="E61" s="123">
        <v>36024.745774998097</v>
      </c>
      <c r="F61" s="123">
        <v>50109.351885683602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-0.1</v>
      </c>
      <c r="C64" s="132">
        <f>C55</f>
        <v>-0.02</v>
      </c>
      <c r="D64" s="132">
        <f>D55</f>
        <v>0</v>
      </c>
      <c r="E64" s="132">
        <f>E55</f>
        <v>0.02</v>
      </c>
      <c r="F64" s="132">
        <f>F55</f>
        <v>0.05</v>
      </c>
      <c r="H64" s="120"/>
    </row>
    <row r="65" spans="1:8" ht="13.15">
      <c r="A65" s="143">
        <v>0</v>
      </c>
      <c r="B65" s="124">
        <f>C12</f>
        <v>9.3786719966808736</v>
      </c>
      <c r="C65" s="124">
        <f>C12</f>
        <v>9.3786719966808736</v>
      </c>
      <c r="D65" s="124">
        <f>C12</f>
        <v>9.3786719966808736</v>
      </c>
      <c r="E65" s="141">
        <f>C12</f>
        <v>9.3786719966808736</v>
      </c>
      <c r="F65" s="124">
        <f>C12</f>
        <v>9.3786719966808736</v>
      </c>
      <c r="H65" s="120"/>
    </row>
    <row r="66" spans="1:8" ht="13.15">
      <c r="A66" s="143">
        <f t="shared" ref="A66:A71" si="3">A56</f>
        <v>5</v>
      </c>
      <c r="B66" s="124">
        <f t="shared" ref="B66:F71" si="4">(B56-$C$7+$C$8+$C$9)/Common_Shares*$C$3*Exchange_Rate</f>
        <v>8.8323453699788086</v>
      </c>
      <c r="C66" s="124">
        <f t="shared" si="4"/>
        <v>9.2629869868497234</v>
      </c>
      <c r="D66" s="124">
        <f t="shared" si="4"/>
        <v>9.3786719966808736</v>
      </c>
      <c r="E66" s="124">
        <f t="shared" si="4"/>
        <v>9.4978610750735335</v>
      </c>
      <c r="F66" s="124">
        <f t="shared" si="4"/>
        <v>9.683556157764615</v>
      </c>
      <c r="H66" s="120"/>
    </row>
    <row r="67" spans="1:8" ht="13.15">
      <c r="A67" s="143">
        <f t="shared" si="3"/>
        <v>10</v>
      </c>
      <c r="B67" s="124">
        <f t="shared" si="4"/>
        <v>8.4621532282331113</v>
      </c>
      <c r="C67" s="124">
        <f t="shared" si="4"/>
        <v>9.1609121907724287</v>
      </c>
      <c r="D67" s="124">
        <f t="shared" si="4"/>
        <v>9.3786719966808771</v>
      </c>
      <c r="E67" s="124">
        <f t="shared" si="4"/>
        <v>9.6179514207293444</v>
      </c>
      <c r="F67" s="124">
        <f t="shared" si="4"/>
        <v>10.022950521202944</v>
      </c>
      <c r="H67" s="120"/>
    </row>
    <row r="68" spans="1:8" ht="13.15">
      <c r="A68" s="143">
        <f t="shared" si="3"/>
        <v>15</v>
      </c>
      <c r="B68" s="124">
        <f t="shared" si="4"/>
        <v>8.1183546765433707</v>
      </c>
      <c r="C68" s="124">
        <f t="shared" si="4"/>
        <v>9.0488579432872331</v>
      </c>
      <c r="D68" s="124">
        <f t="shared" si="4"/>
        <v>9.3786719966808771</v>
      </c>
      <c r="E68" s="124">
        <f t="shared" si="4"/>
        <v>9.7632846621457343</v>
      </c>
      <c r="F68" s="124">
        <f t="shared" si="4"/>
        <v>10.467203801893012</v>
      </c>
      <c r="H68" s="120"/>
    </row>
    <row r="69" spans="1:8" ht="13.15">
      <c r="A69" s="144">
        <f t="shared" si="3"/>
        <v>20</v>
      </c>
      <c r="B69" s="124">
        <f t="shared" si="4"/>
        <v>7.8513836865008129</v>
      </c>
      <c r="C69" s="124">
        <f t="shared" si="4"/>
        <v>8.9477841317332771</v>
      </c>
      <c r="D69" s="124">
        <f t="shared" si="4"/>
        <v>9.3786719966808771</v>
      </c>
      <c r="E69" s="124">
        <f t="shared" si="4"/>
        <v>9.908008441840412</v>
      </c>
      <c r="F69" s="124">
        <f t="shared" si="4"/>
        <v>10.948146453182325</v>
      </c>
      <c r="H69" s="120"/>
    </row>
    <row r="70" spans="1:8" ht="13.15">
      <c r="A70" s="144">
        <f t="shared" si="3"/>
        <v>25</v>
      </c>
      <c r="B70" s="124">
        <f t="shared" si="4"/>
        <v>7.6587838184810577</v>
      </c>
      <c r="C70" s="124">
        <f t="shared" si="4"/>
        <v>8.8646033749167437</v>
      </c>
      <c r="D70" s="124">
        <f t="shared" si="4"/>
        <v>9.3786719966808771</v>
      </c>
      <c r="E70" s="124">
        <f t="shared" si="4"/>
        <v>10.039552814592698</v>
      </c>
      <c r="F70" s="124">
        <f t="shared" si="4"/>
        <v>11.425439760504151</v>
      </c>
    </row>
    <row r="71" spans="1:8" ht="13.15">
      <c r="A71" s="144">
        <f t="shared" si="3"/>
        <v>30</v>
      </c>
      <c r="B71" s="124">
        <f t="shared" si="4"/>
        <v>7.5247851841735693</v>
      </c>
      <c r="C71" s="124">
        <f t="shared" si="4"/>
        <v>8.7996888139961786</v>
      </c>
      <c r="D71" s="124">
        <f t="shared" si="4"/>
        <v>9.3786719966808771</v>
      </c>
      <c r="E71" s="124">
        <f t="shared" si="4"/>
        <v>10.152952732170048</v>
      </c>
      <c r="F71" s="124">
        <f t="shared" si="4"/>
        <v>11.876498136776137</v>
      </c>
    </row>
    <row r="73" spans="1:8" ht="13.15">
      <c r="B73" s="171" t="s">
        <v>116</v>
      </c>
      <c r="C73" s="171" t="s">
        <v>131</v>
      </c>
      <c r="D73" s="171" t="s">
        <v>111</v>
      </c>
      <c r="E73" s="172" t="s">
        <v>112</v>
      </c>
      <c r="F73" s="172" t="s">
        <v>118</v>
      </c>
    </row>
    <row r="74" spans="1:8">
      <c r="B74" s="127" t="str">
        <f>Scenarios!B54</f>
        <v>Snowball Scenario</v>
      </c>
      <c r="C74" s="142">
        <f>Scenarios!C56</f>
        <v>0.05</v>
      </c>
      <c r="D74" s="145">
        <f>Scenarios!C55</f>
        <v>15</v>
      </c>
      <c r="E74" s="135">
        <f>INDEX(B$65:F$71, MATCH(D74, A$65:A$71, 0), MATCH(C74, B$64:F$64, 0))</f>
        <v>10.467203801893012</v>
      </c>
      <c r="F74" s="142">
        <f>Scenarios!C58</f>
        <v>0.05</v>
      </c>
    </row>
    <row r="75" spans="1:8">
      <c r="B75" s="127" t="str">
        <f>Scenarios!B36</f>
        <v>Optimistic</v>
      </c>
      <c r="C75" s="142">
        <f>Scenarios!C38</f>
        <v>0.02</v>
      </c>
      <c r="D75" s="145">
        <f>Scenarios!C37</f>
        <v>10</v>
      </c>
      <c r="E75" s="135">
        <f>INDEX(B$65:F$71, MATCH(D75, A$65:A$71, 0), MATCH(C75, B$64:F$64, 0))</f>
        <v>9.6179514207293444</v>
      </c>
      <c r="F75" s="142">
        <f>Scenarios!C40*(1-F$74-F$78)</f>
        <v>0.17999999999999994</v>
      </c>
      <c r="H75" s="120"/>
    </row>
    <row r="76" spans="1:8">
      <c r="B76" s="127" t="str">
        <f>Scenarios!B24</f>
        <v>Base</v>
      </c>
      <c r="C76" s="142">
        <f>Scenarios!C26</f>
        <v>0</v>
      </c>
      <c r="D76" s="145">
        <f>Scenarios!C25</f>
        <v>10</v>
      </c>
      <c r="E76" s="135">
        <f>INDEX(B$65:F$71, MATCH(D76, A$65:A$71, 0), MATCH(C76, B$64:F$64, 0))</f>
        <v>9.3786719966808771</v>
      </c>
      <c r="F76" s="142">
        <f>Scenarios!C28*(1-F$74-F$78)</f>
        <v>0.495</v>
      </c>
      <c r="H76" s="120"/>
    </row>
    <row r="77" spans="1:8">
      <c r="B77" s="127" t="str">
        <f>Scenarios!B30</f>
        <v>Pessimistic</v>
      </c>
      <c r="C77" s="142">
        <f>Scenarios!C32</f>
        <v>-0.02</v>
      </c>
      <c r="D77" s="145">
        <f>Scenarios!C31</f>
        <v>10</v>
      </c>
      <c r="E77" s="135">
        <f>INDEX(B$65:F$71, MATCH(D77, A$65:A$71, 0), MATCH(C77, B$64:F$64, 0))</f>
        <v>9.1609121907724287</v>
      </c>
      <c r="F77" s="142">
        <f>Scenarios!C34*(1-F$74-F$78)</f>
        <v>0.22499999999999998</v>
      </c>
      <c r="H77" s="120"/>
    </row>
    <row r="78" spans="1:8">
      <c r="B78" s="127" t="str">
        <f>Scenarios!B48</f>
        <v>Devil's advocate</v>
      </c>
      <c r="C78" s="142">
        <f>Scenarios!C50</f>
        <v>-0.1</v>
      </c>
      <c r="D78" s="145">
        <f>Scenarios!C49</f>
        <v>15</v>
      </c>
      <c r="E78" s="135">
        <f>INDEX(B$65:F$71, MATCH(D78, A$65:A$71, 0), MATCH(C78, B$64:F$64, 0))</f>
        <v>8.1183546765433707</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1000000</v>
      </c>
      <c r="E3" s="109" t="s">
        <v>123</v>
      </c>
      <c r="H3" s="120"/>
    </row>
    <row r="4" spans="2:8">
      <c r="B4" s="100" t="s">
        <v>436</v>
      </c>
      <c r="C4" s="114">
        <f>Normalized_FCF!C91*(1-dividend_tax_rate)</f>
        <v>4739.6903628800001</v>
      </c>
      <c r="D4" t="str">
        <f>Market_currency</f>
        <v>HKD</v>
      </c>
      <c r="E4" s="100" t="s">
        <v>249</v>
      </c>
      <c r="F4" s="134">
        <f>Thesis!E22</f>
        <v>0</v>
      </c>
      <c r="H4" s="120"/>
    </row>
    <row r="5" spans="2:8">
      <c r="B5" s="205" t="s">
        <v>122</v>
      </c>
      <c r="C5" s="206">
        <f>Equity_Cost</f>
        <v>8.4999999999999992E-2</v>
      </c>
      <c r="E5" s="148"/>
      <c r="H5" s="120"/>
    </row>
    <row r="6" spans="2:8" ht="13.35" customHeight="1">
      <c r="B6" s="149" t="s">
        <v>437</v>
      </c>
      <c r="C6" s="319">
        <f>(C4*(1+Terminal_Growth))/(Equity_Cost-Terminal_Growth)</f>
        <v>55761.063092705888</v>
      </c>
      <c r="D6" t="str">
        <f>Reporting_currency</f>
        <v>HKD</v>
      </c>
      <c r="E6" s="366"/>
      <c r="F6" s="366"/>
      <c r="H6" s="120"/>
    </row>
    <row r="7" spans="2:8" ht="13.15">
      <c r="B7" s="149" t="s">
        <v>440</v>
      </c>
      <c r="C7" s="111">
        <f>(C6*scaling_factor)/Common_Shares*Exchange_Rate</f>
        <v>6.8235294117647065</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-1.5334906308317399E-3</v>
      </c>
      <c r="H11" s="120"/>
    </row>
    <row r="12" spans="2:8" ht="13.35" customHeight="1">
      <c r="B12" s="118" t="s">
        <v>133</v>
      </c>
      <c r="C12" s="162">
        <f>Scenarios!C64</f>
        <v>10</v>
      </c>
      <c r="H12" s="120"/>
    </row>
    <row r="13" spans="2:8" ht="13.35" customHeight="1">
      <c r="B13" s="153" t="s">
        <v>106</v>
      </c>
      <c r="C13" s="140">
        <f>F47/Common_Shares*scaling_factor</f>
        <v>6.7908070890366989</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4732.4220921154802</v>
      </c>
      <c r="D16" s="138">
        <f>IF($C$12&lt;B16,0,DDM!$C$11)</f>
        <v>-1.5334906308317399E-3</v>
      </c>
      <c r="E16" s="124">
        <f t="shared" ref="E16:E45" si="0">IF($C$12&lt;B16,0,1/(1+Equity_Cost)^B16)</f>
        <v>0.92165898617511521</v>
      </c>
      <c r="F16" s="125">
        <f t="shared" ref="F16:F46" si="1">C16*E16</f>
        <v>4361.6793475718714</v>
      </c>
      <c r="H16" s="120"/>
    </row>
    <row r="17" spans="2:8">
      <c r="B17" s="122">
        <v>2</v>
      </c>
      <c r="C17" s="123">
        <f t="shared" ref="C17:C45" si="2">IF(ROW()-ROW($C$16)&lt;$C$12, $C$16*(1+D17)^(ROW()-ROW($C$16)), 0)</f>
        <v>4725.1649671760797</v>
      </c>
      <c r="D17" s="138">
        <f>IF($C$12&lt;B17,0,DDM!$C$11)</f>
        <v>-1.5334906308317399E-3</v>
      </c>
      <c r="E17" s="124">
        <f t="shared" si="0"/>
        <v>0.84945528679734128</v>
      </c>
      <c r="F17" s="125">
        <f t="shared" si="1"/>
        <v>4013.8163623573064</v>
      </c>
      <c r="H17" s="120"/>
    </row>
    <row r="18" spans="2:8">
      <c r="B18" s="122">
        <v>3</v>
      </c>
      <c r="C18" s="123">
        <f t="shared" si="2"/>
        <v>4717.9189709697812</v>
      </c>
      <c r="D18" s="138">
        <f>IF($C$12&lt;B18,0,DDM!$C$11)</f>
        <v>-1.5334906308317399E-3</v>
      </c>
      <c r="E18" s="124">
        <f t="shared" si="0"/>
        <v>0.78290809843072917</v>
      </c>
      <c r="F18" s="125">
        <f t="shared" si="1"/>
        <v>3693.6969701122139</v>
      </c>
      <c r="H18" s="120"/>
    </row>
    <row r="19" spans="2:8">
      <c r="B19" s="122">
        <v>4</v>
      </c>
      <c r="C19" s="123">
        <f t="shared" si="2"/>
        <v>4710.6840864307751</v>
      </c>
      <c r="D19" s="138">
        <f>IF($C$12&lt;B19,0,DDM!$C$11)</f>
        <v>-1.5334906308317399E-3</v>
      </c>
      <c r="E19" s="124">
        <f t="shared" si="0"/>
        <v>0.72157428426795334</v>
      </c>
      <c r="F19" s="125">
        <f t="shared" si="1"/>
        <v>3399.1084980787241</v>
      </c>
      <c r="H19" s="120"/>
    </row>
    <row r="20" spans="2:8">
      <c r="B20" s="122">
        <v>5</v>
      </c>
      <c r="C20" s="123">
        <f t="shared" si="2"/>
        <v>4703.4602965194254</v>
      </c>
      <c r="D20" s="138">
        <f>IF($C$12&lt;B20,0,DDM!$C$11)</f>
        <v>-1.5334906308317399E-3</v>
      </c>
      <c r="E20" s="124">
        <f t="shared" si="0"/>
        <v>0.66504542328843619</v>
      </c>
      <c r="F20" s="125">
        <f t="shared" si="1"/>
        <v>3128.0147438191148</v>
      </c>
      <c r="H20" s="120"/>
    </row>
    <row r="21" spans="2:8">
      <c r="B21" s="122">
        <v>6</v>
      </c>
      <c r="C21" s="123">
        <f t="shared" si="2"/>
        <v>4696.2475842222238</v>
      </c>
      <c r="D21" s="138">
        <f>IF($C$12&lt;B21,0,DDM!$C$11)</f>
        <v>-1.5334906308317399E-3</v>
      </c>
      <c r="E21" s="124">
        <f t="shared" si="0"/>
        <v>0.6129450905884205</v>
      </c>
      <c r="F21" s="125">
        <f t="shared" si="1"/>
        <v>2878.541900936742</v>
      </c>
      <c r="H21" s="120"/>
    </row>
    <row r="22" spans="2:8">
      <c r="B22" s="122">
        <v>7</v>
      </c>
      <c r="C22" s="123">
        <f t="shared" si="2"/>
        <v>4689.0459325517531</v>
      </c>
      <c r="D22" s="138">
        <f>IF($C$12&lt;B22,0,DDM!$C$11)</f>
        <v>-1.5334906308317399E-3</v>
      </c>
      <c r="E22" s="124">
        <f t="shared" si="0"/>
        <v>0.56492635077273778</v>
      </c>
      <c r="F22" s="125">
        <f t="shared" si="1"/>
        <v>2648.9656072822108</v>
      </c>
      <c r="H22" s="120"/>
    </row>
    <row r="23" spans="2:8">
      <c r="B23" s="122">
        <v>8</v>
      </c>
      <c r="C23" s="123">
        <f t="shared" si="2"/>
        <v>4681.8553245466455</v>
      </c>
      <c r="D23" s="138">
        <f>IF($C$12&lt;B23,0,DDM!$C$11)</f>
        <v>-1.5334906308317399E-3</v>
      </c>
      <c r="E23" s="124">
        <f t="shared" si="0"/>
        <v>0.52066944771680901</v>
      </c>
      <c r="F23" s="125">
        <f t="shared" si="1"/>
        <v>2437.6990261217034</v>
      </c>
      <c r="H23" s="120"/>
    </row>
    <row r="24" spans="2:8">
      <c r="B24" s="122">
        <v>9</v>
      </c>
      <c r="C24" s="123">
        <f t="shared" si="2"/>
        <v>4674.6757432715422</v>
      </c>
      <c r="D24" s="138">
        <f>IF($C$12&lt;B24,0,DDM!$C$11)</f>
        <v>-1.5334906308317399E-3</v>
      </c>
      <c r="E24" s="124">
        <f t="shared" si="0"/>
        <v>0.4798796753150314</v>
      </c>
      <c r="F24" s="125">
        <f t="shared" si="1"/>
        <v>2243.2818778842006</v>
      </c>
      <c r="H24" s="120"/>
    </row>
    <row r="25" spans="2:8">
      <c r="B25" s="122">
        <v>10</v>
      </c>
      <c r="C25" s="123">
        <f t="shared" si="2"/>
        <v>4667.5071718170593</v>
      </c>
      <c r="D25" s="138">
        <f>IF($C$12&lt;B25,0,DDM!$C$11)</f>
        <v>-1.5334906308317399E-3</v>
      </c>
      <c r="E25" s="124">
        <f t="shared" si="0"/>
        <v>0.44228541503689528</v>
      </c>
      <c r="F25" s="125">
        <f t="shared" si="1"/>
        <v>2064.3703466747934</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55675.554024888006</v>
      </c>
      <c r="D46" s="139">
        <f>Terminal_Growth</f>
        <v>0</v>
      </c>
      <c r="E46" s="124">
        <f>1/(1+Equity_Cost)^C12</f>
        <v>0.44228541503689528</v>
      </c>
      <c r="F46" s="125">
        <f t="shared" si="1"/>
        <v>24624.485519306676</v>
      </c>
      <c r="H46" s="120"/>
    </row>
    <row r="47" spans="2:8">
      <c r="C47" s="114"/>
      <c r="E47" s="127" t="s">
        <v>100</v>
      </c>
      <c r="F47" s="137">
        <f>SUM(F16:F46)</f>
        <v>55493.660200145561</v>
      </c>
      <c r="H47" s="120"/>
    </row>
    <row r="48" spans="2:8">
      <c r="C48" s="114"/>
      <c r="H48" s="120"/>
    </row>
    <row r="49" spans="1:8" ht="13.15">
      <c r="B49" s="119" t="s">
        <v>128</v>
      </c>
      <c r="C49" s="136"/>
      <c r="D49" s="136"/>
      <c r="E49" s="117"/>
      <c r="F49" s="117"/>
      <c r="H49" s="120"/>
    </row>
    <row r="50" spans="1:8" ht="13.15">
      <c r="A50" s="133">
        <f>F47</f>
        <v>55493.660200145561</v>
      </c>
      <c r="B50" s="131">
        <f>C73</f>
        <v>-0.1</v>
      </c>
      <c r="C50" s="131">
        <f>C72</f>
        <v>-0.02</v>
      </c>
      <c r="D50" s="131">
        <f>C71</f>
        <v>0</v>
      </c>
      <c r="E50" s="131">
        <f>C70</f>
        <v>0.02</v>
      </c>
      <c r="F50" s="131">
        <f>C69</f>
        <v>0.05</v>
      </c>
      <c r="H50" s="120"/>
    </row>
    <row r="51" spans="1:8" ht="13.15">
      <c r="A51" s="143">
        <v>5</v>
      </c>
      <c r="B51" s="123">
        <f t="dataTable" ref="B51:F56" dt2D="1" dtr="1" r1="C11" r2="C12"/>
        <v>47378.309143736595</v>
      </c>
      <c r="C51" s="123">
        <v>53986.009625419058</v>
      </c>
      <c r="D51" s="123">
        <v>55761.063092705896</v>
      </c>
      <c r="E51" s="123">
        <v>57589.882463274385</v>
      </c>
      <c r="F51" s="123">
        <v>60439.160004677688</v>
      </c>
      <c r="H51" s="120"/>
    </row>
    <row r="52" spans="1:8" ht="13.15">
      <c r="A52" s="143">
        <v>10</v>
      </c>
      <c r="B52" s="123">
        <v>41698.136356206596</v>
      </c>
      <c r="C52" s="123">
        <v>52419.789239873367</v>
      </c>
      <c r="D52" s="123">
        <v>55761.063092705896</v>
      </c>
      <c r="E52" s="123">
        <v>59432.530743765994</v>
      </c>
      <c r="F52" s="123">
        <v>65646.776293755465</v>
      </c>
      <c r="H52" s="120"/>
    </row>
    <row r="53" spans="1:8" ht="13.15">
      <c r="A53" s="143">
        <v>15</v>
      </c>
      <c r="B53" s="123">
        <v>36422.942862116164</v>
      </c>
      <c r="C53" s="123">
        <v>50700.44564632461</v>
      </c>
      <c r="D53" s="123">
        <v>55761.063092705888</v>
      </c>
      <c r="E53" s="123">
        <v>61662.502236742715</v>
      </c>
      <c r="F53" s="123">
        <v>72463.332106763861</v>
      </c>
      <c r="H53" s="120"/>
    </row>
    <row r="54" spans="1:8" ht="13.15">
      <c r="A54" s="144">
        <v>20</v>
      </c>
      <c r="B54" s="123">
        <v>32326.57996919065</v>
      </c>
      <c r="C54" s="123">
        <v>49149.584217409916</v>
      </c>
      <c r="D54" s="123">
        <v>55761.063092705896</v>
      </c>
      <c r="E54" s="123">
        <v>63883.122240326964</v>
      </c>
      <c r="F54" s="123">
        <v>79842.844128098775</v>
      </c>
      <c r="H54" s="120"/>
    </row>
    <row r="55" spans="1:8" ht="13.15">
      <c r="A55" s="144">
        <v>25</v>
      </c>
      <c r="B55" s="123">
        <v>29371.356435679765</v>
      </c>
      <c r="C55" s="123">
        <v>47873.271140942721</v>
      </c>
      <c r="D55" s="123">
        <v>55761.063092705903</v>
      </c>
      <c r="E55" s="123">
        <v>65901.519397372875</v>
      </c>
      <c r="F55" s="123">
        <v>87166.361162077432</v>
      </c>
      <c r="H55" s="120"/>
    </row>
    <row r="56" spans="1:8" ht="13.15">
      <c r="A56" s="144">
        <v>30</v>
      </c>
      <c r="B56" s="123">
        <v>27315.301456850866</v>
      </c>
      <c r="C56" s="123">
        <v>46877.231838982749</v>
      </c>
      <c r="D56" s="123">
        <v>55761.063092705917</v>
      </c>
      <c r="E56" s="123">
        <v>67641.510751304711</v>
      </c>
      <c r="F56" s="123">
        <v>94087.3333426475</v>
      </c>
      <c r="H56" s="120"/>
    </row>
    <row r="57" spans="1:8">
      <c r="C57" s="114"/>
      <c r="D57" s="114"/>
      <c r="E57" s="114"/>
      <c r="F57" s="114"/>
      <c r="H57" s="120"/>
    </row>
    <row r="58" spans="1:8" ht="13.15">
      <c r="B58" s="119" t="s">
        <v>129</v>
      </c>
      <c r="C58" s="114"/>
      <c r="D58" s="114"/>
      <c r="E58" s="114"/>
      <c r="F58" s="114"/>
      <c r="H58" s="120"/>
    </row>
    <row r="59" spans="1:8" ht="13.15">
      <c r="B59" s="132">
        <f>B50</f>
        <v>-0.1</v>
      </c>
      <c r="C59" s="132">
        <f>C50</f>
        <v>-0.02</v>
      </c>
      <c r="D59" s="132">
        <f>D50</f>
        <v>0</v>
      </c>
      <c r="E59" s="132">
        <f>E50</f>
        <v>0.02</v>
      </c>
      <c r="F59" s="132">
        <f>F50</f>
        <v>0.05</v>
      </c>
      <c r="H59" s="120"/>
    </row>
    <row r="60" spans="1:8" ht="13.15">
      <c r="A60" s="143">
        <v>0</v>
      </c>
      <c r="B60" s="124">
        <f>C7</f>
        <v>6.8235294117647065</v>
      </c>
      <c r="C60" s="124">
        <f>C7</f>
        <v>6.8235294117647065</v>
      </c>
      <c r="D60" s="124">
        <f>C7</f>
        <v>6.8235294117647065</v>
      </c>
      <c r="E60" s="141">
        <f>C7</f>
        <v>6.8235294117647065</v>
      </c>
      <c r="F60" s="124">
        <f>C7</f>
        <v>6.8235294117647065</v>
      </c>
      <c r="H60" s="120"/>
    </row>
    <row r="61" spans="1:8" ht="13.15">
      <c r="A61" s="143">
        <f t="shared" ref="A61:A66" si="3">A51</f>
        <v>5</v>
      </c>
      <c r="B61" s="124">
        <f t="shared" ref="B61:F66" si="4">B51/Common_Shares*$C$3*Exchange_Rate</f>
        <v>5.7977245768159795</v>
      </c>
      <c r="C61" s="124">
        <f t="shared" si="4"/>
        <v>6.6063145871235491</v>
      </c>
      <c r="D61" s="124">
        <f t="shared" si="4"/>
        <v>6.8235294117647074</v>
      </c>
      <c r="E61" s="124">
        <f t="shared" si="4"/>
        <v>7.047323616389753</v>
      </c>
      <c r="F61" s="124">
        <f t="shared" si="4"/>
        <v>7.3959921680226817</v>
      </c>
      <c r="H61" s="120"/>
    </row>
    <row r="62" spans="1:8" ht="13.15">
      <c r="A62" s="143">
        <f t="shared" si="3"/>
        <v>10</v>
      </c>
      <c r="B62" s="124">
        <f t="shared" si="4"/>
        <v>5.102636930886816</v>
      </c>
      <c r="C62" s="124">
        <f t="shared" si="4"/>
        <v>6.4146548469154316</v>
      </c>
      <c r="D62" s="124">
        <f t="shared" si="4"/>
        <v>6.8235294117647074</v>
      </c>
      <c r="E62" s="124">
        <f t="shared" si="4"/>
        <v>7.2728100766562696</v>
      </c>
      <c r="F62" s="124">
        <f t="shared" si="4"/>
        <v>8.0332526674258116</v>
      </c>
      <c r="H62" s="120"/>
    </row>
    <row r="63" spans="1:8" ht="13.15">
      <c r="A63" s="143">
        <f t="shared" si="3"/>
        <v>15</v>
      </c>
      <c r="B63" s="124">
        <f t="shared" si="4"/>
        <v>4.4571069505879937</v>
      </c>
      <c r="C63" s="124">
        <f t="shared" si="4"/>
        <v>6.2042572876005364</v>
      </c>
      <c r="D63" s="124">
        <f t="shared" si="4"/>
        <v>6.8235294117647065</v>
      </c>
      <c r="E63" s="124">
        <f t="shared" si="4"/>
        <v>7.5456936126897487</v>
      </c>
      <c r="F63" s="124">
        <f t="shared" si="4"/>
        <v>8.8674004848673125</v>
      </c>
      <c r="H63" s="120"/>
    </row>
    <row r="64" spans="1:8" ht="13.15">
      <c r="A64" s="144">
        <f t="shared" si="3"/>
        <v>20</v>
      </c>
      <c r="B64" s="124">
        <f t="shared" si="4"/>
        <v>3.9558314882700021</v>
      </c>
      <c r="C64" s="124">
        <f t="shared" si="4"/>
        <v>6.0144770361699447</v>
      </c>
      <c r="D64" s="124">
        <f t="shared" si="4"/>
        <v>6.8235294117647074</v>
      </c>
      <c r="E64" s="124">
        <f t="shared" si="4"/>
        <v>7.8174327988960508</v>
      </c>
      <c r="F64" s="124">
        <f t="shared" si="4"/>
        <v>9.7704377393459989</v>
      </c>
      <c r="H64" s="120"/>
    </row>
    <row r="65" spans="1:8" ht="13.15">
      <c r="A65" s="144">
        <f t="shared" si="3"/>
        <v>25</v>
      </c>
      <c r="B65" s="124">
        <f t="shared" si="4"/>
        <v>3.5941982341527838</v>
      </c>
      <c r="C65" s="124">
        <f t="shared" si="4"/>
        <v>5.8582935035601968</v>
      </c>
      <c r="D65" s="124">
        <f t="shared" si="4"/>
        <v>6.8235294117647083</v>
      </c>
      <c r="E65" s="124">
        <f t="shared" si="4"/>
        <v>8.0644258008556324</v>
      </c>
      <c r="F65" s="124">
        <f t="shared" si="4"/>
        <v>10.666622838898917</v>
      </c>
    </row>
    <row r="66" spans="1:8" ht="13.15">
      <c r="A66" s="144">
        <f t="shared" si="3"/>
        <v>30</v>
      </c>
      <c r="B66" s="124">
        <f t="shared" si="4"/>
        <v>3.3425970120433823</v>
      </c>
      <c r="C66" s="124">
        <f t="shared" si="4"/>
        <v>5.7364073146097132</v>
      </c>
      <c r="D66" s="124">
        <f t="shared" si="4"/>
        <v>6.8235294117647101</v>
      </c>
      <c r="E66" s="124">
        <f t="shared" si="4"/>
        <v>8.2773500444273669</v>
      </c>
      <c r="F66" s="124">
        <f t="shared" si="4"/>
        <v>11.51354817734898</v>
      </c>
    </row>
    <row r="68" spans="1:8" ht="13.15">
      <c r="B68" s="171" t="s">
        <v>116</v>
      </c>
      <c r="C68" s="171" t="s">
        <v>131</v>
      </c>
      <c r="D68" s="171" t="s">
        <v>111</v>
      </c>
      <c r="E68" s="172" t="s">
        <v>112</v>
      </c>
      <c r="F68" s="172" t="s">
        <v>118</v>
      </c>
    </row>
    <row r="69" spans="1:8">
      <c r="B69" s="127" t="str">
        <f>Scenarios!B54</f>
        <v>Snowball Scenario</v>
      </c>
      <c r="C69" s="142">
        <f>Scenarios!C56</f>
        <v>0.05</v>
      </c>
      <c r="D69" s="145">
        <f>Scenarios!C55</f>
        <v>15</v>
      </c>
      <c r="E69" s="135">
        <f>INDEX(B$60:F$66, MATCH(D69, A$60:A$66, 0), MATCH(C69, B$59:F$59, 0))</f>
        <v>8.8674004848673125</v>
      </c>
      <c r="F69" s="142">
        <f>Scenarios!C58</f>
        <v>0.05</v>
      </c>
    </row>
    <row r="70" spans="1:8">
      <c r="B70" s="127" t="str">
        <f>Scenarios!B36</f>
        <v>Optimistic</v>
      </c>
      <c r="C70" s="142">
        <f>Scenarios!C38</f>
        <v>0.02</v>
      </c>
      <c r="D70" s="145">
        <f>Scenarios!C37</f>
        <v>10</v>
      </c>
      <c r="E70" s="135">
        <f>INDEX(B$60:F$66, MATCH(D70, A$60:A$66, 0), MATCH(C70, B$59:F$59, 0))</f>
        <v>7.2728100766562696</v>
      </c>
      <c r="F70" s="142">
        <f>Scenarios!C40*(1-F$69-F$73)</f>
        <v>0.17999999999999994</v>
      </c>
      <c r="H70" s="120"/>
    </row>
    <row r="71" spans="1:8">
      <c r="B71" s="127" t="str">
        <f>Scenarios!B24</f>
        <v>Base</v>
      </c>
      <c r="C71" s="142">
        <f>Scenarios!C26</f>
        <v>0</v>
      </c>
      <c r="D71" s="145">
        <f>Scenarios!C25</f>
        <v>10</v>
      </c>
      <c r="E71" s="135">
        <f>INDEX(B$60:F$66, MATCH(D71, A$60:A$66, 0), MATCH(C71, B$59:F$59, 0))</f>
        <v>6.8235294117647074</v>
      </c>
      <c r="F71" s="142">
        <f>Scenarios!C28*(1-F$69-F$73)</f>
        <v>0.495</v>
      </c>
      <c r="H71" s="120"/>
    </row>
    <row r="72" spans="1:8">
      <c r="B72" s="127" t="str">
        <f>Scenarios!B30</f>
        <v>Pessimistic</v>
      </c>
      <c r="C72" s="142">
        <f>Scenarios!C32</f>
        <v>-0.02</v>
      </c>
      <c r="D72" s="145">
        <f>Scenarios!C31</f>
        <v>10</v>
      </c>
      <c r="E72" s="135">
        <f>INDEX(B$60:F$66, MATCH(D72, A$60:A$66, 0), MATCH(C72, B$59:F$59, 0))</f>
        <v>6.4146548469154316</v>
      </c>
      <c r="F72" s="142">
        <f>Scenarios!C34*(1-F$69-F$73)</f>
        <v>0.22499999999999998</v>
      </c>
      <c r="H72" s="120"/>
    </row>
    <row r="73" spans="1:8">
      <c r="B73" s="127" t="str">
        <f>Scenarios!B48</f>
        <v>Devil's advocate</v>
      </c>
      <c r="C73" s="142">
        <f>Scenarios!C50</f>
        <v>-0.1</v>
      </c>
      <c r="D73" s="145">
        <f>Scenarios!C49</f>
        <v>15</v>
      </c>
      <c r="E73" s="135">
        <f>INDEX(B$60:F$66, MATCH(D73, A$60:A$66, 0), MATCH(C73, B$59:F$59, 0))</f>
        <v>4.4571069505879937</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-8.65</v>
      </c>
    </row>
    <row r="4" spans="2:9">
      <c r="B4" s="152" t="s">
        <v>145</v>
      </c>
      <c r="C4" s="120">
        <v>3</v>
      </c>
      <c r="D4" s="120"/>
      <c r="E4" s="155" t="s">
        <v>149</v>
      </c>
      <c r="F4" s="155"/>
      <c r="H4" s="247">
        <v>1</v>
      </c>
      <c r="I4" s="124">
        <f t="shared" ref="I4:I13" si="0">IF(ROW()-3 &lt; $C$76, $C$77, IF(ROW()-3 = $C$76, $C$77 + $C$60, ""))</f>
        <v>0.57999999999999996</v>
      </c>
    </row>
    <row r="5" spans="2:9">
      <c r="H5" s="247">
        <v>2</v>
      </c>
      <c r="I5" s="124">
        <f t="shared" si="0"/>
        <v>0.57999999999999996</v>
      </c>
    </row>
    <row r="6" spans="2:9" ht="13.15">
      <c r="B6" s="159" t="s">
        <v>95</v>
      </c>
      <c r="C6" s="107">
        <f>DCF!C3</f>
        <v>1000000</v>
      </c>
      <c r="E6" s="100" t="s">
        <v>278</v>
      </c>
      <c r="F6" s="100"/>
      <c r="H6" s="247">
        <v>3</v>
      </c>
      <c r="I6" s="124">
        <f t="shared" si="0"/>
        <v>9.9441570609339323</v>
      </c>
    </row>
    <row r="7" spans="2:9" ht="12.75" customHeight="1">
      <c r="B7" s="100" t="s">
        <v>274</v>
      </c>
      <c r="C7" s="338">
        <f>Normalized_FCF!G8</f>
        <v>2337</v>
      </c>
      <c r="D7" t="str">
        <f>Reporting_currency</f>
        <v>HKD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68"/>
      <c r="H7" s="247">
        <v>4</v>
      </c>
      <c r="I7" s="124" t="str">
        <f t="shared" si="0"/>
        <v/>
      </c>
    </row>
    <row r="8" spans="2:9">
      <c r="B8" s="100" t="s">
        <v>66</v>
      </c>
      <c r="C8" s="338">
        <f>Normalized_FCF!G19</f>
        <v>2772.792068232593</v>
      </c>
      <c r="D8" t="str">
        <f>Reporting_currency</f>
        <v>HKD</v>
      </c>
      <c r="E8" s="368"/>
      <c r="F8" s="368"/>
      <c r="H8" s="247">
        <v>5</v>
      </c>
      <c r="I8" s="124" t="str">
        <f t="shared" si="0"/>
        <v/>
      </c>
    </row>
    <row r="9" spans="2:9">
      <c r="B9" s="100" t="s">
        <v>57</v>
      </c>
      <c r="C9" s="338">
        <f>Normalized_FCF!C19</f>
        <v>2524.2804082649359</v>
      </c>
      <c r="D9" t="str">
        <f>Reporting_currency</f>
        <v>HKD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-0.28945840615733698</v>
      </c>
      <c r="D12" s="158"/>
      <c r="E12" s="368"/>
      <c r="F12" s="368"/>
      <c r="H12" s="247">
        <v>9</v>
      </c>
      <c r="I12" s="124" t="str">
        <f t="shared" si="0"/>
        <v/>
      </c>
    </row>
    <row r="13" spans="2:9">
      <c r="B13" s="148" t="s">
        <v>151</v>
      </c>
      <c r="C13" s="158">
        <f ca="1">(Normalized_FCF!G8/OFFSET(Normalized_FCF!G8, 0, $C$4))^(1/$C$4) - 1</f>
        <v>-0.42686307479092267</v>
      </c>
      <c r="E13" s="368"/>
      <c r="F13" s="368"/>
      <c r="H13" s="247">
        <v>10</v>
      </c>
      <c r="I13" s="124" t="str">
        <f t="shared" si="0"/>
        <v/>
      </c>
    </row>
    <row r="14" spans="2:9">
      <c r="B14" s="100" t="s">
        <v>66</v>
      </c>
      <c r="C14" s="158">
        <f ca="1">(Normalized_FCF!G19/OFFSET(Normalized_FCF!G19, 0, $C$4))^(1/$C$4) - 1</f>
        <v>-0.34497687096016949</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8.65</v>
      </c>
      <c r="D21" t="str">
        <f>Market_currency</f>
        <v>HKD</v>
      </c>
      <c r="E21" s="369"/>
      <c r="F21" s="369"/>
    </row>
    <row r="22" spans="2:6">
      <c r="B22" s="100" t="s">
        <v>277</v>
      </c>
      <c r="C22" s="160">
        <f>IF(valuation_method="DCF",DCF!C12,DDM!C7)</f>
        <v>9.3786719966808736</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v>
      </c>
      <c r="D26" s="164"/>
      <c r="E26" s="367"/>
      <c r="F26" s="367"/>
    </row>
    <row r="27" spans="2:6">
      <c r="B27" s="100" t="s">
        <v>112</v>
      </c>
      <c r="C27" s="160">
        <f>IF(valuation_method="DCF",DCF!E76,DDM!E71)</f>
        <v>9.3786719966808771</v>
      </c>
      <c r="D27" s="160" t="str">
        <f>Market_currency</f>
        <v>HKD</v>
      </c>
      <c r="E27" s="367"/>
      <c r="F27" s="367"/>
    </row>
    <row r="28" spans="2:6">
      <c r="B28" s="100" t="s">
        <v>146</v>
      </c>
      <c r="C28" s="165">
        <v>0.55000000000000004</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-0.02</v>
      </c>
      <c r="D32" s="164"/>
      <c r="E32" s="367"/>
      <c r="F32" s="367"/>
    </row>
    <row r="33" spans="2:6">
      <c r="B33" s="100" t="s">
        <v>112</v>
      </c>
      <c r="C33" s="160">
        <f>IF(valuation_method="DCF",DCF!E77,DDM!E72)</f>
        <v>9.1609121907724287</v>
      </c>
      <c r="D33" t="str">
        <f>Market_currency</f>
        <v>HKD</v>
      </c>
      <c r="E33" s="367"/>
      <c r="F33" s="367"/>
    </row>
    <row r="34" spans="2:6">
      <c r="B34" s="100" t="s">
        <v>146</v>
      </c>
      <c r="C34" s="165">
        <v>0.25</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0.02</v>
      </c>
      <c r="D38" s="164"/>
      <c r="E38" s="367"/>
      <c r="F38" s="367"/>
    </row>
    <row r="39" spans="2:6">
      <c r="B39" s="100" t="s">
        <v>112</v>
      </c>
      <c r="C39" s="160">
        <f>IF(valuation_method="DCF",DCF!E75,DDM!E70)</f>
        <v>9.6179514207293444</v>
      </c>
      <c r="D39" t="str">
        <f>Market_currency</f>
        <v>HKD</v>
      </c>
      <c r="E39" s="367"/>
      <c r="F39" s="367"/>
    </row>
    <row r="40" spans="2:6">
      <c r="B40" s="100" t="s">
        <v>146</v>
      </c>
      <c r="C40" s="167">
        <f>1-C28-C34</f>
        <v>0.19999999999999996</v>
      </c>
      <c r="D40" s="165"/>
      <c r="E40" s="367"/>
      <c r="F40" s="367"/>
    </row>
    <row r="42" spans="2:6" ht="13.15">
      <c r="B42" s="100" t="s">
        <v>119</v>
      </c>
      <c r="C42" s="154">
        <f>C27*C28+C33*C34+C39*C40</f>
        <v>9.3720879300134587</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-0.1</v>
      </c>
      <c r="D50" s="164"/>
      <c r="E50" s="367"/>
      <c r="F50" s="367"/>
    </row>
    <row r="51" spans="2:6">
      <c r="B51" s="100" t="s">
        <v>112</v>
      </c>
      <c r="C51" s="160">
        <f>IF(valuation_method="DCF",DCF!E78,DDM!E73)</f>
        <v>8.1183546765433707</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0.05</v>
      </c>
      <c r="D56" s="164"/>
      <c r="E56" s="367"/>
      <c r="F56" s="367"/>
    </row>
    <row r="57" spans="2:6">
      <c r="B57" s="100" t="s">
        <v>112</v>
      </c>
      <c r="C57" s="160">
        <f>IF(valuation_method="DCF",DCF!E74,DDM!E69)</f>
        <v>10.467203801893012</v>
      </c>
      <c r="D57" t="str">
        <f>Market_currency</f>
        <v>HKD</v>
      </c>
      <c r="E57" s="367"/>
      <c r="F57" s="367"/>
    </row>
    <row r="58" spans="2:6">
      <c r="B58" s="100" t="s">
        <v>146</v>
      </c>
      <c r="C58" s="165">
        <v>0.05</v>
      </c>
      <c r="D58" s="165"/>
      <c r="E58" s="367"/>
      <c r="F58" s="367"/>
    </row>
    <row r="60" spans="2:6" ht="13.15">
      <c r="B60" s="100" t="s">
        <v>119</v>
      </c>
      <c r="C60" s="154">
        <f>C51*C52+C57*C58+C42*(1-C52-C58)</f>
        <v>9.3641570609339322</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-1.5334906308317399E-3</v>
      </c>
      <c r="D65" s="151"/>
      <c r="E65" s="251" t="s">
        <v>309</v>
      </c>
    </row>
    <row r="66" spans="2:6">
      <c r="B66" s="100" t="s">
        <v>102</v>
      </c>
      <c r="C66" s="160">
        <f>IF(valuation_method="DCF",DCF!C18,DDM!C13)</f>
        <v>9.3612446307874944</v>
      </c>
      <c r="D66" s="160" t="str">
        <f>Market_currency</f>
        <v>HKD</v>
      </c>
      <c r="E66" s="251" t="s">
        <v>310</v>
      </c>
    </row>
    <row r="68" spans="2:6" ht="13.15">
      <c r="B68" s="109" t="s">
        <v>347</v>
      </c>
      <c r="E68" s="252" t="s">
        <v>311</v>
      </c>
    </row>
    <row r="69" spans="2:6">
      <c r="B69" s="100" t="s">
        <v>304</v>
      </c>
      <c r="C69" s="244" t="str">
        <f>IF(C60&lt;C22,"Y","N")</f>
        <v>Y</v>
      </c>
      <c r="E69" s="134"/>
    </row>
    <row r="70" spans="2:6">
      <c r="B70" s="100" t="s">
        <v>292</v>
      </c>
      <c r="C70" s="244" t="str">
        <f>IF(C69="Y","N",IF(C65&gt;8%,"N","Y"))</f>
        <v>N</v>
      </c>
      <c r="E70" s="251" t="s">
        <v>293</v>
      </c>
    </row>
    <row r="71" spans="2:6">
      <c r="B71" s="100" t="s">
        <v>291</v>
      </c>
      <c r="C71" s="244" t="str">
        <f>IF(C65&gt;8%,"Y","N")</f>
        <v>N</v>
      </c>
      <c r="E71" s="251"/>
    </row>
    <row r="72" spans="2:6">
      <c r="B72" s="100" t="s">
        <v>283</v>
      </c>
      <c r="C72" s="243" t="str">
        <f>IF(F72&gt;50%,"Y","N")</f>
        <v>Y</v>
      </c>
      <c r="E72" s="134" t="s">
        <v>343</v>
      </c>
      <c r="F72" s="291">
        <f>BS!D89/C60</f>
        <v>0.61346402728949312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0.57999999999999996</v>
      </c>
      <c r="D77" t="str">
        <f>Market_currency</f>
        <v>HKD</v>
      </c>
    </row>
    <row r="79" spans="2:6" ht="13.15">
      <c r="B79" s="109" t="s">
        <v>300</v>
      </c>
    </row>
    <row r="80" spans="2:6">
      <c r="B80" s="148" t="s">
        <v>298</v>
      </c>
      <c r="C80" s="167">
        <f>Thesis!F29</f>
        <v>0.35</v>
      </c>
    </row>
    <row r="81" spans="2:8">
      <c r="B81" s="100" t="s">
        <v>120</v>
      </c>
      <c r="C81" s="116">
        <f>PV(C80, C76, -C77, 0)</f>
        <v>0.98361022201900128</v>
      </c>
      <c r="D81" s="116"/>
      <c r="E81" s="100"/>
      <c r="F81" s="100"/>
    </row>
    <row r="82" spans="2:8">
      <c r="B82" s="100" t="s">
        <v>121</v>
      </c>
      <c r="C82" s="116">
        <f>C60/(1+C80)^C76</f>
        <v>3.8059877298923661</v>
      </c>
      <c r="D82" s="116"/>
    </row>
    <row r="83" spans="2:8" ht="13.15">
      <c r="B83" s="110" t="s">
        <v>101</v>
      </c>
      <c r="C83" s="111">
        <f>C81+C82</f>
        <v>4.7895979519113672</v>
      </c>
      <c r="D83" t="str">
        <f>Market_currency</f>
        <v>HKD</v>
      </c>
      <c r="E83" s="146" t="s">
        <v>125</v>
      </c>
      <c r="F83" s="291">
        <f>(1-C83/C60)</f>
        <v>0.48851798183811346</v>
      </c>
    </row>
    <row r="84" spans="2:8">
      <c r="E84" s="120"/>
    </row>
    <row r="85" spans="2:8" ht="13.15">
      <c r="B85" s="109" t="s">
        <v>301</v>
      </c>
    </row>
    <row r="86" spans="2:8">
      <c r="B86" s="148" t="s">
        <v>299</v>
      </c>
      <c r="C86" s="116">
        <f>Market_Price</f>
        <v>8.65</v>
      </c>
      <c r="D86" t="str">
        <f>Market_currency</f>
        <v>HKD</v>
      </c>
    </row>
    <row r="87" spans="2:8" ht="13.15">
      <c r="B87" s="100" t="s">
        <v>297</v>
      </c>
      <c r="C87" s="237">
        <f ca="1">IRR(OFFSET($I$3, 0, 0, $C$76 + 1, 1))</f>
        <v>9.2184508771591345E-2</v>
      </c>
    </row>
    <row r="88" spans="2:8">
      <c r="B88" s="100"/>
    </row>
    <row r="89" spans="2:8" ht="13.15">
      <c r="B89" s="109" t="s">
        <v>409</v>
      </c>
    </row>
    <row r="90" spans="2:8">
      <c r="B90" s="148" t="s">
        <v>410</v>
      </c>
      <c r="C90" s="167">
        <f>Thesis!F30</f>
        <v>0.25</v>
      </c>
    </row>
    <row r="91" spans="2:8">
      <c r="B91" s="100" t="s">
        <v>120</v>
      </c>
      <c r="C91" s="116">
        <f>PV(C90, C76, -C77, 0)</f>
        <v>1.1321599999999998</v>
      </c>
      <c r="D91" s="116"/>
      <c r="E91" s="100"/>
      <c r="F91" s="100"/>
    </row>
    <row r="92" spans="2:8">
      <c r="B92" s="100" t="s">
        <v>121</v>
      </c>
      <c r="C92" s="116">
        <f>C60/(1+C90)^C76</f>
        <v>4.7944484151981737</v>
      </c>
      <c r="D92" s="116"/>
    </row>
    <row r="93" spans="2:8" ht="13.15">
      <c r="B93" s="110" t="s">
        <v>101</v>
      </c>
      <c r="C93" s="111">
        <f>C91+C92</f>
        <v>5.9266084151981735</v>
      </c>
      <c r="D93" t="str">
        <f>Market_currency</f>
        <v>HKD</v>
      </c>
      <c r="E93" s="146" t="s">
        <v>125</v>
      </c>
      <c r="F93" s="291">
        <f>(1-C93/C60)</f>
        <v>0.36709643199779007</v>
      </c>
    </row>
    <row r="95" spans="2:8" ht="13.15">
      <c r="B95" s="109" t="s">
        <v>394</v>
      </c>
      <c r="G95" s="2"/>
      <c r="H95" s="281"/>
    </row>
    <row r="96" spans="2:8">
      <c r="B96" s="148" t="s">
        <v>400</v>
      </c>
      <c r="C96" s="134">
        <f>Thesis!F31</f>
        <v>7.4999999999999997E-2</v>
      </c>
      <c r="G96" s="2"/>
      <c r="H96" s="281"/>
    </row>
    <row r="97" spans="2:8">
      <c r="B97" s="100" t="s">
        <v>120</v>
      </c>
      <c r="C97" s="116">
        <f>PV(C96, C76, -C77, 0)</f>
        <v>1.5083049291257364</v>
      </c>
      <c r="D97" s="116"/>
      <c r="G97" s="2"/>
      <c r="H97" s="281"/>
    </row>
    <row r="98" spans="2:8">
      <c r="B98" s="100" t="s">
        <v>121</v>
      </c>
      <c r="C98" s="116">
        <f>C60/(1+C96)^C76</f>
        <v>7.5377772007467483</v>
      </c>
      <c r="D98" s="116"/>
      <c r="G98" s="2"/>
      <c r="H98" s="281"/>
    </row>
    <row r="99" spans="2:8" ht="13.15">
      <c r="B99" s="110" t="s">
        <v>395</v>
      </c>
      <c r="C99" s="111">
        <f>C97+C98</f>
        <v>9.0460821298724845</v>
      </c>
      <c r="D99" t="s">
        <v>393</v>
      </c>
      <c r="E99" s="146" t="s">
        <v>125</v>
      </c>
      <c r="F99" s="291">
        <f>(1-C99/C60)</f>
        <v>3.3967278527227585E-2</v>
      </c>
    </row>
    <row r="100" spans="2:8">
      <c r="B100" s="100"/>
    </row>
    <row r="101" spans="2:8" ht="13.15">
      <c r="B101" s="109" t="s">
        <v>418</v>
      </c>
    </row>
    <row r="102" spans="2:8">
      <c r="B102" s="148" t="s">
        <v>417</v>
      </c>
      <c r="C102" s="134">
        <f>Thesis!F32</f>
        <v>0.1174</v>
      </c>
    </row>
    <row r="103" spans="2:8">
      <c r="B103" s="100" t="s">
        <v>120</v>
      </c>
      <c r="C103" s="116">
        <f>PV(C102, C76, -C77, 0)</f>
        <v>1.3993098130444164</v>
      </c>
      <c r="D103" s="116"/>
    </row>
    <row r="104" spans="2:8">
      <c r="B104" s="100" t="s">
        <v>121</v>
      </c>
      <c r="C104" s="116">
        <f>C60/(1+C102)^C76</f>
        <v>6.7118568952473439</v>
      </c>
      <c r="D104" s="116"/>
    </row>
    <row r="105" spans="2:8" ht="13.15">
      <c r="B105" s="110" t="s">
        <v>395</v>
      </c>
      <c r="C105" s="111">
        <f>C103+C104</f>
        <v>8.1111667082917602</v>
      </c>
      <c r="D105" t="s">
        <v>393</v>
      </c>
      <c r="E105" s="146" t="s">
        <v>125</v>
      </c>
      <c r="F105" s="291">
        <f>(1-C105/C66)</f>
        <v>0.13353757665774979</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2025-07-08T09:34:29Z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