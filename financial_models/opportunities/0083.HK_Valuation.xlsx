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123907C-4051-4772-B4E9-B64930E7627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C28" i="6"/>
  <c r="H1" i="3"/>
  <c r="C3" i="2"/>
  <c r="C3" i="8"/>
  <c r="C90" i="9"/>
  <c r="C136" i="6" s="1"/>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G69" i="4"/>
  <c r="G71" i="4"/>
  <c r="G70" i="4"/>
  <c r="I71" i="4"/>
  <c r="I70" i="4"/>
  <c r="I72" i="4"/>
  <c r="I69" i="4"/>
  <c r="F72" i="4"/>
  <c r="F71" i="4"/>
  <c r="F70"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F69" i="4"/>
  <c r="O126" i="2"/>
  <c r="O91" i="2"/>
  <c r="O92" i="2"/>
  <c r="O48" i="2"/>
  <c r="Q126" i="2"/>
  <c r="Q48" i="2"/>
  <c r="Q91" i="2"/>
  <c r="Q92" i="2"/>
  <c r="D69" i="4"/>
  <c r="I91" i="2"/>
  <c r="J91" i="2"/>
  <c r="K126" i="2"/>
  <c r="K91" i="2"/>
  <c r="N126" i="2"/>
  <c r="N48" i="2"/>
  <c r="N91" i="2"/>
  <c r="N92" i="2"/>
  <c r="P126" i="2"/>
  <c r="P92" i="2"/>
  <c r="P48" i="2"/>
  <c r="P91" i="2"/>
  <c r="L126" i="2"/>
  <c r="L92" i="2"/>
  <c r="L91" i="2"/>
  <c r="L48" i="2"/>
  <c r="M126" i="2"/>
  <c r="M91" i="2"/>
  <c r="M92" i="2"/>
  <c r="M48"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E58" i="4"/>
  <c r="E71" i="4"/>
  <c r="D71" i="4"/>
  <c r="C58" i="4"/>
  <c r="C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K48" i="2"/>
  <c r="I48" i="2"/>
  <c r="I50" i="2" s="1"/>
  <c r="I12" i="2" s="1"/>
  <c r="I80" i="2" s="1"/>
  <c r="H48" i="2"/>
  <c r="H50" i="2" s="1"/>
  <c r="H12" i="2" s="1"/>
  <c r="H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D89" i="3" s="1"/>
  <c r="C89" i="6"/>
  <c r="P81" i="2"/>
  <c r="P117" i="2" s="1"/>
  <c r="P16" i="2"/>
  <c r="O97" i="2"/>
  <c r="C86" i="6"/>
  <c r="C87" i="6" s="1"/>
  <c r="B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89" i="3" l="1"/>
  <c r="C71" i="8"/>
  <c r="E71" i="8"/>
  <c r="P84" i="2"/>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J114" i="2" l="1"/>
  <c r="J92" i="2"/>
  <c r="I114" i="2"/>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<sst xmlns="http://schemas.openxmlformats.org/spreadsheetml/2006/main" count="606" uniqueCount="428">
  <si>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</si>
  <si>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</si>
  <si>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</si>
  <si>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</si>
  <si>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</si>
  <si>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</si>
  <si>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</si>
  <si>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</si>
  <si>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</si>
  <si>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</si>
  <si>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</si>
  <si>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</si>
  <si>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</si>
  <si>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</si>
  <si>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</si>
  <si>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</si>
  <si>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</si>
  <si>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</si>
  <si>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</si>
  <si>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</si>
  <si>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</si>
  <si>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</si>
  <si>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</si>
  <si>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</si>
  <si>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</si>
  <si>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</si>
  <si>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</si>
  <si>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</si>
  <si>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</si>
  <si>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</si>
  <si>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</si>
  <si>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</si>
  <si>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</si>
  <si>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</si>
  <si>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</si>
  <si>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</si>
  <si>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</si>
  <si>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</si>
  <si>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</si>
  <si>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</si>
  <si>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</si>
  <si>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</si>
  <si>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</si>
  <si>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</si>
  <si>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</si>
  <si>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</si>
  <si>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</si>
  <si>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</si>
  <si>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</si>
  <si>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</si>
  <si>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</si>
  <si>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</si>
  <si>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</si>
  <si>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</si>
  <si>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</si>
  <si>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</si>
  <si>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</si>
  <si>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</si>
  <si>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</si>
  <si>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</si>
  <si>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</si>
  <si>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</si>
  <si>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</si>
  <si>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</si>
  <si>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</si>
  <si>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</si>
  <si>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</si>
  <si>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</si>
  <si>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</si>
  <si>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</si>
  <si>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</si>
  <si>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</si>
  <si>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</si>
  <si>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</si>
  <si>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</si>
  <si>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</si>
  <si>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</si>
  <si>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</si>
  <si>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</si>
  <si>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</si>
  <si>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</si>
  <si>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</si>
  <si>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</si>
  <si>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</si>
  <si>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</si>
  <si>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</si>
  <si>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</si>
  <si>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</si>
  <si>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</si>
  <si>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</si>
  <si>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</si>
  <si>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</si>
  <si>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</si>
  <si>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</si>
  <si>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</si>
  <si>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</si>
  <si>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</si>
  <si>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</si>
  <si>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</si>
  <si>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</si>
  <si>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</si>
  <si>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</si>
  <si>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</si>
  <si>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</si>
  <si>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</si>
  <si>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</si>
  <si>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</si>
  <si>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</si>
  <si>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</si>
  <si>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</si>
  <si>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</si>
  <si>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</si>
  <si>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</si>
  <si>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</si>
  <si>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</si>
  <si>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</si>
  <si>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</si>
  <si>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</si>
  <si>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</si>
  <si>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</si>
  <si>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</si>
  <si>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</si>
  <si>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</si>
  <si>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</si>
  <si>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</si>
  <si>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</si>
  <si>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</si>
  <si>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</si>
  <si>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</si>
  <si>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</si>
  <si>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</si>
  <si>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</si>
  <si>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</si>
  <si>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</si>
  <si>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</si>
  <si>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</si>
  <si>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</si>
  <si>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</si>
  <si>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</si>
  <si>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</si>
  <si>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</si>
  <si>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</si>
  <si>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</si>
  <si>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</si>
  <si>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</si>
  <si>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</si>
  <si>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</si>
  <si>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</si>
  <si>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</si>
  <si>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</si>
  <si>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</si>
  <si>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</si>
  <si>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</si>
  <si>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</si>
  <si>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</si>
  <si>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</si>
  <si>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</si>
  <si>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</si>
  <si>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</si>
  <si>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</si>
  <si>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</si>
  <si>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</si>
  <si>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</si>
  <si>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</si>
  <si>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</si>
  <si>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</si>
  <si>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</si>
  <si>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</si>
  <si>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</si>
  <si>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</si>
  <si>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</si>
  <si>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</si>
  <si>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</si>
  <si>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</si>
  <si>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</si>
  <si>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</si>
  <si>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</si>
  <si>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</si>
  <si>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</si>
  <si>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</si>
  <si>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</si>
  <si>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</si>
  <si>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</si>
  <si>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</si>
  <si>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</si>
  <si>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</si>
  <si>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</si>
  <si>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</si>
  <si>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</si>
  <si>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</si>
  <si>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</si>
  <si>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</si>
  <si>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</si>
  <si>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</si>
  <si>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</si>
  <si>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</si>
  <si>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</si>
  <si>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</si>
  <si>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</si>
  <si>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</si>
  <si>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</si>
  <si>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</si>
  <si>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</si>
  <si>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</si>
  <si>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</si>
  <si>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</si>
  <si>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</si>
  <si>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</si>
  <si>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</si>
  <si>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</si>
  <si>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</si>
  <si>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</si>
  <si>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</si>
  <si>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</si>
  <si>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</si>
  <si>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</si>
  <si>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</si>
  <si>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</si>
  <si>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</si>
  <si>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</si>
  <si>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</si>
  <si>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</si>
  <si>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</si>
  <si>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</si>
  <si>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</si>
  <si>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</si>
  <si>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</si>
  <si>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</si>
  <si>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</si>
  <si>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</si>
  <si>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</si>
  <si>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</si>
  <si>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</si>
  <si>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</si>
  <si>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</si>
  <si>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</si>
  <si>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</si>
  <si>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</si>
  <si>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</si>
  <si>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</si>
  <si>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</si>
  <si>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</si>
  <si>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</si>
  <si>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</si>
  <si>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</si>
  <si>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</si>
  <si>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</si>
  <si>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</si>
  <si>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</si>
  <si>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</si>
  <si>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</si>
  <si>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</si>
  <si>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</si>
  <si>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</si>
  <si>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</si>
  <si>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</si>
  <si>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</si>
  <si>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</si>
  <si>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</si>
  <si>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</si>
  <si>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</si>
  <si>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</si>
  <si>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</si>
  <si>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</si>
  <si>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</si>
  <si>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</si>
  <si>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</si>
  <si>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</si>
  <si>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</si>
  <si>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</si>
  <si>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</si>
  <si>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</si>
  <si>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</si>
  <si>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</si>
  <si>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</si>
  <si>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</si>
  <si>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</si>
  <si>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</si>
  <si>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</si>
  <si>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</si>
  <si>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</si>
  <si>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</si>
  <si>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</si>
  <si>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</si>
  <si>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</si>
  <si>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</si>
  <si>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</si>
  <si>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</si>
  <si>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</si>
  <si>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</si>
  <si>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</si>
  <si>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</si>
  <si>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</si>
  <si>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</si>
  <si>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</si>
  <si>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</si>
  <si>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</si>
  <si>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</si>
  <si>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</si>
  <si>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</si>
  <si>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</si>
  <si>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</si>
  <si>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</si>
  <si>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</si>
  <si>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</si>
  <si>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</si>
  <si>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</si>
  <si>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</si>
  <si>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</si>
  <si>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</si>
  <si>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</si>
  <si>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</si>
  <si>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</si>
  <si>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</si>
  <si>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</si>
  <si>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</si>
  <si>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</si>
  <si>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</si>
  <si>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</si>
  <si>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</si>
  <si>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</si>
  <si>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</si>
  <si>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</si>
  <si>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</si>
  <si>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</si>
  <si>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</si>
  <si>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</si>
  <si>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</si>
  <si>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</si>
  <si>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</si>
  <si>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</si>
  <si>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</si>
  <si>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</si>
  <si>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</si>
  <si>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</si>
  <si>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</si>
  <si>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</si>
  <si>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</si>
  <si>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</si>
  <si>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</si>
  <si>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</si>
  <si>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</si>
  <si>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</si>
  <si>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</si>
  <si>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</si>
  <si>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</si>
  <si>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</si>
  <si>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</si>
  <si>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</si>
  <si>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</si>
  <si>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</si>
  <si>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</si>
  <si>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</si>
  <si>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</si>
  <si>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</si>
  <si>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</si>
  <si>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</si>
  <si>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</si>
  <si>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</si>
  <si>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</si>
  <si>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</si>
  <si>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</si>
  <si>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</si>
  <si>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</si>
  <si>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</si>
  <si>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</si>
  <si>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</si>
  <si>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</si>
  <si>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</si>
  <si>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</si>
  <si>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</si>
  <si>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</si>
  <si>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</si>
  <si>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</si>
  <si>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</si>
  <si>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</si>
  <si>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</si>
  <si>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</si>
  <si>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</si>
  <si>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</si>
  <si>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</si>
  <si>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</si>
  <si>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</si>
  <si>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</si>
  <si>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</si>
  <si>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</si>
  <si>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</si>
  <si>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</si>
  <si>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</si>
  <si>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</si>
  <si>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</si>
  <si>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</si>
  <si>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</si>
  <si>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</si>
  <si>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</si>
  <si>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</si>
  <si>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</si>
  <si>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</si>
  <si>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</si>
  <si>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</si>
  <si>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</si>
  <si>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</si>
  <si>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</si>
  <si>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</si>
  <si>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</si>
  <si>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</si>
  <si>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</si>
  <si>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</si>
  <si>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</si>
  <si>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</si>
  <si>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</si>
  <si>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</si>
  <si>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</si>
  <si>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</si>
  <si>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</si>
  <si>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</si>
  <si>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</si>
  <si>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</si>
  <si>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</si>
  <si>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</si>
  <si>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Y</t>
  </si>
  <si>
    <t>SINO LAND</t>
  </si>
  <si>
    <t>0083.HK</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</si>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</sst>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420</v>
      </c>
    </row>
    <row r="2" spans="1:10" ht="13.9">
      <c r="A2" s="247" t="s">
        <v>268</v>
      </c>
      <c r="B2" s="36"/>
      <c r="C2" s="36"/>
      <c r="D2" s="36"/>
      <c r="E2" s="36"/>
      <c r="F2" s="36"/>
      <c r="G2" s="22"/>
      <c r="H2" s="22"/>
      <c r="I2" s="22"/>
      <c r="J2" s="22"/>
    </row>
    <row r="4" spans="1:10">
      <c r="B4" s="45" t="str">
        <f>D5&amp;" Stock Information"</f>
        <v>0083.HK Stock Information</v>
      </c>
      <c r="C4" s="46"/>
      <c r="D4" s="5"/>
      <c r="E4" s="2"/>
      <c r="F4" s="2"/>
    </row>
    <row r="5" spans="1:10" ht="12.4">
      <c r="B5" s="4" t="s">
        <v>323</v>
      </c>
      <c r="C5" s="333" t="s">
        <v>421</v>
      </c>
      <c r="D5" s="49" t="s">
        <v>422</v>
      </c>
    </row>
    <row r="6" spans="1:10">
      <c r="B6" s="4" t="s">
        <v>95</v>
      </c>
      <c r="C6" s="50">
        <v>7.85</v>
      </c>
      <c r="D6" s="48" t="s">
        <v>405</v>
      </c>
      <c r="E6" s="48"/>
    </row>
    <row r="7" spans="1:10">
      <c r="B7" s="4" t="s">
        <v>0</v>
      </c>
      <c r="C7" s="51">
        <v>8171879936</v>
      </c>
      <c r="D7" s="34"/>
      <c r="E7" s="34"/>
    </row>
    <row r="8" spans="1:10">
      <c r="B8" s="2" t="s">
        <v>314</v>
      </c>
      <c r="C8" s="279">
        <v>12</v>
      </c>
      <c r="D8" s="5"/>
      <c r="E8" s="48"/>
    </row>
    <row r="9" spans="1:10">
      <c r="B9" s="1" t="s">
        <v>269</v>
      </c>
      <c r="C9" s="33">
        <f>EOMONTH(EDATE(BS!C1,C8+2),0)</f>
        <v>45900</v>
      </c>
      <c r="D9" s="5"/>
      <c r="E9" s="5"/>
    </row>
    <row r="10" spans="1:10">
      <c r="B10" s="4" t="str">
        <f>"Capitalization ("&amp;Market_currency&amp;"):"</f>
        <v>Capitalization (HKD):</v>
      </c>
      <c r="C10" s="35">
        <f>Thesis!C6*Thesis!C7/1000000</f>
        <v>64149.257497599996</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Negative Growth Asset Play</v>
      </c>
      <c r="E15" s="5"/>
    </row>
    <row r="16" spans="1:10">
      <c r="B16" s="4" t="s">
        <v>355</v>
      </c>
      <c r="C16" s="48" t="s">
        <v>405</v>
      </c>
      <c r="D16" s="32"/>
      <c r="E16" s="5"/>
    </row>
    <row r="17" spans="1:6">
      <c r="B17" s="4" t="s">
        <v>1</v>
      </c>
      <c r="C17" s="50">
        <v>1</v>
      </c>
      <c r="D17" s="32" t="str">
        <f>IF(C16=D6,D6,C16&amp;"/"&amp;D6)</f>
        <v>HKD</v>
      </c>
      <c r="E17" s="5"/>
    </row>
    <row r="18" spans="1:6">
      <c r="B18" s="2" t="s">
        <v>56</v>
      </c>
      <c r="C18" s="48" t="s">
        <v>423</v>
      </c>
      <c r="E18" s="5"/>
    </row>
    <row r="19" spans="1:6">
      <c r="B19" s="2" t="s">
        <v>277</v>
      </c>
      <c r="C19" s="249">
        <v>0.25</v>
      </c>
      <c r="D19" s="1" t="s">
        <v>404</v>
      </c>
      <c r="E19" s="336">
        <v>3.4500000000000003E-2</v>
      </c>
    </row>
    <row r="20" spans="1:6">
      <c r="B20" s="2" t="str">
        <f>"Target Buy Price ("&amp;Market_currency&amp;"):"</f>
        <v>Target Buy Price (HKD):</v>
      </c>
      <c r="C20" s="252">
        <f>C133</f>
        <v>5.8235187175367322</v>
      </c>
      <c r="D20" s="1" t="s">
        <v>315</v>
      </c>
      <c r="E20" s="330">
        <v>3</v>
      </c>
    </row>
    <row r="21" spans="1:6">
      <c r="B21" s="1" t="s">
        <v>408</v>
      </c>
      <c r="C21" s="280">
        <f ca="1">Scenarios!C87</f>
        <v>0.12328963999428066</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2591.8202592374382</v>
      </c>
      <c r="D30" s="1" t="str">
        <f>Reporting_currency</f>
        <v>HKD</v>
      </c>
    </row>
    <row r="31" spans="1:6">
      <c r="B31" s="47"/>
      <c r="C31" s="76"/>
    </row>
    <row r="32" spans="1:6" ht="24.4" customHeight="1">
      <c r="B32" s="341" t="s">
        <v>234</v>
      </c>
      <c r="C32" s="341"/>
      <c r="D32" s="341"/>
      <c r="E32" s="341"/>
      <c r="F32" s="341"/>
    </row>
    <row r="33" spans="2:6">
      <c r="B33" s="47" t="s">
        <v>235</v>
      </c>
      <c r="C33" s="188">
        <f>Normalized_FCF!C9</f>
        <v>159.99999999999997</v>
      </c>
      <c r="D33" s="1" t="str">
        <f>Reporting_currency</f>
        <v>HKD</v>
      </c>
    </row>
    <row r="34" spans="2:6">
      <c r="B34" s="52" t="s">
        <v>236</v>
      </c>
      <c r="C34" s="188">
        <f>Normalized_FCF!C10</f>
        <v>-159.99999999999997</v>
      </c>
      <c r="D34" s="1" t="str">
        <f>Reporting_currency</f>
        <v>HKD</v>
      </c>
    </row>
    <row r="36" spans="2:6">
      <c r="B36" s="341" t="s">
        <v>237</v>
      </c>
      <c r="C36" s="341"/>
      <c r="D36" s="341"/>
      <c r="E36" s="341"/>
      <c r="F36" s="341"/>
    </row>
    <row r="37" spans="2:6">
      <c r="B37" s="47" t="s">
        <v>238</v>
      </c>
      <c r="C37" s="188">
        <f>Normalized_FCF!C11</f>
        <v>639</v>
      </c>
      <c r="D37" s="1" t="str">
        <f>Reporting_currency</f>
        <v>HKD</v>
      </c>
    </row>
    <row r="39" spans="2:6">
      <c r="B39" s="341" t="s">
        <v>241</v>
      </c>
      <c r="C39" s="341"/>
      <c r="D39" s="341"/>
      <c r="E39" s="341"/>
      <c r="F39" s="341"/>
    </row>
    <row r="40" spans="2:6">
      <c r="B40" s="47" t="s">
        <v>348</v>
      </c>
      <c r="C40" s="322">
        <f>Normalized_FCF!C48</f>
        <v>163.69305155463843</v>
      </c>
      <c r="D40" s="1" t="str">
        <f>Reporting_currency</f>
        <v>HKD</v>
      </c>
      <c r="E40" s="321"/>
      <c r="F40" s="321"/>
    </row>
    <row r="41" spans="2:6">
      <c r="B41" s="47" t="s">
        <v>349</v>
      </c>
      <c r="C41" s="322">
        <f>Normalized_FCF!C47</f>
        <v>-43</v>
      </c>
      <c r="D41" s="1" t="str">
        <f>Reporting_currency</f>
        <v>HKD</v>
      </c>
      <c r="E41" s="321"/>
      <c r="F41" s="321"/>
    </row>
    <row r="42" spans="2:6">
      <c r="B42" s="47" t="s">
        <v>239</v>
      </c>
      <c r="C42" s="188">
        <f>Normalized_FCF!C12</f>
        <v>120.69305155463843</v>
      </c>
      <c r="D42" s="1" t="str">
        <f>Reporting_currency</f>
        <v>HKD</v>
      </c>
    </row>
    <row r="44" spans="2:6">
      <c r="B44" s="1" t="s">
        <v>247</v>
      </c>
    </row>
    <row r="45" spans="2:6">
      <c r="B45" s="47" t="s">
        <v>266</v>
      </c>
      <c r="C45" s="188">
        <f>Normalized_FCF!C15</f>
        <v>-22.869707937042335</v>
      </c>
      <c r="D45" s="1" t="str">
        <f>Reporting_currency</f>
        <v>HKD</v>
      </c>
    </row>
    <row r="47" spans="2:6">
      <c r="B47" s="341" t="s">
        <v>242</v>
      </c>
      <c r="C47" s="341"/>
      <c r="D47" s="341"/>
      <c r="E47" s="341"/>
      <c r="F47" s="341"/>
    </row>
    <row r="48" spans="2:6">
      <c r="B48" s="47" t="s">
        <v>240</v>
      </c>
      <c r="C48" s="188">
        <f>Normalized_FCF!C14</f>
        <v>-804.36319459009837</v>
      </c>
      <c r="D48" s="1" t="str">
        <f>Reporting_currency</f>
        <v>HKD</v>
      </c>
    </row>
    <row r="50" spans="1:6">
      <c r="B50" s="341" t="s">
        <v>346</v>
      </c>
      <c r="C50" s="344"/>
      <c r="D50" s="344"/>
      <c r="E50" s="344"/>
      <c r="F50" s="344"/>
    </row>
    <row r="51" spans="1:6">
      <c r="B51" s="47" t="s">
        <v>243</v>
      </c>
      <c r="C51" s="1">
        <f>Normalized_FCF!C17</f>
        <v>0</v>
      </c>
      <c r="D51" s="1" t="str">
        <f>Reporting_currency</f>
        <v>HKD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2772.792068232593</v>
      </c>
      <c r="D56" s="1" t="str">
        <f>Reporting_currency</f>
        <v>HKD</v>
      </c>
    </row>
    <row r="57" spans="1:6">
      <c r="B57" s="47" t="s">
        <v>249</v>
      </c>
      <c r="C57" s="188">
        <f>Normalized_FCF!C19</f>
        <v>2524.2804082649359</v>
      </c>
      <c r="D57" s="1" t="str">
        <f>Reporting_currency</f>
        <v>HKD</v>
      </c>
    </row>
    <row r="58" spans="1:6">
      <c r="B58" s="254" t="s">
        <v>398</v>
      </c>
      <c r="C58" s="92">
        <f>Normalized_FCF!C125</f>
        <v>3.9350111080543315E-2</v>
      </c>
    </row>
    <row r="59" spans="1:6">
      <c r="B59" s="254" t="s">
        <v>316</v>
      </c>
      <c r="C59" s="92">
        <f>Normalized_FCF!C93</f>
        <v>7.3885350318471335E-2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0.01</v>
      </c>
      <c r="D68" s="286" t="s">
        <v>420</v>
      </c>
    </row>
    <row r="69" spans="1:6">
      <c r="B69" s="1" t="s">
        <v>289</v>
      </c>
      <c r="C69" s="263">
        <f>IF(D69="Y",1%,0)</f>
        <v>0</v>
      </c>
      <c r="D69" s="286" t="s">
        <v>424</v>
      </c>
    </row>
    <row r="70" spans="1:6">
      <c r="B70" s="80" t="s">
        <v>248</v>
      </c>
      <c r="C70" s="263">
        <f>SUM(C67:C69)</f>
        <v>0.09</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3.432204133136278</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3093</v>
      </c>
      <c r="D86" s="1" t="str">
        <f>Reporting_currency</f>
        <v>HKD</v>
      </c>
    </row>
    <row r="87" spans="2:6">
      <c r="B87" s="47" t="s">
        <v>285</v>
      </c>
      <c r="C87" s="248">
        <f>C86*scaling_factor*Exchange_Rate/Common_Shares</f>
        <v>0.37849307922088393</v>
      </c>
      <c r="D87" s="1" t="str">
        <f>Market_currency</f>
        <v>HKD</v>
      </c>
    </row>
    <row r="88" spans="2:6">
      <c r="B88" s="337" t="s">
        <v>414</v>
      </c>
      <c r="C88" s="338">
        <f>BS!G30/BS!G27</f>
        <v>8.3114411724224596E-2</v>
      </c>
    </row>
    <row r="89" spans="2:6">
      <c r="B89" s="337" t="s">
        <v>415</v>
      </c>
      <c r="C89" s="338">
        <f>BS!G31/BS!G27</f>
        <v>1.8509098960546238E-2</v>
      </c>
    </row>
    <row r="90" spans="2:6">
      <c r="B90" s="337" t="s">
        <v>417</v>
      </c>
      <c r="C90" s="339">
        <f>BS!C50</f>
        <v>1.1933697905849452</v>
      </c>
    </row>
    <row r="92" spans="2:6">
      <c r="B92" s="1" t="s">
        <v>255</v>
      </c>
    </row>
    <row r="93" spans="2:6">
      <c r="B93" s="47" t="s">
        <v>265</v>
      </c>
      <c r="C93" s="188">
        <f>BS!C66</f>
        <v>47679</v>
      </c>
      <c r="D93" s="1" t="str">
        <f>Reporting_currency</f>
        <v>HKD</v>
      </c>
    </row>
    <row r="94" spans="2:6">
      <c r="B94" s="47" t="s">
        <v>267</v>
      </c>
      <c r="C94" s="188">
        <f>Valuation_Model!C8</f>
        <v>42222.564948178719</v>
      </c>
      <c r="D94" s="1" t="str">
        <f>Reporting_currency</f>
        <v>HKD</v>
      </c>
    </row>
    <row r="95" spans="2:6">
      <c r="B95" s="47" t="s">
        <v>286</v>
      </c>
      <c r="C95" s="248">
        <f>C94*scaling_factor*Exchange_Rate/Common_Shares</f>
        <v>5.1668117102618574</v>
      </c>
      <c r="D95" s="1" t="str">
        <f>Market_currency</f>
        <v>HKD</v>
      </c>
    </row>
    <row r="97" spans="1:6">
      <c r="B97" s="1" t="s">
        <v>257</v>
      </c>
    </row>
    <row r="98" spans="1:6">
      <c r="B98" s="47" t="s">
        <v>258</v>
      </c>
      <c r="C98" s="188">
        <f>Valuation_Model!C9</f>
        <v>7814.4</v>
      </c>
      <c r="D98" s="1" t="str">
        <f>Reporting_currency</f>
        <v>HKD</v>
      </c>
    </row>
    <row r="99" spans="1:6">
      <c r="B99" s="47" t="s">
        <v>287</v>
      </c>
      <c r="C99" s="248">
        <f>C98*scaling_factor*Exchange_Rate/Common_Shares</f>
        <v>0.95625487173090062</v>
      </c>
      <c r="D99" s="1" t="str">
        <f>Market_currency</f>
        <v>HKD</v>
      </c>
    </row>
    <row r="101" spans="1:6" ht="24.4" customHeight="1">
      <c r="B101" s="340" t="s">
        <v>374</v>
      </c>
      <c r="C101" s="340"/>
      <c r="D101" s="340"/>
      <c r="E101" s="340"/>
      <c r="F101" s="340"/>
    </row>
    <row r="103" spans="1:6">
      <c r="B103" s="47" t="s">
        <v>283</v>
      </c>
      <c r="C103" s="248">
        <f>Valuation_Model!C12</f>
        <v>9.1767776359081505</v>
      </c>
      <c r="D103" s="1" t="str">
        <f>Market_currency</f>
        <v>HKD</v>
      </c>
    </row>
    <row r="104" spans="1:6">
      <c r="B104" s="337" t="s">
        <v>416</v>
      </c>
      <c r="C104" s="248">
        <f>BS!D47</f>
        <v>11.511512740854835</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0.05</v>
      </c>
      <c r="D111" s="257">
        <f>Valuation_Model!D74</f>
        <v>15</v>
      </c>
      <c r="E111" s="258" t="str">
        <f>ROUND(Valuation_Model!E74,2)&amp;" "&amp;Market_currency</f>
        <v>10.21 HKD</v>
      </c>
      <c r="F111" s="259">
        <f>Valuation_Model!F74</f>
        <v>0.05</v>
      </c>
    </row>
    <row r="112" spans="1:6">
      <c r="B112" s="242" t="str">
        <f>Valuation_Model!B75</f>
        <v>Optimistic</v>
      </c>
      <c r="C112" s="243">
        <f>Valuation_Model!C75</f>
        <v>0.02</v>
      </c>
      <c r="D112" s="244">
        <f>Valuation_Model!D75</f>
        <v>10</v>
      </c>
      <c r="E112" s="245" t="str">
        <f>ROUND(Valuation_Model!E75,2)&amp;" "&amp;Market_currency</f>
        <v>9.41 HKD</v>
      </c>
      <c r="F112" s="246">
        <f>Valuation_Model!F75</f>
        <v>0.17999999999999994</v>
      </c>
    </row>
    <row r="113" spans="1:6">
      <c r="B113" s="242" t="str">
        <f>Valuation_Model!B76</f>
        <v>Base</v>
      </c>
      <c r="C113" s="243">
        <f>Valuation_Model!C76</f>
        <v>0</v>
      </c>
      <c r="D113" s="244">
        <f>Valuation_Model!D76</f>
        <v>10</v>
      </c>
      <c r="E113" s="245" t="str">
        <f>ROUND(Valuation_Model!E76,2)&amp;" "&amp;Market_currency</f>
        <v>9.18 HKD</v>
      </c>
      <c r="F113" s="246">
        <f>Valuation_Model!F76</f>
        <v>0.495</v>
      </c>
    </row>
    <row r="114" spans="1:6">
      <c r="B114" s="242" t="str">
        <f>Valuation_Model!B77</f>
        <v>Pessimistic</v>
      </c>
      <c r="C114" s="243">
        <f>Valuation_Model!C77</f>
        <v>-0.02</v>
      </c>
      <c r="D114" s="244">
        <f>Valuation_Model!D77</f>
        <v>10</v>
      </c>
      <c r="E114" s="245" t="str">
        <f>ROUND(Valuation_Model!E77,2)&amp;" "&amp;Market_currency</f>
        <v>8.97 HKD</v>
      </c>
      <c r="F114" s="246">
        <f>Valuation_Model!F77</f>
        <v>0.22499999999999998</v>
      </c>
    </row>
    <row r="115" spans="1:6">
      <c r="B115" s="242" t="str">
        <f>Valuation_Model!B78</f>
        <v>Devil's advocate</v>
      </c>
      <c r="C115" s="243">
        <f>Valuation_Model!C78</f>
        <v>-0.1</v>
      </c>
      <c r="D115" s="244">
        <f>Valuation_Model!D78</f>
        <v>15</v>
      </c>
      <c r="E115" s="245" t="str">
        <f>ROUND(Valuation_Model!E78,2)&amp;" "&amp;Market_currency</f>
        <v>7.97 HKD</v>
      </c>
      <c r="F115" s="246">
        <f>Valuation_Model!F78</f>
        <v>0.05</v>
      </c>
    </row>
    <row r="117" spans="1:6">
      <c r="B117" s="235" t="s">
        <v>259</v>
      </c>
      <c r="C117" s="241">
        <f>Scenarios!C60</f>
        <v>9.1628099951889297</v>
      </c>
      <c r="D117" s="236" t="str">
        <f>Market_currency</f>
        <v>HKD</v>
      </c>
    </row>
    <row r="119" spans="1:6" ht="24.4" customHeight="1">
      <c r="B119" s="345" t="s">
        <v>378</v>
      </c>
      <c r="C119" s="345"/>
      <c r="D119" s="345"/>
      <c r="E119" s="345"/>
      <c r="F119" s="345"/>
    </row>
    <row r="121" spans="1:6" ht="13.9">
      <c r="A121" s="247" t="s">
        <v>412</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0.57999999999999996</v>
      </c>
      <c r="D128" s="236" t="str">
        <f>Market_currency</f>
        <v>HKD</v>
      </c>
    </row>
    <row r="130" spans="1:6">
      <c r="B130" s="234" t="s">
        <v>409</v>
      </c>
      <c r="C130" s="338">
        <f>C19</f>
        <v>0.25</v>
      </c>
      <c r="D130" s="1" t="s">
        <v>419</v>
      </c>
    </row>
    <row r="131" spans="1:6">
      <c r="B131" s="236" t="str">
        <f>"PV("&amp;C126&amp;" yrs of Dividends)"</f>
        <v>PV(3 yrs of Dividends)</v>
      </c>
      <c r="C131" s="240">
        <f>Scenarios!C81</f>
        <v>1.1321599999999998</v>
      </c>
    </row>
    <row r="132" spans="1:6">
      <c r="B132" s="236" t="str">
        <f>"+ PV(Equity Value realized at year "&amp;C126&amp;")"</f>
        <v>+ PV(Equity Value realized at year 3)</v>
      </c>
      <c r="C132" s="240">
        <f>Scenarios!C82</f>
        <v>4.6913587175367324</v>
      </c>
    </row>
    <row r="133" spans="1:6">
      <c r="B133" s="80" t="s">
        <v>261</v>
      </c>
      <c r="C133" s="239">
        <f>Scenarios!C83</f>
        <v>5.8235187175367322</v>
      </c>
      <c r="D133" s="47" t="str">
        <f>Reporting_currency</f>
        <v>HKD</v>
      </c>
    </row>
    <row r="134" spans="1:6">
      <c r="B134" s="238" t="s">
        <v>263</v>
      </c>
      <c r="C134" s="92">
        <f>Scenarios!F83</f>
        <v>0.3644396510901724</v>
      </c>
    </row>
    <row r="136" spans="1:6">
      <c r="B136" s="234" t="s">
        <v>410</v>
      </c>
      <c r="C136" s="92">
        <f>Scenarios!C90</f>
        <v>0.06</v>
      </c>
      <c r="D136" s="1" t="s">
        <v>418</v>
      </c>
    </row>
    <row r="137" spans="1:6">
      <c r="B137" s="236" t="str">
        <f>"PV("&amp;C126&amp;" yrs of Dividends)"</f>
        <v>PV(3 yrs of Dividends)</v>
      </c>
      <c r="C137" s="240">
        <f>Scenarios!C91</f>
        <v>1.5503469306877509</v>
      </c>
    </row>
    <row r="138" spans="1:6">
      <c r="B138" s="236" t="str">
        <f>"+ PV(Equity Value realized at year "&amp;C126&amp;")"</f>
        <v>+ PV(Equity Value realized at year 3)</v>
      </c>
      <c r="C138" s="240">
        <f>Scenarios!C92</f>
        <v>7.693271958721736</v>
      </c>
    </row>
    <row r="139" spans="1:6">
      <c r="B139" s="80" t="s">
        <v>411</v>
      </c>
      <c r="C139" s="239">
        <f>Scenarios!C93</f>
        <v>9.2436188894094862</v>
      </c>
      <c r="D139" s="101" t="str">
        <f>Reporting_currency</f>
        <v>HKD</v>
      </c>
    </row>
    <row r="140" spans="1:6">
      <c r="B140" s="238" t="s">
        <v>263</v>
      </c>
      <c r="C140" s="92">
        <f>Scenarios!F93</f>
        <v>-8.8192262267783317E-3</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425</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c r="B78" s="93" t="s">
        <v>87</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4">
        <v>0.6</v>
      </c>
      <c r="E4" s="25"/>
      <c r="F4" s="4" t="s">
        <v>78</v>
      </c>
      <c r="G4" s="19">
        <v>45665</v>
      </c>
      <c r="H4" s="294">
        <v>0.9</v>
      </c>
    </row>
    <row r="5" spans="2:8" ht="15" customHeight="1">
      <c r="B5" s="1" t="s">
        <v>33</v>
      </c>
      <c r="C5" s="19">
        <v>0</v>
      </c>
      <c r="D5" s="294">
        <v>0.6</v>
      </c>
      <c r="E5" s="25"/>
      <c r="F5" s="1" t="s">
        <v>29</v>
      </c>
      <c r="G5" s="19">
        <v>2014</v>
      </c>
      <c r="H5" s="294">
        <v>0.7</v>
      </c>
    </row>
    <row r="6" spans="2:8" ht="15" customHeight="1">
      <c r="B6" s="4" t="s">
        <v>10</v>
      </c>
      <c r="C6" s="19">
        <v>9844</v>
      </c>
      <c r="D6" s="294">
        <v>0.5</v>
      </c>
      <c r="E6" s="25"/>
      <c r="F6" s="4" t="s">
        <v>178</v>
      </c>
      <c r="G6" s="19">
        <v>156</v>
      </c>
      <c r="H6" s="294">
        <v>0.6</v>
      </c>
    </row>
    <row r="7" spans="2:8" ht="15" customHeight="1">
      <c r="B7" s="1" t="s">
        <v>69</v>
      </c>
      <c r="C7" s="19">
        <v>5466</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10</v>
      </c>
      <c r="D10" s="294">
        <v>0.9</v>
      </c>
      <c r="H10" s="295"/>
    </row>
    <row r="11" spans="2:8" ht="15" customHeight="1">
      <c r="B11" s="4" t="s">
        <v>12</v>
      </c>
      <c r="C11" s="19">
        <v>0</v>
      </c>
      <c r="D11" s="294">
        <v>0.05</v>
      </c>
      <c r="H11" s="295"/>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4">
        <v>0.4</v>
      </c>
      <c r="F15" s="4" t="s">
        <v>79</v>
      </c>
      <c r="G15" s="19">
        <v>0</v>
      </c>
      <c r="H15" s="294">
        <v>0.8</v>
      </c>
    </row>
    <row r="16" spans="2:8" ht="15" customHeight="1">
      <c r="B16" s="1" t="s">
        <v>34</v>
      </c>
      <c r="C16" s="19">
        <v>0</v>
      </c>
      <c r="D16" s="294">
        <v>0.5</v>
      </c>
      <c r="F16" s="4" t="s">
        <v>178</v>
      </c>
      <c r="G16" s="19">
        <v>1373</v>
      </c>
      <c r="H16" s="294">
        <v>0.6</v>
      </c>
    </row>
    <row r="17" spans="2:8" ht="15" customHeight="1">
      <c r="B17" s="1" t="s">
        <v>69</v>
      </c>
      <c r="C17" s="19">
        <v>67668</v>
      </c>
      <c r="D17" s="294">
        <v>0.6</v>
      </c>
      <c r="F17" s="4" t="s">
        <v>179</v>
      </c>
      <c r="G17" s="19">
        <v>13024</v>
      </c>
      <c r="H17" s="294">
        <v>0.6</v>
      </c>
    </row>
    <row r="18" spans="2:8" ht="15" customHeight="1">
      <c r="B18" s="4" t="s">
        <v>174</v>
      </c>
      <c r="C18" s="19">
        <v>0</v>
      </c>
      <c r="D18" s="294">
        <v>0.6</v>
      </c>
      <c r="F18" s="4" t="s">
        <v>182</v>
      </c>
      <c r="G18" s="19">
        <v>23696</v>
      </c>
      <c r="H18" s="294">
        <v>0.1</v>
      </c>
    </row>
    <row r="19" spans="2:8" ht="15" customHeight="1">
      <c r="B19" s="4" t="s">
        <v>26</v>
      </c>
      <c r="C19" s="19">
        <v>1284</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10</v>
      </c>
      <c r="D22" s="294">
        <v>0.9</v>
      </c>
      <c r="H22" s="295"/>
    </row>
    <row r="23" spans="2:8" ht="15" customHeight="1">
      <c r="B23" s="4" t="s">
        <v>21</v>
      </c>
      <c r="C23" s="19">
        <v>0</v>
      </c>
      <c r="D23" s="294">
        <v>0</v>
      </c>
      <c r="H23" s="295"/>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81">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166588</v>
      </c>
      <c r="D46" s="188">
        <f>H29</f>
        <v>94070.7</v>
      </c>
      <c r="F46" s="283"/>
    </row>
    <row r="47" spans="2:8" ht="15" customHeight="1">
      <c r="B47" s="1" t="str">
        <f>"Equity per share ("&amp;Market_currency&amp;")"</f>
        <v>Equity per share (HKD)</v>
      </c>
      <c r="C47" s="148">
        <f>C46*H1/Common_Shares*Exchange_Rate</f>
        <v>20.385517323391081</v>
      </c>
      <c r="D47" s="148">
        <f>D46*H1/Common_Shares*Exchange_Rate</f>
        <v>11.511512740854835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1.1933697905849452</v>
      </c>
      <c r="D50" s="95">
        <f>G31/Normalized_FCF!G8</f>
        <v>1.3234916559691912</v>
      </c>
      <c r="F50" s="283"/>
    </row>
    <row r="51" spans="2:8" ht="15" customHeight="1">
      <c r="B51" s="1" t="s">
        <v>177</v>
      </c>
      <c r="C51" s="202"/>
      <c r="D51" s="92">
        <f>G29/G32</f>
        <v>0.92039603085151056</v>
      </c>
      <c r="F51" s="283"/>
    </row>
    <row r="52" spans="2:8" ht="15" customHeight="1">
      <c r="F52" s="283"/>
    </row>
    <row r="53" spans="2:8" ht="15" customHeight="1">
      <c r="B53" s="158" t="s">
        <v>143</v>
      </c>
      <c r="C53" s="262" t="s">
        <v>57</v>
      </c>
      <c r="D53" s="218" t="s">
        <v>96</v>
      </c>
      <c r="F53" s="283"/>
    </row>
    <row r="54" spans="2:8" ht="15" customHeight="1">
      <c r="B54" s="1" t="s">
        <v>140</v>
      </c>
      <c r="C54" s="92">
        <f>Normalized_FCF!C8/G35</f>
        <v>2.7262804090098017E-2</v>
      </c>
      <c r="D54" s="92">
        <f>Normalized_FCF!G8/G35</f>
        <v>2.4582404173854506E-2</v>
      </c>
      <c r="F54" s="283"/>
    </row>
    <row r="55" spans="2:8" ht="15" customHeight="1">
      <c r="B55" s="1" t="s">
        <v>142</v>
      </c>
      <c r="C55" s="92">
        <f>Normalized_FCF!C11/G40</f>
        <v>7.4364584303137507E-3</v>
      </c>
      <c r="D55" s="92">
        <f>Normalized_FCF!G11/G40</f>
        <v>7.4364584303137507E-3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2.1500174688919346E-3</v>
      </c>
      <c r="F58" s="5"/>
    </row>
    <row r="59" spans="2:8" ht="15" customHeight="1">
      <c r="B59" s="1" t="s">
        <v>93</v>
      </c>
      <c r="C59" s="98"/>
      <c r="D59" s="92">
        <f>G39/G32</f>
        <v>0.41115825764105285</v>
      </c>
      <c r="F59" s="283"/>
    </row>
    <row r="60" spans="2:8" ht="15" customHeight="1">
      <c r="F60" s="283"/>
    </row>
    <row r="61" spans="2:8" ht="15" customHeight="1">
      <c r="B61" s="158" t="s">
        <v>275</v>
      </c>
      <c r="C61" s="262" t="s">
        <v>138</v>
      </c>
      <c r="D61" s="218" t="s">
        <v>96</v>
      </c>
      <c r="F61" s="283"/>
    </row>
    <row r="62" spans="2:8" ht="15" customHeight="1">
      <c r="B62" s="1" t="s">
        <v>246</v>
      </c>
      <c r="C62" s="92">
        <f>IF(G28&lt;=0,0,G28/G29)</f>
        <v>3.1154705020769802E-3</v>
      </c>
      <c r="D62" s="92">
        <f>G28/G29</f>
        <v>3.1154705020769802E-3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47679</v>
      </c>
      <c r="D66" s="188">
        <f>C66-D75</f>
        <v>42222.564948178719</v>
      </c>
      <c r="F66" s="5" t="s">
        <v>227</v>
      </c>
    </row>
    <row r="67" spans="2:6" ht="15" customHeight="1">
      <c r="B67" s="105" t="s">
        <v>178</v>
      </c>
      <c r="C67" s="20">
        <f>G6+G16</f>
        <v>1529</v>
      </c>
      <c r="F67" s="283"/>
    </row>
    <row r="68" spans="2:6" ht="15" customHeight="1">
      <c r="B68" s="105" t="s">
        <v>182</v>
      </c>
      <c r="C68" s="20">
        <f>G18</f>
        <v>23696</v>
      </c>
      <c r="F68" s="283"/>
    </row>
    <row r="69" spans="2:6" ht="15" customHeight="1">
      <c r="B69" s="105" t="s">
        <v>180</v>
      </c>
      <c r="C69" s="20">
        <f>G8+G20</f>
        <v>0</v>
      </c>
      <c r="F69" s="283"/>
    </row>
    <row r="70" spans="2:6" ht="15" customHeight="1">
      <c r="B70" s="80" t="s">
        <v>189</v>
      </c>
      <c r="C70" s="81">
        <f>SUM(C66:C69)</f>
        <v>72904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-930.64086357333326</v>
      </c>
      <c r="D73" s="188">
        <f>(Normalized_FCF!C25+Normalized_FCF!C35-Normalized_FCF!C91)/12</f>
        <v>-909.4058419702136</v>
      </c>
      <c r="F73" s="1" t="s">
        <v>359</v>
      </c>
    </row>
    <row r="74" spans="2:6" ht="15" customHeight="1">
      <c r="B74" s="288" t="s">
        <v>329</v>
      </c>
      <c r="C74" s="289">
        <f>-$C$66/C73</f>
        <v>51.232437631128107</v>
      </c>
      <c r="D74" s="289">
        <f>-$C$66/D73</f>
        <v>52.428737313479523</v>
      </c>
      <c r="F74" s="283" t="s">
        <v>327</v>
      </c>
    </row>
    <row r="75" spans="2:6" ht="15" customHeight="1">
      <c r="B75" s="80" t="s">
        <v>328</v>
      </c>
      <c r="C75" s="293"/>
      <c r="D75" s="292">
        <f>MAX(-D73*D76,G5)</f>
        <v>5456.4350518212814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13024</v>
      </c>
      <c r="D79" s="188">
        <f>G7*H7+G17*H17</f>
        <v>7814.4</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13024</v>
      </c>
      <c r="D82" s="81">
        <f>SUM(D79:D81)</f>
        <v>7814.4</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-3093</v>
      </c>
      <c r="D86" s="248">
        <f>C86*scaling_factor/Common_Shares</f>
        <v>-0.37849307922088393</v>
      </c>
      <c r="E86" s="269" t="str">
        <f>Market_currency</f>
        <v>HKD</v>
      </c>
    </row>
    <row r="87" spans="2:8" ht="15" customHeight="1">
      <c r="B87" s="267" t="s">
        <v>294</v>
      </c>
      <c r="C87" s="188">
        <f>Valuation_Model!C8*Exchange_Rate</f>
        <v>42222.564948178719</v>
      </c>
      <c r="D87" s="248">
        <f>C87*scaling_factor/Common_Shares</f>
        <v>5.1668117102618574</v>
      </c>
      <c r="E87" s="269" t="str">
        <f>Market_currency</f>
        <v>HKD</v>
      </c>
    </row>
    <row r="88" spans="2:8" ht="15" customHeight="1">
      <c r="B88" s="268" t="s">
        <v>190</v>
      </c>
      <c r="C88" s="188">
        <f>Valuation_Model!C9*Exchange_Rate</f>
        <v>7814.4</v>
      </c>
      <c r="D88" s="248">
        <f>C88*scaling_factor/Common_Shares</f>
        <v>0.95625487173090062</v>
      </c>
      <c r="E88" s="269" t="str">
        <f>Market_currency</f>
        <v>HKD</v>
      </c>
    </row>
    <row r="89" spans="2:8" ht="15" customHeight="1">
      <c r="B89" s="80" t="s">
        <v>298</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0.57805815639048053</v>
      </c>
      <c r="D28" s="26"/>
      <c r="E28" s="300" t="s">
        <v>341</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-1106.5</v>
      </c>
      <c r="E33" s="300" t="s">
        <v>341</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0.24</v>
      </c>
      <c r="D43" s="27"/>
      <c r="E43" s="299" t="s">
        <v>342</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0.03</v>
      </c>
      <c r="E53" s="299" t="s">
        <v>343</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9" t="s">
        <v>344</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302"/>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426</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300" t="s">
        <v>427</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302"/>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302"/>
      <c r="G92" s="171">
        <f t="shared" ref="G92:Q92" si="38">IF(G$4="","",G90/(G19*scaling_factor/Common_Shares))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7.3885350318471335E-2</v>
      </c>
      <c r="E93" s="302"/>
      <c r="G93" s="23">
        <f t="shared" ref="G93:Q93" si="39">IF(G$4="","",G90/Market_Price)</f>
        <v>7.3885350318471335E-2</v>
      </c>
      <c r="H93" s="23">
        <f t="shared" si="39"/>
        <v>7.3885350318471335E-2</v>
      </c>
      <c r="I93" s="23">
        <f t="shared" si="39"/>
        <v>7.2611464968152864E-2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3.9350111080543315E-2</v>
      </c>
      <c r="D125" s="27"/>
      <c r="E125" s="299"/>
      <c r="F125" s="27"/>
      <c r="G125" s="77">
        <f t="shared" ref="G125" si="50">IF(G$4="","",G124/Market_Price)</f>
        <v>4.3224071117835328E-2</v>
      </c>
      <c r="H125" s="77">
        <f t="shared" ref="H125" si="51">IF(H$4="","",H124/Market_Price)</f>
        <v>7.0204391814909964E-2</v>
      </c>
      <c r="I125" s="77">
        <f t="shared" ref="I125" si="52">IF(I$4="","",I124/Market_Price)</f>
        <v>9.5426004581940976E-2</v>
      </c>
      <c r="J125" s="77">
        <f t="shared" ref="J125" si="53">IF(J$4="","",J124/Market_Price)</f>
        <v>0.15670157681376184</v>
      </c>
      <c r="K125" s="77">
        <f t="shared" ref="K125" si="54">IF(K$4="","",K124/Market_Price)</f>
        <v>5.3780825134711406E-2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6.6267329752944401E-2</v>
      </c>
      <c r="H126" s="23">
        <f>IF(H$4="","",(Data!D47*$C$3)/(Market_Price*Common_Shares))</f>
        <v>9.1661232403508139E-2</v>
      </c>
      <c r="I126" s="23">
        <f>IF(I$4="","",(Data!E47*$C$3)/(Market_Price*Common_Shares))</f>
        <v>8.9407060544926448E-2</v>
      </c>
      <c r="J126" s="23">
        <f>IF(J$4="","",(Data!F47*$C$3)/(Market_Price*Common_Shares))</f>
        <v>0.15036864597163707</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Thesis!C76</f>
        <v>0</v>
      </c>
      <c r="H4" s="121"/>
    </row>
    <row r="5" spans="2:8">
      <c r="B5" s="227" t="s">
        <v>124</v>
      </c>
      <c r="C5" s="228">
        <f>Thesis!C70</f>
        <v>0.09</v>
      </c>
      <c r="E5" s="149"/>
      <c r="H5" s="121"/>
    </row>
    <row r="6" spans="2:8" ht="13.15" customHeight="1">
      <c r="B6" s="150" t="s">
        <v>229</v>
      </c>
      <c r="C6" s="232">
        <f>(C4*(1+Terminal_Growth))/(Equity_Cost-Terminal_Growth)</f>
        <v>28047.560091832624</v>
      </c>
      <c r="D6" t="str">
        <f>Reporting_currency</f>
        <v>HKD</v>
      </c>
      <c r="E6" s="348" t="s">
        <v>250</v>
      </c>
      <c r="F6" s="348"/>
      <c r="H6" s="121"/>
    </row>
    <row r="7" spans="2:8">
      <c r="B7" s="149" t="s">
        <v>225</v>
      </c>
      <c r="C7" s="226">
        <f>BS!G31</f>
        <v>3093</v>
      </c>
      <c r="D7" t="str">
        <f>Reporting_currency</f>
        <v>HKD</v>
      </c>
      <c r="E7" s="348"/>
      <c r="F7" s="348"/>
      <c r="H7" s="121"/>
    </row>
    <row r="8" spans="2:8">
      <c r="B8" s="149" t="s">
        <v>226</v>
      </c>
      <c r="C8" s="201">
        <f>BS!D66</f>
        <v>42222.564948178719</v>
      </c>
      <c r="D8" t="str">
        <f>Reporting_currency</f>
        <v>HKD</v>
      </c>
      <c r="E8" s="348"/>
      <c r="F8" s="348"/>
      <c r="H8" s="121"/>
    </row>
    <row r="9" spans="2:8">
      <c r="B9" s="227" t="s">
        <v>191</v>
      </c>
      <c r="C9" s="229">
        <f>BS!H42</f>
        <v>7814.4</v>
      </c>
      <c r="D9" t="str">
        <f>Reporting_currency</f>
        <v>HKD</v>
      </c>
      <c r="E9" s="348"/>
      <c r="F9" s="348"/>
      <c r="H9" s="121"/>
    </row>
    <row r="10" spans="2:8" ht="13.15">
      <c r="B10" s="150" t="s">
        <v>228</v>
      </c>
      <c r="C10" s="232">
        <f>C6-C7+C8+C9</f>
        <v>74991.525040011329</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-1.5334906308317399E-3</v>
      </c>
      <c r="H16" s="121"/>
    </row>
    <row r="17" spans="2:8" ht="13.25" customHeight="1">
      <c r="B17" s="119" t="s">
        <v>135</v>
      </c>
      <c r="C17" s="163">
        <f>Scenarios!C64</f>
        <v>10</v>
      </c>
      <c r="H17" s="121"/>
    </row>
    <row r="18" spans="2:8" ht="13.2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c r="B23" s="123">
        <v>3</v>
      </c>
      <c r="C23" s="124">
        <f t="shared" si="2"/>
        <v>2512.6853263393245</v>
      </c>
      <c r="D23" s="139">
        <f>IF($C$17&lt;B23,0,Valuation_Model!$C$16)</f>
        <v>-1.5334906308317399E-3</v>
      </c>
      <c r="E23" s="125">
        <f t="shared" si="0"/>
        <v>0.77218348006106419</v>
      </c>
      <c r="F23" s="126">
        <f t="shared" si="1"/>
        <v>1940.2540995910704</v>
      </c>
      <c r="H23" s="121"/>
    </row>
    <row r="24" spans="2:8">
      <c r="B24" s="123">
        <v>4</v>
      </c>
      <c r="C24" s="124">
        <f t="shared" si="2"/>
        <v>2508.8321469331549</v>
      </c>
      <c r="D24" s="139">
        <f>IF($C$17&lt;B24,0,Valuation_Model!$C$16)</f>
        <v>-1.5334906308317399E-3</v>
      </c>
      <c r="E24" s="125">
        <f t="shared" si="0"/>
        <v>0.7084252110651964</v>
      </c>
      <c r="F24" s="126">
        <f t="shared" si="1"/>
        <v>1777.3199432182701</v>
      </c>
      <c r="H24" s="121"/>
    </row>
    <row r="25" spans="2:8">
      <c r="B25" s="123">
        <v>5</v>
      </c>
      <c r="C25" s="124">
        <f t="shared" si="2"/>
        <v>2504.9848763415034</v>
      </c>
      <c r="D25" s="139">
        <f>IF($C$17&lt;B25,0,Valuation_Model!$C$16)</f>
        <v>-1.5334906308317399E-3</v>
      </c>
      <c r="E25" s="125">
        <f t="shared" si="0"/>
        <v>0.64993138629834524</v>
      </c>
      <c r="F25" s="126">
        <f t="shared" si="1"/>
        <v>1628.0682933370222</v>
      </c>
      <c r="H25" s="121"/>
    </row>
    <row r="26" spans="2:8">
      <c r="B26" s="123">
        <v>6</v>
      </c>
      <c r="C26" s="124">
        <f t="shared" si="2"/>
        <v>2501.1435055032584</v>
      </c>
      <c r="D26" s="139">
        <f>IF($C$17&lt;B26,0,Valuation_Model!$C$16)</f>
        <v>-1.5334906308317399E-3</v>
      </c>
      <c r="E26" s="125">
        <f t="shared" si="0"/>
        <v>0.5962673268792158</v>
      </c>
      <c r="F26" s="126">
        <f t="shared" si="1"/>
        <v>1491.350152167739</v>
      </c>
      <c r="H26" s="121"/>
    </row>
    <row r="27" spans="2:8">
      <c r="B27" s="123">
        <v>7</v>
      </c>
      <c r="C27" s="124">
        <f t="shared" si="2"/>
        <v>2497.3080253712037</v>
      </c>
      <c r="D27" s="139">
        <f>IF($C$17&lt;B27,0,Valuation_Model!$C$16)</f>
        <v>-1.5334906308317399E-3</v>
      </c>
      <c r="E27" s="125">
        <f t="shared" si="0"/>
        <v>0.54703424484331731</v>
      </c>
      <c r="F27" s="126">
        <f t="shared" si="1"/>
        <v>1366.1130098000924</v>
      </c>
      <c r="H27" s="121"/>
    </row>
    <row r="28" spans="2:8">
      <c r="B28" s="123">
        <v>8</v>
      </c>
      <c r="C28" s="124">
        <f t="shared" si="2"/>
        <v>2493.4784269119959</v>
      </c>
      <c r="D28" s="139">
        <f>IF($C$17&lt;B28,0,Valuation_Model!$C$16)</f>
        <v>-1.5334906308317399E-3</v>
      </c>
      <c r="E28" s="125">
        <f t="shared" si="0"/>
        <v>0.50186627967276809</v>
      </c>
      <c r="F28" s="126">
        <f t="shared" si="1"/>
        <v>1251.3927415586295</v>
      </c>
      <c r="H28" s="121"/>
    </row>
    <row r="29" spans="2:8">
      <c r="B29" s="123">
        <v>9</v>
      </c>
      <c r="C29" s="124">
        <f t="shared" si="2"/>
        <v>2489.6547011061448</v>
      </c>
      <c r="D29" s="139">
        <f>IF($C$17&lt;B29,0,Valuation_Model!$C$16)</f>
        <v>-1.5334906308317399E-3</v>
      </c>
      <c r="E29" s="125">
        <f t="shared" si="0"/>
        <v>0.46042777951630098</v>
      </c>
      <c r="F29" s="126">
        <f t="shared" si="1"/>
        <v>1146.3061857926223</v>
      </c>
      <c r="H29" s="121"/>
    </row>
    <row r="30" spans="2:8">
      <c r="B30" s="123">
        <v>10</v>
      </c>
      <c r="C30" s="124">
        <f t="shared" si="2"/>
        <v>2485.8368389479924</v>
      </c>
      <c r="D30" s="139">
        <f>IF($C$17&lt;B30,0,Valuation_Model!$C$16)</f>
        <v>-1.5334906308317399E-3</v>
      </c>
      <c r="E30" s="125">
        <f t="shared" si="0"/>
        <v>0.42241080689568894</v>
      </c>
      <c r="F30" s="126">
        <f t="shared" si="1"/>
        <v>1050.0443449510503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-7.85</v>
      </c>
    </row>
    <row r="4" spans="2:9">
      <c r="B4" s="153" t="s">
        <v>147</v>
      </c>
      <c r="C4" s="121">
        <v>3</v>
      </c>
      <c r="D4" s="121"/>
      <c r="E4" s="156" t="s">
        <v>151</v>
      </c>
      <c r="F4" s="156"/>
      <c r="H4" s="276">
        <v>1</v>
      </c>
      <c r="I4" s="264">
        <f t="shared" ref="I4:I13" si="0">IF(ROW()-3 &lt; $C$76, $C$77, IF(ROW()-3 = $C$76, $C$77 + $C$60, ""))</f>
        <v>0.57999999999999996</v>
      </c>
    </row>
    <row r="5" spans="2:9">
      <c r="H5" s="276">
        <v>2</v>
      </c>
      <c r="I5" s="264">
        <f t="shared" si="0"/>
        <v>0.57999999999999996</v>
      </c>
    </row>
    <row r="6" spans="2:9" ht="13.15">
      <c r="B6" s="160" t="s">
        <v>96</v>
      </c>
      <c r="C6" s="107">
        <f>Valuation_Model!C3</f>
        <v>1000000</v>
      </c>
      <c r="E6" s="100" t="s">
        <v>282</v>
      </c>
      <c r="F6" s="100"/>
      <c r="H6" s="276">
        <v>3</v>
      </c>
      <c r="I6" s="264">
        <f t="shared" si="0"/>
        <v>9.7428099951889298</v>
      </c>
    </row>
    <row r="7" spans="2:9" ht="12.75" customHeight="1">
      <c r="B7" s="100" t="s">
        <v>276</v>
      </c>
      <c r="C7" s="115">
        <f>Normalized_FCF!G8</f>
        <v>2337</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0"/>
      <c r="H7" s="276">
        <v>4</v>
      </c>
      <c r="I7" s="264" t="str">
        <f t="shared" si="0"/>
        <v/>
      </c>
    </row>
    <row r="8" spans="2:9">
      <c r="B8" s="100" t="s">
        <v>66</v>
      </c>
      <c r="C8" s="115">
        <f>Normalized_FCF!G19</f>
        <v>2772.792068232593</v>
      </c>
      <c r="D8" t="str">
        <f>Reporting_currency</f>
        <v>HKD</v>
      </c>
      <c r="E8" s="350"/>
      <c r="F8" s="350"/>
      <c r="H8" s="276">
        <v>5</v>
      </c>
      <c r="I8" s="264" t="str">
        <f t="shared" si="0"/>
        <v/>
      </c>
    </row>
    <row r="9" spans="2:9">
      <c r="B9" s="100" t="s">
        <v>57</v>
      </c>
      <c r="C9" s="201">
        <f>Normalized_FCF!C19</f>
        <v>2524.2804082649359</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-0.28945840615733698</v>
      </c>
      <c r="D12" s="159"/>
      <c r="E12" s="350"/>
      <c r="F12" s="350"/>
      <c r="H12" s="276">
        <v>9</v>
      </c>
      <c r="I12" s="264" t="str">
        <f t="shared" si="0"/>
        <v/>
      </c>
    </row>
    <row r="13" spans="2:9">
      <c r="B13" s="149" t="s">
        <v>153</v>
      </c>
      <c r="C13" s="159">
        <f ca="1">(Normalized_FCF!G8/OFFSET(Normalized_FCF!G8, 0, $C$4))^(1/$C$4) - 1</f>
        <v>-0.42686307479092267</v>
      </c>
      <c r="E13" s="350"/>
      <c r="F13" s="350"/>
      <c r="H13" s="276">
        <v>10</v>
      </c>
      <c r="I13" s="264" t="str">
        <f t="shared" si="0"/>
        <v/>
      </c>
    </row>
    <row r="14" spans="2:9">
      <c r="B14" s="100" t="s">
        <v>66</v>
      </c>
      <c r="C14" s="159">
        <f ca="1">(Normalized_FCF!G19/OFFSET(Normalized_FCF!G19, 0, $C$4))^(1/$C$4) - 1</f>
        <v>-0.34904529928871464</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7.85</v>
      </c>
      <c r="D21" t="str">
        <f>Market_currency</f>
        <v>HKD</v>
      </c>
      <c r="E21" s="351"/>
      <c r="F21" s="351"/>
    </row>
    <row r="22" spans="2:6">
      <c r="B22" s="100" t="s">
        <v>281</v>
      </c>
      <c r="C22" s="161">
        <f>Valuation_Model!C12</f>
        <v>9.1767776359081505</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v>
      </c>
      <c r="D26" s="165"/>
      <c r="E26" s="349"/>
      <c r="F26" s="349"/>
    </row>
    <row r="27" spans="2:6">
      <c r="B27" s="100" t="s">
        <v>114</v>
      </c>
      <c r="C27" s="161">
        <f>Valuation_Model!E76</f>
        <v>9.1767776359081505</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8.9675536902811377</v>
      </c>
      <c r="D33" t="str">
        <f>Market_currency</f>
        <v>HKD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0.02</v>
      </c>
      <c r="D38" s="165"/>
      <c r="E38" s="349"/>
      <c r="F38" s="349"/>
    </row>
    <row r="39" spans="2:6">
      <c r="B39" s="100" t="s">
        <v>114</v>
      </c>
      <c r="C39" s="161">
        <f>Valuation_Model!E75</f>
        <v>9.4067747622364397</v>
      </c>
      <c r="D39" t="str">
        <f>Market_currency</f>
        <v>HKD</v>
      </c>
      <c r="E39" s="349"/>
      <c r="F39" s="349"/>
    </row>
    <row r="40" spans="2:6">
      <c r="B40" s="100" t="s">
        <v>148</v>
      </c>
      <c r="C40" s="168">
        <f>1-C28-C34</f>
        <v>0.19999999999999996</v>
      </c>
      <c r="D40" s="166"/>
      <c r="E40" s="349"/>
      <c r="F40" s="349"/>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7.9731123943124613</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0.05</v>
      </c>
      <c r="D56" s="165"/>
      <c r="E56" s="349"/>
      <c r="F56" s="349"/>
    </row>
    <row r="57" spans="2:6">
      <c r="B57" s="100" t="s">
        <v>114</v>
      </c>
      <c r="C57" s="161">
        <f>Valuation_Model!E74</f>
        <v>10.214608163659173</v>
      </c>
      <c r="D57" t="str">
        <f>Market_currency</f>
        <v>HKD</v>
      </c>
      <c r="E57" s="349"/>
      <c r="F57" s="349"/>
    </row>
    <row r="58" spans="2:6">
      <c r="B58" s="100" t="s">
        <v>148</v>
      </c>
      <c r="C58" s="166">
        <v>0.05</v>
      </c>
      <c r="D58" s="166"/>
      <c r="E58" s="349"/>
      <c r="F58" s="349"/>
    </row>
    <row r="60" spans="2:6" ht="13.15">
      <c r="B60" s="100" t="s">
        <v>121</v>
      </c>
      <c r="C60" s="155">
        <f>C51*C52+C57*C58+C42*(1-C52-C58)</f>
        <v>9.1628099951889297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-1.5334906308317399E-3</v>
      </c>
      <c r="D65" s="152"/>
      <c r="E65" s="281" t="s">
        <v>320</v>
      </c>
    </row>
    <row r="66" spans="2:6">
      <c r="B66" s="100" t="s">
        <v>103</v>
      </c>
      <c r="C66" s="161">
        <f>Valuation_Model!C18</f>
        <v>9.1600300006768141</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Y</v>
      </c>
      <c r="E72" s="135" t="s">
        <v>354</v>
      </c>
      <c r="F72" s="329">
        <f>BS!D89/C60</f>
        <v>0.6269445187435021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0.57999999999999996</v>
      </c>
      <c r="D77" t="str">
        <f>Market_currency</f>
        <v>HKD</v>
      </c>
    </row>
    <row r="79" spans="2:6" ht="13.15">
      <c r="B79" s="109" t="s">
        <v>308</v>
      </c>
    </row>
    <row r="80" spans="2:6">
      <c r="B80" s="149" t="s">
        <v>306</v>
      </c>
      <c r="C80" s="168">
        <f>Thesis!C127</f>
        <v>0.25</v>
      </c>
    </row>
    <row r="81" spans="2:8">
      <c r="B81" s="100" t="s">
        <v>122</v>
      </c>
      <c r="C81" s="117">
        <f>PV(C80, C76, -C77, 0)</f>
        <v>1.1321599999999998</v>
      </c>
      <c r="D81" s="117"/>
      <c r="E81" s="100"/>
      <c r="F81" s="100"/>
    </row>
    <row r="82" spans="2:8">
      <c r="B82" s="100" t="s">
        <v>123</v>
      </c>
      <c r="C82" s="117">
        <f>C60/(1+C80)^C76</f>
        <v>4.6913587175367324</v>
      </c>
      <c r="D82" s="117"/>
    </row>
    <row r="83" spans="2:8" ht="13.15">
      <c r="B83" s="111" t="s">
        <v>102</v>
      </c>
      <c r="C83" s="112">
        <f>C81+C82</f>
        <v>5.8235187175367322</v>
      </c>
      <c r="D83" t="str">
        <f>Market_currency</f>
        <v>HKD</v>
      </c>
      <c r="E83" s="147" t="s">
        <v>127</v>
      </c>
      <c r="F83" s="329">
        <f>(1-C83/C60)</f>
        <v>0.3644396510901724</v>
      </c>
    </row>
    <row r="84" spans="2:8">
      <c r="E84" s="121"/>
    </row>
    <row r="85" spans="2:8" ht="13.15">
      <c r="B85" s="109" t="s">
        <v>309</v>
      </c>
    </row>
    <row r="86" spans="2:8">
      <c r="B86" s="149" t="s">
        <v>307</v>
      </c>
      <c r="C86" s="266">
        <f>Market_Price</f>
        <v>7.85</v>
      </c>
      <c r="D86" t="str">
        <f>Market_currency</f>
        <v>HKD</v>
      </c>
    </row>
    <row r="87" spans="2:8" ht="13.15">
      <c r="B87" s="100" t="s">
        <v>305</v>
      </c>
      <c r="C87" s="265">
        <f ca="1">IRR(OFFSET($I$3, 0, 0, $C$76 + 1, 1))</f>
        <v>0.12328963999428066</v>
      </c>
    </row>
    <row r="88" spans="2:8">
      <c r="B88" s="100"/>
    </row>
    <row r="89" spans="2:8" ht="13.15">
      <c r="B89" s="109" t="s">
        <v>406</v>
      </c>
    </row>
    <row r="90" spans="2:8">
      <c r="B90" s="149" t="s">
        <v>413</v>
      </c>
      <c r="C90" s="135">
        <f>MAX(6%,(Thesis!E19+Thesis!C67)/2)</f>
        <v>0.06</v>
      </c>
    </row>
    <row r="91" spans="2:8">
      <c r="B91" s="100" t="s">
        <v>122</v>
      </c>
      <c r="C91" s="117">
        <f>PV(C90, C76, -C77, 0)</f>
        <v>1.5503469306877509</v>
      </c>
      <c r="D91" s="117"/>
    </row>
    <row r="92" spans="2:8">
      <c r="B92" s="100" t="s">
        <v>123</v>
      </c>
      <c r="C92" s="117">
        <f>C60/(1+C90)^C76</f>
        <v>7.693271958721736</v>
      </c>
      <c r="D92" s="117"/>
    </row>
    <row r="93" spans="2:8" ht="13.15">
      <c r="B93" s="111" t="s">
        <v>407</v>
      </c>
      <c r="C93" s="112">
        <f>C91+C92</f>
        <v>9.2436188894094862</v>
      </c>
      <c r="D93" t="s">
        <v>405</v>
      </c>
      <c r="E93" s="147" t="s">
        <v>127</v>
      </c>
      <c r="F93" s="329">
        <f>(1-C93/C60)</f>
        <v>-8.8192262267783317E-3</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2025-05-01T12:53:07Z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