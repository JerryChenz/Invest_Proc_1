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BBD631D-3DA5-4730-B866-85FA01F0050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<sst xmlns="http://schemas.openxmlformats.org/spreadsheetml/2006/main" count="589" uniqueCount="416">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</sst>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327</v>
      </c>
      <c r="C5" s="333" t="s">
        <v>412</v>
      </c>
      <c r="D5" s="49" t="s">
        <v>413</v>
      </c>
    </row>
    <row r="6" spans="1:10" x14ac:dyDescent="0.35">
      <c r="B6" s="4" t="s">
        <v>96</v>
      </c>
      <c r="C6" s="50">
        <v>7.85</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64149.257497599996</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Negative Growth Asset Play</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5.7917118707600084</v>
      </c>
      <c r="D20" s="1" t="s">
        <v>319</v>
      </c>
      <c r="E20" s="330">
        <v>3</v>
      </c>
    </row>
    <row r="21" spans="1:6" x14ac:dyDescent="0.35">
      <c r="B21" s="1" t="s">
        <v>374</v>
      </c>
      <c r="C21" s="280">
        <f ca="1">Scenarios!C87</f>
        <v>0.12105292184429062</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7" t="s">
        <v>238</v>
      </c>
      <c r="C36" s="337"/>
      <c r="D36" s="337"/>
      <c r="E36" s="337"/>
      <c r="F36" s="337"/>
    </row>
    <row r="37" spans="2:6" x14ac:dyDescent="0.35">
      <c r="B37" s="47" t="s">
        <v>239</v>
      </c>
      <c r="C37" s="188">
        <f>Normalized_FCF!C11</f>
        <v>639</v>
      </c>
      <c r="D37" s="1" t="str">
        <f>Reporting_currency</f>
        <v>HKD</v>
      </c>
    </row>
    <row r="39" spans="2:6" x14ac:dyDescent="0.35">
      <c r="B39" s="337" t="s">
        <v>242</v>
      </c>
      <c r="C39" s="337"/>
      <c r="D39" s="337"/>
      <c r="E39" s="337"/>
      <c r="F39" s="337"/>
    </row>
    <row r="40" spans="2:6" x14ac:dyDescent="0.35">
      <c r="B40" s="47" t="s">
        <v>353</v>
      </c>
      <c r="C40" s="322">
        <f>Normalized_FCF!C48</f>
        <v>163.69305155463843</v>
      </c>
      <c r="D40" s="1" t="str">
        <f>Reporting_currency</f>
        <v>HKD</v>
      </c>
      <c r="E40" s="321"/>
      <c r="F40" s="321"/>
    </row>
    <row r="41" spans="2:6" x14ac:dyDescent="0.35">
      <c r="B41" s="47" t="s">
        <v>354</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7" t="s">
        <v>243</v>
      </c>
      <c r="C47" s="337"/>
      <c r="D47" s="337"/>
      <c r="E47" s="337"/>
      <c r="F47" s="337"/>
    </row>
    <row r="48" spans="2:6" x14ac:dyDescent="0.35">
      <c r="B48" s="47" t="s">
        <v>241</v>
      </c>
      <c r="C48" s="188">
        <f>Normalized_FCF!C14</f>
        <v>-804.36319459009837</v>
      </c>
      <c r="D48" s="1" t="str">
        <f>Reporting_currency</f>
        <v>HKD</v>
      </c>
    </row>
    <row r="50" spans="1:6" x14ac:dyDescent="0.35">
      <c r="B50" s="337" t="s">
        <v>351</v>
      </c>
      <c r="C50" s="340"/>
      <c r="D50" s="340"/>
      <c r="E50" s="340"/>
      <c r="F50" s="340"/>
    </row>
    <row r="51" spans="1:6" x14ac:dyDescent="0.35">
      <c r="B51" s="47" t="s">
        <v>244</v>
      </c>
      <c r="C51" s="1">
        <f>Normalized_FCF!C17</f>
        <v>0</v>
      </c>
      <c r="D51" s="1" t="str">
        <f>Reporting_currency</f>
        <v>HKD</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406</v>
      </c>
      <c r="C58" s="92">
        <f>Normalized_FCF!C125</f>
        <v>3.9350111080543315E-2</v>
      </c>
    </row>
    <row r="59" spans="1:6" x14ac:dyDescent="0.35">
      <c r="B59" s="254" t="s">
        <v>320</v>
      </c>
      <c r="C59" s="92">
        <f>Normalized_FCF!C93</f>
        <v>7.3885350318471335E-2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333</v>
      </c>
    </row>
    <row r="70" spans="1:6" x14ac:dyDescent="0.35">
      <c r="B70" s="80" t="s">
        <v>249</v>
      </c>
      <c r="C70" s="263">
        <f>SUM(C67:C69)</f>
        <v>0.09</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6" t="s">
        <v>382</v>
      </c>
      <c r="C98" s="336"/>
      <c r="D98" s="336"/>
      <c r="E98" s="336"/>
      <c r="F98" s="336"/>
    </row>
    <row r="100" spans="1:6" x14ac:dyDescent="0.35">
      <c r="B100" s="47" t="s">
        <v>286</v>
      </c>
      <c r="C100" s="248">
        <f>Valuation_Model!C12</f>
        <v>9.1767776359081505</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0.22499999999999992</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-0.05</v>
      </c>
      <c r="D110" s="244">
        <f>Valuation_Model!D77</f>
        <v>10</v>
      </c>
      <c r="E110" s="245" t="str">
        <f>ROUND(Valuation_Model!E77,2)&amp;" "&amp;Market_currency</f>
        <v>8.69 HKD</v>
      </c>
      <c r="F110" s="246">
        <f>Valuation_Model!F77</f>
        <v>0.18</v>
      </c>
    </row>
    <row r="111" spans="1:6" x14ac:dyDescent="0.35">
      <c r="B111" s="242" t="str">
        <f>Valuation_Model!B78</f>
        <v>Devil's advocate</v>
      </c>
      <c r="C111" s="243">
        <f>Valuation_Model!C78</f>
        <v>-0.2</v>
      </c>
      <c r="D111" s="244">
        <f>Valuation_Model!D78</f>
        <v>15</v>
      </c>
      <c r="E111" s="245" t="str">
        <f>ROUND(Valuation_Model!E78,2)&amp;" "&amp;Market_currency</f>
        <v>7.34 HKD</v>
      </c>
      <c r="F111" s="246">
        <f>Valuation_Model!F78</f>
        <v>0.05</v>
      </c>
    </row>
    <row r="113" spans="1:6" x14ac:dyDescent="0.35">
      <c r="B113" s="235" t="s">
        <v>260</v>
      </c>
      <c r="C113" s="241">
        <f>Scenarios!C60</f>
        <v>9.1006872475781417</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4.6595518707600085</v>
      </c>
    </row>
    <row r="129" spans="1:6" x14ac:dyDescent="0.35">
      <c r="B129" s="80" t="s">
        <v>262</v>
      </c>
      <c r="C129" s="239">
        <f>Scenarios!C83</f>
        <v>5.7917118707600084</v>
      </c>
      <c r="D129" s="47" t="str">
        <f>Reporting_currency</f>
        <v>HKD</v>
      </c>
    </row>
    <row r="130" spans="1:6" x14ac:dyDescent="0.35">
      <c r="B130" s="238" t="s">
        <v>264</v>
      </c>
      <c r="C130" s="92">
        <f>Scenarios!F83</f>
        <v>0.36359620837412165</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-930.64086357333326</v>
      </c>
      <c r="D73" s="188">
        <f>(Normalized_FCF!C25+Normalized_FCF!C35-Normalized_FCF!C91)/12</f>
        <v>-909.4058419702136</v>
      </c>
      <c r="F73" s="1" t="s">
        <v>364</v>
      </c>
    </row>
    <row r="74" spans="2:6" ht="15" customHeight="1" x14ac:dyDescent="0.35">
      <c r="B74" s="288" t="s">
        <v>334</v>
      </c>
      <c r="C74" s="289">
        <f>-$C$66/C73</f>
        <v>51.232437631128107</v>
      </c>
      <c r="D74" s="289">
        <f>-$C$66/D73</f>
        <v>52.428737313479523</v>
      </c>
      <c r="F74" s="283" t="s">
        <v>331</v>
      </c>
    </row>
    <row r="75" spans="2:6" ht="15" customHeight="1" x14ac:dyDescent="0.35">
      <c r="B75" s="80" t="s">
        <v>332</v>
      </c>
      <c r="C75" s="293"/>
      <c r="D75" s="292">
        <f>MAX(-D73*D76,G5)</f>
        <v>5456.4350518212814</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348</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349</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-7.3000000000000001E-3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9.0981264288878361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2505.8531612846018</v>
      </c>
      <c r="D21" s="139">
        <f>IF($C$17&lt;B21,0,Valuation_Model!$C$16)</f>
        <v>-7.3000000000000001E-3</v>
      </c>
      <c r="E21" s="125">
        <f t="shared" ref="E21:E50" si="0">IF($C$17&lt;B21,0,1/(1+Equity_Cost)^B21)</f>
        <v>0.9174311926605504</v>
      </c>
      <c r="F21" s="126">
        <f t="shared" ref="F21:F51" si="1">C21*E21</f>
        <v>2298.947854389543</v>
      </c>
      <c r="H21" s="121"/>
    </row>
    <row r="22" spans="2:8" x14ac:dyDescent="0.35">
      <c r="B22" s="123">
        <v>2</v>
      </c>
      <c r="C22" s="124">
        <f t="shared" ref="C22:C50" si="2">IF(ROW()-ROW($C$21)&lt;$C$17, $C$21*(1+D22)^(ROW()-ROW($C$21)), 0)</f>
        <v>2487.5604332072244</v>
      </c>
      <c r="D22" s="139">
        <f>IF($C$17&lt;B22,0,Valuation_Model!$C$16)</f>
        <v>-7.3000000000000001E-3</v>
      </c>
      <c r="E22" s="125">
        <f t="shared" si="0"/>
        <v>0.84167999326655996</v>
      </c>
      <c r="F22" s="126">
        <f t="shared" si="1"/>
        <v>2093.7298486720174</v>
      </c>
      <c r="H22" s="121"/>
    </row>
    <row r="23" spans="2:8" x14ac:dyDescent="0.35">
      <c r="B23" s="123">
        <v>3</v>
      </c>
      <c r="C23" s="124">
        <f t="shared" si="2"/>
        <v>2469.4012420448116</v>
      </c>
      <c r="D23" s="139">
        <f>IF($C$17&lt;B23,0,Valuation_Model!$C$16)</f>
        <v>-7.3000000000000001E-3</v>
      </c>
      <c r="E23" s="125">
        <f t="shared" si="0"/>
        <v>0.77218348006106419</v>
      </c>
      <c r="F23" s="126">
        <f t="shared" si="1"/>
        <v>1906.830844749277</v>
      </c>
      <c r="H23" s="121"/>
    </row>
    <row r="24" spans="2:8" x14ac:dyDescent="0.35">
      <c r="B24" s="123">
        <v>4</v>
      </c>
      <c r="C24" s="124">
        <f t="shared" si="2"/>
        <v>2451.3746129778847</v>
      </c>
      <c r="D24" s="139">
        <f>IF($C$17&lt;B24,0,Valuation_Model!$C$16)</f>
        <v>-7.3000000000000001E-3</v>
      </c>
      <c r="E24" s="125">
        <f t="shared" si="0"/>
        <v>0.7084252110651964</v>
      </c>
      <c r="F24" s="126">
        <f t="shared" si="1"/>
        <v>1736.6155775987222</v>
      </c>
      <c r="H24" s="121"/>
    </row>
    <row r="25" spans="2:8" x14ac:dyDescent="0.35">
      <c r="B25" s="123">
        <v>5</v>
      </c>
      <c r="C25" s="124">
        <f t="shared" si="2"/>
        <v>2433.4795783031459</v>
      </c>
      <c r="D25" s="139">
        <f>IF($C$17&lt;B25,0,Valuation_Model!$C$16)</f>
        <v>-7.3000000000000001E-3</v>
      </c>
      <c r="E25" s="125">
        <f t="shared" si="0"/>
        <v>0.64993138629834524</v>
      </c>
      <c r="F25" s="126">
        <f t="shared" si="1"/>
        <v>1581.5947558552762</v>
      </c>
      <c r="H25" s="121"/>
    </row>
    <row r="26" spans="2:8" x14ac:dyDescent="0.35">
      <c r="B26" s="123">
        <v>6</v>
      </c>
      <c r="C26" s="124">
        <f t="shared" si="2"/>
        <v>2415.7151773815331</v>
      </c>
      <c r="D26" s="139">
        <f>IF($C$17&lt;B26,0,Valuation_Model!$C$16)</f>
        <v>-7.3000000000000001E-3</v>
      </c>
      <c r="E26" s="125">
        <f t="shared" si="0"/>
        <v>0.5962673268792158</v>
      </c>
      <c r="F26" s="126">
        <f t="shared" si="1"/>
        <v>1440.4120313188373</v>
      </c>
      <c r="H26" s="121"/>
    </row>
    <row r="27" spans="2:8" x14ac:dyDescent="0.35">
      <c r="B27" s="123">
        <v>7</v>
      </c>
      <c r="C27" s="124">
        <f t="shared" si="2"/>
        <v>2398.0804565866479</v>
      </c>
      <c r="D27" s="139">
        <f>IF($C$17&lt;B27,0,Valuation_Model!$C$16)</f>
        <v>-7.3000000000000001E-3</v>
      </c>
      <c r="E27" s="125">
        <f t="shared" si="0"/>
        <v>0.54703424484331731</v>
      </c>
      <c r="F27" s="126">
        <f t="shared" si="1"/>
        <v>1311.8321316423944</v>
      </c>
      <c r="H27" s="121"/>
    </row>
    <row r="28" spans="2:8" x14ac:dyDescent="0.35">
      <c r="B28" s="123">
        <v>8</v>
      </c>
      <c r="C28" s="124">
        <f t="shared" si="2"/>
        <v>2380.5744692535654</v>
      </c>
      <c r="D28" s="139">
        <f>IF($C$17&lt;B28,0,Valuation_Model!$C$16)</f>
        <v>-7.3000000000000001E-3</v>
      </c>
      <c r="E28" s="125">
        <f t="shared" si="0"/>
        <v>0.50186627967276809</v>
      </c>
      <c r="F28" s="126">
        <f t="shared" si="1"/>
        <v>1194.7300523682613</v>
      </c>
      <c r="H28" s="121"/>
    </row>
    <row r="29" spans="2:8" x14ac:dyDescent="0.35">
      <c r="B29" s="123">
        <v>9</v>
      </c>
      <c r="C29" s="124">
        <f t="shared" si="2"/>
        <v>2363.1962756280145</v>
      </c>
      <c r="D29" s="139">
        <f>IF($C$17&lt;B29,0,Valuation_Model!$C$16)</f>
        <v>-7.3000000000000001E-3</v>
      </c>
      <c r="E29" s="125">
        <f t="shared" si="0"/>
        <v>0.46042777951630098</v>
      </c>
      <c r="F29" s="126">
        <f t="shared" si="1"/>
        <v>1088.0812137485991</v>
      </c>
      <c r="H29" s="121"/>
    </row>
    <row r="30" spans="2:8" x14ac:dyDescent="0.35">
      <c r="B30" s="123">
        <v>10</v>
      </c>
      <c r="C30" s="124">
        <f t="shared" si="2"/>
        <v>2345.9449428159301</v>
      </c>
      <c r="D30" s="139">
        <f>IF($C$17&lt;B30,0,Valuation_Model!$C$16)</f>
        <v>-7.3000000000000001E-3</v>
      </c>
      <c r="E30" s="125">
        <f t="shared" si="0"/>
        <v>0.42241080689568894</v>
      </c>
      <c r="F30" s="126">
        <f t="shared" si="1"/>
        <v>990.95249622773781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27842.812903162245</v>
      </c>
      <c r="D51" s="140">
        <f>Terminal_Growth</f>
        <v>0</v>
      </c>
      <c r="E51" s="125">
        <f>1/(1+Equity_Cost)^C17</f>
        <v>0.42241080689568894</v>
      </c>
      <c r="F51" s="126">
        <f t="shared" si="1"/>
        <v>11761.105064670463</v>
      </c>
      <c r="H51" s="121"/>
    </row>
    <row r="52" spans="1:8" x14ac:dyDescent="0.35">
      <c r="C52" s="115"/>
      <c r="E52" s="128" t="s">
        <v>102</v>
      </c>
      <c r="F52" s="138">
        <f>SUM(F21:F51)</f>
        <v>27404.831871241127</v>
      </c>
      <c r="H52" s="121"/>
    </row>
    <row r="53" spans="1:8" x14ac:dyDescent="0.35">
      <c r="C53" s="115"/>
      <c r="H53" s="121"/>
    </row>
    <row r="54" spans="1:8" ht="13.15" x14ac:dyDescent="0.35">
      <c r="B54" s="120" t="s">
        <v>131</v>
      </c>
      <c r="C54" s="137"/>
      <c r="D54" s="137"/>
      <c r="E54" s="118"/>
      <c r="F54" s="118"/>
      <c r="H54" s="121"/>
    </row>
    <row r="55" spans="1:8" ht="13.15" x14ac:dyDescent="0.4">
      <c r="A55" s="134">
        <f>F52</f>
        <v>27404.831871241127</v>
      </c>
      <c r="B55" s="132">
        <f>C78</f>
        <v>-0.2</v>
      </c>
      <c r="C55" s="132">
        <f>C77</f>
        <v>-0.05</v>
      </c>
      <c r="D55" s="132">
        <f>C76</f>
        <v>0</v>
      </c>
      <c r="E55" s="132">
        <f>C75</f>
        <v>0.02</v>
      </c>
      <c r="F55" s="132">
        <f>C74</f>
        <v>0.05</v>
      </c>
      <c r="H55" s="121"/>
    </row>
    <row r="56" spans="1:8" ht="13.15" x14ac:dyDescent="0.4">
      <c r="A56" s="144">
        <v>5</v>
      </c>
      <c r="B56" s="124">
        <f t="dataTable" ref="B56:F61" dt2D="1" dtr="1" r1="C16" r2="C17"/>
        <v>20063.703772414767</v>
      </c>
      <c r="C56" s="124">
        <v>25832.311334807477</v>
      </c>
      <c r="D56" s="124">
        <v>28047.560091832616</v>
      </c>
      <c r="E56" s="124">
        <v>28981.765727242848</v>
      </c>
      <c r="F56" s="124">
        <v>30438.473405950401</v>
      </c>
      <c r="H56" s="121"/>
    </row>
    <row r="57" spans="1:8" ht="13.15" x14ac:dyDescent="0.4">
      <c r="A57" s="144">
        <v>10</v>
      </c>
      <c r="B57" s="124">
        <v>16125.768083282397</v>
      </c>
      <c r="C57" s="124">
        <v>24052.100970487048</v>
      </c>
      <c r="D57" s="124">
        <v>28047.560091832609</v>
      </c>
      <c r="E57" s="124">
        <v>29927.068993812412</v>
      </c>
      <c r="F57" s="124">
        <v>33109.67442910144</v>
      </c>
      <c r="H57" s="121"/>
    </row>
    <row r="58" spans="1:8" ht="13.15" x14ac:dyDescent="0.4">
      <c r="A58" s="144">
        <v>15</v>
      </c>
      <c r="B58" s="124">
        <v>13056.366048742024</v>
      </c>
      <c r="C58" s="124">
        <v>22265.500140079126</v>
      </c>
      <c r="D58" s="124">
        <v>28047.560091832613</v>
      </c>
      <c r="E58" s="124">
        <v>31045.702134284722</v>
      </c>
      <c r="F58" s="124">
        <v>36528.586558529481</v>
      </c>
      <c r="H58" s="121"/>
    </row>
    <row r="59" spans="1:8" ht="13.15" x14ac:dyDescent="0.4">
      <c r="A59" s="145">
        <v>20</v>
      </c>
      <c r="B59" s="124">
        <v>10952.84788723816</v>
      </c>
      <c r="C59" s="124">
        <v>20787.710421208605</v>
      </c>
      <c r="D59" s="124">
        <v>28047.560091832613</v>
      </c>
      <c r="E59" s="124">
        <v>32134.575636798087</v>
      </c>
      <c r="F59" s="124">
        <v>40146.532024878717</v>
      </c>
      <c r="H59" s="121"/>
    </row>
    <row r="60" spans="1:8" ht="13.15" x14ac:dyDescent="0.4">
      <c r="A60" s="145">
        <v>25</v>
      </c>
      <c r="B60" s="124">
        <v>9562.5732082856211</v>
      </c>
      <c r="C60" s="124">
        <v>19668.01798494067</v>
      </c>
      <c r="D60" s="124">
        <v>28047.560091832605</v>
      </c>
      <c r="E60" s="124">
        <v>33101.915756911323</v>
      </c>
      <c r="F60" s="124">
        <v>43655.830383979846</v>
      </c>
      <c r="H60" s="121"/>
    </row>
    <row r="61" spans="1:8" ht="13.15" x14ac:dyDescent="0.4">
      <c r="A61" s="145">
        <v>30</v>
      </c>
      <c r="B61" s="124">
        <v>8654.0636045229312</v>
      </c>
      <c r="C61" s="124">
        <v>18860.216981993442</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-0.2</v>
      </c>
      <c r="C64" s="133">
        <f>C55</f>
        <v>-0.05</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8.1997862481313746</v>
      </c>
      <c r="C66" s="125">
        <f t="shared" si="4"/>
        <v>8.9056957337786056</v>
      </c>
      <c r="D66" s="125">
        <f t="shared" si="4"/>
        <v>9.1767776359081505</v>
      </c>
      <c r="E66" s="125">
        <f t="shared" si="4"/>
        <v>9.2910971857212523</v>
      </c>
      <c r="F66" s="125">
        <f t="shared" si="4"/>
        <v>9.4693557614854704</v>
      </c>
      <c r="H66" s="121"/>
    </row>
    <row r="67" spans="1:8" ht="13.15" x14ac:dyDescent="0.4">
      <c r="A67" s="144">
        <f t="shared" si="3"/>
        <v>10</v>
      </c>
      <c r="B67" s="125">
        <f t="shared" si="4"/>
        <v>7.7178976594622748</v>
      </c>
      <c r="C67" s="125">
        <f t="shared" si="4"/>
        <v>8.6878498551971095</v>
      </c>
      <c r="D67" s="125">
        <f t="shared" si="4"/>
        <v>9.1767776359081505</v>
      </c>
      <c r="E67" s="125">
        <f t="shared" si="4"/>
        <v>9.4067747622364397</v>
      </c>
      <c r="F67" s="125">
        <f t="shared" si="4"/>
        <v>9.7962329359020277</v>
      </c>
      <c r="H67" s="121"/>
    </row>
    <row r="68" spans="1:8" ht="13.15" x14ac:dyDescent="0.4">
      <c r="A68" s="144">
        <f t="shared" si="3"/>
        <v>15</v>
      </c>
      <c r="B68" s="125">
        <f t="shared" si="4"/>
        <v>7.3422922836394369</v>
      </c>
      <c r="C68" s="125">
        <f t="shared" si="4"/>
        <v>8.4692219697655933</v>
      </c>
      <c r="D68" s="125">
        <f t="shared" si="4"/>
        <v>9.1767776359081505</v>
      </c>
      <c r="E68" s="125">
        <f t="shared" si="4"/>
        <v>9.5436628650026503</v>
      </c>
      <c r="F68" s="125">
        <f t="shared" si="4"/>
        <v>10.214608163659173</v>
      </c>
      <c r="H68" s="121"/>
    </row>
    <row r="69" spans="1:8" ht="13.15" x14ac:dyDescent="0.4">
      <c r="A69" s="145">
        <f t="shared" si="3"/>
        <v>20</v>
      </c>
      <c r="B69" s="125">
        <f t="shared" si="4"/>
        <v>7.0848829509059597</v>
      </c>
      <c r="C69" s="125">
        <f t="shared" si="4"/>
        <v>8.2883835665530903</v>
      </c>
      <c r="D69" s="125">
        <f t="shared" si="4"/>
        <v>9.1767776359081505</v>
      </c>
      <c r="E69" s="125">
        <f t="shared" si="4"/>
        <v>9.6769092551896243</v>
      </c>
      <c r="F69" s="125">
        <f t="shared" si="4"/>
        <v>10.65733927261868</v>
      </c>
      <c r="H69" s="121"/>
    </row>
    <row r="70" spans="1:8" ht="13.15" x14ac:dyDescent="0.4">
      <c r="A70" s="145">
        <f t="shared" si="3"/>
        <v>25</v>
      </c>
      <c r="B70" s="125">
        <f t="shared" si="4"/>
        <v>6.9147538386526222</v>
      </c>
      <c r="C70" s="125">
        <f t="shared" si="4"/>
        <v>8.1513658368462085</v>
      </c>
      <c r="D70" s="125">
        <f t="shared" si="4"/>
        <v>9.1767776359081488</v>
      </c>
      <c r="E70" s="125">
        <f t="shared" si="4"/>
        <v>9.7952835004904841</v>
      </c>
      <c r="F70" s="125">
        <f t="shared" si="4"/>
        <v>11.086775141303123</v>
      </c>
    </row>
    <row r="71" spans="1:8" ht="13.15" x14ac:dyDescent="0.4">
      <c r="A71" s="145">
        <f t="shared" si="3"/>
        <v>30</v>
      </c>
      <c r="B71" s="125">
        <f t="shared" si="4"/>
        <v>6.8035787344075898</v>
      </c>
      <c r="C71" s="125">
        <f t="shared" si="4"/>
        <v>8.0525145309932462</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0.22499999999999992</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-0.05</v>
      </c>
      <c r="D77" s="146">
        <f>Scenarios!C31</f>
        <v>10</v>
      </c>
      <c r="E77" s="136">
        <f>INDEX(B$65:F$71, MATCH(D77, A$65:A$71, 0), MATCH(C77, B$64:F$64, 0))</f>
        <v>8.6878498551971095</v>
      </c>
      <c r="F77" s="143">
        <f>Scenarios!C34*(1-F$74-F$78)</f>
        <v>0.18</v>
      </c>
      <c r="H77" s="121"/>
    </row>
    <row r="78" spans="1:8" x14ac:dyDescent="0.35">
      <c r="B78" s="128" t="str">
        <f>Scenarios!B48</f>
        <v>Devil's advocate</v>
      </c>
      <c r="C78" s="143">
        <f>Scenarios!C50</f>
        <v>-0.2</v>
      </c>
      <c r="D78" s="146">
        <f>Scenarios!C49</f>
        <v>15</v>
      </c>
      <c r="E78" s="136">
        <f>INDEX(B$65:F$71, MATCH(D78, A$65:A$71, 0), MATCH(C78, B$64:F$64, 0))</f>
        <v>7.3422922836394369</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-7.85</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9.6806872475781418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7.85</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-0.05</v>
      </c>
      <c r="D32" s="165"/>
      <c r="E32" s="345"/>
      <c r="F32" s="345"/>
    </row>
    <row r="33" spans="2:6" x14ac:dyDescent="0.35">
      <c r="B33" s="100" t="s">
        <v>115</v>
      </c>
      <c r="C33" s="161">
        <f>Valuation_Model!E77</f>
        <v>8.6878498551971095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9.1364913613480141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-0.2</v>
      </c>
      <c r="D50" s="165"/>
      <c r="E50" s="345"/>
      <c r="F50" s="345"/>
    </row>
    <row r="51" spans="2:6" x14ac:dyDescent="0.35">
      <c r="B51" s="100" t="s">
        <v>115</v>
      </c>
      <c r="C51" s="161">
        <f>Valuation_Model!E78</f>
        <v>7.3422922836394369</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9.1006872475781417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-7.3000000000000001E-3</v>
      </c>
      <c r="D65" s="152"/>
      <c r="E65" s="281" t="s">
        <v>324</v>
      </c>
    </row>
    <row r="66" spans="2:6" x14ac:dyDescent="0.35">
      <c r="B66" s="100" t="s">
        <v>104</v>
      </c>
      <c r="C66" s="161">
        <f>Valuation_Model!C18</f>
        <v>9.0981264288878361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0.63122414236360114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4.6595518707600085</v>
      </c>
      <c r="D82" s="117"/>
    </row>
    <row r="83" spans="2:8" ht="13.15" x14ac:dyDescent="0.4">
      <c r="B83" s="111" t="s">
        <v>103</v>
      </c>
      <c r="C83" s="112">
        <f>C81+C82</f>
        <v>5.7917118707600084</v>
      </c>
      <c r="D83" t="str">
        <f>Market_currency</f>
        <v>HKD</v>
      </c>
      <c r="E83" s="147" t="s">
        <v>128</v>
      </c>
      <c r="F83" s="329">
        <f>(1-C83/C60)</f>
        <v>0.36359620837412165</v>
      </c>
    </row>
    <row r="84" spans="2:8" x14ac:dyDescent="0.35">
      <c r="E84" s="121"/>
    </row>
    <row r="85" spans="2:8" ht="13.15" x14ac:dyDescent="0.4">
      <c r="B85" s="109" t="s">
        <v>313</v>
      </c>
    </row>
    <row r="86" spans="2:8" x14ac:dyDescent="0.35">
      <c r="B86" s="149" t="s">
        <v>311</v>
      </c>
      <c r="C86" s="266">
        <f>Market_Price</f>
        <v>7.85</v>
      </c>
      <c r="D86" t="str">
        <f>Market_currency</f>
        <v>HKD</v>
      </c>
    </row>
    <row r="87" spans="2:8" ht="13.15" x14ac:dyDescent="0.4">
      <c r="B87" s="100" t="s">
        <v>309</v>
      </c>
      <c r="C87" s="265">
        <f ca="1">IRR(OFFSET($I$3, 0, 0, $C$76 + 1, 1))</f>
        <v>0.12105292184429062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