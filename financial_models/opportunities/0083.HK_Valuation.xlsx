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6EFF6A7-6D57-4CFA-AC5D-FC8B647B5CF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3" i="2"/>
  <c r="C33" i="2"/>
  <c r="C34" i="2"/>
  <c r="C28" i="2"/>
  <c r="C29" i="2"/>
  <c r="C4" i="2"/>
  <c r="F60" i="9"/>
  <c r="B10" i="6"/>
  <c r="B20" i="6"/>
  <c r="C40" i="3" l="1"/>
  <c r="C3" i="2" l="1"/>
  <c r="B90" i="2"/>
  <c r="B89" i="2"/>
  <c r="C9" i="6"/>
  <c r="C71" i="9"/>
  <c r="D66" i="9"/>
  <c r="D18" i="8"/>
  <c r="D22" i="9"/>
  <c r="D21" i="9"/>
  <c r="D9" i="9"/>
  <c r="D86" i="9"/>
  <c r="C86" i="9"/>
  <c r="C76" i="9"/>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93" i="3" s="1"/>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I4" i="9"/>
  <c r="I5" i="9"/>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81" i="9" l="1"/>
  <c r="C121"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L43" i="2" l="1"/>
  <c r="L92" i="2"/>
  <c r="M43" i="2"/>
  <c r="M92" i="2"/>
  <c r="N43" i="2"/>
  <c r="N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D74"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6" i="3" l="1"/>
  <c r="D75" i="3" s="1"/>
  <c r="D66" i="3" s="1"/>
  <c r="C8" i="8" s="1"/>
  <c r="C86" i="6" s="1"/>
  <c r="C87" i="6" s="1"/>
  <c r="C30" i="2"/>
  <c r="C5" i="2"/>
  <c r="C6" i="2" s="1"/>
  <c r="C8" i="2" s="1"/>
  <c r="C34" i="6"/>
  <c r="I54" i="2"/>
  <c r="I43" i="2"/>
  <c r="H54" i="2"/>
  <c r="H43" i="2"/>
  <c r="J54" i="2"/>
  <c r="J43" i="2"/>
  <c r="G54" i="2"/>
  <c r="C7" i="9"/>
  <c r="K54" i="2"/>
  <c r="C13" i="9"/>
  <c r="G78" i="2"/>
  <c r="L73" i="2"/>
  <c r="I73" i="2"/>
  <c r="H73" i="2"/>
  <c r="G73" i="2"/>
  <c r="K73" i="2"/>
  <c r="J73" i="2"/>
  <c r="C103" i="2"/>
  <c r="C87" i="3" l="1"/>
  <c r="D87" i="3"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<sst xmlns="http://schemas.openxmlformats.org/spreadsheetml/2006/main" count="558" uniqueCount="388">
  <si>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</si>
  <si>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</si>
  <si>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</si>
  <si>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</si>
  <si>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</si>
  <si>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</si>
  <si>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</si>
  <si>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</si>
  <si>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</si>
  <si>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</si>
  <si>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</si>
  <si>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</si>
  <si>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</si>
  <si>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</si>
  <si>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</si>
  <si>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</si>
  <si>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</si>
  <si>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</si>
  <si>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</si>
  <si>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</si>
  <si>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</si>
  <si>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</si>
  <si>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</si>
  <si>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</si>
  <si>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</si>
  <si>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</si>
  <si>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</si>
  <si>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</si>
  <si>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</si>
  <si>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</si>
  <si>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</si>
  <si>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</si>
  <si>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</si>
  <si>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</si>
  <si>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</si>
  <si>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</si>
  <si>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</si>
  <si>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</si>
  <si>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</si>
  <si>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</si>
  <si>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</si>
  <si>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</si>
  <si>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</si>
  <si>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</si>
  <si>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</si>
  <si>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</si>
  <si>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</si>
  <si>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</si>
  <si>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</si>
  <si>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</si>
  <si>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</si>
  <si>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</si>
  <si>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</si>
  <si>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</si>
  <si>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</si>
  <si>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</si>
  <si>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</si>
  <si>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</si>
  <si>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</si>
  <si>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</si>
  <si>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</si>
  <si>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</si>
  <si>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</si>
  <si>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</si>
  <si>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</si>
  <si>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</si>
  <si>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</si>
  <si>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</si>
  <si>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</si>
  <si>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</si>
  <si>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</si>
  <si>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</si>
  <si>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</si>
  <si>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</si>
  <si>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</si>
  <si>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</si>
  <si>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</si>
  <si>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</si>
  <si>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</si>
  <si>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</si>
  <si>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</si>
  <si>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</si>
  <si>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</si>
  <si>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</si>
  <si>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</si>
  <si>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</si>
  <si>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</si>
  <si>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</si>
  <si>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</si>
  <si>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</si>
  <si>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</si>
  <si>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</si>
  <si>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</si>
  <si>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</si>
  <si>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</si>
  <si>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</si>
  <si>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</si>
  <si>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</si>
  <si>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</si>
  <si>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</si>
  <si>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</si>
  <si>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</si>
  <si>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</si>
  <si>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</si>
  <si>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</si>
  <si>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</si>
  <si>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</si>
  <si>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</si>
  <si>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</si>
  <si>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</si>
  <si>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</si>
  <si>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</si>
  <si>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</si>
  <si>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</si>
  <si>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</si>
  <si>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</si>
  <si>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</si>
  <si>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</si>
  <si>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</si>
  <si>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</si>
  <si>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</si>
  <si>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</si>
  <si>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</si>
  <si>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</si>
  <si>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</si>
  <si>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</si>
  <si>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</si>
  <si>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</si>
  <si>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</si>
  <si>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</si>
  <si>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</si>
  <si>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</si>
  <si>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</si>
  <si>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</si>
  <si>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</si>
  <si>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</si>
  <si>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</si>
  <si>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</si>
  <si>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</si>
  <si>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</si>
  <si>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</si>
  <si>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</si>
  <si>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</si>
  <si>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</si>
  <si>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</si>
  <si>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</si>
  <si>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</si>
  <si>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</si>
  <si>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</si>
  <si>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</si>
  <si>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</si>
  <si>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</si>
  <si>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</si>
  <si>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</si>
  <si>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</si>
  <si>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</si>
  <si>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</si>
  <si>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</si>
  <si>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</si>
  <si>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</si>
  <si>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</si>
  <si>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</si>
  <si>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</si>
  <si>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</si>
  <si>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</si>
  <si>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</si>
  <si>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</si>
  <si>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</si>
  <si>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</si>
  <si>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</si>
  <si>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</si>
  <si>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</si>
  <si>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</si>
  <si>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</si>
  <si>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</si>
  <si>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</si>
  <si>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</si>
  <si>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</si>
  <si>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</si>
  <si>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</si>
  <si>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</si>
  <si>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</si>
  <si>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</si>
  <si>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</si>
  <si>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</si>
  <si>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</si>
  <si>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</si>
  <si>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</si>
  <si>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</si>
  <si>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</si>
  <si>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</si>
  <si>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</si>
  <si>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</si>
  <si>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</si>
  <si>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</si>
  <si>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</si>
  <si>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</si>
  <si>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</si>
  <si>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</si>
  <si>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</si>
  <si>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</si>
  <si>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</si>
  <si>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</si>
  <si>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</si>
  <si>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</si>
  <si>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</si>
  <si>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</si>
  <si>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</si>
  <si>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</si>
  <si>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</si>
  <si>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</si>
  <si>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</si>
  <si>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</si>
  <si>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</si>
  <si>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</si>
  <si>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</si>
  <si>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</si>
  <si>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</si>
  <si>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</si>
  <si>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</si>
  <si>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</si>
  <si>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</si>
  <si>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</si>
  <si>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</si>
  <si>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</si>
  <si>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</si>
  <si>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</si>
  <si>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</si>
  <si>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</si>
  <si>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</si>
  <si>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</si>
  <si>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</si>
  <si>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</si>
  <si>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</si>
  <si>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</si>
  <si>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</si>
  <si>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</si>
  <si>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</si>
  <si>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</si>
  <si>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</si>
  <si>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</si>
  <si>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</si>
  <si>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</si>
  <si>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</si>
  <si>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</si>
  <si>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</si>
  <si>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</si>
  <si>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</si>
  <si>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</si>
  <si>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</si>
  <si>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</si>
  <si>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</si>
  <si>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</si>
  <si>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</si>
  <si>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</si>
  <si>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</si>
  <si>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</si>
  <si>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</si>
  <si>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</si>
  <si>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</si>
  <si>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</si>
  <si>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</si>
  <si>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</si>
  <si>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</si>
  <si>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</si>
  <si>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</si>
  <si>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</si>
  <si>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</si>
  <si>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</si>
  <si>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</si>
  <si>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</si>
  <si>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</si>
  <si>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</si>
  <si>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</si>
  <si>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</si>
  <si>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</si>
  <si>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</si>
  <si>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</si>
  <si>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</si>
  <si>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</si>
  <si>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</si>
  <si>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</si>
  <si>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</si>
  <si>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</si>
  <si>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</si>
  <si>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</si>
  <si>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</si>
  <si>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</si>
  <si>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</si>
  <si>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</si>
  <si>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</si>
  <si>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</si>
  <si>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</si>
  <si>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</si>
  <si>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</si>
  <si>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</si>
  <si>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</si>
  <si>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</si>
  <si>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</si>
  <si>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</si>
  <si>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</si>
  <si>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</si>
  <si>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</si>
  <si>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</si>
  <si>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</si>
  <si>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</si>
  <si>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</si>
  <si>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</si>
  <si>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</si>
  <si>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</si>
  <si>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</si>
  <si>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</si>
  <si>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</si>
  <si>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</si>
  <si>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</si>
  <si>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</si>
  <si>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</si>
  <si>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</si>
  <si>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</si>
  <si>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</si>
  <si>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</si>
  <si>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</si>
  <si>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</si>
  <si>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</si>
  <si>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</si>
  <si>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</si>
  <si>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</si>
  <si>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</si>
  <si>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</si>
  <si>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</si>
  <si>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</si>
  <si>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</si>
  <si>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</si>
  <si>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</si>
  <si>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</si>
  <si>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</si>
  <si>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</si>
  <si>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</si>
  <si>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</si>
  <si>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</si>
  <si>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</si>
  <si>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</si>
  <si>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</si>
  <si>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</si>
  <si>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</si>
  <si>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</si>
  <si>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</si>
  <si>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</si>
  <si>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</si>
  <si>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</si>
  <si>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</si>
  <si>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</si>
  <si>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</si>
  <si>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</si>
  <si>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</si>
  <si>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</si>
  <si>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</si>
  <si>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</si>
  <si>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</si>
  <si>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</si>
  <si>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</si>
  <si>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</si>
  <si>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</si>
  <si>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</si>
  <si>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</si>
  <si>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</si>
  <si>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</si>
  <si>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</si>
  <si>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</si>
  <si>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</si>
  <si>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</si>
  <si>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</si>
  <si>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</si>
  <si>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</si>
  <si>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</si>
  <si>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</si>
  <si>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AI Prompt</t>
    <phoneticPr fontId="2" type="noConversion"/>
  </si>
  <si>
    <t>I need to categorize the balance sheet items from the provided financial statements into the exact structure below. Follow these steps:
1.	Identify Line Items: Extract all assets, liabilities, and equity line items from the text. Preserve their exact wording (e.g., ‘Trade Receivables’ vs. ‘Accounts Receivable’).
2.	Map to Categories: Classify each item into the pre-defined structure below. Use the descriptions to resolve ambiguities.
3.	Flag Uncertainties: Note items that don’t fit cleanly or require assumptions.
4.	Format Output: Provide a table with columns: PDF Line Item | Category | Subcategory | Amount. 
STRUCTURE TO FOLLOW (use exact names):
•	ST Operating Assets: ST AR, Operating ST Financial Assets, Inventory, Prepayments and Contract Assets, ST DTA, Other ST Assets, Operating ST Assets
•	LT Operating Assets: LT AR, Operating LT Financial Assets, PP&amp;E &amp; Right of Use Assets, Biological assets, Intangible assets, LT DTA, Other assets &amp; Goodwill
•	ST Non-Operating Assets: Cash and cash equivalents, Restricted cash, Securities with stable income, Other Securities, Properties with stable income, Other Properties
•	LT Non-Operating Assets: LT Deposits, Securities with stable income, Other Securities, JV or associate with stable income, Other JV or associate, Properties with stable income, Other Properties
•	ST Liabilities: ST Borrowing, ST Lease liabilities, ST SH Loan, ST Financial Liabilities, ST Interest-bearing Debt, Other ST liabilities
•	LT Liabilities: LT Borrowing, LT Lease liabilities, LT SH Loan, LT Financial Liabilities, LT Interest-bearing Debt, Other LT liabilities
•	Equity: Minority Interest (NCI), Common Equity
EXAMPLE:
•	If the PDF says “Property, Plant, and Equipment – $50M”, map to:
PP&amp;E &amp; Right of Use Assets | LT Operating Assets | PP&amp;E &amp; Right of Use Assets | \$50,000,000
•	If the PDF says “Marketable Securities – $10M”, map to:
Other Securities | ST Non-Operating Assets | Other Securities | \$10,000,000</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</si>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</sst>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C2" sqref="C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356</v>
      </c>
    </row>
    <row r="2" spans="1:10" ht="13.9" x14ac:dyDescent="0.45">
      <c r="A2" s="254" t="s">
        <v>285</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353</v>
      </c>
      <c r="C5" s="48" t="s">
        <v>378</v>
      </c>
      <c r="D5" s="49" t="s">
        <v>379</v>
      </c>
    </row>
    <row r="6" spans="1:10" x14ac:dyDescent="0.35">
      <c r="B6" s="4" t="s">
        <v>99</v>
      </c>
      <c r="C6" s="50">
        <v>7.9</v>
      </c>
      <c r="D6" s="48" t="s">
        <v>43</v>
      </c>
      <c r="E6" s="48"/>
    </row>
    <row r="7" spans="1:10" x14ac:dyDescent="0.35">
      <c r="B7" s="4" t="s">
        <v>0</v>
      </c>
      <c r="C7" s="51">
        <v>8171879936</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64557.851494399998</v>
      </c>
      <c r="D10" s="32"/>
      <c r="E10" s="5"/>
    </row>
    <row r="11" spans="1:10" x14ac:dyDescent="0.35">
      <c r="D11" s="5"/>
      <c r="E11" s="5"/>
    </row>
    <row r="12" spans="1:10" ht="24.4" customHeight="1" x14ac:dyDescent="0.35">
      <c r="B12" s="333" t="s">
        <v>290</v>
      </c>
      <c r="C12" s="333"/>
      <c r="D12" s="333"/>
      <c r="E12" s="333"/>
      <c r="F12" s="333"/>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C123</f>
        <v>7.4179368510878518</v>
      </c>
      <c r="D20" s="1" t="s">
        <v>344</v>
      </c>
      <c r="E20" s="323">
        <v>3</v>
      </c>
    </row>
    <row r="21" spans="1:6" x14ac:dyDescent="0.35">
      <c r="B21" s="1" t="s">
        <v>343</v>
      </c>
      <c r="C21" s="288">
        <f ca="1">Scenarios!C87</f>
        <v>0.17349059186547722</v>
      </c>
      <c r="D21" s="5"/>
      <c r="E21" s="5"/>
    </row>
    <row r="22" spans="1:6" x14ac:dyDescent="0.35">
      <c r="D22" s="5"/>
      <c r="E22" s="5"/>
    </row>
    <row r="23" spans="1:6" ht="13.9" x14ac:dyDescent="0.45">
      <c r="A23" s="254" t="s">
        <v>235</v>
      </c>
      <c r="B23" s="36"/>
      <c r="C23" s="36"/>
      <c r="D23" s="36"/>
      <c r="E23" s="36"/>
      <c r="F23" s="36"/>
    </row>
    <row r="25" spans="1:6" x14ac:dyDescent="0.35">
      <c r="B25" s="333" t="s">
        <v>236</v>
      </c>
      <c r="C25" s="333"/>
      <c r="D25" s="333"/>
      <c r="E25" s="333"/>
      <c r="F25" s="333"/>
    </row>
    <row r="26" spans="1:6" ht="24.4" customHeight="1" x14ac:dyDescent="0.35">
      <c r="B26" s="334" t="s">
        <v>256</v>
      </c>
      <c r="C26" s="334"/>
      <c r="D26" s="334"/>
      <c r="E26" s="334"/>
      <c r="F26" s="334"/>
    </row>
    <row r="28" spans="1:6" x14ac:dyDescent="0.35">
      <c r="B28" s="241" t="s">
        <v>237</v>
      </c>
      <c r="C28" s="111">
        <f>Data!C3</f>
        <v>1000000</v>
      </c>
    </row>
    <row r="29" spans="1:6" ht="24.4" customHeight="1" x14ac:dyDescent="0.35">
      <c r="B29" s="332" t="s">
        <v>238</v>
      </c>
      <c r="C29" s="332"/>
      <c r="D29" s="332"/>
      <c r="E29" s="332"/>
      <c r="F29" s="332"/>
    </row>
    <row r="30" spans="1:6" x14ac:dyDescent="0.35">
      <c r="B30" s="47" t="s">
        <v>239</v>
      </c>
      <c r="C30" s="192">
        <f>Normalized_FCF!C8</f>
        <v>2591.8202592374382</v>
      </c>
      <c r="D30" s="1" t="str">
        <f>Reporting_currency</f>
        <v>HKD</v>
      </c>
    </row>
    <row r="31" spans="1:6" x14ac:dyDescent="0.35">
      <c r="B31" s="47"/>
      <c r="C31" s="78"/>
    </row>
    <row r="32" spans="1:6" ht="24.4" customHeight="1" x14ac:dyDescent="0.35">
      <c r="B32" s="332" t="s">
        <v>240</v>
      </c>
      <c r="C32" s="332"/>
      <c r="D32" s="332"/>
      <c r="E32" s="332"/>
      <c r="F32" s="332"/>
    </row>
    <row r="33" spans="2:6" x14ac:dyDescent="0.35">
      <c r="B33" s="47" t="s">
        <v>241</v>
      </c>
      <c r="C33" s="192">
        <f>Normalized_FCF!C9</f>
        <v>159.99999999999997</v>
      </c>
      <c r="D33" s="1" t="str">
        <f>Reporting_currency</f>
        <v>HKD</v>
      </c>
    </row>
    <row r="34" spans="2:6" x14ac:dyDescent="0.35">
      <c r="B34" s="52" t="s">
        <v>242</v>
      </c>
      <c r="C34" s="192">
        <f>Normalized_FCF!C10</f>
        <v>-159.99999999999997</v>
      </c>
      <c r="D34" s="1" t="str">
        <f>Reporting_currency</f>
        <v>HKD</v>
      </c>
    </row>
    <row r="36" spans="2:6" x14ac:dyDescent="0.35">
      <c r="B36" s="332" t="s">
        <v>243</v>
      </c>
      <c r="C36" s="332"/>
      <c r="D36" s="332"/>
      <c r="E36" s="332"/>
      <c r="F36" s="332"/>
    </row>
    <row r="37" spans="2:6" x14ac:dyDescent="0.35">
      <c r="B37" s="47" t="s">
        <v>244</v>
      </c>
      <c r="C37" s="192">
        <f>Normalized_FCF!C11</f>
        <v>639</v>
      </c>
      <c r="D37" s="1" t="str">
        <f>Reporting_currency</f>
        <v>HKD</v>
      </c>
    </row>
    <row r="39" spans="2:6" x14ac:dyDescent="0.35">
      <c r="B39" s="332" t="s">
        <v>247</v>
      </c>
      <c r="C39" s="332"/>
      <c r="D39" s="332"/>
      <c r="E39" s="332"/>
      <c r="F39" s="332"/>
    </row>
    <row r="40" spans="2:6" x14ac:dyDescent="0.35">
      <c r="B40" s="47" t="s">
        <v>245</v>
      </c>
      <c r="C40" s="192">
        <f>Normalized_FCF!C12</f>
        <v>1387.37</v>
      </c>
      <c r="D40" s="1" t="str">
        <f>Reporting_currency</f>
        <v>HKD</v>
      </c>
    </row>
    <row r="42" spans="2:6" x14ac:dyDescent="0.35">
      <c r="B42" s="1" t="s">
        <v>255</v>
      </c>
    </row>
    <row r="43" spans="2:6" x14ac:dyDescent="0.35">
      <c r="B43" s="47" t="s">
        <v>283</v>
      </c>
      <c r="C43" s="192">
        <f>Normalized_FCF!C15</f>
        <v>-22.869707937042335</v>
      </c>
      <c r="D43" s="1" t="str">
        <f>Reporting_currency</f>
        <v>HKD</v>
      </c>
    </row>
    <row r="45" spans="2:6" x14ac:dyDescent="0.35">
      <c r="B45" s="332" t="s">
        <v>248</v>
      </c>
      <c r="C45" s="332"/>
      <c r="D45" s="332"/>
      <c r="E45" s="332"/>
      <c r="F45" s="332"/>
    </row>
    <row r="46" spans="2:6" x14ac:dyDescent="0.35">
      <c r="B46" s="47" t="s">
        <v>246</v>
      </c>
      <c r="C46" s="192">
        <f>Normalized_FCF!C14</f>
        <v>-1108.3656622169851</v>
      </c>
      <c r="D46" s="1" t="str">
        <f>Reporting_currency</f>
        <v>HKD</v>
      </c>
    </row>
    <row r="48" spans="2:6" ht="24.4" customHeight="1" x14ac:dyDescent="0.35">
      <c r="B48" s="332" t="s">
        <v>251</v>
      </c>
      <c r="C48" s="336"/>
      <c r="D48" s="336"/>
      <c r="E48" s="336"/>
      <c r="F48" s="336"/>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33" t="s">
        <v>272</v>
      </c>
      <c r="C52" s="333"/>
      <c r="D52" s="333"/>
      <c r="E52" s="333"/>
      <c r="F52" s="333"/>
    </row>
    <row r="53" spans="1:6" x14ac:dyDescent="0.35">
      <c r="B53" s="47" t="s">
        <v>289</v>
      </c>
      <c r="C53" s="192">
        <f>Normalized_FCF!G19</f>
        <v>4845</v>
      </c>
      <c r="D53" s="1" t="str">
        <f>Reporting_currency</f>
        <v>HKD</v>
      </c>
    </row>
    <row r="54" spans="1:6" x14ac:dyDescent="0.35">
      <c r="B54" s="47" t="s">
        <v>258</v>
      </c>
      <c r="C54" s="192">
        <f>Normalized_FCF!C19</f>
        <v>3486.9548890834108</v>
      </c>
      <c r="D54" s="1" t="str">
        <f>Reporting_currency</f>
        <v>HKD</v>
      </c>
    </row>
    <row r="55" spans="1:6" x14ac:dyDescent="0.35">
      <c r="B55" s="261" t="s">
        <v>288</v>
      </c>
      <c r="C55" s="94">
        <f>Normalized_FCF!C120</f>
        <v>5.401287075648549E-2</v>
      </c>
    </row>
    <row r="56" spans="1:6" x14ac:dyDescent="0.35">
      <c r="B56" s="261" t="s">
        <v>345</v>
      </c>
      <c r="C56" s="94">
        <f>Normalized_FCF!C92</f>
        <v>7.3417721518987331E-2</v>
      </c>
    </row>
    <row r="58" spans="1:6" ht="13.9" x14ac:dyDescent="0.45">
      <c r="A58" s="254" t="s">
        <v>306</v>
      </c>
      <c r="B58" s="36"/>
      <c r="C58" s="36"/>
      <c r="D58" s="36"/>
      <c r="E58" s="36"/>
      <c r="F58" s="36"/>
    </row>
    <row r="59" spans="1:6" x14ac:dyDescent="0.35">
      <c r="A59" s="240"/>
    </row>
    <row r="60" spans="1:6" ht="24.4" customHeight="1" x14ac:dyDescent="0.35">
      <c r="A60" s="17"/>
      <c r="B60" s="332" t="s">
        <v>307</v>
      </c>
      <c r="C60" s="332"/>
      <c r="D60" s="332"/>
      <c r="E60" s="332"/>
      <c r="F60" s="332"/>
    </row>
    <row r="61" spans="1:6" x14ac:dyDescent="0.35">
      <c r="B61" s="334" t="s">
        <v>263</v>
      </c>
      <c r="C61" s="334"/>
      <c r="D61" s="334"/>
      <c r="E61" s="334"/>
      <c r="F61" s="334"/>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v>
      </c>
      <c r="D66" s="295" t="s">
        <v>362</v>
      </c>
    </row>
    <row r="67" spans="1:6" x14ac:dyDescent="0.35">
      <c r="B67" s="82" t="s">
        <v>257</v>
      </c>
      <c r="C67" s="271">
        <f>SUM(C64:C66)</f>
        <v>0.09</v>
      </c>
    </row>
    <row r="68" spans="1:6" x14ac:dyDescent="0.35">
      <c r="C68" s="125"/>
    </row>
    <row r="69" spans="1:6" ht="24.4" customHeight="1" x14ac:dyDescent="0.35">
      <c r="B69" s="333" t="s">
        <v>315</v>
      </c>
      <c r="C69" s="333"/>
      <c r="D69" s="333"/>
      <c r="E69" s="333"/>
      <c r="F69" s="333"/>
    </row>
    <row r="70" spans="1:6" ht="24.4" customHeight="1" x14ac:dyDescent="0.35">
      <c r="B70" s="333" t="s">
        <v>262</v>
      </c>
      <c r="C70" s="333"/>
      <c r="D70" s="333"/>
      <c r="E70" s="333"/>
      <c r="F70" s="333"/>
    </row>
    <row r="71" spans="1:6" x14ac:dyDescent="0.35">
      <c r="B71" s="47" t="s">
        <v>261</v>
      </c>
      <c r="C71" s="271">
        <v>0</v>
      </c>
    </row>
    <row r="73" spans="1:6" x14ac:dyDescent="0.35">
      <c r="B73" s="47" t="s">
        <v>305</v>
      </c>
      <c r="C73" s="255">
        <f>Valuation_Model!C6*C28*Exchange_Rate/Common_Shares</f>
        <v>4.7411297664026151</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3" t="s">
        <v>265</v>
      </c>
      <c r="C77" s="333"/>
      <c r="D77" s="333"/>
      <c r="E77" s="333"/>
      <c r="F77" s="333"/>
    </row>
    <row r="78" spans="1:6" x14ac:dyDescent="0.35">
      <c r="B78" s="1" t="s">
        <v>266</v>
      </c>
    </row>
    <row r="80" spans="1:6" x14ac:dyDescent="0.35">
      <c r="B80" s="241" t="s">
        <v>237</v>
      </c>
    </row>
    <row r="81" spans="2:6" x14ac:dyDescent="0.35">
      <c r="B81" s="47" t="s">
        <v>268</v>
      </c>
      <c r="C81" s="192">
        <f>Valuation_Model!C7</f>
        <v>3093</v>
      </c>
      <c r="D81" s="1" t="str">
        <f>Reporting_currency</f>
        <v>HKD</v>
      </c>
    </row>
    <row r="82" spans="2:6" x14ac:dyDescent="0.35">
      <c r="B82" s="47" t="s">
        <v>308</v>
      </c>
      <c r="C82" s="255">
        <f>C81*C28*Exchange_Rate/Common_Shares</f>
        <v>0.37849307922088393</v>
      </c>
      <c r="D82" s="1" t="str">
        <f>Market_currency</f>
        <v>HKD</v>
      </c>
    </row>
    <row r="84" spans="2:6" x14ac:dyDescent="0.35">
      <c r="B84" s="1" t="s">
        <v>267</v>
      </c>
    </row>
    <row r="85" spans="2:6" x14ac:dyDescent="0.35">
      <c r="B85" s="47" t="s">
        <v>282</v>
      </c>
      <c r="C85" s="192">
        <f>BS!C66</f>
        <v>47679</v>
      </c>
      <c r="D85" s="1" t="str">
        <f>Reporting_currency</f>
        <v>HKD</v>
      </c>
    </row>
    <row r="86" spans="2:6" x14ac:dyDescent="0.35">
      <c r="B86" s="47" t="s">
        <v>284</v>
      </c>
      <c r="C86" s="192">
        <f>Valuation_Model!C8</f>
        <v>45106.841774682267</v>
      </c>
      <c r="D86" s="1" t="str">
        <f>Reporting_currency</f>
        <v>HKD</v>
      </c>
    </row>
    <row r="87" spans="2:6" x14ac:dyDescent="0.35">
      <c r="B87" s="47" t="s">
        <v>309</v>
      </c>
      <c r="C87" s="255">
        <f>C86*C28*Exchange_Rate/Common_Shares</f>
        <v>5.5197631546164541</v>
      </c>
      <c r="D87" s="1" t="str">
        <f>Market_currency</f>
        <v>HKD</v>
      </c>
    </row>
    <row r="89" spans="2:6" x14ac:dyDescent="0.35">
      <c r="B89" s="1" t="s">
        <v>269</v>
      </c>
    </row>
    <row r="90" spans="2:6" x14ac:dyDescent="0.35">
      <c r="B90" s="47" t="s">
        <v>270</v>
      </c>
      <c r="C90" s="192">
        <f>Valuation_Model!C9</f>
        <v>7814.4</v>
      </c>
      <c r="D90" s="1" t="str">
        <f>Reporting_currency</f>
        <v>HKD</v>
      </c>
    </row>
    <row r="91" spans="2:6" x14ac:dyDescent="0.35">
      <c r="B91" s="47" t="s">
        <v>310</v>
      </c>
      <c r="C91" s="255">
        <f>C90*C28*Exchange_Rate/Common_Shares</f>
        <v>0.95625487173090062</v>
      </c>
      <c r="D91" s="1" t="str">
        <f>Market_currency</f>
        <v>HKD</v>
      </c>
    </row>
    <row r="93" spans="2:6" ht="24.4" customHeight="1" x14ac:dyDescent="0.35">
      <c r="B93" s="333" t="s">
        <v>271</v>
      </c>
      <c r="C93" s="333"/>
      <c r="D93" s="333"/>
      <c r="E93" s="333"/>
      <c r="F93" s="333"/>
    </row>
    <row r="95" spans="2:6" x14ac:dyDescent="0.35">
      <c r="B95" s="47" t="s">
        <v>304</v>
      </c>
      <c r="C95" s="255">
        <f>Valuation_Model!C12</f>
        <v>10.838654713529085</v>
      </c>
      <c r="D95" s="1" t="str">
        <f>Market_currency</f>
        <v>HKD</v>
      </c>
    </row>
    <row r="97" spans="1:6" ht="13.9" x14ac:dyDescent="0.45">
      <c r="A97" s="254" t="s">
        <v>281</v>
      </c>
      <c r="B97" s="36"/>
      <c r="C97" s="36"/>
      <c r="D97" s="36"/>
      <c r="E97" s="36"/>
      <c r="F97" s="36"/>
    </row>
    <row r="99" spans="1:6" ht="24.4" customHeight="1" x14ac:dyDescent="0.35">
      <c r="B99" s="332" t="s">
        <v>374</v>
      </c>
      <c r="C99" s="332"/>
      <c r="D99" s="332"/>
      <c r="E99" s="332"/>
      <c r="F99" s="332"/>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0.05</v>
      </c>
      <c r="D102" s="264">
        <f>Valuation_Model!D74</f>
        <v>15</v>
      </c>
      <c r="E102" s="265" t="str">
        <f>ROUND(Valuation_Model!E74,2)&amp;" "&amp;Market_currency</f>
        <v>12.27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11.16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10.84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10.16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7.77 HKD</v>
      </c>
      <c r="F106" s="253">
        <f>Valuation_Model!F78</f>
        <v>0.05</v>
      </c>
    </row>
    <row r="108" spans="1:6" x14ac:dyDescent="0.35">
      <c r="B108" s="242" t="s">
        <v>273</v>
      </c>
      <c r="C108" s="248">
        <f>Scenarios!C60</f>
        <v>10.706994878679808</v>
      </c>
      <c r="D108" s="243" t="str">
        <f>Market_currency</f>
        <v>HKD</v>
      </c>
    </row>
    <row r="110" spans="1:6" ht="24.4" customHeight="1" x14ac:dyDescent="0.35">
      <c r="B110" s="337" t="s">
        <v>375</v>
      </c>
      <c r="C110" s="337"/>
      <c r="D110" s="337"/>
      <c r="E110" s="337"/>
      <c r="F110" s="337"/>
    </row>
    <row r="112" spans="1:6" ht="13.9" x14ac:dyDescent="0.45">
      <c r="A112" s="254" t="s">
        <v>303</v>
      </c>
      <c r="B112" s="36"/>
      <c r="C112" s="36"/>
      <c r="D112" s="36"/>
      <c r="E112" s="36"/>
      <c r="F112" s="36"/>
    </row>
    <row r="114" spans="2:6" x14ac:dyDescent="0.35">
      <c r="B114" s="335" t="s">
        <v>279</v>
      </c>
      <c r="C114" s="335"/>
      <c r="D114" s="335"/>
      <c r="E114" s="335"/>
      <c r="F114" s="335"/>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0.57999999999999996</v>
      </c>
      <c r="D118" s="243" t="str">
        <f>Market_currency</f>
        <v>HKD</v>
      </c>
    </row>
    <row r="120" spans="2:6" x14ac:dyDescent="0.35">
      <c r="B120" s="241" t="s">
        <v>278</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6.1961775918285928</v>
      </c>
    </row>
    <row r="123" spans="2:6" x14ac:dyDescent="0.35">
      <c r="B123" s="82" t="s">
        <v>275</v>
      </c>
      <c r="C123" s="246">
        <f>Scenarios!C83</f>
        <v>7.4179368510878518</v>
      </c>
      <c r="D123" s="47" t="str">
        <f>Reporting_currency</f>
        <v>HKD</v>
      </c>
    </row>
    <row r="124" spans="2:6" x14ac:dyDescent="0.35">
      <c r="B124" s="245" t="s">
        <v>277</v>
      </c>
      <c r="C124" s="158">
        <f>Scenarios!F83</f>
        <v>-0.30718778376753109</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102</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v>1.1499999999999999</v>
      </c>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93"/>
  <sheetViews>
    <sheetView showGridLines="0" topLeftCell="A93" zoomScaleNormal="100" workbookViewId="0">
      <selection activeCell="B93" sqref="B93"/>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8029</v>
      </c>
      <c r="D4" s="304">
        <v>0.6</v>
      </c>
      <c r="E4" s="25"/>
      <c r="F4" s="4" t="s">
        <v>82</v>
      </c>
      <c r="G4" s="19">
        <v>45665</v>
      </c>
      <c r="H4" s="304">
        <v>0.9</v>
      </c>
    </row>
    <row r="5" spans="2:8" ht="15" customHeight="1" x14ac:dyDescent="0.35">
      <c r="B5" s="1" t="s">
        <v>34</v>
      </c>
      <c r="C5" s="19">
        <v>0</v>
      </c>
      <c r="D5" s="304">
        <v>0.6</v>
      </c>
      <c r="E5" s="25"/>
      <c r="F5" s="1" t="s">
        <v>30</v>
      </c>
      <c r="G5" s="19">
        <v>2014</v>
      </c>
      <c r="H5" s="304">
        <v>0.7</v>
      </c>
    </row>
    <row r="6" spans="2:8" ht="15" customHeight="1" x14ac:dyDescent="0.35">
      <c r="B6" s="4" t="s">
        <v>11</v>
      </c>
      <c r="C6" s="19">
        <v>9844</v>
      </c>
      <c r="D6" s="304">
        <v>0.5</v>
      </c>
      <c r="E6" s="25"/>
      <c r="F6" s="4" t="s">
        <v>182</v>
      </c>
      <c r="G6" s="19">
        <v>156</v>
      </c>
      <c r="H6" s="304">
        <v>0.6</v>
      </c>
    </row>
    <row r="7" spans="2:8" ht="15" customHeight="1" x14ac:dyDescent="0.35">
      <c r="B7" s="1" t="s">
        <v>73</v>
      </c>
      <c r="C7" s="19">
        <v>5466</v>
      </c>
      <c r="D7" s="304">
        <v>0.6</v>
      </c>
      <c r="E7" s="25"/>
      <c r="F7" s="4" t="s">
        <v>183</v>
      </c>
      <c r="G7" s="19">
        <v>0</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0</v>
      </c>
      <c r="D9" s="304">
        <v>0.1</v>
      </c>
      <c r="E9" s="25"/>
      <c r="F9" s="4" t="s">
        <v>185</v>
      </c>
      <c r="G9" s="19">
        <v>0</v>
      </c>
      <c r="H9" s="304">
        <v>0.6</v>
      </c>
    </row>
    <row r="10" spans="2:8" ht="15" customHeight="1" x14ac:dyDescent="0.35">
      <c r="B10" s="4" t="s">
        <v>12</v>
      </c>
      <c r="C10" s="19">
        <v>10</v>
      </c>
      <c r="D10" s="304">
        <v>0.9</v>
      </c>
      <c r="H10" s="305"/>
    </row>
    <row r="11" spans="2:8" ht="15" customHeight="1" x14ac:dyDescent="0.35">
      <c r="B11" s="4" t="s">
        <v>13</v>
      </c>
      <c r="C11" s="19">
        <v>0</v>
      </c>
      <c r="D11" s="304">
        <v>0.05</v>
      </c>
      <c r="H11" s="305"/>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2757</v>
      </c>
      <c r="D15" s="304">
        <v>0.4</v>
      </c>
      <c r="F15" s="4" t="s">
        <v>83</v>
      </c>
      <c r="G15" s="19">
        <v>0</v>
      </c>
      <c r="H15" s="304">
        <v>0.8</v>
      </c>
    </row>
    <row r="16" spans="2:8" ht="15" customHeight="1" x14ac:dyDescent="0.35">
      <c r="B16" s="1" t="s">
        <v>35</v>
      </c>
      <c r="C16" s="19">
        <v>0</v>
      </c>
      <c r="D16" s="304">
        <v>0.5</v>
      </c>
      <c r="F16" s="4" t="s">
        <v>182</v>
      </c>
      <c r="G16" s="19">
        <v>1373</v>
      </c>
      <c r="H16" s="304">
        <v>0.6</v>
      </c>
    </row>
    <row r="17" spans="2:8" ht="15" customHeight="1" x14ac:dyDescent="0.35">
      <c r="B17" s="1" t="s">
        <v>73</v>
      </c>
      <c r="C17" s="19">
        <v>67668</v>
      </c>
      <c r="D17" s="304">
        <v>0.6</v>
      </c>
      <c r="F17" s="4" t="s">
        <v>183</v>
      </c>
      <c r="G17" s="19">
        <v>13024</v>
      </c>
      <c r="H17" s="304">
        <v>0.6</v>
      </c>
    </row>
    <row r="18" spans="2:8" ht="15" customHeight="1" x14ac:dyDescent="0.35">
      <c r="B18" s="4" t="s">
        <v>178</v>
      </c>
      <c r="C18" s="19">
        <v>0</v>
      </c>
      <c r="D18" s="304">
        <v>0.6</v>
      </c>
      <c r="F18" s="4" t="s">
        <v>186</v>
      </c>
      <c r="G18" s="19">
        <v>23696</v>
      </c>
      <c r="H18" s="304">
        <v>0.1</v>
      </c>
    </row>
    <row r="19" spans="2:8" ht="15" customHeight="1" x14ac:dyDescent="0.35">
      <c r="B19" s="4" t="s">
        <v>27</v>
      </c>
      <c r="C19" s="19">
        <v>1284</v>
      </c>
      <c r="D19" s="304">
        <v>0.1</v>
      </c>
      <c r="F19" s="4" t="s">
        <v>187</v>
      </c>
      <c r="G19" s="19">
        <v>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0</v>
      </c>
      <c r="D21" s="304">
        <v>0.05</v>
      </c>
      <c r="F21" s="1" t="s">
        <v>185</v>
      </c>
      <c r="G21" s="19">
        <v>0</v>
      </c>
      <c r="H21" s="304">
        <v>0.1</v>
      </c>
    </row>
    <row r="22" spans="2:8" ht="15" customHeight="1" x14ac:dyDescent="0.35">
      <c r="B22" s="4" t="s">
        <v>21</v>
      </c>
      <c r="C22" s="19">
        <v>10</v>
      </c>
      <c r="D22" s="304">
        <v>0.9</v>
      </c>
      <c r="H22" s="305"/>
    </row>
    <row r="23" spans="2:8" ht="15" customHeight="1" x14ac:dyDescent="0.35">
      <c r="B23" s="4" t="s">
        <v>22</v>
      </c>
      <c r="C23" s="19">
        <v>0</v>
      </c>
      <c r="D23" s="304">
        <v>0</v>
      </c>
      <c r="H23" s="305"/>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205</v>
      </c>
      <c r="C26" s="210" t="s">
        <v>141</v>
      </c>
      <c r="F26" s="212" t="s">
        <v>201</v>
      </c>
      <c r="G26" s="213" t="s">
        <v>141</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253</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208</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95068</v>
      </c>
      <c r="H35" s="228">
        <f>D12+D24</f>
        <v>54869</v>
      </c>
    </row>
    <row r="36" spans="2:8" ht="15" customHeight="1" x14ac:dyDescent="0.35">
      <c r="B36" s="4" t="s">
        <v>14</v>
      </c>
      <c r="C36" s="19">
        <v>832</v>
      </c>
      <c r="F36" s="218" t="s">
        <v>202</v>
      </c>
      <c r="G36" s="219">
        <f>C4+C15</f>
        <v>10786</v>
      </c>
      <c r="H36" s="223"/>
    </row>
    <row r="37" spans="2:8" ht="15" customHeight="1" x14ac:dyDescent="0.35">
      <c r="B37" s="4" t="s">
        <v>15</v>
      </c>
      <c r="C37" s="19">
        <v>27</v>
      </c>
      <c r="F37" s="218" t="s">
        <v>203</v>
      </c>
      <c r="G37" s="219">
        <f>C6</f>
        <v>9844</v>
      </c>
      <c r="H37" s="223"/>
    </row>
    <row r="38" spans="2:8" ht="15" customHeight="1" x14ac:dyDescent="0.35">
      <c r="B38" s="4" t="s">
        <v>16</v>
      </c>
      <c r="C38" s="19">
        <v>1230</v>
      </c>
      <c r="F38" s="218" t="s">
        <v>204</v>
      </c>
      <c r="G38" s="219">
        <f>C7+C17</f>
        <v>73134</v>
      </c>
      <c r="H38" s="223"/>
    </row>
    <row r="39" spans="2:8" ht="15" customHeight="1" x14ac:dyDescent="0.35">
      <c r="B39" s="2" t="s">
        <v>17</v>
      </c>
      <c r="C39" s="19">
        <v>0</v>
      </c>
      <c r="F39" s="218" t="s">
        <v>84</v>
      </c>
      <c r="G39" s="219">
        <f>C7+C17+C19+C20</f>
        <v>74418</v>
      </c>
      <c r="H39" s="216">
        <f>C7*D7+C17*D17+C19*D19+C20*D20</f>
        <v>44008.799999999996</v>
      </c>
    </row>
    <row r="40" spans="2:8" ht="15" customHeight="1" x14ac:dyDescent="0.35">
      <c r="B40" s="82" t="s">
        <v>209</v>
      </c>
      <c r="C40" s="83">
        <f>SUM(C36:C39)</f>
        <v>2089</v>
      </c>
      <c r="F40" s="227" t="s">
        <v>143</v>
      </c>
      <c r="G40" s="221">
        <f>G12+G24</f>
        <v>85928</v>
      </c>
      <c r="H40" s="228">
        <f>H12+H24</f>
        <v>53609.7</v>
      </c>
    </row>
    <row r="41" spans="2:8" ht="15" customHeight="1" x14ac:dyDescent="0.35">
      <c r="B41" s="4" t="s">
        <v>18</v>
      </c>
      <c r="C41" s="21">
        <f>C42-C40</f>
        <v>2748</v>
      </c>
      <c r="F41" s="218" t="s">
        <v>196</v>
      </c>
      <c r="G41" s="219">
        <f>C70</f>
        <v>72904</v>
      </c>
      <c r="H41" s="228">
        <f>H40-H42</f>
        <v>45795.299999999996</v>
      </c>
    </row>
    <row r="42" spans="2:8" ht="15" customHeight="1" x14ac:dyDescent="0.35">
      <c r="B42" s="85" t="s">
        <v>23</v>
      </c>
      <c r="C42" s="86">
        <v>4837</v>
      </c>
      <c r="F42" s="229" t="s">
        <v>197</v>
      </c>
      <c r="G42" s="230">
        <f>C82</f>
        <v>13024</v>
      </c>
      <c r="H42" s="231">
        <f>D82</f>
        <v>7814.4</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166588</v>
      </c>
      <c r="D46" s="192">
        <f>H29</f>
        <v>94070.7</v>
      </c>
      <c r="F46" s="291"/>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1.1933697905849452</v>
      </c>
      <c r="D50" s="98">
        <f>G31/Normalized_FCF!G8</f>
        <v>1.3234916559691912</v>
      </c>
      <c r="F50" s="291"/>
    </row>
    <row r="51" spans="2:8" ht="15" customHeight="1" x14ac:dyDescent="0.35">
      <c r="B51" s="1" t="s">
        <v>181</v>
      </c>
      <c r="C51" s="209"/>
      <c r="D51" s="94">
        <f>G29/G32</f>
        <v>0.92039603085151056</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2.7262804090098017E-2</v>
      </c>
      <c r="D54" s="94">
        <f>Normalized_FCF!G8/G35</f>
        <v>2.4582404173854506E-2</v>
      </c>
      <c r="F54" s="291"/>
    </row>
    <row r="55" spans="2:8" ht="15" customHeight="1" x14ac:dyDescent="0.35">
      <c r="B55" s="1" t="s">
        <v>146</v>
      </c>
      <c r="C55" s="94">
        <f>Normalized_FCF!C11/G40</f>
        <v>7.4364584303137507E-3</v>
      </c>
      <c r="D55" s="94">
        <f>Normalized_FCF!G11/G40</f>
        <v>7.4364584303137507E-3</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2.1500174688919346E-3</v>
      </c>
      <c r="F58" s="5"/>
    </row>
    <row r="59" spans="2:8" ht="15" customHeight="1" x14ac:dyDescent="0.35">
      <c r="B59" s="1" t="s">
        <v>97</v>
      </c>
      <c r="C59" s="101"/>
      <c r="D59" s="94">
        <f>G39/G32</f>
        <v>0.41115825764105285</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3.1154705020769802E-3</v>
      </c>
      <c r="D62" s="94">
        <f>G28/G29</f>
        <v>3.1154705020769802E-3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47679</v>
      </c>
      <c r="D66" s="192">
        <f>C66+D75</f>
        <v>45106.841774682267</v>
      </c>
      <c r="F66" s="5" t="s">
        <v>231</v>
      </c>
    </row>
    <row r="67" spans="2:6" ht="15" customHeight="1" x14ac:dyDescent="0.35">
      <c r="B67" s="108" t="s">
        <v>182</v>
      </c>
      <c r="C67" s="20">
        <f>G6+G16</f>
        <v>1529</v>
      </c>
      <c r="F67" s="291"/>
    </row>
    <row r="68" spans="2:6" ht="15" customHeight="1" x14ac:dyDescent="0.35">
      <c r="B68" s="108" t="s">
        <v>186</v>
      </c>
      <c r="C68" s="20">
        <f>G18</f>
        <v>23696</v>
      </c>
      <c r="F68" s="291"/>
    </row>
    <row r="69" spans="2:6" ht="15" customHeight="1" x14ac:dyDescent="0.35">
      <c r="B69" s="108" t="s">
        <v>184</v>
      </c>
      <c r="C69" s="20">
        <f>G8+G20</f>
        <v>0</v>
      </c>
      <c r="F69" s="291"/>
    </row>
    <row r="70" spans="2:6" ht="15" customHeight="1" x14ac:dyDescent="0.35">
      <c r="B70" s="82" t="s">
        <v>193</v>
      </c>
      <c r="C70" s="83">
        <f>SUM(C66:C69)</f>
        <v>72904</v>
      </c>
      <c r="F70" s="291"/>
    </row>
    <row r="71" spans="2:6" ht="15" customHeight="1" x14ac:dyDescent="0.35">
      <c r="F71" s="291"/>
    </row>
    <row r="72" spans="2:6" ht="15" customHeight="1" x14ac:dyDescent="0.35">
      <c r="B72" s="294" t="s">
        <v>359</v>
      </c>
      <c r="C72" s="268" t="s">
        <v>100</v>
      </c>
      <c r="D72" s="210" t="s">
        <v>61</v>
      </c>
      <c r="F72" s="291"/>
    </row>
    <row r="73" spans="2:6" ht="15" customHeight="1" x14ac:dyDescent="0.35">
      <c r="B73" s="108" t="s">
        <v>358</v>
      </c>
      <c r="C73" s="192">
        <f>(Normalized_FCF!G25+Normalized_FCF!G35)/12</f>
        <v>-535.66666666666663</v>
      </c>
      <c r="D73" s="192">
        <f>(Normalized_FCF!C25+Normalized_FCF!C35)/12</f>
        <v>-514.43164506354685</v>
      </c>
    </row>
    <row r="74" spans="2:6" ht="15" customHeight="1" x14ac:dyDescent="0.35">
      <c r="B74" s="297" t="s">
        <v>364</v>
      </c>
      <c r="C74" s="298">
        <f>-$C$66/C73</f>
        <v>89.008711885500944</v>
      </c>
      <c r="D74" s="298">
        <f>-$C$66/D73</f>
        <v>92.682867505381196</v>
      </c>
      <c r="F74" s="291" t="s">
        <v>360</v>
      </c>
    </row>
    <row r="75" spans="2:6" ht="15" customHeight="1" x14ac:dyDescent="0.35">
      <c r="B75" s="82" t="s">
        <v>361</v>
      </c>
      <c r="C75" s="303"/>
      <c r="D75" s="302">
        <f>MIN(D73*D76,-G5)</f>
        <v>-2572.1582253177344</v>
      </c>
      <c r="F75" s="291" t="s">
        <v>363</v>
      </c>
    </row>
    <row r="76" spans="2:6" ht="15" customHeight="1" x14ac:dyDescent="0.35">
      <c r="B76" s="299" t="s">
        <v>365</v>
      </c>
      <c r="C76" s="300"/>
      <c r="D76" s="301">
        <f>IF(D74&lt;=3,1,IF(D74&gt;10,5,2))</f>
        <v>5</v>
      </c>
      <c r="F76" s="291" t="s">
        <v>366</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13024</v>
      </c>
      <c r="D79" s="192">
        <f>G7*H7+G17*H17</f>
        <v>7814.4</v>
      </c>
      <c r="F79" s="291"/>
    </row>
    <row r="80" spans="2:6" ht="15" customHeight="1" x14ac:dyDescent="0.35">
      <c r="B80" s="108" t="s">
        <v>187</v>
      </c>
      <c r="C80" s="20">
        <f>G19</f>
        <v>0</v>
      </c>
      <c r="D80" s="192">
        <f>G19*H19</f>
        <v>0</v>
      </c>
      <c r="F80" s="291"/>
    </row>
    <row r="81" spans="2:8" ht="15" customHeight="1" x14ac:dyDescent="0.35">
      <c r="B81" s="108" t="s">
        <v>185</v>
      </c>
      <c r="C81" s="20">
        <f>G9+G21</f>
        <v>0</v>
      </c>
      <c r="D81" s="192">
        <f>G9*H9+G21*H21</f>
        <v>0</v>
      </c>
      <c r="F81" s="291"/>
    </row>
    <row r="82" spans="2:8" ht="15" customHeight="1" x14ac:dyDescent="0.35">
      <c r="B82" s="82" t="s">
        <v>194</v>
      </c>
      <c r="C82" s="83">
        <f>SUM(C79:C81)</f>
        <v>13024</v>
      </c>
      <c r="D82" s="83">
        <f>SUM(D79:D81)</f>
        <v>7814.4</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-3093</v>
      </c>
      <c r="D86" s="255">
        <f>C86*$H$1/Common_Shares</f>
        <v>-0.37849307922088393</v>
      </c>
      <c r="E86" s="277" t="str">
        <f>Market_currency</f>
        <v>HKD</v>
      </c>
    </row>
    <row r="87" spans="2:8" ht="15" customHeight="1" x14ac:dyDescent="0.35">
      <c r="B87" s="275" t="s">
        <v>320</v>
      </c>
      <c r="C87" s="192">
        <f>Valuation_Model!C8*Exchange_Rate</f>
        <v>45106.841774682267</v>
      </c>
      <c r="D87" s="255">
        <f>C87*$H$1/Common_Shares</f>
        <v>5.5197631546164541</v>
      </c>
      <c r="E87" s="277" t="str">
        <f>Market_currency</f>
        <v>HKD</v>
      </c>
    </row>
    <row r="88" spans="2:8" ht="15" customHeight="1" x14ac:dyDescent="0.35">
      <c r="B88" s="276" t="s">
        <v>194</v>
      </c>
      <c r="C88" s="192">
        <f>Valuation_Model!C9*Exchange_Rate</f>
        <v>7814.4</v>
      </c>
      <c r="D88" s="255">
        <f>C88*$H$1/Common_Shares</f>
        <v>0.95625487173090062</v>
      </c>
      <c r="E88" s="277" t="str">
        <f>Market_currency</f>
        <v>HKD</v>
      </c>
    </row>
    <row r="89" spans="2:8" ht="15" customHeight="1" x14ac:dyDescent="0.35">
      <c r="B89" s="82" t="s">
        <v>324</v>
      </c>
      <c r="C89" s="191">
        <f>SUM(C86:C88)</f>
        <v>49828.241774682268</v>
      </c>
      <c r="D89" s="279">
        <f>SUM(D86:D88)</f>
        <v>6.0975249471264705</v>
      </c>
      <c r="E89" s="277" t="str">
        <f>Market_currency</f>
        <v>HKD</v>
      </c>
    </row>
    <row r="91" spans="2:8" ht="15" customHeight="1" x14ac:dyDescent="0.35">
      <c r="B91" s="81" t="s">
        <v>376</v>
      </c>
      <c r="C91" s="37"/>
      <c r="D91" s="37"/>
      <c r="E91" s="37"/>
      <c r="F91" s="37"/>
      <c r="G91" s="37"/>
      <c r="H91" s="37"/>
    </row>
    <row r="92" spans="2:8" ht="212" customHeight="1" x14ac:dyDescent="0.35">
      <c r="B92" s="332" t="s">
        <v>377</v>
      </c>
      <c r="C92" s="332"/>
      <c r="D92" s="332"/>
      <c r="E92" s="332"/>
      <c r="F92" s="332"/>
      <c r="G92" s="332"/>
      <c r="H92" s="332"/>
    </row>
    <row r="93" spans="2:8" ht="15" customHeight="1" x14ac:dyDescent="0.35">
      <c r="B93" s="1" t="str">
        <f>"Please find the financial statement text below. The output should use a scaling factor of "&amp;H1</f>
        <v>Please find the financial statement text below. The output should use a scaling factor of 1000000</v>
      </c>
    </row>
  </sheetData>
  <mergeCells count="1">
    <mergeCell ref="B92:H92"/>
  </mergeCells>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2"/>
      <c r="F3" s="9"/>
      <c r="G3" s="9"/>
    </row>
    <row r="4" spans="1:17" ht="15.75" customHeight="1" x14ac:dyDescent="0.35">
      <c r="A4" s="10"/>
      <c r="B4" s="26" t="s">
        <v>3</v>
      </c>
      <c r="C4" s="197">
        <f>G4</f>
        <v>8765</v>
      </c>
      <c r="D4" s="57"/>
      <c r="E4" s="310"/>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2"/>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2"/>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2"/>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2591.8202592374382</v>
      </c>
      <c r="D8" s="60"/>
      <c r="E8" s="318"/>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2"/>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-159.99999999999997</v>
      </c>
      <c r="E10" s="312"/>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639</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1387.37</v>
      </c>
      <c r="E12" s="312"/>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4618.1902592374381</v>
      </c>
      <c r="E13" s="312"/>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-1108.3656622169851</v>
      </c>
      <c r="E14" s="312"/>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-22.869707937042335</v>
      </c>
      <c r="D15" s="61"/>
      <c r="E15" s="319"/>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3486.9548890834108</v>
      </c>
      <c r="D16" s="62"/>
      <c r="E16" s="320"/>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380</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381</v>
      </c>
      <c r="F18" s="59"/>
      <c r="G18" s="203"/>
      <c r="H18" s="203"/>
      <c r="I18" s="203"/>
      <c r="J18" s="203"/>
      <c r="K18" s="203"/>
      <c r="L18" s="203"/>
      <c r="M18" s="203"/>
      <c r="N18" s="203"/>
      <c r="O18" s="203"/>
      <c r="P18" s="203"/>
      <c r="Q18" s="203"/>
    </row>
    <row r="19" spans="1:17" ht="15.75" customHeight="1" x14ac:dyDescent="0.35">
      <c r="A19" s="10"/>
      <c r="B19" s="31" t="s">
        <v>70</v>
      </c>
      <c r="C19" s="188">
        <f>SUM(C16:C18)</f>
        <v>3486.9548890834108</v>
      </c>
      <c r="D19" s="27"/>
      <c r="E19" s="309"/>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1"/>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09"/>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7"/>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AVERAGE(G28:H28)</f>
        <v>0.57805815639048053</v>
      </c>
      <c r="D28" s="26"/>
      <c r="E28" s="310" t="s">
        <v>382</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0" t="s">
        <v>382</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AVERAGE(G33:H33)</f>
        <v>-1106.5</v>
      </c>
      <c r="E33" s="310" t="s">
        <v>382</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382</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1"/>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0.1262407301768397</v>
      </c>
      <c r="D38" s="27"/>
      <c r="E38" s="30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0.24</v>
      </c>
      <c r="D43" s="27"/>
      <c r="E43" s="309" t="s">
        <v>383</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-43</v>
      </c>
      <c r="E47" s="312"/>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1430.37</v>
      </c>
      <c r="E48" s="312"/>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1387.37</v>
      </c>
      <c r="E49" s="312"/>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v>0.03</v>
      </c>
      <c r="E52" s="309" t="s">
        <v>384</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92</v>
      </c>
      <c r="C53" s="84">
        <f>G53</f>
        <v>1.3902360168121564E-2</v>
      </c>
      <c r="E53" s="309" t="s">
        <v>385</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95</v>
      </c>
      <c r="C54" s="42">
        <f>-C8/C47</f>
        <v>60.274889749707867</v>
      </c>
      <c r="E54" s="312"/>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639</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639</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386</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639</v>
      </c>
      <c r="E62" s="312"/>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2.6966576637407157E-2</v>
      </c>
      <c r="E66" s="312"/>
      <c r="G66" s="23">
        <f>IFERROR(G58/BS!$C$68,0)</f>
        <v>2.6966576637407157E-2</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8.7649511686601553E-3</v>
      </c>
      <c r="D68" s="9"/>
      <c r="E68" s="317"/>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0.57805815639048053</v>
      </c>
      <c r="D72" s="27"/>
      <c r="E72" s="309"/>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0.42194184360951947</v>
      </c>
      <c r="D73" s="27"/>
      <c r="E73" s="309"/>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0.1262407301768397</v>
      </c>
      <c r="D74" s="27"/>
      <c r="E74" s="309"/>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0.2957011134326798</v>
      </c>
      <c r="D75" s="27"/>
      <c r="E75" s="309"/>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1.8254420992584137E-2</v>
      </c>
      <c r="D76" s="27"/>
      <c r="E76" s="309"/>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1.8254420992584137E-2</v>
      </c>
      <c r="D77" s="27"/>
      <c r="E77" s="310" t="s">
        <v>387</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7.2903593839132919E-2</v>
      </c>
      <c r="D78" s="27"/>
      <c r="E78" s="309"/>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0.15828522532800912</v>
      </c>
      <c r="D79" s="27"/>
      <c r="E79" s="309"/>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0.52688993259982175</v>
      </c>
      <c r="D80" s="27"/>
      <c r="E80" s="309"/>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0.12645358382395724</v>
      </c>
      <c r="D81" s="27"/>
      <c r="E81" s="309"/>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2.6092079791263361E-3</v>
      </c>
      <c r="D82" s="27"/>
      <c r="E82" s="309"/>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0.39782714079673825</v>
      </c>
      <c r="D83" s="27"/>
      <c r="E83" s="309"/>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0.39782714079673825</v>
      </c>
      <c r="D86" s="77"/>
      <c r="E86" s="309"/>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0.57999999999999996</v>
      </c>
      <c r="E89" s="312"/>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2"/>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1.3592634587039025</v>
      </c>
      <c r="E91" s="312"/>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7.3417721518987331E-2</v>
      </c>
      <c r="E92" s="312"/>
      <c r="G92" s="23">
        <f t="shared" ref="G92:Q92" si="38">IF(G$4="","",G89/Market_Price)</f>
        <v>7.3417721518987331E-2</v>
      </c>
      <c r="H92" s="23">
        <f t="shared" si="38"/>
        <v>7.3417721518987331E-2</v>
      </c>
      <c r="I92" s="23">
        <f t="shared" si="38"/>
        <v>7.2151898734177211E-2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0</v>
      </c>
      <c r="D95" s="27"/>
      <c r="E95" s="309"/>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-0.13903984727117114</v>
      </c>
      <c r="D96" s="27"/>
      <c r="E96" s="309"/>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180996</v>
      </c>
      <c r="D100" s="26"/>
      <c r="E100" s="313"/>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8029</v>
      </c>
      <c r="D101" s="91"/>
      <c r="E101" s="314"/>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15310</v>
      </c>
      <c r="D102" s="91"/>
      <c r="E102" s="314"/>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13889</v>
      </c>
      <c r="D103" s="26"/>
      <c r="E103" s="313"/>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167107</v>
      </c>
      <c r="D104" s="26"/>
      <c r="E104" s="313"/>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0.91602966343411296</v>
      </c>
      <c r="D107" s="26"/>
      <c r="E107" s="313"/>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1.7467199087278951</v>
      </c>
      <c r="D108" s="26"/>
      <c r="E108" s="313"/>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8.343867655447804</v>
      </c>
      <c r="D109" s="26"/>
      <c r="E109" s="313"/>
      <c r="F109" s="26"/>
      <c r="G109" s="97">
        <f>BS!$G$38/G$4</f>
        <v>8.343867655447804</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0.52688993259982175</v>
      </c>
      <c r="E112" s="312"/>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4.8426484563194767E-2</v>
      </c>
      <c r="E113" s="312"/>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1.0831144117242246</v>
      </c>
      <c r="D114" s="11"/>
      <c r="E114" s="316"/>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1.5509944282629921E-2</v>
      </c>
      <c r="D115" s="106"/>
      <c r="E115" s="315"/>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09"/>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5.401287075648549E-2</v>
      </c>
      <c r="D120" s="27"/>
      <c r="E120" s="309"/>
      <c r="F120" s="27"/>
      <c r="G120" s="79">
        <f t="shared" ref="G120" si="49">IF(G$4="","",G119/Market_Price)</f>
        <v>7.5048965971556136E-2</v>
      </c>
      <c r="H120" s="79">
        <f t="shared" ref="H120" si="50">IF(H$4="","",H119/Market_Price)</f>
        <v>8.8838692401302988E-2</v>
      </c>
      <c r="I120" s="79">
        <f t="shared" ref="I120" si="51">IF(I$4="","",I119/Market_Price)</f>
        <v>9.9448332439578013E-2</v>
      </c>
      <c r="J120" s="79">
        <f t="shared" ref="J120" si="52">IF(J$4="","",J119/Market_Price)</f>
        <v>0.16355862576863991</v>
      </c>
      <c r="K120" s="79">
        <f t="shared" ref="K120" si="53">IF(K$4="","",K119/Market_Price)</f>
        <v>5.3440440165504366E-2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1000000</v>
      </c>
      <c r="E3" s="112" t="s">
        <v>129</v>
      </c>
      <c r="H3" s="124"/>
    </row>
    <row r="4" spans="2:8" x14ac:dyDescent="0.35">
      <c r="B4" s="103" t="s">
        <v>133</v>
      </c>
      <c r="C4" s="113">
        <f>Normalized_FCF!C19</f>
        <v>3486.9548890834108</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38743.943212037899</v>
      </c>
      <c r="D6" t="str">
        <f>Reporting_currency</f>
        <v>HKD</v>
      </c>
      <c r="E6" s="338" t="s">
        <v>259</v>
      </c>
      <c r="F6" s="338"/>
      <c r="H6" s="124"/>
    </row>
    <row r="7" spans="2:8" x14ac:dyDescent="0.35">
      <c r="B7" s="152" t="s">
        <v>229</v>
      </c>
      <c r="C7" s="233">
        <f>BS!G31</f>
        <v>3093</v>
      </c>
      <c r="D7" t="str">
        <f>Reporting_currency</f>
        <v>HKD</v>
      </c>
      <c r="E7" s="338"/>
      <c r="F7" s="338"/>
      <c r="H7" s="124"/>
    </row>
    <row r="8" spans="2:8" x14ac:dyDescent="0.35">
      <c r="B8" s="152" t="s">
        <v>230</v>
      </c>
      <c r="C8" s="208">
        <f>BS!D66</f>
        <v>45106.841774682267</v>
      </c>
      <c r="D8" t="str">
        <f>Reporting_currency</f>
        <v>HKD</v>
      </c>
      <c r="E8" s="338"/>
      <c r="F8" s="338"/>
      <c r="H8" s="124"/>
    </row>
    <row r="9" spans="2:8" x14ac:dyDescent="0.35">
      <c r="B9" s="234" t="s">
        <v>195</v>
      </c>
      <c r="C9" s="236">
        <f>BS!H42</f>
        <v>7814.4</v>
      </c>
      <c r="D9" t="str">
        <f>Reporting_currency</f>
        <v>HKD</v>
      </c>
      <c r="E9" s="338"/>
      <c r="F9" s="338"/>
      <c r="H9" s="124"/>
    </row>
    <row r="10" spans="2:8" ht="13.15" x14ac:dyDescent="0.4">
      <c r="B10" s="153" t="s">
        <v>232</v>
      </c>
      <c r="C10" s="239">
        <f>C6-C7+C8+C9</f>
        <v>88572.184986720153</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10.838654713529085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-8.7951517171891095E-3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10.708213341286156</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3456.2865918029279</v>
      </c>
      <c r="D21" s="142">
        <f>IF($C$17&lt;B21,0,Valuation_Model!$C$16)</f>
        <v>-8.7951517171891095E-3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-8.7951517171891095E-3</v>
      </c>
      <c r="E22" s="128">
        <f t="shared" si="0"/>
        <v>0.84167999326655996</v>
      </c>
      <c r="F22" s="129">
        <f t="shared" si="1"/>
        <v>2883.5014113710413</v>
      </c>
      <c r="H22" s="124"/>
    </row>
    <row r="23" spans="2:8" x14ac:dyDescent="0.35">
      <c r="B23" s="126">
        <v>3</v>
      </c>
      <c r="C23" s="127">
        <f t="shared" si="2"/>
        <v>3395.7568218876877</v>
      </c>
      <c r="D23" s="142">
        <f>IF($C$17&lt;B23,0,Valuation_Model!$C$16)</f>
        <v>-8.7951517171891095E-3</v>
      </c>
      <c r="E23" s="128">
        <f t="shared" si="0"/>
        <v>0.77218348006106419</v>
      </c>
      <c r="F23" s="129">
        <f t="shared" si="1"/>
        <v>2622.1473201663339</v>
      </c>
      <c r="H23" s="124"/>
    </row>
    <row r="24" spans="2:8" x14ac:dyDescent="0.35">
      <c r="B24" s="126">
        <v>4</v>
      </c>
      <c r="C24" s="127">
        <f t="shared" si="2"/>
        <v>3365.8906254445051</v>
      </c>
      <c r="D24" s="142">
        <f>IF($C$17&lt;B24,0,Valuation_Model!$C$16)</f>
        <v>-8.7951517171891095E-3</v>
      </c>
      <c r="E24" s="128">
        <f t="shared" si="0"/>
        <v>0.7084252110651964</v>
      </c>
      <c r="F24" s="129">
        <f t="shared" si="1"/>
        <v>2384.4817767528893</v>
      </c>
      <c r="H24" s="124"/>
    </row>
    <row r="25" spans="2:8" x14ac:dyDescent="0.35">
      <c r="B25" s="126">
        <v>5</v>
      </c>
      <c r="C25" s="127">
        <f t="shared" si="2"/>
        <v>3336.2871067302563</v>
      </c>
      <c r="D25" s="142">
        <f>IF($C$17&lt;B25,0,Valuation_Model!$C$16)</f>
        <v>-8.7951517171891095E-3</v>
      </c>
      <c r="E25" s="128">
        <f t="shared" si="0"/>
        <v>0.64993138629834524</v>
      </c>
      <c r="F25" s="129">
        <f t="shared" si="1"/>
        <v>2168.3577043664909</v>
      </c>
      <c r="H25" s="124"/>
    </row>
    <row r="26" spans="2:8" x14ac:dyDescent="0.35">
      <c r="B26" s="126">
        <v>6</v>
      </c>
      <c r="C26" s="127">
        <f t="shared" si="2"/>
        <v>3306.9439554544615</v>
      </c>
      <c r="D26" s="142">
        <f>IF($C$17&lt;B26,0,Valuation_Model!$C$16)</f>
        <v>-8.7951517171891095E-3</v>
      </c>
      <c r="E26" s="128">
        <f t="shared" si="0"/>
        <v>0.5962673268792158</v>
      </c>
      <c r="F26" s="129">
        <f t="shared" si="1"/>
        <v>1971.8226324582122</v>
      </c>
      <c r="H26" s="124"/>
    </row>
    <row r="27" spans="2:8" x14ac:dyDescent="0.35">
      <c r="B27" s="126">
        <v>7</v>
      </c>
      <c r="C27" s="127">
        <f t="shared" si="2"/>
        <v>3277.8588816459983</v>
      </c>
      <c r="D27" s="142">
        <f>IF($C$17&lt;B27,0,Valuation_Model!$C$16)</f>
        <v>-8.7951517171891095E-3</v>
      </c>
      <c r="E27" s="128">
        <f t="shared" si="0"/>
        <v>0.54703424484331731</v>
      </c>
      <c r="F27" s="129">
        <f t="shared" si="1"/>
        <v>1793.1010580241793</v>
      </c>
      <c r="H27" s="124"/>
    </row>
    <row r="28" spans="2:8" x14ac:dyDescent="0.35">
      <c r="B28" s="126">
        <v>8</v>
      </c>
      <c r="C28" s="127">
        <f t="shared" si="2"/>
        <v>3249.0296154743855</v>
      </c>
      <c r="D28" s="142">
        <f>IF($C$17&lt;B28,0,Valuation_Model!$C$16)</f>
        <v>-8.7951517171891095E-3</v>
      </c>
      <c r="E28" s="128">
        <f t="shared" si="0"/>
        <v>0.50186627967276809</v>
      </c>
      <c r="F28" s="129">
        <f t="shared" si="1"/>
        <v>1630.5784056647742</v>
      </c>
      <c r="H28" s="124"/>
    </row>
    <row r="29" spans="2:8" x14ac:dyDescent="0.35">
      <c r="B29" s="126">
        <v>9</v>
      </c>
      <c r="C29" s="127">
        <f t="shared" si="2"/>
        <v>3220.4539070726478</v>
      </c>
      <c r="D29" s="142">
        <f>IF($C$17&lt;B29,0,Valuation_Model!$C$16)</f>
        <v>-8.7951517171891095E-3</v>
      </c>
      <c r="E29" s="128">
        <f t="shared" si="0"/>
        <v>0.46042777951630098</v>
      </c>
      <c r="F29" s="129">
        <f t="shared" si="1"/>
        <v>1482.786441468055</v>
      </c>
      <c r="H29" s="124"/>
    </row>
    <row r="30" spans="2:8" x14ac:dyDescent="0.35">
      <c r="B30" s="126">
        <v>10</v>
      </c>
      <c r="C30" s="127">
        <f t="shared" si="2"/>
        <v>3192.1295263617289</v>
      </c>
      <c r="D30" s="142">
        <f>IF($C$17&lt;B30,0,Valuation_Model!$C$16)</f>
        <v>-8.7951517171891095E-3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105</v>
      </c>
      <c r="F52" s="141">
        <f>SUM(F21:F51)</f>
        <v>37677.991979381593</v>
      </c>
      <c r="H52" s="124"/>
    </row>
    <row r="53" spans="1:8" x14ac:dyDescent="0.35">
      <c r="C53" s="118"/>
      <c r="H53" s="124"/>
    </row>
    <row r="54" spans="1:8" ht="13.15" x14ac:dyDescent="0.35">
      <c r="B54" s="123" t="s">
        <v>134</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10.838654713529085</v>
      </c>
      <c r="C65" s="128">
        <f>C12</f>
        <v>10.838654713529085</v>
      </c>
      <c r="D65" s="128">
        <f>C12</f>
        <v>10.838654713529085</v>
      </c>
      <c r="E65" s="145">
        <f>C12</f>
        <v>10.838654713529085</v>
      </c>
      <c r="F65" s="128">
        <f>C12</f>
        <v>10.838654713529085</v>
      </c>
      <c r="H65" s="124"/>
    </row>
    <row r="66" spans="1:8" ht="13.15" x14ac:dyDescent="0.4">
      <c r="A66" s="147">
        <f t="shared" ref="A66:A71" si="3">A56</f>
        <v>5</v>
      </c>
      <c r="B66" s="128">
        <f t="shared" ref="B66:F71" si="4">(B56-$C$7+$C$8+$C$9)/Common_Shares*$C$3*Exchange_Rate</f>
        <v>8.9367265403465179</v>
      </c>
      <c r="C66" s="128">
        <f t="shared" si="4"/>
        <v>10.464191416631589</v>
      </c>
      <c r="D66" s="128">
        <f t="shared" si="4"/>
        <v>10.838654713529085</v>
      </c>
      <c r="E66" s="128">
        <f t="shared" si="4"/>
        <v>10.996571841845507</v>
      </c>
      <c r="F66" s="128">
        <f t="shared" si="4"/>
        <v>11.242812160570372</v>
      </c>
      <c r="H66" s="124"/>
    </row>
    <row r="67" spans="1:8" ht="13.15" x14ac:dyDescent="0.4">
      <c r="A67" s="147">
        <f t="shared" si="3"/>
        <v>10</v>
      </c>
      <c r="B67" s="128">
        <f t="shared" si="4"/>
        <v>8.2561544066991601</v>
      </c>
      <c r="C67" s="128">
        <f t="shared" si="4"/>
        <v>10.163266547548384</v>
      </c>
      <c r="D67" s="128">
        <f t="shared" si="4"/>
        <v>10.838654713529081</v>
      </c>
      <c r="E67" s="128">
        <f t="shared" si="4"/>
        <v>11.156364901945436</v>
      </c>
      <c r="F67" s="128">
        <f t="shared" si="4"/>
        <v>11.694349144231008</v>
      </c>
      <c r="H67" s="124"/>
    </row>
    <row r="68" spans="1:8" ht="13.15" x14ac:dyDescent="0.4">
      <c r="A68" s="147">
        <f t="shared" si="3"/>
        <v>15</v>
      </c>
      <c r="B68" s="128">
        <f t="shared" si="4"/>
        <v>7.7735358606357119</v>
      </c>
      <c r="C68" s="128">
        <f t="shared" si="4"/>
        <v>9.861261440865567</v>
      </c>
      <c r="D68" s="128">
        <f t="shared" si="4"/>
        <v>10.838654713529081</v>
      </c>
      <c r="E68" s="128">
        <f t="shared" si="4"/>
        <v>11.345457459822585</v>
      </c>
      <c r="F68" s="128">
        <f t="shared" si="4"/>
        <v>12.272278419093899</v>
      </c>
      <c r="H68" s="124"/>
    </row>
    <row r="69" spans="1:8" ht="13.15" x14ac:dyDescent="0.4">
      <c r="A69" s="148">
        <f t="shared" si="3"/>
        <v>20</v>
      </c>
      <c r="B69" s="128">
        <f t="shared" si="4"/>
        <v>7.4554655168012136</v>
      </c>
      <c r="C69" s="128">
        <f t="shared" si="4"/>
        <v>9.6114574364644501</v>
      </c>
      <c r="D69" s="128">
        <f t="shared" si="4"/>
        <v>10.838654713529081</v>
      </c>
      <c r="E69" s="128">
        <f t="shared" si="4"/>
        <v>11.529519480109208</v>
      </c>
      <c r="F69" s="128">
        <f t="shared" si="4"/>
        <v>12.883852077820981</v>
      </c>
      <c r="H69" s="124"/>
    </row>
    <row r="70" spans="1:8" ht="13.15" x14ac:dyDescent="0.4">
      <c r="A70" s="148">
        <f t="shared" si="3"/>
        <v>25</v>
      </c>
      <c r="B70" s="128">
        <f t="shared" si="4"/>
        <v>7.2482608345624957</v>
      </c>
      <c r="C70" s="128">
        <f t="shared" si="4"/>
        <v>9.4221858163511669</v>
      </c>
      <c r="D70" s="128">
        <f t="shared" si="4"/>
        <v>10.838654713529079</v>
      </c>
      <c r="E70" s="128">
        <f t="shared" si="4"/>
        <v>11.693037626525086</v>
      </c>
      <c r="F70" s="128">
        <f t="shared" si="4"/>
        <v>13.477060144941481</v>
      </c>
    </row>
    <row r="71" spans="1:8" ht="13.15" x14ac:dyDescent="0.4">
      <c r="A71" s="148">
        <f t="shared" si="3"/>
        <v>30</v>
      </c>
      <c r="B71" s="128">
        <f t="shared" si="4"/>
        <v>7.1135394903821911</v>
      </c>
      <c r="C71" s="128">
        <f t="shared" si="4"/>
        <v>9.2856359928419838</v>
      </c>
      <c r="D71" s="128">
        <f t="shared" si="4"/>
        <v>10.838654713529079</v>
      </c>
      <c r="E71" s="128">
        <f t="shared" si="4"/>
        <v>11.83080797822601</v>
      </c>
      <c r="F71" s="128">
        <f t="shared" si="4"/>
        <v>14.024959466862017</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0.05</v>
      </c>
      <c r="D74" s="149">
        <f>Scenarios!C55</f>
        <v>15</v>
      </c>
      <c r="E74" s="139">
        <f>INDEX(B$65:F$71, MATCH(D74, A$65:A$71, 0), MATCH(C74, B$64:F$64, 0))</f>
        <v>12.272278419093899</v>
      </c>
      <c r="F74" s="146">
        <f>Scenarios!C58</f>
        <v>0.05</v>
      </c>
    </row>
    <row r="75" spans="1:8" x14ac:dyDescent="0.35">
      <c r="B75" s="131" t="str">
        <f>Scenarios!B36</f>
        <v>Optimistic</v>
      </c>
      <c r="C75" s="146">
        <f>Scenarios!C38</f>
        <v>0.02</v>
      </c>
      <c r="D75" s="149">
        <f>Scenarios!C37</f>
        <v>10</v>
      </c>
      <c r="E75" s="139">
        <f>INDEX(B$65:F$71, MATCH(D75, A$65:A$71, 0), MATCH(C75, B$64:F$64, 0))</f>
        <v>11.156364901945436</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10.838654713529081</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10.163266547548384</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7.7735358606357119</v>
      </c>
      <c r="F78" s="146">
        <f>Scenarios!C52</f>
        <v>0.05</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-7.9</v>
      </c>
    </row>
    <row r="4" spans="2:9" x14ac:dyDescent="0.35">
      <c r="B4" s="156" t="s">
        <v>151</v>
      </c>
      <c r="C4" s="124">
        <v>3</v>
      </c>
      <c r="D4" s="124"/>
      <c r="E4" s="160" t="s">
        <v>155</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100</v>
      </c>
      <c r="C6" s="110">
        <f>Valuation_Model!C3</f>
        <v>1000000</v>
      </c>
      <c r="E6" s="103" t="s">
        <v>302</v>
      </c>
      <c r="F6" s="103"/>
      <c r="H6" s="284">
        <v>3</v>
      </c>
      <c r="I6" s="272">
        <f t="shared" si="0"/>
        <v>11.286994878679808</v>
      </c>
    </row>
    <row r="7" spans="2:9" ht="12.75" customHeight="1" x14ac:dyDescent="0.35">
      <c r="B7" s="103" t="s">
        <v>296</v>
      </c>
      <c r="C7" s="118">
        <f>Normalized_FCF!G8</f>
        <v>2337</v>
      </c>
      <c r="D7" t="str">
        <f>Reporting_currency</f>
        <v>HKD</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0"/>
      <c r="H7" s="284">
        <v>4</v>
      </c>
      <c r="I7" s="272" t="str">
        <f t="shared" si="0"/>
        <v/>
      </c>
    </row>
    <row r="8" spans="2:9" x14ac:dyDescent="0.35">
      <c r="B8" s="103" t="s">
        <v>70</v>
      </c>
      <c r="C8" s="118">
        <f>Normalized_FCF!G19</f>
        <v>4845</v>
      </c>
      <c r="D8" t="str">
        <f>Reporting_currency</f>
        <v>HKD</v>
      </c>
      <c r="E8" s="340"/>
      <c r="F8" s="340"/>
      <c r="H8" s="284">
        <v>5</v>
      </c>
      <c r="I8" s="272" t="str">
        <f t="shared" si="0"/>
        <v/>
      </c>
    </row>
    <row r="9" spans="2:9" x14ac:dyDescent="0.35">
      <c r="B9" s="103" t="s">
        <v>61</v>
      </c>
      <c r="C9" s="208">
        <f>Normalized_FCF!C19</f>
        <v>3486.9548890834108</v>
      </c>
      <c r="D9" t="str">
        <f>Reporting_currency</f>
        <v>HKD</v>
      </c>
      <c r="E9" s="340"/>
      <c r="F9" s="340"/>
      <c r="H9" s="284">
        <v>6</v>
      </c>
      <c r="I9" s="272" t="str">
        <f t="shared" si="0"/>
        <v/>
      </c>
    </row>
    <row r="10" spans="2:9" x14ac:dyDescent="0.35">
      <c r="E10" s="340"/>
      <c r="F10" s="340"/>
      <c r="H10" s="284">
        <v>7</v>
      </c>
      <c r="I10" s="272" t="str">
        <f t="shared" si="0"/>
        <v/>
      </c>
    </row>
    <row r="11" spans="2:9" ht="13.15" x14ac:dyDescent="0.4">
      <c r="B11" s="164" t="s">
        <v>299</v>
      </c>
      <c r="E11" s="340"/>
      <c r="F11" s="340"/>
      <c r="H11" s="284">
        <v>8</v>
      </c>
      <c r="I11" s="272" t="str">
        <f t="shared" si="0"/>
        <v/>
      </c>
    </row>
    <row r="12" spans="2:9" x14ac:dyDescent="0.35">
      <c r="B12" s="122" t="s">
        <v>149</v>
      </c>
      <c r="C12" s="163">
        <f ca="1">(Normalized_FCF!G4/OFFSET(Normalized_FCF!G4, 0, $C$4))^(1/$C$4) - 1</f>
        <v>-0.28945840615733698</v>
      </c>
      <c r="D12" s="163"/>
      <c r="E12" s="340"/>
      <c r="F12" s="340"/>
      <c r="H12" s="284">
        <v>9</v>
      </c>
      <c r="I12" s="272" t="str">
        <f t="shared" si="0"/>
        <v/>
      </c>
    </row>
    <row r="13" spans="2:9" x14ac:dyDescent="0.35">
      <c r="B13" s="152" t="s">
        <v>157</v>
      </c>
      <c r="C13" s="163">
        <f ca="1">(Normalized_FCF!G8/OFFSET(Normalized_FCF!G8, 0, $C$4))^(1/$C$4) - 1</f>
        <v>-0.42686307479092267</v>
      </c>
      <c r="E13" s="340"/>
      <c r="F13" s="340"/>
      <c r="H13" s="284">
        <v>10</v>
      </c>
      <c r="I13" s="272" t="str">
        <f t="shared" si="0"/>
        <v/>
      </c>
    </row>
    <row r="14" spans="2:9" x14ac:dyDescent="0.35">
      <c r="B14" s="103" t="s">
        <v>70</v>
      </c>
      <c r="C14" s="163">
        <f ca="1">(Normalized_FCF!G19/OFFSET(Normalized_FCF!G19, 0, $C$4))^(1/$C$4) - 1</f>
        <v>-0.22869925060693375</v>
      </c>
      <c r="E14" s="340"/>
      <c r="F14" s="340"/>
    </row>
    <row r="16" spans="2:9" ht="13.9" x14ac:dyDescent="0.45">
      <c r="B16" s="36" t="s">
        <v>167</v>
      </c>
      <c r="C16" s="37"/>
      <c r="D16" s="37"/>
      <c r="E16" s="37"/>
      <c r="F16" s="37"/>
    </row>
    <row r="17" spans="2:6" ht="13.15" x14ac:dyDescent="0.4">
      <c r="B17" s="112" t="s">
        <v>156</v>
      </c>
      <c r="E17" s="164" t="s">
        <v>372</v>
      </c>
    </row>
    <row r="18" spans="2:6" x14ac:dyDescent="0.35">
      <c r="B18" s="156" t="s">
        <v>138</v>
      </c>
      <c r="C18" s="154">
        <v>10</v>
      </c>
      <c r="E18" s="340" t="s">
        <v>373</v>
      </c>
      <c r="F18" s="341"/>
    </row>
    <row r="19" spans="2:6" x14ac:dyDescent="0.35">
      <c r="E19" s="341"/>
      <c r="F19" s="341"/>
    </row>
    <row r="20" spans="2:6" ht="13.15" x14ac:dyDescent="0.4">
      <c r="B20" s="164" t="s">
        <v>337</v>
      </c>
      <c r="E20" s="341"/>
      <c r="F20" s="341"/>
    </row>
    <row r="21" spans="2:6" x14ac:dyDescent="0.35">
      <c r="B21" s="103" t="s">
        <v>300</v>
      </c>
      <c r="C21" s="165">
        <f>Market_Price</f>
        <v>7.9</v>
      </c>
      <c r="D21" t="str">
        <f>Market_currency</f>
        <v>HKD</v>
      </c>
      <c r="E21" s="341"/>
      <c r="F21" s="341"/>
    </row>
    <row r="22" spans="2:6" x14ac:dyDescent="0.35">
      <c r="B22" s="103" t="s">
        <v>301</v>
      </c>
      <c r="C22" s="165">
        <f>Valuation_Model!C12</f>
        <v>10.838654713529085</v>
      </c>
      <c r="D22" t="str">
        <f>Market_currency</f>
        <v>HKD</v>
      </c>
      <c r="E22" s="341"/>
      <c r="F22" s="341"/>
    </row>
    <row r="24" spans="2:6" ht="13.15" x14ac:dyDescent="0.4">
      <c r="B24" s="164" t="s">
        <v>120</v>
      </c>
      <c r="E24" s="164" t="s">
        <v>154</v>
      </c>
      <c r="F24" s="164"/>
    </row>
    <row r="25" spans="2:6" x14ac:dyDescent="0.35">
      <c r="B25" s="156" t="s">
        <v>138</v>
      </c>
      <c r="C25" s="171">
        <f>C18</f>
        <v>10</v>
      </c>
      <c r="D25" s="168"/>
      <c r="E25" s="339"/>
      <c r="F25" s="339"/>
    </row>
    <row r="26" spans="2:6" x14ac:dyDescent="0.35">
      <c r="B26" s="122" t="s">
        <v>139</v>
      </c>
      <c r="C26" s="169">
        <v>0</v>
      </c>
      <c r="D26" s="169"/>
      <c r="E26" s="339"/>
      <c r="F26" s="339"/>
    </row>
    <row r="27" spans="2:6" x14ac:dyDescent="0.35">
      <c r="B27" s="103" t="s">
        <v>118</v>
      </c>
      <c r="C27" s="165">
        <f>Valuation_Model!E76</f>
        <v>10.838654713529081</v>
      </c>
      <c r="D27" s="165" t="str">
        <f>Market_currency</f>
        <v>HKD</v>
      </c>
      <c r="E27" s="339"/>
      <c r="F27" s="339"/>
    </row>
    <row r="28" spans="2:6" x14ac:dyDescent="0.35">
      <c r="B28" s="103" t="s">
        <v>152</v>
      </c>
      <c r="C28" s="170">
        <v>0.55000000000000004</v>
      </c>
      <c r="D28" s="170"/>
      <c r="E28" s="339"/>
      <c r="F28" s="339"/>
    </row>
    <row r="30" spans="2:6" ht="13.15" x14ac:dyDescent="0.4">
      <c r="B30" s="164" t="s">
        <v>121</v>
      </c>
      <c r="E30" s="164" t="s">
        <v>154</v>
      </c>
      <c r="F30" s="164"/>
    </row>
    <row r="31" spans="2:6" x14ac:dyDescent="0.35">
      <c r="B31" s="156" t="s">
        <v>138</v>
      </c>
      <c r="C31" s="171">
        <f>C18</f>
        <v>10</v>
      </c>
      <c r="D31" s="168"/>
      <c r="E31" s="339"/>
      <c r="F31" s="339"/>
    </row>
    <row r="32" spans="2:6" x14ac:dyDescent="0.35">
      <c r="B32" s="122" t="s">
        <v>139</v>
      </c>
      <c r="C32" s="169">
        <v>-0.05</v>
      </c>
      <c r="D32" s="169"/>
      <c r="E32" s="339"/>
      <c r="F32" s="339"/>
    </row>
    <row r="33" spans="2:6" x14ac:dyDescent="0.35">
      <c r="B33" s="103" t="s">
        <v>118</v>
      </c>
      <c r="C33" s="165">
        <f>Valuation_Model!E77</f>
        <v>10.163266547548384</v>
      </c>
      <c r="D33" t="str">
        <f>Market_currency</f>
        <v>HKD</v>
      </c>
      <c r="E33" s="339"/>
      <c r="F33" s="339"/>
    </row>
    <row r="34" spans="2:6" x14ac:dyDescent="0.35">
      <c r="B34" s="103" t="s">
        <v>152</v>
      </c>
      <c r="C34" s="170">
        <v>0.2</v>
      </c>
      <c r="D34" s="170"/>
      <c r="E34" s="339"/>
      <c r="F34" s="339"/>
    </row>
    <row r="36" spans="2:6" ht="13.15" x14ac:dyDescent="0.4">
      <c r="B36" s="164" t="s">
        <v>119</v>
      </c>
      <c r="E36" s="164" t="s">
        <v>154</v>
      </c>
      <c r="F36" s="164"/>
    </row>
    <row r="37" spans="2:6" x14ac:dyDescent="0.35">
      <c r="B37" s="156" t="s">
        <v>138</v>
      </c>
      <c r="C37" s="171">
        <f>C18</f>
        <v>10</v>
      </c>
      <c r="D37" s="168"/>
      <c r="E37" s="339"/>
      <c r="F37" s="339"/>
    </row>
    <row r="38" spans="2:6" x14ac:dyDescent="0.35">
      <c r="B38" s="122" t="s">
        <v>139</v>
      </c>
      <c r="C38" s="169">
        <v>0.02</v>
      </c>
      <c r="D38" s="169"/>
      <c r="E38" s="339"/>
      <c r="F38" s="339"/>
    </row>
    <row r="39" spans="2:6" x14ac:dyDescent="0.35">
      <c r="B39" s="103" t="s">
        <v>118</v>
      </c>
      <c r="C39" s="165">
        <f>Valuation_Model!E75</f>
        <v>11.156364901945436</v>
      </c>
      <c r="D39" t="str">
        <f>Market_currency</f>
        <v>HKD</v>
      </c>
      <c r="E39" s="339"/>
      <c r="F39" s="339"/>
    </row>
    <row r="40" spans="2:6" x14ac:dyDescent="0.35">
      <c r="B40" s="103" t="s">
        <v>152</v>
      </c>
      <c r="C40" s="172">
        <f>1-C28-C34</f>
        <v>0.24999999999999994</v>
      </c>
      <c r="D40" s="170"/>
      <c r="E40" s="339"/>
      <c r="F40" s="339"/>
    </row>
    <row r="42" spans="2:6" ht="13.15" x14ac:dyDescent="0.4">
      <c r="B42" s="103" t="s">
        <v>125</v>
      </c>
      <c r="C42" s="159">
        <f>C27*C28+C33*C34+C39*C40</f>
        <v>10.78300462743703</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9"/>
      <c r="F49" s="339"/>
    </row>
    <row r="50" spans="2:6" x14ac:dyDescent="0.35">
      <c r="B50" s="122" t="s">
        <v>139</v>
      </c>
      <c r="C50" s="169">
        <v>-0.3</v>
      </c>
      <c r="D50" s="169"/>
      <c r="E50" s="339"/>
      <c r="F50" s="339"/>
    </row>
    <row r="51" spans="2:6" x14ac:dyDescent="0.35">
      <c r="B51" s="103" t="s">
        <v>118</v>
      </c>
      <c r="C51" s="165">
        <f>Valuation_Model!E78</f>
        <v>7.7735358606357119</v>
      </c>
      <c r="D51" t="str">
        <f>Market_currency</f>
        <v>HKD</v>
      </c>
      <c r="E51" s="339"/>
      <c r="F51" s="339"/>
    </row>
    <row r="52" spans="2:6" x14ac:dyDescent="0.35">
      <c r="B52" s="103" t="s">
        <v>152</v>
      </c>
      <c r="C52" s="170">
        <v>0.05</v>
      </c>
      <c r="D52" s="170"/>
      <c r="E52" s="339"/>
      <c r="F52" s="339"/>
    </row>
    <row r="54" spans="2:6" ht="13.15" x14ac:dyDescent="0.4">
      <c r="B54" s="164" t="s">
        <v>355</v>
      </c>
      <c r="E54" s="164" t="s">
        <v>154</v>
      </c>
      <c r="F54" s="164"/>
    </row>
    <row r="55" spans="2:6" x14ac:dyDescent="0.35">
      <c r="B55" s="156" t="s">
        <v>138</v>
      </c>
      <c r="C55" s="171">
        <f>C46</f>
        <v>15</v>
      </c>
      <c r="D55" s="168"/>
      <c r="E55" s="339"/>
      <c r="F55" s="339"/>
    </row>
    <row r="56" spans="2:6" x14ac:dyDescent="0.35">
      <c r="B56" s="122" t="s">
        <v>139</v>
      </c>
      <c r="C56" s="169">
        <v>0.05</v>
      </c>
      <c r="D56" s="169"/>
      <c r="E56" s="339"/>
      <c r="F56" s="339"/>
    </row>
    <row r="57" spans="2:6" x14ac:dyDescent="0.35">
      <c r="B57" s="103" t="s">
        <v>118</v>
      </c>
      <c r="C57" s="165">
        <f>Valuation_Model!E74</f>
        <v>12.272278419093899</v>
      </c>
      <c r="D57" t="str">
        <f>Market_currency</f>
        <v>HKD</v>
      </c>
      <c r="E57" s="339"/>
      <c r="F57" s="339"/>
    </row>
    <row r="58" spans="2:6" x14ac:dyDescent="0.35">
      <c r="B58" s="103" t="s">
        <v>152</v>
      </c>
      <c r="C58" s="170">
        <v>0.05</v>
      </c>
      <c r="D58" s="170"/>
      <c r="E58" s="339"/>
      <c r="F58" s="339"/>
    </row>
    <row r="60" spans="2:6" ht="13.15" x14ac:dyDescent="0.4">
      <c r="B60" s="103" t="s">
        <v>125</v>
      </c>
      <c r="C60" s="159">
        <f>C51*C52+C57*C58+C42*(1-C52-C58)</f>
        <v>10.706994878679808</v>
      </c>
      <c r="D60" t="str">
        <f>Market_currency</f>
        <v>HKD</v>
      </c>
      <c r="E60" s="103" t="s">
        <v>330</v>
      </c>
      <c r="F60" s="322">
        <f>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-8.7951517171891095E-3</v>
      </c>
      <c r="D65" s="155"/>
      <c r="E65" s="289" t="s">
        <v>350</v>
      </c>
    </row>
    <row r="66" spans="2:6" x14ac:dyDescent="0.35">
      <c r="B66" s="103" t="s">
        <v>107</v>
      </c>
      <c r="C66" s="165">
        <f>Valuation_Model!C18</f>
        <v>10.708213341286156</v>
      </c>
      <c r="D66" s="165" t="str">
        <f>Market_currency</f>
        <v>HKD</v>
      </c>
      <c r="E66" s="289" t="s">
        <v>351</v>
      </c>
    </row>
    <row r="68" spans="2:6" ht="13.15" x14ac:dyDescent="0.4">
      <c r="B68" s="112" t="s">
        <v>325</v>
      </c>
      <c r="E68" s="290" t="s">
        <v>352</v>
      </c>
    </row>
    <row r="69" spans="2:6" x14ac:dyDescent="0.35">
      <c r="B69" s="103" t="s">
        <v>339</v>
      </c>
      <c r="C69" s="281" t="str">
        <f>IF(C60&lt;C22,"Y","N")</f>
        <v>Y</v>
      </c>
      <c r="E69" s="138"/>
    </row>
    <row r="70" spans="2:6" x14ac:dyDescent="0.35">
      <c r="B70" s="103" t="s">
        <v>327</v>
      </c>
      <c r="C70" s="281" t="str">
        <f>IF(C69="Y","N",IF(C65&gt;8%,"N","Y"))</f>
        <v>N</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57%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F60</f>
        <v>3</v>
      </c>
      <c r="D76" s="138"/>
    </row>
    <row r="77" spans="2:6" x14ac:dyDescent="0.35">
      <c r="B77" s="103" t="s">
        <v>116</v>
      </c>
      <c r="C77" s="178">
        <f>Normalized_FCF!C89</f>
        <v>0.57999999999999996</v>
      </c>
      <c r="D77" t="str">
        <f>Market_currency</f>
        <v>HKD</v>
      </c>
    </row>
    <row r="79" spans="2:6" ht="13.15" x14ac:dyDescent="0.4">
      <c r="B79" s="112" t="s">
        <v>335</v>
      </c>
    </row>
    <row r="80" spans="2:6" x14ac:dyDescent="0.35">
      <c r="B80" s="152" t="s">
        <v>333</v>
      </c>
      <c r="C80" s="172">
        <f>Thesis!C117</f>
        <v>0.2</v>
      </c>
    </row>
    <row r="81" spans="2:8" x14ac:dyDescent="0.35">
      <c r="B81" s="103" t="s">
        <v>126</v>
      </c>
      <c r="C81" s="120">
        <f>PV(C80, C76, -C77, 0)</f>
        <v>1.2217592592592592</v>
      </c>
      <c r="D81" s="120"/>
      <c r="E81" s="103"/>
      <c r="F81" s="103"/>
    </row>
    <row r="82" spans="2:8" x14ac:dyDescent="0.35">
      <c r="B82" s="103" t="s">
        <v>127</v>
      </c>
      <c r="C82" s="120">
        <f>C60/(1+C80)^C76</f>
        <v>6.1961775918285928</v>
      </c>
      <c r="D82" s="120"/>
    </row>
    <row r="83" spans="2:8" ht="13.15" x14ac:dyDescent="0.4">
      <c r="B83" s="114" t="s">
        <v>106</v>
      </c>
      <c r="C83" s="115">
        <f>C81+C82</f>
        <v>7.4179368510878518</v>
      </c>
      <c r="D83" t="str">
        <f>Market_currency</f>
        <v>HKD</v>
      </c>
      <c r="E83" s="150" t="s">
        <v>131</v>
      </c>
      <c r="F83" s="270">
        <f>(C83/C60-1)</f>
        <v>-0.30718778376753109</v>
      </c>
    </row>
    <row r="84" spans="2:8" x14ac:dyDescent="0.35">
      <c r="E84" s="124"/>
    </row>
    <row r="85" spans="2:8" ht="13.15" x14ac:dyDescent="0.4">
      <c r="B85" s="112" t="s">
        <v>336</v>
      </c>
    </row>
    <row r="86" spans="2:8" x14ac:dyDescent="0.35">
      <c r="B86" s="152" t="s">
        <v>334</v>
      </c>
      <c r="C86" s="274">
        <f>Market_Price</f>
        <v>7.9</v>
      </c>
      <c r="D86" t="str">
        <f>Market_currency</f>
        <v>HKD</v>
      </c>
    </row>
    <row r="87" spans="2:8" ht="13.15" x14ac:dyDescent="0.4">
      <c r="B87" s="103" t="s">
        <v>332</v>
      </c>
      <c r="C87" s="273">
        <f ca="1">IRR(OFFSET($I$3, 0, 0, $C$76 + 1, 1))</f>
        <v>0.17349059186547722</v>
      </c>
    </row>
    <row r="88" spans="2:8" x14ac:dyDescent="0.35">
      <c r="B88" s="103"/>
    </row>
    <row r="89" spans="2:8" ht="14.65" x14ac:dyDescent="0.5">
      <c r="E89" s="331" t="s">
        <v>367</v>
      </c>
      <c r="F89" s="328"/>
      <c r="G89" s="2"/>
      <c r="H89" s="327"/>
    </row>
    <row r="90" spans="2:8" ht="13.9" x14ac:dyDescent="0.45">
      <c r="E90" s="324" t="s">
        <v>368</v>
      </c>
      <c r="F90" s="329" t="s">
        <v>369</v>
      </c>
      <c r="G90" s="2"/>
      <c r="H90" s="327"/>
    </row>
    <row r="91" spans="2:8" ht="13.9" x14ac:dyDescent="0.45">
      <c r="E91" s="325" t="s">
        <v>368</v>
      </c>
      <c r="F91" s="329" t="s">
        <v>370</v>
      </c>
      <c r="G91" s="2"/>
      <c r="H91" s="327"/>
    </row>
    <row r="92" spans="2:8" ht="13.9" x14ac:dyDescent="0.45">
      <c r="E92" s="326" t="s">
        <v>368</v>
      </c>
      <c r="F92" s="330" t="s">
        <v>371</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2025-03-22T06:17:10Z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