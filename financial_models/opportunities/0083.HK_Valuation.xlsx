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FCAA11D-7024-4A74-A7A1-1E8F74F89D8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48" i="2"/>
  <c r="Q50" i="2"/>
  <c r="O19" i="2"/>
  <c r="O50" i="2"/>
  <c r="O48" i="2"/>
  <c r="L19" i="2"/>
  <c r="L50" i="2"/>
  <c r="L12" i="2" s="1"/>
  <c r="L80" i="2" s="1"/>
  <c r="L48" i="2"/>
  <c r="M19" i="2"/>
  <c r="M50" i="2"/>
  <c r="M48"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J48" i="2"/>
  <c r="J50" i="2" s="1"/>
  <c r="J12" i="2" s="1"/>
  <c r="H48" i="2"/>
  <c r="H50" i="2" s="1"/>
  <c r="H12" i="2" s="1"/>
  <c r="G48" i="2"/>
  <c r="G50" i="2" s="1"/>
  <c r="G12" i="2" s="1"/>
  <c r="I48" i="2"/>
  <c r="I50" i="2" s="1"/>
  <c r="I12" i="2" s="1"/>
  <c r="K48" i="2"/>
  <c r="K50" i="2" s="1"/>
  <c r="K12" i="2" s="1"/>
  <c r="C90" i="6"/>
  <c r="C91" i="6" s="1"/>
  <c r="C87" i="3"/>
  <c r="D87" i="3" s="1"/>
  <c r="C15" i="2"/>
  <c r="G1" i="2"/>
  <c r="I80" i="2" l="1"/>
  <c r="I43" i="2"/>
  <c r="H80" i="2"/>
  <c r="H43" i="2"/>
  <c r="K80" i="2"/>
  <c r="K43" i="2"/>
  <c r="J80" i="2"/>
  <c r="J43" i="2"/>
  <c r="G80" i="2"/>
  <c r="G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<sst xmlns="http://schemas.openxmlformats.org/spreadsheetml/2006/main" count="561" uniqueCount="392">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</sst>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22"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349</v>
      </c>
      <c r="F1" s="293" t="s">
        <v>351</v>
      </c>
    </row>
    <row r="2" spans="1:10" ht="13.9" x14ac:dyDescent="0.45">
      <c r="A2" s="254" t="s">
        <v>281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348</v>
      </c>
      <c r="C5" s="48" t="s">
        <v>371</v>
      </c>
      <c r="D5" s="49" t="s">
        <v>372</v>
      </c>
    </row>
    <row r="6" spans="1:10" x14ac:dyDescent="0.35">
      <c r="B6" s="4" t="s">
        <v>99</v>
      </c>
      <c r="C6" s="50">
        <v>7.79</v>
      </c>
      <c r="D6" s="48" t="s">
        <v>43</v>
      </c>
      <c r="E6" s="48"/>
    </row>
    <row r="7" spans="1:10" x14ac:dyDescent="0.35">
      <c r="B7" s="4" t="s">
        <v>0</v>
      </c>
      <c r="C7" s="51">
        <v>8171879936</v>
      </c>
      <c r="D7" s="34"/>
      <c r="E7" s="34"/>
    </row>
    <row r="8" spans="1:10" x14ac:dyDescent="0.35">
      <c r="B8" s="2" t="s">
        <v>337</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63658.944701439999</v>
      </c>
      <c r="D10" s="32"/>
      <c r="E10" s="5"/>
    </row>
    <row r="11" spans="1:10" x14ac:dyDescent="0.35">
      <c r="D11" s="5"/>
      <c r="E11" s="5"/>
    </row>
    <row r="12" spans="1:10" ht="24.4" customHeight="1" x14ac:dyDescent="0.35">
      <c r="B12" s="340" t="s">
        <v>286</v>
      </c>
      <c r="C12" s="340"/>
      <c r="D12" s="340"/>
      <c r="E12" s="340"/>
      <c r="F12" s="340"/>
    </row>
    <row r="14" spans="1:10" x14ac:dyDescent="0.35">
      <c r="B14" s="45" t="s">
        <v>336</v>
      </c>
      <c r="C14" s="46"/>
      <c r="D14" s="5"/>
    </row>
    <row r="15" spans="1:10" x14ac:dyDescent="0.35">
      <c r="B15" s="2" t="s">
        <v>335</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352</v>
      </c>
      <c r="E18" s="5"/>
    </row>
    <row r="19" spans="1:6" x14ac:dyDescent="0.35">
      <c r="B19" s="2" t="s">
        <v>293</v>
      </c>
      <c r="C19" s="256">
        <v>0.2</v>
      </c>
      <c r="E19" s="5"/>
    </row>
    <row r="20" spans="1:6" x14ac:dyDescent="0.35">
      <c r="B20" s="2" t="str">
        <f>"Target Buy Price ("&amp;Market_currency&amp;"):"</f>
        <v>Target Buy Price (HKD):</v>
      </c>
      <c r="C20" s="259">
        <f>C127</f>
        <v>6.4501768017717804</v>
      </c>
      <c r="D20" s="1" t="s">
        <v>339</v>
      </c>
      <c r="E20" s="322">
        <v>3</v>
      </c>
    </row>
    <row r="21" spans="1:6" x14ac:dyDescent="0.35">
      <c r="B21" s="1" t="s">
        <v>338</v>
      </c>
      <c r="C21" s="288">
        <f ca="1">Scenarios!C87</f>
        <v>0.12172735692567005</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381</v>
      </c>
      <c r="C26" s="344"/>
      <c r="D26" s="344"/>
      <c r="E26" s="344"/>
      <c r="F26" s="344"/>
    </row>
    <row r="28" spans="1:6" x14ac:dyDescent="0.35">
      <c r="B28" s="241" t="s">
        <v>237</v>
      </c>
      <c r="C28" s="111">
        <f>Data!C3</f>
        <v>1000000</v>
      </c>
    </row>
    <row r="29" spans="1:6" ht="24.4" customHeight="1" x14ac:dyDescent="0.35">
      <c r="B29" s="342" t="s">
        <v>238</v>
      </c>
      <c r="C29" s="342"/>
      <c r="D29" s="342"/>
      <c r="E29" s="342"/>
      <c r="F29" s="34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42" t="s">
        <v>243</v>
      </c>
      <c r="C36" s="342"/>
      <c r="D36" s="342"/>
      <c r="E36" s="342"/>
      <c r="F36" s="342"/>
    </row>
    <row r="37" spans="2:6" x14ac:dyDescent="0.35">
      <c r="B37" s="47" t="s">
        <v>244</v>
      </c>
      <c r="C37" s="192">
        <f>Normalized_FCF!C11</f>
        <v>639</v>
      </c>
      <c r="D37" s="1" t="str">
        <f>Reporting_currency</f>
        <v>HKD</v>
      </c>
    </row>
    <row r="39" spans="2:6" x14ac:dyDescent="0.35">
      <c r="B39" s="342" t="s">
        <v>247</v>
      </c>
      <c r="C39" s="342"/>
      <c r="D39" s="342"/>
      <c r="E39" s="342"/>
      <c r="F39" s="342"/>
    </row>
    <row r="40" spans="2:6" x14ac:dyDescent="0.35">
      <c r="B40" s="47" t="s">
        <v>382</v>
      </c>
      <c r="C40" s="332">
        <f>Normalized_FCF!C48</f>
        <v>185.19539222287685</v>
      </c>
      <c r="D40" s="1" t="str">
        <f>Reporting_currency</f>
        <v>HKD</v>
      </c>
      <c r="E40" s="331"/>
      <c r="F40" s="331"/>
    </row>
    <row r="41" spans="2:6" x14ac:dyDescent="0.35">
      <c r="B41" s="47" t="s">
        <v>383</v>
      </c>
      <c r="C41" s="332">
        <f>Normalized_FCF!C47</f>
        <v>-43</v>
      </c>
      <c r="D41" s="1" t="str">
        <f>Reporting_currency</f>
        <v>HKD</v>
      </c>
      <c r="E41" s="331"/>
      <c r="F41" s="331"/>
    </row>
    <row r="42" spans="2:6" x14ac:dyDescent="0.35">
      <c r="B42" s="47" t="s">
        <v>245</v>
      </c>
      <c r="C42" s="192">
        <f>Normalized_FCF!C12</f>
        <v>142.19539222287685</v>
      </c>
      <c r="D42" s="1" t="str">
        <f>Reporting_currency</f>
        <v>HKD</v>
      </c>
    </row>
    <row r="44" spans="2:6" x14ac:dyDescent="0.35">
      <c r="B44" s="1" t="s">
        <v>253</v>
      </c>
    </row>
    <row r="45" spans="2:6" x14ac:dyDescent="0.35">
      <c r="B45" s="47" t="s">
        <v>279</v>
      </c>
      <c r="C45" s="192">
        <f>Normalized_FCF!C15</f>
        <v>-22.869707937042335</v>
      </c>
      <c r="D45" s="1" t="str">
        <f>Reporting_currency</f>
        <v>HKD</v>
      </c>
    </row>
    <row r="47" spans="2:6" x14ac:dyDescent="0.35">
      <c r="B47" s="342" t="s">
        <v>248</v>
      </c>
      <c r="C47" s="342"/>
      <c r="D47" s="342"/>
      <c r="E47" s="342"/>
      <c r="F47" s="342"/>
    </row>
    <row r="48" spans="2:6" x14ac:dyDescent="0.35">
      <c r="B48" s="47" t="s">
        <v>246</v>
      </c>
      <c r="C48" s="192">
        <f>Normalized_FCF!C14</f>
        <v>-809.52375635047554</v>
      </c>
      <c r="D48" s="1" t="str">
        <f>Reporting_currency</f>
        <v>HKD</v>
      </c>
    </row>
    <row r="50" spans="1:6" x14ac:dyDescent="0.35">
      <c r="B50" s="342" t="s">
        <v>380</v>
      </c>
      <c r="C50" s="343"/>
      <c r="D50" s="343"/>
      <c r="E50" s="343"/>
      <c r="F50" s="343"/>
    </row>
    <row r="51" spans="1:6" x14ac:dyDescent="0.35">
      <c r="B51" s="47" t="s">
        <v>249</v>
      </c>
      <c r="C51" s="1">
        <f>Normalized_FCF!C17</f>
        <v>0</v>
      </c>
      <c r="D51" s="1" t="str">
        <f>Reporting_currency</f>
        <v>HKD</v>
      </c>
    </row>
    <row r="53" spans="1:6" ht="24.4" customHeight="1" x14ac:dyDescent="0.35">
      <c r="B53" s="340" t="s">
        <v>385</v>
      </c>
      <c r="C53" s="340"/>
      <c r="D53" s="340"/>
      <c r="E53" s="340"/>
      <c r="F53" s="340"/>
    </row>
    <row r="54" spans="1:6" ht="24.4" customHeight="1" x14ac:dyDescent="0.35">
      <c r="B54" s="340" t="s">
        <v>268</v>
      </c>
      <c r="C54" s="340"/>
      <c r="D54" s="340"/>
      <c r="E54" s="340"/>
      <c r="F54" s="340"/>
    </row>
    <row r="56" spans="1:6" x14ac:dyDescent="0.35">
      <c r="B56" s="47" t="s">
        <v>285</v>
      </c>
      <c r="C56" s="192">
        <f>Normalized_FCF!G19</f>
        <v>2807.968614974819</v>
      </c>
      <c r="D56" s="1" t="str">
        <f>Reporting_currency</f>
        <v>HKD</v>
      </c>
    </row>
    <row r="57" spans="1:6" x14ac:dyDescent="0.35">
      <c r="B57" s="47" t="s">
        <v>255</v>
      </c>
      <c r="C57" s="192">
        <f>Normalized_FCF!C19</f>
        <v>2540.6221871727971</v>
      </c>
      <c r="D57" s="1" t="str">
        <f>Reporting_currency</f>
        <v>HKD</v>
      </c>
    </row>
    <row r="58" spans="1:6" x14ac:dyDescent="0.35">
      <c r="B58" s="261" t="s">
        <v>284</v>
      </c>
      <c r="C58" s="94">
        <f>Normalized_FCF!C121</f>
        <v>3.9909901100125003E-2</v>
      </c>
    </row>
    <row r="59" spans="1:6" x14ac:dyDescent="0.35">
      <c r="B59" s="261" t="s">
        <v>340</v>
      </c>
      <c r="C59" s="94">
        <f>Normalized_FCF!C93</f>
        <v>7.4454428754813853E-2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308</v>
      </c>
      <c r="C67" s="320">
        <v>0.08</v>
      </c>
    </row>
    <row r="68" spans="1:6" x14ac:dyDescent="0.35">
      <c r="B68" s="1" t="s">
        <v>310</v>
      </c>
      <c r="C68" s="271">
        <f>IF(D68="Y",1%,0)</f>
        <v>0.01</v>
      </c>
      <c r="D68" s="295" t="s">
        <v>307</v>
      </c>
    </row>
    <row r="69" spans="1:6" x14ac:dyDescent="0.35">
      <c r="B69" s="1" t="s">
        <v>309</v>
      </c>
      <c r="C69" s="271">
        <f>IF(D69="Y",1%,0)</f>
        <v>0</v>
      </c>
      <c r="D69" s="295" t="s">
        <v>357</v>
      </c>
    </row>
    <row r="70" spans="1:6" x14ac:dyDescent="0.35">
      <c r="B70" s="82" t="s">
        <v>254</v>
      </c>
      <c r="C70" s="271">
        <f>SUM(C67:C69)</f>
        <v>0.09</v>
      </c>
    </row>
    <row r="71" spans="1:6" x14ac:dyDescent="0.35">
      <c r="C71" s="125"/>
    </row>
    <row r="72" spans="1:6" x14ac:dyDescent="0.35">
      <c r="B72" s="340" t="s">
        <v>386</v>
      </c>
      <c r="C72" s="340"/>
      <c r="D72" s="340"/>
      <c r="E72" s="340"/>
      <c r="F72" s="340"/>
    </row>
    <row r="73" spans="1:6" ht="24.4" customHeight="1" x14ac:dyDescent="0.35">
      <c r="B73" s="340" t="s">
        <v>387</v>
      </c>
      <c r="C73" s="340"/>
      <c r="D73" s="340"/>
      <c r="E73" s="340"/>
      <c r="F73" s="340"/>
    </row>
    <row r="75" spans="1:6" x14ac:dyDescent="0.35">
      <c r="B75" s="47" t="s">
        <v>258</v>
      </c>
      <c r="C75" s="271">
        <v>0</v>
      </c>
    </row>
    <row r="76" spans="1:6" x14ac:dyDescent="0.35">
      <c r="B76" s="47" t="s">
        <v>301</v>
      </c>
      <c r="C76" s="255">
        <f>Valuation_Model!C6*C28*Exchange_Rate/Common_Shares</f>
        <v>3.4544236618885975</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388</v>
      </c>
      <c r="C84" s="340"/>
      <c r="D84" s="340"/>
      <c r="E84" s="340"/>
      <c r="F84" s="340"/>
    </row>
    <row r="85" spans="2:6" x14ac:dyDescent="0.35">
      <c r="B85" s="47" t="s">
        <v>264</v>
      </c>
      <c r="C85" s="192">
        <f>Valuation_Model!C7</f>
        <v>3093</v>
      </c>
      <c r="D85" s="1" t="str">
        <f>Reporting_currency</f>
        <v>HKD</v>
      </c>
    </row>
    <row r="86" spans="2:6" x14ac:dyDescent="0.35">
      <c r="B86" s="47" t="s">
        <v>304</v>
      </c>
      <c r="C86" s="255">
        <f>C85*C28*Exchange_Rate/Common_Shares</f>
        <v>0.37849307922088393</v>
      </c>
      <c r="D86" s="1" t="str">
        <f>Market_currency</f>
        <v>HKD</v>
      </c>
    </row>
    <row r="88" spans="2:6" x14ac:dyDescent="0.35">
      <c r="B88" s="1" t="s">
        <v>263</v>
      </c>
    </row>
    <row r="89" spans="2:6" x14ac:dyDescent="0.35">
      <c r="B89" s="47" t="s">
        <v>278</v>
      </c>
      <c r="C89" s="192">
        <f>BS!C66</f>
        <v>47679</v>
      </c>
      <c r="D89" s="1" t="str">
        <f>Reporting_currency</f>
        <v>HKD</v>
      </c>
    </row>
    <row r="90" spans="2:6" x14ac:dyDescent="0.35">
      <c r="B90" s="47" t="s">
        <v>280</v>
      </c>
      <c r="C90" s="192">
        <f>Valuation_Model!C8</f>
        <v>41505.820259237436</v>
      </c>
      <c r="D90" s="1" t="str">
        <f>Reporting_currency</f>
        <v>HKD</v>
      </c>
    </row>
    <row r="91" spans="2:6" x14ac:dyDescent="0.35">
      <c r="B91" s="47" t="s">
        <v>305</v>
      </c>
      <c r="C91" s="255">
        <f>C90*C28*Exchange_Rate/Common_Shares</f>
        <v>5.0791030441342784</v>
      </c>
      <c r="D91" s="1" t="str">
        <f>Market_currency</f>
        <v>HKD</v>
      </c>
    </row>
    <row r="93" spans="2:6" x14ac:dyDescent="0.35">
      <c r="B93" s="1" t="s">
        <v>265</v>
      </c>
    </row>
    <row r="94" spans="2:6" x14ac:dyDescent="0.35">
      <c r="B94" s="47" t="s">
        <v>266</v>
      </c>
      <c r="C94" s="192">
        <f>Valuation_Model!C9</f>
        <v>7814.4</v>
      </c>
      <c r="D94" s="1" t="str">
        <f>Reporting_currency</f>
        <v>HKD</v>
      </c>
    </row>
    <row r="95" spans="2:6" x14ac:dyDescent="0.35">
      <c r="B95" s="47" t="s">
        <v>306</v>
      </c>
      <c r="C95" s="255">
        <f>C94*C28*Exchange_Rate/Common_Shares</f>
        <v>0.95625487173090062</v>
      </c>
      <c r="D95" s="1" t="str">
        <f>Market_currency</f>
        <v>HKD</v>
      </c>
    </row>
    <row r="97" spans="1:6" ht="24.4" customHeight="1" x14ac:dyDescent="0.35">
      <c r="B97" s="340" t="s">
        <v>267</v>
      </c>
      <c r="C97" s="340"/>
      <c r="D97" s="340"/>
      <c r="E97" s="340"/>
      <c r="F97" s="340"/>
    </row>
    <row r="99" spans="1:6" x14ac:dyDescent="0.35">
      <c r="B99" s="47" t="s">
        <v>300</v>
      </c>
      <c r="C99" s="255">
        <f>Valuation_Model!C12</f>
        <v>9.111288498532895</v>
      </c>
      <c r="D99" s="1" t="str">
        <f>Market_currency</f>
        <v>HKD</v>
      </c>
    </row>
    <row r="101" spans="1:6" ht="13.9" x14ac:dyDescent="0.45">
      <c r="A101" s="254" t="s">
        <v>277</v>
      </c>
      <c r="B101" s="36"/>
      <c r="C101" s="36"/>
      <c r="D101" s="36"/>
      <c r="E101" s="36"/>
      <c r="F101" s="36"/>
    </row>
    <row r="103" spans="1:6" ht="24.4" customHeight="1" x14ac:dyDescent="0.35">
      <c r="B103" s="342" t="s">
        <v>369</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0.05</v>
      </c>
      <c r="D106" s="264">
        <f>Valuation_Model!D74</f>
        <v>15</v>
      </c>
      <c r="E106" s="265" t="str">
        <f>ROUND(Valuation_Model!E74,2)&amp;" "&amp;Market_currency</f>
        <v>10.16 HKD</v>
      </c>
      <c r="F106" s="266">
        <f>Valuation_Model!F74</f>
        <v>0.05</v>
      </c>
    </row>
    <row r="107" spans="1:6" x14ac:dyDescent="0.35">
      <c r="B107" s="249" t="str">
        <f>Valuation_Model!B75</f>
        <v>Optimistic</v>
      </c>
      <c r="C107" s="250">
        <f>Valuation_Model!C75</f>
        <v>0.02</v>
      </c>
      <c r="D107" s="251">
        <f>Valuation_Model!D75</f>
        <v>10</v>
      </c>
      <c r="E107" s="252" t="str">
        <f>ROUND(Valuation_Model!E75,2)&amp;" "&amp;Market_currency</f>
        <v>9.34 HKD</v>
      </c>
      <c r="F107" s="253">
        <f>Valuation_Model!F75</f>
        <v>0.22499999999999992</v>
      </c>
    </row>
    <row r="108" spans="1:6" x14ac:dyDescent="0.35">
      <c r="B108" s="249" t="str">
        <f>Valuation_Model!B76</f>
        <v>Base</v>
      </c>
      <c r="C108" s="250">
        <f>Valuation_Model!C76</f>
        <v>0</v>
      </c>
      <c r="D108" s="251">
        <f>Valuation_Model!D76</f>
        <v>10</v>
      </c>
      <c r="E108" s="252" t="str">
        <f>ROUND(Valuation_Model!E76,2)&amp;" "&amp;Market_currency</f>
        <v>9.11 HKD</v>
      </c>
      <c r="F108" s="253">
        <f>Valuation_Model!F76</f>
        <v>0.495</v>
      </c>
    </row>
    <row r="109" spans="1:6" x14ac:dyDescent="0.35">
      <c r="B109" s="249" t="str">
        <f>Valuation_Model!B77</f>
        <v>Pessimistic</v>
      </c>
      <c r="C109" s="250">
        <f>Valuation_Model!C77</f>
        <v>-0.05</v>
      </c>
      <c r="D109" s="251">
        <f>Valuation_Model!D77</f>
        <v>10</v>
      </c>
      <c r="E109" s="252" t="str">
        <f>ROUND(Valuation_Model!E77,2)&amp;" "&amp;Market_currency</f>
        <v>8.62 HKD</v>
      </c>
      <c r="F109" s="253">
        <f>Valuation_Model!F77</f>
        <v>0.18</v>
      </c>
    </row>
    <row r="110" spans="1:6" x14ac:dyDescent="0.35">
      <c r="B110" s="249" t="str">
        <f>Valuation_Model!B78</f>
        <v>Devil's advocate</v>
      </c>
      <c r="C110" s="250">
        <f>Valuation_Model!C78</f>
        <v>-0.2</v>
      </c>
      <c r="D110" s="251">
        <f>Valuation_Model!D78</f>
        <v>15</v>
      </c>
      <c r="E110" s="252" t="str">
        <f>ROUND(Valuation_Model!E78,2)&amp;" "&amp;Market_currency</f>
        <v>7.26 HKD</v>
      </c>
      <c r="F110" s="253">
        <f>Valuation_Model!F78</f>
        <v>0.05</v>
      </c>
    </row>
    <row r="112" spans="1:6" x14ac:dyDescent="0.35">
      <c r="B112" s="242" t="s">
        <v>269</v>
      </c>
      <c r="C112" s="248">
        <f>Scenarios!C60</f>
        <v>9.0347055134616365</v>
      </c>
      <c r="D112" s="243" t="str">
        <f>Market_currency</f>
        <v>HKD</v>
      </c>
    </row>
    <row r="114" spans="1:6" ht="24.4" customHeight="1" x14ac:dyDescent="0.35">
      <c r="B114" s="345" t="s">
        <v>370</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0.57999999999999996</v>
      </c>
      <c r="D122" s="243" t="str">
        <f>Market_currency</f>
        <v>HKD</v>
      </c>
    </row>
    <row r="124" spans="1:6" x14ac:dyDescent="0.35">
      <c r="B124" s="241" t="s">
        <v>274</v>
      </c>
    </row>
    <row r="125" spans="1:6" x14ac:dyDescent="0.35">
      <c r="B125" s="243" t="str">
        <f>"PV("&amp;C120&amp;" yrs of Dividends)"</f>
        <v>PV(3 yrs of Dividends)</v>
      </c>
      <c r="C125" s="247">
        <f>Scenarios!C81</f>
        <v>1.2217592592592592</v>
      </c>
    </row>
    <row r="126" spans="1:6" x14ac:dyDescent="0.35">
      <c r="B126" s="243" t="str">
        <f>"+ PV(Equity Value realized at year "&amp;C120&amp;")"</f>
        <v>+ PV(Equity Value realized at year 3)</v>
      </c>
      <c r="C126" s="247">
        <f>Scenarios!C82</f>
        <v>5.2284175425125214</v>
      </c>
    </row>
    <row r="127" spans="1:6" x14ac:dyDescent="0.35">
      <c r="B127" s="82" t="s">
        <v>271</v>
      </c>
      <c r="C127" s="246">
        <f>Scenarios!C83</f>
        <v>6.4501768017717804</v>
      </c>
      <c r="D127" s="47" t="str">
        <f>Reporting_currency</f>
        <v>HKD</v>
      </c>
    </row>
    <row r="128" spans="1:6" x14ac:dyDescent="0.35">
      <c r="B128" s="245" t="s">
        <v>273</v>
      </c>
      <c r="C128" s="158">
        <f>Scenarios!F83</f>
        <v>-0.28606673541699057</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3">
        <v>0.6</v>
      </c>
      <c r="E4" s="25"/>
      <c r="F4" s="4" t="s">
        <v>82</v>
      </c>
      <c r="G4" s="19">
        <v>45665</v>
      </c>
      <c r="H4" s="303">
        <v>0.9</v>
      </c>
    </row>
    <row r="5" spans="2:8" ht="15" customHeight="1" x14ac:dyDescent="0.35">
      <c r="B5" s="1" t="s">
        <v>34</v>
      </c>
      <c r="C5" s="19">
        <v>0</v>
      </c>
      <c r="D5" s="303">
        <v>0.6</v>
      </c>
      <c r="E5" s="25"/>
      <c r="F5" s="1" t="s">
        <v>30</v>
      </c>
      <c r="G5" s="19">
        <v>2014</v>
      </c>
      <c r="H5" s="303">
        <v>0.7</v>
      </c>
    </row>
    <row r="6" spans="2:8" ht="15" customHeight="1" x14ac:dyDescent="0.35">
      <c r="B6" s="4" t="s">
        <v>11</v>
      </c>
      <c r="C6" s="19">
        <v>9844</v>
      </c>
      <c r="D6" s="303">
        <v>0.5</v>
      </c>
      <c r="E6" s="25"/>
      <c r="F6" s="4" t="s">
        <v>182</v>
      </c>
      <c r="G6" s="19">
        <v>156</v>
      </c>
      <c r="H6" s="303">
        <v>0.6</v>
      </c>
    </row>
    <row r="7" spans="2:8" ht="15" customHeight="1" x14ac:dyDescent="0.35">
      <c r="B7" s="1" t="s">
        <v>73</v>
      </c>
      <c r="C7" s="19">
        <v>5466</v>
      </c>
      <c r="D7" s="303">
        <v>0.6</v>
      </c>
      <c r="E7" s="25"/>
      <c r="F7" s="4" t="s">
        <v>183</v>
      </c>
      <c r="G7" s="19">
        <v>0</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0</v>
      </c>
      <c r="D9" s="303">
        <v>0.1</v>
      </c>
      <c r="E9" s="25"/>
      <c r="F9" s="4" t="s">
        <v>185</v>
      </c>
      <c r="G9" s="19">
        <v>0</v>
      </c>
      <c r="H9" s="303">
        <v>0.6</v>
      </c>
    </row>
    <row r="10" spans="2:8" ht="15" customHeight="1" x14ac:dyDescent="0.35">
      <c r="B10" s="4" t="s">
        <v>12</v>
      </c>
      <c r="C10" s="19">
        <v>10</v>
      </c>
      <c r="D10" s="303">
        <v>0.9</v>
      </c>
      <c r="H10" s="304"/>
    </row>
    <row r="11" spans="2:8" ht="15" customHeight="1" x14ac:dyDescent="0.35">
      <c r="B11" s="4" t="s">
        <v>13</v>
      </c>
      <c r="C11" s="19">
        <v>0</v>
      </c>
      <c r="D11" s="303">
        <v>0.05</v>
      </c>
      <c r="H11" s="304"/>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3">
        <v>0.4</v>
      </c>
      <c r="F15" s="4" t="s">
        <v>83</v>
      </c>
      <c r="G15" s="19">
        <v>0</v>
      </c>
      <c r="H15" s="303">
        <v>0.8</v>
      </c>
    </row>
    <row r="16" spans="2:8" ht="15" customHeight="1" x14ac:dyDescent="0.35">
      <c r="B16" s="1" t="s">
        <v>35</v>
      </c>
      <c r="C16" s="19">
        <v>0</v>
      </c>
      <c r="D16" s="303">
        <v>0.5</v>
      </c>
      <c r="F16" s="4" t="s">
        <v>182</v>
      </c>
      <c r="G16" s="19">
        <v>1373</v>
      </c>
      <c r="H16" s="303">
        <v>0.6</v>
      </c>
    </row>
    <row r="17" spans="2:8" ht="15" customHeight="1" x14ac:dyDescent="0.35">
      <c r="B17" s="1" t="s">
        <v>73</v>
      </c>
      <c r="C17" s="19">
        <v>67668</v>
      </c>
      <c r="D17" s="303">
        <v>0.6</v>
      </c>
      <c r="F17" s="4" t="s">
        <v>183</v>
      </c>
      <c r="G17" s="19">
        <v>13024</v>
      </c>
      <c r="H17" s="303">
        <v>0.6</v>
      </c>
    </row>
    <row r="18" spans="2:8" ht="15" customHeight="1" x14ac:dyDescent="0.35">
      <c r="B18" s="4" t="s">
        <v>178</v>
      </c>
      <c r="C18" s="19">
        <v>0</v>
      </c>
      <c r="D18" s="303">
        <v>0.6</v>
      </c>
      <c r="F18" s="4" t="s">
        <v>186</v>
      </c>
      <c r="G18" s="19">
        <v>23696</v>
      </c>
      <c r="H18" s="303">
        <v>0.1</v>
      </c>
    </row>
    <row r="19" spans="2:8" ht="15" customHeight="1" x14ac:dyDescent="0.35">
      <c r="B19" s="4" t="s">
        <v>27</v>
      </c>
      <c r="C19" s="19">
        <v>1284</v>
      </c>
      <c r="D19" s="303">
        <v>0.1</v>
      </c>
      <c r="F19" s="4" t="s">
        <v>187</v>
      </c>
      <c r="G19" s="19">
        <v>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0</v>
      </c>
      <c r="D21" s="303">
        <v>0.05</v>
      </c>
      <c r="F21" s="1" t="s">
        <v>185</v>
      </c>
      <c r="G21" s="19">
        <v>0</v>
      </c>
      <c r="H21" s="303">
        <v>0.1</v>
      </c>
    </row>
    <row r="22" spans="2:8" ht="15" customHeight="1" x14ac:dyDescent="0.35">
      <c r="B22" s="4" t="s">
        <v>21</v>
      </c>
      <c r="C22" s="19">
        <v>10</v>
      </c>
      <c r="D22" s="303">
        <v>0.9</v>
      </c>
      <c r="H22" s="304"/>
    </row>
    <row r="23" spans="2:8" ht="15" customHeight="1" x14ac:dyDescent="0.35">
      <c r="B23" s="4" t="s">
        <v>22</v>
      </c>
      <c r="C23" s="19">
        <v>0</v>
      </c>
      <c r="D23" s="303">
        <v>0</v>
      </c>
      <c r="H23" s="304"/>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3.1154705020769802E-3</v>
      </c>
      <c r="D62" s="94">
        <f>G28/G29</f>
        <v>3.1154705020769802E-3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313</v>
      </c>
      <c r="F65" s="296" t="s">
        <v>63</v>
      </c>
    </row>
    <row r="66" spans="2:6" ht="15" customHeight="1" x14ac:dyDescent="0.35">
      <c r="B66" s="108" t="s">
        <v>192</v>
      </c>
      <c r="C66" s="20">
        <f>G4+G5+G15</f>
        <v>47679</v>
      </c>
      <c r="D66" s="192">
        <f>C66-D75</f>
        <v>41505.820259237436</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354</v>
      </c>
      <c r="C72" s="268" t="s">
        <v>100</v>
      </c>
      <c r="D72" s="210" t="s">
        <v>61</v>
      </c>
      <c r="F72" s="291"/>
    </row>
    <row r="73" spans="2:6" ht="15" customHeight="1" x14ac:dyDescent="0.35">
      <c r="B73" s="108" t="s">
        <v>353</v>
      </c>
      <c r="C73" s="192">
        <f>(Normalized_FCF!G25+Normalized_FCF!G35)/12</f>
        <v>-535.66666666666663</v>
      </c>
      <c r="D73" s="192">
        <f>(Normalized_FCF!C25+Normalized_FCF!C35)/12</f>
        <v>-514.43164506354685</v>
      </c>
    </row>
    <row r="74" spans="2:6" ht="15" customHeight="1" x14ac:dyDescent="0.35">
      <c r="B74" s="297" t="s">
        <v>359</v>
      </c>
      <c r="C74" s="298">
        <f>-$C$66/C73</f>
        <v>89.008711885500944</v>
      </c>
      <c r="D74" s="298">
        <f>-$C$66/D73</f>
        <v>92.682867505381196</v>
      </c>
      <c r="F74" s="291" t="s">
        <v>355</v>
      </c>
    </row>
    <row r="75" spans="2:6" ht="15" customHeight="1" x14ac:dyDescent="0.35">
      <c r="B75" s="82" t="s">
        <v>356</v>
      </c>
      <c r="C75" s="302"/>
      <c r="D75" s="301">
        <f>MAX(-D73*D76,G5)</f>
        <v>6173.1797407625618</v>
      </c>
      <c r="F75" s="291" t="s">
        <v>358</v>
      </c>
    </row>
    <row r="76" spans="2:6" ht="15" customHeight="1" x14ac:dyDescent="0.35">
      <c r="B76" s="299" t="s">
        <v>360</v>
      </c>
      <c r="C76" s="300"/>
      <c r="D76" s="337">
        <f>IF(D74&lt;=3,1,IF(D74&gt;12,IF(D74&gt;24,12,6),2))</f>
        <v>12</v>
      </c>
      <c r="F76" s="291" t="s">
        <v>361</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316</v>
      </c>
      <c r="C84" s="37"/>
      <c r="D84" s="37"/>
      <c r="E84" s="37"/>
      <c r="F84" s="37"/>
      <c r="G84" s="37"/>
      <c r="H84" s="37"/>
    </row>
    <row r="85" spans="2:8" ht="15" customHeight="1" x14ac:dyDescent="0.35">
      <c r="B85" s="16" t="s">
        <v>317</v>
      </c>
      <c r="D85" s="278" t="s">
        <v>318</v>
      </c>
    </row>
    <row r="86" spans="2:8" ht="15" customHeight="1" x14ac:dyDescent="0.35">
      <c r="B86" s="275" t="s">
        <v>314</v>
      </c>
      <c r="C86" s="192">
        <f>-Valuation_Model!C7*Exchange_Rate</f>
        <v>-3093</v>
      </c>
      <c r="D86" s="255">
        <f>C86*$H$1/Common_Shares</f>
        <v>-0.37849307922088393</v>
      </c>
      <c r="E86" s="277" t="str">
        <f>Market_currency</f>
        <v>HKD</v>
      </c>
    </row>
    <row r="87" spans="2:8" ht="15" customHeight="1" x14ac:dyDescent="0.35">
      <c r="B87" s="275" t="s">
        <v>315</v>
      </c>
      <c r="C87" s="192">
        <f>Valuation_Model!C8*Exchange_Rate</f>
        <v>41505.820259237436</v>
      </c>
      <c r="D87" s="255">
        <f>C87*$H$1/Common_Shares</f>
        <v>5.0791030441342784</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319</v>
      </c>
      <c r="C89" s="191">
        <f>SUM(C86:C88)</f>
        <v>46227.220259237438</v>
      </c>
      <c r="D89" s="279">
        <f>SUM(D86:D88)</f>
        <v>5.6568648366442948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1"/>
      <c r="F3" s="9"/>
      <c r="G3" s="9"/>
    </row>
    <row r="4" spans="1:17" ht="15.75" customHeight="1" x14ac:dyDescent="0.35">
      <c r="A4" s="10"/>
      <c r="B4" s="26" t="s">
        <v>3</v>
      </c>
      <c r="C4" s="197">
        <f>G4</f>
        <v>8765</v>
      </c>
      <c r="D4" s="57"/>
      <c r="E4" s="309"/>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1"/>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1"/>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1"/>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7"/>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1"/>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-159.99999999999997</v>
      </c>
      <c r="E10" s="311"/>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639</v>
      </c>
      <c r="D11" s="173"/>
      <c r="E11" s="310"/>
      <c r="F11" s="173"/>
      <c r="G11" s="190">
        <f>G61</f>
        <v>639</v>
      </c>
      <c r="H11" s="190">
        <f t="shared" ref="H11:Q11" si="5">H61</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142.19539222287685</v>
      </c>
      <c r="E12" s="311"/>
      <c r="G12" s="198">
        <f>G50</f>
        <v>259.96861497481899</v>
      </c>
      <c r="H12" s="198">
        <f t="shared" ref="H12:Q12" si="6">H50</f>
        <v>139.30261332735768</v>
      </c>
      <c r="I12" s="198">
        <f t="shared" si="6"/>
        <v>-5.5315111914213588</v>
      </c>
      <c r="J12" s="198">
        <f t="shared" si="6"/>
        <v>-7.6802090667184899</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3373.015651460315</v>
      </c>
      <c r="E13" s="311"/>
      <c r="G13" s="188">
        <f>IF(G$4="","",SUM(G8:G12))</f>
        <v>3326.968614974819</v>
      </c>
      <c r="H13" s="188">
        <f t="shared" ref="H13:Q13" si="7">IF(H$4="","",SUM(H8:H12))</f>
        <v>5416.3026133273579</v>
      </c>
      <c r="I13" s="188">
        <f t="shared" si="7"/>
        <v>7475.6847628085789</v>
      </c>
      <c r="J13" s="188">
        <f t="shared" si="7"/>
        <v>12591.660826933283</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-809.52375635047554</v>
      </c>
      <c r="E14" s="311"/>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-22.869707937042335</v>
      </c>
      <c r="D15" s="61"/>
      <c r="E15" s="318"/>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2540.6221871727971</v>
      </c>
      <c r="D16" s="62"/>
      <c r="E16" s="319"/>
      <c r="F16" s="62"/>
      <c r="G16" s="188">
        <f>IF(G$4="","",SUM(G13:G15))</f>
        <v>2807.968614974819</v>
      </c>
      <c r="H16" s="188">
        <f t="shared" ref="H16:Q16" si="8">IF(H$4="","",SUM(H13:H15))</f>
        <v>4524.4677853273579</v>
      </c>
      <c r="I16" s="188">
        <f t="shared" si="8"/>
        <v>6126.5772678085787</v>
      </c>
      <c r="J16" s="188">
        <f t="shared" si="8"/>
        <v>10060.891295933283</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373</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374</v>
      </c>
      <c r="F18" s="59"/>
      <c r="G18" s="203"/>
      <c r="H18" s="203"/>
      <c r="I18" s="203"/>
      <c r="J18" s="203"/>
      <c r="K18" s="203"/>
      <c r="L18" s="203"/>
      <c r="M18" s="203"/>
      <c r="N18" s="203"/>
      <c r="O18" s="203"/>
      <c r="P18" s="203"/>
      <c r="Q18" s="203"/>
    </row>
    <row r="19" spans="1:17" ht="15.75" customHeight="1" x14ac:dyDescent="0.35">
      <c r="A19" s="10"/>
      <c r="B19" s="31" t="s">
        <v>70</v>
      </c>
      <c r="C19" s="188">
        <f>C16+C17</f>
        <v>2540.6221871727971</v>
      </c>
      <c r="D19" s="27"/>
      <c r="E19" s="308"/>
      <c r="F19" s="27"/>
      <c r="G19" s="190">
        <f>IF(G$4="","",G16+G17)</f>
        <v>2807.968614974819</v>
      </c>
      <c r="H19" s="190">
        <f t="shared" ref="H19:Q19" si="9">IF(H$4="","",H16+H17)</f>
        <v>4524.4677853273579</v>
      </c>
      <c r="I19" s="190">
        <f t="shared" si="9"/>
        <v>6126.5772678085787</v>
      </c>
      <c r="J19" s="190">
        <f t="shared" si="9"/>
        <v>10060.891295933283</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0"/>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8"/>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6"/>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AVERAGE(G28:H28)</f>
        <v>0.57805815639048053</v>
      </c>
      <c r="D28" s="26"/>
      <c r="E28" s="309" t="s">
        <v>375</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9" t="s">
        <v>375</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1"/>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AVERAGE(G33:H33)</f>
        <v>-1106.5</v>
      </c>
      <c r="E33" s="309" t="s">
        <v>375</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375</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0"/>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0.1262407301768397</v>
      </c>
      <c r="D38" s="27"/>
      <c r="E38" s="308"/>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1"/>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0.24</v>
      </c>
      <c r="D43" s="27"/>
      <c r="E43" s="308" t="s">
        <v>376</v>
      </c>
      <c r="F43" s="27"/>
      <c r="G43" s="6">
        <f t="shared" ref="G43:Q43" si="18">IF(G$4="","",-G14/SUM(G8+G11,G12))</f>
        <v>0.16038474464748129</v>
      </c>
      <c r="H43" s="6">
        <f t="shared" si="18"/>
        <v>0.16161958688679046</v>
      </c>
      <c r="I43" s="6">
        <f t="shared" si="18"/>
        <v>0.18494436262371075</v>
      </c>
      <c r="J43" s="6">
        <f t="shared" si="18"/>
        <v>0.2040036040672103</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-43</v>
      </c>
      <c r="E47" s="311"/>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389</v>
      </c>
      <c r="C48" s="198">
        <f>BS!D75*C53</f>
        <v>185.19539222287685</v>
      </c>
      <c r="E48" s="311"/>
      <c r="G48" s="338">
        <f>IF(G$4="","",($C$48/$C$49)*G49)</f>
        <v>302.96861497481899</v>
      </c>
      <c r="H48" s="338">
        <f t="shared" ref="H48:Q48" si="19">IF(H$4="","",($C$48/$C$49)*H49)</f>
        <v>180.07798132735766</v>
      </c>
      <c r="I48" s="338">
        <f t="shared" si="19"/>
        <v>43.666282808578643</v>
      </c>
      <c r="J48" s="338">
        <f t="shared" si="19"/>
        <v>74.082965933281514</v>
      </c>
      <c r="K48" s="338">
        <f t="shared" si="19"/>
        <v>0</v>
      </c>
      <c r="L48" s="338" t="str">
        <f t="shared" si="19"/>
        <v/>
      </c>
      <c r="M48" s="338" t="str">
        <f t="shared" si="19"/>
        <v/>
      </c>
      <c r="N48" s="338" t="str">
        <f t="shared" si="19"/>
        <v/>
      </c>
      <c r="O48" s="338" t="str">
        <f t="shared" si="19"/>
        <v/>
      </c>
      <c r="P48" s="338" t="str">
        <f t="shared" si="19"/>
        <v/>
      </c>
      <c r="Q48" s="338" t="str">
        <f t="shared" si="19"/>
        <v/>
      </c>
    </row>
    <row r="49" spans="1:17" ht="15.75" customHeight="1" x14ac:dyDescent="0.35">
      <c r="A49" s="10"/>
      <c r="B49" s="333" t="s">
        <v>384</v>
      </c>
      <c r="C49" s="334">
        <f>BS!$C$66*C53</f>
        <v>1430.37</v>
      </c>
      <c r="D49" s="335"/>
      <c r="E49" s="336"/>
      <c r="F49" s="335"/>
      <c r="G49" s="334">
        <f>Data!C52</f>
        <v>2340</v>
      </c>
      <c r="H49" s="334">
        <f>Data!D52</f>
        <v>1390.845307</v>
      </c>
      <c r="I49" s="334">
        <f>Data!E52</f>
        <v>337.25969199999997</v>
      </c>
      <c r="J49" s="334">
        <f>Data!F52</f>
        <v>572.18514300000004</v>
      </c>
      <c r="K49" s="334">
        <f>Data!G52</f>
        <v>0</v>
      </c>
      <c r="L49" s="334" t="str">
        <f>Data!H52</f>
        <v/>
      </c>
      <c r="M49" s="334" t="str">
        <f>Data!I52</f>
        <v/>
      </c>
      <c r="N49" s="334" t="str">
        <f>Data!J52</f>
        <v/>
      </c>
      <c r="O49" s="334" t="str">
        <f>Data!K52</f>
        <v/>
      </c>
      <c r="P49" s="334" t="str">
        <f>Data!L52</f>
        <v/>
      </c>
      <c r="Q49" s="334" t="str">
        <f>Data!M52</f>
        <v/>
      </c>
    </row>
    <row r="50" spans="1:17" ht="15.75" customHeight="1" x14ac:dyDescent="0.35">
      <c r="A50" s="10"/>
      <c r="B50" s="71" t="s">
        <v>72</v>
      </c>
      <c r="C50" s="188">
        <f>C47+C48</f>
        <v>142.19539222287685</v>
      </c>
      <c r="E50" s="311"/>
      <c r="G50" s="188">
        <f>IF(G$4="","",(G47+G48))</f>
        <v>259.96861497481899</v>
      </c>
      <c r="H50" s="188">
        <f t="shared" ref="H50:Q50" si="20">IF(H$4="","",(H47+H48))</f>
        <v>139.30261332735768</v>
      </c>
      <c r="I50" s="188">
        <f t="shared" si="20"/>
        <v>-5.5315111914213588</v>
      </c>
      <c r="J50" s="188">
        <f t="shared" si="20"/>
        <v>-7.6802090667184899</v>
      </c>
      <c r="K50" s="188">
        <f t="shared" si="20"/>
        <v>0</v>
      </c>
      <c r="L50" s="188" t="str">
        <f t="shared" si="20"/>
        <v/>
      </c>
      <c r="M50" s="188" t="str">
        <f t="shared" si="20"/>
        <v/>
      </c>
      <c r="N50" s="188" t="str">
        <f t="shared" si="20"/>
        <v/>
      </c>
      <c r="O50" s="188" t="str">
        <f t="shared" si="20"/>
        <v/>
      </c>
      <c r="P50" s="188" t="str">
        <f t="shared" si="20"/>
        <v/>
      </c>
      <c r="Q50" s="188" t="str">
        <f t="shared" si="20"/>
        <v/>
      </c>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v>0.03</v>
      </c>
      <c r="E53" s="308" t="s">
        <v>377</v>
      </c>
      <c r="G53" s="6">
        <f>IF(Normalized_FCF!G4="","",Normalized_FCF!G49/BS!$C$66)</f>
        <v>4.907821053293903E-2</v>
      </c>
      <c r="H53" s="174"/>
      <c r="I53" s="174"/>
      <c r="J53" s="174"/>
      <c r="K53" s="174"/>
      <c r="L53" s="174"/>
      <c r="M53" s="174"/>
      <c r="N53" s="174"/>
      <c r="O53" s="174"/>
      <c r="P53" s="174"/>
      <c r="Q53" s="174"/>
    </row>
    <row r="54" spans="1:17" ht="15.75" customHeight="1" x14ac:dyDescent="0.35">
      <c r="A54" s="10"/>
      <c r="B54" s="8" t="s">
        <v>92</v>
      </c>
      <c r="C54" s="84">
        <f>G54</f>
        <v>1.3902360168121564E-2</v>
      </c>
      <c r="E54" s="308" t="s">
        <v>378</v>
      </c>
      <c r="G54" s="23">
        <f>IFERROR(ABS(Normalized_FCF!G47/BS!$G$31),0)</f>
        <v>1.3902360168121564E-2</v>
      </c>
      <c r="H54" s="174"/>
      <c r="I54" s="174"/>
      <c r="J54" s="174"/>
      <c r="K54" s="174"/>
      <c r="L54" s="174"/>
      <c r="M54" s="174"/>
      <c r="N54" s="174"/>
      <c r="O54" s="174"/>
      <c r="P54" s="174"/>
      <c r="Q54" s="174"/>
    </row>
    <row r="55" spans="1:17" ht="15.75" customHeight="1" x14ac:dyDescent="0.35">
      <c r="A55" s="10"/>
      <c r="B55" s="26" t="s">
        <v>95</v>
      </c>
      <c r="C55" s="42">
        <f>-C8/C47</f>
        <v>60.274889749707867</v>
      </c>
      <c r="E55" s="311"/>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639</v>
      </c>
      <c r="E59" s="311"/>
      <c r="G59" s="198">
        <f>Data!C55</f>
        <v>639</v>
      </c>
      <c r="H59" s="198">
        <f>Data!D55</f>
        <v>927</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639</v>
      </c>
      <c r="E61" s="311"/>
      <c r="G61" s="188">
        <f t="shared" ref="G61:Q61" si="22">IF(G4="","",SUM(G58:G60))</f>
        <v>639</v>
      </c>
      <c r="H61" s="188">
        <f t="shared" si="22"/>
        <v>927</v>
      </c>
      <c r="I61" s="188">
        <f t="shared" si="22"/>
        <v>0</v>
      </c>
      <c r="J61" s="188">
        <f t="shared" si="22"/>
        <v>0</v>
      </c>
      <c r="K61" s="188">
        <f t="shared" si="22"/>
        <v>0</v>
      </c>
      <c r="L61" s="188" t="str">
        <f t="shared" si="22"/>
        <v/>
      </c>
      <c r="M61" s="188" t="str">
        <f t="shared" si="22"/>
        <v/>
      </c>
      <c r="N61" s="188" t="str">
        <f t="shared" si="22"/>
        <v/>
      </c>
      <c r="O61" s="188" t="str">
        <f t="shared" si="22"/>
        <v/>
      </c>
      <c r="P61" s="188" t="str">
        <f t="shared" si="22"/>
        <v/>
      </c>
      <c r="Q61" s="188" t="str">
        <f t="shared" si="22"/>
        <v/>
      </c>
    </row>
    <row r="62" spans="1:17" ht="15.75" customHeight="1" x14ac:dyDescent="0.35">
      <c r="A62" s="10"/>
      <c r="B62" s="40" t="s">
        <v>165</v>
      </c>
      <c r="C62" s="306">
        <v>0</v>
      </c>
      <c r="E62" s="309" t="s">
        <v>379</v>
      </c>
      <c r="G62" s="198">
        <f>Data!C58</f>
        <v>-503</v>
      </c>
      <c r="H62" s="198">
        <f>Data!D58</f>
        <v>203.76488900000004</v>
      </c>
      <c r="I62" s="198">
        <f>Data!E58</f>
        <v>-503.75612799999999</v>
      </c>
      <c r="J62" s="198">
        <f>Data!F58</f>
        <v>-726.80948300000091</v>
      </c>
      <c r="K62" s="198">
        <f>Data!G58</f>
        <v>-3450</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639</v>
      </c>
      <c r="E63" s="311"/>
      <c r="G63" s="188">
        <f t="shared" ref="G63:Q63" si="23">IF(G4="","",G61+G62)</f>
        <v>136</v>
      </c>
      <c r="H63" s="188">
        <f t="shared" si="23"/>
        <v>1130.764889</v>
      </c>
      <c r="I63" s="188">
        <f t="shared" si="23"/>
        <v>-503.75612799999999</v>
      </c>
      <c r="J63" s="188">
        <f t="shared" si="23"/>
        <v>-726.80948300000091</v>
      </c>
      <c r="K63" s="188">
        <f t="shared" si="23"/>
        <v>-3450</v>
      </c>
      <c r="L63" s="188" t="str">
        <f t="shared" si="23"/>
        <v/>
      </c>
      <c r="M63" s="188" t="str">
        <f t="shared" si="23"/>
        <v/>
      </c>
      <c r="N63" s="188" t="str">
        <f t="shared" si="23"/>
        <v/>
      </c>
      <c r="O63" s="188" t="str">
        <f t="shared" si="23"/>
        <v/>
      </c>
      <c r="P63" s="188" t="str">
        <f t="shared" si="23"/>
        <v/>
      </c>
      <c r="Q63" s="188" t="str">
        <f t="shared" si="23"/>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2.6966576637407157E-2</v>
      </c>
      <c r="E67" s="311"/>
      <c r="G67" s="23">
        <f>IFERROR(G59/BS!$C$68,0)</f>
        <v>2.6966576637407157E-2</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8.7649511686601553E-3</v>
      </c>
      <c r="D69" s="9"/>
      <c r="E69" s="316"/>
      <c r="F69" s="9"/>
      <c r="G69" s="72">
        <f>G61/BS!C70</f>
        <v>8.7649511686601553E-3</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0.57805815639048053</v>
      </c>
      <c r="D73" s="27"/>
      <c r="E73" s="308"/>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0.42194184360951947</v>
      </c>
      <c r="D74" s="27"/>
      <c r="E74" s="308"/>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0.1262407301768397</v>
      </c>
      <c r="D75" s="27"/>
      <c r="E75" s="308"/>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0.2957011134326798</v>
      </c>
      <c r="D76" s="27"/>
      <c r="E76" s="308"/>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1.8254420992584137E-2</v>
      </c>
      <c r="D77" s="27"/>
      <c r="E77" s="308"/>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1.8254420992584137E-2</v>
      </c>
      <c r="D78" s="27"/>
      <c r="E78" s="309"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7.2903593839132919E-2</v>
      </c>
      <c r="D79" s="27"/>
      <c r="E79" s="308"/>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1.6223090955262618E-2</v>
      </c>
      <c r="D80" s="27"/>
      <c r="E80" s="308"/>
      <c r="F80" s="27"/>
      <c r="G80" s="6">
        <f t="shared" ref="G80:Q80" si="31">IF(G$4="","",ABS(G12/G$4))</f>
        <v>2.9659853391308499E-2</v>
      </c>
      <c r="H80" s="6">
        <f t="shared" si="31"/>
        <v>1.1724822264738463E-2</v>
      </c>
      <c r="I80" s="6">
        <f t="shared" si="31"/>
        <v>3.534384710744946E-4</v>
      </c>
      <c r="J80" s="6">
        <f t="shared" si="31"/>
        <v>3.1433275531812322E-4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0.3848277982270753</v>
      </c>
      <c r="D81" s="27"/>
      <c r="E81" s="308"/>
      <c r="F81" s="27"/>
      <c r="G81" s="66">
        <f t="shared" ref="G81:Q81" si="32">IF(G$4="","",G13/G$4)</f>
        <v>0.37957428579290575</v>
      </c>
      <c r="H81" s="66">
        <f t="shared" si="32"/>
        <v>0.4558793547115022</v>
      </c>
      <c r="I81" s="66">
        <f t="shared" si="32"/>
        <v>0.47766234241732236</v>
      </c>
      <c r="J81" s="66">
        <f t="shared" si="32"/>
        <v>0.51534683592309194</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9.2358671574498064E-2</v>
      </c>
      <c r="D82" s="27"/>
      <c r="E82" s="308"/>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7">
        <f>MIN(BS!C62,MAX(G83:K83))</f>
        <v>2.6092079791263361E-3</v>
      </c>
      <c r="D83" s="27"/>
      <c r="E83" s="308"/>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0.2898599186734509</v>
      </c>
      <c r="D84" s="27"/>
      <c r="E84" s="308"/>
      <c r="F84" s="27"/>
      <c r="G84" s="66">
        <f t="shared" ref="G84:Q84" si="35">IF(G$4="","",ABS(G16/G$4))</f>
        <v>0.32036150769821098</v>
      </c>
      <c r="H84" s="66">
        <f t="shared" si="35"/>
        <v>0.38081540150890986</v>
      </c>
      <c r="I84" s="66">
        <f t="shared" si="35"/>
        <v>0.39146049379999764</v>
      </c>
      <c r="J84" s="66">
        <f t="shared" si="35"/>
        <v>0.41176843683996933</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0.2898599186734509</v>
      </c>
      <c r="D87" s="77"/>
      <c r="E87" s="308"/>
      <c r="F87" s="77"/>
      <c r="G87" s="66">
        <f t="shared" ref="G87:Q87" si="36">IF(G$4="","",ABS(G19/G$4))</f>
        <v>0.32036150769821098</v>
      </c>
      <c r="H87" s="66">
        <f t="shared" si="36"/>
        <v>0.38081540150890986</v>
      </c>
      <c r="I87" s="66">
        <f t="shared" si="36"/>
        <v>0.39146049379999764</v>
      </c>
      <c r="J87" s="66">
        <f t="shared" si="36"/>
        <v>0.41176843683996933</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0.57999999999999996</v>
      </c>
      <c r="E90" s="311"/>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11"/>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1.8655628478763795</v>
      </c>
      <c r="E92" s="311"/>
      <c r="G92" s="175">
        <f t="shared" ref="G92:Q92" si="38">IF(G$4="","",G90/(G19*$C$3/Common_Shares))</f>
        <v>1.6879427845465798</v>
      </c>
      <c r="H92" s="175">
        <f t="shared" si="38"/>
        <v>1.0475685954159291</v>
      </c>
      <c r="I92" s="175">
        <f t="shared" si="38"/>
        <v>0.76028936874668918</v>
      </c>
      <c r="J92" s="175">
        <f t="shared" si="38"/>
        <v>0</v>
      </c>
      <c r="K92" s="175">
        <f t="shared" si="38"/>
        <v>0</v>
      </c>
      <c r="L92" s="175" t="str">
        <f t="shared" si="38"/>
        <v/>
      </c>
      <c r="M92" s="175" t="str">
        <f t="shared" si="38"/>
        <v/>
      </c>
      <c r="N92" s="175" t="str">
        <f t="shared" si="38"/>
        <v/>
      </c>
      <c r="O92" s="175" t="str">
        <f t="shared" si="38"/>
        <v/>
      </c>
      <c r="P92" s="175" t="str">
        <f t="shared" si="38"/>
        <v/>
      </c>
      <c r="Q92" s="175" t="str">
        <f t="shared" si="38"/>
        <v/>
      </c>
    </row>
    <row r="93" spans="1:17" ht="15.75" customHeight="1" x14ac:dyDescent="0.35">
      <c r="A93" s="10"/>
      <c r="B93" s="2" t="s">
        <v>341</v>
      </c>
      <c r="C93" s="23">
        <f>C90/Market_Price</f>
        <v>7.4454428754813853E-2</v>
      </c>
      <c r="E93" s="311"/>
      <c r="G93" s="23">
        <f t="shared" ref="G93:Q93" si="39">IF(G$4="","",G90/Market_Price)</f>
        <v>7.4454428754813853E-2</v>
      </c>
      <c r="H93" s="23">
        <f t="shared" si="39"/>
        <v>7.4454428754813853E-2</v>
      </c>
      <c r="I93" s="23">
        <f t="shared" si="39"/>
        <v>7.3170731707317069E-2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0</v>
      </c>
      <c r="D96" s="27"/>
      <c r="E96" s="308"/>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1.3840538284081383E-2</v>
      </c>
      <c r="D97" s="27"/>
      <c r="E97" s="308"/>
      <c r="F97" s="27"/>
      <c r="G97" s="6">
        <f t="shared" ref="G97:Q97" si="41">IF(H5="","",G13/H13-1)</f>
        <v>-0.38574912583568022</v>
      </c>
      <c r="H97" s="6">
        <f t="shared" si="41"/>
        <v>-0.2754773930177763</v>
      </c>
      <c r="I97" s="6">
        <f t="shared" si="41"/>
        <v>-0.40629875077176036</v>
      </c>
      <c r="J97" s="6">
        <f t="shared" si="41"/>
        <v>2.6497567614299369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180996</v>
      </c>
      <c r="D101" s="26"/>
      <c r="E101" s="312"/>
      <c r="F101" s="26"/>
      <c r="G101" s="187">
        <f t="shared" ref="G101:Q101" si="42">IF(G$4="","",G105+G104)</f>
        <v>180344</v>
      </c>
      <c r="H101" s="187">
        <f t="shared" si="42"/>
        <v>174007</v>
      </c>
      <c r="I101" s="187">
        <f t="shared" si="42"/>
        <v>0</v>
      </c>
      <c r="J101" s="187">
        <f t="shared" si="42"/>
        <v>0</v>
      </c>
      <c r="K101" s="187">
        <f t="shared" si="42"/>
        <v>0</v>
      </c>
      <c r="L101" s="187" t="str">
        <f t="shared" si="42"/>
        <v/>
      </c>
      <c r="M101" s="187" t="str">
        <f t="shared" si="42"/>
        <v/>
      </c>
      <c r="N101" s="187" t="str">
        <f t="shared" si="42"/>
        <v/>
      </c>
      <c r="O101" s="187" t="str">
        <f t="shared" si="42"/>
        <v/>
      </c>
      <c r="P101" s="187" t="str">
        <f t="shared" si="42"/>
        <v/>
      </c>
      <c r="Q101" s="187" t="str">
        <f t="shared" si="42"/>
        <v/>
      </c>
    </row>
    <row r="102" spans="1:17" ht="15.75" customHeight="1" x14ac:dyDescent="0.35">
      <c r="A102" s="10"/>
      <c r="B102" s="95" t="s">
        <v>215</v>
      </c>
      <c r="C102" s="207">
        <f>BS!C4</f>
        <v>8029</v>
      </c>
      <c r="D102" s="91"/>
      <c r="E102" s="313"/>
      <c r="F102" s="91"/>
      <c r="G102" s="189">
        <f>IF(G$4="","",Data!D76)</f>
        <v>7251</v>
      </c>
      <c r="H102" s="189">
        <f>IF(H$4="","",Data!E76)</f>
        <v>0</v>
      </c>
      <c r="I102" s="189">
        <f>IF(I$4="","",Data!F76)</f>
        <v>0</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15310</v>
      </c>
      <c r="D103" s="91"/>
      <c r="E103" s="313"/>
      <c r="F103" s="91"/>
      <c r="G103" s="189">
        <f>IF(G$4="","",Data!D77)</f>
        <v>16389</v>
      </c>
      <c r="H103" s="189">
        <f>IF(H$4="","",Data!E77)</f>
        <v>0</v>
      </c>
      <c r="I103" s="189">
        <f>IF(I$4="","",Data!F77)</f>
        <v>0</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13889</v>
      </c>
      <c r="D104" s="26"/>
      <c r="E104" s="312"/>
      <c r="F104" s="26"/>
      <c r="G104" s="187">
        <f>Data!C78</f>
        <v>14028</v>
      </c>
      <c r="H104" s="187">
        <f>Data!D78</f>
        <v>10902</v>
      </c>
      <c r="I104" s="187">
        <f>Data!E78</f>
        <v>0</v>
      </c>
      <c r="J104" s="187">
        <f>Data!F78</f>
        <v>0</v>
      </c>
      <c r="K104" s="187">
        <f>Data!G78</f>
        <v>0</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167107</v>
      </c>
      <c r="D105" s="26"/>
      <c r="E105" s="312"/>
      <c r="F105" s="26"/>
      <c r="G105" s="187">
        <f>Data!C79</f>
        <v>166316</v>
      </c>
      <c r="H105" s="187">
        <f>Data!D79</f>
        <v>163105</v>
      </c>
      <c r="I105" s="187">
        <f>Data!E79</f>
        <v>0</v>
      </c>
      <c r="J105" s="187">
        <f>Data!F79</f>
        <v>0</v>
      </c>
      <c r="K105" s="187">
        <f>Data!G79</f>
        <v>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0.91602966343411296</v>
      </c>
      <c r="D108" s="26"/>
      <c r="E108" s="312"/>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1.7467199087278951</v>
      </c>
      <c r="D109" s="26"/>
      <c r="E109" s="312"/>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8.343867655447804</v>
      </c>
      <c r="D110" s="26"/>
      <c r="E110" s="312"/>
      <c r="F110" s="26"/>
      <c r="G110" s="97">
        <f>BS!$G$38/G$4</f>
        <v>8.343867655447804</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0.3848277982270753</v>
      </c>
      <c r="E113" s="311"/>
      <c r="G113" s="23">
        <f t="shared" ref="G113:Q113" si="45">G81</f>
        <v>0.37957428579290575</v>
      </c>
      <c r="H113" s="23">
        <f t="shared" si="45"/>
        <v>0.4558793547115022</v>
      </c>
      <c r="I113" s="23">
        <f t="shared" si="45"/>
        <v>0.47766234241732236</v>
      </c>
      <c r="J113" s="23">
        <f t="shared" si="45"/>
        <v>0.51534683592309194</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4.8426484563194767E-2</v>
      </c>
      <c r="E114" s="311"/>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1.0831144117242246</v>
      </c>
      <c r="D115" s="11"/>
      <c r="E115" s="315"/>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1.5509944282629921E-2</v>
      </c>
      <c r="D116" s="106"/>
      <c r="E116" s="314"/>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0.31089812956997381</v>
      </c>
      <c r="D120" s="27"/>
      <c r="E120" s="308"/>
      <c r="F120" s="27"/>
      <c r="G120" s="182">
        <f t="shared" ref="G120:Q120" si="49">IF(G$4="","",G16*$C$3/Common_Shares*Exchange_Rate)</f>
        <v>0.34361354265677985</v>
      </c>
      <c r="H120" s="182">
        <f t="shared" si="49"/>
        <v>0.55366302745045104</v>
      </c>
      <c r="I120" s="182">
        <f t="shared" si="49"/>
        <v>0.74971454742241805</v>
      </c>
      <c r="J120" s="182">
        <f t="shared" si="49"/>
        <v>1.2311599503085606</v>
      </c>
      <c r="K120" s="182">
        <f t="shared" si="49"/>
        <v>0.42217947730748451</v>
      </c>
      <c r="L120" s="182" t="str">
        <f t="shared" si="49"/>
        <v/>
      </c>
      <c r="M120" s="182" t="str">
        <f t="shared" si="49"/>
        <v/>
      </c>
      <c r="N120" s="182" t="str">
        <f t="shared" si="49"/>
        <v/>
      </c>
      <c r="O120" s="182" t="str">
        <f t="shared" si="49"/>
        <v/>
      </c>
      <c r="P120" s="182" t="str">
        <f t="shared" si="49"/>
        <v/>
      </c>
      <c r="Q120" s="182" t="str">
        <f t="shared" si="49"/>
        <v/>
      </c>
    </row>
    <row r="121" spans="1:17" ht="15.75" customHeight="1" x14ac:dyDescent="0.35">
      <c r="A121" s="10"/>
      <c r="B121" s="27" t="s">
        <v>283</v>
      </c>
      <c r="C121" s="79">
        <f>C19*Exchange_Rate*$C$3/(Market_Price*Common_Shares)</f>
        <v>3.9909901100125003E-2</v>
      </c>
      <c r="D121" s="27"/>
      <c r="E121" s="308"/>
      <c r="F121" s="27"/>
      <c r="G121" s="79">
        <f t="shared" ref="G121" si="50">IF(G$4="","",G120/Market_Price)</f>
        <v>4.4109569018842082E-2</v>
      </c>
      <c r="H121" s="79">
        <f t="shared" ref="H121" si="51">IF(H$4="","",H120/Market_Price)</f>
        <v>7.1073559364627864E-2</v>
      </c>
      <c r="I121" s="79">
        <f t="shared" ref="I121" si="52">IF(I$4="","",I120/Market_Price)</f>
        <v>9.6240635099155078E-2</v>
      </c>
      <c r="J121" s="79">
        <f t="shared" ref="J121" si="53">IF(J$4="","",J120/Market_Price)</f>
        <v>0.15804363932073948</v>
      </c>
      <c r="K121" s="79">
        <f t="shared" ref="K121" si="54">IF(K$4="","",K120/Market_Price)</f>
        <v>5.4195054853335624E-2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2540.6221871727971</v>
      </c>
      <c r="D4" t="str">
        <f>Reporting_currency</f>
        <v>HKD</v>
      </c>
      <c r="E4" s="103" t="s">
        <v>257</v>
      </c>
      <c r="F4" s="138">
        <f>Thesis!C75</f>
        <v>0</v>
      </c>
      <c r="H4" s="124"/>
    </row>
    <row r="5" spans="2:8" x14ac:dyDescent="0.35">
      <c r="B5" s="234" t="s">
        <v>128</v>
      </c>
      <c r="C5" s="235">
        <f>Thesis!C70</f>
        <v>0.09</v>
      </c>
      <c r="E5" s="152"/>
      <c r="H5" s="124"/>
    </row>
    <row r="6" spans="2:8" ht="13.15" customHeight="1" x14ac:dyDescent="0.4">
      <c r="B6" s="153" t="s">
        <v>233</v>
      </c>
      <c r="C6" s="239">
        <f>(C4*(1+Terminal_Growth))/(Equity_Cost-Terminal_Growth)</f>
        <v>28229.135413031079</v>
      </c>
      <c r="D6" t="str">
        <f>Reporting_currency</f>
        <v>HKD</v>
      </c>
      <c r="E6" s="346" t="s">
        <v>256</v>
      </c>
      <c r="F6" s="346"/>
      <c r="H6" s="124"/>
    </row>
    <row r="7" spans="2:8" x14ac:dyDescent="0.35">
      <c r="B7" s="152" t="s">
        <v>229</v>
      </c>
      <c r="C7" s="233">
        <f>BS!G31</f>
        <v>3093</v>
      </c>
      <c r="D7" t="str">
        <f>Reporting_currency</f>
        <v>HKD</v>
      </c>
      <c r="E7" s="346"/>
      <c r="F7" s="346"/>
      <c r="H7" s="124"/>
    </row>
    <row r="8" spans="2:8" x14ac:dyDescent="0.35">
      <c r="B8" s="152" t="s">
        <v>230</v>
      </c>
      <c r="C8" s="208">
        <f>BS!D66</f>
        <v>41505.820259237436</v>
      </c>
      <c r="D8" t="str">
        <f>Reporting_currency</f>
        <v>HKD</v>
      </c>
      <c r="E8" s="346"/>
      <c r="F8" s="346"/>
      <c r="H8" s="124"/>
    </row>
    <row r="9" spans="2:8" x14ac:dyDescent="0.35">
      <c r="B9" s="234" t="s">
        <v>195</v>
      </c>
      <c r="C9" s="236">
        <f>BS!H42</f>
        <v>7814.4</v>
      </c>
      <c r="D9" t="str">
        <f>Reporting_currency</f>
        <v>HKD</v>
      </c>
      <c r="E9" s="346"/>
      <c r="F9" s="346"/>
      <c r="H9" s="124"/>
    </row>
    <row r="10" spans="2:8" ht="13.15" x14ac:dyDescent="0.4">
      <c r="B10" s="153" t="s">
        <v>232</v>
      </c>
      <c r="C10" s="239">
        <f>C6-C7+C8+C9</f>
        <v>74456.355672268517</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9.111288498532895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-7.3000000000000001E-3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9.0321281164495559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105</v>
      </c>
      <c r="F52" s="141">
        <f>SUM(F21:F51)</f>
        <v>27582.246274958168</v>
      </c>
      <c r="H52" s="124"/>
    </row>
    <row r="53" spans="1:8" x14ac:dyDescent="0.35">
      <c r="C53" s="118"/>
      <c r="H53" s="124"/>
    </row>
    <row r="54" spans="1:8" ht="13.15" x14ac:dyDescent="0.35">
      <c r="B54" s="123" t="s">
        <v>134</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60"/>
      <c r="C79" s="160"/>
      <c r="D79" s="160"/>
      <c r="E79" s="160"/>
      <c r="F79" s="161"/>
    </row>
    <row r="80" spans="1:8" x14ac:dyDescent="0.35">
      <c r="B80" s="160" t="s">
        <v>342</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46" zoomScale="75" zoomScaleNormal="100" workbookViewId="0">
      <selection activeCell="E70" sqref="E7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324</v>
      </c>
      <c r="I2" s="286"/>
    </row>
    <row r="3" spans="2:9" ht="13.15" x14ac:dyDescent="0.4">
      <c r="B3" s="164" t="s">
        <v>153</v>
      </c>
      <c r="H3" s="284">
        <v>0</v>
      </c>
      <c r="I3" s="272">
        <f>-Market_Price</f>
        <v>-7.79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298</v>
      </c>
      <c r="F6" s="103"/>
      <c r="H6" s="284">
        <v>3</v>
      </c>
      <c r="I6" s="272">
        <f t="shared" si="0"/>
        <v>9.6147055134616366</v>
      </c>
    </row>
    <row r="7" spans="2:9" ht="12.75" customHeight="1" x14ac:dyDescent="0.35">
      <c r="B7" s="103" t="s">
        <v>292</v>
      </c>
      <c r="C7" s="118">
        <f>Normalized_FCF!G8</f>
        <v>2337</v>
      </c>
      <c r="D7" t="str">
        <f>Reporting_currency</f>
        <v>HKD</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8"/>
      <c r="H7" s="284">
        <v>4</v>
      </c>
      <c r="I7" s="272" t="str">
        <f t="shared" si="0"/>
        <v/>
      </c>
    </row>
    <row r="8" spans="2:9" x14ac:dyDescent="0.35">
      <c r="B8" s="103" t="s">
        <v>70</v>
      </c>
      <c r="C8" s="118">
        <f>Normalized_FCF!G19</f>
        <v>2807.968614974819</v>
      </c>
      <c r="D8" t="str">
        <f>Reporting_currency</f>
        <v>HKD</v>
      </c>
      <c r="E8" s="348"/>
      <c r="F8" s="348"/>
      <c r="H8" s="284">
        <v>5</v>
      </c>
      <c r="I8" s="272" t="str">
        <f t="shared" si="0"/>
        <v/>
      </c>
    </row>
    <row r="9" spans="2:9" x14ac:dyDescent="0.35">
      <c r="B9" s="103" t="s">
        <v>61</v>
      </c>
      <c r="C9" s="208">
        <f>Normalized_FCF!C19</f>
        <v>2540.6221871727971</v>
      </c>
      <c r="D9" t="str">
        <f>Reporting_currency</f>
        <v>HKD</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-0.28945840615733698</v>
      </c>
      <c r="D12" s="163"/>
      <c r="E12" s="348"/>
      <c r="F12" s="348"/>
      <c r="H12" s="284">
        <v>9</v>
      </c>
      <c r="I12" s="272" t="str">
        <f t="shared" si="0"/>
        <v/>
      </c>
    </row>
    <row r="13" spans="2:9" x14ac:dyDescent="0.35">
      <c r="B13" s="152" t="s">
        <v>157</v>
      </c>
      <c r="C13" s="163">
        <f ca="1">(Normalized_FCF!G8/OFFSET(Normalized_FCF!G8, 0, $C$4))^(1/$C$4) - 1</f>
        <v>-0.42686307479092267</v>
      </c>
      <c r="E13" s="348"/>
      <c r="F13" s="348"/>
      <c r="H13" s="284">
        <v>10</v>
      </c>
      <c r="I13" s="272" t="str">
        <f t="shared" si="0"/>
        <v/>
      </c>
    </row>
    <row r="14" spans="2:9" x14ac:dyDescent="0.35">
      <c r="B14" s="103" t="s">
        <v>70</v>
      </c>
      <c r="C14" s="163">
        <f ca="1">(Normalized_FCF!G19/OFFSET(Normalized_FCF!G19, 0, $C$4))^(1/$C$4) - 1</f>
        <v>-0.34649046142280127</v>
      </c>
      <c r="E14" s="348"/>
      <c r="F14" s="348"/>
    </row>
    <row r="16" spans="2:9" ht="13.9" x14ac:dyDescent="0.45">
      <c r="B16" s="36" t="s">
        <v>167</v>
      </c>
      <c r="C16" s="37"/>
      <c r="D16" s="37"/>
      <c r="E16" s="37"/>
      <c r="F16" s="37"/>
    </row>
    <row r="17" spans="2:6" ht="13.15" x14ac:dyDescent="0.4">
      <c r="B17" s="112" t="s">
        <v>156</v>
      </c>
      <c r="E17" s="164" t="s">
        <v>367</v>
      </c>
    </row>
    <row r="18" spans="2:6" x14ac:dyDescent="0.35">
      <c r="B18" s="156" t="s">
        <v>138</v>
      </c>
      <c r="C18" s="154">
        <v>10</v>
      </c>
      <c r="E18" s="348" t="s">
        <v>368</v>
      </c>
      <c r="F18" s="349"/>
    </row>
    <row r="19" spans="2:6" x14ac:dyDescent="0.35">
      <c r="E19" s="349"/>
      <c r="F19" s="349"/>
    </row>
    <row r="20" spans="2:6" ht="13.15" x14ac:dyDescent="0.4">
      <c r="B20" s="164" t="s">
        <v>332</v>
      </c>
      <c r="E20" s="349"/>
      <c r="F20" s="349"/>
    </row>
    <row r="21" spans="2:6" x14ac:dyDescent="0.35">
      <c r="B21" s="103" t="s">
        <v>296</v>
      </c>
      <c r="C21" s="165">
        <f>Market_Price</f>
        <v>7.79</v>
      </c>
      <c r="D21" t="str">
        <f>Market_currency</f>
        <v>HKD</v>
      </c>
      <c r="E21" s="349"/>
      <c r="F21" s="349"/>
    </row>
    <row r="22" spans="2:6" x14ac:dyDescent="0.35">
      <c r="B22" s="103" t="s">
        <v>297</v>
      </c>
      <c r="C22" s="165">
        <f>Valuation_Model!C12</f>
        <v>9.111288498532895</v>
      </c>
      <c r="D22" t="str">
        <f>Market_currency</f>
        <v>HKD</v>
      </c>
      <c r="E22" s="349"/>
      <c r="F22" s="349"/>
    </row>
    <row r="24" spans="2:6" ht="13.15" x14ac:dyDescent="0.4">
      <c r="B24" s="164" t="s">
        <v>120</v>
      </c>
      <c r="E24" s="164" t="s">
        <v>154</v>
      </c>
      <c r="F24" s="164"/>
    </row>
    <row r="25" spans="2:6" x14ac:dyDescent="0.35">
      <c r="B25" s="156" t="s">
        <v>138</v>
      </c>
      <c r="C25" s="171">
        <f>C18</f>
        <v>10</v>
      </c>
      <c r="D25" s="168"/>
      <c r="E25" s="347"/>
      <c r="F25" s="347"/>
    </row>
    <row r="26" spans="2:6" x14ac:dyDescent="0.35">
      <c r="B26" s="122" t="s">
        <v>139</v>
      </c>
      <c r="C26" s="169">
        <v>0</v>
      </c>
      <c r="D26" s="169"/>
      <c r="E26" s="347"/>
      <c r="F26" s="347"/>
    </row>
    <row r="27" spans="2:6" x14ac:dyDescent="0.35">
      <c r="B27" s="103" t="s">
        <v>118</v>
      </c>
      <c r="C27" s="165">
        <f>Valuation_Model!E76</f>
        <v>9.1112884985328897</v>
      </c>
      <c r="D27" s="165" t="str">
        <f>Market_currency</f>
        <v>HKD</v>
      </c>
      <c r="E27" s="347"/>
      <c r="F27" s="347"/>
    </row>
    <row r="28" spans="2:6" x14ac:dyDescent="0.35">
      <c r="B28" s="103" t="s">
        <v>152</v>
      </c>
      <c r="C28" s="170">
        <v>0.55000000000000004</v>
      </c>
      <c r="D28" s="170"/>
      <c r="E28" s="347"/>
      <c r="F28" s="347"/>
    </row>
    <row r="30" spans="2:6" ht="13.15" x14ac:dyDescent="0.4">
      <c r="B30" s="164" t="s">
        <v>121</v>
      </c>
      <c r="E30" s="164" t="s">
        <v>154</v>
      </c>
      <c r="F30" s="164"/>
    </row>
    <row r="31" spans="2:6" x14ac:dyDescent="0.35">
      <c r="B31" s="156" t="s">
        <v>138</v>
      </c>
      <c r="C31" s="171">
        <f>C18</f>
        <v>10</v>
      </c>
      <c r="D31" s="168"/>
      <c r="E31" s="347"/>
      <c r="F31" s="347"/>
    </row>
    <row r="32" spans="2:6" x14ac:dyDescent="0.35">
      <c r="B32" s="122" t="s">
        <v>139</v>
      </c>
      <c r="C32" s="169">
        <v>-0.05</v>
      </c>
      <c r="D32" s="169"/>
      <c r="E32" s="347"/>
      <c r="F32" s="347"/>
    </row>
    <row r="33" spans="2:6" x14ac:dyDescent="0.35">
      <c r="B33" s="103" t="s">
        <v>118</v>
      </c>
      <c r="C33" s="165">
        <f>Valuation_Model!E77</f>
        <v>8.6191954792579697</v>
      </c>
      <c r="D33" t="str">
        <f>Market_currency</f>
        <v>HKD</v>
      </c>
      <c r="E33" s="347"/>
      <c r="F33" s="347"/>
    </row>
    <row r="34" spans="2:6" x14ac:dyDescent="0.35">
      <c r="B34" s="103" t="s">
        <v>152</v>
      </c>
      <c r="C34" s="170">
        <v>0.2</v>
      </c>
      <c r="D34" s="170"/>
      <c r="E34" s="347"/>
      <c r="F34" s="347"/>
    </row>
    <row r="36" spans="2:6" ht="13.15" x14ac:dyDescent="0.4">
      <c r="B36" s="164" t="s">
        <v>119</v>
      </c>
      <c r="E36" s="164" t="s">
        <v>154</v>
      </c>
      <c r="F36" s="164"/>
    </row>
    <row r="37" spans="2:6" x14ac:dyDescent="0.35">
      <c r="B37" s="156" t="s">
        <v>138</v>
      </c>
      <c r="C37" s="171">
        <f>C18</f>
        <v>10</v>
      </c>
      <c r="D37" s="168"/>
      <c r="E37" s="347"/>
      <c r="F37" s="347"/>
    </row>
    <row r="38" spans="2:6" x14ac:dyDescent="0.35">
      <c r="B38" s="122" t="s">
        <v>139</v>
      </c>
      <c r="C38" s="169">
        <v>0.02</v>
      </c>
      <c r="D38" s="169"/>
      <c r="E38" s="347"/>
      <c r="F38" s="347"/>
    </row>
    <row r="39" spans="2:6" x14ac:dyDescent="0.35">
      <c r="B39" s="103" t="s">
        <v>118</v>
      </c>
      <c r="C39" s="165">
        <f>Valuation_Model!E75</f>
        <v>9.3427745886766083</v>
      </c>
      <c r="D39" t="str">
        <f>Market_currency</f>
        <v>HKD</v>
      </c>
      <c r="E39" s="347"/>
      <c r="F39" s="347"/>
    </row>
    <row r="40" spans="2:6" x14ac:dyDescent="0.35">
      <c r="B40" s="103" t="s">
        <v>152</v>
      </c>
      <c r="C40" s="172">
        <f>1-C28-C34</f>
        <v>0.24999999999999994</v>
      </c>
      <c r="D40" s="170"/>
      <c r="E40" s="347"/>
      <c r="F40" s="347"/>
    </row>
    <row r="42" spans="2:6" ht="13.15" x14ac:dyDescent="0.4">
      <c r="B42" s="103" t="s">
        <v>125</v>
      </c>
      <c r="C42" s="159">
        <f>C27*C28+C33*C34+C39*C40</f>
        <v>9.070741417213835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47"/>
      <c r="F49" s="347"/>
    </row>
    <row r="50" spans="2:6" x14ac:dyDescent="0.35">
      <c r="B50" s="122" t="s">
        <v>139</v>
      </c>
      <c r="C50" s="169">
        <v>-0.2</v>
      </c>
      <c r="D50" s="169"/>
      <c r="E50" s="347"/>
      <c r="F50" s="347"/>
    </row>
    <row r="51" spans="2:6" x14ac:dyDescent="0.35">
      <c r="B51" s="103" t="s">
        <v>118</v>
      </c>
      <c r="C51" s="165">
        <f>Valuation_Model!E78</f>
        <v>7.2649269878396519</v>
      </c>
      <c r="D51" t="str">
        <f>Market_currency</f>
        <v>HKD</v>
      </c>
      <c r="E51" s="347"/>
      <c r="F51" s="347"/>
    </row>
    <row r="52" spans="2:6" x14ac:dyDescent="0.35">
      <c r="B52" s="103" t="s">
        <v>152</v>
      </c>
      <c r="C52" s="170">
        <v>0.05</v>
      </c>
      <c r="D52" s="170"/>
      <c r="E52" s="347"/>
      <c r="F52" s="347"/>
    </row>
    <row r="54" spans="2:6" ht="13.15" x14ac:dyDescent="0.4">
      <c r="B54" s="164" t="s">
        <v>350</v>
      </c>
      <c r="E54" s="164" t="s">
        <v>154</v>
      </c>
      <c r="F54" s="164"/>
    </row>
    <row r="55" spans="2:6" x14ac:dyDescent="0.35">
      <c r="B55" s="156" t="s">
        <v>138</v>
      </c>
      <c r="C55" s="171">
        <f>C46</f>
        <v>15</v>
      </c>
      <c r="D55" s="168"/>
      <c r="E55" s="347"/>
      <c r="F55" s="347"/>
    </row>
    <row r="56" spans="2:6" x14ac:dyDescent="0.35">
      <c r="B56" s="122" t="s">
        <v>139</v>
      </c>
      <c r="C56" s="169">
        <v>0.05</v>
      </c>
      <c r="D56" s="169"/>
      <c r="E56" s="347"/>
      <c r="F56" s="347"/>
    </row>
    <row r="57" spans="2:6" x14ac:dyDescent="0.35">
      <c r="B57" s="103" t="s">
        <v>118</v>
      </c>
      <c r="C57" s="165">
        <f>Valuation_Model!E74</f>
        <v>10.155837771544068</v>
      </c>
      <c r="D57" t="str">
        <f>Market_currency</f>
        <v>HKD</v>
      </c>
      <c r="E57" s="347"/>
      <c r="F57" s="347"/>
    </row>
    <row r="58" spans="2:6" x14ac:dyDescent="0.35">
      <c r="B58" s="103" t="s">
        <v>152</v>
      </c>
      <c r="C58" s="170">
        <v>0.05</v>
      </c>
      <c r="D58" s="170"/>
      <c r="E58" s="347"/>
      <c r="F58" s="347"/>
    </row>
    <row r="60" spans="2:6" ht="13.15" x14ac:dyDescent="0.4">
      <c r="B60" s="103" t="s">
        <v>125</v>
      </c>
      <c r="C60" s="159">
        <f>C51*C52+C57*C58+C42*(1-C52-C58)</f>
        <v>9.0347055134616365</v>
      </c>
      <c r="D60" t="str">
        <f>Market_currency</f>
        <v>HKD</v>
      </c>
      <c r="E60" s="103" t="s">
        <v>325</v>
      </c>
      <c r="F60" s="321">
        <f>Thesis!E20</f>
        <v>3</v>
      </c>
    </row>
    <row r="62" spans="2:6" ht="13.9" x14ac:dyDescent="0.45">
      <c r="B62" s="36" t="s">
        <v>311</v>
      </c>
      <c r="C62" s="37"/>
      <c r="D62" s="37"/>
      <c r="E62" s="37"/>
      <c r="F62" s="37"/>
    </row>
    <row r="63" spans="2:6" ht="13.15" x14ac:dyDescent="0.4">
      <c r="B63" s="112" t="s">
        <v>333</v>
      </c>
      <c r="E63" s="290" t="s">
        <v>343</v>
      </c>
    </row>
    <row r="64" spans="2:6" x14ac:dyDescent="0.35">
      <c r="B64" s="156" t="s">
        <v>138</v>
      </c>
      <c r="C64" s="171">
        <v>10</v>
      </c>
      <c r="D64" s="154"/>
      <c r="E64" s="289" t="s">
        <v>344</v>
      </c>
    </row>
    <row r="65" spans="2:6" x14ac:dyDescent="0.35">
      <c r="B65" s="122" t="s">
        <v>139</v>
      </c>
      <c r="C65" s="155">
        <v>-7.3000000000000001E-3</v>
      </c>
      <c r="D65" s="155"/>
      <c r="E65" s="289" t="s">
        <v>345</v>
      </c>
    </row>
    <row r="66" spans="2:6" x14ac:dyDescent="0.35">
      <c r="B66" s="103" t="s">
        <v>107</v>
      </c>
      <c r="C66" s="165">
        <f>Valuation_Model!C18</f>
        <v>9.0321281164495559</v>
      </c>
      <c r="D66" s="165" t="str">
        <f>Market_currency</f>
        <v>HKD</v>
      </c>
      <c r="E66" s="289" t="s">
        <v>346</v>
      </c>
    </row>
    <row r="68" spans="2:6" ht="13.15" x14ac:dyDescent="0.4">
      <c r="B68" s="112" t="s">
        <v>320</v>
      </c>
      <c r="E68" s="290" t="s">
        <v>347</v>
      </c>
    </row>
    <row r="69" spans="2:6" x14ac:dyDescent="0.35">
      <c r="B69" s="103" t="s">
        <v>334</v>
      </c>
      <c r="C69" s="281" t="str">
        <f>IF(C60&lt;C22,"Y","N")</f>
        <v>Y</v>
      </c>
      <c r="E69" s="138"/>
    </row>
    <row r="70" spans="2:6" x14ac:dyDescent="0.35">
      <c r="B70" s="103" t="s">
        <v>322</v>
      </c>
      <c r="C70" s="281" t="str">
        <f>IF(C69="Y","N",IF(C65&gt;8%,"N","Y"))</f>
        <v>N</v>
      </c>
      <c r="E70" s="289" t="s">
        <v>323</v>
      </c>
    </row>
    <row r="71" spans="2:6" x14ac:dyDescent="0.35">
      <c r="B71" s="103" t="s">
        <v>321</v>
      </c>
      <c r="C71" s="281" t="str">
        <f>IF(C65&gt;8%,"Y","N")</f>
        <v>N</v>
      </c>
      <c r="E71" s="289"/>
    </row>
    <row r="72" spans="2:6" x14ac:dyDescent="0.35">
      <c r="B72" s="103" t="s">
        <v>312</v>
      </c>
      <c r="C72" s="280" t="str">
        <f>IF(F72&gt;50%,"Y","N")</f>
        <v>Y</v>
      </c>
      <c r="E72" s="138" t="s">
        <v>390</v>
      </c>
      <c r="F72" s="339">
        <f>BS!D89/C60</f>
        <v>0.62612608991135499</v>
      </c>
    </row>
    <row r="74" spans="2:6" ht="13.9" x14ac:dyDescent="0.45">
      <c r="B74" s="36" t="s">
        <v>132</v>
      </c>
      <c r="C74" s="37"/>
      <c r="D74" s="37"/>
      <c r="E74" s="37"/>
      <c r="F74" s="37"/>
    </row>
    <row r="75" spans="2:6" ht="13.15" x14ac:dyDescent="0.4">
      <c r="B75" s="112" t="s">
        <v>130</v>
      </c>
    </row>
    <row r="76" spans="2:6" x14ac:dyDescent="0.35">
      <c r="B76" s="283" t="s">
        <v>326</v>
      </c>
      <c r="C76" s="282">
        <f>F60</f>
        <v>3</v>
      </c>
      <c r="D76" s="138"/>
    </row>
    <row r="77" spans="2:6" x14ac:dyDescent="0.35">
      <c r="B77" s="103" t="s">
        <v>116</v>
      </c>
      <c r="C77" s="178">
        <f>Normalized_FCF!C90</f>
        <v>0.57999999999999996</v>
      </c>
      <c r="D77" t="str">
        <f>Market_currency</f>
        <v>HKD</v>
      </c>
    </row>
    <row r="79" spans="2:6" ht="13.15" x14ac:dyDescent="0.4">
      <c r="B79" s="112" t="s">
        <v>330</v>
      </c>
    </row>
    <row r="80" spans="2:6" x14ac:dyDescent="0.35">
      <c r="B80" s="152" t="s">
        <v>328</v>
      </c>
      <c r="C80" s="172">
        <f>Thesis!C121</f>
        <v>0.2</v>
      </c>
    </row>
    <row r="81" spans="2:8" x14ac:dyDescent="0.35">
      <c r="B81" s="103" t="s">
        <v>126</v>
      </c>
      <c r="C81" s="120">
        <f>PV(C80, C76, -C77, 0)</f>
        <v>1.2217592592592592</v>
      </c>
      <c r="D81" s="120"/>
      <c r="E81" s="103"/>
      <c r="F81" s="103"/>
    </row>
    <row r="82" spans="2:8" x14ac:dyDescent="0.35">
      <c r="B82" s="103" t="s">
        <v>127</v>
      </c>
      <c r="C82" s="120">
        <f>C60/(1+C80)^C76</f>
        <v>5.2284175425125214</v>
      </c>
      <c r="D82" s="120"/>
    </row>
    <row r="83" spans="2:8" ht="13.15" x14ac:dyDescent="0.4">
      <c r="B83" s="114" t="s">
        <v>106</v>
      </c>
      <c r="C83" s="115">
        <f>C81+C82</f>
        <v>6.4501768017717804</v>
      </c>
      <c r="D83" t="str">
        <f>Market_currency</f>
        <v>HKD</v>
      </c>
      <c r="E83" s="150" t="s">
        <v>131</v>
      </c>
      <c r="F83" s="270">
        <f>(C83/C60-1)</f>
        <v>-0.28606673541699057</v>
      </c>
    </row>
    <row r="84" spans="2:8" x14ac:dyDescent="0.35">
      <c r="E84" s="124"/>
    </row>
    <row r="85" spans="2:8" ht="13.15" x14ac:dyDescent="0.4">
      <c r="B85" s="112" t="s">
        <v>331</v>
      </c>
    </row>
    <row r="86" spans="2:8" x14ac:dyDescent="0.35">
      <c r="B86" s="152" t="s">
        <v>329</v>
      </c>
      <c r="C86" s="274">
        <f>Market_Price</f>
        <v>7.79</v>
      </c>
      <c r="D86" t="str">
        <f>Market_currency</f>
        <v>HKD</v>
      </c>
    </row>
    <row r="87" spans="2:8" ht="13.15" x14ac:dyDescent="0.4">
      <c r="B87" s="103" t="s">
        <v>327</v>
      </c>
      <c r="C87" s="273">
        <f ca="1">IRR(OFFSET($I$3, 0, 0, $C$76 + 1, 1))</f>
        <v>0.12172735692567005</v>
      </c>
    </row>
    <row r="88" spans="2:8" x14ac:dyDescent="0.35">
      <c r="B88" s="103"/>
    </row>
    <row r="89" spans="2:8" ht="14.65" x14ac:dyDescent="0.5">
      <c r="E89" s="330" t="s">
        <v>362</v>
      </c>
      <c r="F89" s="327"/>
      <c r="G89" s="2"/>
      <c r="H89" s="326"/>
    </row>
    <row r="90" spans="2:8" ht="13.9" x14ac:dyDescent="0.45">
      <c r="E90" s="323" t="s">
        <v>363</v>
      </c>
      <c r="F90" s="328" t="s">
        <v>364</v>
      </c>
      <c r="G90" s="2"/>
      <c r="H90" s="326"/>
    </row>
    <row r="91" spans="2:8" ht="13.9" x14ac:dyDescent="0.45">
      <c r="E91" s="324" t="s">
        <v>363</v>
      </c>
      <c r="F91" s="328" t="s">
        <v>365</v>
      </c>
      <c r="G91" s="2"/>
      <c r="H91" s="326"/>
    </row>
    <row r="92" spans="2:8" ht="13.9" x14ac:dyDescent="0.45">
      <c r="E92" s="325" t="s">
        <v>363</v>
      </c>
      <c r="F92" s="329" t="s">
        <v>366</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2025-03-25T03:42:13Z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