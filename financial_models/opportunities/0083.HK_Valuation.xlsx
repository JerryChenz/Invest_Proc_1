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C533427-2FAD-4EC6-B452-F9E0E3134102}"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L19" i="2"/>
  <c r="L48" i="2"/>
  <c r="L50" i="2"/>
  <c r="L12" i="2" s="1"/>
  <c r="L80" i="2" s="1"/>
  <c r="O19" i="2"/>
  <c r="O50" i="2"/>
  <c r="O12" i="2" s="1"/>
  <c r="O48" i="2"/>
  <c r="M19" i="2"/>
  <c r="M50" i="2"/>
  <c r="M48" i="2"/>
  <c r="N19" i="2"/>
  <c r="N48" i="2"/>
  <c r="N50" i="2"/>
  <c r="N12" i="2" s="1"/>
  <c r="N80" i="2" s="1"/>
  <c r="P19" i="2"/>
  <c r="P48" i="2"/>
  <c r="P50" i="2"/>
  <c r="P12" i="2" s="1"/>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K48" i="2"/>
  <c r="K50" i="2" s="1"/>
  <c r="K12" i="2" s="1"/>
  <c r="J48" i="2"/>
  <c r="J50" i="2" s="1"/>
  <c r="J12" i="2" s="1"/>
  <c r="I48" i="2"/>
  <c r="I50" i="2" s="1"/>
  <c r="I12" i="2" s="1"/>
  <c r="C90" i="6"/>
  <c r="C91" i="6" s="1"/>
  <c r="C87" i="3"/>
  <c r="D87" i="3" s="1"/>
  <c r="C40" i="6"/>
  <c r="H48" i="2"/>
  <c r="H50" i="2" s="1"/>
  <c r="H12" i="2" s="1"/>
  <c r="G48" i="2"/>
  <c r="G50" i="2" s="1"/>
  <c r="G12" i="2" s="1"/>
  <c r="C73" i="2"/>
  <c r="C41" i="3"/>
  <c r="I80" i="2" l="1"/>
  <c r="I43" i="2"/>
  <c r="J80" i="2"/>
  <c r="J43" i="2"/>
  <c r="K80" i="2"/>
  <c r="K43" i="2"/>
  <c r="G80" i="2"/>
  <c r="G43" i="2"/>
  <c r="H80" i="2"/>
  <c r="H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<sst xmlns="http://schemas.openxmlformats.org/spreadsheetml/2006/main" count="562" uniqueCount="392">
  <si>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</si>
  <si>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</si>
  <si>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</si>
  <si>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</si>
  <si>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</si>
  <si>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</si>
  <si>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</si>
  <si>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</si>
  <si>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</si>
  <si>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</si>
  <si>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</si>
  <si>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</si>
  <si>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</si>
  <si>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</si>
  <si>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</si>
  <si>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</si>
  <si>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</si>
  <si>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</si>
  <si>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</si>
  <si>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</si>
  <si>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</si>
  <si>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</si>
  <si>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</si>
  <si>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</si>
  <si>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</si>
  <si>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</si>
  <si>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</si>
  <si>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</si>
  <si>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</si>
  <si>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</si>
  <si>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</si>
  <si>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</si>
  <si>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</si>
  <si>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</si>
  <si>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</si>
  <si>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</si>
  <si>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</si>
  <si>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</si>
  <si>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</si>
  <si>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</si>
  <si>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</si>
  <si>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</si>
  <si>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</si>
  <si>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</si>
  <si>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</si>
  <si>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</si>
  <si>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</si>
  <si>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</si>
  <si>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</si>
  <si>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</si>
  <si>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</si>
  <si>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</si>
  <si>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</si>
  <si>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</si>
  <si>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</si>
  <si>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</si>
  <si>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</si>
  <si>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</si>
  <si>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</si>
  <si>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</si>
  <si>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</si>
  <si>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</si>
  <si>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</si>
  <si>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</si>
  <si>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</si>
  <si>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</si>
  <si>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</si>
  <si>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</si>
  <si>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</si>
  <si>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</si>
  <si>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</si>
  <si>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</si>
  <si>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</si>
  <si>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</si>
  <si>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</si>
  <si>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</si>
  <si>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</si>
  <si>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</si>
  <si>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</si>
  <si>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</si>
  <si>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</si>
  <si>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</si>
  <si>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</si>
  <si>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</si>
  <si>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</si>
  <si>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</si>
  <si>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</si>
  <si>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</si>
  <si>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</si>
  <si>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</si>
  <si>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</si>
  <si>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</si>
  <si>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</si>
  <si>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</si>
  <si>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</si>
  <si>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</si>
  <si>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</si>
  <si>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</si>
  <si>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</si>
  <si>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</si>
  <si>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</si>
  <si>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</si>
  <si>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</si>
  <si>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</si>
  <si>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</si>
  <si>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</si>
  <si>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</si>
  <si>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</si>
  <si>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</si>
  <si>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</si>
  <si>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</si>
  <si>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</si>
  <si>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</si>
  <si>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</si>
  <si>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</si>
  <si>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</si>
  <si>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</si>
  <si>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</si>
  <si>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</si>
  <si>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</si>
  <si>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</si>
  <si>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</si>
  <si>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</si>
  <si>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</si>
  <si>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</si>
  <si>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</si>
  <si>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</si>
  <si>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</si>
  <si>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</si>
  <si>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</si>
  <si>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</si>
  <si>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</si>
  <si>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</si>
  <si>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</si>
  <si>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</si>
  <si>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</si>
  <si>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</si>
  <si>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</si>
  <si>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</si>
  <si>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</si>
  <si>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</si>
  <si>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</si>
  <si>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</si>
  <si>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</si>
  <si>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</si>
  <si>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</si>
  <si>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</si>
  <si>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</si>
  <si>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</si>
  <si>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</si>
  <si>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</si>
  <si>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</si>
  <si>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</si>
  <si>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</si>
  <si>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</si>
  <si>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</si>
  <si>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</si>
  <si>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</si>
  <si>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</si>
  <si>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</si>
  <si>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</si>
  <si>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</si>
  <si>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</si>
  <si>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</si>
  <si>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</si>
  <si>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</si>
  <si>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</si>
  <si>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</si>
  <si>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</si>
  <si>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</si>
  <si>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</si>
  <si>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</si>
  <si>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</si>
  <si>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</si>
  <si>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</si>
  <si>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</si>
  <si>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</si>
  <si>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</si>
  <si>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</si>
  <si>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</si>
  <si>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</si>
  <si>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</si>
  <si>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</si>
  <si>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</si>
  <si>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</si>
  <si>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</si>
  <si>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</si>
  <si>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</si>
  <si>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</si>
  <si>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</si>
  <si>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</si>
  <si>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</si>
  <si>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</si>
  <si>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</si>
  <si>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</si>
  <si>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</si>
  <si>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</si>
  <si>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</si>
  <si>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</si>
  <si>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</si>
  <si>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</si>
  <si>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</si>
  <si>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</si>
  <si>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</si>
  <si>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</si>
  <si>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</si>
  <si>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</si>
  <si>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</si>
  <si>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</si>
  <si>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</si>
  <si>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</si>
  <si>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</si>
  <si>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</si>
  <si>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</si>
  <si>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</si>
  <si>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</si>
  <si>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</si>
  <si>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</si>
  <si>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</si>
  <si>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</si>
  <si>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</si>
  <si>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</si>
  <si>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</si>
  <si>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</si>
  <si>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</si>
  <si>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</si>
  <si>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</si>
  <si>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</si>
  <si>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</si>
  <si>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</si>
  <si>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</si>
  <si>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</si>
  <si>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</si>
  <si>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</si>
  <si>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</si>
  <si>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</si>
  <si>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</si>
  <si>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</si>
  <si>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</si>
  <si>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</si>
  <si>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</si>
  <si>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</si>
  <si>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</si>
  <si>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</si>
  <si>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</si>
  <si>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</si>
  <si>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</si>
  <si>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</si>
  <si>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</si>
  <si>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</si>
  <si>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</si>
  <si>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</si>
  <si>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</si>
  <si>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</si>
  <si>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</si>
  <si>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</si>
  <si>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</si>
  <si>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</si>
  <si>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</si>
  <si>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</si>
  <si>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</si>
  <si>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</si>
  <si>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</si>
  <si>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</si>
  <si>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</si>
  <si>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</si>
  <si>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</si>
  <si>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</si>
  <si>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</si>
  <si>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</si>
  <si>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</si>
  <si>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</si>
  <si>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</si>
  <si>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</si>
  <si>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</si>
  <si>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</si>
  <si>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</si>
  <si>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</si>
  <si>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</si>
  <si>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</si>
  <si>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</si>
  <si>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</si>
  <si>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</si>
  <si>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</si>
  <si>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</si>
  <si>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</si>
  <si>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</si>
  <si>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</si>
  <si>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</si>
  <si>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</si>
  <si>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</si>
  <si>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</si>
  <si>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</si>
  <si>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</si>
  <si>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</si>
  <si>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</si>
  <si>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</si>
  <si>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</si>
  <si>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</si>
  <si>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</si>
  <si>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</si>
  <si>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</si>
  <si>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</si>
  <si>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</si>
  <si>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</si>
  <si>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</si>
  <si>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</si>
  <si>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</si>
  <si>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</si>
  <si>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</si>
  <si>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</si>
  <si>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</si>
  <si>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</si>
  <si>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</si>
  <si>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</si>
  <si>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</si>
  <si>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</si>
  <si>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</si>
  <si>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</si>
  <si>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</si>
  <si>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</si>
  <si>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</si>
  <si>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</si>
  <si>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</si>
  <si>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</si>
  <si>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</si>
  <si>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</si>
  <si>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</si>
  <si>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</si>
  <si>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</si>
  <si>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</si>
  <si>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</si>
  <si>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</si>
  <si>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</si>
  <si>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</si>
  <si>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</si>
  <si>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</si>
  <si>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</si>
  <si>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</si>
  <si>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</si>
  <si>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</si>
  <si>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</si>
  <si>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</si>
  <si>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</si>
  <si>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</si>
  <si>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</si>
  <si>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</si>
  <si>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</si>
  <si>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</si>
  <si>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</si>
  <si>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</si>
  <si>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</si>
  <si>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</si>
  <si>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</si>
  <si>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</si>
  <si>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</si>
  <si>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</si>
  <si>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</si>
  <si>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</si>
  <si>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</si>
  <si>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</si>
  <si>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</si>
  <si>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</si>
  <si>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</si>
  <si>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</si>
  <si>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</si>
  <si>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</si>
  <si>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</si>
  <si>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</si>
  <si>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</si>
  <si>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</si>
  <si>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</si>
  <si>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</si>
  <si>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</si>
  <si>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</si>
  <si>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</si>
  <si>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</si>
  <si>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</si>
  <si>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</si>
  <si>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</si>
  <si>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</si>
  <si>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</si>
  <si>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</si>
  <si>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</si>
  <si>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</si>
  <si>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</si>
  <si>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</si>
  <si>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</si>
  <si>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</si>
  <si>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</si>
  <si>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RES_01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</si>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</sst>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389</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363</v>
      </c>
      <c r="D5" s="49" t="s">
        <v>364</v>
      </c>
    </row>
    <row r="6" spans="1:10" x14ac:dyDescent="0.35">
      <c r="B6" s="4" t="s">
        <v>98</v>
      </c>
      <c r="C6" s="50">
        <v>7.79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63658.944701439999</v>
      </c>
      <c r="D10" s="32"/>
      <c r="E10" s="5"/>
    </row>
    <row r="11" spans="1:10" x14ac:dyDescent="0.35">
      <c r="D11" s="5"/>
      <c r="E11" s="5"/>
    </row>
    <row r="12" spans="1:10" ht="24.4" customHeight="1" x14ac:dyDescent="0.35">
      <c r="B12" s="338" t="s">
        <v>285</v>
      </c>
      <c r="C12" s="338"/>
      <c r="D12" s="338"/>
      <c r="E12" s="338"/>
      <c r="F12" s="338"/>
    </row>
    <row r="14" spans="1:10" x14ac:dyDescent="0.35">
      <c r="B14" s="45" t="s">
        <v>332</v>
      </c>
      <c r="C14" s="46"/>
      <c r="D14" s="5"/>
    </row>
    <row r="15" spans="1:10" x14ac:dyDescent="0.35">
      <c r="B15" s="2" t="s">
        <v>384</v>
      </c>
      <c r="C15" s="32" t="str">
        <f>IF(Scenarios!C69="Y",Scenarios!B69,"")&amp;IF(Scenarios!C70="Y",Scenarios!B70,"")&amp;IF(Scenarios!C71="Y",Scenarios!B71,"")&amp;" "&amp;IF(Scenarios!C72="Y",Scenarios!B72,"")</f>
        <v>Negative Growth Asset Play</v>
      </c>
      <c r="E15" s="5"/>
    </row>
    <row r="16" spans="1:10" x14ac:dyDescent="0.35">
      <c r="B16" s="4" t="s">
        <v>383</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0.12411921460409614</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373</v>
      </c>
      <c r="C26" s="342"/>
      <c r="D26" s="342"/>
      <c r="E26" s="342"/>
      <c r="F26" s="342"/>
    </row>
    <row r="28" spans="1:6" x14ac:dyDescent="0.35">
      <c r="B28" s="240" t="s">
        <v>236</v>
      </c>
      <c r="C28" s="111">
        <f>Data!C3</f>
        <v>1000000</v>
      </c>
    </row>
    <row r="29" spans="1:6" ht="24.4" customHeight="1" x14ac:dyDescent="0.35">
      <c r="B29" s="340" t="s">
        <v>237</v>
      </c>
      <c r="C29" s="340"/>
      <c r="D29" s="340"/>
      <c r="E29" s="340"/>
      <c r="F29" s="340"/>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40" t="s">
        <v>242</v>
      </c>
      <c r="C36" s="340"/>
      <c r="D36" s="340"/>
      <c r="E36" s="340"/>
      <c r="F36" s="340"/>
    </row>
    <row r="37" spans="2:6" x14ac:dyDescent="0.35">
      <c r="B37" s="47" t="s">
        <v>243</v>
      </c>
      <c r="C37" s="191">
        <f>Normalized_FCF!C11</f>
        <v>639</v>
      </c>
      <c r="D37" s="1" t="str">
        <f>Reporting_currency</f>
        <v>HKD</v>
      </c>
    </row>
    <row r="39" spans="2:6" x14ac:dyDescent="0.35">
      <c r="B39" s="340" t="s">
        <v>246</v>
      </c>
      <c r="C39" s="340"/>
      <c r="D39" s="340"/>
      <c r="E39" s="340"/>
      <c r="F39" s="340"/>
    </row>
    <row r="40" spans="2:6" x14ac:dyDescent="0.35">
      <c r="B40" s="47" t="s">
        <v>374</v>
      </c>
      <c r="C40" s="328">
        <f>Normalized_FCF!C48</f>
        <v>163.69305155463843</v>
      </c>
      <c r="D40" s="1" t="str">
        <f>Reporting_currency</f>
        <v>HKD</v>
      </c>
      <c r="E40" s="327"/>
      <c r="F40" s="327"/>
    </row>
    <row r="41" spans="2:6" x14ac:dyDescent="0.35">
      <c r="B41" s="47" t="s">
        <v>375</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40" t="s">
        <v>247</v>
      </c>
      <c r="C47" s="340"/>
      <c r="D47" s="340"/>
      <c r="E47" s="340"/>
      <c r="F47" s="340"/>
    </row>
    <row r="48" spans="2:6" x14ac:dyDescent="0.35">
      <c r="B48" s="47" t="s">
        <v>245</v>
      </c>
      <c r="C48" s="191">
        <f>Normalized_FCF!C14</f>
        <v>-804.36319459009837</v>
      </c>
      <c r="D48" s="1" t="str">
        <f>Reporting_currency</f>
        <v>HKD</v>
      </c>
    </row>
    <row r="50" spans="1:6" x14ac:dyDescent="0.35">
      <c r="B50" s="340" t="s">
        <v>372</v>
      </c>
      <c r="C50" s="341"/>
      <c r="D50" s="341"/>
      <c r="E50" s="341"/>
      <c r="F50" s="341"/>
    </row>
    <row r="51" spans="1:6" x14ac:dyDescent="0.35">
      <c r="B51" s="47" t="s">
        <v>248</v>
      </c>
      <c r="C51" s="1">
        <f>Normalized_FCF!C17</f>
        <v>0</v>
      </c>
      <c r="D51" s="1" t="str">
        <f>Reporting_currency</f>
        <v>HKD</v>
      </c>
    </row>
    <row r="53" spans="1:6" ht="24.4" customHeight="1" x14ac:dyDescent="0.35">
      <c r="B53" s="338" t="s">
        <v>377</v>
      </c>
      <c r="C53" s="338"/>
      <c r="D53" s="338"/>
      <c r="E53" s="338"/>
      <c r="F53" s="338"/>
    </row>
    <row r="54" spans="1:6" ht="24.4" customHeight="1" x14ac:dyDescent="0.35">
      <c r="B54" s="338" t="s">
        <v>267</v>
      </c>
      <c r="C54" s="338"/>
      <c r="D54" s="338"/>
      <c r="E54" s="338"/>
      <c r="F54" s="338"/>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3.9653192809019897E-2</v>
      </c>
    </row>
    <row r="59" spans="1:6" x14ac:dyDescent="0.35">
      <c r="B59" s="260" t="s">
        <v>336</v>
      </c>
      <c r="C59" s="94">
        <f>Normalized_FCF!C93</f>
        <v>7.4454428754813853E-2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350</v>
      </c>
    </row>
    <row r="70" spans="1:6" x14ac:dyDescent="0.35">
      <c r="B70" s="82" t="s">
        <v>253</v>
      </c>
      <c r="C70" s="269">
        <f>SUM(C67:C69)</f>
        <v>0.09</v>
      </c>
    </row>
    <row r="71" spans="1:6" x14ac:dyDescent="0.35">
      <c r="C71" s="125"/>
    </row>
    <row r="72" spans="1:6" x14ac:dyDescent="0.35">
      <c r="B72" s="338" t="s">
        <v>378</v>
      </c>
      <c r="C72" s="338"/>
      <c r="D72" s="338"/>
      <c r="E72" s="338"/>
      <c r="F72" s="338"/>
    </row>
    <row r="73" spans="1:6" ht="24.4" customHeight="1" x14ac:dyDescent="0.35">
      <c r="B73" s="338" t="s">
        <v>379</v>
      </c>
      <c r="C73" s="338"/>
      <c r="D73" s="338"/>
      <c r="E73" s="338"/>
      <c r="F73" s="338"/>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380</v>
      </c>
      <c r="C84" s="338"/>
      <c r="D84" s="338"/>
      <c r="E84" s="338"/>
      <c r="F84" s="338"/>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8" t="s">
        <v>266</v>
      </c>
      <c r="C97" s="338"/>
      <c r="D97" s="338"/>
      <c r="E97" s="338"/>
      <c r="F97" s="338"/>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40" t="s">
        <v>361</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45</v>
      </c>
      <c r="C5" s="193">
        <v>5344</v>
      </c>
      <c r="D5" s="184">
        <v>6492</v>
      </c>
      <c r="E5" s="184">
        <v>7482.8818240000001</v>
      </c>
      <c r="F5" s="184">
        <v>11196.89644</v>
      </c>
      <c r="G5" s="184">
        <v>2437</v>
      </c>
      <c r="H5" s="184"/>
      <c r="I5" s="184"/>
      <c r="J5" s="184"/>
      <c r="K5" s="184"/>
      <c r="L5" s="184"/>
      <c r="M5" s="184"/>
    </row>
    <row r="6" spans="2:13" x14ac:dyDescent="0.35">
      <c r="B6" s="40" t="s">
        <v>57</v>
      </c>
      <c r="C6" s="193">
        <v>1084</v>
      </c>
      <c r="D6" s="184">
        <v>1129</v>
      </c>
      <c r="E6" s="184">
        <v>867.48327900000004</v>
      </c>
      <c r="F6" s="184">
        <v>823.28128300000003</v>
      </c>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70</v>
      </c>
      <c r="C13" s="193">
        <v>2340</v>
      </c>
      <c r="D13" s="184">
        <v>1390.845307</v>
      </c>
      <c r="E13" s="184">
        <v>337.25969199999997</v>
      </c>
      <c r="F13" s="184">
        <v>572.18514300000004</v>
      </c>
      <c r="G13" s="184"/>
      <c r="H13" s="184"/>
      <c r="I13" s="184"/>
      <c r="J13" s="184"/>
      <c r="K13" s="184"/>
      <c r="L13" s="184"/>
      <c r="M13" s="184"/>
    </row>
    <row r="14" spans="2:13" x14ac:dyDescent="0.35">
      <c r="B14" s="40" t="s">
        <v>52</v>
      </c>
      <c r="C14" s="193">
        <v>519</v>
      </c>
      <c r="D14" s="184">
        <v>860.83482800000002</v>
      </c>
      <c r="E14" s="184">
        <v>1349.107495</v>
      </c>
      <c r="F14" s="184">
        <v>2530.7695309999999</v>
      </c>
      <c r="G14" s="184"/>
      <c r="H14" s="184"/>
      <c r="I14" s="184"/>
      <c r="J14" s="184"/>
      <c r="K14" s="184"/>
      <c r="L14" s="184"/>
      <c r="M14" s="184"/>
    </row>
    <row r="15" spans="2:13" x14ac:dyDescent="0.35">
      <c r="B15" s="43" t="s">
        <v>44</v>
      </c>
      <c r="C15" s="195">
        <v>4251</v>
      </c>
      <c r="D15" s="185">
        <v>5880</v>
      </c>
      <c r="E15" s="185">
        <v>5735.3965490000001</v>
      </c>
      <c r="F15" s="185">
        <v>9646.0369900000005</v>
      </c>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v>181.018</v>
      </c>
      <c r="F19" s="184">
        <v>186.14699999999999</v>
      </c>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-930.64086357333326</v>
      </c>
      <c r="D73" s="191">
        <f>(Normalized_FCF!C25+Normalized_FCF!C35-Normalized_FCF!C91)/12</f>
        <v>-909.4058419702136</v>
      </c>
      <c r="F73" s="1" t="s">
        <v>387</v>
      </c>
    </row>
    <row r="74" spans="2:6" ht="15" customHeight="1" x14ac:dyDescent="0.35">
      <c r="B74" s="294" t="s">
        <v>351</v>
      </c>
      <c r="C74" s="295">
        <f>-$C$66/C73</f>
        <v>51.232437631128107</v>
      </c>
      <c r="D74" s="295">
        <f>-$C$66/D73</f>
        <v>52.428737313479523</v>
      </c>
      <c r="F74" s="289" t="s">
        <v>348</v>
      </c>
    </row>
    <row r="75" spans="2:6" ht="15" customHeight="1" x14ac:dyDescent="0.35">
      <c r="B75" s="82" t="s">
        <v>349</v>
      </c>
      <c r="C75" s="299"/>
      <c r="D75" s="298">
        <f>MAX(-D73*D76,G5)</f>
        <v>5456.4350518212814</v>
      </c>
      <c r="F75" s="289" t="s">
        <v>388</v>
      </c>
    </row>
    <row r="76" spans="2:6" ht="15" customHeight="1" x14ac:dyDescent="0.35">
      <c r="B76" s="296" t="s">
        <v>352</v>
      </c>
      <c r="C76" s="297"/>
      <c r="D76" s="333">
        <f>IF(D74&lt;=3,1,IF(D74&gt;18,6,2))</f>
        <v>6</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365</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366</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381</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369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7.4454428754813853E-2</v>
      </c>
      <c r="E93" s="308"/>
      <c r="G93" s="23">
        <f t="shared" ref="G93:Q93" si="39">IF(G$4="","",G90/Market_Price)</f>
        <v>7.4454428754813853E-2</v>
      </c>
      <c r="H93" s="23">
        <f t="shared" si="39"/>
        <v>7.4454428754813853E-2</v>
      </c>
      <c r="I93" s="23">
        <f t="shared" si="39"/>
        <v>7.3170731707317069E-2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3.9653192809019897E-2</v>
      </c>
      <c r="D121" s="27"/>
      <c r="E121" s="305"/>
      <c r="F121" s="27"/>
      <c r="G121" s="79">
        <f t="shared" ref="G121" si="50">IF(G$4="","",G120/Market_Price)</f>
        <v>4.355699079268386E-2</v>
      </c>
      <c r="H121" s="79">
        <f t="shared" ref="H121" si="51">IF(H$4="","",H120/Market_Price)</f>
        <v>7.0745118837874613E-2</v>
      </c>
      <c r="I121" s="79">
        <f t="shared" ref="I121" si="52">IF(I$4="","",I120/Market_Price)</f>
        <v>9.6160993063958478E-2</v>
      </c>
      <c r="J121" s="79">
        <f t="shared" ref="J121" si="53">IF(J$4="","",J120/Market_Price)</f>
        <v>0.15790852092272536</v>
      </c>
      <c r="K121" s="79">
        <f t="shared" ref="K121" si="54">IF(K$4="","",K120/Market_Price)</f>
        <v>5.4195054853335624E-2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-0.28945840615733698</v>
      </c>
      <c r="D12" s="162"/>
      <c r="E12" s="346"/>
      <c r="F12" s="346"/>
      <c r="H12" s="282">
        <v>9</v>
      </c>
      <c r="I12" s="270" t="str">
        <f t="shared" si="0"/>
        <v/>
      </c>
    </row>
    <row r="13" spans="2:9" x14ac:dyDescent="0.35">
      <c r="B13" s="152" t="s">
        <v>156</v>
      </c>
      <c r="C13" s="162">
        <f ca="1">(Normalized_FCF!G8/OFFSET(Normalized_FCF!G8, 0, $C$4))^(1/$C$4) - 1</f>
        <v>-0.42686307479092267</v>
      </c>
      <c r="E13" s="346"/>
      <c r="F13" s="346"/>
      <c r="H13" s="282">
        <v>10</v>
      </c>
      <c r="I13" s="270" t="str">
        <f t="shared" si="0"/>
        <v/>
      </c>
    </row>
    <row r="14" spans="2:9" x14ac:dyDescent="0.35">
      <c r="B14" s="103" t="s">
        <v>69</v>
      </c>
      <c r="C14" s="162">
        <f ca="1">(Normalized_FCF!G19/OFFSET(Normalized_FCF!G19, 0, $C$4))^(1/$C$4) - 1</f>
        <v>-0.34904529928871464</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10</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7.79</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345</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8">
        <f>Thesis!E20</f>
        <v>3</v>
      </c>
    </row>
    <row r="62" spans="2:6" ht="13.9" x14ac:dyDescent="0.45">
      <c r="B62" s="36" t="s">
        <v>385</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386</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382</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7.79</v>
      </c>
      <c r="D86" t="str">
        <f>Market_currency</f>
        <v>HKD</v>
      </c>
    </row>
    <row r="87" spans="2:8" ht="13.15" x14ac:dyDescent="0.4">
      <c r="B87" s="103" t="s">
        <v>324</v>
      </c>
      <c r="C87" s="271">
        <f ca="1">IRR(OFFSET($I$3, 0, 0, $C$76 + 1, 1))</f>
        <v>0.12411921460409614</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2025-03-28T05:32:29Z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