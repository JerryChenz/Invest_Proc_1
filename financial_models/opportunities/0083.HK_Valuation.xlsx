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5C94B14-D3A0-475E-9E76-C9280B29A054}"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<sst xmlns="http://schemas.openxmlformats.org/spreadsheetml/2006/main" count="686" uniqueCount="465">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</sst>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8.6999999999999993</v>
      </c>
      <c r="D12" s="50"/>
      <c r="E12" s="48"/>
    </row>
    <row r="13" spans="1:10">
      <c r="B13" s="1" t="s">
        <v>412</v>
      </c>
      <c r="C13" s="48" t="s">
        <v>393</v>
      </c>
      <c r="D13" s="48"/>
      <c r="E13" s="5"/>
    </row>
    <row r="14" spans="1:10">
      <c r="B14" s="4" t="s">
        <v>416</v>
      </c>
      <c r="C14" s="35">
        <f>Thesis!C12*Common_Shares/1000000</f>
        <v>71095.355443199995</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8.9955518814969215E-2</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2591.8202592374382</v>
      </c>
      <c r="D41" s="1" t="str">
        <f>Reporting_currency</f>
        <v>HKD</v>
      </c>
    </row>
    <row r="42" spans="1:6">
      <c r="B42" s="47"/>
      <c r="C42" s="76"/>
    </row>
    <row r="43" spans="1:6" ht="24.6" customHeight="1">
      <c r="B43" s="359" t="s">
        <v>232</v>
      </c>
      <c r="C43" s="359"/>
      <c r="D43" s="359"/>
      <c r="E43" s="359"/>
      <c r="F43" s="359"/>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59" t="s">
        <v>235</v>
      </c>
      <c r="C47" s="359"/>
      <c r="D47" s="359"/>
      <c r="E47" s="359"/>
      <c r="F47" s="359"/>
    </row>
    <row r="48" spans="1:6">
      <c r="B48" s="47" t="s">
        <v>236</v>
      </c>
      <c r="C48" s="349">
        <f>Normalized_FCF!C11</f>
        <v>639</v>
      </c>
      <c r="D48" s="1" t="str">
        <f>Reporting_currency</f>
        <v>HKD</v>
      </c>
    </row>
    <row r="50" spans="2:6">
      <c r="B50" s="359" t="s">
        <v>239</v>
      </c>
      <c r="C50" s="359"/>
      <c r="D50" s="359"/>
      <c r="E50" s="359"/>
      <c r="F50" s="359"/>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59" t="s">
        <v>240</v>
      </c>
      <c r="C58" s="359"/>
      <c r="D58" s="359"/>
      <c r="E58" s="359"/>
      <c r="F58" s="359"/>
    </row>
    <row r="59" spans="2:6">
      <c r="B59" s="47" t="s">
        <v>238</v>
      </c>
      <c r="C59" s="349">
        <f>Normalized_FCF!C14</f>
        <v>-804.36319459009837</v>
      </c>
      <c r="D59" s="1" t="str">
        <f>Reporting_currency</f>
        <v>HKD</v>
      </c>
    </row>
    <row r="61" spans="2:6">
      <c r="B61" s="359" t="s">
        <v>335</v>
      </c>
      <c r="C61" s="362"/>
      <c r="D61" s="362"/>
      <c r="E61" s="362"/>
      <c r="F61" s="362"/>
    </row>
    <row r="62" spans="2:6">
      <c r="B62" s="47" t="s">
        <v>241</v>
      </c>
      <c r="C62" s="349">
        <f>Normalized_FCF!C17</f>
        <v>0</v>
      </c>
      <c r="D62" s="1" t="str">
        <f>Reporting_currency</f>
        <v>HKD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3.5505559997961497E-2</v>
      </c>
      <c r="F69" s="314"/>
    </row>
    <row r="70" spans="1:6">
      <c r="B70" s="227" t="s">
        <v>454</v>
      </c>
      <c r="C70" s="92">
        <f>Normalized_FCF!C94</f>
        <v>6.6666666666666666E-2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58" t="s">
        <v>363</v>
      </c>
      <c r="C116" s="358"/>
      <c r="D116" s="358"/>
      <c r="E116" s="358"/>
      <c r="F116" s="358"/>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6.6666666666666666E-2</v>
      </c>
      <c r="E94" s="268"/>
      <c r="G94" s="23">
        <f t="shared" ref="G94:Q94" si="39">IF(G$4="","",(G90*(1-dividend_tax_rate))/Market_Price)</f>
        <v>6.6666666666666666E-2</v>
      </c>
      <c r="H94" s="23">
        <f t="shared" si="39"/>
        <v>6.6666666666666666E-2</v>
      </c>
      <c r="I94" s="23">
        <f t="shared" si="39"/>
        <v>6.5517241379310351E-2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3.5505559997961497E-2</v>
      </c>
      <c r="D126" s="27"/>
      <c r="E126" s="265"/>
      <c r="F126" s="27"/>
      <c r="G126" s="77">
        <f t="shared" ref="G126" si="50">IF(G$4="","",G125/Market_Price)</f>
        <v>3.900102968678245E-2</v>
      </c>
      <c r="H126" s="77">
        <f t="shared" ref="H126" si="51">IF(H$4="","",H125/Market_Price)</f>
        <v>6.3345342039890035E-2</v>
      </c>
      <c r="I126" s="77">
        <f t="shared" ref="I126" si="52">IF(I$4="","",I125/Market_Price)</f>
        <v>8.3556644493325685E-2</v>
      </c>
      <c r="J126" s="77">
        <f t="shared" ref="J126" si="53">IF(J$4="","",J125/Market_Price)</f>
        <v>0.13877338033970846</v>
      </c>
      <c r="K126" s="77">
        <f t="shared" ref="K126" si="54">IF(K$4="","",K125/Market_Price)</f>
        <v>4.8526376702009717E-2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5.9792935466737189E-2</v>
      </c>
      <c r="H127" s="23">
        <f>IF(H$4="","",(Data!D47*$C$3)/(Market_Price*Common_Shares))</f>
        <v>8.2705824639946995E-2</v>
      </c>
      <c r="I127" s="23">
        <f>IF(I$4="","",(Data!E47*$C$3)/(Market_Price*Common_Shares))</f>
        <v>8.0671887962950883E-2</v>
      </c>
      <c r="J127" s="23">
        <f>IF(J$4="","",(Data!F47*$C$3)/(Market_Price*Common_Shares))</f>
        <v>0.13567745642268403</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-8.6999999999999993</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8.6999999999999993</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8.6999999999999993</v>
      </c>
      <c r="D86" t="str">
        <f>Market_currency</f>
        <v>HKD</v>
      </c>
    </row>
    <row r="87" spans="2:8" ht="13.15">
      <c r="B87" s="100" t="s">
        <v>297</v>
      </c>
      <c r="C87" s="237">
        <f ca="1">IRR(OFFSET($I$3, 0, 0, $C$76 + 1, 1))</f>
        <v>8.9955518814969215E-2</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2025-07-03T09:23:40Z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