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2C6E6F-5B81-46C1-A24B-C3432F3A4FA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160" i="6"/>
  <c r="D164" i="6"/>
  <c r="C164" i="6"/>
  <c r="C102" i="9"/>
  <c r="D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70" i="8"/>
  <c r="E66" i="8"/>
  <c r="D71" i="8"/>
  <c r="D70" i="8"/>
  <c r="D68" i="8"/>
  <c r="C68" i="8"/>
  <c r="E67" i="8"/>
  <c r="B70" i="8"/>
  <c r="C66" i="8"/>
  <c r="E70" i="8"/>
  <c r="F71" i="8"/>
  <c r="E69" i="8"/>
  <c r="C69" i="8"/>
  <c r="B68" i="8"/>
  <c r="B67" i="8"/>
  <c r="D66" i="8"/>
  <c r="B66" i="8"/>
  <c r="G54" i="2"/>
  <c r="C67" i="8" l="1"/>
  <c r="F69"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<sst xmlns="http://schemas.openxmlformats.org/spreadsheetml/2006/main" count="639" uniqueCount="443">
  <si>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</si>
  <si>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</si>
  <si>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</si>
  <si>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</si>
  <si>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</si>
  <si>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</si>
  <si>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</si>
  <si>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</si>
  <si>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</si>
  <si>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</si>
  <si>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</si>
  <si>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</si>
  <si>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</si>
  <si>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</si>
  <si>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</si>
  <si>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</si>
  <si>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</si>
  <si>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</si>
  <si>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</si>
  <si>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</si>
  <si>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</si>
  <si>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</si>
  <si>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</si>
  <si>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</si>
  <si>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</si>
  <si>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</si>
  <si>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</si>
  <si>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</si>
  <si>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</si>
  <si>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</si>
  <si>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</si>
  <si>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</si>
  <si>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</si>
  <si>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</si>
  <si>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</si>
  <si>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</si>
  <si>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</si>
  <si>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</si>
  <si>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</si>
  <si>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</si>
  <si>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</si>
  <si>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</si>
  <si>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</si>
  <si>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</si>
  <si>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</si>
  <si>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</si>
  <si>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</si>
  <si>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</si>
  <si>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</si>
  <si>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</si>
  <si>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</si>
  <si>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</si>
  <si>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</si>
  <si>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</si>
  <si>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</si>
  <si>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</si>
  <si>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</si>
  <si>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</si>
  <si>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</si>
  <si>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</si>
  <si>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</si>
  <si>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</si>
  <si>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</si>
  <si>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</si>
  <si>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</si>
  <si>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</si>
  <si>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</si>
  <si>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</si>
  <si>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</si>
  <si>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</si>
  <si>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</si>
  <si>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</si>
  <si>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</si>
  <si>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</si>
  <si>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</si>
  <si>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</si>
  <si>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</si>
  <si>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</si>
  <si>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</si>
  <si>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</si>
  <si>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</si>
  <si>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</si>
  <si>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</si>
  <si>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</si>
  <si>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</si>
  <si>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</si>
  <si>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</si>
  <si>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</si>
  <si>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</si>
  <si>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</si>
  <si>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</si>
  <si>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</si>
  <si>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</si>
  <si>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</si>
  <si>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</si>
  <si>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</si>
  <si>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</si>
  <si>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</si>
  <si>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</si>
  <si>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</si>
  <si>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</si>
  <si>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</si>
  <si>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</si>
  <si>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</si>
  <si>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</si>
  <si>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</si>
  <si>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</si>
  <si>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</si>
  <si>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</si>
  <si>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</si>
  <si>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</si>
  <si>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</si>
  <si>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</si>
  <si>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</si>
  <si>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</si>
  <si>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</si>
  <si>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</si>
  <si>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</si>
  <si>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</si>
  <si>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</si>
  <si>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</si>
  <si>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</si>
  <si>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</si>
  <si>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</si>
  <si>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</si>
  <si>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</si>
  <si>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</si>
  <si>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</si>
  <si>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</si>
  <si>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</si>
  <si>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</si>
  <si>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</si>
  <si>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</si>
  <si>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</si>
  <si>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</si>
  <si>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</si>
  <si>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</si>
  <si>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</si>
  <si>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</si>
  <si>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</si>
  <si>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</si>
  <si>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</si>
  <si>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</si>
  <si>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</si>
  <si>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</si>
  <si>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</si>
  <si>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</si>
  <si>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</si>
  <si>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</si>
  <si>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</si>
  <si>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</si>
  <si>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</si>
  <si>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</si>
  <si>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</si>
  <si>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</si>
  <si>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</si>
  <si>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</si>
  <si>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</si>
  <si>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</si>
  <si>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</si>
  <si>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</si>
  <si>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</si>
  <si>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</si>
  <si>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</si>
  <si>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</si>
  <si>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</si>
  <si>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</si>
  <si>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</si>
  <si>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</si>
  <si>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</si>
  <si>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</si>
  <si>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</si>
  <si>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</si>
  <si>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</si>
  <si>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</si>
  <si>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</si>
  <si>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</si>
  <si>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</si>
  <si>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</si>
  <si>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</si>
  <si>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</si>
  <si>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</si>
  <si>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</si>
  <si>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</si>
  <si>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</si>
  <si>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</si>
  <si>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</si>
  <si>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</si>
  <si>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</si>
  <si>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</si>
  <si>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</si>
  <si>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</si>
  <si>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</si>
  <si>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</si>
  <si>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</si>
  <si>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</si>
  <si>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</si>
  <si>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</si>
  <si>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</si>
  <si>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</si>
  <si>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</si>
  <si>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</si>
  <si>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</si>
  <si>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</si>
  <si>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</si>
  <si>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</si>
  <si>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</si>
  <si>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</si>
  <si>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</si>
  <si>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</si>
  <si>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</si>
  <si>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</si>
  <si>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</si>
  <si>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</si>
  <si>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</si>
  <si>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</si>
  <si>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</si>
  <si>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</si>
  <si>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</si>
  <si>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</si>
  <si>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</si>
  <si>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</si>
  <si>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</si>
  <si>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</si>
  <si>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</si>
  <si>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</si>
  <si>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</si>
  <si>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</si>
  <si>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</si>
  <si>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</si>
  <si>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</si>
  <si>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</si>
  <si>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</si>
  <si>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</si>
  <si>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</si>
  <si>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</si>
  <si>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</si>
  <si>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</si>
  <si>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</si>
  <si>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</si>
  <si>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</si>
  <si>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</si>
  <si>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</si>
  <si>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</si>
  <si>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</si>
  <si>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</si>
  <si>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</si>
  <si>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</si>
  <si>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</si>
  <si>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</si>
  <si>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</si>
  <si>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</si>
  <si>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</si>
  <si>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</si>
  <si>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</si>
  <si>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</si>
  <si>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</si>
  <si>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</si>
  <si>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</si>
  <si>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</si>
  <si>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</si>
  <si>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</si>
  <si>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</si>
  <si>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</si>
  <si>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</si>
  <si>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</si>
  <si>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</si>
  <si>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</si>
  <si>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</si>
  <si>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</si>
  <si>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</si>
  <si>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</si>
  <si>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</si>
  <si>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</si>
  <si>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</si>
  <si>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</si>
  <si>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</si>
  <si>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</si>
  <si>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</si>
  <si>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</si>
  <si>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</si>
  <si>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</si>
  <si>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</si>
  <si>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</si>
  <si>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</si>
  <si>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</si>
  <si>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</si>
  <si>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</si>
  <si>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</si>
  <si>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</si>
  <si>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</si>
  <si>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</si>
  <si>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</si>
  <si>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</si>
  <si>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</si>
  <si>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</si>
  <si>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</si>
  <si>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</si>
  <si>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</si>
  <si>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</si>
  <si>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</si>
  <si>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</si>
  <si>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</si>
  <si>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</si>
  <si>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</si>
  <si>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</si>
  <si>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</si>
  <si>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</si>
  <si>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</si>
  <si>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</si>
  <si>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</si>
  <si>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</si>
  <si>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</si>
  <si>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</si>
  <si>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</si>
  <si>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</si>
  <si>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</si>
  <si>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</si>
  <si>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</si>
  <si>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</si>
  <si>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</si>
  <si>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</si>
  <si>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</si>
  <si>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</si>
  <si>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</si>
  <si>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</si>
  <si>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</si>
  <si>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</si>
  <si>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</si>
  <si>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</si>
  <si>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</si>
  <si>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</si>
  <si>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</si>
  <si>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</si>
  <si>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</si>
  <si>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</si>
  <si>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</si>
  <si>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</si>
  <si>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</si>
  <si>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</si>
  <si>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</si>
  <si>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</si>
  <si>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</si>
  <si>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</si>
  <si>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</si>
  <si>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</si>
  <si>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</si>
  <si>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</si>
  <si>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</si>
  <si>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</si>
  <si>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</si>
  <si>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</si>
  <si>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</si>
  <si>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</si>
  <si>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</si>
  <si>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</si>
  <si>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</si>
  <si>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</si>
  <si>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</si>
  <si>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</si>
  <si>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</si>
  <si>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</si>
  <si>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</si>
  <si>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</si>
  <si>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</si>
  <si>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</si>
  <si>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</si>
  <si>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</si>
  <si>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</si>
  <si>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</si>
  <si>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</si>
  <si>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</si>
  <si>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</si>
  <si>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</si>
  <si>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</si>
  <si>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</si>
  <si>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</si>
  <si>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</si>
  <si>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</si>
  <si>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</si>
  <si>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</si>
  <si>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</si>
  <si>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</si>
  <si>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</si>
  <si>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</si>
  <si>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</si>
  <si>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</si>
  <si>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</si>
  <si>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</si>
  <si>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</si>
  <si>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</si>
  <si>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</si>
  <si>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</si>
  <si>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</si>
  <si>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</si>
  <si>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</si>
  <si>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</si>
  <si>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</si>
  <si>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</si>
  <si>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</si>
  <si>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</si>
  <si>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</si>
  <si>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</si>
  <si>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</si>
  <si>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</si>
  <si>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</si>
  <si>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</si>
  <si>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</si>
  <si>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</si>
  <si>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</si>
  <si>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</si>
  <si>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</si>
  <si>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</si>
  <si>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</si>
  <si>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</si>
  <si>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</si>
  <si>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</si>
  <si>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</si>
  <si>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</si>
  <si>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</si>
  <si>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</si>
  <si>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</si>
  <si>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</si>
  <si>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</si>
  <si>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</si>
  <si>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</si>
  <si>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</si>
  <si>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</si>
  <si>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</si>
  <si>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</si>
  <si>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</si>
  <si>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in contrast to a benchmark yield of</t>
  </si>
  <si>
    <t>Exit Price Output</t>
  </si>
  <si>
    <t>Benchmark Yield</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</si>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</sst>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434</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435</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436</v>
      </c>
      <c r="D11" s="49" t="s">
        <v>437</v>
      </c>
      <c r="E11" s="34"/>
    </row>
    <row r="12" spans="1:10">
      <c r="B12" s="4" t="s">
        <v>95</v>
      </c>
      <c r="C12" s="50">
        <v>8.1199999999999992</v>
      </c>
      <c r="D12" s="50"/>
      <c r="E12" s="48"/>
    </row>
    <row r="13" spans="1:10">
      <c r="B13" s="1" t="s">
        <v>425</v>
      </c>
      <c r="C13" s="48" t="s">
        <v>404</v>
      </c>
      <c r="D13" s="48"/>
      <c r="E13" s="5"/>
    </row>
    <row r="14" spans="1:10">
      <c r="B14" s="4" t="s">
        <v>429</v>
      </c>
      <c r="C14" s="35">
        <f>Thesis!C12*Common_Shares/1000000</f>
        <v>66355.665080319988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438</v>
      </c>
      <c r="E23" s="5"/>
    </row>
    <row r="24" spans="1:6">
      <c r="B24" s="2" t="s">
        <v>277</v>
      </c>
      <c r="C24" s="249">
        <v>0.4</v>
      </c>
      <c r="D24" s="1" t="s">
        <v>417</v>
      </c>
      <c r="E24" s="339">
        <v>0.2</v>
      </c>
    </row>
    <row r="25" spans="1:6">
      <c r="B25" s="2" t="str">
        <f>"Target Buy Price ("&amp;Market_currency&amp;"):"</f>
        <v>Target Buy Price (HKD):</v>
      </c>
      <c r="C25" s="252">
        <f>C139</f>
        <v>4.2607908145732249</v>
      </c>
      <c r="D25" s="1" t="s">
        <v>315</v>
      </c>
      <c r="E25" s="330">
        <v>3</v>
      </c>
    </row>
    <row r="26" spans="1:6">
      <c r="B26" s="1" t="s">
        <v>407</v>
      </c>
      <c r="C26" s="280">
        <f ca="1">Scenarios!C87</f>
        <v>0.10986015090978096</v>
      </c>
      <c r="D26" s="1" t="s">
        <v>431</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2591.8202592374382</v>
      </c>
      <c r="D35" s="1" t="str">
        <f>Reporting_currency</f>
        <v>HKD</v>
      </c>
    </row>
    <row r="36" spans="2:6">
      <c r="B36" s="47"/>
      <c r="C36" s="76"/>
    </row>
    <row r="37" spans="2:6" ht="24.4" customHeight="1">
      <c r="B37" s="344" t="s">
        <v>234</v>
      </c>
      <c r="C37" s="344"/>
      <c r="D37" s="344"/>
      <c r="E37" s="344"/>
      <c r="F37" s="344"/>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4" t="s">
        <v>237</v>
      </c>
      <c r="C41" s="344"/>
      <c r="D41" s="344"/>
      <c r="E41" s="344"/>
      <c r="F41" s="344"/>
    </row>
    <row r="42" spans="2:6">
      <c r="B42" s="47" t="s">
        <v>238</v>
      </c>
      <c r="C42" s="188">
        <f>Normalized_FCF!C11</f>
        <v>639</v>
      </c>
      <c r="D42" s="1" t="str">
        <f>Reporting_currency</f>
        <v>HKD</v>
      </c>
    </row>
    <row r="44" spans="2:6">
      <c r="B44" s="344" t="s">
        <v>241</v>
      </c>
      <c r="C44" s="344"/>
      <c r="D44" s="344"/>
      <c r="E44" s="344"/>
      <c r="F44" s="344"/>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4" t="s">
        <v>242</v>
      </c>
      <c r="C52" s="344"/>
      <c r="D52" s="344"/>
      <c r="E52" s="344"/>
      <c r="F52" s="344"/>
    </row>
    <row r="53" spans="2:6">
      <c r="B53" s="47" t="s">
        <v>240</v>
      </c>
      <c r="C53" s="188">
        <f>Normalized_FCF!C14</f>
        <v>-804.36319459009837</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3.804167142638732E-2</v>
      </c>
    </row>
    <row r="64" spans="2:6">
      <c r="B64" s="254" t="s">
        <v>316</v>
      </c>
      <c r="C64" s="92">
        <f>Normalized_FCF!C93</f>
        <v>7.1428571428571425E-2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0.01</v>
      </c>
      <c r="D73" s="286" t="s">
        <v>434</v>
      </c>
    </row>
    <row r="74" spans="1:6">
      <c r="B74" s="1" t="s">
        <v>289</v>
      </c>
      <c r="C74" s="263">
        <f>IF(D74="Y",1%,0)</f>
        <v>0</v>
      </c>
      <c r="D74" s="286" t="s">
        <v>439</v>
      </c>
    </row>
    <row r="75" spans="1:6">
      <c r="B75" s="80" t="s">
        <v>248</v>
      </c>
      <c r="C75" s="263">
        <f>SUM(C72:C74)</f>
        <v>0.09</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3" t="s">
        <v>374</v>
      </c>
      <c r="C106" s="343"/>
      <c r="D106" s="343"/>
      <c r="E106" s="343"/>
      <c r="F106" s="343"/>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0.4</v>
      </c>
    </row>
    <row r="137" spans="2:6">
      <c r="B137" s="236" t="str">
        <f>"PV("&amp;C131&amp;" yrs of Dividends)"</f>
        <v>PV(3 yrs of Dividends)</v>
      </c>
      <c r="C137" s="240">
        <f>Scenarios!C81</f>
        <v>0.92157434402332328</v>
      </c>
    </row>
    <row r="138" spans="2:6">
      <c r="B138" s="236" t="str">
        <f>"+ PV(Equity Value realized at year "&amp;C131&amp;")"</f>
        <v>+ PV(Equity Value realized at year 3)</v>
      </c>
      <c r="C138" s="240">
        <f>Scenarios!C82</f>
        <v>3.3392164705499021</v>
      </c>
    </row>
    <row r="139" spans="2:6">
      <c r="B139" s="80" t="s">
        <v>261</v>
      </c>
      <c r="C139" s="239">
        <f>Scenarios!C83</f>
        <v>4.2607908145732249</v>
      </c>
      <c r="D139" s="342" t="str">
        <f>IF($D$11="","",C139*$E$22)</f>
        <v/>
      </c>
    </row>
    <row r="140" spans="2:6">
      <c r="B140" s="290" t="s">
        <v>425</v>
      </c>
      <c r="C140" s="340" t="str">
        <f>Market_currency</f>
        <v>HKD</v>
      </c>
      <c r="D140" s="340" t="str">
        <f>IF($D$11="","",D$13)</f>
        <v/>
      </c>
    </row>
    <row r="141" spans="2:6">
      <c r="B141" s="238" t="s">
        <v>263</v>
      </c>
      <c r="C141" s="92">
        <f>Scenarios!F83</f>
        <v>0.53499081430146245</v>
      </c>
    </row>
    <row r="143" spans="2:6">
      <c r="B143" s="234" t="s">
        <v>421</v>
      </c>
    </row>
    <row r="144" spans="2:6">
      <c r="B144" s="1" t="s">
        <v>420</v>
      </c>
      <c r="C144" s="337">
        <f>Scenarios!C90</f>
        <v>0.2</v>
      </c>
    </row>
    <row r="145" spans="2:4">
      <c r="B145" s="236" t="str">
        <f>"PV("&amp;C131&amp;" yrs of Dividends)"</f>
        <v>PV(3 yrs of Dividends)</v>
      </c>
      <c r="C145" s="240">
        <f>Scenarios!C91</f>
        <v>1.2217592592592592</v>
      </c>
    </row>
    <row r="146" spans="2:4">
      <c r="B146" s="236" t="str">
        <f>"+ PV(Equity Value realized at year "&amp;C131&amp;")"</f>
        <v>+ PV(Equity Value realized at year 3)</v>
      </c>
      <c r="C146" s="240">
        <f>Scenarios!C92</f>
        <v>5.3025520805491491</v>
      </c>
    </row>
    <row r="147" spans="2:4">
      <c r="B147" s="80" t="s">
        <v>261</v>
      </c>
      <c r="C147" s="239">
        <f>Scenarios!C93</f>
        <v>6.5243113398084081</v>
      </c>
      <c r="D147" s="342" t="str">
        <f>IF($D$11="","",C147*$E$22)</f>
        <v/>
      </c>
    </row>
    <row r="148" spans="2:4">
      <c r="B148" s="290" t="s">
        <v>425</v>
      </c>
      <c r="C148" s="340" t="str">
        <f>Market_currency</f>
        <v>HKD</v>
      </c>
      <c r="D148" s="340" t="str">
        <f>IF($D$11="","",D$13)</f>
        <v/>
      </c>
    </row>
    <row r="149" spans="2:4">
      <c r="B149" s="238" t="s">
        <v>263</v>
      </c>
      <c r="C149" s="92">
        <f>Scenarios!F93</f>
        <v>0.28795736862009635</v>
      </c>
    </row>
    <row r="151" spans="2:4">
      <c r="B151" s="234" t="s">
        <v>408</v>
      </c>
    </row>
    <row r="152" spans="2:4">
      <c r="B152" s="1" t="s">
        <v>419</v>
      </c>
      <c r="C152" s="92">
        <f>Scenarios!C96</f>
        <v>0.08</v>
      </c>
    </row>
    <row r="153" spans="2:4">
      <c r="B153" s="236" t="str">
        <f>"PV("&amp;C131&amp;" yrs of Dividends)"</f>
        <v>PV(3 yrs of Dividends)</v>
      </c>
      <c r="C153" s="240">
        <f>Scenarios!C97</f>
        <v>1.4947162526037703</v>
      </c>
    </row>
    <row r="154" spans="2:4">
      <c r="B154" s="236" t="str">
        <f>"+ PV(Equity Value realized at year "&amp;C131&amp;")"</f>
        <v>+ PV(Equity Value realized at year 3)</v>
      </c>
      <c r="C154" s="240">
        <f>Scenarios!C98</f>
        <v>7.2737339925228373</v>
      </c>
    </row>
    <row r="155" spans="2:4">
      <c r="B155" s="80" t="s">
        <v>409</v>
      </c>
      <c r="C155" s="239">
        <f>Scenarios!C99</f>
        <v>8.7684502451266084</v>
      </c>
      <c r="D155" s="342" t="str">
        <f>IF($D$11="","",C155*$E$22)</f>
        <v/>
      </c>
    </row>
    <row r="156" spans="2:4">
      <c r="B156" s="290" t="s">
        <v>425</v>
      </c>
      <c r="C156" s="340" t="str">
        <f>Market_currency</f>
        <v>HKD</v>
      </c>
      <c r="D156" s="340" t="str">
        <f>IF($D$11="","",D$13)</f>
        <v/>
      </c>
    </row>
    <row r="157" spans="2:4">
      <c r="B157" s="238" t="s">
        <v>263</v>
      </c>
      <c r="C157" s="92">
        <f>Scenarios!F99</f>
        <v>4.3039171418962741E-2</v>
      </c>
    </row>
    <row r="159" spans="2:4">
      <c r="B159" s="234" t="s">
        <v>408</v>
      </c>
    </row>
    <row r="160" spans="2:4">
      <c r="B160" s="1" t="s">
        <v>433</v>
      </c>
      <c r="C160" s="92">
        <f>E26</f>
        <v>0.1174</v>
      </c>
    </row>
    <row r="161" spans="1:6">
      <c r="B161" s="236" t="str">
        <f>"PV("&amp;C131&amp;" yrs of Dividends)"</f>
        <v>PV(3 yrs of Dividends)</v>
      </c>
      <c r="C161" s="240">
        <f>Scenarios!C103</f>
        <v>1.3993098130444164</v>
      </c>
    </row>
    <row r="162" spans="1:6">
      <c r="B162" s="236" t="str">
        <f>"+ PV(Equity Value realized at year "&amp;C131&amp;")"</f>
        <v>+ PV(Equity Value realized at year 3)</v>
      </c>
      <c r="C162" s="240">
        <f>Scenarios!C104</f>
        <v>6.5675392932715786</v>
      </c>
    </row>
    <row r="163" spans="1:6">
      <c r="B163" s="80" t="s">
        <v>409</v>
      </c>
      <c r="C163" s="239">
        <f>Scenarios!C105</f>
        <v>7.966849106315995</v>
      </c>
      <c r="D163" s="342" t="str">
        <f>IF($D$11="","",C163*$E$22)</f>
        <v/>
      </c>
    </row>
    <row r="164" spans="1:6">
      <c r="B164" s="290" t="s">
        <v>425</v>
      </c>
      <c r="C164" s="340" t="str">
        <f>Market_currency</f>
        <v>HKD</v>
      </c>
      <c r="D164" s="340" t="str">
        <f>IF($D$11="","",D$13)</f>
        <v/>
      </c>
    </row>
    <row r="165" spans="1:6">
      <c r="B165" s="238" t="s">
        <v>263</v>
      </c>
      <c r="C165" s="92">
        <f>Scenarios!F105</f>
        <v>0.13025949634145928</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440</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442</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7.1428571428571425E-2</v>
      </c>
      <c r="E93" s="302"/>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9"/>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-8.1199999999999992</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-0.34497687096016949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8.1199999999999992</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9">
        <f>(1-C83/C60)</f>
        <v>0.53499081430146245</v>
      </c>
    </row>
    <row r="84" spans="2:8">
      <c r="E84" s="121"/>
    </row>
    <row r="85" spans="2:8" ht="13.15">
      <c r="B85" s="109" t="s">
        <v>309</v>
      </c>
    </row>
    <row r="86" spans="2:8">
      <c r="B86" s="149" t="s">
        <v>307</v>
      </c>
      <c r="C86" s="266">
        <f>Market_Price</f>
        <v>8.1199999999999992</v>
      </c>
      <c r="D86" t="str">
        <f>Market_currency</f>
        <v>HKD</v>
      </c>
    </row>
    <row r="87" spans="2:8" ht="13.15">
      <c r="B87" s="100" t="s">
        <v>305</v>
      </c>
      <c r="C87" s="265">
        <f ca="1">IRR(OFFSET($I$3, 0, 0, $C$76 + 1, 1))</f>
        <v>0.10986015090978096</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3.15">
      <c r="B101" s="109" t="s">
        <v>432</v>
      </c>
    </row>
    <row r="102" spans="2:8">
      <c r="B102" s="149" t="s">
        <v>430</v>
      </c>
      <c r="C102" s="135">
        <f>Thesis!E26</f>
        <v>0.1174</v>
      </c>
    </row>
    <row r="103" spans="2:8">
      <c r="B103" s="100" t="s">
        <v>122</v>
      </c>
      <c r="C103" s="117">
        <f>PV(C102, C76, -C77, 0)</f>
        <v>1.3993098130444164</v>
      </c>
      <c r="D103" s="117"/>
    </row>
    <row r="104" spans="2:8">
      <c r="B104" s="100" t="s">
        <v>123</v>
      </c>
      <c r="C104" s="117">
        <f>C60/(1+C102)^C76</f>
        <v>6.5675392932715786</v>
      </c>
      <c r="D104" s="117"/>
    </row>
    <row r="105" spans="2:8" ht="13.15">
      <c r="B105" s="111" t="s">
        <v>406</v>
      </c>
      <c r="C105" s="112">
        <f>C103+C104</f>
        <v>7.966849106315995</v>
      </c>
      <c r="D105" t="s">
        <v>404</v>
      </c>
      <c r="E105" s="147" t="s">
        <v>127</v>
      </c>
      <c r="F105" s="329">
        <f>(1-C105/C66)</f>
        <v>0.13025949634145928</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