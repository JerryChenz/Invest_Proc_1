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DE7CEF7-02F1-494C-A79C-17464CB5512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<sst xmlns="http://schemas.openxmlformats.org/spreadsheetml/2006/main" count="556" uniqueCount="386">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</sst>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7.95</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64966.445491200007</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289">
        <f>Scenarios!C76</f>
        <v>3</v>
      </c>
    </row>
    <row r="21" spans="1:6" x14ac:dyDescent="0.35">
      <c r="B21" s="1" t="s">
        <v>343</v>
      </c>
      <c r="C21" s="288">
        <f ca="1">Scenarios!C87</f>
        <v>0.17086981192202799</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1000000</v>
      </c>
    </row>
    <row r="29" spans="1:6" ht="24.4" customHeight="1" x14ac:dyDescent="0.35">
      <c r="B29" s="331" t="s">
        <v>238</v>
      </c>
      <c r="C29" s="331"/>
      <c r="D29" s="331"/>
      <c r="E29" s="331"/>
      <c r="F29" s="331"/>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1" t="s">
        <v>243</v>
      </c>
      <c r="C36" s="331"/>
      <c r="D36" s="331"/>
      <c r="E36" s="331"/>
      <c r="F36" s="331"/>
    </row>
    <row r="37" spans="2:6" x14ac:dyDescent="0.35">
      <c r="B37" s="47" t="s">
        <v>244</v>
      </c>
      <c r="C37" s="192">
        <f>Normalized_FCF!C11</f>
        <v>639</v>
      </c>
      <c r="D37" s="1" t="str">
        <f>Reporting_currency</f>
        <v>HKD</v>
      </c>
    </row>
    <row r="39" spans="2:6" x14ac:dyDescent="0.35">
      <c r="B39" s="331" t="s">
        <v>247</v>
      </c>
      <c r="C39" s="331"/>
      <c r="D39" s="331"/>
      <c r="E39" s="331"/>
      <c r="F39" s="331"/>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1" t="s">
        <v>248</v>
      </c>
      <c r="C45" s="331"/>
      <c r="D45" s="331"/>
      <c r="E45" s="331"/>
      <c r="F45" s="331"/>
    </row>
    <row r="46" spans="2:6" x14ac:dyDescent="0.35">
      <c r="B46" s="47" t="s">
        <v>246</v>
      </c>
      <c r="C46" s="192">
        <f>Normalized_FCF!C14</f>
        <v>-1108.3656622169851</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5.3673167166822057E-2</v>
      </c>
    </row>
    <row r="56" spans="1:6" x14ac:dyDescent="0.35">
      <c r="B56" s="261" t="s">
        <v>345</v>
      </c>
      <c r="C56" s="94">
        <f>Normalized_FCF!C92</f>
        <v>7.2955974842767293E-2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29" t="s">
        <v>271</v>
      </c>
      <c r="C93" s="329"/>
      <c r="D93" s="329"/>
      <c r="E93" s="329"/>
      <c r="F93" s="329"/>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5">
        <v>0.6</v>
      </c>
      <c r="E4" s="25"/>
      <c r="F4" s="4" t="s">
        <v>82</v>
      </c>
      <c r="G4" s="19">
        <v>45665</v>
      </c>
      <c r="H4" s="305">
        <v>0.9</v>
      </c>
    </row>
    <row r="5" spans="2:8" ht="15" customHeight="1" x14ac:dyDescent="0.35">
      <c r="B5" s="1" t="s">
        <v>34</v>
      </c>
      <c r="C5" s="19">
        <v>0</v>
      </c>
      <c r="D5" s="305">
        <v>0.6</v>
      </c>
      <c r="E5" s="25"/>
      <c r="F5" s="1" t="s">
        <v>30</v>
      </c>
      <c r="G5" s="19">
        <v>2014</v>
      </c>
      <c r="H5" s="305">
        <v>0.7</v>
      </c>
    </row>
    <row r="6" spans="2:8" ht="15" customHeight="1" x14ac:dyDescent="0.35">
      <c r="B6" s="4" t="s">
        <v>11</v>
      </c>
      <c r="C6" s="19">
        <v>9844</v>
      </c>
      <c r="D6" s="305">
        <v>0.5</v>
      </c>
      <c r="E6" s="25"/>
      <c r="F6" s="4" t="s">
        <v>182</v>
      </c>
      <c r="G6" s="19">
        <v>156</v>
      </c>
      <c r="H6" s="305">
        <v>0.6</v>
      </c>
    </row>
    <row r="7" spans="2:8" ht="15" customHeight="1" x14ac:dyDescent="0.35">
      <c r="B7" s="1" t="s">
        <v>73</v>
      </c>
      <c r="C7" s="19">
        <v>5466</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5">
        <v>0.4</v>
      </c>
      <c r="F15" s="4" t="s">
        <v>83</v>
      </c>
      <c r="G15" s="19">
        <v>0</v>
      </c>
      <c r="H15" s="305">
        <v>0.8</v>
      </c>
    </row>
    <row r="16" spans="2:8" ht="15" customHeight="1" x14ac:dyDescent="0.35">
      <c r="B16" s="1" t="s">
        <v>35</v>
      </c>
      <c r="C16" s="19">
        <v>0</v>
      </c>
      <c r="D16" s="305">
        <v>0.5</v>
      </c>
      <c r="F16" s="4" t="s">
        <v>182</v>
      </c>
      <c r="G16" s="19">
        <v>1373</v>
      </c>
      <c r="H16" s="305">
        <v>0.6</v>
      </c>
    </row>
    <row r="17" spans="2:8" ht="15" customHeight="1" x14ac:dyDescent="0.35">
      <c r="B17" s="1" t="s">
        <v>73</v>
      </c>
      <c r="C17" s="19">
        <v>67668</v>
      </c>
      <c r="D17" s="305">
        <v>0.6</v>
      </c>
      <c r="F17" s="4" t="s">
        <v>183</v>
      </c>
      <c r="G17" s="19">
        <v>13024</v>
      </c>
      <c r="H17" s="305">
        <v>0.6</v>
      </c>
    </row>
    <row r="18" spans="2:8" ht="15" customHeight="1" x14ac:dyDescent="0.35">
      <c r="B18" s="4" t="s">
        <v>178</v>
      </c>
      <c r="C18" s="19">
        <v>0</v>
      </c>
      <c r="D18" s="305">
        <v>0.6</v>
      </c>
      <c r="F18" s="4" t="s">
        <v>186</v>
      </c>
      <c r="G18" s="19">
        <v>23696</v>
      </c>
      <c r="H18" s="305">
        <v>0.1</v>
      </c>
    </row>
    <row r="19" spans="2:8" ht="15" customHeight="1" x14ac:dyDescent="0.35">
      <c r="B19" s="4" t="s">
        <v>27</v>
      </c>
      <c r="C19" s="19">
        <v>1284</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0</v>
      </c>
      <c r="D21" s="305">
        <v>0.05</v>
      </c>
      <c r="F21" s="1" t="s">
        <v>185</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1.1933697905849452</v>
      </c>
      <c r="D50" s="98">
        <f>G31/Normalized_FCF!G8</f>
        <v>1.3234916559691912</v>
      </c>
      <c r="F50" s="292"/>
    </row>
    <row r="51" spans="2:8" ht="15" customHeight="1" x14ac:dyDescent="0.35">
      <c r="B51" s="1" t="s">
        <v>181</v>
      </c>
      <c r="C51" s="209"/>
      <c r="D51" s="94">
        <f>G29/G32</f>
        <v>0.92039603085151056</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2.7262804090098017E-2</v>
      </c>
      <c r="D54" s="94">
        <f>Normalized_FCF!G8/G35</f>
        <v>2.4582404173854506E-2</v>
      </c>
      <c r="F54" s="292"/>
    </row>
    <row r="55" spans="2:8" ht="15" customHeight="1" x14ac:dyDescent="0.35">
      <c r="B55" s="1" t="s">
        <v>146</v>
      </c>
      <c r="C55" s="94">
        <f>Normalized_FCF!C11/G40</f>
        <v>7.4364584303137507E-3</v>
      </c>
      <c r="D55" s="94">
        <f>Normalized_FCF!G11/G40</f>
        <v>7.4364584303137507E-3</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3.1154705020769802E-3</v>
      </c>
      <c r="D62" s="94">
        <f>G28/G29</f>
        <v>3.1154705020769802E-3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2"/>
    </row>
    <row r="68" spans="2:6" ht="15" customHeight="1" x14ac:dyDescent="0.35">
      <c r="B68" s="108" t="s">
        <v>186</v>
      </c>
      <c r="C68" s="20">
        <f>G18</f>
        <v>23696</v>
      </c>
      <c r="F68" s="292"/>
    </row>
    <row r="69" spans="2:6" ht="15" customHeight="1" x14ac:dyDescent="0.35">
      <c r="B69" s="108" t="s">
        <v>184</v>
      </c>
      <c r="C69" s="20">
        <f>G8+G20</f>
        <v>0</v>
      </c>
      <c r="F69" s="292"/>
    </row>
    <row r="70" spans="2:6" ht="15" customHeight="1" x14ac:dyDescent="0.35">
      <c r="B70" s="82" t="s">
        <v>193</v>
      </c>
      <c r="C70" s="83">
        <f>SUM(C66:C69)</f>
        <v>72904</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8" t="s">
        <v>364</v>
      </c>
      <c r="C74" s="299">
        <f>-$C$66/C73</f>
        <v>89.008711885500944</v>
      </c>
      <c r="D74" s="299">
        <f>-$C$66/D73</f>
        <v>92.682867505381196</v>
      </c>
      <c r="F74" s="292" t="s">
        <v>360</v>
      </c>
    </row>
    <row r="75" spans="2:6" ht="15" customHeight="1" x14ac:dyDescent="0.35">
      <c r="B75" s="82" t="s">
        <v>361</v>
      </c>
      <c r="C75" s="304"/>
      <c r="D75" s="303">
        <f>MIN(D73*D76,-G5)</f>
        <v>-2572.1582253177344</v>
      </c>
      <c r="F75" s="292" t="s">
        <v>363</v>
      </c>
    </row>
    <row r="76" spans="2:6" ht="15" customHeight="1" x14ac:dyDescent="0.35">
      <c r="B76" s="300" t="s">
        <v>365</v>
      </c>
      <c r="C76" s="301"/>
      <c r="D76" s="302">
        <f>IF(D74&lt;=3,1,IF(D74&gt;10,5,2))</f>
        <v>5</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13024</v>
      </c>
      <c r="D79" s="192">
        <f>G7*H7+G17*H17</f>
        <v>7814.4</v>
      </c>
      <c r="F79" s="292"/>
    </row>
    <row r="80" spans="2:6" ht="15" customHeight="1" x14ac:dyDescent="0.35">
      <c r="B80" s="108" t="s">
        <v>187</v>
      </c>
      <c r="C80" s="20">
        <f>G19</f>
        <v>0</v>
      </c>
      <c r="D80" s="192">
        <f>G19*H19</f>
        <v>0</v>
      </c>
      <c r="F80" s="292"/>
    </row>
    <row r="81" spans="2:8" ht="15" customHeight="1" x14ac:dyDescent="0.35">
      <c r="B81" s="108" t="s">
        <v>185</v>
      </c>
      <c r="C81" s="20">
        <f>G9+G21</f>
        <v>0</v>
      </c>
      <c r="D81" s="192">
        <f>G9*H9+G21*H21</f>
        <v>0</v>
      </c>
      <c r="F81" s="292"/>
    </row>
    <row r="82" spans="2:8" ht="15" customHeight="1" x14ac:dyDescent="0.35">
      <c r="B82" s="82" t="s">
        <v>194</v>
      </c>
      <c r="C82" s="83">
        <f>SUM(C79:C81)</f>
        <v>13024</v>
      </c>
      <c r="D82" s="83">
        <f>SUM(D79:D81)</f>
        <v>7814.4</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0.57805815639048053</v>
      </c>
      <c r="D28" s="26"/>
      <c r="E28" s="311"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-1106.5</v>
      </c>
      <c r="E33" s="311"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0.24</v>
      </c>
      <c r="D43" s="27"/>
      <c r="E43" s="310"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v>0.03</v>
      </c>
      <c r="E52" s="310"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10"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1"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7.2955974842767293E-2</v>
      </c>
      <c r="E92" s="313"/>
      <c r="G92" s="23">
        <f t="shared" ref="G92:Q92" si="38">IF(G$4="","",G89/Market_Price)</f>
        <v>7.2955974842767293E-2</v>
      </c>
      <c r="H92" s="23">
        <f t="shared" si="38"/>
        <v>7.2955974842767293E-2</v>
      </c>
      <c r="I92" s="23">
        <f t="shared" si="38"/>
        <v>7.1698113207547168E-2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5.3673167166822057E-2</v>
      </c>
      <c r="D120" s="27"/>
      <c r="E120" s="310"/>
      <c r="F120" s="27"/>
      <c r="G120" s="79">
        <f t="shared" ref="G120" si="49">IF(G$4="","",G119/Market_Price)</f>
        <v>7.4576959896263326E-2</v>
      </c>
      <c r="H120" s="79">
        <f t="shared" ref="H120" si="50">IF(H$4="","",H119/Market_Price)</f>
        <v>8.8279958486829388E-2</v>
      </c>
      <c r="I120" s="79">
        <f t="shared" ref="I120" si="51">IF(I$4="","",I119/Market_Price)</f>
        <v>9.8822871229266196E-2</v>
      </c>
      <c r="J120" s="79">
        <f t="shared" ref="J120" si="52">IF(J$4="","",J119/Market_Price)</f>
        <v>0.16252995516632143</v>
      </c>
      <c r="K120" s="79">
        <f t="shared" ref="K120" si="53">IF(K$4="","",K119/Market_Price)</f>
        <v>5.3104336768237045E-2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5" t="s">
        <v>259</v>
      </c>
      <c r="F6" s="335"/>
      <c r="H6" s="124"/>
    </row>
    <row r="7" spans="2:8" x14ac:dyDescent="0.35">
      <c r="B7" s="152" t="s">
        <v>229</v>
      </c>
      <c r="C7" s="233">
        <f>BS!G31</f>
        <v>3093</v>
      </c>
      <c r="D7" t="str">
        <f>Reporting_currency</f>
        <v>HKD</v>
      </c>
      <c r="E7" s="335"/>
      <c r="F7" s="335"/>
      <c r="H7" s="124"/>
    </row>
    <row r="8" spans="2:8" x14ac:dyDescent="0.35">
      <c r="B8" s="152" t="s">
        <v>230</v>
      </c>
      <c r="C8" s="208">
        <f>BS!D66</f>
        <v>45106.841774682267</v>
      </c>
      <c r="D8" t="str">
        <f>Reporting_currency</f>
        <v>HKD</v>
      </c>
      <c r="E8" s="335"/>
      <c r="F8" s="335"/>
      <c r="H8" s="124"/>
    </row>
    <row r="9" spans="2:8" x14ac:dyDescent="0.35">
      <c r="B9" s="234" t="s">
        <v>195</v>
      </c>
      <c r="C9" s="236">
        <f>BS!H42</f>
        <v>7814.4</v>
      </c>
      <c r="D9" t="str">
        <f>Reporting_currency</f>
        <v>HKD</v>
      </c>
      <c r="E9" s="335"/>
      <c r="F9" s="335"/>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-7.95</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70</v>
      </c>
      <c r="C8" s="118">
        <f>Normalized_FCF!G19</f>
        <v>4845</v>
      </c>
      <c r="D8" t="str">
        <f>Reporting_currency</f>
        <v>HKD</v>
      </c>
      <c r="E8" s="337"/>
      <c r="F8" s="337"/>
      <c r="H8" s="284">
        <v>5</v>
      </c>
      <c r="I8" s="272" t="str">
        <f t="shared" si="0"/>
        <v/>
      </c>
    </row>
    <row r="9" spans="2:9" x14ac:dyDescent="0.35">
      <c r="B9" s="103" t="s">
        <v>61</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-0.28945840615733698</v>
      </c>
      <c r="D12" s="163"/>
      <c r="E12" s="337"/>
      <c r="F12" s="337"/>
      <c r="H12" s="284">
        <v>9</v>
      </c>
      <c r="I12" s="272" t="str">
        <f t="shared" si="0"/>
        <v/>
      </c>
    </row>
    <row r="13" spans="2:9" x14ac:dyDescent="0.35">
      <c r="B13" s="152" t="s">
        <v>157</v>
      </c>
      <c r="C13" s="163">
        <f ca="1">(Normalized_FCF!G8/OFFSET(Normalized_FCF!G8, 0, $C$4))^(1/$C$4) - 1</f>
        <v>-0.42686307479092267</v>
      </c>
      <c r="E13" s="337"/>
      <c r="F13" s="337"/>
      <c r="H13" s="284">
        <v>10</v>
      </c>
      <c r="I13" s="272" t="str">
        <f t="shared" si="0"/>
        <v/>
      </c>
    </row>
    <row r="14" spans="2:9" x14ac:dyDescent="0.35">
      <c r="B14" s="103" t="s">
        <v>70</v>
      </c>
      <c r="C14" s="163">
        <f ca="1">(Normalized_FCF!G19/OFFSET(Normalized_FCF!G19, 0, $C$4))^(1/$C$4) - 1</f>
        <v>-0.22869925060693375</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7.95</v>
      </c>
      <c r="D21" t="str">
        <f>Market_currency</f>
        <v>HKD</v>
      </c>
      <c r="E21" s="338"/>
      <c r="F21" s="338"/>
    </row>
    <row r="22" spans="2:6" x14ac:dyDescent="0.35">
      <c r="B22" s="103" t="s">
        <v>301</v>
      </c>
      <c r="C22" s="165">
        <f>Valuation_Model!C12</f>
        <v>10.838654713529085</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v>
      </c>
      <c r="D26" s="169"/>
      <c r="E26" s="336"/>
      <c r="F26" s="336"/>
    </row>
    <row r="27" spans="2:6" x14ac:dyDescent="0.35">
      <c r="B27" s="103" t="s">
        <v>118</v>
      </c>
      <c r="C27" s="165">
        <f>Valuation_Model!E76</f>
        <v>10.838654713529081</v>
      </c>
      <c r="D27" s="165" t="str">
        <f>Market_currency</f>
        <v>HKD</v>
      </c>
      <c r="E27" s="336"/>
      <c r="F27" s="336"/>
    </row>
    <row r="28" spans="2:6" x14ac:dyDescent="0.35">
      <c r="B28" s="103" t="s">
        <v>152</v>
      </c>
      <c r="C28" s="170">
        <v>0.55000000000000004</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-0.05</v>
      </c>
      <c r="D32" s="169"/>
      <c r="E32" s="336"/>
      <c r="F32" s="336"/>
    </row>
    <row r="33" spans="2:6" x14ac:dyDescent="0.35">
      <c r="B33" s="103" t="s">
        <v>118</v>
      </c>
      <c r="C33" s="165">
        <f>Valuation_Model!E77</f>
        <v>10.163266547548384</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0.02</v>
      </c>
      <c r="D38" s="169"/>
      <c r="E38" s="336"/>
      <c r="F38" s="336"/>
    </row>
    <row r="39" spans="2:6" x14ac:dyDescent="0.35">
      <c r="B39" s="103" t="s">
        <v>118</v>
      </c>
      <c r="C39" s="165">
        <f>Valuation_Model!E75</f>
        <v>11.156364901945436</v>
      </c>
      <c r="D39" t="str">
        <f>Market_currency</f>
        <v>HKD</v>
      </c>
      <c r="E39" s="336"/>
      <c r="F39" s="336"/>
    </row>
    <row r="40" spans="2:6" x14ac:dyDescent="0.35">
      <c r="B40" s="103" t="s">
        <v>152</v>
      </c>
      <c r="C40" s="172">
        <f>1-C28-C34</f>
        <v>0.24999999999999994</v>
      </c>
      <c r="D40" s="170"/>
      <c r="E40" s="336"/>
      <c r="F40" s="336"/>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-0.3</v>
      </c>
      <c r="D50" s="169"/>
      <c r="E50" s="336"/>
      <c r="F50" s="336"/>
    </row>
    <row r="51" spans="2:6" x14ac:dyDescent="0.35">
      <c r="B51" s="103" t="s">
        <v>118</v>
      </c>
      <c r="C51" s="165">
        <f>Valuation_Model!E78</f>
        <v>7.7735358606357119</v>
      </c>
      <c r="D51" t="str">
        <f>Market_currency</f>
        <v>HKD</v>
      </c>
      <c r="E51" s="336"/>
      <c r="F51" s="336"/>
    </row>
    <row r="52" spans="2:6" x14ac:dyDescent="0.35">
      <c r="B52" s="103" t="s">
        <v>152</v>
      </c>
      <c r="C52" s="170">
        <v>0.05</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0.05</v>
      </c>
      <c r="D56" s="169"/>
      <c r="E56" s="336"/>
      <c r="F56" s="336"/>
    </row>
    <row r="57" spans="2:6" x14ac:dyDescent="0.35">
      <c r="B57" s="103" t="s">
        <v>118</v>
      </c>
      <c r="C57" s="165">
        <f>Valuation_Model!E74</f>
        <v>12.272278419093899</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10.706994878679808</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-8.7951517171891095E-3</v>
      </c>
      <c r="D65" s="155"/>
      <c r="E65" s="290" t="s">
        <v>350</v>
      </c>
    </row>
    <row r="66" spans="2:6" x14ac:dyDescent="0.35">
      <c r="B66" s="103" t="s">
        <v>107</v>
      </c>
      <c r="C66" s="165">
        <f>Valuation_Model!C18</f>
        <v>10.708213341286156</v>
      </c>
      <c r="D66" s="165" t="str">
        <f>Market_currency</f>
        <v>HKD</v>
      </c>
      <c r="E66" s="290" t="s">
        <v>351</v>
      </c>
    </row>
    <row r="68" spans="2:6" ht="13.15" x14ac:dyDescent="0.4">
      <c r="B68" s="112" t="s">
        <v>325</v>
      </c>
      <c r="E68" s="291" t="s">
        <v>352</v>
      </c>
    </row>
    <row r="69" spans="2:6" x14ac:dyDescent="0.35">
      <c r="B69" s="103" t="s">
        <v>339</v>
      </c>
      <c r="C69" s="281" t="str">
        <f>IF(C60&lt;C22,"Y","N")</f>
        <v>Y</v>
      </c>
      <c r="E69" s="138"/>
    </row>
    <row r="70" spans="2:6" x14ac:dyDescent="0.35">
      <c r="B70" s="103" t="s">
        <v>327</v>
      </c>
      <c r="C70" s="281" t="str">
        <f>IF(C69="Y","N",IF(C65&gt;8%,"N","Y"))</f>
        <v>N</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0.57999999999999996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1.2217592592592592</v>
      </c>
      <c r="D81" s="120"/>
      <c r="E81" s="103"/>
      <c r="F81" s="103"/>
    </row>
    <row r="82" spans="2:6" x14ac:dyDescent="0.35">
      <c r="B82" s="103" t="s">
        <v>127</v>
      </c>
      <c r="C82" s="120">
        <f>C60/(1+C80)^C76</f>
        <v>6.1961775918285928</v>
      </c>
      <c r="D82" s="120"/>
    </row>
    <row r="83" spans="2:6" ht="13.15" x14ac:dyDescent="0.4">
      <c r="B83" s="114" t="s">
        <v>106</v>
      </c>
      <c r="C83" s="115">
        <f>C81+C82</f>
        <v>7.4179368510878518</v>
      </c>
      <c r="D83" t="str">
        <f>Market_currency</f>
        <v>HKD</v>
      </c>
      <c r="E83" s="150" t="s">
        <v>131</v>
      </c>
      <c r="F83" s="270">
        <f>(C83/C60-1)</f>
        <v>-0.30718778376753109</v>
      </c>
    </row>
    <row r="84" spans="2:6" x14ac:dyDescent="0.35">
      <c r="E84" s="124"/>
    </row>
    <row r="85" spans="2:6" ht="13.15" x14ac:dyDescent="0.4">
      <c r="B85" s="112" t="s">
        <v>336</v>
      </c>
    </row>
    <row r="86" spans="2:6" x14ac:dyDescent="0.35">
      <c r="B86" s="152" t="s">
        <v>334</v>
      </c>
      <c r="C86" s="274">
        <f>Market_Price</f>
        <v>7.95</v>
      </c>
      <c r="D86" t="str">
        <f>Market_currency</f>
        <v>HKD</v>
      </c>
    </row>
    <row r="87" spans="2:6" ht="13.15" x14ac:dyDescent="0.4">
      <c r="B87" s="103" t="s">
        <v>332</v>
      </c>
      <c r="C87" s="273">
        <f ca="1">IRR(OFFSET($I$3, 0, 0, $C$76 + 1, 1))</f>
        <v>0.17086981192202799</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2025-03-21T03:31:12Z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