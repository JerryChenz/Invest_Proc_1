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023E84C-63C2-4394-A576-DC093D31BCFF}"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5" i="2"/>
  <c r="C66" i="2"/>
  <c r="C35" i="2"/>
  <c r="C29" i="2"/>
  <c r="C30" i="2"/>
  <c r="C27" i="3"/>
  <c r="G19" i="3"/>
  <c r="C15" i="3"/>
  <c r="C19" i="3"/>
  <c r="C21" i="3"/>
  <c r="C23" i="3"/>
  <c r="G4" i="3"/>
  <c r="C4" i="3"/>
  <c r="C28" i="4" s="1"/>
  <c r="C9" i="3"/>
  <c r="C11" i="3"/>
  <c r="C5" i="4"/>
  <c r="D5" i="4"/>
  <c r="C25"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<sst xmlns="http://schemas.openxmlformats.org/spreadsheetml/2006/main" count="768" uniqueCount="559">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</sst>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45965</v>
      </c>
    </row>
    <row r="4" spans="1:9" ht="12.4">
      <c r="B4" s="421" t="s">
        <v>533</v>
      </c>
      <c r="C4" s="420" t="s">
        <v>555</v>
      </c>
      <c r="E4" s="430" t="s">
        <v>537</v>
      </c>
      <c r="F4" s="431" t="s">
        <v>324</v>
      </c>
    </row>
    <row r="5" spans="1:9">
      <c r="B5" s="1" t="s">
        <v>349</v>
      </c>
      <c r="C5" s="46" t="s">
        <v>556</v>
      </c>
      <c r="E5" s="433" t="s">
        <v>539</v>
      </c>
      <c r="F5" s="432" t="s">
        <v>546</v>
      </c>
    </row>
    <row r="6" spans="1:9">
      <c r="B6" s="2" t="s">
        <v>53</v>
      </c>
      <c r="C6" s="45" t="s">
        <v>557</v>
      </c>
      <c r="D6" s="45"/>
      <c r="E6" s="45"/>
    </row>
    <row r="7" spans="1:9">
      <c r="B7" s="1" t="s">
        <v>351</v>
      </c>
      <c r="C7" s="45" t="s">
        <v>308</v>
      </c>
      <c r="D7" s="45"/>
      <c r="E7" s="45"/>
    </row>
    <row r="8" spans="1:9">
      <c r="B8" s="4" t="s">
        <v>350</v>
      </c>
      <c r="C8" s="47">
        <v>11.08</v>
      </c>
      <c r="E8" s="32"/>
    </row>
    <row r="9" spans="1:9">
      <c r="B9" s="4" t="s">
        <v>346</v>
      </c>
      <c r="C9" s="48">
        <f>791903900+441937100</f>
        <v>1233841000</v>
      </c>
    </row>
    <row r="10" spans="1:9">
      <c r="B10" s="4" t="s">
        <v>352</v>
      </c>
      <c r="C10" s="33">
        <f>Thesis!C8*Common_Shares/1000000</f>
        <v>13670.958280000001</v>
      </c>
      <c r="D10" s="1" t="s">
        <v>528</v>
      </c>
      <c r="E10" s="303">
        <f>Scenarios!F34</f>
        <v>0.23974326571287063</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497</v>
      </c>
      <c r="D16" s="4" t="s">
        <v>354</v>
      </c>
      <c r="E16" s="416">
        <v>1.1308739082336425</v>
      </c>
    </row>
    <row r="17" spans="1:6">
      <c r="B17" s="1" t="s">
        <v>532</v>
      </c>
      <c r="C17" s="456">
        <v>0</v>
      </c>
      <c r="D17" s="4" t="s">
        <v>274</v>
      </c>
      <c r="E17" s="224" t="s">
        <v>558</v>
      </c>
    </row>
    <row r="18" spans="1:6">
      <c r="B18" s="1" t="str">
        <f>"Expected Equity Value ("&amp;C7&amp;") :"</f>
        <v>Expected Equity Value (HKD) :</v>
      </c>
      <c r="C18" s="252">
        <f>C125</f>
        <v>18.805946339156595</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9.7837736763214416</v>
      </c>
      <c r="D22" s="38" t="s">
        <v>406</v>
      </c>
      <c r="E22" s="79">
        <v>0.29465259038036606</v>
      </c>
    </row>
    <row r="23" spans="1:6">
      <c r="B23" s="1" t="s">
        <v>313</v>
      </c>
      <c r="C23" s="256">
        <f>E141</f>
        <v>12.147496594776479</v>
      </c>
      <c r="D23" s="38" t="s">
        <v>407</v>
      </c>
      <c r="E23" s="443">
        <v>0.20075184365903009</v>
      </c>
    </row>
    <row r="24" spans="1:6">
      <c r="B24" s="1" t="s">
        <v>315</v>
      </c>
      <c r="C24" s="256">
        <f>E144</f>
        <v>14.952666449134519</v>
      </c>
      <c r="D24" s="38" t="s">
        <v>408</v>
      </c>
      <c r="E24" s="443">
        <v>0.1174</v>
      </c>
    </row>
    <row r="25" spans="1:6">
      <c r="B25" s="1" t="s">
        <v>314</v>
      </c>
      <c r="C25" s="256">
        <f>E145</f>
        <v>16.839456855289644</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v>
      </c>
    </row>
    <row r="33" spans="2:6" ht="24.5" customHeight="1">
      <c r="B33" s="463" t="s">
        <v>196</v>
      </c>
      <c r="C33" s="463"/>
      <c r="D33" s="463"/>
      <c r="E33" s="463"/>
      <c r="F33" s="463"/>
    </row>
    <row r="34" spans="2:6">
      <c r="B34" s="44" t="s">
        <v>197</v>
      </c>
      <c r="C34" s="285">
        <f>Normalized_FCF!C8</f>
        <v>1560850297.4755726</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11604854.75080977</v>
      </c>
      <c r="D44" s="1" t="str">
        <f>Reporting_currency</f>
        <v>CNY</v>
      </c>
      <c r="E44" s="244"/>
      <c r="F44" s="244"/>
    </row>
    <row r="45" spans="2:6">
      <c r="B45" s="44" t="s">
        <v>268</v>
      </c>
      <c r="C45" s="286">
        <f>Normalized_FCF!C45</f>
        <v>-14156922.829499999</v>
      </c>
      <c r="D45" s="1" t="str">
        <f>Reporting_currency</f>
        <v>CNY</v>
      </c>
      <c r="E45" s="244"/>
      <c r="F45" s="244"/>
    </row>
    <row r="46" spans="2:6">
      <c r="B46" s="44" t="s">
        <v>203</v>
      </c>
      <c r="C46" s="285">
        <f>Normalized_FCF!C10</f>
        <v>-2552068.078690229</v>
      </c>
      <c r="D46" s="1" t="str">
        <f>Reporting_currency</f>
        <v>CNY</v>
      </c>
    </row>
    <row r="48" spans="2:6">
      <c r="B48" s="1" t="s">
        <v>211</v>
      </c>
    </row>
    <row r="49" spans="2:6">
      <c r="B49" s="44" t="s">
        <v>223</v>
      </c>
      <c r="C49" s="285">
        <f>Normalized_FCF!C13</f>
        <v>-58805478.000000007</v>
      </c>
      <c r="D49" s="1" t="str">
        <f>Reporting_currency</f>
        <v>CNY</v>
      </c>
    </row>
    <row r="51" spans="2:6">
      <c r="B51" s="463" t="s">
        <v>206</v>
      </c>
      <c r="C51" s="463"/>
      <c r="D51" s="463"/>
      <c r="E51" s="463"/>
      <c r="F51" s="463"/>
    </row>
    <row r="52" spans="2:6">
      <c r="B52" s="44" t="s">
        <v>204</v>
      </c>
      <c r="C52" s="285">
        <f>Normalized_FCF!C12</f>
        <v>-389574557.34922057</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1208024770.0090923</v>
      </c>
      <c r="D60" s="1" t="str">
        <f>Reporting_currency</f>
        <v>CNY</v>
      </c>
    </row>
    <row r="61" spans="2:6">
      <c r="B61" s="44" t="s">
        <v>213</v>
      </c>
      <c r="C61" s="285">
        <f>Normalized_FCF!C19</f>
        <v>1109918194.0476618</v>
      </c>
      <c r="D61" s="1" t="str">
        <f>Reporting_currency</f>
        <v>CNY</v>
      </c>
    </row>
    <row r="62" spans="2:6">
      <c r="B62" s="204" t="s">
        <v>302</v>
      </c>
      <c r="C62" s="89">
        <f>Normalized_FCF!C124</f>
        <v>9.1813426697276546E-2</v>
      </c>
      <c r="F62" s="257"/>
    </row>
    <row r="63" spans="2:6">
      <c r="B63" s="204" t="s">
        <v>332</v>
      </c>
      <c r="C63" s="89">
        <f>Normalized_FCF!C92</f>
        <v>5.5114793361567417E-2</v>
      </c>
      <c r="E63" s="44" t="s">
        <v>322</v>
      </c>
      <c r="F63" s="258">
        <f>Normalized_FCF!C90</f>
        <v>0.75428185678465687</v>
      </c>
    </row>
    <row r="65" spans="1:6">
      <c r="B65" s="192" t="s">
        <v>325</v>
      </c>
      <c r="C65" s="264" t="s">
        <v>327</v>
      </c>
      <c r="D65" s="264" t="s">
        <v>328</v>
      </c>
    </row>
    <row r="66" spans="1:6">
      <c r="B66" s="44" t="s">
        <v>326</v>
      </c>
      <c r="C66" s="89">
        <f>Normalized_FCF!E119</f>
        <v>0.10095785451246694</v>
      </c>
      <c r="D66" s="89">
        <f>Normalized_FCF!G119</f>
        <v>8.889424000153362E-2</v>
      </c>
    </row>
    <row r="67" spans="1:6">
      <c r="B67" s="229" t="str">
        <f>Normalized_FCF!B116</f>
        <v>Pre-tax Profit/Sales</v>
      </c>
      <c r="C67" s="263">
        <f>Normalized_FCF!E116</f>
        <v>0.12639789702537185</v>
      </c>
      <c r="D67" s="263">
        <f>Normalized_FCF!G116</f>
        <v>0.1112944113969363</v>
      </c>
    </row>
    <row r="68" spans="1:6">
      <c r="B68" s="229" t="str">
        <f>Normalized_FCF!B117</f>
        <v>Sales/Total Assets</v>
      </c>
      <c r="C68" s="265">
        <f>Normalized_FCF!E117</f>
        <v>0.49405373744838704</v>
      </c>
      <c r="D68" s="265">
        <f>Normalized_FCF!G117</f>
        <v>0.49405373744838704</v>
      </c>
    </row>
    <row r="69" spans="1:6">
      <c r="B69" s="229" t="str">
        <f>Normalized_FCF!B118</f>
        <v>Total Assets/Equity</v>
      </c>
      <c r="C69" s="265">
        <f>Normalized_FCF!E118</f>
        <v>1.6166874809837415</v>
      </c>
      <c r="D69" s="265">
        <f>Normalized_FCF!G118</f>
        <v>1.6166874809837415</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-283138456.58999997</v>
      </c>
      <c r="D78" s="1" t="str">
        <f>Reporting_currency</f>
        <v>CNY</v>
      </c>
    </row>
    <row r="79" spans="1:6">
      <c r="A79" s="191"/>
      <c r="B79" s="44" t="s">
        <v>234</v>
      </c>
      <c r="C79" s="201">
        <f>C78*scaling_factor*Exchange_Rate/Common_Shares</f>
        <v>-0.25950985011454053</v>
      </c>
      <c r="D79" s="1" t="str">
        <f>Market_currency</f>
        <v>HKD</v>
      </c>
    </row>
    <row r="80" spans="1:6">
      <c r="A80" s="191"/>
      <c r="B80" s="229" t="s">
        <v>309</v>
      </c>
      <c r="C80" s="337">
        <f>IF(BS!G31/BS!G27&gt;300%,"nm",BS!G31/BS!G27)</f>
        <v>1.8343761526547521E-2</v>
      </c>
    </row>
    <row r="81" spans="1:6">
      <c r="A81" s="191"/>
      <c r="B81" s="229" t="s">
        <v>311</v>
      </c>
      <c r="C81" s="338">
        <f>IF(BS!C50&gt;30,"nm",BS!C50)</f>
        <v>0.18140013622570431</v>
      </c>
    </row>
    <row r="82" spans="1:6">
      <c r="A82" s="191"/>
    </row>
    <row r="83" spans="1:6">
      <c r="A83" s="191"/>
      <c r="B83" s="1" t="s">
        <v>466</v>
      </c>
    </row>
    <row r="84" spans="1:6">
      <c r="A84" s="191"/>
      <c r="B84" s="1" t="s">
        <v>224</v>
      </c>
      <c r="C84" s="285">
        <f>DCF!F5</f>
        <v>6700376289.7117052</v>
      </c>
      <c r="D84" s="1" t="str">
        <f>Reporting_currency</f>
        <v>CNY</v>
      </c>
    </row>
    <row r="85" spans="1:6">
      <c r="A85" s="191"/>
      <c r="B85" s="229" t="s">
        <v>222</v>
      </c>
      <c r="C85" s="291">
        <f>BS!C66</f>
        <v>8634518748.1800003</v>
      </c>
      <c r="D85" s="339" t="str">
        <f>Reporting_currency</f>
        <v>CNY</v>
      </c>
    </row>
    <row r="86" spans="1:6">
      <c r="A86" s="191"/>
      <c r="B86" s="44" t="s">
        <v>235</v>
      </c>
      <c r="C86" s="201">
        <f>C84*scaling_factor*Exchange_Rate/Common_Shares</f>
        <v>6.1412132692804899</v>
      </c>
      <c r="D86" s="1" t="str">
        <f>Market_currency</f>
        <v>HKD</v>
      </c>
    </row>
    <row r="87" spans="1:6">
      <c r="A87" s="191"/>
    </row>
    <row r="88" spans="1:6">
      <c r="A88" s="191"/>
      <c r="B88" s="1" t="s">
        <v>216</v>
      </c>
    </row>
    <row r="89" spans="1:6">
      <c r="A89" s="191"/>
      <c r="B89" s="1" t="s">
        <v>217</v>
      </c>
      <c r="C89" s="285">
        <f>DCF!F6</f>
        <v>583558544.63999999</v>
      </c>
      <c r="D89" s="1" t="str">
        <f>Reporting_currency</f>
        <v>CNY</v>
      </c>
    </row>
    <row r="90" spans="1:6">
      <c r="A90" s="191"/>
      <c r="B90" s="44" t="s">
        <v>236</v>
      </c>
      <c r="C90" s="201">
        <f>C89*scaling_factor*Exchange_Rate/Common_Shares</f>
        <v>0.53485913667982621</v>
      </c>
      <c r="D90" s="1" t="str">
        <f>Market_currency</f>
        <v>HKD</v>
      </c>
    </row>
    <row r="91" spans="1:6">
      <c r="A91" s="191"/>
    </row>
    <row r="92" spans="1:6">
      <c r="A92" s="191"/>
      <c r="B92" s="44" t="s">
        <v>469</v>
      </c>
      <c r="C92" s="216">
        <f>DCF!F8</f>
        <v>6.4165625558457755</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8.249999999999999E-2</v>
      </c>
    </row>
    <row r="102" spans="2:6">
      <c r="B102" s="229" t="s">
        <v>318</v>
      </c>
      <c r="C102" s="263">
        <f>E25</f>
        <v>7.2499999999999995E-2</v>
      </c>
    </row>
    <row r="103" spans="2:6">
      <c r="B103" s="229" t="s">
        <v>317</v>
      </c>
      <c r="C103" s="263">
        <f>IF(C15="Y",1%,0)+IF(C16="Y",1%,0)</f>
        <v>0.01</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1.7646294193934753</v>
      </c>
      <c r="D111" s="1" t="str">
        <f>Market_currency</f>
        <v>HKD</v>
      </c>
    </row>
    <row r="112" spans="2:6">
      <c r="B112" s="44" t="s">
        <v>323</v>
      </c>
      <c r="C112" s="216">
        <f>DCF!C11</f>
        <v>18.74738398379516</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0.02</v>
      </c>
      <c r="D118" s="207" t="str">
        <f>ROUND(DCF!E90,2)&amp;" "&amp;Market_currency</f>
        <v>19.45 HKD</v>
      </c>
      <c r="E118" s="208">
        <f>DCF!F90</f>
        <v>0.15</v>
      </c>
      <c r="F118" s="208">
        <f>RATE(Holding_Period,Scenarios!C$58,-DCF!E90,C$18)</f>
        <v>2.0667465048744185E-2</v>
      </c>
    </row>
    <row r="119" spans="2:6">
      <c r="B119" s="205" t="str">
        <f>DCF!B91&amp;" ("&amp;DCF!D91&amp;"yrs)"</f>
        <v>Optimistic (3yrs)</v>
      </c>
      <c r="C119" s="198">
        <f>DCF!C91</f>
        <v>0.01</v>
      </c>
      <c r="D119" s="207" t="str">
        <f>ROUND(DCF!E91,2)&amp;" "&amp;Market_currency</f>
        <v>19.09 HKD</v>
      </c>
      <c r="E119" s="199">
        <f>DCF!F91</f>
        <v>0.15999999999999995</v>
      </c>
      <c r="F119" s="208">
        <f>RATE(Holding_Period,Scenarios!C$58,-DCF!E91,C$18)</f>
        <v>2.7104399325196062E-2</v>
      </c>
    </row>
    <row r="120" spans="2:6">
      <c r="B120" s="205" t="str">
        <f>DCF!B92&amp;" ("&amp;DCF!D92&amp;"yrs)"</f>
        <v>Base (3yrs)</v>
      </c>
      <c r="C120" s="198">
        <f>DCF!C92</f>
        <v>0</v>
      </c>
      <c r="D120" s="207" t="str">
        <f>ROUND(DCF!E92,2)&amp;" "&amp;Market_currency</f>
        <v>18.75 HKD</v>
      </c>
      <c r="E120" s="199">
        <f>DCF!F92</f>
        <v>0.44</v>
      </c>
      <c r="F120" s="208">
        <f>RATE(Holding_Period,Scenarios!C$58,-DCF!E92,C$18)</f>
        <v>3.3580770776620472E-2</v>
      </c>
    </row>
    <row r="121" spans="2:6">
      <c r="B121" s="205" t="str">
        <f>DCF!B93&amp;" ("&amp;DCF!D93&amp;"yrs)"</f>
        <v>Pessimistic (3yrs)</v>
      </c>
      <c r="C121" s="198">
        <f>DCF!C93</f>
        <v>-0.01</v>
      </c>
      <c r="D121" s="207" t="str">
        <f>ROUND(DCF!E93,2)&amp;" "&amp;Market_currency</f>
        <v>18.41 HKD</v>
      </c>
      <c r="E121" s="199">
        <f>DCF!F93</f>
        <v>0.19999999999999998</v>
      </c>
      <c r="F121" s="208">
        <f>RATE(Holding_Period,Scenarios!C$58,-DCF!E93,C$18)</f>
        <v>4.0095634609500365E-2</v>
      </c>
    </row>
    <row r="122" spans="2:6">
      <c r="B122" s="205" t="str">
        <f>DCF!B94&amp;" ("&amp;DCF!D94&amp;"yrs)"</f>
        <v>Devil's advocate (3yrs)</v>
      </c>
      <c r="C122" s="198">
        <f>DCF!C94</f>
        <v>-0.02</v>
      </c>
      <c r="D122" s="207" t="str">
        <f>ROUND(DCF!E94,2)&amp;" "&amp;Market_currency</f>
        <v>18.08 HKD</v>
      </c>
      <c r="E122" s="199">
        <f>DCF!F94</f>
        <v>0.05</v>
      </c>
      <c r="F122" s="208">
        <f>RATE(Holding_Period,Scenarios!C$58,-DCF!E94,C$18)</f>
        <v>4.6647975865959757E-2</v>
      </c>
    </row>
    <row r="124" spans="2:6">
      <c r="B124" s="463" t="s">
        <v>357</v>
      </c>
      <c r="C124" s="463"/>
      <c r="D124" s="463"/>
      <c r="E124" s="463"/>
      <c r="F124" s="463"/>
    </row>
    <row r="125" spans="2:6">
      <c r="B125" s="193" t="s">
        <v>218</v>
      </c>
      <c r="C125" s="197">
        <f>Scenarios!C36</f>
        <v>18.805946339156595</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0.61067191044616698</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1.1174389578160964</v>
      </c>
      <c r="D140" s="333">
        <f>Scenarios!D62</f>
        <v>8.666334718505345</v>
      </c>
      <c r="E140" s="334">
        <f>Scenarios!E62</f>
        <v>9.7837736763214416</v>
      </c>
      <c r="F140" s="335">
        <f>E22</f>
        <v>0.29465259038036606</v>
      </c>
    </row>
    <row r="141" spans="1:6">
      <c r="B141" s="336" t="s">
        <v>313</v>
      </c>
      <c r="C141" s="333">
        <f>Scenarios!C63</f>
        <v>1.2848561100650842</v>
      </c>
      <c r="D141" s="333">
        <f>Scenarios!D63</f>
        <v>10.862640484711395</v>
      </c>
      <c r="E141" s="334">
        <f>Scenarios!E63</f>
        <v>12.147496594776479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1.4733089600653493</v>
      </c>
      <c r="D144" s="333">
        <f>Scenarios!D66</f>
        <v>13.479357489069169</v>
      </c>
      <c r="E144" s="334">
        <f>Scenarios!E66</f>
        <v>14.952666449134519</v>
      </c>
      <c r="F144" s="335">
        <f>E24</f>
        <v>0.1174</v>
      </c>
    </row>
    <row r="145" spans="1:6">
      <c r="B145" s="336" t="s">
        <v>314</v>
      </c>
      <c r="C145" s="333">
        <f>Scenarios!C67</f>
        <v>1.5953041707799853</v>
      </c>
      <c r="D145" s="333">
        <f>Scenarios!D67</f>
        <v>15.244152684509658</v>
      </c>
      <c r="E145" s="334">
        <f>Scenarios!E67</f>
        <v>16.839456855289644</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12328513892</v>
      </c>
      <c r="D4" s="287">
        <v>11868490425</v>
      </c>
      <c r="E4" s="287">
        <v>10930302487</v>
      </c>
      <c r="F4" s="287">
        <v>10460363984</v>
      </c>
      <c r="G4" s="287">
        <v>9008056554</v>
      </c>
      <c r="H4" s="287">
        <v>8842457723.7900009</v>
      </c>
      <c r="I4" s="287">
        <v>8186582966.7299995</v>
      </c>
      <c r="J4" s="287">
        <v>7345882957.6599998</v>
      </c>
      <c r="K4" s="287">
        <v>6356168113.4300003</v>
      </c>
      <c r="L4" s="287">
        <v>5732693142</v>
      </c>
      <c r="M4" s="287"/>
    </row>
    <row r="5" spans="2:13">
      <c r="B5" s="38" t="s">
        <v>40</v>
      </c>
      <c r="C5" s="287">
        <f>7802676830+53221266.46</f>
        <v>7855898096.46</v>
      </c>
      <c r="D5" s="287">
        <f>7353177164+33658727.68</f>
        <v>7386835891.6800003</v>
      </c>
      <c r="E5" s="287">
        <v>6913161427</v>
      </c>
      <c r="F5" s="287">
        <v>6646716823</v>
      </c>
      <c r="G5" s="287">
        <v>5453686899</v>
      </c>
      <c r="H5" s="287">
        <v>5459861693.6899996</v>
      </c>
      <c r="I5" s="287">
        <v>5115028020.8500004</v>
      </c>
      <c r="J5" s="287">
        <v>4686978912.1300001</v>
      </c>
      <c r="K5" s="287">
        <v>3977341759.3800001</v>
      </c>
      <c r="L5" s="287">
        <v>3469413267</v>
      </c>
      <c r="M5" s="287"/>
    </row>
    <row r="6" spans="2:13">
      <c r="B6" s="38" t="s">
        <v>51</v>
      </c>
      <c r="C6" s="287">
        <v>3112598912</v>
      </c>
      <c r="D6" s="287">
        <v>3020689977</v>
      </c>
      <c r="E6" s="287">
        <v>2613446855</v>
      </c>
      <c r="F6" s="287">
        <v>2574399102</v>
      </c>
      <c r="G6" s="287">
        <v>2389175265</v>
      </c>
      <c r="H6" s="287">
        <v>2373654644.04</v>
      </c>
      <c r="I6" s="287">
        <v>2126015036.6900001</v>
      </c>
      <c r="J6" s="287">
        <v>1963522925.3900001</v>
      </c>
      <c r="K6" s="287">
        <v>1800975493.3800001</v>
      </c>
      <c r="L6" s="287">
        <v>1721071398</v>
      </c>
      <c r="M6" s="287"/>
    </row>
    <row r="7" spans="2:13">
      <c r="B7" s="66" t="s">
        <v>58</v>
      </c>
      <c r="C7" s="288">
        <v>1438983986</v>
      </c>
      <c r="D7" s="288">
        <v>1402613434</v>
      </c>
      <c r="E7" s="288">
        <v>1211489002</v>
      </c>
      <c r="F7" s="288">
        <v>1121009339</v>
      </c>
      <c r="G7" s="288">
        <v>1184329784</v>
      </c>
      <c r="H7" s="288">
        <v>1119679106.03</v>
      </c>
      <c r="I7" s="288">
        <v>1010672983.29</v>
      </c>
      <c r="J7" s="288">
        <v>892516374.83000004</v>
      </c>
      <c r="K7" s="288">
        <v>804634976.54999995</v>
      </c>
      <c r="L7" s="288">
        <v>743696335</v>
      </c>
      <c r="M7" s="288"/>
    </row>
    <row r="8" spans="2:13">
      <c r="B8" s="38" t="s">
        <v>46</v>
      </c>
      <c r="C8" s="287">
        <v>30463684</v>
      </c>
      <c r="D8" s="287">
        <v>19979888</v>
      </c>
      <c r="E8" s="287">
        <v>14166706</v>
      </c>
      <c r="F8" s="287">
        <v>3793741</v>
      </c>
      <c r="G8" s="287">
        <v>3038699</v>
      </c>
      <c r="H8" s="287">
        <v>3255571.48</v>
      </c>
      <c r="I8" s="287">
        <v>13592602.42</v>
      </c>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12441883</v>
      </c>
      <c r="D12" s="287">
        <v>17875457</v>
      </c>
      <c r="E12" s="287">
        <v>20978186</v>
      </c>
      <c r="F12" s="287">
        <v>19487843</v>
      </c>
      <c r="G12" s="287">
        <v>22163955</v>
      </c>
      <c r="H12" s="287">
        <v>19440322</v>
      </c>
      <c r="I12" s="287">
        <v>516412</v>
      </c>
      <c r="J12" s="287"/>
      <c r="K12" s="287"/>
      <c r="L12" s="287"/>
      <c r="M12" s="287"/>
    </row>
    <row r="13" spans="2:13">
      <c r="B13" s="38" t="s">
        <v>64</v>
      </c>
      <c r="C13" s="287">
        <v>245460218</v>
      </c>
      <c r="D13" s="287">
        <v>262917080</v>
      </c>
      <c r="E13" s="287">
        <v>172924386</v>
      </c>
      <c r="F13" s="287">
        <v>109754709</v>
      </c>
      <c r="G13" s="287">
        <v>78064013</v>
      </c>
      <c r="H13" s="287">
        <v>58193235</v>
      </c>
      <c r="I13" s="287">
        <v>35998427</v>
      </c>
      <c r="J13" s="287"/>
      <c r="K13" s="287"/>
      <c r="L13" s="287"/>
      <c r="M13" s="287"/>
    </row>
    <row r="14" spans="2:13">
      <c r="B14" s="38" t="s">
        <v>47</v>
      </c>
      <c r="C14" s="287">
        <v>105264449</v>
      </c>
      <c r="D14" s="287">
        <v>-65178244</v>
      </c>
      <c r="E14" s="287">
        <v>-11435477</v>
      </c>
      <c r="F14" s="287">
        <v>5452812</v>
      </c>
      <c r="G14" s="287">
        <v>8170551</v>
      </c>
      <c r="H14" s="287">
        <v>24172075.120000001</v>
      </c>
      <c r="I14" s="287">
        <v>-10795846.369999999</v>
      </c>
      <c r="J14" s="287">
        <v>559885.21</v>
      </c>
      <c r="K14" s="287">
        <v>5678065.6299999999</v>
      </c>
      <c r="L14" s="287">
        <v>2789931</v>
      </c>
      <c r="M14" s="287"/>
    </row>
    <row r="15" spans="2:13">
      <c r="B15" s="41" t="s">
        <v>39</v>
      </c>
      <c r="C15" s="289">
        <v>1603661674</v>
      </c>
      <c r="D15" s="289">
        <v>1628350305</v>
      </c>
      <c r="E15" s="289">
        <v>1391235128</v>
      </c>
      <c r="F15" s="289">
        <v>1303281262</v>
      </c>
      <c r="G15" s="289">
        <v>1242994947</v>
      </c>
      <c r="H15" s="289">
        <v>1124665224.1099999</v>
      </c>
      <c r="I15" s="289">
        <v>926716466.75999999</v>
      </c>
      <c r="J15" s="289">
        <v>916480370.70000005</v>
      </c>
      <c r="K15" s="289">
        <v>630037994.09000003</v>
      </c>
      <c r="L15" s="289">
        <v>614919800</v>
      </c>
      <c r="M15" s="289"/>
    </row>
    <row r="16" spans="2:13">
      <c r="B16" s="27" t="s">
        <v>41</v>
      </c>
      <c r="C16" s="287">
        <v>58805478</v>
      </c>
      <c r="D16" s="287">
        <v>49204301</v>
      </c>
      <c r="E16" s="287">
        <v>-5437935</v>
      </c>
      <c r="F16" s="287">
        <v>-2660207</v>
      </c>
      <c r="G16" s="287">
        <v>-19783598</v>
      </c>
      <c r="H16" s="287">
        <v>-14382337.01</v>
      </c>
      <c r="I16" s="287">
        <v>-5468337.2999999998</v>
      </c>
      <c r="J16" s="287">
        <v>-7364129.3399999999</v>
      </c>
      <c r="K16" s="287">
        <v>-17424297.350000001</v>
      </c>
      <c r="L16" s="287">
        <v>-32349709</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1772478832</v>
      </c>
      <c r="D22" s="287">
        <v>2353028211</v>
      </c>
      <c r="E22" s="287">
        <v>2024381125</v>
      </c>
      <c r="F22" s="287">
        <v>2047329577</v>
      </c>
      <c r="G22" s="287">
        <v>1818805290</v>
      </c>
      <c r="H22" s="287">
        <v>1364410519.6199999</v>
      </c>
      <c r="I22" s="287">
        <v>993450271.97000003</v>
      </c>
      <c r="J22" s="287">
        <v>345621870.44</v>
      </c>
      <c r="K22" s="287">
        <v>683427278.33000004</v>
      </c>
      <c r="L22" s="287">
        <v>1016650228</v>
      </c>
      <c r="M22" s="287"/>
    </row>
    <row r="23" spans="2:13">
      <c r="B23" s="26" t="s">
        <v>288</v>
      </c>
      <c r="C23" s="287">
        <v>-822945701</v>
      </c>
      <c r="D23" s="287">
        <v>-460950816</v>
      </c>
      <c r="E23" s="287">
        <v>232444164</v>
      </c>
      <c r="F23" s="287">
        <v>-1278605700</v>
      </c>
      <c r="G23" s="287">
        <v>1031927465</v>
      </c>
      <c r="H23" s="287">
        <v>-93051870.170000002</v>
      </c>
      <c r="I23" s="287">
        <v>125499137.19</v>
      </c>
      <c r="J23" s="287">
        <v>407364377.23000002</v>
      </c>
      <c r="K23" s="287">
        <v>-1308553279.98</v>
      </c>
      <c r="L23" s="287">
        <v>-91366295</v>
      </c>
      <c r="M23" s="287"/>
    </row>
    <row r="24" spans="2:13">
      <c r="B24" s="26" t="s">
        <v>287</v>
      </c>
      <c r="C24" s="287">
        <v>-1065293099</v>
      </c>
      <c r="D24" s="287">
        <v>-575819200</v>
      </c>
      <c r="E24" s="287">
        <v>-492510346</v>
      </c>
      <c r="F24" s="287">
        <v>-511795258</v>
      </c>
      <c r="G24" s="287">
        <v>-503797913</v>
      </c>
      <c r="H24" s="287">
        <v>-454152155.01999998</v>
      </c>
      <c r="I24" s="287">
        <v>-367822327.06</v>
      </c>
      <c r="J24" s="287">
        <v>-561580856.22000003</v>
      </c>
      <c r="K24" s="287">
        <v>434935011.72000003</v>
      </c>
      <c r="L24" s="287">
        <v>-446631537</v>
      </c>
      <c r="M24" s="287"/>
    </row>
    <row r="25" spans="2:13">
      <c r="B25" s="23" t="str">
        <f>"Dividend per share ("&amp;Market_currency&amp;")"</f>
        <v>Dividend per share (HKD)</v>
      </c>
      <c r="C25" s="37">
        <f>(0.19+0.41)*Exchange_Rate</f>
        <v>0.67852434494018554</v>
      </c>
      <c r="D25" s="37"/>
      <c r="E25" s="37"/>
      <c r="F25" s="37"/>
      <c r="G25" s="37"/>
      <c r="H25" s="37"/>
      <c r="I25" s="37"/>
      <c r="J25" s="37"/>
      <c r="K25" s="37"/>
      <c r="L25" s="37"/>
      <c r="M25" s="37"/>
    </row>
    <row r="27" spans="2:13">
      <c r="B27" s="16" t="s">
        <v>26</v>
      </c>
      <c r="C27" s="94" t="s">
        <v>547</v>
      </c>
    </row>
    <row r="28" spans="2:13">
      <c r="B28" s="25" t="s">
        <v>22</v>
      </c>
      <c r="C28" s="270">
        <f>BS!C4</f>
        <v>2677683243.9199996</v>
      </c>
      <c r="D28" s="287">
        <v>1480929222</v>
      </c>
      <c r="E28" s="287">
        <v>1700785024</v>
      </c>
      <c r="F28" s="287">
        <v>1566430110</v>
      </c>
      <c r="G28" s="287">
        <v>1591251195</v>
      </c>
      <c r="H28" s="287">
        <v>1763659597</v>
      </c>
      <c r="I28" s="287">
        <v>1617030048.3499999</v>
      </c>
      <c r="J28" s="287">
        <v>1280220855</v>
      </c>
      <c r="K28" s="287">
        <v>803348863</v>
      </c>
      <c r="L28" s="287">
        <v>660924407</v>
      </c>
      <c r="M28" s="287"/>
    </row>
    <row r="29" spans="2:13">
      <c r="B29" s="25" t="s">
        <v>30</v>
      </c>
      <c r="C29" s="270">
        <f>BS!C6</f>
        <v>3212346044.4899998</v>
      </c>
      <c r="D29" s="287">
        <v>2641169798</v>
      </c>
      <c r="E29" s="287">
        <v>2572840226</v>
      </c>
      <c r="F29" s="287">
        <v>2742158427</v>
      </c>
      <c r="G29" s="287">
        <v>2130621634</v>
      </c>
      <c r="H29" s="287">
        <v>2157448334.2399998</v>
      </c>
      <c r="I29" s="287">
        <v>1921544765.26</v>
      </c>
      <c r="J29" s="287">
        <v>1764445460.22</v>
      </c>
      <c r="K29" s="287">
        <v>1512550560.26</v>
      </c>
      <c r="L29" s="287">
        <v>1464179821</v>
      </c>
      <c r="M29" s="287"/>
    </row>
    <row r="30" spans="2:13">
      <c r="B30" s="28" t="s">
        <v>38</v>
      </c>
      <c r="C30" s="271">
        <f>BS!C33+BS!C42</f>
        <v>9518655228.4500008</v>
      </c>
      <c r="D30" s="289">
        <v>8373407203</v>
      </c>
      <c r="E30" s="289">
        <v>7989354199</v>
      </c>
      <c r="F30" s="289">
        <v>7664257231</v>
      </c>
      <c r="G30" s="289">
        <v>6940685993</v>
      </c>
      <c r="H30" s="289">
        <v>6204537146.3100004</v>
      </c>
      <c r="I30" s="289">
        <v>4881683091.6899996</v>
      </c>
      <c r="J30" s="289">
        <v>4329883410.9300003</v>
      </c>
      <c r="K30" s="289">
        <v>3960699258.6100001</v>
      </c>
      <c r="L30" s="289">
        <v>3503775868</v>
      </c>
      <c r="M30" s="289"/>
    </row>
    <row r="31" spans="2:13">
      <c r="B31" s="28" t="s">
        <v>28</v>
      </c>
      <c r="C31" s="271">
        <f>BS!G27</f>
        <v>15435136145.889999</v>
      </c>
      <c r="D31" s="289">
        <v>13414156171</v>
      </c>
      <c r="E31" s="289">
        <v>12662033360</v>
      </c>
      <c r="F31" s="289">
        <v>11109688559</v>
      </c>
      <c r="G31" s="289">
        <v>10028150017</v>
      </c>
      <c r="H31" s="289">
        <v>9119966326.2199993</v>
      </c>
      <c r="I31" s="289">
        <v>8406029361.1000004</v>
      </c>
      <c r="J31" s="289">
        <v>7956822230.3900003</v>
      </c>
      <c r="K31" s="289">
        <v>8294477350.7799997</v>
      </c>
      <c r="L31" s="289">
        <v>7239513184</v>
      </c>
      <c r="M31" s="289"/>
    </row>
    <row r="32" spans="2:13">
      <c r="B32" s="25" t="s">
        <v>143</v>
      </c>
      <c r="C32" s="270">
        <f>BS!G28</f>
        <v>448834814.61000001</v>
      </c>
      <c r="D32" s="287">
        <v>343208028</v>
      </c>
      <c r="E32" s="287">
        <v>172053936</v>
      </c>
      <c r="F32" s="287">
        <v>-111871464</v>
      </c>
      <c r="G32" s="287">
        <v>-108694463</v>
      </c>
      <c r="H32" s="287">
        <v>-87283461.239999995</v>
      </c>
      <c r="I32" s="287">
        <v>-74534173.239999995</v>
      </c>
      <c r="J32" s="287">
        <v>-70479484.719999999</v>
      </c>
      <c r="K32" s="287">
        <v>-41213009.740000002</v>
      </c>
      <c r="L32" s="287">
        <v>-31157746</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12328513892</v>
      </c>
      <c r="D36" s="270">
        <f t="shared" si="1"/>
        <v>11868490425</v>
      </c>
      <c r="E36" s="270">
        <f t="shared" si="1"/>
        <v>10930302487</v>
      </c>
      <c r="F36" s="270">
        <f t="shared" si="1"/>
        <v>10460363984</v>
      </c>
      <c r="G36" s="270">
        <f t="shared" si="1"/>
        <v>9008056554</v>
      </c>
      <c r="H36" s="270">
        <f t="shared" si="1"/>
        <v>8842457723.7900009</v>
      </c>
      <c r="I36" s="270">
        <f t="shared" si="1"/>
        <v>8186582966.7299995</v>
      </c>
      <c r="J36" s="270">
        <f t="shared" si="1"/>
        <v>7345882957.6599998</v>
      </c>
      <c r="K36" s="270">
        <f t="shared" si="1"/>
        <v>6356168113.4300003</v>
      </c>
      <c r="L36" s="270">
        <f t="shared" si="1"/>
        <v>5732693142</v>
      </c>
      <c r="M36" s="270" t="str">
        <f t="shared" si="1"/>
        <v/>
      </c>
    </row>
    <row r="37" spans="2:13">
      <c r="B37" s="38" t="s">
        <v>40</v>
      </c>
      <c r="C37" s="270">
        <f t="shared" ref="C37:M37" si="2">IF(C$4="","",-C5)</f>
        <v>-7855898096.46</v>
      </c>
      <c r="D37" s="270">
        <f t="shared" si="2"/>
        <v>-7386835891.6800003</v>
      </c>
      <c r="E37" s="270">
        <f t="shared" si="2"/>
        <v>-6913161427</v>
      </c>
      <c r="F37" s="270">
        <f t="shared" si="2"/>
        <v>-6646716823</v>
      </c>
      <c r="G37" s="270">
        <f t="shared" si="2"/>
        <v>-5453686899</v>
      </c>
      <c r="H37" s="270">
        <f t="shared" si="2"/>
        <v>-5459861693.6899996</v>
      </c>
      <c r="I37" s="270">
        <f t="shared" si="2"/>
        <v>-5115028020.8500004</v>
      </c>
      <c r="J37" s="270">
        <f t="shared" si="2"/>
        <v>-4686978912.1300001</v>
      </c>
      <c r="K37" s="270">
        <f t="shared" si="2"/>
        <v>-3977341759.3800001</v>
      </c>
      <c r="L37" s="270">
        <f t="shared" si="2"/>
        <v>-3469413267</v>
      </c>
      <c r="M37" s="270" t="str">
        <f t="shared" si="2"/>
        <v/>
      </c>
    </row>
    <row r="38" spans="2:13">
      <c r="B38" s="30" t="s">
        <v>55</v>
      </c>
      <c r="C38" s="267">
        <f>IF(C36="","",C36+C37)</f>
        <v>4472615795.54</v>
      </c>
      <c r="D38" s="267">
        <f t="shared" ref="D38" si="3">IF(D36="","",D36+D37)</f>
        <v>4481654533.3199997</v>
      </c>
      <c r="E38" s="267">
        <f t="shared" ref="E38" si="4">IF(E36="","",E36+E37)</f>
        <v>4017141060</v>
      </c>
      <c r="F38" s="267">
        <f t="shared" ref="F38" si="5">IF(F36="","",F36+F37)</f>
        <v>3813647161</v>
      </c>
      <c r="G38" s="267">
        <f t="shared" ref="G38" si="6">IF(G36="","",G36+G37)</f>
        <v>3554369655</v>
      </c>
      <c r="H38" s="267">
        <f t="shared" ref="H38" si="7">IF(H36="","",H36+H37)</f>
        <v>3382596030.1000013</v>
      </c>
      <c r="I38" s="267">
        <f t="shared" ref="I38" si="8">IF(I36="","",I36+I37)</f>
        <v>3071554945.8799992</v>
      </c>
      <c r="J38" s="267">
        <f t="shared" ref="J38" si="9">IF(J36="","",J36+J37)</f>
        <v>2658904045.5299997</v>
      </c>
      <c r="K38" s="267">
        <f t="shared" ref="K38" si="10">IF(K36="","",K36+K37)</f>
        <v>2378826354.0500002</v>
      </c>
      <c r="L38" s="267">
        <f t="shared" ref="L38" si="11">IF(L36="","",L36+L37)</f>
        <v>2263279875</v>
      </c>
      <c r="M38" s="267" t="str">
        <f t="shared" ref="M38" si="12">IF(M36="","",M36+M37)</f>
        <v/>
      </c>
    </row>
    <row r="39" spans="2:13">
      <c r="B39" s="38" t="s">
        <v>51</v>
      </c>
      <c r="C39" s="270">
        <f t="shared" ref="C39:M39" si="13">IF(C$4="","",-C6)</f>
        <v>-3112598912</v>
      </c>
      <c r="D39" s="270">
        <f t="shared" si="13"/>
        <v>-3020689977</v>
      </c>
      <c r="E39" s="270">
        <f t="shared" si="13"/>
        <v>-2613446855</v>
      </c>
      <c r="F39" s="270">
        <f t="shared" si="13"/>
        <v>-2574399102</v>
      </c>
      <c r="G39" s="270">
        <f t="shared" si="13"/>
        <v>-2389175265</v>
      </c>
      <c r="H39" s="270">
        <f t="shared" si="13"/>
        <v>-2373654644.04</v>
      </c>
      <c r="I39" s="270">
        <f t="shared" si="13"/>
        <v>-2126015036.6900001</v>
      </c>
      <c r="J39" s="270">
        <f t="shared" si="13"/>
        <v>-1963522925.3900001</v>
      </c>
      <c r="K39" s="270">
        <f t="shared" si="13"/>
        <v>-1800975493.3800001</v>
      </c>
      <c r="L39" s="270">
        <f t="shared" si="13"/>
        <v>-1721071398</v>
      </c>
      <c r="M39" s="270" t="str">
        <f t="shared" si="13"/>
        <v/>
      </c>
    </row>
    <row r="40" spans="2:13">
      <c r="B40" s="66" t="s">
        <v>58</v>
      </c>
      <c r="C40" s="282">
        <f t="shared" ref="C40:M40" si="14">IF(C$4="","",-C7)</f>
        <v>-1438983986</v>
      </c>
      <c r="D40" s="282">
        <f t="shared" si="14"/>
        <v>-1402613434</v>
      </c>
      <c r="E40" s="282">
        <f t="shared" si="14"/>
        <v>-1211489002</v>
      </c>
      <c r="F40" s="282">
        <f t="shared" si="14"/>
        <v>-1121009339</v>
      </c>
      <c r="G40" s="282">
        <f t="shared" si="14"/>
        <v>-1184329784</v>
      </c>
      <c r="H40" s="282">
        <f t="shared" si="14"/>
        <v>-1119679106.03</v>
      </c>
      <c r="I40" s="282">
        <f t="shared" si="14"/>
        <v>-1010672983.29</v>
      </c>
      <c r="J40" s="282">
        <f t="shared" si="14"/>
        <v>-892516374.83000004</v>
      </c>
      <c r="K40" s="282">
        <f t="shared" si="14"/>
        <v>-804634976.54999995</v>
      </c>
      <c r="L40" s="282">
        <f t="shared" si="14"/>
        <v>-743696335</v>
      </c>
      <c r="M40" s="282" t="str">
        <f t="shared" si="14"/>
        <v/>
      </c>
    </row>
    <row r="41" spans="2:13">
      <c r="B41" s="66" t="s">
        <v>61</v>
      </c>
      <c r="C41" s="282">
        <f>IF(C$4="","",C39-C40)</f>
        <v>-1673614926</v>
      </c>
      <c r="D41" s="282">
        <f t="shared" ref="D41:M41" si="15">IF(D$4="","",D39-D40)</f>
        <v>-1618076543</v>
      </c>
      <c r="E41" s="282">
        <f t="shared" si="15"/>
        <v>-1401957853</v>
      </c>
      <c r="F41" s="282">
        <f t="shared" si="15"/>
        <v>-1453389763</v>
      </c>
      <c r="G41" s="282">
        <f t="shared" si="15"/>
        <v>-1204845481</v>
      </c>
      <c r="H41" s="282">
        <f t="shared" si="15"/>
        <v>-1253975538.01</v>
      </c>
      <c r="I41" s="282">
        <f t="shared" si="15"/>
        <v>-1115342053.4000001</v>
      </c>
      <c r="J41" s="282">
        <f t="shared" si="15"/>
        <v>-1071006550.5600001</v>
      </c>
      <c r="K41" s="282">
        <f t="shared" si="15"/>
        <v>-996340516.83000016</v>
      </c>
      <c r="L41" s="282">
        <f t="shared" si="15"/>
        <v>-977375063</v>
      </c>
      <c r="M41" s="282" t="str">
        <f t="shared" si="15"/>
        <v/>
      </c>
    </row>
    <row r="42" spans="2:13">
      <c r="B42" s="38" t="s">
        <v>46</v>
      </c>
      <c r="C42" s="270">
        <f t="shared" ref="C42:M42" si="16">IF(C$4="","",-C8)</f>
        <v>-30463684</v>
      </c>
      <c r="D42" s="270">
        <f t="shared" si="16"/>
        <v>-19979888</v>
      </c>
      <c r="E42" s="270">
        <f t="shared" si="16"/>
        <v>-14166706</v>
      </c>
      <c r="F42" s="270">
        <f t="shared" si="16"/>
        <v>-3793741</v>
      </c>
      <c r="G42" s="270">
        <f t="shared" si="16"/>
        <v>-3038699</v>
      </c>
      <c r="H42" s="270">
        <f t="shared" si="16"/>
        <v>-3255571.48</v>
      </c>
      <c r="I42" s="270">
        <f t="shared" si="16"/>
        <v>-13592602.42</v>
      </c>
      <c r="J42" s="270">
        <f t="shared" si="16"/>
        <v>0</v>
      </c>
      <c r="K42" s="270">
        <f t="shared" si="16"/>
        <v>0</v>
      </c>
      <c r="L42" s="270">
        <f t="shared" si="16"/>
        <v>0</v>
      </c>
      <c r="M42" s="270" t="str">
        <f t="shared" si="16"/>
        <v/>
      </c>
    </row>
    <row r="43" spans="2:13">
      <c r="B43" s="41" t="s">
        <v>127</v>
      </c>
      <c r="C43" s="271">
        <f>IF(C$4="","",C38+C39+C42)</f>
        <v>1329553199.54</v>
      </c>
      <c r="D43" s="271">
        <f t="shared" ref="D43:M43" si="17">IF(D$4="","",D38+D39+D42)</f>
        <v>1440984668.3199997</v>
      </c>
      <c r="E43" s="271">
        <f t="shared" si="17"/>
        <v>1389527499</v>
      </c>
      <c r="F43" s="271">
        <f t="shared" si="17"/>
        <v>1235454318</v>
      </c>
      <c r="G43" s="271">
        <f t="shared" si="17"/>
        <v>1162155691</v>
      </c>
      <c r="H43" s="271">
        <f t="shared" si="17"/>
        <v>1005685814.5800014</v>
      </c>
      <c r="I43" s="271">
        <f t="shared" si="17"/>
        <v>931947306.76999915</v>
      </c>
      <c r="J43" s="271">
        <f t="shared" si="17"/>
        <v>695381120.13999963</v>
      </c>
      <c r="K43" s="271">
        <f t="shared" si="17"/>
        <v>577850860.67000008</v>
      </c>
      <c r="L43" s="271">
        <f t="shared" si="17"/>
        <v>542208477</v>
      </c>
      <c r="M43" s="271" t="str">
        <f t="shared" si="17"/>
        <v/>
      </c>
    </row>
    <row r="44" spans="2:13">
      <c r="B44" s="41" t="s">
        <v>139</v>
      </c>
      <c r="C44" s="290">
        <f t="shared" ref="C44:M44" si="18">IF(C$4="","",C47-C46-C45-C43)</f>
        <v>146354588.46000004</v>
      </c>
      <c r="D44" s="290">
        <f t="shared" si="18"/>
        <v>-122854230.31999969</v>
      </c>
      <c r="E44" s="290">
        <f t="shared" si="18"/>
        <v>-161674048</v>
      </c>
      <c r="F44" s="290">
        <f t="shared" si="18"/>
        <v>-16987110</v>
      </c>
      <c r="G44" s="290">
        <f t="shared" si="18"/>
        <v>33109749</v>
      </c>
      <c r="H44" s="290">
        <f t="shared" si="18"/>
        <v>104398571.64999843</v>
      </c>
      <c r="I44" s="290">
        <f t="shared" si="18"/>
        <v>-51508701.379999161</v>
      </c>
      <c r="J44" s="290">
        <f t="shared" si="18"/>
        <v>221659135.77000046</v>
      </c>
      <c r="K44" s="290">
        <f t="shared" si="18"/>
        <v>57865199.049999952</v>
      </c>
      <c r="L44" s="290">
        <f t="shared" si="18"/>
        <v>75501254</v>
      </c>
      <c r="M44" s="290" t="str">
        <f t="shared" si="18"/>
        <v/>
      </c>
    </row>
    <row r="45" spans="2:13">
      <c r="B45" s="38" t="s">
        <v>65</v>
      </c>
      <c r="C45" s="285">
        <f t="shared" ref="C45:M45" si="19">IF(C$4="","",C51+C52)</f>
        <v>233018335</v>
      </c>
      <c r="D45" s="285">
        <f t="shared" si="19"/>
        <v>245041623</v>
      </c>
      <c r="E45" s="285">
        <f t="shared" si="19"/>
        <v>151946200</v>
      </c>
      <c r="F45" s="285">
        <f t="shared" si="19"/>
        <v>90266866</v>
      </c>
      <c r="G45" s="285">
        <f t="shared" si="19"/>
        <v>55900058</v>
      </c>
      <c r="H45" s="285">
        <f t="shared" si="19"/>
        <v>38752913</v>
      </c>
      <c r="I45" s="285">
        <f t="shared" si="19"/>
        <v>35482015</v>
      </c>
      <c r="J45" s="285">
        <f t="shared" si="19"/>
        <v>0</v>
      </c>
      <c r="K45" s="285">
        <f t="shared" si="19"/>
        <v>0</v>
      </c>
      <c r="L45" s="285">
        <f t="shared" si="19"/>
        <v>0</v>
      </c>
      <c r="M45" s="285" t="str">
        <f t="shared" si="19"/>
        <v/>
      </c>
    </row>
    <row r="46" spans="2:13">
      <c r="B46" s="38" t="s">
        <v>47</v>
      </c>
      <c r="C46" s="270">
        <f>IF(C$4="","",-C14)</f>
        <v>-105264449</v>
      </c>
      <c r="D46" s="270">
        <f t="shared" ref="D46:M46" si="20">IF(D$4="","",-D14)</f>
        <v>65178244</v>
      </c>
      <c r="E46" s="270">
        <f t="shared" si="20"/>
        <v>11435477</v>
      </c>
      <c r="F46" s="270">
        <f t="shared" si="20"/>
        <v>-5452812</v>
      </c>
      <c r="G46" s="270">
        <f t="shared" si="20"/>
        <v>-8170551</v>
      </c>
      <c r="H46" s="270">
        <f t="shared" si="20"/>
        <v>-24172075.120000001</v>
      </c>
      <c r="I46" s="270">
        <f t="shared" si="20"/>
        <v>10795846.369999999</v>
      </c>
      <c r="J46" s="270">
        <f t="shared" si="20"/>
        <v>-559885.21</v>
      </c>
      <c r="K46" s="270">
        <f t="shared" si="20"/>
        <v>-5678065.6299999999</v>
      </c>
      <c r="L46" s="270">
        <f t="shared" si="20"/>
        <v>-2789931</v>
      </c>
      <c r="M46" s="270" t="str">
        <f t="shared" si="20"/>
        <v/>
      </c>
    </row>
    <row r="47" spans="2:13">
      <c r="B47" s="41" t="s">
        <v>39</v>
      </c>
      <c r="C47" s="271">
        <f t="shared" ref="C47:M47" si="21">IF(C$4="","",C15)</f>
        <v>1603661674</v>
      </c>
      <c r="D47" s="271">
        <f t="shared" si="21"/>
        <v>1628350305</v>
      </c>
      <c r="E47" s="271">
        <f t="shared" si="21"/>
        <v>1391235128</v>
      </c>
      <c r="F47" s="271">
        <f t="shared" si="21"/>
        <v>1303281262</v>
      </c>
      <c r="G47" s="271">
        <f t="shared" si="21"/>
        <v>1242994947</v>
      </c>
      <c r="H47" s="271">
        <f t="shared" si="21"/>
        <v>1124665224.1099999</v>
      </c>
      <c r="I47" s="271">
        <f t="shared" si="21"/>
        <v>926716466.75999999</v>
      </c>
      <c r="J47" s="271">
        <f t="shared" si="21"/>
        <v>916480370.70000005</v>
      </c>
      <c r="K47" s="271">
        <f t="shared" si="21"/>
        <v>630037994.09000003</v>
      </c>
      <c r="L47" s="271">
        <f t="shared" si="21"/>
        <v>614919800</v>
      </c>
      <c r="M47" s="271" t="str">
        <f t="shared" si="21"/>
        <v/>
      </c>
    </row>
    <row r="48" spans="2:13">
      <c r="B48" s="27" t="s">
        <v>41</v>
      </c>
      <c r="C48" s="270">
        <f t="shared" ref="C48:M48" si="22">IF(C$4="","",MIN(-C16,0))</f>
        <v>-58805478</v>
      </c>
      <c r="D48" s="270">
        <f t="shared" si="22"/>
        <v>-49204301</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-12441883</v>
      </c>
      <c r="D51" s="270">
        <f t="shared" si="23"/>
        <v>-17875457</v>
      </c>
      <c r="E51" s="270">
        <f t="shared" si="23"/>
        <v>-20978186</v>
      </c>
      <c r="F51" s="270">
        <f t="shared" si="23"/>
        <v>-19487843</v>
      </c>
      <c r="G51" s="270">
        <f t="shared" si="23"/>
        <v>-22163955</v>
      </c>
      <c r="H51" s="270">
        <f t="shared" si="23"/>
        <v>-19440322</v>
      </c>
      <c r="I51" s="270">
        <f t="shared" si="23"/>
        <v>-516412</v>
      </c>
      <c r="J51" s="270">
        <f t="shared" si="23"/>
        <v>0</v>
      </c>
      <c r="K51" s="270">
        <f t="shared" si="23"/>
        <v>0</v>
      </c>
      <c r="L51" s="270">
        <f t="shared" si="23"/>
        <v>0</v>
      </c>
      <c r="M51" s="270" t="str">
        <f t="shared" si="23"/>
        <v/>
      </c>
    </row>
    <row r="52" spans="2:13">
      <c r="B52" s="38" t="s">
        <v>64</v>
      </c>
      <c r="C52" s="270">
        <f>IF(C$4="","",C13)</f>
        <v>245460218</v>
      </c>
      <c r="D52" s="270">
        <f t="shared" ref="D52:M52" si="24">IF(D$4="","",D13)</f>
        <v>262917080</v>
      </c>
      <c r="E52" s="270">
        <f t="shared" si="24"/>
        <v>172924386</v>
      </c>
      <c r="F52" s="270">
        <f t="shared" si="24"/>
        <v>109754709</v>
      </c>
      <c r="G52" s="270">
        <f t="shared" si="24"/>
        <v>78064013</v>
      </c>
      <c r="H52" s="270">
        <f t="shared" si="24"/>
        <v>58193235</v>
      </c>
      <c r="I52" s="270">
        <f t="shared" si="24"/>
        <v>35998427</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146354588.46000004</v>
      </c>
      <c r="D58" s="285">
        <f t="shared" ref="D58:M58" si="28">IF(D$4="","",D44-D55-D56-D57)</f>
        <v>-122854230.31999969</v>
      </c>
      <c r="E58" s="285">
        <f t="shared" si="28"/>
        <v>-161674048</v>
      </c>
      <c r="F58" s="285">
        <f t="shared" si="28"/>
        <v>-16987110</v>
      </c>
      <c r="G58" s="285">
        <f t="shared" si="28"/>
        <v>33109749</v>
      </c>
      <c r="H58" s="285">
        <f t="shared" si="28"/>
        <v>104398571.64999843</v>
      </c>
      <c r="I58" s="285">
        <f t="shared" si="28"/>
        <v>-51508701.379999161</v>
      </c>
      <c r="J58" s="285">
        <f t="shared" si="28"/>
        <v>221659135.77000046</v>
      </c>
      <c r="K58" s="285">
        <f t="shared" si="28"/>
        <v>57865199.049999952</v>
      </c>
      <c r="L58" s="285">
        <f t="shared" si="28"/>
        <v>75501254</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-115759968</v>
      </c>
      <c r="D64" s="270">
        <f t="shared" ref="D64:M64" si="32">IF(D$4="","",D22+D23+D24)</f>
        <v>1316258195</v>
      </c>
      <c r="E64" s="270">
        <f t="shared" si="32"/>
        <v>1764314943</v>
      </c>
      <c r="F64" s="270">
        <f t="shared" si="32"/>
        <v>256928619</v>
      </c>
      <c r="G64" s="270">
        <f t="shared" si="32"/>
        <v>2346934842</v>
      </c>
      <c r="H64" s="270">
        <f t="shared" si="32"/>
        <v>817206494.42999983</v>
      </c>
      <c r="I64" s="270">
        <f t="shared" si="32"/>
        <v>751127082.10000014</v>
      </c>
      <c r="J64" s="270">
        <f t="shared" si="32"/>
        <v>191405391.45000005</v>
      </c>
      <c r="K64" s="270">
        <f t="shared" si="32"/>
        <v>-190190989.92999995</v>
      </c>
      <c r="L64" s="270">
        <f t="shared" si="32"/>
        <v>478652396</v>
      </c>
      <c r="M64" s="270" t="str">
        <f t="shared" si="32"/>
        <v/>
      </c>
    </row>
    <row r="65" spans="2:13">
      <c r="B65" s="23" t="s">
        <v>34</v>
      </c>
      <c r="C65" s="70">
        <f>IF(C$4="","",C25)</f>
        <v>0.67852434494018554</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5">
        <f t="shared" ref="D76:M76" si="39">IF(D$4="","",D79+D80)</f>
        <v>21787563374</v>
      </c>
      <c r="E76" s="285">
        <f t="shared" si="39"/>
        <v>20651387559</v>
      </c>
      <c r="F76" s="285">
        <f t="shared" si="39"/>
        <v>18773945790</v>
      </c>
      <c r="G76" s="285">
        <f t="shared" si="39"/>
        <v>16968836010</v>
      </c>
      <c r="H76" s="285">
        <f t="shared" si="39"/>
        <v>15324503472.529999</v>
      </c>
      <c r="I76" s="285">
        <f t="shared" si="39"/>
        <v>13287712452.790001</v>
      </c>
      <c r="J76" s="285">
        <f t="shared" si="39"/>
        <v>12286705641.32</v>
      </c>
      <c r="K76" s="285">
        <f t="shared" si="39"/>
        <v>12255176609.389999</v>
      </c>
      <c r="L76" s="285">
        <f t="shared" si="39"/>
        <v>10743289052</v>
      </c>
      <c r="M76" s="285" t="str">
        <f t="shared" si="39"/>
        <v/>
      </c>
    </row>
    <row r="77" spans="2:13">
      <c r="B77" s="90" t="s">
        <v>82</v>
      </c>
      <c r="C77" s="260">
        <f t="shared" ref="C77:H78" si="40">IF(C$4="","",C28)</f>
        <v>2677683243.9199996</v>
      </c>
      <c r="D77" s="282">
        <f t="shared" si="40"/>
        <v>1480929222</v>
      </c>
      <c r="E77" s="282">
        <f t="shared" si="40"/>
        <v>1700785024</v>
      </c>
      <c r="F77" s="282">
        <f t="shared" si="40"/>
        <v>1566430110</v>
      </c>
      <c r="G77" s="282">
        <f t="shared" si="40"/>
        <v>1591251195</v>
      </c>
      <c r="H77" s="282">
        <f t="shared" si="40"/>
        <v>1763659597</v>
      </c>
      <c r="I77" s="291"/>
      <c r="J77" s="291"/>
      <c r="K77" s="291"/>
      <c r="L77" s="291"/>
      <c r="M77" s="291"/>
    </row>
    <row r="78" spans="2:13">
      <c r="B78" s="90" t="s">
        <v>83</v>
      </c>
      <c r="C78" s="260">
        <f t="shared" si="40"/>
        <v>3212346044.4899998</v>
      </c>
      <c r="D78" s="282">
        <f t="shared" si="40"/>
        <v>2641169798</v>
      </c>
      <c r="E78" s="282">
        <f t="shared" si="40"/>
        <v>2572840226</v>
      </c>
      <c r="F78" s="282">
        <f t="shared" si="40"/>
        <v>2742158427</v>
      </c>
      <c r="G78" s="282">
        <f t="shared" si="40"/>
        <v>2130621634</v>
      </c>
      <c r="H78" s="282">
        <f t="shared" si="40"/>
        <v>2157448334.2399998</v>
      </c>
      <c r="I78" s="291"/>
      <c r="J78" s="291"/>
      <c r="K78" s="291"/>
      <c r="L78" s="291"/>
      <c r="M78" s="291"/>
    </row>
    <row r="79" spans="2:13">
      <c r="B79" s="25" t="s">
        <v>38</v>
      </c>
      <c r="C79" s="259">
        <f t="shared" ref="C79:M79" si="41">IF(C$4="","",C30)</f>
        <v>9518655228.4500008</v>
      </c>
      <c r="D79" s="270">
        <f t="shared" si="41"/>
        <v>8373407203</v>
      </c>
      <c r="E79" s="270">
        <f t="shared" si="41"/>
        <v>7989354199</v>
      </c>
      <c r="F79" s="270">
        <f t="shared" si="41"/>
        <v>7664257231</v>
      </c>
      <c r="G79" s="270">
        <f t="shared" si="41"/>
        <v>6940685993</v>
      </c>
      <c r="H79" s="270">
        <f t="shared" si="41"/>
        <v>6204537146.3100004</v>
      </c>
      <c r="I79" s="270">
        <f t="shared" si="41"/>
        <v>4881683091.6899996</v>
      </c>
      <c r="J79" s="270">
        <f t="shared" si="41"/>
        <v>4329883410.9300003</v>
      </c>
      <c r="K79" s="270">
        <f t="shared" si="41"/>
        <v>3960699258.6100001</v>
      </c>
      <c r="L79" s="270">
        <f t="shared" si="41"/>
        <v>3503775868</v>
      </c>
      <c r="M79" s="270" t="str">
        <f t="shared" si="41"/>
        <v/>
      </c>
    </row>
    <row r="80" spans="2:13">
      <c r="B80" s="25" t="s">
        <v>28</v>
      </c>
      <c r="C80" s="259">
        <f t="shared" ref="C80:M80" si="42">IF(C$4="","",C31)</f>
        <v>15435136145.889999</v>
      </c>
      <c r="D80" s="270">
        <f t="shared" si="42"/>
        <v>13414156171</v>
      </c>
      <c r="E80" s="270">
        <f t="shared" si="42"/>
        <v>12662033360</v>
      </c>
      <c r="F80" s="270">
        <f t="shared" si="42"/>
        <v>11109688559</v>
      </c>
      <c r="G80" s="270">
        <f t="shared" si="42"/>
        <v>10028150017</v>
      </c>
      <c r="H80" s="270">
        <f t="shared" si="42"/>
        <v>9119966326.2199993</v>
      </c>
      <c r="I80" s="270">
        <f t="shared" si="42"/>
        <v>8406029361.1000004</v>
      </c>
      <c r="J80" s="270">
        <f t="shared" si="42"/>
        <v>7956822230.3900003</v>
      </c>
      <c r="K80" s="270">
        <f t="shared" si="42"/>
        <v>8294477350.7799997</v>
      </c>
      <c r="L80" s="270">
        <f t="shared" si="42"/>
        <v>7239513184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87">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13.735657314412192</v>
      </c>
      <c r="D47" s="134">
        <f>D46*H1/Common_Shares*Exchange_Rate</f>
        <v>1.7646294193934753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0.18140013622570431</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0.12223828711958121</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6700376289.7117052</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-986345987.39544523</v>
      </c>
      <c r="D73" s="285">
        <f>(Normalized_FCF!C26+Normalized_FCF!C35-Normalized_FCF!C89)/12</f>
        <v>-967071229.23414755</v>
      </c>
      <c r="F73" s="1" t="s">
        <v>278</v>
      </c>
    </row>
    <row r="74" spans="2:6" ht="15" customHeight="1">
      <c r="B74" s="227" t="s">
        <v>259</v>
      </c>
      <c r="C74" s="228">
        <f>-$C$66/C73</f>
        <v>8.7540466109467268</v>
      </c>
      <c r="D74" s="228">
        <f>-$C$66/D73</f>
        <v>8.9285240705774402</v>
      </c>
      <c r="F74" s="223" t="s">
        <v>257</v>
      </c>
    </row>
    <row r="75" spans="2:6" ht="15" customHeight="1">
      <c r="B75" s="77" t="s">
        <v>258</v>
      </c>
      <c r="C75" s="261"/>
      <c r="D75" s="262">
        <f>MAX(-D73*D76,G5)</f>
        <v>1934142458.4682951</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-320193892.97517478</v>
      </c>
      <c r="D86" s="201">
        <f>C86*scaling_factor/Common_Shares</f>
        <v>-0.25950985011454053</v>
      </c>
      <c r="E86" s="214" t="str">
        <f>Market_currency</f>
        <v>HKD</v>
      </c>
    </row>
    <row r="87" spans="2:8" ht="15" customHeight="1">
      <c r="B87" s="212" t="s">
        <v>240</v>
      </c>
      <c r="C87" s="73">
        <f>DCF!F5*Exchange_Rate</f>
        <v>7577280721.382309</v>
      </c>
      <c r="D87" s="201">
        <f>C87*scaling_factor/Common_Shares</f>
        <v>6.1412132692804899</v>
      </c>
      <c r="E87" s="214" t="str">
        <f>Market_currency</f>
        <v>HKD</v>
      </c>
    </row>
    <row r="88" spans="2:8" ht="15" customHeight="1">
      <c r="B88" s="213" t="s">
        <v>159</v>
      </c>
      <c r="C88" s="73">
        <f>DCF!F6*Exchange_Rate</f>
        <v>659931132.06017339</v>
      </c>
      <c r="D88" s="201">
        <f>C88*scaling_factor/Common_Shares</f>
        <v>0.53485913667982621</v>
      </c>
      <c r="E88" s="214" t="str">
        <f>Market_currency</f>
        <v>HKD</v>
      </c>
    </row>
    <row r="89" spans="2:8" ht="15" customHeight="1">
      <c r="B89" s="77" t="s">
        <v>244</v>
      </c>
      <c r="C89" s="162">
        <f>SUM(C86:C88)</f>
        <v>7917017960.4673071</v>
      </c>
      <c r="D89" s="216">
        <f>SUM(D86:D88)</f>
        <v>6.4165625558457764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7"/>
      <c r="F3" s="9"/>
      <c r="G3" s="16" t="s">
        <v>410</v>
      </c>
      <c r="H3" s="104">
        <f>scaling_factor</f>
        <v>1</v>
      </c>
    </row>
    <row r="4" spans="1:17" ht="15.75" customHeight="1">
      <c r="A4" s="10"/>
      <c r="B4" s="25" t="s">
        <v>0</v>
      </c>
      <c r="C4" s="458">
        <f>C100*C117</f>
        <v>12328513892</v>
      </c>
      <c r="D4" s="54"/>
      <c r="E4" s="235"/>
      <c r="F4" s="54"/>
      <c r="G4" s="270">
        <f>Data!C36</f>
        <v>12328513892</v>
      </c>
      <c r="H4" s="270">
        <f>Data!D36</f>
        <v>11868490425</v>
      </c>
      <c r="I4" s="270">
        <f>Data!E36</f>
        <v>10930302487</v>
      </c>
      <c r="J4" s="270">
        <f>Data!F36</f>
        <v>10460363984</v>
      </c>
      <c r="K4" s="270">
        <f>Data!G36</f>
        <v>9008056554</v>
      </c>
      <c r="L4" s="270">
        <f>Data!H36</f>
        <v>8842457723.7900009</v>
      </c>
      <c r="M4" s="270">
        <f>Data!I36</f>
        <v>8186582966.7299995</v>
      </c>
      <c r="N4" s="270">
        <f>Data!J36</f>
        <v>7345882957.6599998</v>
      </c>
      <c r="O4" s="270">
        <f>Data!K36</f>
        <v>6356168113.4300003</v>
      </c>
      <c r="P4" s="270">
        <f>Data!L36</f>
        <v>5732693142</v>
      </c>
      <c r="Q4" s="270" t="str">
        <f>Data!M36</f>
        <v/>
      </c>
    </row>
    <row r="5" spans="1:17" ht="15.75" customHeight="1">
      <c r="A5" s="10"/>
      <c r="B5" s="2" t="s">
        <v>43</v>
      </c>
      <c r="C5" s="266">
        <f>C26</f>
        <v>-9094048668.5244274</v>
      </c>
      <c r="E5" s="237"/>
      <c r="G5" s="270">
        <f t="shared" ref="G5:Q5" si="1">G26</f>
        <v>-9325345766.4599991</v>
      </c>
      <c r="H5" s="270">
        <f t="shared" si="1"/>
        <v>-8809429213.6800003</v>
      </c>
      <c r="I5" s="270">
        <f t="shared" si="1"/>
        <v>-8138817135</v>
      </c>
      <c r="J5" s="270">
        <f t="shared" si="1"/>
        <v>-7771519903</v>
      </c>
      <c r="K5" s="270">
        <f t="shared" si="1"/>
        <v>-6641055382</v>
      </c>
      <c r="L5" s="270">
        <f t="shared" si="1"/>
        <v>-6582796371.1999989</v>
      </c>
      <c r="M5" s="270">
        <f t="shared" si="1"/>
        <v>-6139293606.5600004</v>
      </c>
      <c r="N5" s="270">
        <f t="shared" si="1"/>
        <v>-5579495286.96</v>
      </c>
      <c r="O5" s="270">
        <f t="shared" si="1"/>
        <v>-4781976735.9300003</v>
      </c>
      <c r="P5" s="270">
        <f t="shared" si="1"/>
        <v>-4213109602</v>
      </c>
      <c r="Q5" s="270" t="str">
        <f t="shared" si="1"/>
        <v/>
      </c>
    </row>
    <row r="6" spans="1:17" ht="15.75" customHeight="1">
      <c r="A6" s="10"/>
      <c r="B6" s="30" t="s">
        <v>45</v>
      </c>
      <c r="C6" s="267">
        <f>C4+C5</f>
        <v>3234465223.4755726</v>
      </c>
      <c r="E6" s="237"/>
      <c r="G6" s="267">
        <f>IF(G4="","",G4+G5)</f>
        <v>3003168125.5400009</v>
      </c>
      <c r="H6" s="267">
        <f t="shared" ref="H6:Q6" si="2">IF(H4="","",H4+H5)</f>
        <v>3059061211.3199997</v>
      </c>
      <c r="I6" s="267">
        <f t="shared" si="2"/>
        <v>2791485352</v>
      </c>
      <c r="J6" s="267">
        <f t="shared" si="2"/>
        <v>2688844081</v>
      </c>
      <c r="K6" s="267">
        <f t="shared" si="2"/>
        <v>2367001172</v>
      </c>
      <c r="L6" s="267">
        <f t="shared" si="2"/>
        <v>2259661352.5900021</v>
      </c>
      <c r="M6" s="267">
        <f t="shared" si="2"/>
        <v>2047289360.1699991</v>
      </c>
      <c r="N6" s="267">
        <f t="shared" si="2"/>
        <v>1766387670.6999998</v>
      </c>
      <c r="O6" s="267">
        <f t="shared" si="2"/>
        <v>1574191377.5</v>
      </c>
      <c r="P6" s="267">
        <f t="shared" si="2"/>
        <v>1519583540</v>
      </c>
      <c r="Q6" s="267" t="str">
        <f t="shared" si="2"/>
        <v/>
      </c>
    </row>
    <row r="7" spans="1:17" ht="15.75" customHeight="1">
      <c r="A7" s="10"/>
      <c r="B7" s="8" t="s">
        <v>42</v>
      </c>
      <c r="C7" s="266">
        <f>C35</f>
        <v>-1673614926</v>
      </c>
      <c r="E7" s="237"/>
      <c r="G7" s="266">
        <f t="shared" ref="G7:Q7" si="3">G35</f>
        <v>-1673614926</v>
      </c>
      <c r="H7" s="266">
        <f t="shared" si="3"/>
        <v>-1618076543</v>
      </c>
      <c r="I7" s="266">
        <f t="shared" si="3"/>
        <v>-1401957853</v>
      </c>
      <c r="J7" s="266">
        <f t="shared" si="3"/>
        <v>-1453389763</v>
      </c>
      <c r="K7" s="266">
        <f t="shared" si="3"/>
        <v>-1204845481</v>
      </c>
      <c r="L7" s="266">
        <f t="shared" si="3"/>
        <v>-1253975538.01</v>
      </c>
      <c r="M7" s="266">
        <f t="shared" si="3"/>
        <v>-1115342053.4000001</v>
      </c>
      <c r="N7" s="266">
        <f t="shared" si="3"/>
        <v>-1071006550.5600001</v>
      </c>
      <c r="O7" s="266">
        <f t="shared" si="3"/>
        <v>-996340516.83000016</v>
      </c>
      <c r="P7" s="266">
        <f t="shared" si="3"/>
        <v>-977375063</v>
      </c>
      <c r="Q7" s="266" t="str">
        <f t="shared" si="3"/>
        <v/>
      </c>
    </row>
    <row r="8" spans="1:17" ht="15.75" customHeight="1">
      <c r="A8" s="10"/>
      <c r="B8" s="28" t="s">
        <v>127</v>
      </c>
      <c r="C8" s="268">
        <f>C6+C7</f>
        <v>1560850297.4755726</v>
      </c>
      <c r="D8" s="56"/>
      <c r="E8" s="241"/>
      <c r="F8" s="56"/>
      <c r="G8" s="267">
        <f>IF(G$4="","",G6+G7)</f>
        <v>1329553199.5400009</v>
      </c>
      <c r="H8" s="267">
        <f t="shared" ref="H8:Q8" si="4">IF(H$4="","",H6+H7)</f>
        <v>1440984668.3199997</v>
      </c>
      <c r="I8" s="267">
        <f t="shared" si="4"/>
        <v>1389527499</v>
      </c>
      <c r="J8" s="267">
        <f t="shared" si="4"/>
        <v>1235454318</v>
      </c>
      <c r="K8" s="267">
        <f t="shared" si="4"/>
        <v>1162155691</v>
      </c>
      <c r="L8" s="267">
        <f t="shared" si="4"/>
        <v>1005685814.5800021</v>
      </c>
      <c r="M8" s="267">
        <f t="shared" si="4"/>
        <v>931947306.76999903</v>
      </c>
      <c r="N8" s="267">
        <f t="shared" si="4"/>
        <v>695381120.13999975</v>
      </c>
      <c r="O8" s="267">
        <f t="shared" si="4"/>
        <v>577850860.66999984</v>
      </c>
      <c r="P8" s="267">
        <f t="shared" si="4"/>
        <v>542208477</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-2552068.078690229</v>
      </c>
      <c r="E10" s="237"/>
      <c r="G10" s="266">
        <f>G48</f>
        <v>42541497.469091386</v>
      </c>
      <c r="H10" s="266">
        <f t="shared" ref="H10:Q10" si="6">H48</f>
        <v>41018281.298002072</v>
      </c>
      <c r="I10" s="266">
        <f t="shared" si="6"/>
        <v>17757081.919553548</v>
      </c>
      <c r="J10" s="266">
        <f t="shared" si="6"/>
        <v>5097342.2181660198</v>
      </c>
      <c r="K10" s="266">
        <f t="shared" si="6"/>
        <v>-4677523.3382995427</v>
      </c>
      <c r="L10" s="266">
        <f t="shared" si="6"/>
        <v>-6404968.2192409318</v>
      </c>
      <c r="M10" s="266">
        <f t="shared" si="6"/>
        <v>7547278.4185826639</v>
      </c>
      <c r="N10" s="266">
        <f t="shared" si="6"/>
        <v>0</v>
      </c>
      <c r="O10" s="266">
        <f t="shared" si="6"/>
        <v>0</v>
      </c>
      <c r="P10" s="266">
        <f t="shared" si="6"/>
        <v>0</v>
      </c>
      <c r="Q10" s="266" t="str">
        <f t="shared" si="6"/>
        <v/>
      </c>
    </row>
    <row r="11" spans="1:17" ht="15.75" customHeight="1">
      <c r="A11" s="10"/>
      <c r="B11" s="67" t="s">
        <v>137</v>
      </c>
      <c r="C11" s="267">
        <f>SUM(C8:C10)</f>
        <v>1558298229.3968823</v>
      </c>
      <c r="E11" s="237"/>
      <c r="G11" s="267">
        <f t="shared" ref="G11:Q11" si="7">IF(G$4="","",SUM(G8:G10))</f>
        <v>1372094697.0090923</v>
      </c>
      <c r="H11" s="267">
        <f t="shared" si="7"/>
        <v>1482002949.6180017</v>
      </c>
      <c r="I11" s="267">
        <f t="shared" si="7"/>
        <v>1407284580.9195535</v>
      </c>
      <c r="J11" s="267">
        <f t="shared" si="7"/>
        <v>1240551660.2181661</v>
      </c>
      <c r="K11" s="267">
        <f t="shared" si="7"/>
        <v>1157478167.6617005</v>
      </c>
      <c r="L11" s="267">
        <f t="shared" si="7"/>
        <v>999280846.36076117</v>
      </c>
      <c r="M11" s="267">
        <f t="shared" si="7"/>
        <v>939494585.18858171</v>
      </c>
      <c r="N11" s="267">
        <f t="shared" si="7"/>
        <v>695381120.13999975</v>
      </c>
      <c r="O11" s="267">
        <f t="shared" si="7"/>
        <v>577850860.66999984</v>
      </c>
      <c r="P11" s="267">
        <f t="shared" si="7"/>
        <v>542208477</v>
      </c>
      <c r="Q11" s="267" t="str">
        <f t="shared" si="7"/>
        <v/>
      </c>
    </row>
    <row r="12" spans="1:17" ht="15.75" customHeight="1">
      <c r="A12" s="10"/>
      <c r="B12" s="2" t="s">
        <v>60</v>
      </c>
      <c r="C12" s="266">
        <f>-C11*C41</f>
        <v>-389574557.34922057</v>
      </c>
      <c r="E12" s="237"/>
      <c r="G12" s="266">
        <f>Data!C46</f>
        <v>-105264449</v>
      </c>
      <c r="H12" s="266">
        <f>Data!D46</f>
        <v>65178244</v>
      </c>
      <c r="I12" s="266">
        <f>Data!E46</f>
        <v>11435477</v>
      </c>
      <c r="J12" s="266">
        <f>Data!F46</f>
        <v>-5452812</v>
      </c>
      <c r="K12" s="266">
        <f>Data!G46</f>
        <v>-8170551</v>
      </c>
      <c r="L12" s="266">
        <f>Data!H46</f>
        <v>-24172075.120000001</v>
      </c>
      <c r="M12" s="266">
        <f>Data!I46</f>
        <v>10795846.369999999</v>
      </c>
      <c r="N12" s="266">
        <f>Data!J46</f>
        <v>-559885.21</v>
      </c>
      <c r="O12" s="266">
        <f>Data!K46</f>
        <v>-5678065.6299999999</v>
      </c>
      <c r="P12" s="266">
        <f>Data!L46</f>
        <v>-2789931</v>
      </c>
      <c r="Q12" s="266" t="str">
        <f>Data!M46</f>
        <v/>
      </c>
    </row>
    <row r="13" spans="1:17" ht="15.75" customHeight="1">
      <c r="A13" s="10"/>
      <c r="B13" s="38" t="s">
        <v>208</v>
      </c>
      <c r="C13" s="266">
        <f>-C4*C79</f>
        <v>-58805478.000000007</v>
      </c>
      <c r="D13" s="57"/>
      <c r="E13" s="242"/>
      <c r="F13" s="57"/>
      <c r="G13" s="270">
        <f>Data!C48</f>
        <v>-58805478</v>
      </c>
      <c r="H13" s="270">
        <f>Data!D48</f>
        <v>-49204301</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1109918194.0476618</v>
      </c>
      <c r="D14" s="58"/>
      <c r="E14" s="243"/>
      <c r="F14" s="58"/>
      <c r="G14" s="267">
        <f t="shared" ref="G14:Q14" si="8">IF(G$4="","",SUM(G11:G13))</f>
        <v>1208024770.0090923</v>
      </c>
      <c r="H14" s="267">
        <f t="shared" si="8"/>
        <v>1497976892.6180017</v>
      </c>
      <c r="I14" s="267">
        <f t="shared" si="8"/>
        <v>1418720057.9195535</v>
      </c>
      <c r="J14" s="267">
        <f t="shared" si="8"/>
        <v>1235098848.2181661</v>
      </c>
      <c r="K14" s="267">
        <f t="shared" si="8"/>
        <v>1149307616.6617005</v>
      </c>
      <c r="L14" s="267">
        <f t="shared" si="8"/>
        <v>975108771.24076116</v>
      </c>
      <c r="M14" s="267">
        <f t="shared" si="8"/>
        <v>950290431.55858171</v>
      </c>
      <c r="N14" s="267">
        <f t="shared" si="8"/>
        <v>694821234.92999971</v>
      </c>
      <c r="O14" s="267">
        <f t="shared" si="8"/>
        <v>572172795.03999984</v>
      </c>
      <c r="P14" s="267">
        <f t="shared" si="8"/>
        <v>539418546</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1109918194.0476618</v>
      </c>
      <c r="D19" s="26"/>
      <c r="E19" s="234"/>
      <c r="F19" s="26"/>
      <c r="G19" s="271">
        <f t="shared" ref="G19:Q19" si="9">IF(G$4="","",G14+G17)</f>
        <v>1208024770.0090923</v>
      </c>
      <c r="H19" s="271">
        <f t="shared" si="9"/>
        <v>1497976892.6180017</v>
      </c>
      <c r="I19" s="271">
        <f t="shared" si="9"/>
        <v>1418720057.9195535</v>
      </c>
      <c r="J19" s="271">
        <f t="shared" si="9"/>
        <v>1235098848.2181661</v>
      </c>
      <c r="K19" s="271">
        <f t="shared" si="9"/>
        <v>1149307616.6617005</v>
      </c>
      <c r="L19" s="271">
        <f t="shared" si="9"/>
        <v>975108771.24076116</v>
      </c>
      <c r="M19" s="271">
        <f t="shared" si="9"/>
        <v>950290431.55858171</v>
      </c>
      <c r="N19" s="271">
        <f t="shared" si="9"/>
        <v>694821234.92999971</v>
      </c>
      <c r="O19" s="271">
        <f t="shared" si="9"/>
        <v>572172795.03999984</v>
      </c>
      <c r="P19" s="271">
        <f t="shared" si="9"/>
        <v>539418546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-7698138603.6882782</v>
      </c>
      <c r="D23" s="55"/>
      <c r="E23" s="236"/>
      <c r="F23" s="55"/>
      <c r="G23" s="270">
        <f>Data!C37</f>
        <v>-7855898096.46</v>
      </c>
      <c r="H23" s="270">
        <f>Data!D37</f>
        <v>-7386835891.6800003</v>
      </c>
      <c r="I23" s="270">
        <f>Data!E37</f>
        <v>-6913161427</v>
      </c>
      <c r="J23" s="270">
        <f>Data!F37</f>
        <v>-6646716823</v>
      </c>
      <c r="K23" s="270">
        <f>Data!G37</f>
        <v>-5453686899</v>
      </c>
      <c r="L23" s="270">
        <f>Data!H37</f>
        <v>-5459861693.6899996</v>
      </c>
      <c r="M23" s="270">
        <f>Data!I37</f>
        <v>-5115028020.8500004</v>
      </c>
      <c r="N23" s="270">
        <f>Data!J37</f>
        <v>-4686978912.1300001</v>
      </c>
      <c r="O23" s="270">
        <f>Data!K37</f>
        <v>-3977341759.3800001</v>
      </c>
      <c r="P23" s="270">
        <f>Data!L37</f>
        <v>-3469413267</v>
      </c>
      <c r="Q23" s="270" t="str">
        <f>Data!M37</f>
        <v/>
      </c>
    </row>
    <row r="24" spans="1:17" ht="15.75" customHeight="1">
      <c r="A24" s="10"/>
      <c r="B24" s="65" t="s">
        <v>59</v>
      </c>
      <c r="C24" s="266">
        <f>-C4*C30</f>
        <v>-1395910064.8361499</v>
      </c>
      <c r="D24" s="26"/>
      <c r="E24" s="234"/>
      <c r="F24" s="26"/>
      <c r="G24" s="270">
        <f>Data!C40</f>
        <v>-1438983986</v>
      </c>
      <c r="H24" s="270">
        <f>Data!D40</f>
        <v>-1402613434</v>
      </c>
      <c r="I24" s="270">
        <f>Data!E40</f>
        <v>-1211489002</v>
      </c>
      <c r="J24" s="270">
        <f>Data!F40</f>
        <v>-1121009339</v>
      </c>
      <c r="K24" s="270">
        <f>Data!G40</f>
        <v>-1184329784</v>
      </c>
      <c r="L24" s="270">
        <f>Data!H40</f>
        <v>-1119679106.03</v>
      </c>
      <c r="M24" s="270">
        <f>Data!I40</f>
        <v>-1010672983.29</v>
      </c>
      <c r="N24" s="270">
        <f>Data!J40</f>
        <v>-892516374.83000004</v>
      </c>
      <c r="O24" s="270">
        <f>Data!K40</f>
        <v>-804634976.54999995</v>
      </c>
      <c r="P24" s="270">
        <f>Data!L40</f>
        <v>-743696335</v>
      </c>
      <c r="Q24" s="270" t="str">
        <f>Data!M40</f>
        <v/>
      </c>
    </row>
    <row r="25" spans="1:17" ht="15.75" customHeight="1">
      <c r="A25" s="10"/>
      <c r="B25" s="26" t="s">
        <v>46</v>
      </c>
      <c r="C25" s="266">
        <f>-C4*C31</f>
        <v>0</v>
      </c>
      <c r="D25" s="55"/>
      <c r="E25" s="235"/>
      <c r="F25" s="55"/>
      <c r="G25" s="270">
        <f>Data!C42</f>
        <v>-30463684</v>
      </c>
      <c r="H25" s="270">
        <f>Data!D42</f>
        <v>-19979888</v>
      </c>
      <c r="I25" s="270">
        <f>Data!E42</f>
        <v>-14166706</v>
      </c>
      <c r="J25" s="270">
        <f>Data!F42</f>
        <v>-3793741</v>
      </c>
      <c r="K25" s="270">
        <f>Data!G42</f>
        <v>-3038699</v>
      </c>
      <c r="L25" s="270">
        <f>Data!H42</f>
        <v>-3255571.48</v>
      </c>
      <c r="M25" s="270">
        <f>Data!I42</f>
        <v>-13592602.42</v>
      </c>
      <c r="N25" s="270">
        <f>Data!J42</f>
        <v>0</v>
      </c>
      <c r="O25" s="270">
        <f>Data!K42</f>
        <v>0</v>
      </c>
      <c r="P25" s="270">
        <f>Data!L42</f>
        <v>0</v>
      </c>
      <c r="Q25" s="270" t="str">
        <f>Data!M42</f>
        <v/>
      </c>
    </row>
    <row r="26" spans="1:17" ht="15.75" customHeight="1">
      <c r="A26" s="10"/>
      <c r="B26" s="67" t="s">
        <v>43</v>
      </c>
      <c r="C26" s="267">
        <f>SUM(C23:C25)</f>
        <v>-9094048668.5244274</v>
      </c>
      <c r="D26" s="9"/>
      <c r="E26" s="240"/>
      <c r="F26" s="9"/>
      <c r="G26" s="267">
        <f>IF(G$4="","",SUM(G23:G25))</f>
        <v>-9325345766.4599991</v>
      </c>
      <c r="H26" s="267">
        <f t="shared" ref="H26:Q26" si="10">IF(H$4="","",SUM(H23:H25))</f>
        <v>-8809429213.6800003</v>
      </c>
      <c r="I26" s="267">
        <f t="shared" si="10"/>
        <v>-8138817135</v>
      </c>
      <c r="J26" s="267">
        <f t="shared" si="10"/>
        <v>-7771519903</v>
      </c>
      <c r="K26" s="267">
        <f t="shared" si="10"/>
        <v>-6641055382</v>
      </c>
      <c r="L26" s="267">
        <f t="shared" si="10"/>
        <v>-6582796371.1999989</v>
      </c>
      <c r="M26" s="267">
        <f t="shared" si="10"/>
        <v>-6139293606.5600004</v>
      </c>
      <c r="N26" s="267">
        <f t="shared" si="10"/>
        <v>-5579495286.96</v>
      </c>
      <c r="O26" s="267">
        <f t="shared" si="10"/>
        <v>-4781976735.9300003</v>
      </c>
      <c r="P26" s="267">
        <f t="shared" si="10"/>
        <v>-4213109602</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-1673614926</v>
      </c>
      <c r="D35" s="55"/>
      <c r="E35" s="236"/>
      <c r="F35" s="55"/>
      <c r="G35" s="267">
        <f>IF(G4="","",Data!C41)</f>
        <v>-1673614926</v>
      </c>
      <c r="H35" s="267">
        <f>IF(H4="","",Data!D41)</f>
        <v>-1618076543</v>
      </c>
      <c r="I35" s="267">
        <f>IF(I4="","",Data!E41)</f>
        <v>-1401957853</v>
      </c>
      <c r="J35" s="267">
        <f>IF(J4="","",Data!F41)</f>
        <v>-1453389763</v>
      </c>
      <c r="K35" s="267">
        <f>IF(K4="","",Data!G41)</f>
        <v>-1204845481</v>
      </c>
      <c r="L35" s="267">
        <f>IF(L4="","",Data!H41)</f>
        <v>-1253975538.01</v>
      </c>
      <c r="M35" s="267">
        <f>IF(M4="","",Data!I41)</f>
        <v>-1115342053.4000001</v>
      </c>
      <c r="N35" s="267">
        <f>IF(N4="","",Data!J41)</f>
        <v>-1071006550.5600001</v>
      </c>
      <c r="O35" s="267">
        <f>IF(O4="","",Data!K41)</f>
        <v>-996340516.83000016</v>
      </c>
      <c r="P35" s="267">
        <f>IF(P4="","",Data!L41)</f>
        <v>-977375063</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0.13575155453943338</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7.6718064160918809E-2</v>
      </c>
      <c r="H41" s="6">
        <f t="shared" si="16"/>
        <v>-4.3979834194527223E-2</v>
      </c>
      <c r="I41" s="6">
        <f t="shared" si="16"/>
        <v>-8.1259165026364346E-3</v>
      </c>
      <c r="J41" s="6">
        <f t="shared" si="16"/>
        <v>4.395473542021665E-3</v>
      </c>
      <c r="K41" s="6">
        <f t="shared" si="16"/>
        <v>7.0589245035229302E-3</v>
      </c>
      <c r="L41" s="6">
        <f t="shared" si="16"/>
        <v>2.4189471066148483E-2</v>
      </c>
      <c r="M41" s="6">
        <f t="shared" si="16"/>
        <v>-1.1491121439335368E-2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-14156922.829499999</v>
      </c>
      <c r="E45" s="237"/>
      <c r="G45" s="266">
        <f>Data!C51</f>
        <v>-12441883</v>
      </c>
      <c r="H45" s="266">
        <f>Data!D51</f>
        <v>-17875457</v>
      </c>
      <c r="I45" s="266">
        <f>Data!E51</f>
        <v>-20978186</v>
      </c>
      <c r="J45" s="266">
        <f>Data!F51</f>
        <v>-19487843</v>
      </c>
      <c r="K45" s="266">
        <f>Data!G51</f>
        <v>-22163955</v>
      </c>
      <c r="L45" s="266">
        <f>Data!H51</f>
        <v>-19440322</v>
      </c>
      <c r="M45" s="266">
        <f>Data!I51</f>
        <v>-516412</v>
      </c>
      <c r="N45" s="266">
        <f>Data!J51</f>
        <v>0</v>
      </c>
      <c r="O45" s="266">
        <f>Data!K51</f>
        <v>0</v>
      </c>
      <c r="P45" s="266">
        <f>Data!L51</f>
        <v>0</v>
      </c>
      <c r="Q45" s="266" t="str">
        <f>Data!M51</f>
        <v/>
      </c>
    </row>
    <row r="46" spans="1:17" ht="15.75" customHeight="1">
      <c r="A46" s="10"/>
      <c r="B46" s="2" t="s">
        <v>272</v>
      </c>
      <c r="C46" s="266">
        <f>BS!D75*C51</f>
        <v>11604854.75080977</v>
      </c>
      <c r="E46" s="237"/>
      <c r="G46" s="274">
        <f t="shared" ref="G46:Q46" si="17">IFERROR(IF(G$4="","",($C$46/$C$47)*G47),0)</f>
        <v>54983380.469091386</v>
      </c>
      <c r="H46" s="274">
        <f t="shared" si="17"/>
        <v>58893738.298002072</v>
      </c>
      <c r="I46" s="274">
        <f t="shared" si="17"/>
        <v>38735267.919553548</v>
      </c>
      <c r="J46" s="274">
        <f t="shared" si="17"/>
        <v>24585185.21816602</v>
      </c>
      <c r="K46" s="274">
        <f t="shared" si="17"/>
        <v>17486431.661700457</v>
      </c>
      <c r="L46" s="274">
        <f t="shared" si="17"/>
        <v>13035353.780759068</v>
      </c>
      <c r="M46" s="274">
        <f t="shared" si="17"/>
        <v>8063690.4185826639</v>
      </c>
      <c r="N46" s="274">
        <f t="shared" si="17"/>
        <v>0</v>
      </c>
      <c r="O46" s="274">
        <f t="shared" si="17"/>
        <v>0</v>
      </c>
      <c r="P46" s="274">
        <f t="shared" si="17"/>
        <v>0</v>
      </c>
      <c r="Q46" s="274" t="str">
        <f t="shared" si="17"/>
        <v/>
      </c>
    </row>
    <row r="47" spans="1:17" ht="15.75" customHeight="1">
      <c r="A47" s="10"/>
      <c r="B47" s="245" t="s">
        <v>269</v>
      </c>
      <c r="C47" s="278">
        <f>BS!$C$66*C51</f>
        <v>51807112.489080004</v>
      </c>
      <c r="D47" s="246"/>
      <c r="E47" s="247"/>
      <c r="F47" s="246"/>
      <c r="G47" s="278">
        <f>Data!C52</f>
        <v>245460218</v>
      </c>
      <c r="H47" s="278">
        <f>Data!D52</f>
        <v>262917080</v>
      </c>
      <c r="I47" s="278">
        <f>Data!E52</f>
        <v>172924386</v>
      </c>
      <c r="J47" s="278">
        <f>Data!F52</f>
        <v>109754709</v>
      </c>
      <c r="K47" s="278">
        <f>Data!G52</f>
        <v>78064013</v>
      </c>
      <c r="L47" s="278">
        <f>Data!H52</f>
        <v>58193235</v>
      </c>
      <c r="M47" s="278">
        <f>Data!I52</f>
        <v>35998427</v>
      </c>
      <c r="N47" s="278">
        <f>Data!J52</f>
        <v>0</v>
      </c>
      <c r="O47" s="278">
        <f>Data!K52</f>
        <v>0</v>
      </c>
      <c r="P47" s="278">
        <f>Data!L52</f>
        <v>0</v>
      </c>
      <c r="Q47" s="278" t="str">
        <f>Data!M52</f>
        <v/>
      </c>
    </row>
    <row r="48" spans="1:17" ht="15.75" customHeight="1">
      <c r="A48" s="10"/>
      <c r="B48" s="67" t="s">
        <v>65</v>
      </c>
      <c r="C48" s="267">
        <f>C45+C46</f>
        <v>-2552068.078690229</v>
      </c>
      <c r="E48" s="237"/>
      <c r="G48" s="267">
        <f>IF(G$4="","",(G45+G46))</f>
        <v>42541497.469091386</v>
      </c>
      <c r="H48" s="267">
        <f t="shared" ref="H48:Q48" si="18">IF(H$4="","",(H45+H46))</f>
        <v>41018281.298002072</v>
      </c>
      <c r="I48" s="267">
        <f t="shared" si="18"/>
        <v>17757081.919553548</v>
      </c>
      <c r="J48" s="267">
        <f t="shared" si="18"/>
        <v>5097342.2181660198</v>
      </c>
      <c r="K48" s="267">
        <f t="shared" si="18"/>
        <v>-4677523.3382995427</v>
      </c>
      <c r="L48" s="267">
        <f t="shared" si="18"/>
        <v>-6404968.2192409318</v>
      </c>
      <c r="M48" s="267">
        <f t="shared" si="18"/>
        <v>7547278.4185826639</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4"/>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110.2535004445383</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146354588.46000004</v>
      </c>
      <c r="H60" s="266">
        <f>Data!D58</f>
        <v>-122854230.31999969</v>
      </c>
      <c r="I60" s="266">
        <f>Data!E58</f>
        <v>-161674048</v>
      </c>
      <c r="J60" s="266">
        <f>Data!F58</f>
        <v>-16987110</v>
      </c>
      <c r="K60" s="266">
        <f>Data!G58</f>
        <v>33109749</v>
      </c>
      <c r="L60" s="266">
        <f>Data!H58</f>
        <v>104398571.64999843</v>
      </c>
      <c r="M60" s="266">
        <f>Data!I58</f>
        <v>-51508701.379999161</v>
      </c>
      <c r="N60" s="266">
        <f>Data!J58</f>
        <v>221659135.77000046</v>
      </c>
      <c r="O60" s="266">
        <f>Data!K58</f>
        <v>57865199.049999952</v>
      </c>
      <c r="P60" s="266">
        <f>Data!L58</f>
        <v>75501254</v>
      </c>
      <c r="Q60" s="266" t="str">
        <f>Data!M58</f>
        <v/>
      </c>
    </row>
    <row r="61" spans="1:17" ht="15.75" customHeight="1">
      <c r="A61" s="10"/>
      <c r="B61" s="30" t="s">
        <v>164</v>
      </c>
      <c r="C61" s="267">
        <f>C59+C60</f>
        <v>0</v>
      </c>
      <c r="E61" s="237"/>
      <c r="G61" s="267">
        <f t="shared" ref="G61:Q61" si="21">IF(G4="","",G59+G60)</f>
        <v>146354588.46000004</v>
      </c>
      <c r="H61" s="267">
        <f t="shared" si="21"/>
        <v>-122854230.31999969</v>
      </c>
      <c r="I61" s="267">
        <f t="shared" si="21"/>
        <v>-161674048</v>
      </c>
      <c r="J61" s="267">
        <f t="shared" si="21"/>
        <v>-16987110</v>
      </c>
      <c r="K61" s="267">
        <f t="shared" si="21"/>
        <v>33109749</v>
      </c>
      <c r="L61" s="267">
        <f t="shared" si="21"/>
        <v>104398571.64999843</v>
      </c>
      <c r="M61" s="267">
        <f t="shared" si="21"/>
        <v>-51508701.379999161</v>
      </c>
      <c r="N61" s="267">
        <f t="shared" si="21"/>
        <v>221659135.77000046</v>
      </c>
      <c r="O61" s="267">
        <f t="shared" si="21"/>
        <v>57865199.049999952</v>
      </c>
      <c r="P61" s="267">
        <f t="shared" si="21"/>
        <v>75501254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0.13575155453943338</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127</v>
      </c>
      <c r="C74" s="75">
        <f t="shared" si="22"/>
        <v>0.1266049023547284</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2.0700532935654731E-4</v>
      </c>
      <c r="D76" s="26"/>
      <c r="E76" s="234"/>
      <c r="F76" s="26"/>
      <c r="G76" s="6">
        <f t="shared" ref="G76:Q76" si="28">IF(G$4="","",ABS(G10/G$4))</f>
        <v>3.4506590041397168E-3</v>
      </c>
      <c r="H76" s="6">
        <f t="shared" si="28"/>
        <v>3.4560655845161598E-3</v>
      </c>
      <c r="I76" s="6">
        <f t="shared" si="28"/>
        <v>1.6245736969011614E-3</v>
      </c>
      <c r="J76" s="6">
        <f t="shared" si="28"/>
        <v>4.8730065473465649E-4</v>
      </c>
      <c r="K76" s="6">
        <f t="shared" si="28"/>
        <v>5.1925998801844809E-4</v>
      </c>
      <c r="L76" s="6">
        <f t="shared" si="28"/>
        <v>7.2434253228136135E-4</v>
      </c>
      <c r="M76" s="6">
        <f t="shared" si="28"/>
        <v>9.2190825516024844E-4</v>
      </c>
      <c r="N76" s="6">
        <f t="shared" si="28"/>
        <v>0</v>
      </c>
      <c r="O76" s="6">
        <f t="shared" si="28"/>
        <v>0</v>
      </c>
      <c r="P76" s="6">
        <f t="shared" si="28"/>
        <v>0</v>
      </c>
      <c r="Q76" s="6" t="str">
        <f t="shared" si="28"/>
        <v/>
      </c>
    </row>
    <row r="77" spans="1:17" ht="15.75" customHeight="1">
      <c r="A77" s="10"/>
      <c r="B77" s="67" t="s">
        <v>137</v>
      </c>
      <c r="C77" s="75">
        <f>C11/C4</f>
        <v>0.12639789702537185</v>
      </c>
      <c r="D77" s="26"/>
      <c r="E77" s="234"/>
      <c r="F77" s="26"/>
      <c r="G77" s="62">
        <f t="shared" ref="G77:Q77" si="29">IF(G$4="","",G11/G$4)</f>
        <v>0.1112944113969363</v>
      </c>
      <c r="H77" s="62">
        <f t="shared" si="29"/>
        <v>0.12486869825468994</v>
      </c>
      <c r="I77" s="62">
        <f t="shared" si="29"/>
        <v>0.12875074432691255</v>
      </c>
      <c r="J77" s="62">
        <f t="shared" si="29"/>
        <v>0.11859545825706386</v>
      </c>
      <c r="K77" s="62">
        <f t="shared" si="29"/>
        <v>0.12849366128232464</v>
      </c>
      <c r="L77" s="62">
        <f t="shared" si="29"/>
        <v>0.11300940050550283</v>
      </c>
      <c r="M77" s="62">
        <f t="shared" si="29"/>
        <v>0.11476028387016371</v>
      </c>
      <c r="N77" s="62">
        <f t="shared" si="29"/>
        <v>9.4662700746529521E-2</v>
      </c>
      <c r="O77" s="62">
        <f t="shared" si="29"/>
        <v>9.0911827748711357E-2</v>
      </c>
      <c r="P77" s="62">
        <f t="shared" si="29"/>
        <v>9.458180711393116E-2</v>
      </c>
      <c r="Q77" s="62" t="str">
        <f t="shared" si="29"/>
        <v/>
      </c>
    </row>
    <row r="78" spans="1:17" ht="15.75" customHeight="1">
      <c r="A78" s="10"/>
      <c r="B78" s="2" t="s">
        <v>60</v>
      </c>
      <c r="C78" s="74">
        <f>ABS(C12/C$4)</f>
        <v>3.1599474256342963E-2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9.0028547136398185E-2</v>
      </c>
      <c r="D80" s="26"/>
      <c r="E80" s="234"/>
      <c r="F80" s="26"/>
      <c r="G80" s="62">
        <f t="shared" ref="G80:Q80" si="32">IF(G$4="","",ABS(G14/G$4))</f>
        <v>9.7986243970003745E-2</v>
      </c>
      <c r="H80" s="62">
        <f t="shared" si="32"/>
        <v>0.12621461019698313</v>
      </c>
      <c r="I80" s="62">
        <f t="shared" si="32"/>
        <v>0.12979696212496533</v>
      </c>
      <c r="J80" s="62">
        <f t="shared" si="32"/>
        <v>0.11807417505809099</v>
      </c>
      <c r="K80" s="62">
        <f t="shared" si="32"/>
        <v>0.12758663422815145</v>
      </c>
      <c r="L80" s="62">
        <f t="shared" si="32"/>
        <v>0.11027576288177218</v>
      </c>
      <c r="M80" s="62">
        <f t="shared" si="32"/>
        <v>0.11607900822852836</v>
      </c>
      <c r="N80" s="62">
        <f t="shared" si="32"/>
        <v>9.458648319538869E-2</v>
      </c>
      <c r="O80" s="62">
        <f t="shared" si="32"/>
        <v>9.0018511913026844E-2</v>
      </c>
      <c r="P80" s="62">
        <f t="shared" si="32"/>
        <v>9.4095136899619528E-2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9.0028547136398185E-2</v>
      </c>
      <c r="D85" s="72"/>
      <c r="E85" s="234"/>
      <c r="F85" s="72"/>
      <c r="G85" s="62">
        <f t="shared" ref="G85:Q85" si="35">IF(G$4="","",ABS(G19/G$4))</f>
        <v>9.7986243970003745E-2</v>
      </c>
      <c r="H85" s="62">
        <f t="shared" si="35"/>
        <v>0.12621461019698313</v>
      </c>
      <c r="I85" s="62">
        <f t="shared" si="35"/>
        <v>0.12979696212496533</v>
      </c>
      <c r="J85" s="62">
        <f t="shared" si="35"/>
        <v>0.11807417505809099</v>
      </c>
      <c r="K85" s="62">
        <f t="shared" si="35"/>
        <v>0.12758663422815145</v>
      </c>
      <c r="L85" s="62">
        <f t="shared" si="35"/>
        <v>0.11027576288177218</v>
      </c>
      <c r="M85" s="62">
        <f t="shared" si="35"/>
        <v>0.11607900822852836</v>
      </c>
      <c r="N85" s="62">
        <f t="shared" si="35"/>
        <v>9.458648319538869E-2</v>
      </c>
      <c r="O85" s="62">
        <f t="shared" si="35"/>
        <v>9.0018511913026844E-2</v>
      </c>
      <c r="P85" s="62">
        <f t="shared" si="35"/>
        <v>9.4095136899619528E-2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0.67852434494018554</v>
      </c>
      <c r="E88" s="237"/>
      <c r="G88" s="109">
        <f>Data!C65</f>
        <v>0.67852434494018554</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837191156.28534353</v>
      </c>
      <c r="E89" s="237"/>
      <c r="G89" s="71">
        <f t="shared" ref="G89:Q89" si="36">IF(G$4="","",G88*Common_Shares/scaling_factor)</f>
        <v>837191156.28534353</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0.75428185678465687</v>
      </c>
      <c r="E90" s="237"/>
      <c r="G90" s="152">
        <f t="shared" ref="G90:Q90" si="37">IF(G$4="","",G88/(G19*scaling_factor/Common_Shares))</f>
        <v>0.69302482620372285</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5.5114793361567417E-2</v>
      </c>
      <c r="E92" s="237"/>
      <c r="G92" s="22">
        <f t="shared" ref="G92:Q92" si="38">IF(G$4="","",(G88*(1-dividend_tax_rate))/Market_Price)</f>
        <v>5.5114793361567417E-2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0.13570749365454038</v>
      </c>
      <c r="D96" s="26"/>
      <c r="E96" s="234"/>
      <c r="F96" s="26"/>
      <c r="G96" s="6">
        <f t="shared" ref="G96:Q96" si="40">IF(H5="","",G11/H11-1)</f>
        <v>-7.4161966166962801E-2</v>
      </c>
      <c r="H96" s="6">
        <f t="shared" si="40"/>
        <v>5.3094000823646681E-2</v>
      </c>
      <c r="I96" s="6">
        <f t="shared" si="40"/>
        <v>0.13440223897815384</v>
      </c>
      <c r="J96" s="6">
        <f t="shared" si="40"/>
        <v>7.1771109708520964E-2</v>
      </c>
      <c r="K96" s="6">
        <f t="shared" si="40"/>
        <v>0.15831117135595218</v>
      </c>
      <c r="L96" s="6">
        <f t="shared" si="40"/>
        <v>6.3636621343782229E-2</v>
      </c>
      <c r="M96" s="6">
        <f t="shared" si="40"/>
        <v>0.35104988901544387</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24953791374.34</v>
      </c>
      <c r="D100" s="25"/>
      <c r="E100" s="238"/>
      <c r="F100" s="25"/>
      <c r="G100" s="270">
        <f t="shared" ref="G100:Q100" si="41">IF(G$4="","",G104+G103)</f>
        <v>24953791374.34</v>
      </c>
      <c r="H100" s="270">
        <f t="shared" si="41"/>
        <v>21787563374</v>
      </c>
      <c r="I100" s="270">
        <f t="shared" si="41"/>
        <v>20651387559</v>
      </c>
      <c r="J100" s="270">
        <f t="shared" si="41"/>
        <v>18773945790</v>
      </c>
      <c r="K100" s="270">
        <f t="shared" si="41"/>
        <v>16968836010</v>
      </c>
      <c r="L100" s="270">
        <f t="shared" si="41"/>
        <v>15324503472.529999</v>
      </c>
      <c r="M100" s="270">
        <f t="shared" si="41"/>
        <v>13287712452.790001</v>
      </c>
      <c r="N100" s="270">
        <f t="shared" si="41"/>
        <v>12286705641.32</v>
      </c>
      <c r="O100" s="270">
        <f t="shared" si="41"/>
        <v>12255176609.389999</v>
      </c>
      <c r="P100" s="270">
        <f t="shared" si="41"/>
        <v>10743289052</v>
      </c>
      <c r="Q100" s="270" t="str">
        <f t="shared" si="41"/>
        <v/>
      </c>
    </row>
    <row r="101" spans="1:17" ht="15.75" customHeight="1">
      <c r="A101" s="10"/>
      <c r="B101" s="90" t="s">
        <v>179</v>
      </c>
      <c r="C101" s="281">
        <f>BS!C4</f>
        <v>2677683243.9199996</v>
      </c>
      <c r="D101" s="86"/>
      <c r="E101" s="239"/>
      <c r="F101" s="86"/>
      <c r="G101" s="282">
        <f>IF(G$4="","",Data!D77)</f>
        <v>1480929222</v>
      </c>
      <c r="H101" s="282">
        <f>IF(H$4="","",Data!E77)</f>
        <v>1700785024</v>
      </c>
      <c r="I101" s="282">
        <f>IF(I$4="","",Data!F77)</f>
        <v>1566430110</v>
      </c>
      <c r="J101" s="282">
        <f>IF(J$4="","",Data!G77)</f>
        <v>1591251195</v>
      </c>
      <c r="K101" s="282">
        <f>IF(K$4="","",Data!H77)</f>
        <v>1763659597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3212346044.4899998</v>
      </c>
      <c r="D102" s="86"/>
      <c r="E102" s="239"/>
      <c r="F102" s="86"/>
      <c r="G102" s="282">
        <f>IF(G$4="","",Data!D78)</f>
        <v>2641169798</v>
      </c>
      <c r="H102" s="282">
        <f>IF(H$4="","",Data!E78)</f>
        <v>2572840226</v>
      </c>
      <c r="I102" s="282">
        <f>IF(I$4="","",Data!F78)</f>
        <v>2742158427</v>
      </c>
      <c r="J102" s="282">
        <f>IF(J$4="","",Data!G78)</f>
        <v>2130621634</v>
      </c>
      <c r="K102" s="282">
        <f>IF(K$4="","",Data!H78)</f>
        <v>2157448334.2399998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9518655228.4500008</v>
      </c>
      <c r="D103" s="25"/>
      <c r="E103" s="238"/>
      <c r="F103" s="25"/>
      <c r="G103" s="270">
        <f>Data!C79</f>
        <v>9518655228.4500008</v>
      </c>
      <c r="H103" s="270">
        <f>Data!D79</f>
        <v>8373407203</v>
      </c>
      <c r="I103" s="270">
        <f>Data!E79</f>
        <v>7989354199</v>
      </c>
      <c r="J103" s="270">
        <f>Data!F79</f>
        <v>7664257231</v>
      </c>
      <c r="K103" s="270">
        <f>Data!G79</f>
        <v>6940685993</v>
      </c>
      <c r="L103" s="270">
        <f>Data!H79</f>
        <v>6204537146.3100004</v>
      </c>
      <c r="M103" s="270">
        <f>Data!I79</f>
        <v>4881683091.6899996</v>
      </c>
      <c r="N103" s="270">
        <f>Data!J79</f>
        <v>4329883410.9300003</v>
      </c>
      <c r="O103" s="270">
        <f>Data!K79</f>
        <v>3960699258.6100001</v>
      </c>
      <c r="P103" s="270">
        <f>Data!L79</f>
        <v>3503775868</v>
      </c>
      <c r="Q103" s="270" t="str">
        <f>Data!M79</f>
        <v/>
      </c>
    </row>
    <row r="104" spans="1:17" ht="15.75" customHeight="1">
      <c r="A104" s="10"/>
      <c r="B104" s="25" t="s">
        <v>28</v>
      </c>
      <c r="C104" s="280">
        <f>BS!G27</f>
        <v>15435136145.889999</v>
      </c>
      <c r="D104" s="25"/>
      <c r="E104" s="238"/>
      <c r="F104" s="25"/>
      <c r="G104" s="270">
        <f>Data!C80</f>
        <v>15435136145.889999</v>
      </c>
      <c r="H104" s="270">
        <f>Data!D80</f>
        <v>13414156171</v>
      </c>
      <c r="I104" s="270">
        <f>Data!E80</f>
        <v>12662033360</v>
      </c>
      <c r="J104" s="270">
        <f>Data!F80</f>
        <v>11109688559</v>
      </c>
      <c r="K104" s="270">
        <f>Data!G80</f>
        <v>10028150017</v>
      </c>
      <c r="L104" s="270">
        <f>Data!H80</f>
        <v>9119966326.2199993</v>
      </c>
      <c r="M104" s="270">
        <f>Data!I80</f>
        <v>8406029361.1000004</v>
      </c>
      <c r="N104" s="270">
        <f>Data!J80</f>
        <v>7956822230.3900003</v>
      </c>
      <c r="O104" s="270">
        <f>Data!K80</f>
        <v>8294477350.7799997</v>
      </c>
      <c r="P104" s="270">
        <f>Data!L80</f>
        <v>7239513184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0.21719432426138191</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0.26056230885820703</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1.1052698089235498</v>
      </c>
      <c r="H112" s="251">
        <f>IF(H$4="","",Data!D$22/Data!D15)</f>
        <v>1.4450380877964708</v>
      </c>
      <c r="I112" s="251">
        <f>IF(I$4="","",Data!E$22/Data!E15)</f>
        <v>1.455096327182446</v>
      </c>
      <c r="J112" s="251">
        <f>IF(J$4="","",Data!F$22/Data!F15)</f>
        <v>1.5709038690989789</v>
      </c>
      <c r="K112" s="251">
        <f>IF(K$4="","",Data!G$22/Data!G15)</f>
        <v>1.4632443151838492</v>
      </c>
      <c r="L112" s="251">
        <f>IF(L$4="","",Data!H$22/Data!H15)</f>
        <v>1.2131703642741525</v>
      </c>
      <c r="M112" s="251">
        <f>IF(M$4="","",Data!I$22/Data!I15)</f>
        <v>1.0720110277562196</v>
      </c>
      <c r="N112" s="251">
        <f>IF(N$4="","",Data!J$22/Data!J15)</f>
        <v>0.3771186830504803</v>
      </c>
      <c r="O112" s="251">
        <f>IF(O$4="","",Data!K$22/Data!K15)</f>
        <v>1.0847397851253608</v>
      </c>
      <c r="P112" s="251">
        <f>IF(P$4="","",Data!L$22/Data!L15)</f>
        <v>1.6533054034038259</v>
      </c>
      <c r="Q112" s="251" t="str">
        <f>IF(Q$4="","",Data!M$22/Data!M15)</f>
        <v/>
      </c>
    </row>
    <row r="113" spans="1:17" ht="15.75" customHeight="1">
      <c r="A113" s="10"/>
      <c r="B113" s="2" t="s">
        <v>304</v>
      </c>
      <c r="C113" s="151"/>
      <c r="E113" s="459">
        <f>(Normalized_FCF!E117/Normalized_FCF!C117)^(1/DCF!C15)-1</f>
        <v>0</v>
      </c>
      <c r="G113" s="251">
        <f>IF(G$4="","",Data!C$22/G19)</f>
        <v>1.4672537153246115</v>
      </c>
      <c r="H113" s="251">
        <f>IF(H$4="","",Data!D$22/H19)</f>
        <v>1.5708040775499763</v>
      </c>
      <c r="I113" s="251">
        <f>IF(I$4="","",Data!E$22/I19)</f>
        <v>1.4269066781001201</v>
      </c>
      <c r="J113" s="251">
        <f>IF(J$4="","",Data!F$22/J19)</f>
        <v>1.6576240678659937</v>
      </c>
      <c r="K113" s="251">
        <f>IF(K$4="","",Data!G$22/K19)</f>
        <v>1.5825226106853223</v>
      </c>
      <c r="L113" s="251">
        <f>IF(L$4="","",Data!H$22/L19)</f>
        <v>1.3992393052560466</v>
      </c>
      <c r="M113" s="251">
        <f>IF(M$4="","",Data!I$22/M19)</f>
        <v>1.0454175260300489</v>
      </c>
      <c r="N113" s="251">
        <f>IF(N$4="","",Data!J$22/N19)</f>
        <v>0.49742560109697848</v>
      </c>
      <c r="O113" s="251">
        <f>IF(O$4="","",Data!K$22/O19)</f>
        <v>1.194442106046343</v>
      </c>
      <c r="P113" s="251">
        <f>IF(P$4="","",Data!L$22/P19)</f>
        <v>1.8847150057017135</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0.12639789702537185</v>
      </c>
      <c r="E116" s="22">
        <f>E119/E117/E118</f>
        <v>0.12639789702537185</v>
      </c>
      <c r="G116" s="22">
        <f t="shared" ref="G116:Q116" si="44">IF(G4="","",G77)</f>
        <v>0.1112944113969363</v>
      </c>
      <c r="H116" s="22">
        <f t="shared" si="44"/>
        <v>0.12486869825468994</v>
      </c>
      <c r="I116" s="22">
        <f t="shared" si="44"/>
        <v>0.12875074432691255</v>
      </c>
      <c r="J116" s="22">
        <f t="shared" si="44"/>
        <v>0.11859545825706386</v>
      </c>
      <c r="K116" s="22">
        <f t="shared" si="44"/>
        <v>0.12849366128232464</v>
      </c>
      <c r="L116" s="22">
        <f t="shared" si="44"/>
        <v>0.11300940050550283</v>
      </c>
      <c r="M116" s="22">
        <f t="shared" si="44"/>
        <v>0.11476028387016371</v>
      </c>
      <c r="N116" s="22">
        <f t="shared" si="44"/>
        <v>9.4662700746529521E-2</v>
      </c>
      <c r="O116" s="22">
        <f t="shared" si="44"/>
        <v>9.0911827748711357E-2</v>
      </c>
      <c r="P116" s="22">
        <f t="shared" si="44"/>
        <v>9.458180711393116E-2</v>
      </c>
      <c r="Q116" s="22" t="str">
        <f t="shared" si="44"/>
        <v/>
      </c>
    </row>
    <row r="117" spans="1:17" ht="15.75" customHeight="1">
      <c r="B117" s="7" t="s">
        <v>80</v>
      </c>
      <c r="C117" s="452">
        <f>G117</f>
        <v>0.49405373744838704</v>
      </c>
      <c r="E117" s="452">
        <f>C117</f>
        <v>0.49405373744838704</v>
      </c>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15">
        <f>C100/C104</f>
        <v>1.6166874809837415</v>
      </c>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62">
        <f>C11/C104</f>
        <v>0.10095785451246694</v>
      </c>
      <c r="D119" s="100"/>
      <c r="E119" s="453">
        <f>C11/C104</f>
        <v>0.10095785451246694</v>
      </c>
      <c r="F119" s="100"/>
      <c r="G119" s="99">
        <f t="shared" ref="G119:Q119" si="47">IF(G$4="","",G11/G104)</f>
        <v>8.889424000153362E-2</v>
      </c>
      <c r="H119" s="99">
        <f t="shared" si="47"/>
        <v>0.11048052003613443</v>
      </c>
      <c r="I119" s="99">
        <f t="shared" si="47"/>
        <v>0.11114206864793424</v>
      </c>
      <c r="J119" s="99">
        <f t="shared" si="47"/>
        <v>0.11166394571998965</v>
      </c>
      <c r="K119" s="99">
        <f t="shared" si="47"/>
        <v>0.1154229011033452</v>
      </c>
      <c r="L119" s="99">
        <f t="shared" si="47"/>
        <v>0.10957067280915481</v>
      </c>
      <c r="M119" s="99">
        <f t="shared" si="47"/>
        <v>0.11176437112344809</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1.0172927678058241</v>
      </c>
      <c r="D123" s="26"/>
      <c r="E123" s="234"/>
      <c r="F123" s="26"/>
      <c r="G123" s="159">
        <f t="shared" ref="G123:Q123" si="48">IF(G$4="","",G14*$C$3/Common_Shares*Exchange_Rate)</f>
        <v>1.1072121066679008</v>
      </c>
      <c r="H123" s="159">
        <f t="shared" si="48"/>
        <v>1.3729670054720235</v>
      </c>
      <c r="I123" s="159">
        <f t="shared" si="48"/>
        <v>1.3003243502112065</v>
      </c>
      <c r="J123" s="159">
        <f t="shared" si="48"/>
        <v>1.132026785898141</v>
      </c>
      <c r="K123" s="159">
        <f t="shared" si="48"/>
        <v>1.0533950454044811</v>
      </c>
      <c r="L123" s="159">
        <f t="shared" si="48"/>
        <v>0.89373352570221321</v>
      </c>
      <c r="M123" s="159">
        <f t="shared" si="48"/>
        <v>0.87098633802385239</v>
      </c>
      <c r="N123" s="159">
        <f t="shared" si="48"/>
        <v>0.63683667949842371</v>
      </c>
      <c r="O123" s="159">
        <f t="shared" si="48"/>
        <v>0.5244235561242101</v>
      </c>
      <c r="P123" s="159">
        <f t="shared" si="48"/>
        <v>0.49440273040750704</v>
      </c>
      <c r="Q123" s="159" t="str">
        <f t="shared" si="48"/>
        <v/>
      </c>
    </row>
    <row r="124" spans="1:17" ht="15.75" customHeight="1">
      <c r="A124" s="10"/>
      <c r="B124" s="26" t="s">
        <v>226</v>
      </c>
      <c r="C124" s="74">
        <f>C19*Exchange_Rate*$C$3/(Market_Price*Common_Shares)</f>
        <v>9.1813426697276546E-2</v>
      </c>
      <c r="D124" s="26"/>
      <c r="E124" s="234"/>
      <c r="F124" s="26"/>
      <c r="G124" s="74">
        <f t="shared" ref="G124" si="49">IF(G$4="","",G123/Market_Price)</f>
        <v>9.992889049349285E-2</v>
      </c>
      <c r="H124" s="74">
        <f t="shared" ref="H124" si="50">IF(H$4="","",H123/Market_Price)</f>
        <v>0.12391398966354003</v>
      </c>
      <c r="I124" s="74">
        <f t="shared" ref="I124" si="51">IF(I$4="","",I123/Market_Price)</f>
        <v>0.1173577933403616</v>
      </c>
      <c r="J124" s="74">
        <f t="shared" ref="J124" si="52">IF(J$4="","",J123/Market_Price)</f>
        <v>0.10216848248178168</v>
      </c>
      <c r="K124" s="74">
        <f t="shared" ref="K124" si="53">IF(K$4="","",K123/Market_Price)</f>
        <v>9.5071755000404434E-2</v>
      </c>
      <c r="L124" s="74">
        <f t="shared" ref="L124" si="54">IF(L$4="","",L123/Market_Price)</f>
        <v>8.0661870550741269E-2</v>
      </c>
      <c r="M124" s="74">
        <f t="shared" ref="M124" si="55">IF(M$4="","",M123/Market_Price)</f>
        <v>7.8608875272910869E-2</v>
      </c>
      <c r="N124" s="74">
        <f t="shared" ref="N124" si="56">IF(N$4="","",N123/Market_Price)</f>
        <v>5.7476234611771093E-2</v>
      </c>
      <c r="O124" s="74">
        <f t="shared" ref="O124" si="57">IF(O$4="","",O123/Market_Price)</f>
        <v>4.7330645859585747E-2</v>
      </c>
      <c r="P124" s="74">
        <f t="shared" ref="P124" si="58">IF(P$4="","",P123/Market_Price)</f>
        <v>4.4621185054829156E-2</v>
      </c>
      <c r="Q124" s="74" t="str">
        <f t="shared" ref="Q124" si="59">IF(Q$4="","",Q123/Market_Price)</f>
        <v/>
      </c>
    </row>
    <row r="125" spans="1:17" ht="15.75" customHeight="1">
      <c r="B125" s="2" t="s">
        <v>306</v>
      </c>
      <c r="C125" s="151"/>
      <c r="G125" s="22">
        <f>IF(G$4="","",(Data!C47*$C$3)/(Market_Price*Common_Shares))</f>
        <v>0.11730426215593717</v>
      </c>
      <c r="H125" s="22">
        <f>IF(H$4="","",(Data!D47*$C$3)/(Market_Price*Common_Shares))</f>
        <v>0.11911018025577648</v>
      </c>
      <c r="I125" s="22">
        <f>IF(I$4="","",(Data!E47*$C$3)/(Market_Price*Common_Shares))</f>
        <v>0.10176573576669565</v>
      </c>
      <c r="J125" s="22">
        <f>IF(J$4="","",(Data!F47*$C$3)/(Market_Price*Common_Shares))</f>
        <v>9.5332107326129595E-2</v>
      </c>
      <c r="K125" s="22">
        <f>IF(K$4="","",(Data!G47*$C$3)/(Market_Price*Common_Shares))</f>
        <v>9.0922298316018266E-2</v>
      </c>
      <c r="L125" s="22">
        <f>IF(L$4="","",(Data!H47*$C$3)/(Market_Price*Common_Shares))</f>
        <v>8.2266743930843156E-2</v>
      </c>
      <c r="M125" s="22">
        <f>IF(M$4="","",(Data!I47*$C$3)/(Market_Price*Common_Shares))</f>
        <v>6.7787235377328642E-2</v>
      </c>
      <c r="N125" s="22">
        <f>IF(N$4="","",(Data!J47*$C$3)/(Market_Price*Common_Shares))</f>
        <v>6.7038487860852439E-2</v>
      </c>
      <c r="O125" s="22">
        <f>IF(O$4="","",(Data!K47*$C$3)/(Market_Price*Common_Shares))</f>
        <v>4.6085869123872421E-2</v>
      </c>
      <c r="P125" s="22">
        <f>IF(P$4="","",(Data!L47*$C$3)/(Market_Price*Common_Shares))</f>
        <v>4.4980007063557509E-2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424</v>
      </c>
      <c r="H3" s="106" t="s">
        <v>414</v>
      </c>
    </row>
    <row r="4" spans="2:15">
      <c r="B4" s="97" t="s">
        <v>393</v>
      </c>
      <c r="C4" s="275">
        <f>Normalized_FCF!C19</f>
        <v>1109918194.0476618</v>
      </c>
      <c r="D4" t="str">
        <f>Reporting_currency</f>
        <v>CNY</v>
      </c>
      <c r="E4" s="135" t="s">
        <v>431</v>
      </c>
      <c r="F4" s="275">
        <f>-BS!G31</f>
        <v>-283138456.58999997</v>
      </c>
      <c r="G4" t="str">
        <f>Reporting_currency</f>
        <v>CNY</v>
      </c>
      <c r="H4" s="308" t="s">
        <v>394</v>
      </c>
      <c r="I4" s="305">
        <f>Normalized_FCF!C4</f>
        <v>12328513892</v>
      </c>
      <c r="J4" s="305"/>
    </row>
    <row r="5" spans="2:15">
      <c r="B5" s="187" t="s">
        <v>105</v>
      </c>
      <c r="C5" s="188">
        <f>Equity_Cost</f>
        <v>8.249999999999999E-2</v>
      </c>
      <c r="E5" s="135" t="s">
        <v>432</v>
      </c>
      <c r="F5" s="275">
        <f>BS!D66</f>
        <v>6700376289.7117052</v>
      </c>
      <c r="G5" t="str">
        <f>Reporting_currency</f>
        <v>CNY</v>
      </c>
      <c r="H5" s="308" t="s">
        <v>395</v>
      </c>
      <c r="I5" s="305">
        <f>Normalized_FCF!C7</f>
        <v>-1673614926</v>
      </c>
      <c r="J5" s="305"/>
    </row>
    <row r="6" spans="2:15" ht="13.25" customHeight="1">
      <c r="B6" s="136" t="s">
        <v>194</v>
      </c>
      <c r="C6" s="283">
        <f>(C4*(1+Terminal_Growth))/(Equity_Cost-Terminal_Growth)</f>
        <v>13453553867.244387</v>
      </c>
      <c r="D6" t="str">
        <f>Reporting_currency</f>
        <v>CNY</v>
      </c>
      <c r="E6" s="187" t="s">
        <v>433</v>
      </c>
      <c r="F6" s="284">
        <f>BS!H42</f>
        <v>583558544.63999999</v>
      </c>
      <c r="G6" t="str">
        <f>Reporting_currency</f>
        <v>CNY</v>
      </c>
      <c r="H6" s="308" t="s">
        <v>416</v>
      </c>
      <c r="I6" s="305">
        <f>I7+I8</f>
        <v>-2552068.078690229</v>
      </c>
      <c r="J6" s="305"/>
      <c r="N6" s="135"/>
    </row>
    <row r="7" spans="2:15" ht="12.75" customHeight="1">
      <c r="B7" s="318" t="s">
        <v>430</v>
      </c>
      <c r="C7" s="275">
        <f>F7</f>
        <v>7000796377.7617054</v>
      </c>
      <c r="E7" s="140" t="s">
        <v>424</v>
      </c>
      <c r="F7" s="283">
        <f>SUM(F4:F6)</f>
        <v>7000796377.7617054</v>
      </c>
      <c r="G7" t="str">
        <f>Reporting_currency</f>
        <v>CNY</v>
      </c>
      <c r="H7" s="312" t="s">
        <v>417</v>
      </c>
      <c r="I7" s="313">
        <f>Normalized_FCF!C9</f>
        <v>0</v>
      </c>
      <c r="J7" s="313"/>
      <c r="N7" s="304"/>
      <c r="O7" s="304"/>
    </row>
    <row r="8" spans="2:15" ht="13.15">
      <c r="B8" s="136" t="s">
        <v>426</v>
      </c>
      <c r="C8" s="283">
        <f>C6+C7</f>
        <v>20454350245.006092</v>
      </c>
      <c r="D8" t="str">
        <f>Reporting_currency</f>
        <v>CNY</v>
      </c>
      <c r="E8" s="140" t="s">
        <v>464</v>
      </c>
      <c r="F8" s="108">
        <f>FV_adjustments*scaling_factor/Common_Shares*Exchange_Rate</f>
        <v>6.4165625558457755</v>
      </c>
      <c r="G8" s="294" t="str">
        <f>Market_currency</f>
        <v>HKD</v>
      </c>
      <c r="H8" s="314" t="str">
        <f>Normalized_FCF!B10</f>
        <v>Net Interest Income</v>
      </c>
      <c r="I8" s="313">
        <f>Normalized_FCF!C10</f>
        <v>-2552068.078690229</v>
      </c>
      <c r="J8" s="313"/>
      <c r="N8" s="304"/>
      <c r="O8" s="304"/>
    </row>
    <row r="9" spans="2:15" ht="13.15" thickBot="1">
      <c r="B9" s="189" t="str">
        <f>"*"&amp;Thesis!E15</f>
        <v>*CNY/HKD</v>
      </c>
      <c r="C9" s="190">
        <f>Exchange_Rate</f>
        <v>1.1308739082336425</v>
      </c>
      <c r="D9" t="str">
        <f>Thesis!E15</f>
        <v>CNY/HKD</v>
      </c>
      <c r="F9" s="322"/>
      <c r="H9" s="308" t="str">
        <f>Normalized_FCF!B79</f>
        <v>NCI’s Share of Profits</v>
      </c>
      <c r="I9" s="144">
        <f>Normalized_FCF!C79</f>
        <v>4.7698756326307106E-3</v>
      </c>
      <c r="J9" s="306"/>
      <c r="N9" s="304"/>
      <c r="O9" s="304"/>
    </row>
    <row r="10" spans="2:15" ht="13.5" thickTop="1">
      <c r="B10" s="107" t="s">
        <v>427</v>
      </c>
      <c r="C10" s="283">
        <f>C8*Exchange_Rate</f>
        <v>23131291001.949802</v>
      </c>
      <c r="D10" t="str">
        <f>Market_currency</f>
        <v>HKD</v>
      </c>
      <c r="H10" s="308" t="s">
        <v>397</v>
      </c>
      <c r="I10" s="306">
        <f>Normalized_FCF!C41</f>
        <v>0.25</v>
      </c>
      <c r="N10" s="304"/>
      <c r="O10" s="304"/>
    </row>
    <row r="11" spans="2:15" ht="13.15">
      <c r="B11" s="136" t="s">
        <v>425</v>
      </c>
      <c r="C11" s="108">
        <f>(C10*scaling_factor)/Common_Shares</f>
        <v>18.74738398379516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1.7510817454652E-3</v>
      </c>
      <c r="E16" s="308" t="s">
        <v>400</v>
      </c>
      <c r="F16" s="311">
        <f>Scenarios!C41</f>
        <v>1.7510817454652E-3</v>
      </c>
    </row>
    <row r="17" spans="1:21" ht="13.25" customHeight="1">
      <c r="B17" s="308" t="s">
        <v>549</v>
      </c>
      <c r="C17" s="306">
        <f>Normalized_FCF!C77</f>
        <v>0.12639789702537185</v>
      </c>
      <c r="E17" s="308" t="s">
        <v>550</v>
      </c>
      <c r="F17" s="311">
        <f>Scenarios!C40</f>
        <v>0.12639789702537185</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18.807448943157684</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12350102127.624994</v>
      </c>
      <c r="D21" s="299">
        <f t="shared" ref="D21:D50" si="1">IF(A21="",0,IF(A21="I",$C$16,$F$16))</f>
        <v>1.7510817454652E-3</v>
      </c>
      <c r="E21" s="299">
        <f>$C$17</f>
        <v>0.12639789702537185</v>
      </c>
      <c r="F21" s="277">
        <f>C21*E21</f>
        <v>1561026936.9803698</v>
      </c>
      <c r="G21" s="299">
        <f t="shared" ref="G21:G50" si="2">IF(A21="",0%,IF(A21="I",$C$18,$F$18))</f>
        <v>0</v>
      </c>
      <c r="H21" s="277">
        <f>(F21*(1-$I$10)+C21*(G21-$I$9))</f>
        <v>1111861751.5362182</v>
      </c>
      <c r="I21" s="299">
        <f>H21/C4-1</f>
        <v>1.7510817454651217E-3</v>
      </c>
      <c r="J21" s="299">
        <f>H21/C21</f>
        <v>9.0028547136398171E-2</v>
      </c>
      <c r="K21" s="119">
        <f t="shared" ref="K21:K50" si="3">IF($C$15&lt;B21,0,1/(1+Equity_Cost)^B21)</f>
        <v>0.92378752886836024</v>
      </c>
      <c r="L21" s="277">
        <f t="shared" ref="L21:L51" si="4">H21*K21</f>
        <v>1027124019.8948897</v>
      </c>
    </row>
    <row r="22" spans="1:21">
      <c r="A22" s="302" t="str">
        <f t="shared" si="0"/>
        <v>I</v>
      </c>
      <c r="B22" s="117">
        <v>2</v>
      </c>
      <c r="C22" s="277">
        <f t="shared" ref="C22:C50" si="5">IF(A22="",0,C21*(1+D22))</f>
        <v>12371728166.015308</v>
      </c>
      <c r="D22" s="299">
        <f t="shared" si="1"/>
        <v>1.7510817454652E-3</v>
      </c>
      <c r="E22" s="299">
        <f t="shared" ref="E22:E50" si="6">IF($C$15&lt;B22,0,IF(B22&gt;=$F$15,$F$17,$C$17))</f>
        <v>0.12639789702537185</v>
      </c>
      <c r="F22" s="277">
        <f t="shared" ref="F22:F50" si="7">IF(A22="", 0,C22*E22)</f>
        <v>1563760422.7538955</v>
      </c>
      <c r="G22" s="299">
        <f t="shared" si="2"/>
        <v>0</v>
      </c>
      <c r="H22" s="277">
        <f t="shared" ref="H22:H50" si="8">IF(A22="", 0,F22*(1-$I$10)+C22*(G22-$I$9))</f>
        <v>1113808712.3528142</v>
      </c>
      <c r="I22" s="299">
        <f t="shared" ref="I22:I50" si="9">IF(A22="", 0,H22/H21-1)</f>
        <v>1.7510817454651217E-3</v>
      </c>
      <c r="J22" s="299">
        <f>IF(A22="", 0,H22/C22)</f>
        <v>9.0028547136398185E-2</v>
      </c>
      <c r="K22" s="119">
        <f t="shared" si="3"/>
        <v>0.85338339849271161</v>
      </c>
      <c r="L22" s="277">
        <f t="shared" si="4"/>
        <v>950505864.21843565</v>
      </c>
    </row>
    <row r="23" spans="1:21">
      <c r="A23" s="302" t="str">
        <f t="shared" si="0"/>
        <v>I</v>
      </c>
      <c r="B23" s="117">
        <v>3</v>
      </c>
      <c r="C23" s="277">
        <f t="shared" si="5"/>
        <v>12393392073.366674</v>
      </c>
      <c r="D23" s="299">
        <f t="shared" si="1"/>
        <v>1.7510817454652E-3</v>
      </c>
      <c r="E23" s="299">
        <f t="shared" si="6"/>
        <v>0.12639789702537185</v>
      </c>
      <c r="F23" s="277">
        <f t="shared" si="7"/>
        <v>1566498695.0844607</v>
      </c>
      <c r="G23" s="299">
        <f t="shared" si="2"/>
        <v>0</v>
      </c>
      <c r="H23" s="277">
        <f t="shared" si="8"/>
        <v>1115759082.4569552</v>
      </c>
      <c r="I23" s="299">
        <f t="shared" si="9"/>
        <v>1.7510817454651217E-3</v>
      </c>
      <c r="J23" s="299">
        <f t="shared" ref="J23:J50" si="10">IF(A23="", 0,H23/C23)</f>
        <v>9.0028547136398185E-2</v>
      </c>
      <c r="K23" s="119">
        <f t="shared" si="3"/>
        <v>0.78834494087086515</v>
      </c>
      <c r="L23" s="277">
        <f t="shared" si="4"/>
        <v>879603027.8856591</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12393392073.366674</v>
      </c>
      <c r="D51" s="301">
        <f>Terminal_Growth</f>
        <v>0</v>
      </c>
      <c r="E51" s="301">
        <f>F17</f>
        <v>0.12639789702537185</v>
      </c>
      <c r="F51" s="277">
        <f>C51*E51</f>
        <v>1566498695.0844607</v>
      </c>
      <c r="G51" s="299">
        <f>F18</f>
        <v>0</v>
      </c>
      <c r="H51" s="277">
        <f>(F51*(1-$I$10)+C51*(G51-$I$9))/Equity_Cost</f>
        <v>13524352514.629761</v>
      </c>
      <c r="I51" s="415">
        <f>(F51*(1-$I$10)+C51*(G51-$I$9))/VLOOKUP(C15,B21:H50,COLUMN(H20)-1,FALSE)-1</f>
        <v>0</v>
      </c>
      <c r="J51" s="454"/>
      <c r="K51" s="119">
        <f>1/(1+Equity_Cost)^C15</f>
        <v>0.78834494087086515</v>
      </c>
      <c r="L51" s="277">
        <f t="shared" si="4"/>
        <v>10661854883.462536</v>
      </c>
    </row>
    <row r="52" spans="1:21" ht="13.15">
      <c r="G52" s="111"/>
      <c r="H52" s="111"/>
      <c r="I52" s="111"/>
      <c r="J52" s="468" t="s">
        <v>420</v>
      </c>
      <c r="K52" s="468"/>
      <c r="L52" s="317">
        <f>SUM(L21:L51)</f>
        <v>13519087795.461521</v>
      </c>
    </row>
    <row r="53" spans="1:21">
      <c r="C53" s="111"/>
    </row>
    <row r="54" spans="1:21" ht="13.15">
      <c r="B54" s="115" t="s">
        <v>108</v>
      </c>
      <c r="C54" s="128"/>
      <c r="D54" s="128"/>
      <c r="E54" s="113"/>
      <c r="F54" s="113"/>
      <c r="G54" s="113"/>
      <c r="H54" s="113"/>
      <c r="I54" s="113"/>
      <c r="J54" s="113"/>
      <c r="K54" s="113"/>
      <c r="L54" s="113"/>
    </row>
    <row r="55" spans="1:21" ht="13.15">
      <c r="A55" s="125">
        <f>L52</f>
        <v>13519087795.461521</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13184482789.899498</v>
      </c>
      <c r="C56" s="118">
        <v>13319018328.571941</v>
      </c>
      <c r="D56" s="118">
        <v>13453553867.244387</v>
      </c>
      <c r="E56" s="118">
        <v>13588089405.916832</v>
      </c>
      <c r="F56" s="118">
        <v>13722624944.589275</v>
      </c>
      <c r="G56" s="295"/>
      <c r="H56" s="295"/>
      <c r="I56" s="295"/>
      <c r="J56" s="295"/>
      <c r="K56" s="295"/>
      <c r="L56" s="295"/>
    </row>
    <row r="57" spans="1:21" ht="13.15">
      <c r="A57" s="131">
        <v>2</v>
      </c>
      <c r="B57" s="118">
        <v>12940889574.381727</v>
      </c>
      <c r="C57" s="118">
        <v>13195978898.284901</v>
      </c>
      <c r="D57" s="118">
        <v>13453553867.244387</v>
      </c>
      <c r="E57" s="118">
        <v>13713614481.260172</v>
      </c>
      <c r="F57" s="118">
        <v>13976160740.332266</v>
      </c>
      <c r="G57" s="295"/>
      <c r="H57" s="295"/>
      <c r="I57" s="295"/>
      <c r="J57" s="295"/>
      <c r="K57" s="295"/>
      <c r="L57" s="295"/>
    </row>
    <row r="58" spans="1:21" ht="13.15">
      <c r="A58" s="131">
        <v>3</v>
      </c>
      <c r="B58" s="118">
        <v>12720361767.261707</v>
      </c>
      <c r="C58" s="118">
        <v>13083453229.939249</v>
      </c>
      <c r="D58" s="118">
        <v>13453553867.244385</v>
      </c>
      <c r="E58" s="118">
        <v>13830732565.414238</v>
      </c>
      <c r="F58" s="118">
        <v>14215058210.685936</v>
      </c>
      <c r="G58" s="295"/>
      <c r="H58" s="295"/>
      <c r="I58" s="295"/>
      <c r="J58" s="295"/>
      <c r="K58" s="295"/>
      <c r="L58" s="295"/>
    </row>
    <row r="59" spans="1:21" ht="13.15">
      <c r="A59" s="131">
        <v>4</v>
      </c>
      <c r="B59" s="118">
        <v>12520715346.035273</v>
      </c>
      <c r="C59" s="118">
        <v>12980542918.934912</v>
      </c>
      <c r="D59" s="118">
        <v>13453553867.244389</v>
      </c>
      <c r="E59" s="118">
        <v>13940006713.216185</v>
      </c>
      <c r="F59" s="118">
        <v>14440162524.552671</v>
      </c>
      <c r="G59" s="295"/>
      <c r="H59" s="295"/>
      <c r="I59" s="295"/>
      <c r="J59" s="295"/>
      <c r="K59" s="295"/>
      <c r="L59" s="295"/>
    </row>
    <row r="60" spans="1:21" ht="13.15">
      <c r="A60" s="131">
        <v>5</v>
      </c>
      <c r="B60" s="118">
        <v>12339973089.405334</v>
      </c>
      <c r="C60" s="118">
        <v>12886426329.65612</v>
      </c>
      <c r="D60" s="118">
        <v>13453553867.244389</v>
      </c>
      <c r="E60" s="118">
        <v>14041962269.133015</v>
      </c>
      <c r="F60" s="118">
        <v>14652270053.554127</v>
      </c>
      <c r="G60" s="295"/>
      <c r="H60" s="295"/>
      <c r="I60" s="295"/>
      <c r="J60" s="295"/>
      <c r="K60" s="295"/>
      <c r="L60" s="295"/>
    </row>
    <row r="61" spans="1:21" ht="13.15">
      <c r="A61" s="131">
        <v>6</v>
      </c>
      <c r="B61" s="118">
        <v>12176344995.64336</v>
      </c>
      <c r="C61" s="118">
        <v>12800352035.535099</v>
      </c>
      <c r="D61" s="118">
        <v>13453553867.244389</v>
      </c>
      <c r="E61" s="118">
        <v>14137089392.898367</v>
      </c>
      <c r="F61" s="118">
        <v>14852131189.426167</v>
      </c>
      <c r="G61" s="295"/>
      <c r="H61" s="295"/>
      <c r="I61" s="295"/>
      <c r="J61" s="295"/>
      <c r="K61" s="295"/>
      <c r="L61" s="295"/>
    </row>
    <row r="62" spans="1:21" ht="13.15">
      <c r="A62" s="131">
        <v>7</v>
      </c>
      <c r="B62" s="118">
        <v>12028210555.101341</v>
      </c>
      <c r="C62" s="118">
        <v>12721632819.664604</v>
      </c>
      <c r="D62" s="118">
        <v>13453553867.244389</v>
      </c>
      <c r="E62" s="118">
        <v>14225845415.995831</v>
      </c>
      <c r="F62" s="118">
        <v>15040452998.746704</v>
      </c>
      <c r="G62" s="295"/>
      <c r="H62" s="295"/>
      <c r="I62" s="295"/>
      <c r="J62" s="295"/>
      <c r="K62" s="295"/>
      <c r="L62" s="295"/>
    </row>
    <row r="63" spans="1:21" ht="13.15">
      <c r="A63" s="131">
        <v>8</v>
      </c>
      <c r="B63" s="118">
        <v>11894102701.308104</v>
      </c>
      <c r="C63" s="118">
        <v>12649640188.060179</v>
      </c>
      <c r="D63" s="118">
        <v>13453553867.244389</v>
      </c>
      <c r="E63" s="118">
        <v>14308657040.317719</v>
      </c>
      <c r="F63" s="118">
        <v>15217901724.388222</v>
      </c>
      <c r="G63" s="295"/>
      <c r="H63" s="295"/>
      <c r="I63" s="295"/>
      <c r="J63" s="295"/>
      <c r="K63" s="295"/>
      <c r="L63" s="295"/>
    </row>
    <row r="64" spans="1:21" ht="13.15">
      <c r="A64" s="131">
        <v>9</v>
      </c>
      <c r="B64" s="118">
        <v>11772693281.70776</v>
      </c>
      <c r="C64" s="118">
        <v>12583799351.766064</v>
      </c>
      <c r="D64" s="118">
        <v>13453553867.244389</v>
      </c>
      <c r="E64" s="118">
        <v>14385922389.569546</v>
      </c>
      <c r="F64" s="118">
        <v>15385105142.544666</v>
      </c>
      <c r="G64" s="295"/>
      <c r="H64" s="295"/>
      <c r="I64" s="295"/>
      <c r="J64" s="295"/>
      <c r="K64" s="295"/>
      <c r="L64" s="295"/>
    </row>
    <row r="65" spans="1:21" ht="13.15">
      <c r="A65" s="131">
        <v>10</v>
      </c>
      <c r="B65" s="118">
        <v>11662779904.148096</v>
      </c>
      <c r="C65" s="118">
        <v>12523584637.741882</v>
      </c>
      <c r="D65" s="118">
        <v>13453553867.244389</v>
      </c>
      <c r="E65" s="118">
        <v>14458012923.282568</v>
      </c>
      <c r="F65" s="118">
        <v>15542654783.671293</v>
      </c>
      <c r="G65" s="295"/>
      <c r="H65" s="295"/>
      <c r="I65" s="295"/>
      <c r="J65" s="295"/>
      <c r="K65" s="295"/>
      <c r="L65" s="295"/>
    </row>
    <row r="66" spans="1:21" ht="13.15">
      <c r="A66" s="131">
        <v>15</v>
      </c>
      <c r="B66" s="118">
        <v>11250963698.907232</v>
      </c>
      <c r="C66" s="277">
        <v>12291442686.125404</v>
      </c>
      <c r="D66" s="118">
        <v>13453553867.244389</v>
      </c>
      <c r="E66" s="118">
        <v>14752193200.557121</v>
      </c>
      <c r="F66" s="118">
        <v>16204016477.690308</v>
      </c>
      <c r="G66" s="295"/>
      <c r="H66" s="295"/>
      <c r="I66" s="295"/>
      <c r="J66" s="295"/>
      <c r="K66" s="295"/>
      <c r="L66" s="295"/>
      <c r="M66" s="275"/>
      <c r="N66" s="275"/>
      <c r="O66" s="275"/>
      <c r="P66" s="275"/>
      <c r="Q66" s="275"/>
      <c r="R66" s="275"/>
      <c r="S66" s="275"/>
      <c r="T66" s="275"/>
      <c r="U66" s="275"/>
    </row>
    <row r="67" spans="1:21" ht="13.15">
      <c r="A67" s="132">
        <v>20</v>
      </c>
      <c r="B67" s="118">
        <v>11000529124.857935</v>
      </c>
      <c r="C67" s="277">
        <v>12142920928.837807</v>
      </c>
      <c r="D67" s="118">
        <v>13453553867.244389</v>
      </c>
      <c r="E67" s="118">
        <v>14960201611.730597</v>
      </c>
      <c r="F67" s="118">
        <v>16695263997.465429</v>
      </c>
      <c r="G67" s="295"/>
      <c r="H67" s="295"/>
      <c r="I67" s="295"/>
      <c r="J67" s="295"/>
      <c r="K67" s="295"/>
      <c r="L67" s="295"/>
      <c r="M67" s="275"/>
      <c r="N67" s="275"/>
      <c r="O67" s="275"/>
      <c r="P67" s="275"/>
      <c r="Q67" s="275"/>
      <c r="R67" s="275"/>
      <c r="S67" s="275"/>
      <c r="T67" s="275"/>
      <c r="U67" s="275"/>
    </row>
    <row r="68" spans="1:21" ht="13.15">
      <c r="A68" s="132">
        <v>25</v>
      </c>
      <c r="B68" s="118">
        <v>10848234302.359217</v>
      </c>
      <c r="C68" s="277">
        <v>12047898412.510216</v>
      </c>
      <c r="D68" s="118">
        <v>13453553867.244389</v>
      </c>
      <c r="E68" s="118">
        <v>15107279789.505692</v>
      </c>
      <c r="F68" s="118">
        <v>17060153781.47864</v>
      </c>
      <c r="G68" s="295"/>
      <c r="H68" s="295"/>
      <c r="I68" s="295"/>
      <c r="J68" s="295"/>
      <c r="K68" s="295"/>
      <c r="L68" s="295"/>
      <c r="M68" s="275"/>
      <c r="N68" s="275"/>
      <c r="O68" s="275"/>
      <c r="P68" s="275"/>
      <c r="Q68" s="275"/>
      <c r="R68" s="275"/>
      <c r="S68" s="275"/>
      <c r="T68" s="275"/>
      <c r="U68" s="275"/>
    </row>
    <row r="69" spans="1:21" ht="13.15">
      <c r="A69" s="132">
        <v>30</v>
      </c>
      <c r="B69" s="118">
        <v>10755620440.842831</v>
      </c>
      <c r="C69" s="277">
        <v>11987104096.753887</v>
      </c>
      <c r="D69" s="118">
        <v>13453553867.24439</v>
      </c>
      <c r="E69" s="118">
        <v>15211275537.82955</v>
      </c>
      <c r="F69" s="118">
        <v>17331187321.837597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18.74738398379516</v>
      </c>
      <c r="C73" s="119">
        <f>C11</f>
        <v>18.74738398379516</v>
      </c>
      <c r="D73" s="119">
        <f>C11</f>
        <v>18.74738398379516</v>
      </c>
      <c r="E73" s="119">
        <f>C11</f>
        <v>18.74738398379516</v>
      </c>
      <c r="F73" s="119">
        <f>C11</f>
        <v>18.74738398379516</v>
      </c>
      <c r="G73" s="296"/>
      <c r="H73" s="296"/>
      <c r="I73" s="296"/>
      <c r="J73" s="296"/>
      <c r="K73" s="296"/>
      <c r="L73" s="296"/>
    </row>
    <row r="74" spans="1:21" ht="13.15">
      <c r="A74" s="131">
        <v>1</v>
      </c>
      <c r="B74" s="119">
        <f t="shared" ref="B74:F87" si="11">(B56+FV_adjustments)/Common_Shares*scaling_factor*Exchange_Rate</f>
        <v>18.50076755523617</v>
      </c>
      <c r="C74" s="119">
        <f t="shared" si="11"/>
        <v>18.624075769515667</v>
      </c>
      <c r="D74" s="119">
        <f t="shared" si="11"/>
        <v>18.74738398379516</v>
      </c>
      <c r="E74" s="119">
        <f t="shared" si="11"/>
        <v>18.870692198074654</v>
      </c>
      <c r="F74" s="119">
        <f t="shared" si="11"/>
        <v>18.994000412354147</v>
      </c>
      <c r="G74" s="296"/>
      <c r="H74" s="296"/>
      <c r="I74" s="296"/>
      <c r="J74" s="296"/>
      <c r="K74" s="296"/>
      <c r="L74" s="296"/>
    </row>
    <row r="75" spans="1:21" ht="13.15">
      <c r="A75" s="131">
        <v>2</v>
      </c>
      <c r="B75" s="119">
        <f t="shared" si="11"/>
        <v>18.277502797741661</v>
      </c>
      <c r="C75" s="119">
        <f t="shared" si="11"/>
        <v>18.511304284862828</v>
      </c>
      <c r="D75" s="119">
        <f t="shared" si="11"/>
        <v>18.74738398379516</v>
      </c>
      <c r="E75" s="119">
        <f t="shared" si="11"/>
        <v>18.985741894538659</v>
      </c>
      <c r="F75" s="119">
        <f t="shared" si="11"/>
        <v>19.226378017093335</v>
      </c>
      <c r="G75" s="296"/>
      <c r="H75" s="296"/>
      <c r="I75" s="296"/>
      <c r="J75" s="296"/>
      <c r="K75" s="296"/>
      <c r="L75" s="296"/>
    </row>
    <row r="76" spans="1:21" ht="13.15">
      <c r="A76" s="131">
        <v>3</v>
      </c>
      <c r="B76" s="119">
        <f t="shared" si="11"/>
        <v>18.075378583104598</v>
      </c>
      <c r="C76" s="119">
        <f t="shared" si="11"/>
        <v>18.408169162639901</v>
      </c>
      <c r="D76" s="119">
        <f t="shared" si="11"/>
        <v>18.747383983795157</v>
      </c>
      <c r="E76" s="119">
        <f t="shared" si="11"/>
        <v>19.093086184080136</v>
      </c>
      <c r="F76" s="119">
        <f t="shared" si="11"/>
        <v>19.445338901004618</v>
      </c>
      <c r="G76" s="296"/>
      <c r="H76" s="296"/>
      <c r="I76" s="296"/>
      <c r="J76" s="296"/>
      <c r="K76" s="296"/>
      <c r="L76" s="296"/>
    </row>
    <row r="77" spans="1:21" ht="13.15">
      <c r="A77" s="131">
        <v>4</v>
      </c>
      <c r="B77" s="119">
        <f t="shared" si="11"/>
        <v>17.892393150915847</v>
      </c>
      <c r="C77" s="119">
        <f t="shared" si="11"/>
        <v>18.313846972339032</v>
      </c>
      <c r="D77" s="119">
        <f t="shared" si="11"/>
        <v>18.747383983795164</v>
      </c>
      <c r="E77" s="119">
        <f t="shared" si="11"/>
        <v>19.193241133213522</v>
      </c>
      <c r="F77" s="119">
        <f t="shared" si="11"/>
        <v>19.651657701549205</v>
      </c>
      <c r="G77" s="296"/>
      <c r="H77" s="296"/>
      <c r="I77" s="296"/>
      <c r="J77" s="296"/>
      <c r="K77" s="296"/>
      <c r="L77" s="296"/>
    </row>
    <row r="78" spans="1:21" ht="13.15">
      <c r="A78" s="131">
        <v>5</v>
      </c>
      <c r="B78" s="119">
        <f t="shared" si="11"/>
        <v>17.726734283899702</v>
      </c>
      <c r="C78" s="119">
        <f t="shared" si="11"/>
        <v>18.227584645874501</v>
      </c>
      <c r="D78" s="119">
        <f t="shared" si="11"/>
        <v>18.747383983795164</v>
      </c>
      <c r="E78" s="119">
        <f t="shared" si="11"/>
        <v>19.286688245107033</v>
      </c>
      <c r="F78" s="119">
        <f t="shared" si="11"/>
        <v>19.846064331161656</v>
      </c>
      <c r="G78" s="296"/>
      <c r="H78" s="296"/>
      <c r="I78" s="296"/>
      <c r="J78" s="296"/>
      <c r="K78" s="296"/>
      <c r="L78" s="296"/>
    </row>
    <row r="79" spans="1:21" ht="13.15">
      <c r="A79" s="131">
        <v>6</v>
      </c>
      <c r="B79" s="119">
        <f t="shared" si="11"/>
        <v>17.576761360411652</v>
      </c>
      <c r="C79" s="119">
        <f t="shared" si="11"/>
        <v>18.148693465089384</v>
      </c>
      <c r="D79" s="119">
        <f t="shared" si="11"/>
        <v>18.747383983795164</v>
      </c>
      <c r="E79" s="119">
        <f t="shared" si="11"/>
        <v>19.373876774448778</v>
      </c>
      <c r="F79" s="119">
        <f t="shared" si="11"/>
        <v>20.029246559526275</v>
      </c>
      <c r="G79" s="296"/>
      <c r="H79" s="296"/>
      <c r="I79" s="296"/>
      <c r="J79" s="296"/>
      <c r="K79" s="296"/>
      <c r="L79" s="296"/>
    </row>
    <row r="80" spans="1:21" ht="13.15">
      <c r="A80" s="131">
        <f t="shared" ref="A80" si="12">A62</f>
        <v>7</v>
      </c>
      <c r="B80" s="119">
        <f t="shared" si="11"/>
        <v>17.440989106353179</v>
      </c>
      <c r="C80" s="119">
        <f t="shared" si="11"/>
        <v>18.076543563031858</v>
      </c>
      <c r="D80" s="119">
        <f t="shared" si="11"/>
        <v>18.747383983795164</v>
      </c>
      <c r="E80" s="119">
        <f t="shared" si="11"/>
        <v>19.45522588727572</v>
      </c>
      <c r="F80" s="119">
        <f t="shared" si="11"/>
        <v>20.201852446761293</v>
      </c>
      <c r="G80" s="296"/>
      <c r="H80" s="296"/>
      <c r="I80" s="296"/>
      <c r="J80" s="296"/>
      <c r="K80" s="296"/>
      <c r="L80" s="296"/>
    </row>
    <row r="81" spans="1:12" ht="13.15">
      <c r="A81" s="131">
        <v>8</v>
      </c>
      <c r="B81" s="119">
        <f t="shared" si="11"/>
        <v>17.318072885588926</v>
      </c>
      <c r="C81" s="119">
        <f t="shared" si="11"/>
        <v>18.010558895099344</v>
      </c>
      <c r="D81" s="119">
        <f t="shared" si="11"/>
        <v>18.747383983795164</v>
      </c>
      <c r="E81" s="119">
        <f t="shared" si="11"/>
        <v>19.531126676148897</v>
      </c>
      <c r="F81" s="119">
        <f t="shared" si="11"/>
        <v>20.364492636119</v>
      </c>
      <c r="G81" s="296"/>
      <c r="H81" s="296"/>
      <c r="I81" s="296"/>
      <c r="J81" s="296"/>
      <c r="K81" s="296"/>
      <c r="L81" s="296"/>
    </row>
    <row r="82" spans="1:12" ht="13.15">
      <c r="A82" s="131">
        <f t="shared" ref="A82" si="13">A64</f>
        <v>9</v>
      </c>
      <c r="B82" s="119">
        <f t="shared" si="11"/>
        <v>17.206795383188037</v>
      </c>
      <c r="C82" s="119">
        <f t="shared" si="11"/>
        <v>17.950212639900098</v>
      </c>
      <c r="D82" s="119">
        <f t="shared" si="11"/>
        <v>18.747383983795164</v>
      </c>
      <c r="E82" s="119">
        <f t="shared" si="11"/>
        <v>19.601944040363129</v>
      </c>
      <c r="F82" s="119">
        <f t="shared" si="11"/>
        <v>20.517742514312872</v>
      </c>
      <c r="G82" s="296"/>
      <c r="H82" s="296"/>
      <c r="I82" s="296"/>
      <c r="J82" s="296"/>
      <c r="K82" s="296"/>
      <c r="L82" s="296"/>
    </row>
    <row r="83" spans="1:12" ht="13.15">
      <c r="A83" s="131">
        <f t="shared" ref="A83:A87" si="14">A65</f>
        <v>10</v>
      </c>
      <c r="B83" s="119">
        <f t="shared" si="11"/>
        <v>17.106054549605705</v>
      </c>
      <c r="C83" s="119">
        <f t="shared" si="11"/>
        <v>17.895022993112786</v>
      </c>
      <c r="D83" s="119">
        <f t="shared" si="11"/>
        <v>18.747383983795164</v>
      </c>
      <c r="E83" s="119">
        <f t="shared" si="11"/>
        <v>19.668018440230451</v>
      </c>
      <c r="F83" s="119">
        <f t="shared" si="11"/>
        <v>20.662144247114483</v>
      </c>
      <c r="G83" s="296"/>
      <c r="H83" s="296"/>
      <c r="I83" s="296"/>
      <c r="J83" s="296"/>
      <c r="K83" s="296"/>
      <c r="L83" s="296"/>
    </row>
    <row r="84" spans="1:12" ht="13.15">
      <c r="A84" s="131">
        <f t="shared" si="14"/>
        <v>15</v>
      </c>
      <c r="B84" s="119">
        <f t="shared" si="11"/>
        <v>16.728605428126777</v>
      </c>
      <c r="C84" s="119">
        <f t="shared" si="11"/>
        <v>17.682253863144247</v>
      </c>
      <c r="D84" s="119">
        <f t="shared" si="11"/>
        <v>18.747383983795164</v>
      </c>
      <c r="E84" s="119">
        <f t="shared" si="11"/>
        <v>19.937648643706204</v>
      </c>
      <c r="F84" s="119">
        <f t="shared" si="11"/>
        <v>21.268313667381197</v>
      </c>
      <c r="G84" s="296"/>
      <c r="H84" s="296"/>
      <c r="I84" s="296"/>
      <c r="J84" s="296"/>
      <c r="K84" s="296"/>
      <c r="L84" s="296"/>
    </row>
    <row r="85" spans="1:12" ht="13.15">
      <c r="A85" s="132">
        <f t="shared" si="14"/>
        <v>20</v>
      </c>
      <c r="B85" s="119">
        <f t="shared" si="11"/>
        <v>16.499070240438932</v>
      </c>
      <c r="C85" s="119">
        <f t="shared" si="11"/>
        <v>17.546126614883288</v>
      </c>
      <c r="D85" s="119">
        <f t="shared" si="11"/>
        <v>18.747383983795164</v>
      </c>
      <c r="E85" s="119">
        <f t="shared" si="11"/>
        <v>20.128298237040532</v>
      </c>
      <c r="F85" s="119">
        <f t="shared" si="11"/>
        <v>21.718565363181693</v>
      </c>
      <c r="G85" s="296"/>
      <c r="H85" s="296"/>
      <c r="I85" s="296"/>
      <c r="J85" s="296"/>
      <c r="K85" s="296"/>
      <c r="L85" s="296"/>
    </row>
    <row r="86" spans="1:12" ht="13.15">
      <c r="A86" s="132">
        <f t="shared" si="14"/>
        <v>25</v>
      </c>
      <c r="B86" s="119">
        <f t="shared" si="11"/>
        <v>16.359484798617114</v>
      </c>
      <c r="C86" s="119">
        <f t="shared" si="11"/>
        <v>17.45903396322916</v>
      </c>
      <c r="D86" s="119">
        <f t="shared" si="11"/>
        <v>18.747383983795164</v>
      </c>
      <c r="E86" s="119">
        <f t="shared" si="11"/>
        <v>20.263102376079839</v>
      </c>
      <c r="F86" s="119">
        <f t="shared" si="11"/>
        <v>22.053004189676798</v>
      </c>
      <c r="G86" s="296"/>
      <c r="H86" s="296"/>
      <c r="I86" s="296"/>
      <c r="J86" s="296"/>
      <c r="K86" s="296"/>
      <c r="L86" s="296"/>
    </row>
    <row r="87" spans="1:12" ht="13.15">
      <c r="A87" s="132">
        <f t="shared" si="14"/>
        <v>30</v>
      </c>
      <c r="B87" s="119">
        <f t="shared" si="11"/>
        <v>16.274599793555971</v>
      </c>
      <c r="C87" s="119">
        <f t="shared" si="11"/>
        <v>17.403313083911854</v>
      </c>
      <c r="D87" s="119">
        <f t="shared" si="11"/>
        <v>18.747383983795164</v>
      </c>
      <c r="E87" s="119">
        <f t="shared" si="11"/>
        <v>20.35841942126369</v>
      </c>
      <c r="F87" s="119">
        <f t="shared" si="11"/>
        <v>22.301419308843805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0.02</v>
      </c>
      <c r="D90" s="133">
        <f>Scenarios!D29</f>
        <v>3</v>
      </c>
      <c r="E90" s="127">
        <f>INDEX(B$73:F$87, MATCH(D90, A$73:A$87, 0), MATCH(C90, B$72:F$72, 0))</f>
        <v>19.445338901004618</v>
      </c>
      <c r="F90" s="130">
        <f>Scenarios!F29</f>
        <v>0.15</v>
      </c>
      <c r="G90" s="297"/>
      <c r="H90" s="297"/>
      <c r="I90" s="297"/>
      <c r="J90" s="297"/>
      <c r="K90" s="297"/>
      <c r="L90" s="297"/>
    </row>
    <row r="91" spans="1:12">
      <c r="B91" s="120" t="str">
        <f>Scenarios!B22</f>
        <v>Optimistic</v>
      </c>
      <c r="C91" s="130">
        <f>Scenarios!C22</f>
        <v>0.01</v>
      </c>
      <c r="D91" s="133">
        <f>Scenarios!D22</f>
        <v>3</v>
      </c>
      <c r="E91" s="127">
        <f>INDEX(B$73:F$87, MATCH(D91, A$73:A$87, 0), MATCH(C91, B$72:F$72, 0))</f>
        <v>19.093086184080136</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18.747383983795157</v>
      </c>
      <c r="F92" s="130">
        <f>Scenarios!F23*(1-F$90-F$94)</f>
        <v>0.44</v>
      </c>
      <c r="G92" s="297"/>
      <c r="H92" s="297"/>
      <c r="I92" s="297"/>
      <c r="J92" s="297"/>
      <c r="K92" s="297"/>
      <c r="L92" s="297"/>
    </row>
    <row r="93" spans="1:12">
      <c r="B93" s="120" t="str">
        <f>Scenarios!B24</f>
        <v>Pessimistic</v>
      </c>
      <c r="C93" s="130">
        <f>Scenarios!C24</f>
        <v>-0.01</v>
      </c>
      <c r="D93" s="133">
        <f>Scenarios!D24</f>
        <v>3</v>
      </c>
      <c r="E93" s="127">
        <f>INDEX(B$73:F$87, MATCH(D93, A$73:A$87, 0), MATCH(C93, B$72:F$72, 0))</f>
        <v>18.408169162639901</v>
      </c>
      <c r="F93" s="130">
        <f>Scenarios!F24*(1-F$90-F$94)</f>
        <v>0.19999999999999998</v>
      </c>
      <c r="G93" s="297"/>
      <c r="H93" s="297"/>
      <c r="I93" s="297"/>
      <c r="J93" s="297"/>
      <c r="K93" s="297"/>
      <c r="L93" s="297"/>
    </row>
    <row r="94" spans="1:12">
      <c r="B94" s="120" t="str">
        <f>Scenarios!B30</f>
        <v>Devil's advocate</v>
      </c>
      <c r="C94" s="130">
        <f>Scenarios!C30</f>
        <v>-0.02</v>
      </c>
      <c r="D94" s="133">
        <f>Scenarios!D30</f>
        <v>3</v>
      </c>
      <c r="E94" s="127">
        <f>INDEX(B$73:F$87, MATCH(D94, A$73:A$87, 0), MATCH(C94, B$72:F$72, 0))</f>
        <v>18.075378583104598</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1329553199.5400009</v>
      </c>
      <c r="D7" s="469"/>
      <c r="E7" s="469"/>
      <c r="F7" s="469"/>
      <c r="G7" s="469"/>
    </row>
    <row r="8" spans="2:7">
      <c r="B8" s="97" t="s">
        <v>63</v>
      </c>
      <c r="C8" s="447">
        <f>Normalized_FCF!G19</f>
        <v>1208024770.0090923</v>
      </c>
      <c r="D8" s="469"/>
      <c r="E8" s="469"/>
      <c r="F8" s="469"/>
      <c r="G8" s="469"/>
    </row>
    <row r="9" spans="2:7">
      <c r="B9" s="97" t="s">
        <v>54</v>
      </c>
      <c r="C9" s="447">
        <f>Normalized_FCF!C19</f>
        <v>1109918194.0476618</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6.2036087223099612E-2</v>
      </c>
      <c r="D12" s="469"/>
      <c r="E12" s="469"/>
      <c r="F12" s="469"/>
      <c r="G12" s="469"/>
    </row>
    <row r="13" spans="2:7">
      <c r="B13" s="135" t="s">
        <v>127</v>
      </c>
      <c r="C13" s="249">
        <f ca="1">(Normalized_FCF!G8/OFFSET(Normalized_FCF!G8, 0, $C$4))^(1/$C$4) - 1</f>
        <v>-2.1818856200777392E-2</v>
      </c>
      <c r="D13" s="469"/>
      <c r="E13" s="469"/>
      <c r="F13" s="469"/>
      <c r="G13" s="469"/>
    </row>
    <row r="14" spans="2:7">
      <c r="B14" s="97" t="s">
        <v>63</v>
      </c>
      <c r="C14" s="249">
        <f ca="1">(Normalized_FCF!G19/OFFSET(Normalized_FCF!G19, 0, $C$4))^(1/$C$4) - 1</f>
        <v>-7.7238289791691894E-2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0.01</v>
      </c>
      <c r="D22" s="325">
        <f>C18</f>
        <v>3</v>
      </c>
      <c r="E22" s="326">
        <f>DCF!E91</f>
        <v>19.093086184080136</v>
      </c>
      <c r="F22" s="328">
        <f>1-F23-F24</f>
        <v>0.19999999999999996</v>
      </c>
      <c r="G22" s="328">
        <f>F22*(1-F$29-F$30)</f>
        <v>0.15999999999999995</v>
      </c>
    </row>
    <row r="23" spans="2:7">
      <c r="B23" s="302" t="s">
        <v>437</v>
      </c>
      <c r="C23" s="324">
        <v>0</v>
      </c>
      <c r="D23" s="325">
        <f>C18</f>
        <v>3</v>
      </c>
      <c r="E23" s="326">
        <f>DCF!E92</f>
        <v>18.747383983795157</v>
      </c>
      <c r="F23" s="327">
        <v>0.55000000000000004</v>
      </c>
      <c r="G23" s="328">
        <f t="shared" ref="G23:G24" si="0">F23*(1-F$29-F$30)</f>
        <v>0.44</v>
      </c>
    </row>
    <row r="24" spans="2:7">
      <c r="B24" s="302" t="s">
        <v>446</v>
      </c>
      <c r="C24" s="324">
        <v>-0.01</v>
      </c>
      <c r="D24" s="325">
        <f>C18</f>
        <v>3</v>
      </c>
      <c r="E24" s="326">
        <f>DCF!E93</f>
        <v>18.408169162639901</v>
      </c>
      <c r="F24" s="327">
        <v>0.25</v>
      </c>
      <c r="G24" s="328">
        <f t="shared" si="0"/>
        <v>0.19999999999999998</v>
      </c>
    </row>
    <row r="25" spans="2:7">
      <c r="B25" s="141" t="s">
        <v>451</v>
      </c>
      <c r="C25" s="441">
        <f>E23*F23+E24*F24+E22*F22</f>
        <v>18.731720718563338</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0.02</v>
      </c>
      <c r="D29" s="325">
        <f>C18</f>
        <v>3</v>
      </c>
      <c r="E29" s="326">
        <f>DCF!E90</f>
        <v>19.445338901004618</v>
      </c>
      <c r="F29" s="327">
        <v>0.15</v>
      </c>
      <c r="G29" s="328">
        <f>F29</f>
        <v>0.15</v>
      </c>
    </row>
    <row r="30" spans="2:7">
      <c r="B30" s="315" t="s">
        <v>447</v>
      </c>
      <c r="C30" s="324">
        <v>-0.02</v>
      </c>
      <c r="D30" s="325">
        <f>C18</f>
        <v>3</v>
      </c>
      <c r="E30" s="326">
        <f>DCF!E94</f>
        <v>18.075378583104598</v>
      </c>
      <c r="F30" s="327">
        <v>0.05</v>
      </c>
      <c r="G30" s="328">
        <f>F30</f>
        <v>0.05</v>
      </c>
    </row>
    <row r="31" spans="2:7">
      <c r="E31" s="329"/>
      <c r="F31" s="329"/>
    </row>
    <row r="32" spans="2:7" ht="13.15">
      <c r="B32" s="145" t="s">
        <v>456</v>
      </c>
    </row>
    <row r="33" spans="2:7">
      <c r="B33" s="97" t="s">
        <v>458</v>
      </c>
      <c r="C33" s="155">
        <f>Normalized_FCF!C88*(1-dividend_tax_rate)</f>
        <v>0.61067191044616698</v>
      </c>
      <c r="D33" t="str">
        <f>Market_currency</f>
        <v>HKD</v>
      </c>
      <c r="E33" s="97" t="s">
        <v>455</v>
      </c>
      <c r="F33" s="219">
        <f>Holding_Period</f>
        <v>3</v>
      </c>
    </row>
    <row r="34" spans="2:7">
      <c r="B34" s="97" t="s">
        <v>233</v>
      </c>
      <c r="C34" s="146">
        <f>Market_Price</f>
        <v>11.08</v>
      </c>
      <c r="D34" t="str">
        <f>Market_currency</f>
        <v>HKD</v>
      </c>
      <c r="E34" s="97" t="s">
        <v>454</v>
      </c>
      <c r="F34" s="330">
        <f>RATE(Holding_Period,$C$33,-C34,$C$36)</f>
        <v>0.23974326571287063</v>
      </c>
    </row>
    <row r="35" spans="2:7">
      <c r="B35" s="97" t="s">
        <v>434</v>
      </c>
      <c r="C35" s="320">
        <f>DCF!C11</f>
        <v>18.74738398379516</v>
      </c>
      <c r="D35" s="97" t="str">
        <f>Market_currency</f>
        <v>HKD</v>
      </c>
      <c r="E35" s="97" t="s">
        <v>454</v>
      </c>
      <c r="F35" s="330">
        <f>RATE(Holding_Period,$C$33,-C35,$C$36)</f>
        <v>3.3580770776620437E-2</v>
      </c>
    </row>
    <row r="36" spans="2:7">
      <c r="B36" s="97" t="s">
        <v>435</v>
      </c>
      <c r="C36" s="321">
        <f>E22*G22+E23*G23+E24*G24+E30*G30+E29*G29</f>
        <v>18.805946339156595</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0.12639789702537185</v>
      </c>
      <c r="E40" s="97" t="s">
        <v>401</v>
      </c>
    </row>
    <row r="41" spans="2:7">
      <c r="B41" s="97" t="s">
        <v>400</v>
      </c>
      <c r="C41" s="455">
        <f>DCF!C16</f>
        <v>1.7510817454652E-3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1.7510817454652E-3</v>
      </c>
      <c r="D46" s="138"/>
      <c r="E46" s="221" t="s">
        <v>252</v>
      </c>
    </row>
    <row r="47" spans="2:7">
      <c r="B47" s="97" t="s">
        <v>96</v>
      </c>
      <c r="C47" s="146">
        <f>DCF!I18</f>
        <v>18.807448943157684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0.34119859964109334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0.61067191044616698</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1.1174389578160964</v>
      </c>
      <c r="D62" s="119">
        <f>C36/(1+F62)^Holding_Period</f>
        <v>8.666334718505345</v>
      </c>
      <c r="E62" s="332">
        <f>C62+D62</f>
        <v>9.7837736763214416</v>
      </c>
      <c r="F62" s="301">
        <f>Thesis!E22</f>
        <v>0.29465259038036606</v>
      </c>
      <c r="G62" s="440">
        <f>(1-E62/C36)</f>
        <v>0.4797510585282132</v>
      </c>
    </row>
    <row r="63" spans="2:7" ht="13.15">
      <c r="B63" s="302" t="s">
        <v>313</v>
      </c>
      <c r="C63" s="119">
        <f>PV(F63, Holding_Period, -C58, 0)</f>
        <v>1.2848561100650842</v>
      </c>
      <c r="D63" s="119">
        <f>C36/(1+F63)^Holding_Period</f>
        <v>10.862640484711395</v>
      </c>
      <c r="E63" s="332">
        <f>C63+D63</f>
        <v>12.147496594776479</v>
      </c>
      <c r="F63" s="301">
        <f>Thesis!E23</f>
        <v>0.20075184365903009</v>
      </c>
      <c r="G63" s="440">
        <f>(1-E63/C36)</f>
        <v>0.35406087118925245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1.4733089600653493</v>
      </c>
      <c r="D66" s="119">
        <f>C36/(1+F66)^Holding_Period</f>
        <v>13.479357489069169</v>
      </c>
      <c r="E66" s="332">
        <f>C66+D66</f>
        <v>14.952666449134519</v>
      </c>
      <c r="F66" s="301">
        <f>Thesis!E24</f>
        <v>0.1174</v>
      </c>
      <c r="G66" s="440">
        <f>(1-E66/C36)</f>
        <v>0.2048968884910094</v>
      </c>
    </row>
    <row r="67" spans="2:7" ht="13.15">
      <c r="B67" s="302" t="s">
        <v>314</v>
      </c>
      <c r="C67" s="119">
        <f>PV(F67, Holding_Period, -C58, 0)</f>
        <v>1.5953041707799853</v>
      </c>
      <c r="D67" s="119">
        <f>C36/(1+F67)^Holding_Period</f>
        <v>15.244152684509658</v>
      </c>
      <c r="E67" s="332">
        <f>C67+D67</f>
        <v>16.839456855289644</v>
      </c>
      <c r="F67" s="301">
        <f>Thesis!E25</f>
        <v>7.2499999999999995E-2</v>
      </c>
      <c r="G67" s="440">
        <f>(1-E67/C36)</f>
        <v>0.1045674303436912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45965</v>
      </c>
    </row>
    <row r="4" spans="1:10">
      <c r="B4" s="422" t="s">
        <v>534</v>
      </c>
      <c r="C4" s="423" t="str">
        <f>Thesis!C4</f>
        <v>新华文轩</v>
      </c>
      <c r="D4" s="349"/>
      <c r="E4" s="434" t="s">
        <v>540</v>
      </c>
      <c r="F4" s="437" t="str">
        <f>Thesis!F4</f>
        <v>INT</v>
      </c>
    </row>
    <row r="5" spans="1:10">
      <c r="B5" s="343" t="s">
        <v>364</v>
      </c>
      <c r="C5" s="355" t="str">
        <f>Thesis!C5</f>
        <v>0811.HK</v>
      </c>
      <c r="E5" s="438" t="s">
        <v>541</v>
      </c>
      <c r="F5" s="439" t="str">
        <f>Thesis!F5</f>
        <v>N</v>
      </c>
    </row>
    <row r="6" spans="1:10">
      <c r="B6" s="350" t="s">
        <v>336</v>
      </c>
      <c r="C6" s="352" t="str">
        <f>Thesis!C6</f>
        <v>CNS_04</v>
      </c>
      <c r="E6" s="354"/>
    </row>
    <row r="7" spans="1:10">
      <c r="B7" s="343" t="s">
        <v>366</v>
      </c>
      <c r="C7" s="352" t="str">
        <f>Market_currency</f>
        <v>HKD</v>
      </c>
      <c r="D7" s="354"/>
      <c r="E7" s="354"/>
    </row>
    <row r="8" spans="1:10">
      <c r="B8" s="351" t="s">
        <v>365</v>
      </c>
      <c r="C8" s="356">
        <f>Market_Price</f>
        <v>11.08</v>
      </c>
    </row>
    <row r="9" spans="1:10">
      <c r="B9" s="351" t="s">
        <v>361</v>
      </c>
      <c r="C9" s="353">
        <f>Common_Shares</f>
        <v>1233841000</v>
      </c>
    </row>
    <row r="10" spans="1:10">
      <c r="B10" s="351" t="s">
        <v>367</v>
      </c>
      <c r="C10" s="357">
        <f>投资主题!C8*Common_Shares/1000000</f>
        <v>13670.958280000001</v>
      </c>
      <c r="D10" s="343" t="s">
        <v>529</v>
      </c>
      <c r="E10" s="360">
        <f>Scenarios!F34</f>
        <v>0.23974326571287063</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Y</v>
      </c>
      <c r="D16" s="351" t="s">
        <v>369</v>
      </c>
      <c r="E16" s="425">
        <f>Exchange_Rate</f>
        <v>1.1308739082336425</v>
      </c>
    </row>
    <row r="17" spans="1:6">
      <c r="B17" s="343" t="s">
        <v>535</v>
      </c>
      <c r="C17" s="424">
        <f>Terminal_Growth</f>
        <v>0</v>
      </c>
      <c r="D17" s="351" t="s">
        <v>339</v>
      </c>
      <c r="E17" s="344" t="str">
        <f>Reporting_currency</f>
        <v>CNY</v>
      </c>
    </row>
    <row r="18" spans="1:6">
      <c r="B18" s="343" t="str">
        <f>"预期股权价值 ("&amp;C7&amp;") :"</f>
        <v>预期股权价值 (HKD) :</v>
      </c>
      <c r="C18" s="359">
        <f>C125</f>
        <v>18.805946339156595</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9.7837736763214416</v>
      </c>
      <c r="D22" s="365" t="s">
        <v>440</v>
      </c>
      <c r="E22" s="366">
        <f>Thesis!E22</f>
        <v>0.29465259038036606</v>
      </c>
    </row>
    <row r="23" spans="1:6">
      <c r="B23" s="343" t="s">
        <v>341</v>
      </c>
      <c r="C23" s="367">
        <f>E141</f>
        <v>12.147496594776479</v>
      </c>
      <c r="D23" s="365" t="s">
        <v>441</v>
      </c>
      <c r="E23" s="368">
        <f>Thesis!E23</f>
        <v>0.20075184365903009</v>
      </c>
    </row>
    <row r="24" spans="1:6">
      <c r="B24" s="343" t="s">
        <v>343</v>
      </c>
      <c r="C24" s="367">
        <f>E144</f>
        <v>14.952666449134519</v>
      </c>
      <c r="D24" s="365" t="s">
        <v>443</v>
      </c>
      <c r="E24" s="368">
        <f>Thesis!E24</f>
        <v>0.1174</v>
      </c>
    </row>
    <row r="25" spans="1:6">
      <c r="B25" s="343" t="s">
        <v>342</v>
      </c>
      <c r="C25" s="367">
        <f>E145</f>
        <v>16.839456855289644</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v>
      </c>
    </row>
    <row r="33" spans="2:6">
      <c r="B33" s="470" t="s">
        <v>501</v>
      </c>
      <c r="C33" s="470"/>
      <c r="D33" s="470"/>
      <c r="E33" s="470"/>
      <c r="F33" s="470"/>
    </row>
    <row r="34" spans="2:6">
      <c r="B34" s="372" t="s">
        <v>197</v>
      </c>
      <c r="C34" s="373">
        <f>Normalized_FCF!C8</f>
        <v>1560850297.4755726</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11604854.75080977</v>
      </c>
      <c r="D44" s="343" t="str">
        <f>Reporting_currency</f>
        <v>CNY</v>
      </c>
      <c r="E44" s="371"/>
      <c r="F44" s="371"/>
    </row>
    <row r="45" spans="2:6">
      <c r="B45" s="372" t="s">
        <v>268</v>
      </c>
      <c r="C45" s="376">
        <f>Normalized_FCF!C45</f>
        <v>-14156922.829499999</v>
      </c>
      <c r="D45" s="343" t="str">
        <f>Reporting_currency</f>
        <v>CNY</v>
      </c>
      <c r="E45" s="371"/>
      <c r="F45" s="371"/>
    </row>
    <row r="46" spans="2:6">
      <c r="B46" s="372" t="s">
        <v>203</v>
      </c>
      <c r="C46" s="373">
        <f>Normalized_FCF!C10</f>
        <v>-2552068.078690229</v>
      </c>
      <c r="D46" s="343" t="str">
        <f>Reporting_currency</f>
        <v>CNY</v>
      </c>
    </row>
    <row r="48" spans="2:6">
      <c r="B48" s="343" t="s">
        <v>505</v>
      </c>
    </row>
    <row r="49" spans="2:6">
      <c r="B49" s="372" t="s">
        <v>223</v>
      </c>
      <c r="C49" s="373">
        <f>Normalized_FCF!C13</f>
        <v>-58805478.000000007</v>
      </c>
      <c r="D49" s="343" t="str">
        <f>Reporting_currency</f>
        <v>CNY</v>
      </c>
    </row>
    <row r="51" spans="2:6">
      <c r="B51" s="470" t="s">
        <v>506</v>
      </c>
      <c r="C51" s="470"/>
      <c r="D51" s="470"/>
      <c r="E51" s="470"/>
      <c r="F51" s="470"/>
    </row>
    <row r="52" spans="2:6">
      <c r="B52" s="372" t="s">
        <v>496</v>
      </c>
      <c r="C52" s="373">
        <f>Normalized_FCF!C12</f>
        <v>-389574557.34922057</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1208024770.0090923</v>
      </c>
      <c r="D60" s="343" t="str">
        <f>Reporting_currency</f>
        <v>CNY</v>
      </c>
    </row>
    <row r="61" spans="2:6">
      <c r="B61" s="372" t="s">
        <v>213</v>
      </c>
      <c r="C61" s="373">
        <f>Normalized_FCF!C19</f>
        <v>1109918194.0476618</v>
      </c>
      <c r="D61" s="343" t="str">
        <f>Reporting_currency</f>
        <v>CNY</v>
      </c>
    </row>
    <row r="62" spans="2:6">
      <c r="B62" s="377" t="s">
        <v>302</v>
      </c>
      <c r="C62" s="378">
        <f>Normalized_FCF!C124</f>
        <v>9.1813426697276546E-2</v>
      </c>
      <c r="F62" s="379"/>
    </row>
    <row r="63" spans="2:6">
      <c r="B63" s="377" t="s">
        <v>332</v>
      </c>
      <c r="C63" s="378">
        <f>Normalized_FCF!C92</f>
        <v>5.5114793361567417E-2</v>
      </c>
      <c r="E63" s="372" t="s">
        <v>373</v>
      </c>
      <c r="F63" s="380">
        <f>Normalized_FCF!C90</f>
        <v>0.75428185678465687</v>
      </c>
    </row>
    <row r="65" spans="1:6">
      <c r="B65" s="369" t="s">
        <v>376</v>
      </c>
      <c r="C65" s="381" t="s">
        <v>327</v>
      </c>
      <c r="D65" s="381" t="s">
        <v>374</v>
      </c>
    </row>
    <row r="66" spans="1:6">
      <c r="B66" s="372" t="s">
        <v>326</v>
      </c>
      <c r="C66" s="378">
        <f>Normalized_FCF!E119</f>
        <v>0.10095785451246694</v>
      </c>
      <c r="D66" s="378">
        <f>Normalized_FCF!G119</f>
        <v>8.889424000153362E-2</v>
      </c>
    </row>
    <row r="67" spans="1:6">
      <c r="B67" s="382" t="str">
        <f>Normalized_FCF!B116</f>
        <v>Pre-tax Profit/Sales</v>
      </c>
      <c r="C67" s="383">
        <f>Normalized_FCF!E116</f>
        <v>0.12639789702537185</v>
      </c>
      <c r="D67" s="383">
        <f>Normalized_FCF!G116</f>
        <v>0.1112944113969363</v>
      </c>
    </row>
    <row r="68" spans="1:6">
      <c r="B68" s="382" t="str">
        <f>Normalized_FCF!B117</f>
        <v>Sales/Total Assets</v>
      </c>
      <c r="C68" s="384">
        <f>Normalized_FCF!E117</f>
        <v>0.49405373744838704</v>
      </c>
      <c r="D68" s="384">
        <f>Normalized_FCF!G117</f>
        <v>0.49405373744838704</v>
      </c>
    </row>
    <row r="69" spans="1:6">
      <c r="B69" s="382" t="str">
        <f>Normalized_FCF!B118</f>
        <v>Total Assets/Equity</v>
      </c>
      <c r="C69" s="384">
        <f>Normalized_FCF!E118</f>
        <v>1.6166874809837415</v>
      </c>
      <c r="D69" s="384">
        <f>Normalized_FCF!G118</f>
        <v>1.6166874809837415</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-283138456.58999997</v>
      </c>
      <c r="D78" s="343" t="str">
        <f>Reporting_currency</f>
        <v>CNY</v>
      </c>
    </row>
    <row r="79" spans="1:6">
      <c r="B79" s="372" t="s">
        <v>234</v>
      </c>
      <c r="C79" s="387">
        <f>C78*scaling_factor*Exchange_Rate/Common_Shares</f>
        <v>-0.25950985011454053</v>
      </c>
      <c r="D79" s="343" t="str">
        <f>Market_currency</f>
        <v>HKD</v>
      </c>
    </row>
    <row r="80" spans="1:6">
      <c r="B80" s="382" t="s">
        <v>309</v>
      </c>
      <c r="C80" s="388">
        <f>IF(BS!G31/BS!G27&gt;300%,"nm",BS!G31/BS!G27)</f>
        <v>1.8343761526547521E-2</v>
      </c>
    </row>
    <row r="81" spans="1:6">
      <c r="B81" s="382" t="s">
        <v>311</v>
      </c>
      <c r="C81" s="389">
        <f>IF(BS!C50&gt;30,"nm",BS!C50)</f>
        <v>0.18140013622570431</v>
      </c>
    </row>
    <row r="83" spans="1:6">
      <c r="B83" s="343" t="s">
        <v>512</v>
      </c>
    </row>
    <row r="84" spans="1:6">
      <c r="B84" s="343" t="s">
        <v>224</v>
      </c>
      <c r="C84" s="373">
        <f>DCF!F5</f>
        <v>6700376289.7117052</v>
      </c>
      <c r="D84" s="343" t="str">
        <f>Reporting_currency</f>
        <v>CNY</v>
      </c>
    </row>
    <row r="85" spans="1:6">
      <c r="B85" s="382" t="s">
        <v>481</v>
      </c>
      <c r="C85" s="390">
        <f>BS!C66</f>
        <v>8634518748.1800003</v>
      </c>
      <c r="D85" s="391" t="str">
        <f>Reporting_currency</f>
        <v>CNY</v>
      </c>
    </row>
    <row r="86" spans="1:6">
      <c r="B86" s="372" t="s">
        <v>235</v>
      </c>
      <c r="C86" s="387">
        <f>C84*scaling_factor*Exchange_Rate/Common_Shares</f>
        <v>6.1412132692804899</v>
      </c>
      <c r="D86" s="343" t="str">
        <f>Market_currency</f>
        <v>HKD</v>
      </c>
    </row>
    <row r="88" spans="1:6">
      <c r="B88" s="343" t="s">
        <v>513</v>
      </c>
    </row>
    <row r="89" spans="1:6">
      <c r="B89" s="343" t="s">
        <v>217</v>
      </c>
      <c r="C89" s="373">
        <f>DCF!F6</f>
        <v>583558544.63999999</v>
      </c>
      <c r="D89" s="343" t="str">
        <f>Reporting_currency</f>
        <v>CNY</v>
      </c>
    </row>
    <row r="90" spans="1:6">
      <c r="B90" s="372" t="s">
        <v>236</v>
      </c>
      <c r="C90" s="387">
        <f>C89*scaling_factor*Exchange_Rate/Common_Shares</f>
        <v>0.53485913667982621</v>
      </c>
      <c r="D90" s="343" t="str">
        <f>Market_currency</f>
        <v>HKD</v>
      </c>
    </row>
    <row r="92" spans="1:6">
      <c r="B92" s="372" t="s">
        <v>480</v>
      </c>
      <c r="C92" s="387">
        <f>DCF!F8</f>
        <v>6.4165625558457755</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8.249999999999999E-2</v>
      </c>
    </row>
    <row r="102" spans="1:6">
      <c r="A102" s="385"/>
      <c r="B102" s="382" t="s">
        <v>318</v>
      </c>
      <c r="C102" s="383">
        <f>E25</f>
        <v>7.2499999999999995E-2</v>
      </c>
    </row>
    <row r="103" spans="1:6">
      <c r="A103" s="385"/>
      <c r="B103" s="382" t="s">
        <v>317</v>
      </c>
      <c r="C103" s="383">
        <f>IF(C15="Y",1%,0)+IF(C16="Y",1%,0)</f>
        <v>0.01</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1.7646294193934753</v>
      </c>
      <c r="D111" s="343" t="str">
        <f>Market_currency</f>
        <v>HKD</v>
      </c>
    </row>
    <row r="112" spans="1:6">
      <c r="A112" s="385"/>
      <c r="B112" s="372" t="s">
        <v>377</v>
      </c>
      <c r="C112" s="394">
        <f>DCF!C11</f>
        <v>18.74738398379516</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0.02</v>
      </c>
      <c r="D118" s="397">
        <f>DCF!D90</f>
        <v>3</v>
      </c>
      <c r="E118" s="398" t="str">
        <f>ROUND(DCF!E90,2)&amp;" "&amp;Market_currency</f>
        <v>19.45 HKD</v>
      </c>
      <c r="F118" s="399">
        <f>DCF!F90</f>
        <v>0.15</v>
      </c>
    </row>
    <row r="119" spans="1:6">
      <c r="A119" s="385"/>
      <c r="B119" s="400" t="str">
        <f>DCF!B91</f>
        <v>Optimistic</v>
      </c>
      <c r="C119" s="401">
        <f>DCF!C91</f>
        <v>0.01</v>
      </c>
      <c r="D119" s="402">
        <f>DCF!D91</f>
        <v>3</v>
      </c>
      <c r="E119" s="398" t="str">
        <f>ROUND(DCF!E91,2)&amp;" "&amp;Market_currency</f>
        <v>19.09 HKD</v>
      </c>
      <c r="F119" s="403">
        <f>DCF!F91</f>
        <v>0.15999999999999995</v>
      </c>
    </row>
    <row r="120" spans="1:6">
      <c r="B120" s="400" t="str">
        <f>DCF!B92</f>
        <v>Base</v>
      </c>
      <c r="C120" s="401">
        <f>DCF!C92</f>
        <v>0</v>
      </c>
      <c r="D120" s="402">
        <f>DCF!D92</f>
        <v>3</v>
      </c>
      <c r="E120" s="398" t="str">
        <f>ROUND(DCF!E92,2)&amp;" "&amp;Market_currency</f>
        <v>18.75 HKD</v>
      </c>
      <c r="F120" s="403">
        <f>DCF!F92</f>
        <v>0.44</v>
      </c>
    </row>
    <row r="121" spans="1:6">
      <c r="B121" s="400" t="str">
        <f>DCF!B93</f>
        <v>Pessimistic</v>
      </c>
      <c r="C121" s="401">
        <f>DCF!C93</f>
        <v>-0.01</v>
      </c>
      <c r="D121" s="402">
        <f>DCF!D93</f>
        <v>3</v>
      </c>
      <c r="E121" s="398" t="str">
        <f>ROUND(DCF!E93,2)&amp;" "&amp;Market_currency</f>
        <v>18.41 HKD</v>
      </c>
      <c r="F121" s="403">
        <f>DCF!F93</f>
        <v>0.19999999999999998</v>
      </c>
    </row>
    <row r="122" spans="1:6">
      <c r="B122" s="400" t="str">
        <f>DCF!B94</f>
        <v>Devil's advocate</v>
      </c>
      <c r="C122" s="401">
        <f>DCF!C94</f>
        <v>-0.02</v>
      </c>
      <c r="D122" s="402">
        <f>DCF!D94</f>
        <v>3</v>
      </c>
      <c r="E122" s="398" t="str">
        <f>ROUND(DCF!E94,2)&amp;" "&amp;Market_currency</f>
        <v>18.08 HKD</v>
      </c>
      <c r="F122" s="403">
        <f>DCF!F94</f>
        <v>0.05</v>
      </c>
    </row>
    <row r="124" spans="1:6">
      <c r="B124" s="470" t="s">
        <v>519</v>
      </c>
      <c r="C124" s="470"/>
      <c r="D124" s="470"/>
      <c r="E124" s="470"/>
      <c r="F124" s="470"/>
    </row>
    <row r="125" spans="1:6">
      <c r="B125" s="372" t="s">
        <v>218</v>
      </c>
      <c r="C125" s="404">
        <f>Scenarios!C36</f>
        <v>18.805946339156595</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0.61067191044616698</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1.1174389578160964</v>
      </c>
      <c r="D140" s="409">
        <f>Scenarios!D62</f>
        <v>8.666334718505345</v>
      </c>
      <c r="E140" s="410">
        <f>Scenarios!E62</f>
        <v>9.7837736763214416</v>
      </c>
      <c r="F140" s="411">
        <f>E22</f>
        <v>0.29465259038036606</v>
      </c>
    </row>
    <row r="141" spans="1:6">
      <c r="B141" s="408" t="s">
        <v>313</v>
      </c>
      <c r="C141" s="409">
        <f>Scenarios!C63</f>
        <v>1.2848561100650842</v>
      </c>
      <c r="D141" s="409">
        <f>Scenarios!D63</f>
        <v>10.862640484711395</v>
      </c>
      <c r="E141" s="410">
        <f>Scenarios!E63</f>
        <v>12.147496594776479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1.4733089600653493</v>
      </c>
      <c r="D144" s="409">
        <f>Scenarios!D66</f>
        <v>13.479357489069169</v>
      </c>
      <c r="E144" s="410">
        <f>Scenarios!E66</f>
        <v>14.952666449134519</v>
      </c>
      <c r="F144" s="411">
        <f>E24</f>
        <v>0.1174</v>
      </c>
    </row>
    <row r="145" spans="1:6">
      <c r="B145" s="408" t="s">
        <v>314</v>
      </c>
      <c r="C145" s="409">
        <f>Scenarios!C67</f>
        <v>1.5953041707799853</v>
      </c>
      <c r="D145" s="409">
        <f>Scenarios!D67</f>
        <v>15.244152684509658</v>
      </c>
      <c r="E145" s="410">
        <f>Scenarios!E67</f>
        <v>16.839456855289644</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2026-02-11T06:56:53Z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