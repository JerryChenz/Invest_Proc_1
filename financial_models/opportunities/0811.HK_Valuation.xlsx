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95F6F73-16B2-43A5-A5EC-BDE1F582AE7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<sst xmlns="http://schemas.openxmlformats.org/spreadsheetml/2006/main" count="768" uniqueCount="559">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</sst>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37" sqref="C3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10.26</v>
      </c>
      <c r="E8" s="32"/>
    </row>
    <row r="9" spans="1:9">
      <c r="B9" s="4" t="s">
        <v>346</v>
      </c>
      <c r="C9" s="48">
        <f>791903900+441937100</f>
        <v>1233841000</v>
      </c>
    </row>
    <row r="10" spans="1:9">
      <c r="B10" s="4" t="s">
        <v>352</v>
      </c>
      <c r="C10" s="33">
        <f>Thesis!C8*Common_Shares/1000000</f>
        <v>12659.20866</v>
      </c>
      <c r="D10" s="1" t="s">
        <v>528</v>
      </c>
      <c r="E10" s="303">
        <f>Scenarios!F34</f>
        <v>0.27711735478360239</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1.1404913400000001</v>
      </c>
    </row>
    <row r="17" spans="1:6">
      <c r="B17" s="1" t="s">
        <v>532</v>
      </c>
      <c r="C17" s="456">
        <v>0</v>
      </c>
      <c r="D17" s="4" t="s">
        <v>274</v>
      </c>
      <c r="E17" s="224" t="s">
        <v>558</v>
      </c>
    </row>
    <row r="18" spans="1:6">
      <c r="B18" s="1" t="str">
        <f>"Expected Equity Value ("&amp;C7&amp;") :"</f>
        <v>Expected Equity Value (HKD) :</v>
      </c>
      <c r="C18" s="252">
        <f>C125</f>
        <v>18.964843342954595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9.8665012772797382</v>
      </c>
      <c r="D22" s="38" t="s">
        <v>406</v>
      </c>
      <c r="E22" s="79">
        <v>0.29465259038036606</v>
      </c>
    </row>
    <row r="23" spans="1:6">
      <c r="B23" s="1" t="s">
        <v>313</v>
      </c>
      <c r="C23" s="256">
        <f>E141</f>
        <v>12.250205219395554</v>
      </c>
      <c r="D23" s="38" t="s">
        <v>407</v>
      </c>
      <c r="E23" s="443">
        <v>0.20075184365903009</v>
      </c>
    </row>
    <row r="24" spans="1:6">
      <c r="B24" s="1" t="s">
        <v>315</v>
      </c>
      <c r="C24" s="256">
        <f>E144</f>
        <v>15.079087172834877</v>
      </c>
      <c r="D24" s="38" t="s">
        <v>408</v>
      </c>
      <c r="E24" s="443">
        <v>0.1174</v>
      </c>
    </row>
    <row r="25" spans="1:6">
      <c r="B25" s="1" t="s">
        <v>314</v>
      </c>
      <c r="C25" s="256">
        <f>E145</f>
        <v>16.981826354716631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11611974.579786591</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-2544948.2497134078</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-389576337.30646479</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1208058503.5002832</v>
      </c>
      <c r="D60" s="1" t="str">
        <f>Reporting_currency</f>
        <v>CNY</v>
      </c>
    </row>
    <row r="61" spans="2:6">
      <c r="B61" s="44" t="s">
        <v>213</v>
      </c>
      <c r="C61" s="285">
        <f>Normalized_FCF!C19</f>
        <v>1109923533.9193945</v>
      </c>
      <c r="D61" s="1" t="str">
        <f>Reporting_currency</f>
        <v>CNY</v>
      </c>
    </row>
    <row r="62" spans="2:6">
      <c r="B62" s="204" t="s">
        <v>302</v>
      </c>
      <c r="C62" s="89">
        <f>Normalized_FCF!C124</f>
        <v>9.9995048070979961E-2</v>
      </c>
      <c r="F62" s="257"/>
    </row>
    <row r="63" spans="2:6">
      <c r="B63" s="204" t="s">
        <v>332</v>
      </c>
      <c r="C63" s="89">
        <f>Normalized_FCF!C92</f>
        <v>6.002586E-2</v>
      </c>
      <c r="E63" s="44" t="s">
        <v>322</v>
      </c>
      <c r="F63" s="258">
        <f>Normalized_FCF!C90</f>
        <v>0.76069293015232164</v>
      </c>
    </row>
    <row r="65" spans="1:6">
      <c r="B65" s="192" t="s">
        <v>325</v>
      </c>
      <c r="C65" s="264" t="s">
        <v>327</v>
      </c>
      <c r="D65" s="264" t="s">
        <v>328</v>
      </c>
    </row>
    <row r="66" spans="1:6">
      <c r="B66" s="44" t="s">
        <v>326</v>
      </c>
      <c r="C66" s="89">
        <f>Normalized_FCF!E119</f>
        <v>0.10095831578659563</v>
      </c>
      <c r="D66" s="89">
        <f>Normalized_FCF!G119</f>
        <v>8.8896425501607743E-2</v>
      </c>
    </row>
    <row r="67" spans="1:6">
      <c r="B67" s="229" t="str">
        <f>Normalized_FCF!B116</f>
        <v>Pre-tax Profit/Sales</v>
      </c>
      <c r="C67" s="263">
        <f>Normalized_FCF!E116</f>
        <v>0.12639847453447306</v>
      </c>
      <c r="D67" s="263">
        <f>Normalized_FCF!G116</f>
        <v>0.11129714761409</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-0.26171683204064455</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6699189651.5489016</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6.1923438940747957</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0.53940780582337877</v>
      </c>
      <c r="D90" s="1" t="str">
        <f>Market_currency</f>
        <v>HKD</v>
      </c>
    </row>
    <row r="91" spans="1:6">
      <c r="A91" s="191"/>
    </row>
    <row r="92" spans="1:6">
      <c r="A92" s="191"/>
      <c r="B92" s="44" t="s">
        <v>469</v>
      </c>
      <c r="C92" s="216">
        <f>DCF!F8</f>
        <v>6.4700348678575299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1.7796365770530167</v>
      </c>
      <c r="D111" s="1" t="str">
        <f>Market_currency</f>
        <v>HKD</v>
      </c>
    </row>
    <row r="112" spans="2:6">
      <c r="B112" s="44" t="s">
        <v>323</v>
      </c>
      <c r="C112" s="216">
        <f>DCF!C11</f>
        <v>18.905782664321219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19.61 HKD</v>
      </c>
      <c r="E118" s="208">
        <f>DCF!F90</f>
        <v>0.15</v>
      </c>
      <c r="F118" s="208">
        <f>RATE(Holding_Period,Scenarios!C$58,-DCF!E90,C$18)</f>
        <v>2.0668513976517627E-2</v>
      </c>
    </row>
    <row r="119" spans="2:6">
      <c r="B119" s="205" t="str">
        <f>DCF!B91&amp;" ("&amp;DCF!D91&amp;"yrs)"</f>
        <v>Optimistic (3yrs)</v>
      </c>
      <c r="C119" s="198">
        <f>DCF!C91</f>
        <v>0.01</v>
      </c>
      <c r="D119" s="207" t="str">
        <f>ROUND(DCF!E91,2)&amp;" "&amp;Market_currency</f>
        <v>19.25 HKD</v>
      </c>
      <c r="E119" s="199">
        <f>DCF!F91</f>
        <v>0.15999999999999995</v>
      </c>
      <c r="F119" s="208">
        <f>RATE(Holding_Period,Scenarios!C$58,-DCF!E91,C$18)</f>
        <v>2.7105840280714194E-2</v>
      </c>
    </row>
    <row r="120" spans="2:6">
      <c r="B120" s="205" t="str">
        <f>DCF!B92&amp;" ("&amp;DCF!D92&amp;"yrs)"</f>
        <v>Base (3yrs)</v>
      </c>
      <c r="C120" s="198">
        <f>DCF!C92</f>
        <v>0</v>
      </c>
      <c r="D120" s="207" t="str">
        <f>ROUND(DCF!E92,2)&amp;" "&amp;Market_currency</f>
        <v>18.91 HKD</v>
      </c>
      <c r="E120" s="199">
        <f>DCF!F92</f>
        <v>0.44</v>
      </c>
      <c r="F120" s="208">
        <f>RATE(Holding_Period,Scenarios!C$58,-DCF!E92,C$18)</f>
        <v>3.3582615776634052E-2</v>
      </c>
    </row>
    <row r="121" spans="2:6">
      <c r="B121" s="205" t="str">
        <f>DCF!B93&amp;" ("&amp;DCF!D93&amp;"yrs)"</f>
        <v>Pessimistic (3yrs)</v>
      </c>
      <c r="C121" s="198">
        <f>DCF!C93</f>
        <v>-0.01</v>
      </c>
      <c r="D121" s="207" t="str">
        <f>ROUND(DCF!E93,2)&amp;" "&amp;Market_currency</f>
        <v>18.56 HKD</v>
      </c>
      <c r="E121" s="199">
        <f>DCF!F93</f>
        <v>0.19999999999999998</v>
      </c>
      <c r="F121" s="208">
        <f>RATE(Holding_Period,Scenarios!C$58,-DCF!E93,C$18)</f>
        <v>4.0097895902963095E-2</v>
      </c>
    </row>
    <row r="122" spans="2:6">
      <c r="B122" s="205" t="str">
        <f>DCF!B94&amp;" ("&amp;DCF!D94&amp;"yrs)"</f>
        <v>Devil's advocate (3yrs)</v>
      </c>
      <c r="C122" s="198">
        <f>DCF!C94</f>
        <v>-0.02</v>
      </c>
      <c r="D122" s="207" t="str">
        <f>ROUND(DCF!E94,2)&amp;" "&amp;Market_currency</f>
        <v>18.23 HKD</v>
      </c>
      <c r="E122" s="199">
        <f>DCF!F94</f>
        <v>0.05</v>
      </c>
      <c r="F122" s="208">
        <f>RATE(Holding_Period,Scenarios!C$58,-DCF!E94,C$18)</f>
        <v>4.6650665929497653E-2</v>
      </c>
    </row>
    <row r="124" spans="2:6">
      <c r="B124" s="461" t="s">
        <v>357</v>
      </c>
      <c r="C124" s="461"/>
      <c r="D124" s="461"/>
      <c r="E124" s="461"/>
      <c r="F124" s="461"/>
    </row>
    <row r="125" spans="2:6">
      <c r="B125" s="193" t="s">
        <v>218</v>
      </c>
      <c r="C125" s="197">
        <f>Scenarios!C36</f>
        <v>18.964843342954595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0.61586532360000001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1.126942133061029</v>
      </c>
      <c r="D140" s="333">
        <f>Scenarios!D62</f>
        <v>8.7395591442187097</v>
      </c>
      <c r="E140" s="334">
        <f>Scenarios!E62</f>
        <v>9.8665012772797382</v>
      </c>
      <c r="F140" s="335">
        <f>E22</f>
        <v>0.29465259038036606</v>
      </c>
    </row>
    <row r="141" spans="1:6">
      <c r="B141" s="336" t="s">
        <v>313</v>
      </c>
      <c r="C141" s="333">
        <f>Scenarios!C63</f>
        <v>1.2957830718405481</v>
      </c>
      <c r="D141" s="333">
        <f>Scenarios!D63</f>
        <v>10.954422147555006</v>
      </c>
      <c r="E141" s="334">
        <f>Scenarios!E63</f>
        <v>12.250205219395554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1.4858386048745778</v>
      </c>
      <c r="D144" s="333">
        <f>Scenarios!D66</f>
        <v>13.593248567960298</v>
      </c>
      <c r="E144" s="334">
        <f>Scenarios!E66</f>
        <v>15.079087172834877</v>
      </c>
      <c r="F144" s="335">
        <f>E24</f>
        <v>0.1174</v>
      </c>
    </row>
    <row r="145" spans="1:6">
      <c r="B145" s="336" t="s">
        <v>314</v>
      </c>
      <c r="C145" s="333">
        <f>Scenarios!C67</f>
        <v>1.6088713146475331</v>
      </c>
      <c r="D145" s="333">
        <f>Scenarios!D67</f>
        <v>15.372955040069099</v>
      </c>
      <c r="E145" s="334">
        <f>Scenarios!E67</f>
        <v>16.981826354716631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0.68429480399999998</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0.68429480399999998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13.852471174936893</v>
      </c>
      <c r="D47" s="134">
        <f>D46*H1/Common_Shares*Exchange_Rate</f>
        <v>1.7796365770530167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6699189651.5489016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-986939306.47684681</v>
      </c>
      <c r="D73" s="285">
        <f>(Normalized_FCF!C26+Normalized_FCF!C35-Normalized_FCF!C89)/12</f>
        <v>-967664548.31554925</v>
      </c>
      <c r="F73" s="1" t="s">
        <v>278</v>
      </c>
    </row>
    <row r="74" spans="2:6" ht="15" customHeight="1">
      <c r="B74" s="227" t="s">
        <v>259</v>
      </c>
      <c r="C74" s="228">
        <f>-$C$66/C73</f>
        <v>8.7487839338401727</v>
      </c>
      <c r="D74" s="228">
        <f>-$C$66/D73</f>
        <v>8.9230495869776743</v>
      </c>
      <c r="F74" s="223" t="s">
        <v>257</v>
      </c>
    </row>
    <row r="75" spans="2:6" ht="15" customHeight="1">
      <c r="B75" s="77" t="s">
        <v>258</v>
      </c>
      <c r="C75" s="261"/>
      <c r="D75" s="262">
        <f>MAX(-D73*D76,G5)</f>
        <v>1935329096.6310985</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-322916957.76186091</v>
      </c>
      <c r="D86" s="201">
        <f>C86*scaling_factor/Common_Shares</f>
        <v>-0.26171683204064455</v>
      </c>
      <c r="E86" s="214" t="str">
        <f>Market_currency</f>
        <v>HKD</v>
      </c>
    </row>
    <row r="87" spans="2:8" ht="15" customHeight="1">
      <c r="B87" s="212" t="s">
        <v>240</v>
      </c>
      <c r="C87" s="73">
        <f>DCF!F5*Exchange_Rate</f>
        <v>7640367782.6091404</v>
      </c>
      <c r="D87" s="201">
        <f>C87*scaling_factor/Common_Shares</f>
        <v>6.1923438940747957</v>
      </c>
      <c r="E87" s="214" t="str">
        <f>Market_currency</f>
        <v>HKD</v>
      </c>
    </row>
    <row r="88" spans="2:8" ht="15" customHeight="1">
      <c r="B88" s="213" t="s">
        <v>159</v>
      </c>
      <c r="C88" s="73">
        <f>DCF!F6*Exchange_Rate</f>
        <v>665543466.54492342</v>
      </c>
      <c r="D88" s="201">
        <f>C88*scaling_factor/Common_Shares</f>
        <v>0.53940780582337877</v>
      </c>
      <c r="E88" s="214" t="str">
        <f>Market_currency</f>
        <v>HKD</v>
      </c>
    </row>
    <row r="89" spans="2:8" ht="15" customHeight="1">
      <c r="B89" s="77" t="s">
        <v>244</v>
      </c>
      <c r="C89" s="162">
        <f>SUM(C86:C88)</f>
        <v>7982994291.3922033</v>
      </c>
      <c r="D89" s="216">
        <f>SUM(D86:D88)</f>
        <v>6.4700348678575299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-2544948.2497134078</v>
      </c>
      <c r="E10" s="237"/>
      <c r="G10" s="266">
        <f>G48</f>
        <v>42575230.960282221</v>
      </c>
      <c r="H10" s="266">
        <f t="shared" ref="H10:Q10" si="6">H48</f>
        <v>41054413.878158502</v>
      </c>
      <c r="I10" s="266">
        <f t="shared" si="6"/>
        <v>17780846.842844747</v>
      </c>
      <c r="J10" s="266">
        <f t="shared" si="6"/>
        <v>5112425.7601728328</v>
      </c>
      <c r="K10" s="266">
        <f t="shared" si="6"/>
        <v>-4666795.0348851942</v>
      </c>
      <c r="L10" s="266">
        <f t="shared" si="6"/>
        <v>-6396970.7482200321</v>
      </c>
      <c r="M10" s="266">
        <f t="shared" si="6"/>
        <v>7552225.6667762129</v>
      </c>
      <c r="N10" s="266">
        <f t="shared" si="6"/>
        <v>0</v>
      </c>
      <c r="O10" s="266">
        <f t="shared" si="6"/>
        <v>0</v>
      </c>
      <c r="P10" s="266">
        <f t="shared" si="6"/>
        <v>0</v>
      </c>
      <c r="Q10" s="266" t="str">
        <f t="shared" si="6"/>
        <v/>
      </c>
    </row>
    <row r="11" spans="1:17" ht="15.75" customHeight="1">
      <c r="A11" s="10"/>
      <c r="B11" s="67" t="s">
        <v>137</v>
      </c>
      <c r="C11" s="267">
        <f>SUM(C8:C10)</f>
        <v>1558305349.2258592</v>
      </c>
      <c r="E11" s="237"/>
      <c r="G11" s="267">
        <f t="shared" ref="G11:Q11" si="7">IF(G$4="","",SUM(G8:G10))</f>
        <v>1372128430.5002832</v>
      </c>
      <c r="H11" s="267">
        <f t="shared" si="7"/>
        <v>1482039082.1981583</v>
      </c>
      <c r="I11" s="267">
        <f t="shared" si="7"/>
        <v>1407308345.8428447</v>
      </c>
      <c r="J11" s="267">
        <f t="shared" si="7"/>
        <v>1240566743.7601728</v>
      </c>
      <c r="K11" s="267">
        <f t="shared" si="7"/>
        <v>1157488895.9651148</v>
      </c>
      <c r="L11" s="267">
        <f t="shared" si="7"/>
        <v>999288843.83178198</v>
      </c>
      <c r="M11" s="267">
        <f t="shared" si="7"/>
        <v>939499532.43677521</v>
      </c>
      <c r="N11" s="267">
        <f t="shared" si="7"/>
        <v>695381120.13999975</v>
      </c>
      <c r="O11" s="267">
        <f t="shared" si="7"/>
        <v>577850860.66999984</v>
      </c>
      <c r="P11" s="267">
        <f t="shared" si="7"/>
        <v>542208477</v>
      </c>
      <c r="Q11" s="267" t="str">
        <f t="shared" si="7"/>
        <v/>
      </c>
    </row>
    <row r="12" spans="1:17" ht="15.75" customHeight="1">
      <c r="A12" s="10"/>
      <c r="B12" s="2" t="s">
        <v>60</v>
      </c>
      <c r="C12" s="266">
        <f>-C11*C41</f>
        <v>-389576337.30646479</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1109923533.9193945</v>
      </c>
      <c r="D14" s="58"/>
      <c r="E14" s="243"/>
      <c r="F14" s="58"/>
      <c r="G14" s="267">
        <f t="shared" ref="G14:Q14" si="8">IF(G$4="","",SUM(G11:G13))</f>
        <v>1208058503.5002832</v>
      </c>
      <c r="H14" s="267">
        <f t="shared" si="8"/>
        <v>1498013025.1981583</v>
      </c>
      <c r="I14" s="267">
        <f t="shared" si="8"/>
        <v>1418743822.8428447</v>
      </c>
      <c r="J14" s="267">
        <f t="shared" si="8"/>
        <v>1235113931.7601728</v>
      </c>
      <c r="K14" s="267">
        <f t="shared" si="8"/>
        <v>1149318344.9651148</v>
      </c>
      <c r="L14" s="267">
        <f t="shared" si="8"/>
        <v>975116768.71178198</v>
      </c>
      <c r="M14" s="267">
        <f t="shared" si="8"/>
        <v>950295378.80677521</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1109923533.9193945</v>
      </c>
      <c r="D19" s="26"/>
      <c r="E19" s="234"/>
      <c r="F19" s="26"/>
      <c r="G19" s="271">
        <f t="shared" ref="G19:Q19" si="9">IF(G$4="","",G14+G17)</f>
        <v>1208058503.5002832</v>
      </c>
      <c r="H19" s="271">
        <f t="shared" si="9"/>
        <v>1498013025.1981583</v>
      </c>
      <c r="I19" s="271">
        <f t="shared" si="9"/>
        <v>1418743822.8428447</v>
      </c>
      <c r="J19" s="271">
        <f t="shared" si="9"/>
        <v>1235113931.7601728</v>
      </c>
      <c r="K19" s="271">
        <f t="shared" si="9"/>
        <v>1149318344.9651148</v>
      </c>
      <c r="L19" s="271">
        <f t="shared" si="9"/>
        <v>975116768.71178198</v>
      </c>
      <c r="M19" s="271">
        <f t="shared" si="9"/>
        <v>950295378.80677521</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7.6716178063317431E-2</v>
      </c>
      <c r="H41" s="6">
        <f t="shared" si="16"/>
        <v>-4.3978761952301368E-2</v>
      </c>
      <c r="I41" s="6">
        <f t="shared" si="16"/>
        <v>-8.1257792819747904E-3</v>
      </c>
      <c r="J41" s="6">
        <f t="shared" si="16"/>
        <v>4.3954200992624235E-3</v>
      </c>
      <c r="K41" s="6">
        <f t="shared" si="16"/>
        <v>7.058859077164097E-3</v>
      </c>
      <c r="L41" s="6">
        <f t="shared" si="16"/>
        <v>2.4189277473880288E-2</v>
      </c>
      <c r="M41" s="6">
        <f t="shared" si="16"/>
        <v>-1.1491060929002133E-2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11611974.579786591</v>
      </c>
      <c r="E46" s="237"/>
      <c r="G46" s="274">
        <f t="shared" ref="G46:Q46" si="17">IFERROR(IF(G$4="","",($C$46/$C$47)*G47),0)</f>
        <v>55017113.960282221</v>
      </c>
      <c r="H46" s="274">
        <f t="shared" si="17"/>
        <v>58929870.878158502</v>
      </c>
      <c r="I46" s="274">
        <f t="shared" si="17"/>
        <v>38759032.842844747</v>
      </c>
      <c r="J46" s="274">
        <f t="shared" si="17"/>
        <v>24600268.760172833</v>
      </c>
      <c r="K46" s="274">
        <f t="shared" si="17"/>
        <v>17497159.965114806</v>
      </c>
      <c r="L46" s="274">
        <f t="shared" si="17"/>
        <v>13043351.251779968</v>
      </c>
      <c r="M46" s="274">
        <f t="shared" si="17"/>
        <v>8068637.6667762129</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-2544948.2497134078</v>
      </c>
      <c r="E48" s="237"/>
      <c r="G48" s="267">
        <f>IF(G$4="","",(G45+G46))</f>
        <v>42575230.960282221</v>
      </c>
      <c r="H48" s="267">
        <f t="shared" ref="H48:Q48" si="18">IF(H$4="","",(H45+H46))</f>
        <v>41054413.878158502</v>
      </c>
      <c r="I48" s="267">
        <f t="shared" si="18"/>
        <v>17780846.842844747</v>
      </c>
      <c r="J48" s="267">
        <f t="shared" si="18"/>
        <v>5112425.7601728328</v>
      </c>
      <c r="K48" s="267">
        <f t="shared" si="18"/>
        <v>-4666795.0348851942</v>
      </c>
      <c r="L48" s="267">
        <f t="shared" si="18"/>
        <v>-6396970.7482200321</v>
      </c>
      <c r="M48" s="267">
        <f t="shared" si="18"/>
        <v>7552225.6667762129</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2.0642782025535376E-4</v>
      </c>
      <c r="D76" s="26"/>
      <c r="E76" s="234"/>
      <c r="F76" s="26"/>
      <c r="G76" s="6">
        <f t="shared" ref="G76:Q76" si="28">IF(G$4="","",ABS(G10/G$4))</f>
        <v>3.45339522129341E-3</v>
      </c>
      <c r="H76" s="6">
        <f t="shared" si="28"/>
        <v>3.4591099969782805E-3</v>
      </c>
      <c r="I76" s="6">
        <f t="shared" si="28"/>
        <v>1.6267479206538401E-3</v>
      </c>
      <c r="J76" s="6">
        <f t="shared" si="28"/>
        <v>4.8874262578173331E-4</v>
      </c>
      <c r="K76" s="6">
        <f t="shared" si="28"/>
        <v>5.1806902042737715E-4</v>
      </c>
      <c r="L76" s="6">
        <f t="shared" si="28"/>
        <v>7.2343809244452921E-4</v>
      </c>
      <c r="M76" s="6">
        <f t="shared" si="28"/>
        <v>9.2251256689979274E-4</v>
      </c>
      <c r="N76" s="6">
        <f t="shared" si="28"/>
        <v>0</v>
      </c>
      <c r="O76" s="6">
        <f t="shared" si="28"/>
        <v>0</v>
      </c>
      <c r="P76" s="6">
        <f t="shared" si="28"/>
        <v>0</v>
      </c>
      <c r="Q76" s="6" t="str">
        <f t="shared" si="28"/>
        <v/>
      </c>
    </row>
    <row r="77" spans="1:17" ht="15.75" customHeight="1">
      <c r="A77" s="10"/>
      <c r="B77" s="67" t="s">
        <v>137</v>
      </c>
      <c r="C77" s="75">
        <f>C11/C4</f>
        <v>0.12639847453447303</v>
      </c>
      <c r="D77" s="26"/>
      <c r="E77" s="234"/>
      <c r="F77" s="26"/>
      <c r="G77" s="62">
        <f t="shared" ref="G77:Q77" si="29">IF(G$4="","",G11/G$4)</f>
        <v>0.11129714761409</v>
      </c>
      <c r="H77" s="62">
        <f t="shared" si="29"/>
        <v>0.12487174266715206</v>
      </c>
      <c r="I77" s="62">
        <f t="shared" si="29"/>
        <v>0.12875291855066523</v>
      </c>
      <c r="J77" s="62">
        <f t="shared" si="29"/>
        <v>0.11859690022811092</v>
      </c>
      <c r="K77" s="62">
        <f t="shared" si="29"/>
        <v>0.12849485224991572</v>
      </c>
      <c r="L77" s="62">
        <f t="shared" si="29"/>
        <v>0.11301030494533966</v>
      </c>
      <c r="M77" s="62">
        <f t="shared" si="29"/>
        <v>0.11476088818190325</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3.1599618633618258E-2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9.0028980268224076E-2</v>
      </c>
      <c r="D80" s="26"/>
      <c r="E80" s="234"/>
      <c r="F80" s="26"/>
      <c r="G80" s="62">
        <f t="shared" ref="G80:Q80" si="32">IF(G$4="","",ABS(G14/G$4))</f>
        <v>9.7988980187157432E-2</v>
      </c>
      <c r="H80" s="62">
        <f t="shared" si="32"/>
        <v>0.12621765460944526</v>
      </c>
      <c r="I80" s="62">
        <f t="shared" si="32"/>
        <v>0.12979913634871804</v>
      </c>
      <c r="J80" s="62">
        <f t="shared" si="32"/>
        <v>0.11807561702913806</v>
      </c>
      <c r="K80" s="62">
        <f t="shared" si="32"/>
        <v>0.12758782519574252</v>
      </c>
      <c r="L80" s="62">
        <f t="shared" si="32"/>
        <v>0.11027666732160901</v>
      </c>
      <c r="M80" s="62">
        <f t="shared" si="32"/>
        <v>0.1160796125402679</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9.0028980268224076E-2</v>
      </c>
      <c r="D85" s="72"/>
      <c r="E85" s="234"/>
      <c r="F85" s="72"/>
      <c r="G85" s="62">
        <f t="shared" ref="G85:Q85" si="35">IF(G$4="","",ABS(G19/G$4))</f>
        <v>9.7988980187157432E-2</v>
      </c>
      <c r="H85" s="62">
        <f t="shared" si="35"/>
        <v>0.12621765460944526</v>
      </c>
      <c r="I85" s="62">
        <f t="shared" si="35"/>
        <v>0.12979913634871804</v>
      </c>
      <c r="J85" s="62">
        <f t="shared" si="35"/>
        <v>0.11807561702913806</v>
      </c>
      <c r="K85" s="62">
        <f t="shared" si="35"/>
        <v>0.12758782519574252</v>
      </c>
      <c r="L85" s="62">
        <f t="shared" si="35"/>
        <v>0.11027666732160901</v>
      </c>
      <c r="M85" s="62">
        <f t="shared" si="35"/>
        <v>0.1160796125402679</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0.68429480399999998</v>
      </c>
      <c r="E88" s="237"/>
      <c r="G88" s="109">
        <f>Data!C65</f>
        <v>0.68429480399999998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844310985.262164</v>
      </c>
      <c r="E89" s="237"/>
      <c r="G89" s="71">
        <f t="shared" ref="G89:Q89" si="36">IF(G$4="","",G88*Common_Shares/scaling_factor)</f>
        <v>844310985.262164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0.76069293015232164</v>
      </c>
      <c r="E90" s="237"/>
      <c r="G90" s="152">
        <f t="shared" ref="G90:Q90" si="37">IF(G$4="","",G88/(G19*scaling_factor/Common_Shares))</f>
        <v>0.69889908710200643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6.002586E-2</v>
      </c>
      <c r="E92" s="237"/>
      <c r="G92" s="22">
        <f t="shared" ref="G92:Q92" si="38">IF(G$4="","",(G88*(1-dividend_tax_rate))/Market_Price)</f>
        <v>6.002586E-2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0.13568476141675401</v>
      </c>
      <c r="D96" s="26"/>
      <c r="E96" s="234"/>
      <c r="F96" s="26"/>
      <c r="G96" s="6">
        <f t="shared" ref="G96:Q96" si="40">IF(H5="","",G11/H11-1)</f>
        <v>-7.4161776850618311E-2</v>
      </c>
      <c r="H96" s="6">
        <f t="shared" si="40"/>
        <v>5.3101892400529316E-2</v>
      </c>
      <c r="I96" s="6">
        <f t="shared" si="40"/>
        <v>0.13440760275201002</v>
      </c>
      <c r="J96" s="6">
        <f t="shared" si="40"/>
        <v>7.177420715192917E-2</v>
      </c>
      <c r="K96" s="6">
        <f t="shared" si="40"/>
        <v>0.15831263714174315</v>
      </c>
      <c r="L96" s="6">
        <f t="shared" si="40"/>
        <v>6.3639532890380046E-2</v>
      </c>
      <c r="M96" s="6">
        <f t="shared" si="40"/>
        <v>0.35105700345679147</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1.4672127441380858</v>
      </c>
      <c r="H113" s="251">
        <f>IF(H$4="","",Data!D$22/H19)</f>
        <v>1.5707661892250502</v>
      </c>
      <c r="I113" s="251">
        <f>IF(I$4="","",Data!E$22/I19)</f>
        <v>1.4268827764434553</v>
      </c>
      <c r="J113" s="251">
        <f>IF(J$4="","",Data!F$22/J19)</f>
        <v>1.6576038245170879</v>
      </c>
      <c r="K113" s="251">
        <f>IF(K$4="","",Data!G$22/K19)</f>
        <v>1.5825078386399603</v>
      </c>
      <c r="L113" s="251">
        <f>IF(L$4="","",Data!H$22/L19)</f>
        <v>1.3992278293219287</v>
      </c>
      <c r="M113" s="251">
        <f>IF(M$4="","",Data!I$22/M19)</f>
        <v>1.0454120835749108</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0.12639847453447303</v>
      </c>
      <c r="E116" s="22">
        <f>E119/E117/E118</f>
        <v>0.12639847453447306</v>
      </c>
      <c r="G116" s="22">
        <f t="shared" ref="G116:Q116" si="44">IF(G4="","",G77)</f>
        <v>0.11129714761409</v>
      </c>
      <c r="H116" s="22">
        <f t="shared" si="44"/>
        <v>0.12487174266715206</v>
      </c>
      <c r="I116" s="22">
        <f t="shared" si="44"/>
        <v>0.12875291855066523</v>
      </c>
      <c r="J116" s="22">
        <f t="shared" si="44"/>
        <v>0.11859690022811092</v>
      </c>
      <c r="K116" s="22">
        <f t="shared" si="44"/>
        <v>0.12849485224991572</v>
      </c>
      <c r="L116" s="22">
        <f t="shared" si="44"/>
        <v>0.11301030494533966</v>
      </c>
      <c r="M116" s="22">
        <f t="shared" si="44"/>
        <v>0.11476088818190325</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0.10095831578659563</v>
      </c>
      <c r="D119" s="100"/>
      <c r="E119" s="453">
        <f>C11/C104</f>
        <v>0.10095831578659563</v>
      </c>
      <c r="F119" s="100"/>
      <c r="G119" s="99">
        <f t="shared" ref="G119:Q119" si="47">IF(G$4="","",G11/G104)</f>
        <v>8.8896425501607743E-2</v>
      </c>
      <c r="H119" s="99">
        <f t="shared" si="47"/>
        <v>0.11048321365172201</v>
      </c>
      <c r="I119" s="99">
        <f t="shared" si="47"/>
        <v>0.11114394551262222</v>
      </c>
      <c r="J119" s="99">
        <f t="shared" si="47"/>
        <v>0.11166530341259523</v>
      </c>
      <c r="K119" s="99">
        <f t="shared" si="47"/>
        <v>0.11542397092214489</v>
      </c>
      <c r="L119" s="99">
        <f t="shared" si="47"/>
        <v>0.10957154972807477</v>
      </c>
      <c r="M119" s="99">
        <f t="shared" si="47"/>
        <v>0.11176495965912658</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1.0259491932082545</v>
      </c>
      <c r="D123" s="26"/>
      <c r="E123" s="234"/>
      <c r="F123" s="26"/>
      <c r="G123" s="159">
        <f t="shared" ref="G123:Q123" si="48">IF(G$4="","",G14*$C$3/Common_Shares*Exchange_Rate)</f>
        <v>1.1166594897198527</v>
      </c>
      <c r="H123" s="159">
        <f t="shared" si="48"/>
        <v>1.3846766985743717</v>
      </c>
      <c r="I123" s="159">
        <f t="shared" si="48"/>
        <v>1.3114048273892331</v>
      </c>
      <c r="J123" s="159">
        <f t="shared" si="48"/>
        <v>1.141667964580386</v>
      </c>
      <c r="K123" s="159">
        <f t="shared" si="48"/>
        <v>1.0623634806558107</v>
      </c>
      <c r="L123" s="159">
        <f t="shared" si="48"/>
        <v>0.90134160739071756</v>
      </c>
      <c r="M123" s="159">
        <f t="shared" si="48"/>
        <v>0.87839814852249742</v>
      </c>
      <c r="N123" s="159">
        <f t="shared" si="48"/>
        <v>0.6422526089551005</v>
      </c>
      <c r="O123" s="159">
        <f t="shared" si="48"/>
        <v>0.52888347666086211</v>
      </c>
      <c r="P123" s="159">
        <f t="shared" si="48"/>
        <v>0.4986073410985627</v>
      </c>
      <c r="Q123" s="159" t="str">
        <f t="shared" si="48"/>
        <v/>
      </c>
    </row>
    <row r="124" spans="1:17" ht="15.75" customHeight="1">
      <c r="A124" s="10"/>
      <c r="B124" s="26" t="s">
        <v>226</v>
      </c>
      <c r="C124" s="74">
        <f>C19*Exchange_Rate*$C$3/(Market_Price*Common_Shares)</f>
        <v>9.9995048070979961E-2</v>
      </c>
      <c r="D124" s="26"/>
      <c r="E124" s="234"/>
      <c r="F124" s="26"/>
      <c r="G124" s="74">
        <f t="shared" ref="G124" si="49">IF(G$4="","",G123/Market_Price)</f>
        <v>0.10883620757503439</v>
      </c>
      <c r="H124" s="74">
        <f t="shared" ref="H124" si="50">IF(H$4="","",H123/Market_Price)</f>
        <v>0.13495874255110835</v>
      </c>
      <c r="I124" s="74">
        <f t="shared" ref="I124" si="51">IF(I$4="","",I123/Market_Price)</f>
        <v>0.12781723463832681</v>
      </c>
      <c r="J124" s="74">
        <f t="shared" ref="J124" si="52">IF(J$4="","",J123/Market_Price)</f>
        <v>0.11127368075832222</v>
      </c>
      <c r="K124" s="74">
        <f t="shared" ref="K124" si="53">IF(K$4="","",K123/Market_Price)</f>
        <v>0.10354419889432853</v>
      </c>
      <c r="L124" s="74">
        <f t="shared" ref="L124" si="54">IF(L$4="","",L123/Market_Price)</f>
        <v>8.7850059199875014E-2</v>
      </c>
      <c r="M124" s="74">
        <f t="shared" ref="M124" si="55">IF(M$4="","",M123/Market_Price)</f>
        <v>8.5613854631822361E-2</v>
      </c>
      <c r="N124" s="74">
        <f t="shared" ref="N124" si="56">IF(N$4="","",N123/Market_Price)</f>
        <v>6.2597720171062424E-2</v>
      </c>
      <c r="O124" s="74">
        <f t="shared" ref="O124" si="57">IF(O$4="","",O123/Market_Price)</f>
        <v>5.1548097140434901E-2</v>
      </c>
      <c r="P124" s="74">
        <f t="shared" ref="P124" si="58">IF(P$4="","",P123/Market_Price)</f>
        <v>4.85972067347527E-2</v>
      </c>
      <c r="Q124" s="74" t="str">
        <f t="shared" ref="Q124" si="59">IF(Q$4="","",Q123/Market_Price)</f>
        <v/>
      </c>
    </row>
    <row r="125" spans="1:17" ht="15.75" customHeight="1">
      <c r="B125" s="2" t="s">
        <v>306</v>
      </c>
      <c r="C125" s="151"/>
      <c r="G125" s="22">
        <f>IF(G$4="","",(Data!C47*$C$3)/(Market_Price*Common_Shares))</f>
        <v>0.12667945659724988</v>
      </c>
      <c r="H125" s="22">
        <f>IF(H$4="","",(Data!D47*$C$3)/(Market_Price*Common_Shares))</f>
        <v>0.12862970733274887</v>
      </c>
      <c r="I125" s="22">
        <f>IF(I$4="","",(Data!E47*$C$3)/(Market_Price*Common_Shares))</f>
        <v>0.10989905967787406</v>
      </c>
      <c r="J125" s="22">
        <f>IF(J$4="","",(Data!F47*$C$3)/(Market_Price*Common_Shares))</f>
        <v>0.10295124260950447</v>
      </c>
      <c r="K125" s="22">
        <f>IF(K$4="","",(Data!G47*$C$3)/(Market_Price*Common_Shares))</f>
        <v>9.8188992723341362E-2</v>
      </c>
      <c r="L125" s="22">
        <f>IF(L$4="","",(Data!H47*$C$3)/(Market_Price*Common_Shares))</f>
        <v>8.8841668884380318E-2</v>
      </c>
      <c r="M125" s="22">
        <f>IF(M$4="","",(Data!I47*$C$3)/(Market_Price*Common_Shares))</f>
        <v>7.3204928653099549E-2</v>
      </c>
      <c r="N125" s="22">
        <f>IF(N$4="","",(Data!J47*$C$3)/(Market_Price*Common_Shares))</f>
        <v>7.2396339717177877E-2</v>
      </c>
      <c r="O125" s="22">
        <f>IF(O$4="","",(Data!K47*$C$3)/(Market_Price*Common_Shares))</f>
        <v>4.9769145213694584E-2</v>
      </c>
      <c r="P125" s="22">
        <f>IF(P$4="","",(Data!L47*$C$3)/(Market_Price*Common_Shares))</f>
        <v>4.8574900415615713E-2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1109923533.9193945</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6699189651.5489016</v>
      </c>
      <c r="G5" t="str">
        <f>Reporting_currency</f>
        <v>CNY</v>
      </c>
      <c r="H5" s="308" t="s">
        <v>395</v>
      </c>
      <c r="I5" s="305">
        <f>Normalized_FCF!C7</f>
        <v>-1673614926</v>
      </c>
      <c r="J5" s="305"/>
    </row>
    <row r="6" spans="2:15" ht="13.25" customHeight="1">
      <c r="B6" s="136" t="s">
        <v>194</v>
      </c>
      <c r="C6" s="283">
        <f>(C4*(1+Terminal_Growth))/(Equity_Cost-Terminal_Growth)</f>
        <v>13453618592.962358</v>
      </c>
      <c r="D6" t="str">
        <f>Reporting_currency</f>
        <v>CNY</v>
      </c>
      <c r="E6" s="187" t="s">
        <v>433</v>
      </c>
      <c r="F6" s="284">
        <f>BS!H42</f>
        <v>583558544.63999999</v>
      </c>
      <c r="G6" t="str">
        <f>Reporting_currency</f>
        <v>CNY</v>
      </c>
      <c r="H6" s="308" t="s">
        <v>416</v>
      </c>
      <c r="I6" s="305">
        <f>I7+I8</f>
        <v>-2544948.2497134078</v>
      </c>
      <c r="J6" s="305"/>
      <c r="N6" s="135"/>
    </row>
    <row r="7" spans="2:15" ht="12.75" customHeight="1">
      <c r="B7" s="318" t="s">
        <v>430</v>
      </c>
      <c r="C7" s="275">
        <f>F7</f>
        <v>6999609739.5989017</v>
      </c>
      <c r="E7" s="140" t="s">
        <v>424</v>
      </c>
      <c r="F7" s="283">
        <f>SUM(F4:F6)</f>
        <v>6999609739.5989017</v>
      </c>
      <c r="G7" t="str">
        <f>Reporting_currency</f>
        <v>CNY</v>
      </c>
      <c r="H7" s="312" t="s">
        <v>417</v>
      </c>
      <c r="I7" s="313">
        <f>Normalized_FCF!C9</f>
        <v>0</v>
      </c>
      <c r="J7" s="313"/>
      <c r="N7" s="304"/>
      <c r="O7" s="304"/>
    </row>
    <row r="8" spans="2:15" ht="13.15">
      <c r="B8" s="136" t="s">
        <v>426</v>
      </c>
      <c r="C8" s="283">
        <f>C6+C7</f>
        <v>20453228332.56126</v>
      </c>
      <c r="D8" t="str">
        <f>Reporting_currency</f>
        <v>CNY</v>
      </c>
      <c r="E8" s="140" t="s">
        <v>464</v>
      </c>
      <c r="F8" s="108">
        <f>FV_adjustments*scaling_factor/Common_Shares*Exchange_Rate</f>
        <v>6.4700348678575299</v>
      </c>
      <c r="G8" s="294" t="str">
        <f>Market_currency</f>
        <v>HKD</v>
      </c>
      <c r="H8" s="314" t="str">
        <f>Normalized_FCF!B10</f>
        <v>Net Interest Income</v>
      </c>
      <c r="I8" s="313">
        <f>Normalized_FCF!C10</f>
        <v>-2544948.2497134078</v>
      </c>
      <c r="J8" s="313"/>
      <c r="N8" s="304"/>
      <c r="O8" s="304"/>
    </row>
    <row r="9" spans="2:15" ht="13.15" thickBot="1">
      <c r="B9" s="189" t="str">
        <f>"*"&amp;Thesis!E15</f>
        <v>*CNY/HKD</v>
      </c>
      <c r="C9" s="190">
        <f>Exchange_Rate</f>
        <v>1.1404913400000001</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23326729788.328758</v>
      </c>
      <c r="D10" t="str">
        <f>Market_currency</f>
        <v>HKD</v>
      </c>
      <c r="H10" s="308" t="s">
        <v>397</v>
      </c>
      <c r="I10" s="306">
        <f>Normalized_FCF!C41</f>
        <v>0.25</v>
      </c>
      <c r="N10" s="304"/>
      <c r="O10" s="304"/>
    </row>
    <row r="11" spans="2:15" ht="13.15">
      <c r="B11" s="136" t="s">
        <v>425</v>
      </c>
      <c r="C11" s="108">
        <f>(C10*scaling_factor)/Common_Shares</f>
        <v>18.905782664321219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0.12639847453447303</v>
      </c>
      <c r="E17" s="308" t="s">
        <v>550</v>
      </c>
      <c r="F17" s="311">
        <f>Scenarios!C40</f>
        <v>0.12639847453447306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18.966358733028546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0.12639847453447303</v>
      </c>
      <c r="F21" s="277">
        <f>C21*E21</f>
        <v>1561034069.2767491</v>
      </c>
      <c r="G21" s="299">
        <f t="shared" ref="G21:G50" si="2">IF(A21="",0%,IF(A21="I",$C$18,$F$18))</f>
        <v>0</v>
      </c>
      <c r="H21" s="277">
        <f>(F21*(1-$I$10)+C21*(G21-$I$9))</f>
        <v>1111867100.7585027</v>
      </c>
      <c r="I21" s="299">
        <f>H21/C4-1</f>
        <v>1.7510817454648997E-3</v>
      </c>
      <c r="J21" s="299">
        <f>H21/C21</f>
        <v>9.0028980268224076E-2</v>
      </c>
      <c r="K21" s="119">
        <f t="shared" ref="K21:K50" si="3">IF($C$15&lt;B21,0,1/(1+Equity_Cost)^B21)</f>
        <v>0.92378752886836024</v>
      </c>
      <c r="L21" s="277">
        <f t="shared" ref="L21:L51" si="4">H21*K21</f>
        <v>1027128961.4397253</v>
      </c>
    </row>
    <row r="22" spans="1:21">
      <c r="A22" s="302" t="str">
        <f t="shared" si="0"/>
        <v>I</v>
      </c>
      <c r="B22" s="117">
        <v>2</v>
      </c>
      <c r="C22" s="277">
        <f t="shared" ref="C22:C50" si="5">IF(A22="",0,C21*(1+D22))</f>
        <v>12371728166.015308</v>
      </c>
      <c r="D22" s="299">
        <f t="shared" si="1"/>
        <v>1.7510817454652E-3</v>
      </c>
      <c r="E22" s="299">
        <f t="shared" ref="E22:E50" si="6">IF($C$15&lt;B22,0,IF(B22&gt;=$F$15,$F$17,$C$17))</f>
        <v>0.12639847453447303</v>
      </c>
      <c r="F22" s="277">
        <f t="shared" ref="F22:F50" si="7">IF(A22="", 0,C22*E22)</f>
        <v>1563767567.5395088</v>
      </c>
      <c r="G22" s="299">
        <f t="shared" si="2"/>
        <v>0</v>
      </c>
      <c r="H22" s="277">
        <f t="shared" ref="H22:H50" si="8">IF(A22="", 0,F22*(1-$I$10)+C22*(G22-$I$9))</f>
        <v>1113814070.9420242</v>
      </c>
      <c r="I22" s="299">
        <f t="shared" ref="I22:I50" si="9">IF(A22="", 0,H22/H21-1)</f>
        <v>1.7510817454651217E-3</v>
      </c>
      <c r="J22" s="299">
        <f>IF(A22="", 0,H22/C22)</f>
        <v>9.0028980268224076E-2</v>
      </c>
      <c r="K22" s="119">
        <f t="shared" si="3"/>
        <v>0.85338339849271161</v>
      </c>
      <c r="L22" s="277">
        <f t="shared" si="4"/>
        <v>950510437.14950681</v>
      </c>
    </row>
    <row r="23" spans="1:21">
      <c r="A23" s="302" t="str">
        <f t="shared" si="0"/>
        <v>I</v>
      </c>
      <c r="B23" s="117">
        <v>3</v>
      </c>
      <c r="C23" s="277">
        <f t="shared" si="5"/>
        <v>12393392073.366674</v>
      </c>
      <c r="D23" s="299">
        <f t="shared" si="1"/>
        <v>1.7510817454652E-3</v>
      </c>
      <c r="E23" s="299">
        <f t="shared" si="6"/>
        <v>0.12639847453447303</v>
      </c>
      <c r="F23" s="277">
        <f t="shared" si="7"/>
        <v>1566505852.3811774</v>
      </c>
      <c r="G23" s="299">
        <f t="shared" si="2"/>
        <v>0</v>
      </c>
      <c r="H23" s="277">
        <f t="shared" si="8"/>
        <v>1115764450.4294927</v>
      </c>
      <c r="I23" s="299">
        <f t="shared" si="9"/>
        <v>1.7510817454648997E-3</v>
      </c>
      <c r="J23" s="299">
        <f t="shared" ref="J23:J50" si="10">IF(A23="", 0,H23/C23)</f>
        <v>9.0028980268224049E-2</v>
      </c>
      <c r="K23" s="119">
        <f t="shared" si="3"/>
        <v>0.78834494087086515</v>
      </c>
      <c r="L23" s="277">
        <f t="shared" si="4"/>
        <v>879607259.69965184</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0.12639847453447306</v>
      </c>
      <c r="F51" s="277">
        <f>C51*E51</f>
        <v>1566505852.3811779</v>
      </c>
      <c r="G51" s="299">
        <f>F18</f>
        <v>0</v>
      </c>
      <c r="H51" s="277">
        <f>(F51*(1-$I$10)+C51*(G51-$I$9))/Equity_Cost</f>
        <v>13524417580.963556</v>
      </c>
      <c r="I51" s="415">
        <f>(F51*(1-$I$10)+C51*(G51-$I$9))/VLOOKUP(C15,B21:H50,COLUMN(H20)-1,FALSE)-1</f>
        <v>0</v>
      </c>
      <c r="J51" s="454"/>
      <c r="K51" s="119">
        <f>1/(1+Equity_Cost)^C15</f>
        <v>0.78834494087086515</v>
      </c>
      <c r="L51" s="277">
        <f t="shared" si="4"/>
        <v>10661906178.177605</v>
      </c>
    </row>
    <row r="52" spans="1:21" ht="13.15">
      <c r="G52" s="111"/>
      <c r="H52" s="111"/>
      <c r="I52" s="111"/>
      <c r="J52" s="468" t="s">
        <v>420</v>
      </c>
      <c r="K52" s="468"/>
      <c r="L52" s="317">
        <f>SUM(L21:L51)</f>
        <v>13519152836.466488</v>
      </c>
    </row>
    <row r="53" spans="1:21">
      <c r="C53" s="111"/>
    </row>
    <row r="54" spans="1:21" ht="13.15">
      <c r="B54" s="115" t="s">
        <v>108</v>
      </c>
      <c r="C54" s="128"/>
      <c r="D54" s="128"/>
      <c r="E54" s="113"/>
      <c r="F54" s="113"/>
      <c r="G54" s="113"/>
      <c r="H54" s="113"/>
      <c r="I54" s="113"/>
      <c r="J54" s="113"/>
      <c r="K54" s="113"/>
      <c r="L54" s="113"/>
    </row>
    <row r="55" spans="1:21" ht="13.15">
      <c r="A55" s="125">
        <f>L52</f>
        <v>13519152836.466488</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13184546221.103109</v>
      </c>
      <c r="C56" s="118">
        <v>13319082407.032738</v>
      </c>
      <c r="D56" s="118">
        <v>13453618592.962357</v>
      </c>
      <c r="E56" s="118">
        <v>13588154778.891985</v>
      </c>
      <c r="F56" s="118">
        <v>13722690964.821604</v>
      </c>
      <c r="G56" s="295"/>
      <c r="H56" s="295"/>
      <c r="I56" s="295"/>
      <c r="J56" s="295"/>
      <c r="K56" s="295"/>
      <c r="L56" s="295"/>
    </row>
    <row r="57" spans="1:21" ht="13.15">
      <c r="A57" s="131">
        <v>2</v>
      </c>
      <c r="B57" s="118">
        <v>12940951833.646242</v>
      </c>
      <c r="C57" s="118">
        <v>13196042384.796867</v>
      </c>
      <c r="D57" s="118">
        <v>13453618592.962357</v>
      </c>
      <c r="E57" s="118">
        <v>13713680458.142717</v>
      </c>
      <c r="F57" s="118">
        <v>13976227980.337944</v>
      </c>
      <c r="G57" s="295"/>
      <c r="H57" s="295"/>
      <c r="I57" s="295"/>
      <c r="J57" s="295"/>
      <c r="K57" s="295"/>
      <c r="L57" s="295"/>
    </row>
    <row r="58" spans="1:21" ht="13.15">
      <c r="A58" s="131">
        <v>3</v>
      </c>
      <c r="B58" s="118">
        <v>12720422965.555956</v>
      </c>
      <c r="C58" s="118">
        <v>13083516175.084618</v>
      </c>
      <c r="D58" s="118">
        <v>13453618592.962357</v>
      </c>
      <c r="E58" s="118">
        <v>13830799105.757721</v>
      </c>
      <c r="F58" s="118">
        <v>14215126600.039244</v>
      </c>
      <c r="G58" s="295"/>
      <c r="H58" s="295"/>
      <c r="I58" s="295"/>
      <c r="J58" s="295"/>
      <c r="K58" s="295"/>
      <c r="L58" s="295"/>
    </row>
    <row r="59" spans="1:21" ht="13.15">
      <c r="A59" s="131">
        <v>4</v>
      </c>
      <c r="B59" s="118">
        <v>12520775583.820644</v>
      </c>
      <c r="C59" s="118">
        <v>12980605368.973646</v>
      </c>
      <c r="D59" s="118">
        <v>13453618592.962357</v>
      </c>
      <c r="E59" s="118">
        <v>13940073779.283035</v>
      </c>
      <c r="F59" s="118">
        <v>14440231996.894053</v>
      </c>
      <c r="G59" s="295"/>
      <c r="H59" s="295"/>
      <c r="I59" s="295"/>
      <c r="J59" s="295"/>
      <c r="K59" s="295"/>
      <c r="L59" s="295"/>
    </row>
    <row r="60" spans="1:21" ht="13.15">
      <c r="A60" s="131">
        <v>5</v>
      </c>
      <c r="B60" s="118">
        <v>12340032457.630701</v>
      </c>
      <c r="C60" s="118">
        <v>12886488326.895252</v>
      </c>
      <c r="D60" s="118">
        <v>13453618592.962358</v>
      </c>
      <c r="E60" s="118">
        <v>14042029825.713123</v>
      </c>
      <c r="F60" s="118">
        <v>14652340546.3554</v>
      </c>
      <c r="G60" s="295"/>
      <c r="H60" s="295"/>
      <c r="I60" s="295"/>
      <c r="J60" s="295"/>
      <c r="K60" s="295"/>
      <c r="L60" s="295"/>
    </row>
    <row r="61" spans="1:21" ht="13.15">
      <c r="A61" s="131">
        <v>6</v>
      </c>
      <c r="B61" s="118">
        <v>12176403576.645815</v>
      </c>
      <c r="C61" s="118">
        <v>12800413618.666513</v>
      </c>
      <c r="D61" s="118">
        <v>13453618592.962358</v>
      </c>
      <c r="E61" s="118">
        <v>14137157407.139809</v>
      </c>
      <c r="F61" s="118">
        <v>14852202643.769318</v>
      </c>
      <c r="G61" s="295"/>
      <c r="H61" s="295"/>
      <c r="I61" s="295"/>
      <c r="J61" s="295"/>
      <c r="K61" s="295"/>
      <c r="L61" s="295"/>
    </row>
    <row r="62" spans="1:21" ht="13.15">
      <c r="A62" s="131">
        <v>7</v>
      </c>
      <c r="B62" s="118">
        <v>12028268423.421619</v>
      </c>
      <c r="C62" s="118">
        <v>12721694024.073948</v>
      </c>
      <c r="D62" s="118">
        <v>13453618592.962358</v>
      </c>
      <c r="E62" s="118">
        <v>14225913857.246923</v>
      </c>
      <c r="F62" s="118">
        <v>15040525359.115463</v>
      </c>
      <c r="G62" s="295"/>
      <c r="H62" s="295"/>
      <c r="I62" s="295"/>
      <c r="J62" s="295"/>
      <c r="K62" s="295"/>
      <c r="L62" s="295"/>
    </row>
    <row r="63" spans="1:21" ht="13.15">
      <c r="A63" s="131">
        <v>8</v>
      </c>
      <c r="B63" s="118">
        <v>11894159924.428818</v>
      </c>
      <c r="C63" s="118">
        <v>12649701046.109386</v>
      </c>
      <c r="D63" s="118">
        <v>13453618592.962358</v>
      </c>
      <c r="E63" s="118">
        <v>14308725879.97966</v>
      </c>
      <c r="F63" s="118">
        <v>15217974938.471645</v>
      </c>
      <c r="G63" s="295"/>
      <c r="H63" s="295"/>
      <c r="I63" s="295"/>
      <c r="J63" s="295"/>
      <c r="K63" s="295"/>
      <c r="L63" s="295"/>
    </row>
    <row r="64" spans="1:21" ht="13.15">
      <c r="A64" s="131">
        <v>9</v>
      </c>
      <c r="B64" s="118">
        <v>11772749920.721706</v>
      </c>
      <c r="C64" s="118">
        <v>12583859893.051723</v>
      </c>
      <c r="D64" s="118">
        <v>13453618592.962358</v>
      </c>
      <c r="E64" s="118">
        <v>14385991600.958933</v>
      </c>
      <c r="F64" s="118">
        <v>15385179161.052063</v>
      </c>
      <c r="G64" s="295"/>
      <c r="H64" s="295"/>
      <c r="I64" s="295"/>
      <c r="J64" s="295"/>
      <c r="K64" s="295"/>
      <c r="L64" s="295"/>
    </row>
    <row r="65" spans="1:21" ht="13.15">
      <c r="A65" s="131">
        <v>10</v>
      </c>
      <c r="B65" s="118">
        <v>11662836014.363306</v>
      </c>
      <c r="C65" s="118">
        <v>12523644889.331554</v>
      </c>
      <c r="D65" s="118">
        <v>13453618592.962358</v>
      </c>
      <c r="E65" s="118">
        <v>14458082481.503105</v>
      </c>
      <c r="F65" s="118">
        <v>15542729560.157864</v>
      </c>
      <c r="G65" s="295"/>
      <c r="H65" s="295"/>
      <c r="I65" s="295"/>
      <c r="J65" s="295"/>
      <c r="K65" s="295"/>
      <c r="L65" s="295"/>
    </row>
    <row r="66" spans="1:21" ht="13.15">
      <c r="A66" s="131">
        <v>15</v>
      </c>
      <c r="B66" s="118">
        <v>11251017827.85416</v>
      </c>
      <c r="C66" s="277">
        <v>12291501820.868578</v>
      </c>
      <c r="D66" s="118">
        <v>13453618592.962358</v>
      </c>
      <c r="E66" s="118">
        <v>14752264174.093632</v>
      </c>
      <c r="F66" s="118">
        <v>16204094436.020939</v>
      </c>
      <c r="G66" s="295"/>
      <c r="H66" s="295"/>
      <c r="I66" s="295"/>
      <c r="J66" s="295"/>
      <c r="K66" s="295"/>
      <c r="L66" s="295"/>
      <c r="M66" s="275"/>
      <c r="N66" s="275"/>
      <c r="O66" s="275"/>
      <c r="P66" s="275"/>
      <c r="Q66" s="275"/>
      <c r="R66" s="275"/>
      <c r="S66" s="275"/>
      <c r="T66" s="275"/>
      <c r="U66" s="275"/>
    </row>
    <row r="67" spans="1:21" ht="13.15">
      <c r="A67" s="132">
        <v>20</v>
      </c>
      <c r="B67" s="118">
        <v>11000582048.951649</v>
      </c>
      <c r="C67" s="277">
        <v>12142979349.035404</v>
      </c>
      <c r="D67" s="118">
        <v>13453618592.96236</v>
      </c>
      <c r="E67" s="118">
        <v>14960273586.005938</v>
      </c>
      <c r="F67" s="118">
        <v>16695344319.212357</v>
      </c>
      <c r="G67" s="295"/>
      <c r="H67" s="295"/>
      <c r="I67" s="295"/>
      <c r="J67" s="295"/>
      <c r="K67" s="295"/>
      <c r="L67" s="295"/>
      <c r="M67" s="275"/>
      <c r="N67" s="275"/>
      <c r="O67" s="275"/>
      <c r="P67" s="275"/>
      <c r="Q67" s="275"/>
      <c r="R67" s="275"/>
      <c r="S67" s="275"/>
      <c r="T67" s="275"/>
      <c r="U67" s="275"/>
    </row>
    <row r="68" spans="1:21" ht="13.15">
      <c r="A68" s="132">
        <v>25</v>
      </c>
      <c r="B68" s="118">
        <v>10848286493.75495</v>
      </c>
      <c r="C68" s="277">
        <v>12047956375.549751</v>
      </c>
      <c r="D68" s="118">
        <v>13453618592.962358</v>
      </c>
      <c r="E68" s="118">
        <v>15107352471.381472</v>
      </c>
      <c r="F68" s="118">
        <v>17060235858.728498</v>
      </c>
      <c r="G68" s="295"/>
      <c r="H68" s="295"/>
      <c r="I68" s="295"/>
      <c r="J68" s="295"/>
      <c r="K68" s="295"/>
      <c r="L68" s="295"/>
      <c r="M68" s="275"/>
      <c r="N68" s="275"/>
      <c r="O68" s="275"/>
      <c r="P68" s="275"/>
      <c r="Q68" s="275"/>
      <c r="R68" s="275"/>
      <c r="S68" s="275"/>
      <c r="T68" s="275"/>
      <c r="U68" s="275"/>
    </row>
    <row r="69" spans="1:21" ht="13.15">
      <c r="A69" s="132">
        <v>30</v>
      </c>
      <c r="B69" s="118">
        <v>10755672186.668663</v>
      </c>
      <c r="C69" s="277">
        <v>11987161767.308937</v>
      </c>
      <c r="D69" s="118">
        <v>13453618592.962362</v>
      </c>
      <c r="E69" s="118">
        <v>15211348720.034056</v>
      </c>
      <c r="F69" s="118">
        <v>17331270703.04332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18.905782664321219</v>
      </c>
      <c r="C73" s="119">
        <f>C11</f>
        <v>18.905782664321219</v>
      </c>
      <c r="D73" s="119">
        <f>C11</f>
        <v>18.905782664321219</v>
      </c>
      <c r="E73" s="119">
        <f>C11</f>
        <v>18.905782664321219</v>
      </c>
      <c r="F73" s="119">
        <f>C11</f>
        <v>18.905782664321219</v>
      </c>
      <c r="G73" s="296"/>
      <c r="H73" s="296"/>
      <c r="I73" s="296"/>
      <c r="J73" s="296"/>
      <c r="K73" s="296"/>
      <c r="L73" s="296"/>
    </row>
    <row r="74" spans="1:21" ht="13.15">
      <c r="A74" s="131">
        <v>1</v>
      </c>
      <c r="B74" s="119">
        <f t="shared" ref="B74:F87" si="11">(B56+FV_adjustments)/Common_Shares*scaling_factor*Exchange_Rate</f>
        <v>18.657067708391946</v>
      </c>
      <c r="C74" s="119">
        <f t="shared" si="11"/>
        <v>18.781425186356586</v>
      </c>
      <c r="D74" s="119">
        <f t="shared" si="11"/>
        <v>18.905782664321215</v>
      </c>
      <c r="E74" s="119">
        <f t="shared" si="11"/>
        <v>19.030140142285859</v>
      </c>
      <c r="F74" s="119">
        <f t="shared" si="11"/>
        <v>19.154497620250492</v>
      </c>
      <c r="G74" s="296"/>
      <c r="H74" s="296"/>
      <c r="I74" s="296"/>
      <c r="J74" s="296"/>
      <c r="K74" s="296"/>
      <c r="L74" s="296"/>
    </row>
    <row r="75" spans="1:21" ht="13.15">
      <c r="A75" s="131">
        <v>2</v>
      </c>
      <c r="B75" s="119">
        <f t="shared" si="11"/>
        <v>18.431903129352047</v>
      </c>
      <c r="C75" s="119">
        <f t="shared" si="11"/>
        <v>18.667694097963981</v>
      </c>
      <c r="D75" s="119">
        <f t="shared" si="11"/>
        <v>18.905782664321215</v>
      </c>
      <c r="E75" s="119">
        <f t="shared" si="11"/>
        <v>19.146168828423765</v>
      </c>
      <c r="F75" s="119">
        <f t="shared" si="11"/>
        <v>19.388852590271615</v>
      </c>
      <c r="G75" s="296"/>
      <c r="H75" s="296"/>
      <c r="I75" s="296"/>
      <c r="J75" s="296"/>
      <c r="K75" s="296"/>
      <c r="L75" s="296"/>
    </row>
    <row r="76" spans="1:21" ht="13.15">
      <c r="A76" s="131">
        <v>3</v>
      </c>
      <c r="B76" s="119">
        <f t="shared" si="11"/>
        <v>18.228058983893298</v>
      </c>
      <c r="C76" s="119">
        <f t="shared" si="11"/>
        <v>18.56368137047329</v>
      </c>
      <c r="D76" s="119">
        <f t="shared" si="11"/>
        <v>18.905782664321215</v>
      </c>
      <c r="E76" s="119">
        <f t="shared" si="11"/>
        <v>19.25442654020139</v>
      </c>
      <c r="F76" s="119">
        <f t="shared" si="11"/>
        <v>19.609676672878113</v>
      </c>
      <c r="G76" s="296"/>
      <c r="H76" s="296"/>
      <c r="I76" s="296"/>
      <c r="J76" s="296"/>
      <c r="K76" s="296"/>
      <c r="L76" s="296"/>
    </row>
    <row r="77" spans="1:21" ht="13.15">
      <c r="A77" s="131">
        <v>4</v>
      </c>
      <c r="B77" s="119">
        <f t="shared" si="11"/>
        <v>18.043516478073833</v>
      </c>
      <c r="C77" s="119">
        <f t="shared" si="11"/>
        <v>18.468556566578798</v>
      </c>
      <c r="D77" s="119">
        <f t="shared" si="11"/>
        <v>18.905782664321215</v>
      </c>
      <c r="E77" s="119">
        <f t="shared" si="11"/>
        <v>19.355433735485835</v>
      </c>
      <c r="F77" s="119">
        <f t="shared" si="11"/>
        <v>19.817751097135513</v>
      </c>
      <c r="G77" s="296"/>
      <c r="H77" s="296"/>
      <c r="I77" s="296"/>
      <c r="J77" s="296"/>
      <c r="K77" s="296"/>
      <c r="L77" s="296"/>
    </row>
    <row r="78" spans="1:21" ht="13.15">
      <c r="A78" s="131">
        <v>5</v>
      </c>
      <c r="B78" s="119">
        <f t="shared" si="11"/>
        <v>17.876447973960126</v>
      </c>
      <c r="C78" s="119">
        <f t="shared" si="11"/>
        <v>18.38156021013026</v>
      </c>
      <c r="D78" s="119">
        <f t="shared" si="11"/>
        <v>18.905782664321219</v>
      </c>
      <c r="E78" s="119">
        <f t="shared" si="11"/>
        <v>19.449676014688873</v>
      </c>
      <c r="F78" s="119">
        <f t="shared" si="11"/>
        <v>20.013811986505072</v>
      </c>
      <c r="G78" s="296"/>
      <c r="H78" s="296"/>
      <c r="I78" s="296"/>
      <c r="J78" s="296"/>
      <c r="K78" s="296"/>
      <c r="L78" s="296"/>
    </row>
    <row r="79" spans="1:21" ht="13.15">
      <c r="A79" s="131">
        <v>6</v>
      </c>
      <c r="B79" s="119">
        <f t="shared" si="11"/>
        <v>17.725198889404538</v>
      </c>
      <c r="C79" s="119">
        <f t="shared" si="11"/>
        <v>18.301997722477552</v>
      </c>
      <c r="D79" s="119">
        <f t="shared" si="11"/>
        <v>18.905782664321219</v>
      </c>
      <c r="E79" s="119">
        <f t="shared" si="11"/>
        <v>19.537606455330959</v>
      </c>
      <c r="F79" s="119">
        <f t="shared" si="11"/>
        <v>20.198552963093473</v>
      </c>
      <c r="G79" s="296"/>
      <c r="H79" s="296"/>
      <c r="I79" s="296"/>
      <c r="J79" s="296"/>
      <c r="K79" s="296"/>
      <c r="L79" s="296"/>
    </row>
    <row r="80" spans="1:21" ht="13.15">
      <c r="A80" s="131">
        <f t="shared" ref="A80" si="12">A62</f>
        <v>7</v>
      </c>
      <c r="B80" s="119">
        <f t="shared" si="11"/>
        <v>17.58827131170063</v>
      </c>
      <c r="C80" s="119">
        <f t="shared" si="11"/>
        <v>18.229233876956833</v>
      </c>
      <c r="D80" s="119">
        <f t="shared" si="11"/>
        <v>18.905782664321219</v>
      </c>
      <c r="E80" s="119">
        <f t="shared" si="11"/>
        <v>19.619647790248759</v>
      </c>
      <c r="F80" s="119">
        <f t="shared" si="11"/>
        <v>20.372627601541673</v>
      </c>
      <c r="G80" s="296"/>
      <c r="H80" s="296"/>
      <c r="I80" s="296"/>
      <c r="J80" s="296"/>
      <c r="K80" s="296"/>
      <c r="L80" s="296"/>
    </row>
    <row r="81" spans="1:12" ht="13.15">
      <c r="A81" s="131">
        <v>8</v>
      </c>
      <c r="B81" s="119">
        <f t="shared" si="11"/>
        <v>17.464309162832425</v>
      </c>
      <c r="C81" s="119">
        <f t="shared" si="11"/>
        <v>18.162687727242734</v>
      </c>
      <c r="D81" s="119">
        <f t="shared" si="11"/>
        <v>18.905782664321219</v>
      </c>
      <c r="E81" s="119">
        <f t="shared" si="11"/>
        <v>19.696194439918017</v>
      </c>
      <c r="F81" s="119">
        <f t="shared" si="11"/>
        <v>20.536651741234206</v>
      </c>
      <c r="G81" s="296"/>
      <c r="H81" s="296"/>
      <c r="I81" s="296"/>
      <c r="J81" s="296"/>
      <c r="K81" s="296"/>
      <c r="L81" s="296"/>
    </row>
    <row r="82" spans="1:12" ht="13.15">
      <c r="A82" s="131">
        <f t="shared" ref="A82" si="13">A64</f>
        <v>9</v>
      </c>
      <c r="B82" s="119">
        <f t="shared" si="11"/>
        <v>17.352084769399784</v>
      </c>
      <c r="C82" s="119">
        <f t="shared" si="11"/>
        <v>18.101827969074641</v>
      </c>
      <c r="D82" s="119">
        <f t="shared" si="11"/>
        <v>18.905782664321219</v>
      </c>
      <c r="E82" s="119">
        <f t="shared" si="11"/>
        <v>19.767614408662546</v>
      </c>
      <c r="F82" s="119">
        <f t="shared" si="11"/>
        <v>20.691205665009143</v>
      </c>
      <c r="G82" s="296"/>
      <c r="H82" s="296"/>
      <c r="I82" s="296"/>
      <c r="J82" s="296"/>
      <c r="K82" s="296"/>
      <c r="L82" s="296"/>
    </row>
    <row r="83" spans="1:12" ht="13.15">
      <c r="A83" s="131">
        <f t="shared" ref="A83:A87" si="14">A65</f>
        <v>10</v>
      </c>
      <c r="B83" s="119">
        <f t="shared" si="11"/>
        <v>17.250486704213646</v>
      </c>
      <c r="C83" s="119">
        <f t="shared" si="11"/>
        <v>18.046168698325072</v>
      </c>
      <c r="D83" s="119">
        <f t="shared" si="11"/>
        <v>18.905782664321219</v>
      </c>
      <c r="E83" s="119">
        <f t="shared" si="11"/>
        <v>19.834251053865291</v>
      </c>
      <c r="F83" s="119">
        <f t="shared" si="11"/>
        <v>20.836836152076533</v>
      </c>
      <c r="G83" s="296"/>
      <c r="H83" s="296"/>
      <c r="I83" s="296"/>
      <c r="J83" s="296"/>
      <c r="K83" s="296"/>
      <c r="L83" s="296"/>
    </row>
    <row r="84" spans="1:12" ht="13.15">
      <c r="A84" s="131">
        <f t="shared" si="14"/>
        <v>15</v>
      </c>
      <c r="B84" s="119">
        <f t="shared" si="11"/>
        <v>16.869825763810319</v>
      </c>
      <c r="C84" s="119">
        <f t="shared" si="11"/>
        <v>17.831589057007385</v>
      </c>
      <c r="D84" s="119">
        <f t="shared" si="11"/>
        <v>18.905782664321219</v>
      </c>
      <c r="E84" s="119">
        <f t="shared" si="11"/>
        <v>20.106175615284503</v>
      </c>
      <c r="F84" s="119">
        <f t="shared" si="11"/>
        <v>21.448163635522139</v>
      </c>
      <c r="G84" s="296"/>
      <c r="H84" s="296"/>
      <c r="I84" s="296"/>
      <c r="J84" s="296"/>
      <c r="K84" s="296"/>
      <c r="L84" s="296"/>
    </row>
    <row r="85" spans="1:12" ht="13.15">
      <c r="A85" s="132">
        <f t="shared" si="14"/>
        <v>20</v>
      </c>
      <c r="B85" s="119">
        <f t="shared" si="11"/>
        <v>16.638337397753048</v>
      </c>
      <c r="C85" s="119">
        <f t="shared" si="11"/>
        <v>17.694303464357176</v>
      </c>
      <c r="D85" s="119">
        <f t="shared" si="11"/>
        <v>18.905782664321222</v>
      </c>
      <c r="E85" s="119">
        <f t="shared" si="11"/>
        <v>20.298447498715571</v>
      </c>
      <c r="F85" s="119">
        <f t="shared" si="11"/>
        <v>21.902246647478961</v>
      </c>
      <c r="G85" s="296"/>
      <c r="H85" s="296"/>
      <c r="I85" s="296"/>
      <c r="J85" s="296"/>
      <c r="K85" s="296"/>
      <c r="L85" s="296"/>
    </row>
    <row r="86" spans="1:12" ht="13.15">
      <c r="A86" s="132">
        <f t="shared" si="14"/>
        <v>25</v>
      </c>
      <c r="B86" s="119">
        <f t="shared" si="11"/>
        <v>16.497564184816916</v>
      </c>
      <c r="C86" s="119">
        <f t="shared" si="11"/>
        <v>17.606469717252452</v>
      </c>
      <c r="D86" s="119">
        <f t="shared" si="11"/>
        <v>18.905782664321219</v>
      </c>
      <c r="E86" s="119">
        <f t="shared" si="11"/>
        <v>20.434398723441976</v>
      </c>
      <c r="F86" s="119">
        <f t="shared" si="11"/>
        <v>22.239531306407812</v>
      </c>
      <c r="G86" s="296"/>
      <c r="H86" s="296"/>
      <c r="I86" s="296"/>
      <c r="J86" s="296"/>
      <c r="K86" s="296"/>
      <c r="L86" s="296"/>
    </row>
    <row r="87" spans="1:12" ht="13.15">
      <c r="A87" s="132">
        <f t="shared" si="14"/>
        <v>30</v>
      </c>
      <c r="B87" s="119">
        <f t="shared" si="11"/>
        <v>16.411956869780365</v>
      </c>
      <c r="C87" s="119">
        <f t="shared" si="11"/>
        <v>17.550274693568412</v>
      </c>
      <c r="D87" s="119">
        <f t="shared" si="11"/>
        <v>18.905782664321222</v>
      </c>
      <c r="E87" s="119">
        <f t="shared" si="11"/>
        <v>20.530526847714683</v>
      </c>
      <c r="F87" s="119">
        <f t="shared" si="11"/>
        <v>22.490060258500748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19.609676672878113</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19.25442654020139</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18.905782664321215</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18.56368137047329</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18.228058983893298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1208058503.5002832</v>
      </c>
      <c r="D8" s="469"/>
      <c r="E8" s="469"/>
      <c r="F8" s="469"/>
      <c r="G8" s="469"/>
    </row>
    <row r="9" spans="2:7">
      <c r="B9" s="97" t="s">
        <v>54</v>
      </c>
      <c r="C9" s="447">
        <f>Normalized_FCF!C19</f>
        <v>1109923533.9193945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-7.7233134633782896E-2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19.25442654020139</v>
      </c>
      <c r="F22" s="328">
        <f>1-F23-F24</f>
        <v>0.19999999999999996</v>
      </c>
      <c r="G22" s="328">
        <f>F22*(1-F$29-F$30)</f>
        <v>0.15999999999999995</v>
      </c>
    </row>
    <row r="23" spans="2:7">
      <c r="B23" s="302" t="s">
        <v>437</v>
      </c>
      <c r="C23" s="324">
        <v>0</v>
      </c>
      <c r="D23" s="325">
        <f>C18</f>
        <v>3</v>
      </c>
      <c r="E23" s="326">
        <f>DCF!E92</f>
        <v>18.905782664321215</v>
      </c>
      <c r="F23" s="327">
        <v>0.55000000000000004</v>
      </c>
      <c r="G23" s="328">
        <f t="shared" ref="G23:G24" si="0">F23*(1-F$29-F$30)</f>
        <v>0.44</v>
      </c>
    </row>
    <row r="24" spans="2:7">
      <c r="B24" s="302" t="s">
        <v>446</v>
      </c>
      <c r="C24" s="324">
        <v>-0.01</v>
      </c>
      <c r="D24" s="325">
        <f>C18</f>
        <v>3</v>
      </c>
      <c r="E24" s="326">
        <f>DCF!E93</f>
        <v>18.56368137047329</v>
      </c>
      <c r="F24" s="327">
        <v>0.25</v>
      </c>
      <c r="G24" s="328">
        <f t="shared" si="0"/>
        <v>0.19999999999999998</v>
      </c>
    </row>
    <row r="25" spans="2:7">
      <c r="B25" s="141" t="s">
        <v>451</v>
      </c>
      <c r="C25" s="441">
        <f>E23*F23+E24*F24+E22*F22</f>
        <v>18.889986116035267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19.609676672878113</v>
      </c>
      <c r="F29" s="327">
        <v>0.15</v>
      </c>
      <c r="G29" s="328">
        <f>F29</f>
        <v>0.15</v>
      </c>
    </row>
    <row r="30" spans="2:7">
      <c r="B30" s="315" t="s">
        <v>447</v>
      </c>
      <c r="C30" s="324">
        <v>-0.02</v>
      </c>
      <c r="D30" s="325">
        <f>C18</f>
        <v>3</v>
      </c>
      <c r="E30" s="326">
        <f>DCF!E94</f>
        <v>18.228058983893298</v>
      </c>
      <c r="F30" s="327">
        <v>0.05</v>
      </c>
      <c r="G30" s="328">
        <f>F30</f>
        <v>0.05</v>
      </c>
    </row>
    <row r="31" spans="2:7">
      <c r="E31" s="329"/>
      <c r="F31" s="329"/>
    </row>
    <row r="32" spans="2:7" ht="13.15">
      <c r="B32" s="145" t="s">
        <v>456</v>
      </c>
    </row>
    <row r="33" spans="2:7">
      <c r="B33" s="97" t="s">
        <v>458</v>
      </c>
      <c r="C33" s="155">
        <f>Normalized_FCF!C88*(1-dividend_tax_rate)</f>
        <v>0.61586532360000001</v>
      </c>
      <c r="D33" t="str">
        <f>Market_currency</f>
        <v>HKD</v>
      </c>
      <c r="E33" s="97" t="s">
        <v>455</v>
      </c>
      <c r="F33" s="219">
        <f>Holding_Period</f>
        <v>3</v>
      </c>
    </row>
    <row r="34" spans="2:7">
      <c r="B34" s="97" t="s">
        <v>233</v>
      </c>
      <c r="C34" s="146">
        <f>Market_Price</f>
        <v>10.26</v>
      </c>
      <c r="D34" t="str">
        <f>Market_currency</f>
        <v>HKD</v>
      </c>
      <c r="E34" s="97" t="s">
        <v>454</v>
      </c>
      <c r="F34" s="330">
        <f>RATE(Holding_Period,$C$33,-C34,$C$36)</f>
        <v>0.27711735478360239</v>
      </c>
    </row>
    <row r="35" spans="2:7">
      <c r="B35" s="97" t="s">
        <v>434</v>
      </c>
      <c r="C35" s="320">
        <f>DCF!C11</f>
        <v>18.905782664321219</v>
      </c>
      <c r="D35" s="97" t="str">
        <f>Market_currency</f>
        <v>HKD</v>
      </c>
      <c r="E35" s="97" t="s">
        <v>454</v>
      </c>
      <c r="F35" s="330">
        <f>RATE(Holding_Period,$C$33,-C35,$C$36)</f>
        <v>3.358261577663401E-2</v>
      </c>
    </row>
    <row r="36" spans="2:7">
      <c r="B36" s="97" t="s">
        <v>435</v>
      </c>
      <c r="C36" s="321">
        <f>E22*G22+E23*G23+E24*G24+E30*G30+E29*G29</f>
        <v>18.964843342954595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0.12639847453447306</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18.966358733028546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0.34115941539064365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0.61586532360000001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1.126942133061029</v>
      </c>
      <c r="D62" s="119">
        <f>C36/(1+F62)^Holding_Period</f>
        <v>8.7395591442187097</v>
      </c>
      <c r="E62" s="332">
        <f>C62+D62</f>
        <v>9.8665012772797382</v>
      </c>
      <c r="F62" s="301">
        <f>Thesis!E22</f>
        <v>0.29465259038036606</v>
      </c>
      <c r="G62" s="440">
        <f>(1-E62/C36)</f>
        <v>0.47974781025833646</v>
      </c>
    </row>
    <row r="63" spans="2:7" ht="13.15">
      <c r="B63" s="302" t="s">
        <v>313</v>
      </c>
      <c r="C63" s="119">
        <f>PV(F63, Holding_Period, -C58, 0)</f>
        <v>1.2957830718405481</v>
      </c>
      <c r="D63" s="119">
        <f>C36/(1+F63)^Holding_Period</f>
        <v>10.954422147555006</v>
      </c>
      <c r="E63" s="332">
        <f>C63+D63</f>
        <v>12.250205219395554</v>
      </c>
      <c r="F63" s="301">
        <f>Thesis!E23</f>
        <v>0.20075184365903009</v>
      </c>
      <c r="G63" s="440">
        <f>(1-E63/C36)</f>
        <v>0.35405713625646784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1.4858386048745778</v>
      </c>
      <c r="D66" s="119">
        <f>C36/(1+F66)^Holding_Period</f>
        <v>13.593248567960298</v>
      </c>
      <c r="E66" s="332">
        <f>C66+D66</f>
        <v>15.079087172834877</v>
      </c>
      <c r="F66" s="301">
        <f>Thesis!E24</f>
        <v>0.1174</v>
      </c>
      <c r="G66" s="440">
        <f>(1-E66/C36)</f>
        <v>0.20489260574690005</v>
      </c>
    </row>
    <row r="67" spans="2:7" ht="13.15">
      <c r="B67" s="302" t="s">
        <v>314</v>
      </c>
      <c r="C67" s="119">
        <f>PV(F67, Holding_Period, -C58, 0)</f>
        <v>1.6088713146475331</v>
      </c>
      <c r="D67" s="119">
        <f>C36/(1+F67)^Holding_Period</f>
        <v>15.372955040069099</v>
      </c>
      <c r="E67" s="332">
        <f>C67+D67</f>
        <v>16.981826354716631</v>
      </c>
      <c r="F67" s="301">
        <f>Thesis!E25</f>
        <v>7.2499999999999995E-2</v>
      </c>
      <c r="G67" s="440">
        <f>(1-E67/C36)</f>
        <v>0.10456279297317006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10.26</v>
      </c>
    </row>
    <row r="9" spans="1:10">
      <c r="B9" s="351" t="s">
        <v>361</v>
      </c>
      <c r="C9" s="353">
        <f>Common_Shares</f>
        <v>1233841000</v>
      </c>
    </row>
    <row r="10" spans="1:10">
      <c r="B10" s="351" t="s">
        <v>367</v>
      </c>
      <c r="C10" s="357">
        <f>投资主题!C8*Common_Shares/1000000</f>
        <v>12659.20866</v>
      </c>
      <c r="D10" s="343" t="s">
        <v>529</v>
      </c>
      <c r="E10" s="360">
        <f>Scenarios!F34</f>
        <v>0.27711735478360239</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1.1404913400000001</v>
      </c>
    </row>
    <row r="17" spans="1:6">
      <c r="B17" s="343" t="s">
        <v>535</v>
      </c>
      <c r="C17" s="424">
        <f>Terminal_Growth</f>
        <v>0</v>
      </c>
      <c r="D17" s="351" t="s">
        <v>339</v>
      </c>
      <c r="E17" s="344" t="str">
        <f>Reporting_currency</f>
        <v>CNY</v>
      </c>
    </row>
    <row r="18" spans="1:6">
      <c r="B18" s="343" t="str">
        <f>"预期股权价值 ("&amp;C7&amp;") :"</f>
        <v>预期股权价值 (HKD) :</v>
      </c>
      <c r="C18" s="359">
        <f>C125</f>
        <v>18.964843342954595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9.8665012772797382</v>
      </c>
      <c r="D22" s="365" t="s">
        <v>440</v>
      </c>
      <c r="E22" s="366">
        <f>Thesis!E22</f>
        <v>0.29465259038036606</v>
      </c>
    </row>
    <row r="23" spans="1:6">
      <c r="B23" s="343" t="s">
        <v>341</v>
      </c>
      <c r="C23" s="367">
        <f>E141</f>
        <v>12.250205219395554</v>
      </c>
      <c r="D23" s="365" t="s">
        <v>441</v>
      </c>
      <c r="E23" s="368">
        <f>Thesis!E23</f>
        <v>0.20075184365903009</v>
      </c>
    </row>
    <row r="24" spans="1:6">
      <c r="B24" s="343" t="s">
        <v>343</v>
      </c>
      <c r="C24" s="367">
        <f>E144</f>
        <v>15.079087172834877</v>
      </c>
      <c r="D24" s="365" t="s">
        <v>443</v>
      </c>
      <c r="E24" s="368">
        <f>Thesis!E24</f>
        <v>0.1174</v>
      </c>
    </row>
    <row r="25" spans="1:6">
      <c r="B25" s="343" t="s">
        <v>342</v>
      </c>
      <c r="C25" s="367">
        <f>E145</f>
        <v>16.981826354716631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11611974.579786591</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-2544948.2497134078</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-389576337.30646479</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1208058503.5002832</v>
      </c>
      <c r="D60" s="343" t="str">
        <f>Reporting_currency</f>
        <v>CNY</v>
      </c>
    </row>
    <row r="61" spans="2:6">
      <c r="B61" s="372" t="s">
        <v>213</v>
      </c>
      <c r="C61" s="373">
        <f>Normalized_FCF!C19</f>
        <v>1109923533.9193945</v>
      </c>
      <c r="D61" s="343" t="str">
        <f>Reporting_currency</f>
        <v>CNY</v>
      </c>
    </row>
    <row r="62" spans="2:6">
      <c r="B62" s="377" t="s">
        <v>302</v>
      </c>
      <c r="C62" s="378">
        <f>Normalized_FCF!C124</f>
        <v>9.9995048070979961E-2</v>
      </c>
      <c r="F62" s="379"/>
    </row>
    <row r="63" spans="2:6">
      <c r="B63" s="377" t="s">
        <v>332</v>
      </c>
      <c r="C63" s="378">
        <f>Normalized_FCF!C92</f>
        <v>6.002586E-2</v>
      </c>
      <c r="E63" s="372" t="s">
        <v>373</v>
      </c>
      <c r="F63" s="380">
        <f>Normalized_FCF!C90</f>
        <v>0.76069293015232164</v>
      </c>
    </row>
    <row r="65" spans="1:6">
      <c r="B65" s="369" t="s">
        <v>376</v>
      </c>
      <c r="C65" s="381" t="s">
        <v>327</v>
      </c>
      <c r="D65" s="381" t="s">
        <v>374</v>
      </c>
    </row>
    <row r="66" spans="1:6">
      <c r="B66" s="372" t="s">
        <v>326</v>
      </c>
      <c r="C66" s="378">
        <f>Normalized_FCF!E119</f>
        <v>0.10095831578659563</v>
      </c>
      <c r="D66" s="378">
        <f>Normalized_FCF!G119</f>
        <v>8.8896425501607743E-2</v>
      </c>
    </row>
    <row r="67" spans="1:6">
      <c r="B67" s="382" t="str">
        <f>Normalized_FCF!B116</f>
        <v>Pre-tax Profit/Sales</v>
      </c>
      <c r="C67" s="383">
        <f>Normalized_FCF!E116</f>
        <v>0.12639847453447306</v>
      </c>
      <c r="D67" s="383">
        <f>Normalized_FCF!G116</f>
        <v>0.11129714761409</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-0.26171683204064455</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6699189651.5489016</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6.1923438940747957</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0.53940780582337877</v>
      </c>
      <c r="D90" s="343" t="str">
        <f>Market_currency</f>
        <v>HKD</v>
      </c>
    </row>
    <row r="92" spans="1:6">
      <c r="B92" s="372" t="s">
        <v>480</v>
      </c>
      <c r="C92" s="387">
        <f>DCF!F8</f>
        <v>6.4700348678575299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1.7796365770530167</v>
      </c>
      <c r="D111" s="343" t="str">
        <f>Market_currency</f>
        <v>HKD</v>
      </c>
    </row>
    <row r="112" spans="1:6">
      <c r="A112" s="385"/>
      <c r="B112" s="372" t="s">
        <v>377</v>
      </c>
      <c r="C112" s="394">
        <f>DCF!C11</f>
        <v>18.905782664321219</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19.61 HKD</v>
      </c>
      <c r="F118" s="399">
        <f>DCF!F90</f>
        <v>0.15</v>
      </c>
    </row>
    <row r="119" spans="1:6">
      <c r="A119" s="385"/>
      <c r="B119" s="400" t="str">
        <f>DCF!B91</f>
        <v>Optimistic</v>
      </c>
      <c r="C119" s="401">
        <f>DCF!C91</f>
        <v>0.01</v>
      </c>
      <c r="D119" s="402">
        <f>DCF!D91</f>
        <v>3</v>
      </c>
      <c r="E119" s="398" t="str">
        <f>ROUND(DCF!E91,2)&amp;" "&amp;Market_currency</f>
        <v>19.25 HKD</v>
      </c>
      <c r="F119" s="403">
        <f>DCF!F91</f>
        <v>0.15999999999999995</v>
      </c>
    </row>
    <row r="120" spans="1:6">
      <c r="B120" s="400" t="str">
        <f>DCF!B92</f>
        <v>Base</v>
      </c>
      <c r="C120" s="401">
        <f>DCF!C92</f>
        <v>0</v>
      </c>
      <c r="D120" s="402">
        <f>DCF!D92</f>
        <v>3</v>
      </c>
      <c r="E120" s="398" t="str">
        <f>ROUND(DCF!E92,2)&amp;" "&amp;Market_currency</f>
        <v>18.91 HKD</v>
      </c>
      <c r="F120" s="403">
        <f>DCF!F92</f>
        <v>0.44</v>
      </c>
    </row>
    <row r="121" spans="1:6">
      <c r="B121" s="400" t="str">
        <f>DCF!B93</f>
        <v>Pessimistic</v>
      </c>
      <c r="C121" s="401">
        <f>DCF!C93</f>
        <v>-0.01</v>
      </c>
      <c r="D121" s="402">
        <f>DCF!D93</f>
        <v>3</v>
      </c>
      <c r="E121" s="398" t="str">
        <f>ROUND(DCF!E93,2)&amp;" "&amp;Market_currency</f>
        <v>18.56 HKD</v>
      </c>
      <c r="F121" s="403">
        <f>DCF!F93</f>
        <v>0.19999999999999998</v>
      </c>
    </row>
    <row r="122" spans="1:6">
      <c r="B122" s="400" t="str">
        <f>DCF!B94</f>
        <v>Devil's advocate</v>
      </c>
      <c r="C122" s="401">
        <f>DCF!C94</f>
        <v>-0.02</v>
      </c>
      <c r="D122" s="402">
        <f>DCF!D94</f>
        <v>3</v>
      </c>
      <c r="E122" s="398" t="str">
        <f>ROUND(DCF!E94,2)&amp;" "&amp;Market_currency</f>
        <v>18.23 HKD</v>
      </c>
      <c r="F122" s="403">
        <f>DCF!F94</f>
        <v>0.05</v>
      </c>
    </row>
    <row r="124" spans="1:6">
      <c r="B124" s="470" t="s">
        <v>519</v>
      </c>
      <c r="C124" s="470"/>
      <c r="D124" s="470"/>
      <c r="E124" s="470"/>
      <c r="F124" s="470"/>
    </row>
    <row r="125" spans="1:6">
      <c r="B125" s="372" t="s">
        <v>218</v>
      </c>
      <c r="C125" s="404">
        <f>Scenarios!C36</f>
        <v>18.964843342954595</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0.61586532360000001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1.126942133061029</v>
      </c>
      <c r="D140" s="409">
        <f>Scenarios!D62</f>
        <v>8.7395591442187097</v>
      </c>
      <c r="E140" s="410">
        <f>Scenarios!E62</f>
        <v>9.8665012772797382</v>
      </c>
      <c r="F140" s="411">
        <f>E22</f>
        <v>0.29465259038036606</v>
      </c>
    </row>
    <row r="141" spans="1:6">
      <c r="B141" s="408" t="s">
        <v>313</v>
      </c>
      <c r="C141" s="409">
        <f>Scenarios!C63</f>
        <v>1.2957830718405481</v>
      </c>
      <c r="D141" s="409">
        <f>Scenarios!D63</f>
        <v>10.954422147555006</v>
      </c>
      <c r="E141" s="410">
        <f>Scenarios!E63</f>
        <v>12.250205219395554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1.4858386048745778</v>
      </c>
      <c r="D144" s="409">
        <f>Scenarios!D66</f>
        <v>13.593248567960298</v>
      </c>
      <c r="E144" s="410">
        <f>Scenarios!E66</f>
        <v>15.079087172834877</v>
      </c>
      <c r="F144" s="411">
        <f>E24</f>
        <v>0.1174</v>
      </c>
    </row>
    <row r="145" spans="1:6">
      <c r="B145" s="408" t="s">
        <v>314</v>
      </c>
      <c r="C145" s="409">
        <f>Scenarios!C67</f>
        <v>1.6088713146475331</v>
      </c>
      <c r="D145" s="409">
        <f>Scenarios!D67</f>
        <v>15.372955040069099</v>
      </c>
      <c r="E145" s="410">
        <f>Scenarios!E67</f>
        <v>16.981826354716631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