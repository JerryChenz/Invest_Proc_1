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C6FEFB-B7C2-4447-B497-7DC96FEC5689}"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C27" i="3"/>
  <c r="G19" i="3"/>
  <c r="C15" i="3"/>
  <c r="C19" i="3"/>
  <c r="C21" i="3"/>
  <c r="C23" i="3"/>
  <c r="G4" i="3"/>
  <c r="C4" i="3"/>
  <c r="C9" i="3"/>
  <c r="C11" i="3"/>
  <c r="C5" i="4"/>
  <c r="D5" i="4"/>
  <c r="C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7" i="9"/>
  <c r="C66"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D84" i="8"/>
  <c r="E86" i="8"/>
  <c r="F84" i="8"/>
  <c r="C79" i="8"/>
  <c r="D77" i="8"/>
  <c r="E79" i="8"/>
  <c r="B74" i="8"/>
  <c r="C27" i="8"/>
  <c r="C80" i="6"/>
  <c r="C80" i="12"/>
  <c r="D68" i="6"/>
  <c r="D68" i="12"/>
  <c r="O77" i="2"/>
  <c r="O116" i="2" s="1"/>
  <c r="O14" i="2"/>
  <c r="P77" i="2"/>
  <c r="P116" i="2" s="1"/>
  <c r="P14" i="2"/>
  <c r="O96" i="2"/>
  <c r="G52" i="2"/>
  <c r="F8" i="8" l="1"/>
  <c r="E75" i="8"/>
  <c r="D75" i="8"/>
  <c r="C77" i="8"/>
  <c r="F82" i="8"/>
  <c r="E84" i="8"/>
  <c r="F79" i="8"/>
  <c r="D82" i="8"/>
  <c r="C84" i="8"/>
  <c r="F83" i="8"/>
  <c r="C86" i="8"/>
  <c r="B82" i="8"/>
  <c r="B87" i="8"/>
  <c r="F75" i="8"/>
  <c r="F85" i="8"/>
  <c r="B79" i="8"/>
  <c r="E85" i="8"/>
  <c r="F78" i="8"/>
  <c r="E80" i="8"/>
  <c r="E87" i="8"/>
  <c r="D78" i="8"/>
  <c r="C80" i="8"/>
  <c r="B80" i="8"/>
  <c r="F80" i="8"/>
  <c r="D80" i="8"/>
  <c r="D87" i="8"/>
  <c r="D85" i="8"/>
  <c r="E77" i="8"/>
  <c r="E78" i="8"/>
  <c r="D76" i="8"/>
  <c r="F77" i="8"/>
  <c r="C85" i="8"/>
  <c r="B86" i="8"/>
  <c r="E76" i="8"/>
  <c r="B84" i="8"/>
  <c r="D74" i="8"/>
  <c r="B81" i="8"/>
  <c r="D81" i="8"/>
  <c r="C83" i="8"/>
  <c r="B78" i="8"/>
  <c r="B85" i="8"/>
  <c r="E74" i="8"/>
  <c r="B76" i="8"/>
  <c r="B83" i="8"/>
  <c r="C74" i="8"/>
  <c r="C75" i="8"/>
  <c r="E82" i="8"/>
  <c r="C82" i="8"/>
  <c r="F81" i="8"/>
  <c r="C87" i="8"/>
  <c r="F76" i="8"/>
  <c r="E81" i="8"/>
  <c r="C78" i="8"/>
  <c r="D83" i="8"/>
  <c r="F74" i="8"/>
  <c r="C76" i="8"/>
  <c r="E83" i="8"/>
  <c r="D79" i="8"/>
  <c r="C81" i="8"/>
  <c r="F86" i="8"/>
  <c r="B77" i="8"/>
  <c r="F87" i="8"/>
  <c r="D86" i="8"/>
  <c r="C92" i="6"/>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<sst xmlns="http://schemas.openxmlformats.org/spreadsheetml/2006/main" count="766" uniqueCount="557">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</sst>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553</v>
      </c>
      <c r="E4" s="435" t="s">
        <v>540</v>
      </c>
      <c r="F4" s="436" t="s">
        <v>324</v>
      </c>
    </row>
    <row r="5" spans="1:9">
      <c r="B5" s="1" t="s">
        <v>349</v>
      </c>
      <c r="C5" s="46" t="s">
        <v>554</v>
      </c>
      <c r="E5" s="438" t="s">
        <v>542</v>
      </c>
      <c r="F5" s="437" t="s">
        <v>550</v>
      </c>
    </row>
    <row r="6" spans="1:9">
      <c r="B6" s="2" t="s">
        <v>53</v>
      </c>
      <c r="C6" s="45" t="s">
        <v>555</v>
      </c>
      <c r="D6" s="45"/>
      <c r="E6" s="45"/>
    </row>
    <row r="7" spans="1:9">
      <c r="B7" s="1" t="s">
        <v>351</v>
      </c>
      <c r="C7" s="45" t="s">
        <v>308</v>
      </c>
      <c r="D7" s="45"/>
      <c r="E7" s="45"/>
    </row>
    <row r="8" spans="1:9">
      <c r="B8" s="4" t="s">
        <v>350</v>
      </c>
      <c r="C8" s="47">
        <v>10.43</v>
      </c>
      <c r="E8" s="32"/>
    </row>
    <row r="9" spans="1:9">
      <c r="B9" s="4" t="s">
        <v>346</v>
      </c>
      <c r="C9" s="48">
        <f>791903900+441937100</f>
        <v>1233841000</v>
      </c>
    </row>
    <row r="10" spans="1:9">
      <c r="B10" s="4" t="s">
        <v>352</v>
      </c>
      <c r="C10" s="33">
        <f>Thesis!C8*Common_Shares/1000000</f>
        <v>12868.96163</v>
      </c>
      <c r="D10" s="1" t="s">
        <v>531</v>
      </c>
      <c r="E10" s="307">
        <f>Scenarios!F34</f>
        <v>0.22759647505526587</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1.10486085128784</v>
      </c>
    </row>
    <row r="17" spans="1:6">
      <c r="B17" s="1" t="s">
        <v>535</v>
      </c>
      <c r="C17" s="420">
        <v>0</v>
      </c>
      <c r="D17" s="4" t="s">
        <v>274</v>
      </c>
      <c r="E17" s="224" t="s">
        <v>556</v>
      </c>
    </row>
    <row r="18" spans="1:6">
      <c r="B18" s="1" t="str">
        <f>"Expected Equity Value ("&amp;C7&amp;") :"</f>
        <v>Expected Equity Value (HKD) :</v>
      </c>
      <c r="C18" s="255">
        <f>C125</f>
        <v>17.067136411217234</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8.9567747606976056</v>
      </c>
      <c r="D22" s="38" t="s">
        <v>408</v>
      </c>
      <c r="E22" s="79">
        <v>0.29465259038036601</v>
      </c>
    </row>
    <row r="23" spans="1:6">
      <c r="B23" s="1" t="s">
        <v>313</v>
      </c>
      <c r="C23" s="259">
        <f>E141</f>
        <v>11.11357479916931</v>
      </c>
      <c r="D23" s="38" t="s">
        <v>409</v>
      </c>
      <c r="E23" s="448">
        <v>0.20075184365903001</v>
      </c>
    </row>
    <row r="24" spans="1:6">
      <c r="B24" s="1" t="s">
        <v>315</v>
      </c>
      <c r="C24" s="259">
        <f>E144</f>
        <v>13.672466403255225</v>
      </c>
      <c r="D24" s="38" t="s">
        <v>410</v>
      </c>
      <c r="E24" s="448">
        <v>0.1174</v>
      </c>
    </row>
    <row r="25" spans="1:6">
      <c r="B25" s="1" t="s">
        <v>314</v>
      </c>
      <c r="C25" s="259">
        <f>E145</f>
        <v>15.393276498541292</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1560850297.4755726</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11585597.165092731</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-2571325.6644072682</v>
      </c>
      <c r="D46" s="1" t="str">
        <f>Reporting_currency</f>
        <v>CNY</v>
      </c>
    </row>
    <row r="48" spans="2:6">
      <c r="B48" s="1" t="s">
        <v>211</v>
      </c>
    </row>
    <row r="49" spans="2:6">
      <c r="B49" s="44" t="s">
        <v>223</v>
      </c>
      <c r="C49" s="289">
        <f>Normalized_FCF!C13</f>
        <v>-58805478.000000007</v>
      </c>
      <c r="D49" s="1" t="str">
        <f>Reporting_currency</f>
        <v>CNY</v>
      </c>
    </row>
    <row r="51" spans="2:6">
      <c r="B51" s="457" t="s">
        <v>206</v>
      </c>
      <c r="C51" s="457"/>
      <c r="D51" s="457"/>
      <c r="E51" s="457"/>
      <c r="F51" s="457"/>
    </row>
    <row r="52" spans="2:6">
      <c r="B52" s="44" t="s">
        <v>204</v>
      </c>
      <c r="C52" s="289">
        <f>Normalized_FCF!C12</f>
        <v>-389569742.95279133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1207933528.2671547</v>
      </c>
      <c r="D60" s="1" t="str">
        <f>Reporting_currency</f>
        <v>CNY</v>
      </c>
    </row>
    <row r="61" spans="2:6">
      <c r="B61" s="44" t="s">
        <v>213</v>
      </c>
      <c r="C61" s="289">
        <f>Normalized_FCF!C19</f>
        <v>1109903750.8583741</v>
      </c>
      <c r="D61" s="1" t="str">
        <f>Reporting_currency</f>
        <v>CNY</v>
      </c>
    </row>
    <row r="62" spans="2:6">
      <c r="B62" s="204" t="s">
        <v>302</v>
      </c>
      <c r="C62" s="89">
        <f>Normalized_FCF!C124</f>
        <v>9.5290454527600446E-2</v>
      </c>
      <c r="F62" s="260"/>
    </row>
    <row r="63" spans="2:6">
      <c r="B63" s="204" t="s">
        <v>332</v>
      </c>
      <c r="C63" s="89">
        <f>Normalized_FCF!C92</f>
        <v>5.7202766989015684E-2</v>
      </c>
      <c r="E63" s="44" t="s">
        <v>322</v>
      </c>
      <c r="F63" s="261">
        <f>Normalized_FCF!C90</f>
        <v>0.73694099144699055</v>
      </c>
    </row>
    <row r="65" spans="1:6">
      <c r="B65" s="192" t="s">
        <v>325</v>
      </c>
      <c r="C65" s="267" t="s">
        <v>327</v>
      </c>
      <c r="D65" s="267" t="s">
        <v>328</v>
      </c>
    </row>
    <row r="66" spans="1:6">
      <c r="B66" s="44" t="s">
        <v>326</v>
      </c>
      <c r="C66" s="89">
        <f>Normalized_FCF!C119</f>
        <v>0.10095660686647698</v>
      </c>
      <c r="D66" s="89">
        <f>Normalized_FCF!G119</f>
        <v>8.8888328700131733E-2</v>
      </c>
    </row>
    <row r="67" spans="1:6">
      <c r="B67" s="229" t="str">
        <f>Normalized_FCF!B116</f>
        <v>Pre-tax Profit/Sales</v>
      </c>
      <c r="C67" s="266">
        <f>Normalized_FCF!C116</f>
        <v>0.12639633498911301</v>
      </c>
      <c r="D67" s="266">
        <f>Normalized_FCF!G116</f>
        <v>0.11128701052585509</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-283138456.58999997</v>
      </c>
      <c r="D78" s="1" t="str">
        <f>Reporting_currency</f>
        <v>CNY</v>
      </c>
    </row>
    <row r="79" spans="1:6">
      <c r="A79" s="191"/>
      <c r="B79" s="44" t="s">
        <v>234</v>
      </c>
      <c r="C79" s="201">
        <f>C78*scaling_factor*Exchange_Rate/Common_Shares</f>
        <v>-0.25354044498468808</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6703585887.331212</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6.0028233866097116</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0.52255597796413267</v>
      </c>
      <c r="D90" s="1" t="str">
        <f>Market_currency</f>
        <v>HKD</v>
      </c>
    </row>
    <row r="91" spans="1:6">
      <c r="A91" s="191"/>
    </row>
    <row r="92" spans="1:6">
      <c r="A92" s="191"/>
      <c r="B92" s="44" t="s">
        <v>472</v>
      </c>
      <c r="C92" s="216">
        <f>DCF!F8</f>
        <v>6.2718389195891557</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1.7240383285205596</v>
      </c>
      <c r="D111" s="1" t="str">
        <f>Market_currency</f>
        <v>HKD</v>
      </c>
    </row>
    <row r="112" spans="2:6">
      <c r="B112" s="44" t="s">
        <v>323</v>
      </c>
      <c r="C112" s="216">
        <f>DCF!C11</f>
        <v>17.016481521998589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17.62 HKD</v>
      </c>
      <c r="E118" s="208">
        <f>DCF!F90</f>
        <v>0.15</v>
      </c>
      <c r="F118" s="208">
        <f>RATE(Holding_Period,Scenarios!C$58,-DCF!E90,C$18)</f>
        <v>2.3637648803494685E-2</v>
      </c>
    </row>
    <row r="119" spans="2:6">
      <c r="B119" s="205" t="str">
        <f>DCF!B91&amp;" ("&amp;DCF!D91&amp;"yrs)"</f>
        <v>Optimistic (3yrs)</v>
      </c>
      <c r="C119" s="198">
        <f>DCF!C91</f>
        <v>0.01</v>
      </c>
      <c r="D119" s="207" t="str">
        <f>ROUND(DCF!E91,2)&amp;" "&amp;Market_currency</f>
        <v>17.32 HKD</v>
      </c>
      <c r="E119" s="199">
        <f>DCF!F91</f>
        <v>0.15999999999999995</v>
      </c>
      <c r="F119" s="208">
        <f>RATE(Holding_Period,Scenarios!C$58,-DCF!E91,C$18)</f>
        <v>2.9812455141453607E-2</v>
      </c>
    </row>
    <row r="120" spans="2:6">
      <c r="B120" s="205" t="str">
        <f>DCF!B92&amp;" ("&amp;DCF!D92&amp;"yrs)"</f>
        <v>Base (3yrs)</v>
      </c>
      <c r="C120" s="198">
        <f>DCF!C92</f>
        <v>0</v>
      </c>
      <c r="D120" s="207" t="str">
        <f>ROUND(DCF!E92,2)&amp;" "&amp;Market_currency</f>
        <v>17.02 HKD</v>
      </c>
      <c r="E120" s="199">
        <f>DCF!F92</f>
        <v>0.44</v>
      </c>
      <c r="F120" s="208">
        <f>RATE(Holding_Period,Scenarios!C$58,-DCF!E92,C$18)</f>
        <v>3.601896122133004E-2</v>
      </c>
    </row>
    <row r="121" spans="2:6">
      <c r="B121" s="205" t="str">
        <f>DCF!B93&amp;" ("&amp;DCF!D93&amp;"yrs)"</f>
        <v>Pessimistic (3yrs)</v>
      </c>
      <c r="C121" s="198">
        <f>DCF!C93</f>
        <v>-0.01</v>
      </c>
      <c r="D121" s="207" t="str">
        <f>ROUND(DCF!E93,2)&amp;" "&amp;Market_currency</f>
        <v>16.72 HKD</v>
      </c>
      <c r="E121" s="199">
        <f>DCF!F93</f>
        <v>0.19999999999999998</v>
      </c>
      <c r="F121" s="208">
        <f>RATE(Holding_Period,Scenarios!C$58,-DCF!E93,C$18)</f>
        <v>4.2256107151175795E-2</v>
      </c>
    </row>
    <row r="122" spans="2:6">
      <c r="B122" s="205" t="str">
        <f>DCF!B94&amp;" ("&amp;DCF!D94&amp;"yrs)"</f>
        <v>Devil's advocate (3yrs)</v>
      </c>
      <c r="C122" s="198">
        <f>DCF!C94</f>
        <v>-0.02</v>
      </c>
      <c r="D122" s="207" t="str">
        <f>ROUND(DCF!E94,2)&amp;" "&amp;Market_currency</f>
        <v>16.43 HKD</v>
      </c>
      <c r="E122" s="199">
        <f>DCF!F94</f>
        <v>0.05</v>
      </c>
      <c r="F122" s="208">
        <f>RATE(Holding_Period,Scenarios!C$58,-DCF!E94,C$18)</f>
        <v>4.8522768120495594E-2</v>
      </c>
    </row>
    <row r="124" spans="2:6">
      <c r="B124" s="457" t="s">
        <v>357</v>
      </c>
      <c r="C124" s="457"/>
      <c r="D124" s="457"/>
      <c r="E124" s="457"/>
      <c r="F124" s="457"/>
    </row>
    <row r="125" spans="2:6">
      <c r="B125" s="193" t="s">
        <v>218</v>
      </c>
      <c r="C125" s="197">
        <f>Scenarios!C36</f>
        <v>17.067136411217234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0.59662485969543355</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1.0917349398601683</v>
      </c>
      <c r="D140" s="337">
        <f>Scenarios!D62</f>
        <v>7.8650398208374366</v>
      </c>
      <c r="E140" s="338">
        <f>Scenarios!E62</f>
        <v>8.9567747606976056</v>
      </c>
      <c r="F140" s="339">
        <f>E22</f>
        <v>0.29465259038036601</v>
      </c>
    </row>
    <row r="141" spans="1:6">
      <c r="B141" s="340" t="s">
        <v>313</v>
      </c>
      <c r="C141" s="337">
        <f>Scenarios!C63</f>
        <v>1.2553010598380527</v>
      </c>
      <c r="D141" s="337">
        <f>Scenarios!D63</f>
        <v>9.8582737393312581</v>
      </c>
      <c r="E141" s="338">
        <f>Scenarios!E63</f>
        <v>11.11357479916931</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1.4394190015139108</v>
      </c>
      <c r="D144" s="337">
        <f>Scenarios!D66</f>
        <v>12.233047401741313</v>
      </c>
      <c r="E144" s="338">
        <f>Scenarios!E66</f>
        <v>13.672466403255225</v>
      </c>
      <c r="F144" s="339">
        <f>E24</f>
        <v>0.1174</v>
      </c>
    </row>
    <row r="145" spans="1:6">
      <c r="B145" s="340" t="s">
        <v>314</v>
      </c>
      <c r="C145" s="337">
        <f>Scenarios!C67</f>
        <v>1.5586080033839271</v>
      </c>
      <c r="D145" s="337">
        <f>Scenarios!D67</f>
        <v>13.834668495157365</v>
      </c>
      <c r="E145" s="338">
        <f>Scenarios!E67</f>
        <v>15.393276498541292</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1963522925.3900001</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0.66291651077270397</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-1963522925.3900001</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-1071006550.5600001</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695381120.13999963</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221659135.77000046</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221659135.77000046</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0.66291651077270397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13.419701279609049</v>
      </c>
      <c r="D47" s="134">
        <f>D46*H1/Common_Shares*Exchange_Rate</f>
        <v>1.7240383285205596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6703585887.331212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-984741188.58569193</v>
      </c>
      <c r="D73" s="289">
        <f>(Normalized_FCF!C26+Normalized_FCF!C35-Normalized_FCF!C89)/12</f>
        <v>-965466430.42439425</v>
      </c>
      <c r="F73" s="1" t="s">
        <v>278</v>
      </c>
    </row>
    <row r="74" spans="2:6" ht="15" customHeight="1">
      <c r="B74" s="227" t="s">
        <v>259</v>
      </c>
      <c r="C74" s="228">
        <f>-$C$66/C73</f>
        <v>8.7683127793010218</v>
      </c>
      <c r="D74" s="228">
        <f>-$C$66/D73</f>
        <v>8.9433650679956713</v>
      </c>
      <c r="F74" s="223" t="s">
        <v>257</v>
      </c>
    </row>
    <row r="75" spans="2:6" ht="15" customHeight="1">
      <c r="B75" s="77" t="s">
        <v>258</v>
      </c>
      <c r="C75" s="264"/>
      <c r="D75" s="265">
        <f>MAX(-D73*D76,G5)</f>
        <v>1930932860.8487885</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-312828596.18035251</v>
      </c>
      <c r="D86" s="201">
        <f>C86*scaling_factor/Common_Shares</f>
        <v>-0.25354044498468808</v>
      </c>
      <c r="E86" s="214" t="str">
        <f>Market_currency</f>
        <v>HKD</v>
      </c>
    </row>
    <row r="87" spans="2:8" ht="15" customHeight="1">
      <c r="B87" s="212" t="s">
        <v>240</v>
      </c>
      <c r="C87" s="73">
        <f>DCF!F5*Exchange_Rate</f>
        <v>7406529610.1579132</v>
      </c>
      <c r="D87" s="201">
        <f>C87*scaling_factor/Common_Shares</f>
        <v>6.0028233866097116</v>
      </c>
      <c r="E87" s="214" t="str">
        <f>Market_currency</f>
        <v>HKD</v>
      </c>
    </row>
    <row r="88" spans="2:8" ht="15" customHeight="1">
      <c r="B88" s="213" t="s">
        <v>159</v>
      </c>
      <c r="C88" s="73">
        <f>DCF!F6*Exchange_Rate</f>
        <v>644750990.40724337</v>
      </c>
      <c r="D88" s="201">
        <f>C88*scaling_factor/Common_Shares</f>
        <v>0.52255597796413267</v>
      </c>
      <c r="E88" s="214" t="str">
        <f>Market_currency</f>
        <v>HKD</v>
      </c>
    </row>
    <row r="89" spans="2:8" ht="15" customHeight="1">
      <c r="B89" s="77" t="s">
        <v>244</v>
      </c>
      <c r="C89" s="162">
        <f>SUM(C86:C88)</f>
        <v>7738452004.3848047</v>
      </c>
      <c r="D89" s="216">
        <f>SUM(D86:D88)</f>
        <v>6.2718389195891557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-1071006550.5600001</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695381120.13999975</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-2571325.6644072682</v>
      </c>
      <c r="E10" s="238"/>
      <c r="G10" s="270">
        <f>G48</f>
        <v>42450255.727153838</v>
      </c>
      <c r="H10" s="270">
        <f t="shared" ref="H10:Q10" si="6">H48</f>
        <v>40920550.543259837</v>
      </c>
      <c r="I10" s="270">
        <f t="shared" si="6"/>
        <v>17692802.981277198</v>
      </c>
      <c r="J10" s="270">
        <f t="shared" si="6"/>
        <v>5056544.5242806152</v>
      </c>
      <c r="K10" s="270">
        <f t="shared" si="6"/>
        <v>-4706541.0609545261</v>
      </c>
      <c r="L10" s="270">
        <f t="shared" si="6"/>
        <v>-6426599.635417629</v>
      </c>
      <c r="M10" s="270">
        <f t="shared" si="6"/>
        <v>7533897.1904013557</v>
      </c>
      <c r="N10" s="270">
        <f t="shared" si="6"/>
        <v>0</v>
      </c>
      <c r="O10" s="270">
        <f t="shared" si="6"/>
        <v>0</v>
      </c>
      <c r="P10" s="270">
        <f t="shared" si="6"/>
        <v>0</v>
      </c>
      <c r="Q10" s="270" t="str">
        <f t="shared" si="6"/>
        <v/>
      </c>
    </row>
    <row r="11" spans="1:17" ht="15.75" customHeight="1">
      <c r="A11" s="10"/>
      <c r="B11" s="67" t="s">
        <v>137</v>
      </c>
      <c r="C11" s="271">
        <f>SUM(C8:C10)</f>
        <v>1558278971.8111653</v>
      </c>
      <c r="E11" s="238"/>
      <c r="G11" s="271">
        <f t="shared" ref="G11:Q11" si="7">IF(G$4="","",SUM(G8:G10))</f>
        <v>1372003455.2671547</v>
      </c>
      <c r="H11" s="271">
        <f t="shared" si="7"/>
        <v>1481905218.8632596</v>
      </c>
      <c r="I11" s="271">
        <f t="shared" si="7"/>
        <v>1407220301.9812772</v>
      </c>
      <c r="J11" s="271">
        <f t="shared" si="7"/>
        <v>1240510862.5242805</v>
      </c>
      <c r="K11" s="271">
        <f t="shared" si="7"/>
        <v>1157449149.9390454</v>
      </c>
      <c r="L11" s="271">
        <f t="shared" si="7"/>
        <v>999259214.94458449</v>
      </c>
      <c r="M11" s="271">
        <f t="shared" si="7"/>
        <v>939481203.96040034</v>
      </c>
      <c r="N11" s="271">
        <f t="shared" si="7"/>
        <v>695381120.13999975</v>
      </c>
      <c r="O11" s="271">
        <f t="shared" si="7"/>
        <v>577850860.66999984</v>
      </c>
      <c r="P11" s="271">
        <f t="shared" si="7"/>
        <v>542208477</v>
      </c>
      <c r="Q11" s="271" t="str">
        <f t="shared" si="7"/>
        <v/>
      </c>
    </row>
    <row r="12" spans="1:17" ht="15.75" customHeight="1">
      <c r="A12" s="10"/>
      <c r="B12" s="2" t="s">
        <v>60</v>
      </c>
      <c r="C12" s="270">
        <f>-C11*C41</f>
        <v>-389569742.95279133</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1109903750.8583741</v>
      </c>
      <c r="D14" s="58"/>
      <c r="E14" s="246"/>
      <c r="F14" s="58"/>
      <c r="G14" s="271">
        <f t="shared" ref="G14:Q14" si="8">IF(G$4="","",SUM(G11:G13))</f>
        <v>1207933528.2671547</v>
      </c>
      <c r="H14" s="271">
        <f t="shared" si="8"/>
        <v>1497879161.8632596</v>
      </c>
      <c r="I14" s="271">
        <f t="shared" si="8"/>
        <v>1418655778.9812772</v>
      </c>
      <c r="J14" s="271">
        <f t="shared" si="8"/>
        <v>1235058050.5242805</v>
      </c>
      <c r="K14" s="271">
        <f t="shared" si="8"/>
        <v>1149278598.9390454</v>
      </c>
      <c r="L14" s="271">
        <f t="shared" si="8"/>
        <v>975087139.82458448</v>
      </c>
      <c r="M14" s="271">
        <f t="shared" si="8"/>
        <v>950277050.33040035</v>
      </c>
      <c r="N14" s="271">
        <f t="shared" si="8"/>
        <v>694821234.92999971</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1109903750.8583741</v>
      </c>
      <c r="D19" s="26"/>
      <c r="E19" s="235"/>
      <c r="F19" s="26"/>
      <c r="G19" s="275">
        <f t="shared" ref="G19:Q19" si="9">IF(G$4="","",G14+G17)</f>
        <v>1207933528.2671547</v>
      </c>
      <c r="H19" s="275">
        <f t="shared" si="9"/>
        <v>1497879161.8632596</v>
      </c>
      <c r="I19" s="275">
        <f t="shared" si="9"/>
        <v>1418655778.9812772</v>
      </c>
      <c r="J19" s="275">
        <f t="shared" si="9"/>
        <v>1235058050.5242805</v>
      </c>
      <c r="K19" s="275">
        <f t="shared" si="9"/>
        <v>1149278598.9390454</v>
      </c>
      <c r="L19" s="275">
        <f t="shared" si="9"/>
        <v>975087139.82458448</v>
      </c>
      <c r="M19" s="275">
        <f t="shared" si="9"/>
        <v>950277050.33040035</v>
      </c>
      <c r="N19" s="275">
        <f t="shared" si="9"/>
        <v>694821234.92999971</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-1071006550.5600001</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7.672316610857445E-2</v>
      </c>
      <c r="H41" s="6">
        <f t="shared" si="16"/>
        <v>-4.3982734638047201E-2</v>
      </c>
      <c r="I41" s="6">
        <f t="shared" si="16"/>
        <v>-8.1262876778423181E-3</v>
      </c>
      <c r="J41" s="6">
        <f t="shared" si="16"/>
        <v>4.3956180995499122E-3</v>
      </c>
      <c r="K41" s="6">
        <f t="shared" si="16"/>
        <v>7.0591014736416579E-3</v>
      </c>
      <c r="L41" s="6">
        <f t="shared" si="16"/>
        <v>2.4189994706569209E-2</v>
      </c>
      <c r="M41" s="6">
        <f t="shared" si="16"/>
        <v>-1.1491285109792415E-2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11585597.165092731</v>
      </c>
      <c r="E46" s="238"/>
      <c r="G46" s="278">
        <f t="shared" ref="G46:Q46" si="17">IFERROR(IF(G$4="","",($C$46/$C$47)*G47),0)</f>
        <v>54892138.727153838</v>
      </c>
      <c r="H46" s="278">
        <f t="shared" si="17"/>
        <v>58796007.543259837</v>
      </c>
      <c r="I46" s="278">
        <f t="shared" si="17"/>
        <v>38670988.981277198</v>
      </c>
      <c r="J46" s="278">
        <f t="shared" si="17"/>
        <v>24544387.524280615</v>
      </c>
      <c r="K46" s="278">
        <f t="shared" si="17"/>
        <v>17457413.939045474</v>
      </c>
      <c r="L46" s="278">
        <f t="shared" si="17"/>
        <v>13013722.364582371</v>
      </c>
      <c r="M46" s="278">
        <f t="shared" si="17"/>
        <v>8050309.1904013557</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-2571325.6644072682</v>
      </c>
      <c r="E48" s="238"/>
      <c r="G48" s="271">
        <f>IF(G$4="","",(G45+G46))</f>
        <v>42450255.727153838</v>
      </c>
      <c r="H48" s="271">
        <f t="shared" ref="H48:Q48" si="18">IF(H$4="","",(H45+H46))</f>
        <v>40920550.543259837</v>
      </c>
      <c r="I48" s="271">
        <f t="shared" si="18"/>
        <v>17692802.981277198</v>
      </c>
      <c r="J48" s="271">
        <f t="shared" si="18"/>
        <v>5056544.5242806152</v>
      </c>
      <c r="K48" s="271">
        <f t="shared" si="18"/>
        <v>-4706541.0609545261</v>
      </c>
      <c r="L48" s="271">
        <f t="shared" si="18"/>
        <v>-6426599.635417629</v>
      </c>
      <c r="M48" s="271">
        <f t="shared" si="18"/>
        <v>7533897.1904013557</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221659135.77000046</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221659135.77000046</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2.0856736561539725E-4</v>
      </c>
      <c r="D76" s="26"/>
      <c r="E76" s="235"/>
      <c r="F76" s="26"/>
      <c r="G76" s="6">
        <f t="shared" ref="G76:Q76" si="28">IF(G$4="","",ABS(G10/G$4))</f>
        <v>3.4432581330585111E-3</v>
      </c>
      <c r="H76" s="6">
        <f t="shared" si="28"/>
        <v>3.4478311122924325E-3</v>
      </c>
      <c r="I76" s="6">
        <f t="shared" si="28"/>
        <v>1.618692895491246E-3</v>
      </c>
      <c r="J76" s="6">
        <f t="shared" si="28"/>
        <v>4.8340043730935386E-4</v>
      </c>
      <c r="K76" s="6">
        <f t="shared" si="28"/>
        <v>5.2248129579788227E-4</v>
      </c>
      <c r="L76" s="6">
        <f t="shared" si="28"/>
        <v>7.2678884493021913E-4</v>
      </c>
      <c r="M76" s="6">
        <f t="shared" si="28"/>
        <v>9.2027372360591259E-4</v>
      </c>
      <c r="N76" s="6">
        <f t="shared" si="28"/>
        <v>0</v>
      </c>
      <c r="O76" s="6">
        <f t="shared" si="28"/>
        <v>0</v>
      </c>
      <c r="P76" s="6">
        <f t="shared" si="28"/>
        <v>0</v>
      </c>
      <c r="Q76" s="6" t="str">
        <f t="shared" si="28"/>
        <v/>
      </c>
    </row>
    <row r="77" spans="1:17" ht="15.75" customHeight="1">
      <c r="A77" s="10"/>
      <c r="B77" s="67" t="s">
        <v>137</v>
      </c>
      <c r="C77" s="75">
        <f>C11/C4</f>
        <v>0.12639633498911301</v>
      </c>
      <c r="D77" s="26"/>
      <c r="E77" s="235"/>
      <c r="F77" s="26"/>
      <c r="G77" s="62">
        <f t="shared" ref="G77:Q77" si="29">IF(G$4="","",G11/G$4)</f>
        <v>0.11128701052585509</v>
      </c>
      <c r="H77" s="62">
        <f t="shared" si="29"/>
        <v>0.12486046378246622</v>
      </c>
      <c r="I77" s="62">
        <f t="shared" si="29"/>
        <v>0.12874486352550266</v>
      </c>
      <c r="J77" s="62">
        <f t="shared" si="29"/>
        <v>0.11859155803963853</v>
      </c>
      <c r="K77" s="62">
        <f t="shared" si="29"/>
        <v>0.12849043997454521</v>
      </c>
      <c r="L77" s="62">
        <f t="shared" si="29"/>
        <v>0.11300695419285398</v>
      </c>
      <c r="M77" s="62">
        <f t="shared" si="29"/>
        <v>0.11475864933860937</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3.1599083747278253E-2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9.0027375609204055E-2</v>
      </c>
      <c r="D80" s="26"/>
      <c r="E80" s="235"/>
      <c r="F80" s="26"/>
      <c r="G80" s="62">
        <f t="shared" ref="G80:Q80" si="32">IF(G$4="","",ABS(G14/G$4))</f>
        <v>9.7978843098922533E-2</v>
      </c>
      <c r="H80" s="62">
        <f t="shared" si="32"/>
        <v>0.12620637572475943</v>
      </c>
      <c r="I80" s="62">
        <f t="shared" si="32"/>
        <v>0.12979108132355544</v>
      </c>
      <c r="J80" s="62">
        <f t="shared" si="32"/>
        <v>0.11807027484066568</v>
      </c>
      <c r="K80" s="62">
        <f t="shared" si="32"/>
        <v>0.12758341292037201</v>
      </c>
      <c r="L80" s="62">
        <f t="shared" si="32"/>
        <v>0.11027331656912333</v>
      </c>
      <c r="M80" s="62">
        <f t="shared" si="32"/>
        <v>0.11607737369697402</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9.0027375609204055E-2</v>
      </c>
      <c r="D85" s="72"/>
      <c r="E85" s="235"/>
      <c r="F85" s="72"/>
      <c r="G85" s="62">
        <f t="shared" ref="G85:Q85" si="35">IF(G$4="","",ABS(G19/G$4))</f>
        <v>9.7978843098922533E-2</v>
      </c>
      <c r="H85" s="62">
        <f t="shared" si="35"/>
        <v>0.12620637572475943</v>
      </c>
      <c r="I85" s="62">
        <f t="shared" si="35"/>
        <v>0.12979108132355544</v>
      </c>
      <c r="J85" s="62">
        <f t="shared" si="35"/>
        <v>0.11807027484066568</v>
      </c>
      <c r="K85" s="62">
        <f t="shared" si="35"/>
        <v>0.12758341292037201</v>
      </c>
      <c r="L85" s="62">
        <f t="shared" si="35"/>
        <v>0.11027331656912333</v>
      </c>
      <c r="M85" s="62">
        <f t="shared" si="35"/>
        <v>0.11607737369697402</v>
      </c>
      <c r="N85" s="62">
        <f t="shared" si="35"/>
        <v>9.458648319538869E-2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0.66291651077270397</v>
      </c>
      <c r="E88" s="238"/>
      <c r="G88" s="109">
        <f>Data!C65</f>
        <v>0.66291651077270397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817933570.56830382</v>
      </c>
      <c r="E89" s="238"/>
      <c r="G89" s="71">
        <f t="shared" ref="G89:Q89" si="36">IF(G$4="","",G88*Common_Shares/scaling_factor)</f>
        <v>817933570.56830382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0.73694099144699055</v>
      </c>
      <c r="E90" s="238"/>
      <c r="G90" s="152">
        <f t="shared" ref="G90:Q90" si="37">IF(G$4="","",G88/(G19*scaling_factor/Common_Shares))</f>
        <v>0.67713458681925431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5.7202766989015684E-2</v>
      </c>
      <c r="E92" s="238"/>
      <c r="G92" s="22">
        <f t="shared" ref="G92:Q92" si="38">IF(G$4="","",(G88*(1-dividend_tax_rate))/Market_Price)</f>
        <v>5.7202766989015684E-2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0.13576898500429757</v>
      </c>
      <c r="D96" s="26"/>
      <c r="E96" s="235"/>
      <c r="F96" s="26"/>
      <c r="G96" s="6">
        <f t="shared" ref="G96:Q96" si="40">IF(H5="","",G11/H11-1)</f>
        <v>-7.4162478272671417E-2</v>
      </c>
      <c r="H96" s="6">
        <f t="shared" si="40"/>
        <v>5.3072654492569926E-2</v>
      </c>
      <c r="I96" s="6">
        <f t="shared" si="40"/>
        <v>0.13438773048529717</v>
      </c>
      <c r="J96" s="6">
        <f t="shared" si="40"/>
        <v>7.1762731511452849E-2</v>
      </c>
      <c r="K96" s="6">
        <f t="shared" si="40"/>
        <v>0.15830720660728015</v>
      </c>
      <c r="L96" s="6">
        <f t="shared" si="40"/>
        <v>6.3628746091128674E-2</v>
      </c>
      <c r="M96" s="6">
        <f t="shared" si="40"/>
        <v>0.35103064600208933</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1.4673645449205435</v>
      </c>
      <c r="H113" s="254">
        <f>IF(H$4="","",Data!D$22/H19)</f>
        <v>1.5709065663701425</v>
      </c>
      <c r="I113" s="254">
        <f>IF(I$4="","",Data!E$22/I19)</f>
        <v>1.4269713308845704</v>
      </c>
      <c r="J113" s="254">
        <f>IF(J$4="","",Data!F$22/J19)</f>
        <v>1.6576788241904186</v>
      </c>
      <c r="K113" s="254">
        <f>IF(K$4="","",Data!G$22/K19)</f>
        <v>1.5825625672304584</v>
      </c>
      <c r="L113" s="254">
        <f>IF(L$4="","",Data!H$22/L19)</f>
        <v>1.3992703460999942</v>
      </c>
      <c r="M113" s="254">
        <f>IF(M$4="","",Data!I$22/M19)</f>
        <v>1.0454322469690169</v>
      </c>
      <c r="N113" s="254">
        <f>IF(N$4="","",Data!J$22/N19)</f>
        <v>0.49742560109697848</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0.12639633498911301</v>
      </c>
      <c r="E116" s="238"/>
      <c r="G116" s="22">
        <f t="shared" ref="G116:Q116" si="44">IF(G4="","",G77)</f>
        <v>0.11128701052585509</v>
      </c>
      <c r="H116" s="22">
        <f t="shared" si="44"/>
        <v>0.12486046378246622</v>
      </c>
      <c r="I116" s="22">
        <f t="shared" si="44"/>
        <v>0.12874486352550266</v>
      </c>
      <c r="J116" s="22">
        <f t="shared" si="44"/>
        <v>0.11859155803963853</v>
      </c>
      <c r="K116" s="22">
        <f t="shared" si="44"/>
        <v>0.12849043997454521</v>
      </c>
      <c r="L116" s="22">
        <f t="shared" si="44"/>
        <v>0.11300695419285398</v>
      </c>
      <c r="M116" s="22">
        <f t="shared" si="44"/>
        <v>0.11475864933860937</v>
      </c>
      <c r="N116" s="22">
        <f t="shared" si="44"/>
        <v>9.4662700746529521E-2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0.10095660686647698</v>
      </c>
      <c r="D119" s="100"/>
      <c r="E119" s="241"/>
      <c r="F119" s="100"/>
      <c r="G119" s="99">
        <f t="shared" ref="G119:Q119" si="47">IF(G$4="","",G11/G104)</f>
        <v>8.8888328700131733E-2</v>
      </c>
      <c r="H119" s="99">
        <f t="shared" si="47"/>
        <v>0.11047323439300516</v>
      </c>
      <c r="I119" s="99">
        <f t="shared" si="47"/>
        <v>0.11113699213798922</v>
      </c>
      <c r="J119" s="99">
        <f t="shared" si="47"/>
        <v>0.11166027345738132</v>
      </c>
      <c r="K119" s="99">
        <f t="shared" si="47"/>
        <v>0.11542000747664377</v>
      </c>
      <c r="L119" s="99">
        <f t="shared" si="47"/>
        <v>0.10956830093458829</v>
      </c>
      <c r="M119" s="99">
        <f t="shared" si="47"/>
        <v>0.1117627792627007</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0.9938794407228726</v>
      </c>
      <c r="D123" s="26"/>
      <c r="E123" s="235"/>
      <c r="F123" s="26"/>
      <c r="G123" s="159">
        <f t="shared" ref="G123:Q123" si="48">IF(G$4="","",G14*$C$3/Common_Shares*Exchange_Rate)</f>
        <v>1.0816616292864094</v>
      </c>
      <c r="H123" s="159">
        <f t="shared" si="48"/>
        <v>1.3412976598302027</v>
      </c>
      <c r="I123" s="159">
        <f t="shared" si="48"/>
        <v>1.2703559305045526</v>
      </c>
      <c r="J123" s="159">
        <f t="shared" si="48"/>
        <v>1.1059506768636775</v>
      </c>
      <c r="K123" s="159">
        <f t="shared" si="48"/>
        <v>1.0291382205573407</v>
      </c>
      <c r="L123" s="159">
        <f t="shared" si="48"/>
        <v>0.87315594747330938</v>
      </c>
      <c r="M123" s="159">
        <f t="shared" si="48"/>
        <v>0.85093939234256577</v>
      </c>
      <c r="N123" s="159">
        <f t="shared" si="48"/>
        <v>0.62218777064275521</v>
      </c>
      <c r="O123" s="159">
        <f t="shared" si="48"/>
        <v>0.51236044304868855</v>
      </c>
      <c r="P123" s="159">
        <f t="shared" si="48"/>
        <v>0.48303017482318134</v>
      </c>
      <c r="Q123" s="159" t="str">
        <f t="shared" si="48"/>
        <v/>
      </c>
    </row>
    <row r="124" spans="1:17" ht="15.75" customHeight="1">
      <c r="A124" s="10"/>
      <c r="B124" s="26" t="s">
        <v>226</v>
      </c>
      <c r="C124" s="74">
        <f>C19*Exchange_Rate*$C$3/(Market_Price*Common_Shares)</f>
        <v>9.5290454527600446E-2</v>
      </c>
      <c r="D124" s="26"/>
      <c r="E124" s="235"/>
      <c r="F124" s="26"/>
      <c r="G124" s="74">
        <f t="shared" ref="G124" si="49">IF(G$4="","",G123/Market_Price)</f>
        <v>0.10370677174366341</v>
      </c>
      <c r="H124" s="74">
        <f t="shared" ref="H124" si="50">IF(H$4="","",H123/Market_Price)</f>
        <v>0.1285999673854461</v>
      </c>
      <c r="I124" s="74">
        <f t="shared" ref="I124" si="51">IF(I$4="","",I123/Market_Price)</f>
        <v>0.12179826754597821</v>
      </c>
      <c r="J124" s="74">
        <f t="shared" ref="J124" si="52">IF(J$4="","",J123/Market_Price)</f>
        <v>0.10603553948836794</v>
      </c>
      <c r="K124" s="74">
        <f t="shared" ref="K124" si="53">IF(K$4="","",K123/Market_Price)</f>
        <v>9.8670970331480423E-2</v>
      </c>
      <c r="L124" s="74">
        <f t="shared" ref="L124" si="54">IF(L$4="","",L123/Market_Price)</f>
        <v>8.3715814714603015E-2</v>
      </c>
      <c r="M124" s="74">
        <f t="shared" ref="M124" si="55">IF(M$4="","",M123/Market_Price)</f>
        <v>8.1585751902451181E-2</v>
      </c>
      <c r="N124" s="74">
        <f t="shared" ref="N124" si="56">IF(N$4="","",N123/Market_Price)</f>
        <v>5.9653669285019674E-2</v>
      </c>
      <c r="O124" s="74">
        <f t="shared" ref="O124" si="57">IF(O$4="","",O123/Market_Price)</f>
        <v>4.9123724165741955E-2</v>
      </c>
      <c r="P124" s="74">
        <f t="shared" ref="P124" si="58">IF(P$4="","",P123/Market_Price)</f>
        <v>4.6311617912097924E-2</v>
      </c>
      <c r="Q124" s="74" t="str">
        <f t="shared" ref="Q124" si="59">IF(Q$4="","",Q123/Market_Price)</f>
        <v/>
      </c>
    </row>
    <row r="125" spans="1:17" ht="15.75" customHeight="1">
      <c r="B125" s="2" t="s">
        <v>306</v>
      </c>
      <c r="C125" s="151"/>
      <c r="G125" s="22">
        <f>IF(G$4="","",(Data!C47*$C$3)/(Market_Price*Common_Shares))</f>
        <v>0.12461469076584697</v>
      </c>
      <c r="H125" s="22">
        <f>IF(H$4="","",(Data!D47*$C$3)/(Market_Price*Common_Shares))</f>
        <v>0.12653315409721988</v>
      </c>
      <c r="I125" s="22">
        <f>IF(I$4="","",(Data!E47*$C$3)/(Market_Price*Common_Shares))</f>
        <v>0.10810779983652807</v>
      </c>
      <c r="J125" s="22">
        <f>IF(J$4="","",(Data!F47*$C$3)/(Market_Price*Common_Shares))</f>
        <v>0.10127322619113287</v>
      </c>
      <c r="K125" s="22">
        <f>IF(K$4="","",(Data!G47*$C$3)/(Market_Price*Common_Shares))</f>
        <v>9.6588596868790261E-2</v>
      </c>
      <c r="L125" s="22">
        <f>IF(L$4="","",(Data!H47*$C$3)/(Market_Price*Common_Shares))</f>
        <v>8.7393626342640654E-2</v>
      </c>
      <c r="M125" s="22">
        <f>IF(M$4="","",(Data!I47*$C$3)/(Market_Price*Common_Shares))</f>
        <v>7.2011751484257092E-2</v>
      </c>
      <c r="N125" s="22">
        <f>IF(N$4="","",(Data!J47*$C$3)/(Market_Price*Common_Shares))</f>
        <v>7.1216341850263182E-2</v>
      </c>
      <c r="O125" s="22">
        <f>IF(O$4="","",(Data!K47*$C$3)/(Market_Price*Common_Shares))</f>
        <v>4.8957951092282494E-2</v>
      </c>
      <c r="P125" s="22">
        <f>IF(P$4="","",(Data!L47*$C$3)/(Market_Price*Common_Shares))</f>
        <v>4.7783171453903851E-2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1109903750.8583741</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6703585887.331212</v>
      </c>
      <c r="G5" t="str">
        <f>Reporting_currency</f>
        <v>CNY</v>
      </c>
      <c r="H5" s="312" t="s">
        <v>396</v>
      </c>
      <c r="I5" s="309">
        <f>Normalized_FCF!C7</f>
        <v>-1673614926</v>
      </c>
      <c r="J5" s="309"/>
    </row>
    <row r="6" spans="2:15" ht="13.25" customHeight="1">
      <c r="B6" s="136" t="s">
        <v>194</v>
      </c>
      <c r="C6" s="287">
        <f>(C4*(1+Terminal_Growth))/(Equity_Cost-Terminal_Growth)</f>
        <v>11998959468.73918</v>
      </c>
      <c r="D6" t="str">
        <f>Reporting_currency</f>
        <v>CNY</v>
      </c>
      <c r="E6" s="187" t="s">
        <v>436</v>
      </c>
      <c r="F6" s="288">
        <f>BS!H42</f>
        <v>583558544.63999999</v>
      </c>
      <c r="G6" t="str">
        <f>Reporting_currency</f>
        <v>CNY</v>
      </c>
      <c r="H6" s="312" t="s">
        <v>418</v>
      </c>
      <c r="I6" s="309">
        <f>I7+I8</f>
        <v>-2571325.6644072682</v>
      </c>
      <c r="J6" s="309"/>
      <c r="N6" s="135"/>
    </row>
    <row r="7" spans="2:15" ht="12.75" customHeight="1">
      <c r="B7" s="322" t="s">
        <v>433</v>
      </c>
      <c r="C7" s="279">
        <f>F7</f>
        <v>7004005975.3812122</v>
      </c>
      <c r="E7" s="140" t="s">
        <v>427</v>
      </c>
      <c r="F7" s="287">
        <f>SUM(F4:F6)</f>
        <v>7004005975.3812122</v>
      </c>
      <c r="G7" t="str">
        <f>Reporting_currency</f>
        <v>CNY</v>
      </c>
      <c r="H7" s="316" t="s">
        <v>419</v>
      </c>
      <c r="I7" s="317">
        <f>Normalized_FCF!C9</f>
        <v>0</v>
      </c>
      <c r="J7" s="317"/>
      <c r="N7" s="308"/>
      <c r="O7" s="308"/>
    </row>
    <row r="8" spans="2:15" ht="13.15">
      <c r="B8" s="136" t="s">
        <v>429</v>
      </c>
      <c r="C8" s="287">
        <f>C6+C7</f>
        <v>19002965444.120392</v>
      </c>
      <c r="D8" t="str">
        <f>Reporting_currency</f>
        <v>CNY</v>
      </c>
      <c r="E8" s="140" t="s">
        <v>467</v>
      </c>
      <c r="F8" s="108">
        <f>FV_adjustments*scaling_factor/Common_Shares*Exchange_Rate</f>
        <v>6.2718389195891557</v>
      </c>
      <c r="G8" s="298" t="str">
        <f>Market_currency</f>
        <v>HKD</v>
      </c>
      <c r="H8" s="318" t="str">
        <f>Normalized_FCF!B10</f>
        <v>Net Interest Income</v>
      </c>
      <c r="I8" s="317">
        <f>Normalized_FCF!C10</f>
        <v>-2571325.6644072682</v>
      </c>
      <c r="J8" s="317"/>
      <c r="N8" s="308"/>
      <c r="O8" s="308"/>
    </row>
    <row r="9" spans="2:15" ht="13.15" thickBot="1">
      <c r="B9" s="189" t="str">
        <f>"*"&amp;Thesis!E15</f>
        <v>*CNY/HKD</v>
      </c>
      <c r="C9" s="190">
        <f>Exchange_Rate</f>
        <v>1.10486085128784</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20995632577.584263</v>
      </c>
      <c r="D10" t="str">
        <f>Market_currency</f>
        <v>HKD</v>
      </c>
      <c r="H10" s="312" t="s">
        <v>398</v>
      </c>
      <c r="I10" s="310">
        <f>Normalized_FCF!C41</f>
        <v>0.25</v>
      </c>
      <c r="N10" s="308"/>
      <c r="O10" s="308"/>
    </row>
    <row r="11" spans="2:15" ht="13.15">
      <c r="B11" s="136" t="s">
        <v>428</v>
      </c>
      <c r="C11" s="108">
        <f>(C10*scaling_factor)/Common_Shares</f>
        <v>17.016481521998589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1.7510817454652E-3</v>
      </c>
      <c r="E16" s="312" t="s">
        <v>401</v>
      </c>
      <c r="F16" s="315">
        <f>Scenarios!C41</f>
        <v>1.7510817454652E-3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17.068457174402401</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1.7510817454652E-3</v>
      </c>
      <c r="E21" s="303">
        <f>$C$17</f>
        <v>0.73764354310583824</v>
      </c>
      <c r="F21" s="281">
        <f>I5*(1+D21)</f>
        <v>-1676545562.5458565</v>
      </c>
      <c r="G21" s="281">
        <f>C21*(1-E21)+F21+$I$6</f>
        <v>1561012148.2744784</v>
      </c>
      <c r="H21" s="303">
        <f t="shared" ref="H21:H50" si="2">IF(A21="",0%,IF(A21="I",$C$18,$F$18))</f>
        <v>0</v>
      </c>
      <c r="I21" s="281">
        <f>(G21*(1-$I$10)+C21*(H21-$I$9))</f>
        <v>1111850660.0067995</v>
      </c>
      <c r="J21" s="303">
        <f>I21/C4-1</f>
        <v>1.7541243075533952E-3</v>
      </c>
      <c r="K21" s="119">
        <f t="shared" ref="K21:K50" si="3">IF($C$15&lt;B21,0,1/(1+Equity_Cost)^B21)</f>
        <v>0.91533180778032031</v>
      </c>
      <c r="L21" s="281">
        <f t="shared" ref="L21:L50" si="4">I21*K21</f>
        <v>1017712274.6057661</v>
      </c>
    </row>
    <row r="22" spans="1:21">
      <c r="A22" s="306" t="str">
        <f t="shared" si="0"/>
        <v>I</v>
      </c>
      <c r="B22" s="117">
        <v>2</v>
      </c>
      <c r="C22" s="281">
        <f t="shared" ref="C22:C50" si="5">IF(A22="",0,C21*(1+D22))</f>
        <v>12371728166.015308</v>
      </c>
      <c r="D22" s="303">
        <f t="shared" si="1"/>
        <v>1.7510817454652E-3</v>
      </c>
      <c r="E22" s="303">
        <f t="shared" ref="E22:E50" si="6">IF($C$15&lt;B22,0,IF(B22&gt;=$F$15,$F$17,$C$17))</f>
        <v>0.73764354310583824</v>
      </c>
      <c r="F22" s="281">
        <f t="shared" ref="F22:F50" si="7">IF(A22="",0,F21*(1+D22))</f>
        <v>-1679481330.8758712</v>
      </c>
      <c r="G22" s="281">
        <f t="shared" ref="G22:G50" si="8">IF(A22="", 0,C22*(1-E22)+F22+$I$6)</f>
        <v>1563750110.7532039</v>
      </c>
      <c r="H22" s="303">
        <f t="shared" si="2"/>
        <v>0</v>
      </c>
      <c r="I22" s="281">
        <f>IF(A22="", 0,G22*(1-$I$10)+C22*(H22-$I$9))</f>
        <v>1113800978.3522954</v>
      </c>
      <c r="J22" s="303">
        <f>IF(A22="", 0,I22/I21-1)</f>
        <v>1.7541189798673251E-3</v>
      </c>
      <c r="K22" s="119">
        <f t="shared" si="3"/>
        <v>0.83783231833438931</v>
      </c>
      <c r="L22" s="281">
        <f t="shared" si="4"/>
        <v>933178455.85601461</v>
      </c>
    </row>
    <row r="23" spans="1:21">
      <c r="A23" s="306" t="str">
        <f t="shared" si="0"/>
        <v>I</v>
      </c>
      <c r="B23" s="117">
        <v>3</v>
      </c>
      <c r="C23" s="281">
        <f t="shared" si="5"/>
        <v>12393392073.366674</v>
      </c>
      <c r="D23" s="303">
        <f t="shared" si="1"/>
        <v>1.7510817454652E-3</v>
      </c>
      <c r="E23" s="303">
        <f t="shared" si="6"/>
        <v>0.73764354310583824</v>
      </c>
      <c r="F23" s="281">
        <f t="shared" si="7"/>
        <v>-1682422239.9762173</v>
      </c>
      <c r="G23" s="281">
        <f t="shared" si="8"/>
        <v>1566492867.6280456</v>
      </c>
      <c r="H23" s="303">
        <f t="shared" si="2"/>
        <v>0</v>
      </c>
      <c r="I23" s="281">
        <f t="shared" ref="I23:I50" si="9">IF(A23="", 0,G23*(1-$I$10)+C23*(H23-$I$9))</f>
        <v>1115754711.8646438</v>
      </c>
      <c r="J23" s="303">
        <f t="shared" ref="J23:J50" si="10">IF(A23="", 0,I23/I22-1)</f>
        <v>1.7541136615255581E-3</v>
      </c>
      <c r="K23" s="119">
        <f t="shared" si="3"/>
        <v>0.76689457055779331</v>
      </c>
      <c r="L23" s="281">
        <f t="shared" si="4"/>
        <v>855666230.60327041</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1566492867.6280456</v>
      </c>
      <c r="H51" s="303">
        <f>F18</f>
        <v>0</v>
      </c>
      <c r="I51" s="281">
        <f>(G51*(1-$I$10)+C51*(H51-$I$9))/Equity_Cost</f>
        <v>12062213101.239393</v>
      </c>
      <c r="J51" s="419">
        <f>(G51*(1-$I$10)+C51*(H51-$I$9))/VLOOKUP(C15,B21:I50,8,FALSE)-1</f>
        <v>0</v>
      </c>
      <c r="K51" s="119">
        <f>1/(1+Equity_Cost)^C15</f>
        <v>0.76689457055779331</v>
      </c>
      <c r="L51" s="281">
        <f>I51*K51</f>
        <v>9250445736.2515736</v>
      </c>
    </row>
    <row r="52" spans="1:21" ht="13.15">
      <c r="G52" s="111"/>
      <c r="H52" s="111"/>
      <c r="I52" s="111"/>
      <c r="J52" s="464" t="s">
        <v>423</v>
      </c>
      <c r="K52" s="464"/>
      <c r="L52" s="321">
        <f>SUM(L21:L51)</f>
        <v>12057002697.316624</v>
      </c>
    </row>
    <row r="53" spans="1:21">
      <c r="C53" s="111"/>
    </row>
    <row r="54" spans="1:21" ht="13.15">
      <c r="B54" s="115" t="s">
        <v>108</v>
      </c>
      <c r="C54" s="128"/>
      <c r="D54" s="128"/>
      <c r="E54" s="113"/>
      <c r="F54" s="113"/>
      <c r="G54" s="113"/>
      <c r="H54" s="113"/>
      <c r="I54" s="113"/>
      <c r="J54" s="113"/>
      <c r="K54" s="113"/>
      <c r="L54" s="113"/>
    </row>
    <row r="55" spans="1:21" ht="13.15">
      <c r="A55" s="125">
        <f>L52</f>
        <v>12057002697.316624</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11758563307.635027</v>
      </c>
      <c r="C56" s="118">
        <v>11878761388.187101</v>
      </c>
      <c r="D56" s="118">
        <v>11998959468.739178</v>
      </c>
      <c r="E56" s="118">
        <v>12119157549.29125</v>
      </c>
      <c r="F56" s="118">
        <v>12239355629.843325</v>
      </c>
      <c r="G56" s="299"/>
      <c r="H56" s="299"/>
      <c r="I56" s="299"/>
      <c r="J56" s="299"/>
      <c r="K56" s="299"/>
      <c r="L56" s="299"/>
    </row>
    <row r="57" spans="1:21" ht="13.15">
      <c r="A57" s="131">
        <v>2</v>
      </c>
      <c r="B57" s="118">
        <v>11542921899.962662</v>
      </c>
      <c r="C57" s="118">
        <v>11769840473.087282</v>
      </c>
      <c r="D57" s="118">
        <v>11998959468.739178</v>
      </c>
      <c r="E57" s="118">
        <v>12230278886.918341</v>
      </c>
      <c r="F57" s="118">
        <v>12463798727.624771</v>
      </c>
      <c r="G57" s="299"/>
      <c r="H57" s="299"/>
      <c r="I57" s="299"/>
      <c r="J57" s="299"/>
      <c r="K57" s="299"/>
      <c r="L57" s="299"/>
    </row>
    <row r="58" spans="1:21" ht="13.15">
      <c r="A58" s="131">
        <v>3</v>
      </c>
      <c r="B58" s="118">
        <v>11349486129.235958</v>
      </c>
      <c r="C58" s="118">
        <v>11671138682.74511</v>
      </c>
      <c r="D58" s="118">
        <v>11998959468.739178</v>
      </c>
      <c r="E58" s="118">
        <v>12333008910.720041</v>
      </c>
      <c r="F58" s="118">
        <v>12673347432.189598</v>
      </c>
      <c r="G58" s="299"/>
      <c r="H58" s="299"/>
      <c r="I58" s="299"/>
      <c r="J58" s="299"/>
      <c r="K58" s="299"/>
      <c r="L58" s="299"/>
    </row>
    <row r="59" spans="1:21" ht="13.15">
      <c r="A59" s="131">
        <v>4</v>
      </c>
      <c r="B59" s="118">
        <v>11175969373.801476</v>
      </c>
      <c r="C59" s="118">
        <v>11581697243.441908</v>
      </c>
      <c r="D59" s="118">
        <v>11998959468.739178</v>
      </c>
      <c r="E59" s="118">
        <v>12427981289.703766</v>
      </c>
      <c r="F59" s="118">
        <v>12868990158.648296</v>
      </c>
      <c r="G59" s="299"/>
      <c r="H59" s="299"/>
      <c r="I59" s="299"/>
      <c r="J59" s="299"/>
      <c r="K59" s="299"/>
      <c r="L59" s="299"/>
    </row>
    <row r="60" spans="1:21" ht="13.15">
      <c r="A60" s="131">
        <v>5</v>
      </c>
      <c r="B60" s="118">
        <v>11020320476.478102</v>
      </c>
      <c r="C60" s="118">
        <v>11500647335.057314</v>
      </c>
      <c r="D60" s="118">
        <v>11998959468.739178</v>
      </c>
      <c r="E60" s="118">
        <v>12515781841.441582</v>
      </c>
      <c r="F60" s="118">
        <v>13051649729.346573</v>
      </c>
      <c r="G60" s="299"/>
      <c r="H60" s="299"/>
      <c r="I60" s="299"/>
      <c r="J60" s="299"/>
      <c r="K60" s="299"/>
      <c r="L60" s="299"/>
    </row>
    <row r="61" spans="1:21" ht="13.15">
      <c r="A61" s="131">
        <v>6</v>
      </c>
      <c r="B61" s="118">
        <v>10880699497.643398</v>
      </c>
      <c r="C61" s="118">
        <v>11427201651.486832</v>
      </c>
      <c r="D61" s="118">
        <v>11998959468.739178</v>
      </c>
      <c r="E61" s="118">
        <v>12596952145.565323</v>
      </c>
      <c r="F61" s="118">
        <v>13222187726.703312</v>
      </c>
      <c r="G61" s="299"/>
      <c r="H61" s="299"/>
      <c r="I61" s="299"/>
      <c r="J61" s="299"/>
      <c r="K61" s="299"/>
      <c r="L61" s="299"/>
    </row>
    <row r="62" spans="1:21" ht="13.15">
      <c r="A62" s="131">
        <v>7</v>
      </c>
      <c r="B62" s="118">
        <v>10755455965.141792</v>
      </c>
      <c r="C62" s="118">
        <v>11360646752.873764</v>
      </c>
      <c r="D62" s="118">
        <v>11998959468.739178</v>
      </c>
      <c r="E62" s="118">
        <v>12671992884.389109</v>
      </c>
      <c r="F62" s="118">
        <v>13381408557.187416</v>
      </c>
      <c r="G62" s="299"/>
      <c r="H62" s="299"/>
      <c r="I62" s="299"/>
      <c r="J62" s="299"/>
      <c r="K62" s="299"/>
      <c r="L62" s="299"/>
    </row>
    <row r="63" spans="1:21" ht="13.15">
      <c r="A63" s="131">
        <v>8</v>
      </c>
      <c r="B63" s="118">
        <v>10643109363.904652</v>
      </c>
      <c r="C63" s="118">
        <v>11300336135.366272</v>
      </c>
      <c r="D63" s="118">
        <v>11998959468.739178</v>
      </c>
      <c r="E63" s="118">
        <v>12741366931.265097</v>
      </c>
      <c r="F63" s="118">
        <v>13530063245.602776</v>
      </c>
      <c r="G63" s="299"/>
      <c r="H63" s="299"/>
      <c r="I63" s="299"/>
      <c r="J63" s="299"/>
      <c r="K63" s="299"/>
      <c r="L63" s="299"/>
    </row>
    <row r="64" spans="1:21" ht="13.15">
      <c r="A64" s="131">
        <v>9</v>
      </c>
      <c r="B64" s="118">
        <v>10542331634.648455</v>
      </c>
      <c r="C64" s="118">
        <v>11245683951.080307</v>
      </c>
      <c r="D64" s="118">
        <v>11998959468.739176</v>
      </c>
      <c r="E64" s="118">
        <v>12805502205.722534</v>
      </c>
      <c r="F64" s="118">
        <v>13668852977.578671</v>
      </c>
      <c r="G64" s="299"/>
      <c r="H64" s="299"/>
      <c r="I64" s="299"/>
      <c r="J64" s="299"/>
      <c r="K64" s="299"/>
      <c r="L64" s="299"/>
    </row>
    <row r="65" spans="1:21" ht="13.15">
      <c r="A65" s="131">
        <v>10</v>
      </c>
      <c r="B65" s="118">
        <v>10451931474.766464</v>
      </c>
      <c r="C65" s="118">
        <v>11196159317.265106</v>
      </c>
      <c r="D65" s="118">
        <v>11998959468.739176</v>
      </c>
      <c r="E65" s="118">
        <v>12864794313.001265</v>
      </c>
      <c r="F65" s="118">
        <v>13798432406.974934</v>
      </c>
      <c r="G65" s="299"/>
      <c r="H65" s="299"/>
      <c r="I65" s="299"/>
      <c r="J65" s="299"/>
      <c r="K65" s="299"/>
      <c r="L65" s="299"/>
    </row>
    <row r="66" spans="1:21" ht="13.15">
      <c r="A66" s="131">
        <v>15</v>
      </c>
      <c r="B66" s="118">
        <v>10121813770.667706</v>
      </c>
      <c r="C66" s="281">
        <v>11010105342.83345</v>
      </c>
      <c r="D66" s="118">
        <v>11998959468.739176</v>
      </c>
      <c r="E66" s="118">
        <v>13100484003.962734</v>
      </c>
      <c r="F66" s="118">
        <v>14328203022.772232</v>
      </c>
      <c r="G66" s="299"/>
      <c r="H66" s="299"/>
      <c r="I66" s="299"/>
      <c r="J66" s="299"/>
      <c r="K66" s="299"/>
      <c r="L66" s="299"/>
      <c r="M66" s="279"/>
      <c r="N66" s="279"/>
      <c r="O66" s="279"/>
      <c r="P66" s="279"/>
      <c r="Q66" s="279"/>
      <c r="R66" s="279"/>
      <c r="S66" s="279"/>
      <c r="T66" s="279"/>
      <c r="U66" s="279"/>
    </row>
    <row r="67" spans="1:21" ht="13.15">
      <c r="A67" s="132">
        <v>20</v>
      </c>
      <c r="B67" s="118">
        <v>9930082934.5127792</v>
      </c>
      <c r="C67" s="281">
        <v>10896419156.911228</v>
      </c>
      <c r="D67" s="118">
        <v>11998959468.739174</v>
      </c>
      <c r="E67" s="118">
        <v>13259646311.765862</v>
      </c>
      <c r="F67" s="118">
        <v>14704024414.684475</v>
      </c>
      <c r="G67" s="299"/>
      <c r="H67" s="299"/>
      <c r="I67" s="299"/>
      <c r="J67" s="299"/>
      <c r="K67" s="299"/>
      <c r="L67" s="299"/>
      <c r="M67" s="279"/>
      <c r="N67" s="279"/>
      <c r="O67" s="279"/>
      <c r="P67" s="279"/>
      <c r="Q67" s="279"/>
      <c r="R67" s="279"/>
      <c r="S67" s="279"/>
      <c r="T67" s="279"/>
      <c r="U67" s="279"/>
    </row>
    <row r="68" spans="1:21" ht="13.15">
      <c r="A68" s="132">
        <v>25</v>
      </c>
      <c r="B68" s="118">
        <v>9818726551.3917141</v>
      </c>
      <c r="C68" s="281">
        <v>10826952493.223856</v>
      </c>
      <c r="D68" s="118">
        <v>11998959468.739174</v>
      </c>
      <c r="E68" s="118">
        <v>13367129333.708296</v>
      </c>
      <c r="F68" s="118">
        <v>14970633611.961849</v>
      </c>
      <c r="G68" s="299"/>
      <c r="H68" s="299"/>
      <c r="I68" s="299"/>
      <c r="J68" s="299"/>
      <c r="K68" s="299"/>
      <c r="L68" s="299"/>
      <c r="M68" s="279"/>
      <c r="N68" s="279"/>
      <c r="O68" s="279"/>
      <c r="P68" s="279"/>
      <c r="Q68" s="279"/>
      <c r="R68" s="279"/>
      <c r="S68" s="279"/>
      <c r="T68" s="279"/>
      <c r="U68" s="279"/>
    </row>
    <row r="69" spans="1:21" ht="13.15">
      <c r="A69" s="132">
        <v>30</v>
      </c>
      <c r="B69" s="118">
        <v>9754051278.9603882</v>
      </c>
      <c r="C69" s="281">
        <v>10784505670.641951</v>
      </c>
      <c r="D69" s="118">
        <v>11998959468.739172</v>
      </c>
      <c r="E69" s="118">
        <v>13439713101.594896</v>
      </c>
      <c r="F69" s="118">
        <v>15159767241.932234</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17.016481521998589</v>
      </c>
      <c r="C73" s="119">
        <f>C11</f>
        <v>17.016481521998589</v>
      </c>
      <c r="D73" s="119">
        <f>C11</f>
        <v>17.016481521998589</v>
      </c>
      <c r="E73" s="119">
        <f>C11</f>
        <v>17.016481521998589</v>
      </c>
      <c r="F73" s="119">
        <f>C11</f>
        <v>17.016481521998589</v>
      </c>
      <c r="G73" s="300"/>
      <c r="H73" s="300"/>
      <c r="I73" s="300"/>
      <c r="J73" s="300"/>
      <c r="K73" s="300"/>
      <c r="L73" s="300"/>
    </row>
    <row r="74" spans="1:21" ht="13.15">
      <c r="A74" s="131">
        <v>1</v>
      </c>
      <c r="B74" s="119">
        <f t="shared" ref="B74:F87" si="11">(B56+FV_adjustments)/Common_Shares*scaling_factor*Exchange_Rate</f>
        <v>16.801215286556694</v>
      </c>
      <c r="C74" s="119">
        <f t="shared" si="11"/>
        <v>16.908848404277641</v>
      </c>
      <c r="D74" s="119">
        <f t="shared" si="11"/>
        <v>17.016481521998589</v>
      </c>
      <c r="E74" s="119">
        <f t="shared" si="11"/>
        <v>17.124114639719533</v>
      </c>
      <c r="F74" s="119">
        <f t="shared" si="11"/>
        <v>17.231747757440477</v>
      </c>
      <c r="G74" s="300"/>
      <c r="H74" s="300"/>
      <c r="I74" s="300"/>
      <c r="J74" s="300"/>
      <c r="K74" s="300"/>
      <c r="L74" s="300"/>
    </row>
    <row r="75" spans="1:21" ht="13.15">
      <c r="A75" s="131">
        <v>2</v>
      </c>
      <c r="B75" s="119">
        <f t="shared" si="11"/>
        <v>16.60811605476443</v>
      </c>
      <c r="C75" s="119">
        <f t="shared" si="11"/>
        <v>16.811313588219303</v>
      </c>
      <c r="D75" s="119">
        <f t="shared" si="11"/>
        <v>17.016481521998589</v>
      </c>
      <c r="E75" s="119">
        <f t="shared" si="11"/>
        <v>17.223619856102285</v>
      </c>
      <c r="F75" s="119">
        <f t="shared" si="11"/>
        <v>17.432728590530385</v>
      </c>
      <c r="G75" s="300"/>
      <c r="H75" s="300"/>
      <c r="I75" s="300"/>
      <c r="J75" s="300"/>
      <c r="K75" s="300"/>
      <c r="L75" s="300"/>
    </row>
    <row r="76" spans="1:21" ht="13.15">
      <c r="A76" s="131">
        <v>3</v>
      </c>
      <c r="B76" s="119">
        <f t="shared" si="11"/>
        <v>16.434901183225374</v>
      </c>
      <c r="C76" s="119">
        <f t="shared" si="11"/>
        <v>16.722929635910141</v>
      </c>
      <c r="D76" s="119">
        <f t="shared" si="11"/>
        <v>17.016481521998589</v>
      </c>
      <c r="E76" s="119">
        <f t="shared" si="11"/>
        <v>17.315610948593427</v>
      </c>
      <c r="F76" s="119">
        <f t="shared" si="11"/>
        <v>17.620372022797394</v>
      </c>
      <c r="G76" s="300"/>
      <c r="H76" s="300"/>
      <c r="I76" s="300"/>
      <c r="J76" s="300"/>
      <c r="K76" s="300"/>
      <c r="L76" s="300"/>
    </row>
    <row r="77" spans="1:21" ht="13.15">
      <c r="A77" s="131">
        <v>4</v>
      </c>
      <c r="B77" s="119">
        <f t="shared" si="11"/>
        <v>16.279523083355091</v>
      </c>
      <c r="C77" s="119">
        <f t="shared" si="11"/>
        <v>16.642837999492691</v>
      </c>
      <c r="D77" s="119">
        <f t="shared" si="11"/>
        <v>17.016481521998589</v>
      </c>
      <c r="E77" s="119">
        <f t="shared" si="11"/>
        <v>17.400655345312931</v>
      </c>
      <c r="F77" s="119">
        <f t="shared" si="11"/>
        <v>17.79556314491397</v>
      </c>
      <c r="G77" s="300"/>
      <c r="H77" s="300"/>
      <c r="I77" s="300"/>
      <c r="J77" s="300"/>
      <c r="K77" s="300"/>
      <c r="L77" s="300"/>
    </row>
    <row r="78" spans="1:21" ht="13.15">
      <c r="A78" s="131">
        <v>5</v>
      </c>
      <c r="B78" s="119">
        <f t="shared" si="11"/>
        <v>16.140145016652237</v>
      </c>
      <c r="C78" s="119">
        <f t="shared" si="11"/>
        <v>16.570260681366122</v>
      </c>
      <c r="D78" s="119">
        <f t="shared" si="11"/>
        <v>17.016481521998589</v>
      </c>
      <c r="E78" s="119">
        <f t="shared" si="11"/>
        <v>17.479277625117689</v>
      </c>
      <c r="F78" s="119">
        <f t="shared" si="11"/>
        <v>17.959128311558263</v>
      </c>
      <c r="G78" s="300"/>
      <c r="H78" s="300"/>
      <c r="I78" s="300"/>
      <c r="J78" s="300"/>
      <c r="K78" s="300"/>
      <c r="L78" s="300"/>
    </row>
    <row r="79" spans="1:21" ht="13.15">
      <c r="A79" s="131">
        <v>6</v>
      </c>
      <c r="B79" s="119">
        <f t="shared" si="11"/>
        <v>16.015119382447384</v>
      </c>
      <c r="C79" s="119">
        <f t="shared" si="11"/>
        <v>16.504492676839522</v>
      </c>
      <c r="D79" s="119">
        <f t="shared" si="11"/>
        <v>17.016481521998589</v>
      </c>
      <c r="E79" s="119">
        <f t="shared" si="11"/>
        <v>17.551962753358243</v>
      </c>
      <c r="F79" s="119">
        <f t="shared" si="11"/>
        <v>18.111839039226172</v>
      </c>
      <c r="G79" s="300"/>
      <c r="H79" s="300"/>
      <c r="I79" s="300"/>
      <c r="J79" s="300"/>
      <c r="K79" s="300"/>
      <c r="L79" s="300"/>
    </row>
    <row r="80" spans="1:21" ht="13.15">
      <c r="A80" s="131">
        <f t="shared" ref="A80" si="12">A62</f>
        <v>7</v>
      </c>
      <c r="B80" s="119">
        <f t="shared" si="11"/>
        <v>15.902968241467287</v>
      </c>
      <c r="C80" s="119">
        <f t="shared" si="11"/>
        <v>16.444895125826864</v>
      </c>
      <c r="D80" s="119">
        <f t="shared" si="11"/>
        <v>17.016481521998589</v>
      </c>
      <c r="E80" s="119">
        <f t="shared" si="11"/>
        <v>17.619159073287729</v>
      </c>
      <c r="F80" s="119">
        <f t="shared" si="11"/>
        <v>18.254415645378355</v>
      </c>
      <c r="G80" s="300"/>
      <c r="H80" s="300"/>
      <c r="I80" s="300"/>
      <c r="J80" s="300"/>
      <c r="K80" s="300"/>
      <c r="L80" s="300"/>
    </row>
    <row r="81" spans="1:12" ht="13.15">
      <c r="A81" s="131">
        <v>8</v>
      </c>
      <c r="B81" s="119">
        <f t="shared" si="11"/>
        <v>15.802365844981711</v>
      </c>
      <c r="C81" s="119">
        <f t="shared" si="11"/>
        <v>16.390889107060246</v>
      </c>
      <c r="D81" s="119">
        <f t="shared" si="11"/>
        <v>17.016481521998589</v>
      </c>
      <c r="E81" s="119">
        <f t="shared" si="11"/>
        <v>17.681281071574936</v>
      </c>
      <c r="F81" s="119">
        <f t="shared" si="11"/>
        <v>18.387530646087949</v>
      </c>
      <c r="G81" s="300"/>
      <c r="H81" s="300"/>
      <c r="I81" s="300"/>
      <c r="J81" s="300"/>
      <c r="K81" s="300"/>
      <c r="L81" s="300"/>
    </row>
    <row r="82" spans="1:12" ht="13.15">
      <c r="A82" s="131">
        <f t="shared" ref="A82" si="13">A64</f>
        <v>9</v>
      </c>
      <c r="B82" s="119">
        <f t="shared" si="11"/>
        <v>15.71212296300838</v>
      </c>
      <c r="C82" s="119">
        <f t="shared" si="11"/>
        <v>16.341950014539467</v>
      </c>
      <c r="D82" s="119">
        <f t="shared" si="11"/>
        <v>17.016481521998585</v>
      </c>
      <c r="E82" s="119">
        <f t="shared" si="11"/>
        <v>17.738711934980042</v>
      </c>
      <c r="F82" s="119">
        <f t="shared" si="11"/>
        <v>18.511811928214982</v>
      </c>
      <c r="G82" s="300"/>
      <c r="H82" s="300"/>
      <c r="I82" s="300"/>
      <c r="J82" s="300"/>
      <c r="K82" s="300"/>
      <c r="L82" s="300"/>
    </row>
    <row r="83" spans="1:12" ht="13.15">
      <c r="A83" s="131">
        <f t="shared" ref="A83:A87" si="14">A65</f>
        <v>10</v>
      </c>
      <c r="B83" s="119">
        <f t="shared" si="11"/>
        <v>15.631172826318339</v>
      </c>
      <c r="C83" s="119">
        <f t="shared" si="11"/>
        <v>16.297602461591573</v>
      </c>
      <c r="D83" s="119">
        <f t="shared" si="11"/>
        <v>17.016481521998585</v>
      </c>
      <c r="E83" s="119">
        <f t="shared" si="11"/>
        <v>17.791805913963262</v>
      </c>
      <c r="F83" s="119">
        <f t="shared" si="11"/>
        <v>18.627845711070428</v>
      </c>
      <c r="G83" s="300"/>
      <c r="H83" s="300"/>
      <c r="I83" s="300"/>
      <c r="J83" s="300"/>
      <c r="K83" s="300"/>
      <c r="L83" s="300"/>
    </row>
    <row r="84" spans="1:12" ht="13.15">
      <c r="A84" s="131">
        <f t="shared" si="14"/>
        <v>15</v>
      </c>
      <c r="B84" s="119">
        <f t="shared" si="11"/>
        <v>15.335564131538591</v>
      </c>
      <c r="C84" s="119">
        <f t="shared" si="11"/>
        <v>16.13099772680318</v>
      </c>
      <c r="D84" s="119">
        <f t="shared" si="11"/>
        <v>17.016481521998585</v>
      </c>
      <c r="E84" s="119">
        <f t="shared" si="11"/>
        <v>18.002857672330393</v>
      </c>
      <c r="F84" s="119">
        <f t="shared" si="11"/>
        <v>19.102236506608168</v>
      </c>
      <c r="G84" s="300"/>
      <c r="H84" s="300"/>
      <c r="I84" s="300"/>
      <c r="J84" s="300"/>
      <c r="K84" s="300"/>
      <c r="L84" s="300"/>
    </row>
    <row r="85" spans="1:12" ht="13.15">
      <c r="A85" s="132">
        <f t="shared" si="14"/>
        <v>20</v>
      </c>
      <c r="B85" s="119">
        <f t="shared" si="11"/>
        <v>15.163875968434704</v>
      </c>
      <c r="C85" s="119">
        <f t="shared" si="11"/>
        <v>16.029195779747045</v>
      </c>
      <c r="D85" s="119">
        <f t="shared" si="11"/>
        <v>17.016481521998582</v>
      </c>
      <c r="E85" s="119">
        <f t="shared" si="11"/>
        <v>18.145381873497556</v>
      </c>
      <c r="F85" s="119">
        <f t="shared" si="11"/>
        <v>19.438771232719841</v>
      </c>
      <c r="G85" s="300"/>
      <c r="H85" s="300"/>
      <c r="I85" s="300"/>
      <c r="J85" s="300"/>
      <c r="K85" s="300"/>
      <c r="L85" s="300"/>
    </row>
    <row r="86" spans="1:12" ht="13.15">
      <c r="A86" s="132">
        <f t="shared" si="14"/>
        <v>25</v>
      </c>
      <c r="B86" s="119">
        <f t="shared" si="11"/>
        <v>15.064160277149139</v>
      </c>
      <c r="C86" s="119">
        <f t="shared" si="11"/>
        <v>15.966990846390349</v>
      </c>
      <c r="D86" s="119">
        <f t="shared" si="11"/>
        <v>17.016481521998582</v>
      </c>
      <c r="E86" s="119">
        <f t="shared" si="11"/>
        <v>18.241629107235379</v>
      </c>
      <c r="F86" s="119">
        <f t="shared" si="11"/>
        <v>19.677510312281182</v>
      </c>
      <c r="G86" s="300"/>
      <c r="H86" s="300"/>
      <c r="I86" s="300"/>
      <c r="J86" s="300"/>
      <c r="K86" s="300"/>
      <c r="L86" s="300"/>
    </row>
    <row r="87" spans="1:12" ht="13.15">
      <c r="A87" s="132">
        <f t="shared" si="14"/>
        <v>30</v>
      </c>
      <c r="B87" s="119">
        <f t="shared" si="11"/>
        <v>15.006245864712083</v>
      </c>
      <c r="C87" s="119">
        <f t="shared" si="11"/>
        <v>15.928981222352641</v>
      </c>
      <c r="D87" s="119">
        <f t="shared" si="11"/>
        <v>17.016481521998582</v>
      </c>
      <c r="E87" s="119">
        <f t="shared" si="11"/>
        <v>18.306625296839123</v>
      </c>
      <c r="F87" s="119">
        <f t="shared" si="11"/>
        <v>19.846872769369444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17.620372022797394</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17.315610948593427</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17.016481521998589</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16.722929635910141</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16.434901183225374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1207933528.2671547</v>
      </c>
      <c r="D8" s="465"/>
      <c r="E8" s="465"/>
      <c r="F8" s="465"/>
      <c r="G8" s="465"/>
    </row>
    <row r="9" spans="2:7">
      <c r="B9" s="97" t="s">
        <v>54</v>
      </c>
      <c r="C9" s="452">
        <f>Normalized_FCF!C19</f>
        <v>1109903750.8583741</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-7.7252234380016493E-2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17.315610948593427</v>
      </c>
      <c r="F22" s="332">
        <f>1-F23-F24</f>
        <v>0.19999999999999996</v>
      </c>
      <c r="G22" s="332">
        <f>F22*(1-F$29-F$30)</f>
        <v>0.15999999999999995</v>
      </c>
    </row>
    <row r="23" spans="2:7">
      <c r="B23" s="306" t="s">
        <v>440</v>
      </c>
      <c r="C23" s="328">
        <v>0</v>
      </c>
      <c r="D23" s="329">
        <f>C18</f>
        <v>3</v>
      </c>
      <c r="E23" s="330">
        <f>DCF!E92</f>
        <v>17.016481521998589</v>
      </c>
      <c r="F23" s="331">
        <v>0.55000000000000004</v>
      </c>
      <c r="G23" s="332">
        <f t="shared" ref="G23:G24" si="0">F23*(1-F$29-F$30)</f>
        <v>0.44</v>
      </c>
    </row>
    <row r="24" spans="2:7">
      <c r="B24" s="306" t="s">
        <v>449</v>
      </c>
      <c r="C24" s="328">
        <v>-0.01</v>
      </c>
      <c r="D24" s="329">
        <f>C18</f>
        <v>3</v>
      </c>
      <c r="E24" s="330">
        <f>DCF!E93</f>
        <v>16.722929635910141</v>
      </c>
      <c r="F24" s="331">
        <v>0.25</v>
      </c>
      <c r="G24" s="332">
        <f t="shared" si="0"/>
        <v>0.19999999999999998</v>
      </c>
    </row>
    <row r="25" spans="2:7">
      <c r="B25" s="141" t="s">
        <v>454</v>
      </c>
      <c r="C25" s="446">
        <f>E23*F23+E24*F24+E22*F22</f>
        <v>17.002919435795445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17.620372022797394</v>
      </c>
      <c r="F29" s="331">
        <v>0.15</v>
      </c>
      <c r="G29" s="332">
        <f>F29</f>
        <v>0.15</v>
      </c>
    </row>
    <row r="30" spans="2:7">
      <c r="B30" s="319" t="s">
        <v>450</v>
      </c>
      <c r="C30" s="328">
        <v>-0.02</v>
      </c>
      <c r="D30" s="329">
        <f>C18</f>
        <v>3</v>
      </c>
      <c r="E30" s="330">
        <f>DCF!E94</f>
        <v>16.434901183225374</v>
      </c>
      <c r="F30" s="331">
        <v>0.05</v>
      </c>
      <c r="G30" s="332">
        <f>F30</f>
        <v>0.05</v>
      </c>
    </row>
    <row r="31" spans="2:7">
      <c r="E31" s="333"/>
      <c r="F31" s="333"/>
    </row>
    <row r="32" spans="2:7" ht="13.15">
      <c r="B32" s="145" t="s">
        <v>459</v>
      </c>
    </row>
    <row r="33" spans="2:7">
      <c r="B33" s="97" t="s">
        <v>461</v>
      </c>
      <c r="C33" s="155">
        <f>Normalized_FCF!C88*(1-dividend_tax_rate)</f>
        <v>0.59662485969543355</v>
      </c>
      <c r="D33" t="str">
        <f>Market_currency</f>
        <v>HKD</v>
      </c>
      <c r="E33" s="97" t="s">
        <v>458</v>
      </c>
      <c r="F33" s="219">
        <f>Holding_Period</f>
        <v>3</v>
      </c>
    </row>
    <row r="34" spans="2:7">
      <c r="B34" s="97" t="s">
        <v>233</v>
      </c>
      <c r="C34" s="146">
        <f>Market_Price</f>
        <v>10.43</v>
      </c>
      <c r="D34" t="str">
        <f>Market_currency</f>
        <v>HKD</v>
      </c>
      <c r="E34" s="97" t="s">
        <v>457</v>
      </c>
      <c r="F34" s="334">
        <f>RATE(Holding_Period,$C$33,-C34,$C$36)</f>
        <v>0.22759647505526587</v>
      </c>
    </row>
    <row r="35" spans="2:7">
      <c r="B35" s="97" t="s">
        <v>437</v>
      </c>
      <c r="C35" s="324">
        <f>DCF!C11</f>
        <v>17.016481521998589</v>
      </c>
      <c r="D35" s="97" t="str">
        <f>Market_currency</f>
        <v>HKD</v>
      </c>
      <c r="E35" s="97" t="s">
        <v>457</v>
      </c>
      <c r="F35" s="334">
        <f>RATE(Holding_Period,$C$33,-C35,$C$36)</f>
        <v>3.601896122133004E-2</v>
      </c>
    </row>
    <row r="36" spans="2:7">
      <c r="B36" s="97" t="s">
        <v>438</v>
      </c>
      <c r="C36" s="325">
        <f>E22*G22+E23*G23+E24*G24+E30*G30+E29*G29</f>
        <v>17.067136411217234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17.068457174402401</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0.36748044712802796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0.59662485969543355</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1.0917349398601683</v>
      </c>
      <c r="D62" s="119">
        <f>C36/(1+F62)^Holding_Period</f>
        <v>7.8650398208374366</v>
      </c>
      <c r="E62" s="336">
        <f>C62+D62</f>
        <v>8.9567747606976056</v>
      </c>
      <c r="F62" s="305">
        <f>Thesis!E22</f>
        <v>0.29465259038036601</v>
      </c>
      <c r="G62" s="445">
        <f>(1-E62/C36)</f>
        <v>0.47520342341607824</v>
      </c>
    </row>
    <row r="63" spans="2:7" ht="13.15">
      <c r="B63" s="306" t="s">
        <v>313</v>
      </c>
      <c r="C63" s="119">
        <f>PV(F63, Holding_Period, -C58, 0)</f>
        <v>1.2553010598380527</v>
      </c>
      <c r="D63" s="119">
        <f>C36/(1+F63)^Holding_Period</f>
        <v>9.8582737393312581</v>
      </c>
      <c r="E63" s="336">
        <f>C63+D63</f>
        <v>11.11357479916931</v>
      </c>
      <c r="F63" s="305">
        <f>Thesis!E23</f>
        <v>0.20075184365903001</v>
      </c>
      <c r="G63" s="445">
        <f>(1-E63/C36)</f>
        <v>0.34883189942367809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1.4394190015139108</v>
      </c>
      <c r="D66" s="119">
        <f>C36/(1+F66)^Holding_Period</f>
        <v>12.233047401741313</v>
      </c>
      <c r="E66" s="336">
        <f>C66+D66</f>
        <v>13.672466403255225</v>
      </c>
      <c r="F66" s="305">
        <f>Thesis!E24</f>
        <v>0.1174</v>
      </c>
      <c r="G66" s="445">
        <f>(1-E66/C36)</f>
        <v>0.19890097120984462</v>
      </c>
    </row>
    <row r="67" spans="2:7" ht="13.15">
      <c r="B67" s="306" t="s">
        <v>314</v>
      </c>
      <c r="C67" s="119">
        <f>PV(F67, Holding_Period, -C58, 0)</f>
        <v>1.5586080033839271</v>
      </c>
      <c r="D67" s="119">
        <f>C36/(1+F67)^Holding_Period</f>
        <v>13.834668495157365</v>
      </c>
      <c r="E67" s="336">
        <f>C67+D67</f>
        <v>15.393276498541292</v>
      </c>
      <c r="F67" s="305">
        <f>Thesis!E25</f>
        <v>7.2499999999999995E-2</v>
      </c>
      <c r="G67" s="445">
        <f>(1-E67/C36)</f>
        <v>9.8075029831941274E-2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10.43</v>
      </c>
    </row>
    <row r="9" spans="1:10">
      <c r="B9" s="355" t="s">
        <v>361</v>
      </c>
      <c r="C9" s="357">
        <f>Common_Shares</f>
        <v>1233841000</v>
      </c>
    </row>
    <row r="10" spans="1:10">
      <c r="B10" s="355" t="s">
        <v>367</v>
      </c>
      <c r="C10" s="361">
        <f>投资主题!C8*Common_Shares/1000000</f>
        <v>12868.96163</v>
      </c>
      <c r="D10" s="347" t="s">
        <v>532</v>
      </c>
      <c r="E10" s="364">
        <f>Scenarios!F34</f>
        <v>0.22759647505526587</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1.10486085128784</v>
      </c>
    </row>
    <row r="17" spans="1:6">
      <c r="B17" s="347" t="s">
        <v>538</v>
      </c>
      <c r="C17" s="429">
        <f>Terminal_Growth</f>
        <v>0</v>
      </c>
      <c r="D17" s="355" t="s">
        <v>339</v>
      </c>
      <c r="E17" s="348" t="str">
        <f>Reporting_currency</f>
        <v>CNY</v>
      </c>
    </row>
    <row r="18" spans="1:6">
      <c r="B18" s="347" t="str">
        <f>"预期股权价值 ("&amp;C7&amp;") :"</f>
        <v>预期股权价值 (HKD) :</v>
      </c>
      <c r="C18" s="363">
        <f>C125</f>
        <v>17.067136411217234</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8.9567747606976056</v>
      </c>
      <c r="D22" s="369" t="s">
        <v>443</v>
      </c>
      <c r="E22" s="370">
        <f>Thesis!E22</f>
        <v>0.29465259038036601</v>
      </c>
    </row>
    <row r="23" spans="1:6">
      <c r="B23" s="347" t="s">
        <v>341</v>
      </c>
      <c r="C23" s="371">
        <f>E141</f>
        <v>11.11357479916931</v>
      </c>
      <c r="D23" s="369" t="s">
        <v>444</v>
      </c>
      <c r="E23" s="372">
        <f>Thesis!E23</f>
        <v>0.20075184365903001</v>
      </c>
    </row>
    <row r="24" spans="1:6">
      <c r="B24" s="347" t="s">
        <v>343</v>
      </c>
      <c r="C24" s="371">
        <f>E144</f>
        <v>13.672466403255225</v>
      </c>
      <c r="D24" s="369" t="s">
        <v>446</v>
      </c>
      <c r="E24" s="372">
        <f>Thesis!E24</f>
        <v>0.1174</v>
      </c>
    </row>
    <row r="25" spans="1:6">
      <c r="B25" s="347" t="s">
        <v>342</v>
      </c>
      <c r="C25" s="371">
        <f>E145</f>
        <v>15.393276498541292</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11585597.165092731</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-2571325.6644072682</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-389569742.95279133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1207933528.2671547</v>
      </c>
      <c r="D60" s="347" t="str">
        <f>Reporting_currency</f>
        <v>CNY</v>
      </c>
    </row>
    <row r="61" spans="2:6">
      <c r="B61" s="376" t="s">
        <v>213</v>
      </c>
      <c r="C61" s="377">
        <f>Normalized_FCF!C19</f>
        <v>1109903750.8583741</v>
      </c>
      <c r="D61" s="347" t="str">
        <f>Reporting_currency</f>
        <v>CNY</v>
      </c>
    </row>
    <row r="62" spans="2:6">
      <c r="B62" s="381" t="s">
        <v>302</v>
      </c>
      <c r="C62" s="382">
        <f>Normalized_FCF!C124</f>
        <v>9.5290454527600446E-2</v>
      </c>
      <c r="F62" s="383"/>
    </row>
    <row r="63" spans="2:6">
      <c r="B63" s="381" t="s">
        <v>332</v>
      </c>
      <c r="C63" s="382">
        <f>Normalized_FCF!C92</f>
        <v>5.7202766989015684E-2</v>
      </c>
      <c r="E63" s="376" t="s">
        <v>373</v>
      </c>
      <c r="F63" s="384">
        <f>Normalized_FCF!C90</f>
        <v>0.73694099144699055</v>
      </c>
    </row>
    <row r="65" spans="1:6">
      <c r="B65" s="373" t="s">
        <v>376</v>
      </c>
      <c r="C65" s="385" t="s">
        <v>327</v>
      </c>
      <c r="D65" s="385" t="s">
        <v>374</v>
      </c>
    </row>
    <row r="66" spans="1:6">
      <c r="B66" s="376" t="s">
        <v>326</v>
      </c>
      <c r="C66" s="382">
        <f>Normalized_FCF!C119</f>
        <v>0.10095660686647698</v>
      </c>
      <c r="D66" s="382">
        <f>Normalized_FCF!G119</f>
        <v>8.8888328700131733E-2</v>
      </c>
    </row>
    <row r="67" spans="1:6">
      <c r="B67" s="386" t="str">
        <f>Normalized_FCF!B116</f>
        <v>Pre-tax Profit/Sales</v>
      </c>
      <c r="C67" s="387">
        <f>Normalized_FCF!C116</f>
        <v>0.12639633498911301</v>
      </c>
      <c r="D67" s="387">
        <f>Normalized_FCF!G116</f>
        <v>0.11128701052585509</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-283138456.58999997</v>
      </c>
      <c r="D78" s="347" t="str">
        <f>Reporting_currency</f>
        <v>CNY</v>
      </c>
    </row>
    <row r="79" spans="1:6">
      <c r="B79" s="376" t="s">
        <v>234</v>
      </c>
      <c r="C79" s="391">
        <f>C78*scaling_factor*Exchange_Rate/Common_Shares</f>
        <v>-0.25354044498468808</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6703585887.331212</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6.0028233866097116</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0.52255597796413267</v>
      </c>
      <c r="D90" s="347" t="str">
        <f>Market_currency</f>
        <v>HKD</v>
      </c>
    </row>
    <row r="92" spans="1:6">
      <c r="B92" s="376" t="s">
        <v>483</v>
      </c>
      <c r="C92" s="391">
        <f>DCF!F8</f>
        <v>6.2718389195891557</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1.7240383285205596</v>
      </c>
      <c r="D111" s="347" t="str">
        <f>Market_currency</f>
        <v>HKD</v>
      </c>
    </row>
    <row r="112" spans="1:6">
      <c r="A112" s="389"/>
      <c r="B112" s="376" t="s">
        <v>377</v>
      </c>
      <c r="C112" s="398">
        <f>DCF!C11</f>
        <v>17.016481521998589</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17.62 HKD</v>
      </c>
      <c r="F118" s="403">
        <f>DCF!F90</f>
        <v>0.15</v>
      </c>
    </row>
    <row r="119" spans="1:6">
      <c r="A119" s="389"/>
      <c r="B119" s="404" t="str">
        <f>DCF!B91</f>
        <v>Optimistic</v>
      </c>
      <c r="C119" s="405">
        <f>DCF!C91</f>
        <v>0.01</v>
      </c>
      <c r="D119" s="406">
        <f>DCF!D91</f>
        <v>3</v>
      </c>
      <c r="E119" s="402" t="str">
        <f>ROUND(DCF!E91,2)&amp;" "&amp;Market_currency</f>
        <v>17.32 HKD</v>
      </c>
      <c r="F119" s="407">
        <f>DCF!F91</f>
        <v>0.15999999999999995</v>
      </c>
    </row>
    <row r="120" spans="1:6">
      <c r="B120" s="404" t="str">
        <f>DCF!B92</f>
        <v>Base</v>
      </c>
      <c r="C120" s="405">
        <f>DCF!C92</f>
        <v>0</v>
      </c>
      <c r="D120" s="406">
        <f>DCF!D92</f>
        <v>3</v>
      </c>
      <c r="E120" s="402" t="str">
        <f>ROUND(DCF!E92,2)&amp;" "&amp;Market_currency</f>
        <v>17.02 HKD</v>
      </c>
      <c r="F120" s="407">
        <f>DCF!F92</f>
        <v>0.44</v>
      </c>
    </row>
    <row r="121" spans="1:6">
      <c r="B121" s="404" t="str">
        <f>DCF!B93</f>
        <v>Pessimistic</v>
      </c>
      <c r="C121" s="405">
        <f>DCF!C93</f>
        <v>-0.01</v>
      </c>
      <c r="D121" s="406">
        <f>DCF!D93</f>
        <v>3</v>
      </c>
      <c r="E121" s="402" t="str">
        <f>ROUND(DCF!E93,2)&amp;" "&amp;Market_currency</f>
        <v>16.72 HKD</v>
      </c>
      <c r="F121" s="407">
        <f>DCF!F93</f>
        <v>0.19999999999999998</v>
      </c>
    </row>
    <row r="122" spans="1:6">
      <c r="B122" s="404" t="str">
        <f>DCF!B94</f>
        <v>Devil's advocate</v>
      </c>
      <c r="C122" s="405">
        <f>DCF!C94</f>
        <v>-0.02</v>
      </c>
      <c r="D122" s="406">
        <f>DCF!D94</f>
        <v>3</v>
      </c>
      <c r="E122" s="402" t="str">
        <f>ROUND(DCF!E94,2)&amp;" "&amp;Market_currency</f>
        <v>16.43 HKD</v>
      </c>
      <c r="F122" s="407">
        <f>DCF!F94</f>
        <v>0.05</v>
      </c>
    </row>
    <row r="124" spans="1:6">
      <c r="B124" s="466" t="s">
        <v>522</v>
      </c>
      <c r="C124" s="466"/>
      <c r="D124" s="466"/>
      <c r="E124" s="466"/>
      <c r="F124" s="466"/>
    </row>
    <row r="125" spans="1:6">
      <c r="B125" s="376" t="s">
        <v>218</v>
      </c>
      <c r="C125" s="408">
        <f>Scenarios!C36</f>
        <v>17.067136411217234</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0.59662485969543355</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1.0917349398601683</v>
      </c>
      <c r="D140" s="413">
        <f>Scenarios!D62</f>
        <v>7.8650398208374366</v>
      </c>
      <c r="E140" s="414">
        <f>Scenarios!E62</f>
        <v>8.9567747606976056</v>
      </c>
      <c r="F140" s="415">
        <f>E22</f>
        <v>0.29465259038036601</v>
      </c>
    </row>
    <row r="141" spans="1:6">
      <c r="B141" s="412" t="s">
        <v>313</v>
      </c>
      <c r="C141" s="413">
        <f>Scenarios!C63</f>
        <v>1.2553010598380527</v>
      </c>
      <c r="D141" s="413">
        <f>Scenarios!D63</f>
        <v>9.8582737393312581</v>
      </c>
      <c r="E141" s="414">
        <f>Scenarios!E63</f>
        <v>11.11357479916931</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1.4394190015139108</v>
      </c>
      <c r="D144" s="413">
        <f>Scenarios!D66</f>
        <v>12.233047401741313</v>
      </c>
      <c r="E144" s="414">
        <f>Scenarios!E66</f>
        <v>13.672466403255225</v>
      </c>
      <c r="F144" s="415">
        <f>E24</f>
        <v>0.1174</v>
      </c>
    </row>
    <row r="145" spans="1:6">
      <c r="B145" s="412" t="s">
        <v>314</v>
      </c>
      <c r="C145" s="413">
        <f>Scenarios!C67</f>
        <v>1.5586080033839271</v>
      </c>
      <c r="D145" s="413">
        <f>Scenarios!D67</f>
        <v>13.834668495157365</v>
      </c>
      <c r="E145" s="414">
        <f>Scenarios!E67</f>
        <v>15.393276498541292</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