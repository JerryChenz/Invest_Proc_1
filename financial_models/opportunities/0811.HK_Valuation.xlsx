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B363DE7-7AFE-4E37-8250-08F66E05AB1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D5" i="4" l="1"/>
  <c r="C5" i="4"/>
  <c r="C25" i="4"/>
  <c r="C27" i="3" l="1"/>
  <c r="C23" i="3"/>
  <c r="C19" i="3"/>
  <c r="C21" i="3"/>
  <c r="G19" i="3"/>
  <c r="C15" i="3"/>
  <c r="C11" i="3"/>
  <c r="C9" i="3"/>
  <c r="C4" i="3"/>
  <c r="C28" i="4"/>
  <c r="G4" i="3"/>
  <c r="C4" i="2"/>
  <c r="C9" i="6"/>
  <c r="E83" i="2"/>
  <c r="E84" i="2"/>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G38" i="2"/>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C30" i="8"/>
  <c r="C31" i="8" s="1"/>
  <c r="G23" i="8"/>
  <c r="I23" i="8" s="1"/>
  <c r="G22" i="8"/>
  <c r="I22" i="8" s="1"/>
  <c r="G24" i="8"/>
  <c r="I24" i="8" s="1"/>
  <c r="G25" i="8"/>
  <c r="I25" i="8" s="1"/>
  <c r="C46" i="12"/>
  <c r="C11" i="2"/>
  <c r="C12" i="2" s="1"/>
  <c r="C46" i="6"/>
  <c r="C76" i="2"/>
  <c r="J1" i="2"/>
  <c r="K1" i="2" s="1"/>
  <c r="L1" i="2" s="1"/>
  <c r="M1" i="2" s="1"/>
  <c r="N1" i="2" s="1"/>
  <c r="O1" i="2" s="1"/>
  <c r="P1" i="2" s="1"/>
  <c r="Q1" i="2" s="1"/>
  <c r="J29" i="8" l="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C37" i="8"/>
  <c r="G35" i="8"/>
  <c r="I35" i="8" s="1"/>
  <c r="J35" i="8" s="1"/>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<sst xmlns="http://schemas.openxmlformats.org/spreadsheetml/2006/main" count="766" uniqueCount="557">
  <si>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</si>
  <si>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</si>
  <si>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</si>
  <si>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</si>
  <si>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</si>
  <si>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</si>
  <si>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</si>
  <si>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</si>
  <si>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</si>
  <si>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</si>
  <si>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</si>
  <si>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</si>
  <si>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</si>
  <si>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</si>
  <si>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</si>
  <si>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</si>
  <si>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</si>
  <si>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</si>
  <si>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</si>
  <si>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</si>
  <si>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</si>
  <si>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</si>
  <si>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</si>
  <si>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</si>
  <si>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</si>
  <si>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</si>
  <si>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</si>
  <si>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</si>
  <si>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</si>
  <si>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</si>
  <si>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</si>
  <si>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</si>
  <si>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</si>
  <si>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</si>
  <si>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</si>
  <si>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</si>
  <si>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</si>
  <si>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</si>
  <si>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</si>
  <si>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</si>
  <si>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</si>
  <si>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</si>
  <si>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</si>
  <si>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</si>
  <si>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</si>
  <si>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</si>
  <si>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</si>
  <si>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</si>
  <si>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</si>
  <si>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</si>
  <si>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</si>
  <si>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</si>
  <si>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</si>
  <si>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</si>
  <si>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</si>
  <si>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</si>
  <si>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</si>
  <si>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</si>
  <si>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</si>
  <si>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</si>
  <si>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</si>
  <si>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</si>
  <si>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</si>
  <si>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</si>
  <si>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</si>
  <si>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</si>
  <si>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</si>
  <si>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</si>
  <si>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</si>
  <si>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</si>
  <si>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</si>
  <si>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</si>
  <si>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</si>
  <si>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</si>
  <si>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</si>
  <si>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</si>
  <si>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</si>
  <si>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</si>
  <si>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</si>
  <si>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</si>
  <si>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</si>
  <si>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</si>
  <si>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</si>
  <si>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</si>
  <si>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</si>
  <si>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</si>
  <si>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</si>
  <si>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</si>
  <si>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</si>
  <si>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</si>
  <si>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</si>
  <si>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</si>
  <si>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</si>
  <si>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</si>
  <si>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</si>
  <si>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</si>
  <si>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</si>
  <si>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</si>
  <si>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</si>
  <si>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</si>
  <si>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</si>
  <si>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</si>
  <si>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</si>
  <si>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</si>
  <si>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</si>
  <si>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</si>
  <si>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</si>
  <si>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</si>
  <si>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</si>
  <si>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</si>
  <si>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</si>
  <si>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</si>
  <si>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</si>
  <si>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</si>
  <si>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</si>
  <si>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</si>
  <si>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</si>
  <si>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</si>
  <si>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</si>
  <si>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</si>
  <si>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</si>
  <si>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</si>
  <si>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</si>
  <si>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</si>
  <si>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</si>
  <si>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</si>
  <si>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</si>
  <si>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</si>
  <si>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</si>
  <si>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</si>
  <si>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</si>
  <si>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</si>
  <si>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</si>
  <si>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</si>
  <si>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</si>
  <si>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</si>
  <si>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</si>
  <si>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</si>
  <si>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</si>
  <si>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</si>
  <si>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</si>
  <si>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</si>
  <si>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</si>
  <si>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</si>
  <si>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</si>
  <si>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</si>
  <si>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</si>
  <si>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</si>
  <si>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</si>
  <si>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</si>
  <si>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</si>
  <si>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</si>
  <si>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</si>
  <si>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</si>
  <si>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</si>
  <si>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</si>
  <si>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</si>
  <si>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</si>
  <si>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</si>
  <si>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</si>
  <si>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</si>
  <si>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</si>
  <si>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</si>
  <si>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</si>
  <si>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</si>
  <si>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</si>
  <si>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</si>
  <si>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</si>
  <si>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</si>
  <si>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</si>
  <si>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</si>
  <si>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</si>
  <si>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</si>
  <si>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</si>
  <si>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</si>
  <si>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</si>
  <si>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</si>
  <si>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</si>
  <si>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</si>
  <si>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</si>
  <si>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</si>
  <si>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</si>
  <si>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</si>
  <si>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</si>
  <si>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</si>
  <si>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</si>
  <si>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</si>
  <si>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</si>
  <si>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</si>
  <si>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</si>
  <si>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</si>
  <si>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</si>
  <si>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</si>
  <si>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</si>
  <si>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</si>
  <si>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</si>
  <si>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</si>
  <si>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</si>
  <si>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</si>
  <si>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</si>
  <si>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</si>
  <si>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</si>
  <si>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</si>
  <si>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</si>
  <si>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</si>
  <si>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</si>
  <si>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</si>
  <si>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</si>
  <si>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</si>
  <si>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</si>
  <si>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</si>
  <si>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</si>
  <si>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</si>
  <si>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</si>
  <si>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</si>
  <si>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</si>
  <si>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</si>
  <si>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</si>
  <si>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</si>
  <si>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</si>
  <si>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</si>
  <si>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</si>
  <si>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</si>
  <si>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</si>
  <si>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</si>
  <si>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</si>
  <si>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</si>
  <si>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</si>
  <si>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</si>
  <si>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</si>
  <si>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</si>
  <si>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</si>
  <si>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</si>
  <si>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</si>
  <si>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</si>
  <si>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</si>
  <si>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</si>
  <si>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</si>
  <si>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</si>
  <si>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</si>
  <si>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</si>
  <si>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</si>
  <si>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</si>
  <si>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</si>
  <si>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</si>
  <si>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</si>
  <si>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</si>
  <si>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</si>
  <si>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</si>
  <si>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</si>
  <si>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</si>
  <si>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</si>
  <si>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</si>
  <si>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</si>
  <si>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</si>
  <si>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</si>
  <si>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</si>
  <si>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</si>
  <si>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</si>
  <si>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</si>
  <si>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</si>
  <si>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</si>
  <si>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</si>
  <si>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</si>
  <si>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</si>
  <si>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</si>
  <si>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</si>
  <si>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</si>
  <si>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</si>
  <si>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</si>
  <si>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</si>
  <si>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</si>
  <si>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</si>
  <si>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</si>
  <si>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</si>
  <si>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</si>
  <si>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</si>
  <si>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</si>
  <si>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</si>
  <si>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</si>
  <si>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</si>
  <si>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</si>
  <si>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</si>
  <si>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</si>
  <si>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</si>
  <si>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</si>
  <si>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</si>
  <si>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</si>
  <si>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</si>
  <si>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</si>
  <si>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</si>
  <si>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</si>
  <si>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</si>
  <si>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</si>
  <si>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</si>
  <si>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</si>
  <si>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</si>
  <si>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</si>
  <si>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</si>
  <si>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</si>
  <si>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</si>
  <si>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</si>
  <si>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</si>
  <si>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</si>
  <si>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</si>
  <si>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</si>
  <si>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</si>
  <si>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</si>
  <si>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</si>
  <si>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</si>
  <si>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</si>
  <si>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</si>
  <si>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</si>
  <si>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</si>
  <si>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</si>
  <si>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</si>
  <si>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</si>
  <si>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</si>
  <si>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</si>
  <si>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</si>
  <si>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</si>
  <si>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</si>
  <si>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</si>
  <si>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</si>
  <si>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</si>
  <si>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</si>
  <si>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</si>
  <si>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</si>
  <si>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</si>
  <si>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</si>
  <si>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</si>
  <si>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</si>
  <si>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</si>
  <si>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</si>
  <si>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</si>
  <si>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</si>
  <si>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</si>
  <si>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</si>
  <si>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</si>
  <si>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</si>
  <si>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</si>
  <si>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</si>
  <si>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</si>
  <si>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</si>
  <si>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</si>
  <si>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</si>
  <si>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</si>
  <si>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</si>
  <si>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</si>
  <si>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</si>
  <si>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</si>
  <si>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</si>
  <si>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</si>
  <si>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</si>
  <si>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</si>
  <si>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</si>
  <si>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</si>
  <si>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</si>
  <si>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</si>
  <si>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</si>
  <si>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</si>
  <si>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</si>
  <si>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</si>
  <si>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</si>
  <si>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</si>
  <si>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</si>
  <si>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</si>
  <si>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</si>
  <si>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</si>
  <si>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</si>
  <si>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</si>
  <si>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</si>
  <si>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</si>
  <si>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</si>
  <si>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</si>
  <si>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</si>
  <si>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</si>
  <si>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</si>
  <si>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</si>
  <si>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</si>
  <si>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</si>
  <si>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</si>
  <si>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</si>
  <si>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</si>
  <si>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</si>
  <si>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</si>
  <si>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</si>
  <si>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</si>
  <si>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</si>
  <si>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</si>
  <si>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</si>
  <si>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</si>
  <si>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</si>
  <si>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</si>
  <si>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</si>
  <si>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</si>
  <si>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</si>
  <si>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</si>
  <si>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</si>
  <si>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</si>
  <si>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</si>
  <si>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</si>
  <si>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</si>
  <si>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</si>
  <si>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</si>
  <si>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</si>
  <si>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</si>
  <si>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</si>
  <si>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</si>
  <si>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</si>
  <si>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</si>
  <si>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</si>
  <si>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</si>
  <si>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</si>
  <si>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</si>
  <si>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</si>
  <si>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</si>
  <si>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</si>
  <si>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</si>
  <si>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</si>
  <si>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</si>
  <si>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</si>
  <si>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</si>
  <si>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</si>
  <si>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</si>
  <si>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</si>
  <si>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</si>
  <si>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</si>
  <si>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</si>
  <si>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</si>
  <si>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</si>
  <si>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</si>
  <si>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</si>
  <si>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</si>
  <si>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</si>
  <si>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</si>
  <si>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</si>
  <si>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</si>
  <si>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</si>
  <si>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</si>
  <si>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</si>
  <si>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</si>
  <si>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</si>
  <si>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</si>
  <si>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</si>
  <si>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</si>
  <si>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</si>
  <si>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</si>
  <si>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</si>
  <si>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</si>
  <si>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</si>
  <si>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</si>
  <si>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</si>
  <si>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</si>
  <si>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</si>
  <si>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</si>
  <si>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</si>
  <si>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</si>
  <si>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</si>
  <si>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</si>
  <si>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</si>
  <si>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</si>
  <si>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</si>
  <si>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</si>
  <si>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</si>
  <si>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</si>
  <si>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</si>
  <si>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</si>
  <si>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</si>
  <si>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</si>
  <si>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</si>
  <si>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</si>
  <si>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</si>
  <si>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</si>
  <si>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</si>
  <si>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</si>
  <si>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</si>
  <si>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</si>
  <si>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</si>
  <si>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</si>
  <si>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</si>
  <si>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</si>
  <si>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</si>
  <si>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</si>
  <si>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</si>
  <si>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</si>
  <si>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</si>
  <si>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</si>
  <si>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</si>
  <si>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</si>
  <si>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</si>
  <si>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</si>
  <si>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</si>
  <si>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</si>
  <si>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</si>
  <si>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</si>
  <si>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</si>
  <si>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</si>
  <si>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</si>
  <si>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</si>
  <si>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</si>
  <si>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</si>
  <si>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</si>
  <si>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</si>
  <si>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</si>
  <si>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</si>
  <si>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</si>
  <si>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</si>
  <si>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</si>
  <si>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</si>
  <si>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</si>
  <si>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</si>
  <si>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</si>
  <si>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</si>
  <si>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</si>
  <si>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</si>
  <si>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</si>
  <si>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</si>
  <si>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</si>
  <si>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</si>
  <si>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</si>
  <si>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</si>
  <si>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</si>
  <si>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</si>
  <si>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</si>
  <si>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</si>
  <si>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</si>
  <si>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</si>
  <si>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</si>
  <si>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</si>
  <si>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</si>
  <si>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</si>
  <si>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</si>
  <si>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</si>
  <si>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</si>
  <si>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</si>
  <si>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</si>
  <si>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</si>
  <si>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</si>
  <si>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</si>
  <si>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</si>
  <si>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</si>
  <si>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</si>
  <si>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</si>
  <si>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</si>
  <si>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</si>
  <si>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</si>
  <si>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</si>
  <si>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</si>
  <si>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</si>
  <si>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</si>
  <si>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</si>
  <si>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</si>
  <si>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0811.HK</t>
  </si>
  <si>
    <t>新华文轩</t>
  </si>
  <si>
    <t>CNY</t>
  </si>
  <si>
    <t>CNS_04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</si>
</sst>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5" sqref="C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45965</v>
      </c>
    </row>
    <row r="4" spans="1:9" ht="12.4">
      <c r="B4" s="426" t="s">
        <v>536</v>
      </c>
      <c r="C4" s="425" t="s">
        <v>554</v>
      </c>
      <c r="E4" s="435" t="s">
        <v>540</v>
      </c>
      <c r="F4" s="436" t="s">
        <v>324</v>
      </c>
    </row>
    <row r="5" spans="1:9">
      <c r="B5" s="1" t="s">
        <v>349</v>
      </c>
      <c r="C5" s="46" t="s">
        <v>553</v>
      </c>
      <c r="E5" s="438" t="s">
        <v>542</v>
      </c>
      <c r="F5" s="437" t="s">
        <v>550</v>
      </c>
    </row>
    <row r="6" spans="1:9">
      <c r="B6" s="2" t="s">
        <v>53</v>
      </c>
      <c r="C6" s="45" t="s">
        <v>556</v>
      </c>
      <c r="D6" s="45"/>
      <c r="E6" s="45"/>
    </row>
    <row r="7" spans="1:9">
      <c r="B7" s="1" t="s">
        <v>351</v>
      </c>
      <c r="C7" s="45" t="s">
        <v>308</v>
      </c>
      <c r="D7" s="45"/>
      <c r="E7" s="45"/>
    </row>
    <row r="8" spans="1:9">
      <c r="B8" s="4" t="s">
        <v>350</v>
      </c>
      <c r="C8" s="47">
        <v>10.6</v>
      </c>
      <c r="E8" s="32"/>
    </row>
    <row r="9" spans="1:9">
      <c r="B9" s="4" t="s">
        <v>346</v>
      </c>
      <c r="C9" s="48">
        <f>791903900+441937100</f>
        <v>1233841000</v>
      </c>
    </row>
    <row r="10" spans="1:9">
      <c r="B10" s="4" t="s">
        <v>352</v>
      </c>
      <c r="C10" s="33">
        <f>Thesis!C8*Common_Shares/1000000</f>
        <v>13078.714599999999</v>
      </c>
      <c r="D10" s="1" t="s">
        <v>531</v>
      </c>
      <c r="E10" s="307">
        <f>Scenarios!F34</f>
        <v>0.21934387142409759</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500</v>
      </c>
      <c r="D15" s="4" t="s">
        <v>353</v>
      </c>
      <c r="E15" s="256" t="str">
        <f>IF(E17=C7,C7,E17&amp;"/"&amp;C7)</f>
        <v>CNY/HKD</v>
      </c>
    </row>
    <row r="16" spans="1:9">
      <c r="B16" s="1" t="s">
        <v>320</v>
      </c>
      <c r="C16" s="422" t="s">
        <v>500</v>
      </c>
      <c r="D16" s="4" t="s">
        <v>354</v>
      </c>
      <c r="E16" s="421">
        <v>1.1013227999999999</v>
      </c>
    </row>
    <row r="17" spans="1:6">
      <c r="B17" s="1" t="s">
        <v>535</v>
      </c>
      <c r="C17" s="420">
        <v>0</v>
      </c>
      <c r="D17" s="4" t="s">
        <v>274</v>
      </c>
      <c r="E17" s="224" t="s">
        <v>555</v>
      </c>
    </row>
    <row r="18" spans="1:6">
      <c r="B18" s="1" t="str">
        <f>"Expected Equity Value ("&amp;C7&amp;") :"</f>
        <v>Expected Equity Value (HKD) :</v>
      </c>
      <c r="C18" s="255">
        <f>C125</f>
        <v>17.012853707020131</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46173</v>
      </c>
    </row>
    <row r="20" spans="1:6">
      <c r="D20" s="5"/>
      <c r="E20" s="5"/>
    </row>
    <row r="21" spans="1:6">
      <c r="B21" s="42" t="s">
        <v>406</v>
      </c>
      <c r="C21" s="257" t="str">
        <f>C138&amp;" ("&amp;Market_currency&amp;")"</f>
        <v xml:space="preserve"> (HKD)</v>
      </c>
      <c r="D21" s="31" t="s">
        <v>316</v>
      </c>
      <c r="E21" s="447">
        <v>3</v>
      </c>
    </row>
    <row r="22" spans="1:6">
      <c r="B22" s="1" t="s">
        <v>312</v>
      </c>
      <c r="C22" s="258">
        <f>E140</f>
        <v>8.9282636709273095</v>
      </c>
      <c r="D22" s="38" t="s">
        <v>408</v>
      </c>
      <c r="E22" s="79">
        <v>0.29465259038036606</v>
      </c>
    </row>
    <row r="23" spans="1:6">
      <c r="B23" s="1" t="s">
        <v>313</v>
      </c>
      <c r="C23" s="259">
        <f>E141</f>
        <v>11.078200368693507</v>
      </c>
      <c r="D23" s="38" t="s">
        <v>409</v>
      </c>
      <c r="E23" s="448">
        <v>0.20075184365903009</v>
      </c>
    </row>
    <row r="24" spans="1:6">
      <c r="B24" s="1" t="s">
        <v>315</v>
      </c>
      <c r="C24" s="259">
        <f>E144</f>
        <v>13.628949317518744</v>
      </c>
      <c r="D24" s="38" t="s">
        <v>410</v>
      </c>
      <c r="E24" s="448">
        <v>0.1174</v>
      </c>
    </row>
    <row r="25" spans="1:6">
      <c r="B25" s="1" t="s">
        <v>314</v>
      </c>
      <c r="C25" s="259">
        <f>E145</f>
        <v>15.34428371927317</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v>
      </c>
    </row>
    <row r="33" spans="2:6" ht="24.5" customHeight="1">
      <c r="B33" s="459" t="s">
        <v>196</v>
      </c>
      <c r="C33" s="459"/>
      <c r="D33" s="459"/>
      <c r="E33" s="459"/>
      <c r="F33" s="459"/>
    </row>
    <row r="34" spans="2:6">
      <c r="B34" s="44" t="s">
        <v>197</v>
      </c>
      <c r="C34" s="289">
        <f>Normalized_FCF!C8</f>
        <v>1560850297.4755726</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11582977.929449307</v>
      </c>
      <c r="D44" s="1" t="str">
        <f>Reporting_currency</f>
        <v>CNY</v>
      </c>
      <c r="E44" s="247"/>
      <c r="F44" s="247"/>
    </row>
    <row r="45" spans="2:6">
      <c r="B45" s="44" t="s">
        <v>268</v>
      </c>
      <c r="C45" s="290">
        <f>Normalized_FCF!C45</f>
        <v>-14156922.829499999</v>
      </c>
      <c r="D45" s="1" t="str">
        <f>Reporting_currency</f>
        <v>CNY</v>
      </c>
      <c r="E45" s="247"/>
      <c r="F45" s="247"/>
    </row>
    <row r="46" spans="2:6">
      <c r="B46" s="44" t="s">
        <v>203</v>
      </c>
      <c r="C46" s="289">
        <f>Normalized_FCF!C10</f>
        <v>-2573944.9000506923</v>
      </c>
      <c r="D46" s="1" t="str">
        <f>Reporting_currency</f>
        <v>CNY</v>
      </c>
    </row>
    <row r="48" spans="2:6">
      <c r="B48" s="1" t="s">
        <v>211</v>
      </c>
    </row>
    <row r="49" spans="2:6">
      <c r="B49" s="44" t="s">
        <v>223</v>
      </c>
      <c r="C49" s="289">
        <f>Normalized_FCF!C13</f>
        <v>-58805478.000000007</v>
      </c>
      <c r="D49" s="1" t="str">
        <f>Reporting_currency</f>
        <v>CNY</v>
      </c>
    </row>
    <row r="51" spans="2:6">
      <c r="B51" s="459" t="s">
        <v>206</v>
      </c>
      <c r="C51" s="459"/>
      <c r="D51" s="459"/>
      <c r="E51" s="459"/>
      <c r="F51" s="459"/>
    </row>
    <row r="52" spans="2:6">
      <c r="B52" s="44" t="s">
        <v>204</v>
      </c>
      <c r="C52" s="289">
        <f>Normalized_FCF!C12</f>
        <v>-389569088.14388049</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1207921118.4237735</v>
      </c>
      <c r="D60" s="1" t="str">
        <f>Reporting_currency</f>
        <v>CNY</v>
      </c>
    </row>
    <row r="61" spans="2:6">
      <c r="B61" s="44" t="s">
        <v>213</v>
      </c>
      <c r="C61" s="289">
        <f>Normalized_FCF!C19</f>
        <v>1109901786.4316416</v>
      </c>
      <c r="D61" s="1" t="str">
        <f>Reporting_currency</f>
        <v>CNY</v>
      </c>
    </row>
    <row r="62" spans="2:6">
      <c r="B62" s="204" t="s">
        <v>302</v>
      </c>
      <c r="C62" s="89">
        <f>Normalized_FCF!C124</f>
        <v>9.3461795026699143E-2</v>
      </c>
      <c r="F62" s="260"/>
    </row>
    <row r="63" spans="2:6">
      <c r="B63" s="204" t="s">
        <v>332</v>
      </c>
      <c r="C63" s="89">
        <f>Normalized_FCF!C92</f>
        <v>5.6105123773584897E-2</v>
      </c>
      <c r="E63" s="44" t="s">
        <v>322</v>
      </c>
      <c r="F63" s="261">
        <f>Normalized_FCF!C90</f>
        <v>0.73458241521182999</v>
      </c>
    </row>
    <row r="65" spans="1:6">
      <c r="B65" s="192" t="s">
        <v>325</v>
      </c>
      <c r="C65" s="267" t="s">
        <v>327</v>
      </c>
      <c r="D65" s="267" t="s">
        <v>328</v>
      </c>
    </row>
    <row r="66" spans="1:6">
      <c r="B66" s="44" t="s">
        <v>326</v>
      </c>
      <c r="C66" s="89">
        <f>Normalized_FCF!C119</f>
        <v>0.10095643717340666</v>
      </c>
      <c r="D66" s="89">
        <f>Normalized_FCF!G119</f>
        <v>8.8887524700525647E-2</v>
      </c>
    </row>
    <row r="67" spans="1:6">
      <c r="B67" s="229" t="str">
        <f>Normalized_FCF!B116</f>
        <v>Pre-tax Profit/Sales</v>
      </c>
      <c r="C67" s="266">
        <f>Normalized_FCF!C116</f>
        <v>0.12639612253563595</v>
      </c>
      <c r="D67" s="266">
        <f>Normalized_FCF!G116</f>
        <v>0.11128600392899436</v>
      </c>
    </row>
    <row r="68" spans="1:6">
      <c r="B68" s="229" t="str">
        <f>Normalized_FCF!B117</f>
        <v>Sales/Total Assets</v>
      </c>
      <c r="C68" s="268">
        <f>Normalized_FCF!C117</f>
        <v>0.49405373744838704</v>
      </c>
      <c r="D68" s="268">
        <f>Normalized_FCF!G117</f>
        <v>0.49405373744838704</v>
      </c>
    </row>
    <row r="69" spans="1:6">
      <c r="B69" s="229" t="str">
        <f>Normalized_FCF!B118</f>
        <v>Total Assets/Equity</v>
      </c>
      <c r="C69" s="268">
        <f>Normalized_FCF!C118</f>
        <v>1.6166874809837415</v>
      </c>
      <c r="D69" s="268">
        <f>Normalized_FCF!G118</f>
        <v>1.6166874809837415</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-283138456.58999997</v>
      </c>
      <c r="D78" s="1" t="str">
        <f>Reporting_currency</f>
        <v>CNY</v>
      </c>
    </row>
    <row r="79" spans="1:6">
      <c r="A79" s="191"/>
      <c r="B79" s="44" t="s">
        <v>234</v>
      </c>
      <c r="C79" s="201">
        <f>C78*scaling_factor*Exchange_Rate/Common_Shares</f>
        <v>-0.25272854265612604</v>
      </c>
      <c r="D79" s="1" t="str">
        <f>Market_currency</f>
        <v>HKD</v>
      </c>
    </row>
    <row r="80" spans="1:6">
      <c r="A80" s="191"/>
      <c r="B80" s="229" t="s">
        <v>309</v>
      </c>
      <c r="C80" s="341">
        <f>IF(BS!G31/BS!G27&gt;300%,"nm",BS!G31/BS!G27)</f>
        <v>1.8343761526547521E-2</v>
      </c>
    </row>
    <row r="81" spans="1:6">
      <c r="A81" s="191"/>
      <c r="B81" s="229" t="s">
        <v>311</v>
      </c>
      <c r="C81" s="342">
        <f>IF(BS!C50&gt;30,"nm",BS!C50)</f>
        <v>0.18140013622570431</v>
      </c>
    </row>
    <row r="82" spans="1:6">
      <c r="A82" s="191"/>
    </row>
    <row r="83" spans="1:6">
      <c r="A83" s="191"/>
      <c r="B83" s="1" t="s">
        <v>469</v>
      </c>
    </row>
    <row r="84" spans="1:6">
      <c r="A84" s="191"/>
      <c r="B84" s="1" t="s">
        <v>224</v>
      </c>
      <c r="C84" s="289">
        <f>DCF!F5</f>
        <v>6704022426.6051159</v>
      </c>
      <c r="D84" s="1" t="str">
        <f>Reporting_currency</f>
        <v>CNY</v>
      </c>
    </row>
    <row r="85" spans="1:6">
      <c r="A85" s="191"/>
      <c r="B85" s="229" t="s">
        <v>222</v>
      </c>
      <c r="C85" s="295">
        <f>BS!C66</f>
        <v>8634518748.1800003</v>
      </c>
      <c r="D85" s="343" t="str">
        <f>Reporting_currency</f>
        <v>CNY</v>
      </c>
    </row>
    <row r="86" spans="1:6">
      <c r="A86" s="191"/>
      <c r="B86" s="44" t="s">
        <v>235</v>
      </c>
      <c r="C86" s="201">
        <f>C84*scaling_factor*Exchange_Rate/Common_Shares</f>
        <v>5.983990441338503</v>
      </c>
      <c r="D86" s="1" t="str">
        <f>Market_currency</f>
        <v>HKD</v>
      </c>
    </row>
    <row r="87" spans="1:6">
      <c r="A87" s="191"/>
    </row>
    <row r="88" spans="1:6">
      <c r="A88" s="191"/>
      <c r="B88" s="1" t="s">
        <v>216</v>
      </c>
    </row>
    <row r="89" spans="1:6">
      <c r="A89" s="191"/>
      <c r="B89" s="1" t="s">
        <v>217</v>
      </c>
      <c r="C89" s="289">
        <f>DCF!F6</f>
        <v>583558544.63999999</v>
      </c>
      <c r="D89" s="1" t="str">
        <f>Reporting_currency</f>
        <v>CNY</v>
      </c>
    </row>
    <row r="90" spans="1:6">
      <c r="A90" s="191"/>
      <c r="B90" s="44" t="s">
        <v>236</v>
      </c>
      <c r="C90" s="201">
        <f>C89*scaling_factor*Exchange_Rate/Common_Shares</f>
        <v>0.52088261805763436</v>
      </c>
      <c r="D90" s="1" t="str">
        <f>Market_currency</f>
        <v>HKD</v>
      </c>
    </row>
    <row r="91" spans="1:6">
      <c r="A91" s="191"/>
    </row>
    <row r="92" spans="1:6">
      <c r="A92" s="191"/>
      <c r="B92" s="44" t="s">
        <v>472</v>
      </c>
      <c r="C92" s="216">
        <f>DCF!F8</f>
        <v>6.252144516740012</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9.2499999999999999E-2</v>
      </c>
    </row>
    <row r="102" spans="2:6">
      <c r="B102" s="229" t="s">
        <v>318</v>
      </c>
      <c r="C102" s="266">
        <f>E25</f>
        <v>7.2499999999999995E-2</v>
      </c>
    </row>
    <row r="103" spans="2:6">
      <c r="B103" s="229" t="s">
        <v>317</v>
      </c>
      <c r="C103" s="266">
        <f>IF(C15="Y",1%,0)+IF(C16="Y",1%,0)</f>
        <v>0.02</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1.7185175102008612</v>
      </c>
      <c r="D111" s="1" t="str">
        <f>Market_currency</f>
        <v>HKD</v>
      </c>
    </row>
    <row r="112" spans="2:6">
      <c r="B112" s="44" t="s">
        <v>323</v>
      </c>
      <c r="C112" s="216">
        <f>DCF!C11</f>
        <v>16.962361027907697</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0.02</v>
      </c>
      <c r="D118" s="207" t="str">
        <f>ROUND(DCF!E90,2)&amp;" "&amp;Market_currency</f>
        <v>17.56 HKD</v>
      </c>
      <c r="E118" s="208">
        <f>DCF!F90</f>
        <v>0.15</v>
      </c>
      <c r="F118" s="208">
        <f>RATE(Holding_Period,Scenarios!C$58,-DCF!E90,C$18)</f>
        <v>2.3637144816192977E-2</v>
      </c>
    </row>
    <row r="119" spans="2:6">
      <c r="B119" s="205" t="str">
        <f>DCF!B91&amp;" ("&amp;DCF!D91&amp;"yrs)"</f>
        <v>Optimistic (3yrs)</v>
      </c>
      <c r="C119" s="198">
        <f>DCF!C91</f>
        <v>0.01</v>
      </c>
      <c r="D119" s="207" t="str">
        <f>ROUND(DCF!E91,2)&amp;" "&amp;Market_currency</f>
        <v>17.26 HKD</v>
      </c>
      <c r="E119" s="199">
        <f>DCF!F91</f>
        <v>0.15999999999999995</v>
      </c>
      <c r="F119" s="208">
        <f>RATE(Holding_Period,Scenarios!C$58,-DCF!E91,C$18)</f>
        <v>2.9811811914266698E-2</v>
      </c>
    </row>
    <row r="120" spans="2:6">
      <c r="B120" s="205" t="str">
        <f>DCF!B92&amp;" ("&amp;DCF!D92&amp;"yrs)"</f>
        <v>Base (3yrs)</v>
      </c>
      <c r="C120" s="198">
        <f>DCF!C92</f>
        <v>0</v>
      </c>
      <c r="D120" s="207" t="str">
        <f>ROUND(DCF!E92,2)&amp;" "&amp;Market_currency</f>
        <v>16.96 HKD</v>
      </c>
      <c r="E120" s="199">
        <f>DCF!F92</f>
        <v>0.44</v>
      </c>
      <c r="F120" s="208">
        <f>RATE(Holding_Period,Scenarios!C$58,-DCF!E92,C$18)</f>
        <v>3.6018174802351255E-2</v>
      </c>
    </row>
    <row r="121" spans="2:6">
      <c r="B121" s="205" t="str">
        <f>DCF!B93&amp;" ("&amp;DCF!D93&amp;"yrs)"</f>
        <v>Pessimistic (3yrs)</v>
      </c>
      <c r="C121" s="198">
        <f>DCF!C93</f>
        <v>-0.01</v>
      </c>
      <c r="D121" s="207" t="str">
        <f>ROUND(DCF!E93,2)&amp;" "&amp;Market_currency</f>
        <v>16.67 HKD</v>
      </c>
      <c r="E121" s="199">
        <f>DCF!F93</f>
        <v>0.19999999999999998</v>
      </c>
      <c r="F121" s="208">
        <f>RATE(Holding_Period,Scenarios!C$58,-DCF!E93,C$18)</f>
        <v>4.2255173526660167E-2</v>
      </c>
    </row>
    <row r="122" spans="2:6">
      <c r="B122" s="205" t="str">
        <f>DCF!B94&amp;" ("&amp;DCF!D94&amp;"yrs)"</f>
        <v>Devil's advocate (3yrs)</v>
      </c>
      <c r="C122" s="198">
        <f>DCF!C94</f>
        <v>-0.02</v>
      </c>
      <c r="D122" s="207" t="str">
        <f>ROUND(DCF!E94,2)&amp;" "&amp;Market_currency</f>
        <v>16.38 HKD</v>
      </c>
      <c r="E122" s="199">
        <f>DCF!F94</f>
        <v>0.05</v>
      </c>
      <c r="F122" s="208">
        <f>RATE(Holding_Period,Scenarios!C$58,-DCF!E94,C$18)</f>
        <v>4.8521683217158891E-2</v>
      </c>
    </row>
    <row r="124" spans="2:6">
      <c r="B124" s="459" t="s">
        <v>357</v>
      </c>
      <c r="C124" s="459"/>
      <c r="D124" s="459"/>
      <c r="E124" s="459"/>
      <c r="F124" s="459"/>
    </row>
    <row r="125" spans="2:6">
      <c r="B125" s="193" t="s">
        <v>218</v>
      </c>
      <c r="C125" s="197">
        <f>Scenarios!C36</f>
        <v>17.012853707020131</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0.59471431199999991</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1.0882389211484453</v>
      </c>
      <c r="D140" s="337">
        <f>Scenarios!D62</f>
        <v>7.8400247497788644</v>
      </c>
      <c r="E140" s="338">
        <f>Scenarios!E62</f>
        <v>8.9282636709273095</v>
      </c>
      <c r="F140" s="339">
        <f>E22</f>
        <v>0.29465259038036606</v>
      </c>
    </row>
    <row r="141" spans="1:6">
      <c r="B141" s="340" t="s">
        <v>313</v>
      </c>
      <c r="C141" s="337">
        <f>Scenarios!C63</f>
        <v>1.2512812599454139</v>
      </c>
      <c r="D141" s="337">
        <f>Scenarios!D63</f>
        <v>9.8269191087480934</v>
      </c>
      <c r="E141" s="338">
        <f>Scenarios!E63</f>
        <v>11.078200368693507</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1.4348096081716528</v>
      </c>
      <c r="D144" s="337">
        <f>Scenarios!D66</f>
        <v>12.194139709347091</v>
      </c>
      <c r="E144" s="338">
        <f>Scenarios!E66</f>
        <v>13.628949317518744</v>
      </c>
      <c r="F144" s="339">
        <f>E24</f>
        <v>0.1174</v>
      </c>
    </row>
    <row r="145" spans="1:6">
      <c r="B145" s="340" t="s">
        <v>314</v>
      </c>
      <c r="C145" s="337">
        <f>Scenarios!C67</f>
        <v>1.5536169359140437</v>
      </c>
      <c r="D145" s="337">
        <f>Scenarios!D67</f>
        <v>13.790666783359127</v>
      </c>
      <c r="E145" s="338">
        <f>Scenarios!E67</f>
        <v>15.34428371927317</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46" sqref="D4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12328513892</v>
      </c>
      <c r="D4" s="291">
        <v>11868490425</v>
      </c>
      <c r="E4" s="291">
        <v>10930302487</v>
      </c>
      <c r="F4" s="291">
        <v>10460363984</v>
      </c>
      <c r="G4" s="291">
        <v>9008056554</v>
      </c>
      <c r="H4" s="291">
        <v>8842457723.7900009</v>
      </c>
      <c r="I4" s="291">
        <v>8186582966.7299995</v>
      </c>
      <c r="J4" s="291">
        <v>7345882957.6599998</v>
      </c>
      <c r="K4" s="291">
        <v>6356168113.4300003</v>
      </c>
      <c r="L4" s="291">
        <v>5732693142</v>
      </c>
      <c r="M4" s="291"/>
    </row>
    <row r="5" spans="2:13">
      <c r="B5" s="38" t="s">
        <v>40</v>
      </c>
      <c r="C5" s="291">
        <f>7802676830+53221266.46</f>
        <v>7855898096.46</v>
      </c>
      <c r="D5" s="291">
        <f>7353177164+33658727.68</f>
        <v>7386835891.6800003</v>
      </c>
      <c r="E5" s="291">
        <v>6913161427</v>
      </c>
      <c r="F5" s="291">
        <v>6646716823</v>
      </c>
      <c r="G5" s="291">
        <v>5453686899</v>
      </c>
      <c r="H5" s="291">
        <v>5459861693.6899996</v>
      </c>
      <c r="I5" s="291">
        <v>5115028020.8500004</v>
      </c>
      <c r="J5" s="291">
        <v>4686978912.1300001</v>
      </c>
      <c r="K5" s="291">
        <v>3977341759.3800001</v>
      </c>
      <c r="L5" s="291">
        <v>3469413267</v>
      </c>
      <c r="M5" s="291"/>
    </row>
    <row r="6" spans="2:13">
      <c r="B6" s="38" t="s">
        <v>51</v>
      </c>
      <c r="C6" s="291">
        <v>3112598912</v>
      </c>
      <c r="D6" s="291">
        <v>3020689977</v>
      </c>
      <c r="E6" s="291">
        <v>2613446855</v>
      </c>
      <c r="F6" s="291">
        <v>2574399102</v>
      </c>
      <c r="G6" s="291">
        <v>2389175265</v>
      </c>
      <c r="H6" s="291">
        <v>2373654644.04</v>
      </c>
      <c r="I6" s="291">
        <v>2126015036.6900001</v>
      </c>
      <c r="J6" s="291">
        <v>1963522925.3899999</v>
      </c>
      <c r="K6" s="291">
        <v>1800975493.3800001</v>
      </c>
      <c r="L6" s="291">
        <v>1721071398</v>
      </c>
      <c r="M6" s="291"/>
    </row>
    <row r="7" spans="2:13">
      <c r="B7" s="66" t="s">
        <v>58</v>
      </c>
      <c r="C7" s="292">
        <v>1438983986</v>
      </c>
      <c r="D7" s="292">
        <v>1402613434</v>
      </c>
      <c r="E7" s="292">
        <v>1211489002</v>
      </c>
      <c r="F7" s="292">
        <v>1121009339</v>
      </c>
      <c r="G7" s="292">
        <v>1184329784</v>
      </c>
      <c r="H7" s="292">
        <v>1119679106.03</v>
      </c>
      <c r="I7" s="292">
        <v>1010672983.29</v>
      </c>
      <c r="J7" s="292">
        <v>892516374.83000004</v>
      </c>
      <c r="K7" s="292">
        <v>804634976.54999995</v>
      </c>
      <c r="L7" s="292">
        <v>743696335</v>
      </c>
      <c r="M7" s="292"/>
    </row>
    <row r="8" spans="2:13">
      <c r="B8" s="38" t="s">
        <v>46</v>
      </c>
      <c r="C8" s="291">
        <v>30463684</v>
      </c>
      <c r="D8" s="291">
        <v>19979888</v>
      </c>
      <c r="E8" s="291">
        <v>14166706</v>
      </c>
      <c r="F8" s="291">
        <v>3793741</v>
      </c>
      <c r="G8" s="291">
        <v>3038699</v>
      </c>
      <c r="H8" s="291">
        <v>3255571.48</v>
      </c>
      <c r="I8" s="291">
        <v>13592602.42</v>
      </c>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12441883</v>
      </c>
      <c r="D12" s="291">
        <v>17875457</v>
      </c>
      <c r="E12" s="291">
        <v>20978186</v>
      </c>
      <c r="F12" s="291">
        <v>19487843</v>
      </c>
      <c r="G12" s="291">
        <v>22163955</v>
      </c>
      <c r="H12" s="291">
        <v>19440322</v>
      </c>
      <c r="I12" s="291">
        <v>516412</v>
      </c>
      <c r="J12" s="291"/>
      <c r="K12" s="291"/>
      <c r="L12" s="291"/>
      <c r="M12" s="291"/>
    </row>
    <row r="13" spans="2:13">
      <c r="B13" s="38" t="s">
        <v>64</v>
      </c>
      <c r="C13" s="291">
        <v>245460218</v>
      </c>
      <c r="D13" s="291">
        <v>262917080</v>
      </c>
      <c r="E13" s="291">
        <v>172924386</v>
      </c>
      <c r="F13" s="291">
        <v>109754709</v>
      </c>
      <c r="G13" s="291">
        <v>78064013</v>
      </c>
      <c r="H13" s="291">
        <v>58193235</v>
      </c>
      <c r="I13" s="291">
        <v>35998427</v>
      </c>
      <c r="J13" s="291"/>
      <c r="K13" s="291"/>
      <c r="L13" s="291"/>
      <c r="M13" s="291"/>
    </row>
    <row r="14" spans="2:13">
      <c r="B14" s="38" t="s">
        <v>47</v>
      </c>
      <c r="C14" s="291">
        <v>105264449</v>
      </c>
      <c r="D14" s="291">
        <v>-65178244</v>
      </c>
      <c r="E14" s="291">
        <v>-11435477</v>
      </c>
      <c r="F14" s="291">
        <v>5452812</v>
      </c>
      <c r="G14" s="291">
        <v>8170551</v>
      </c>
      <c r="H14" s="291">
        <v>24172075.120000001</v>
      </c>
      <c r="I14" s="291">
        <v>-10795846.369999999</v>
      </c>
      <c r="J14" s="291">
        <v>559885.21</v>
      </c>
      <c r="K14" s="291">
        <v>5678065.6299999999</v>
      </c>
      <c r="L14" s="291">
        <v>2789931</v>
      </c>
      <c r="M14" s="291"/>
    </row>
    <row r="15" spans="2:13">
      <c r="B15" s="41" t="s">
        <v>39</v>
      </c>
      <c r="C15" s="293">
        <v>1603661674</v>
      </c>
      <c r="D15" s="293">
        <v>1628350305</v>
      </c>
      <c r="E15" s="293">
        <v>1391235128</v>
      </c>
      <c r="F15" s="293">
        <v>1303281262</v>
      </c>
      <c r="G15" s="293">
        <v>1242994947</v>
      </c>
      <c r="H15" s="293">
        <v>1124665224.1099999</v>
      </c>
      <c r="I15" s="293">
        <v>926716466.75999999</v>
      </c>
      <c r="J15" s="293">
        <v>916480370.70000005</v>
      </c>
      <c r="K15" s="293">
        <v>630037994.09000003</v>
      </c>
      <c r="L15" s="293">
        <v>614919800</v>
      </c>
      <c r="M15" s="293"/>
    </row>
    <row r="16" spans="2:13">
      <c r="B16" s="27" t="s">
        <v>41</v>
      </c>
      <c r="C16" s="291">
        <v>58805478</v>
      </c>
      <c r="D16" s="291">
        <v>49204301</v>
      </c>
      <c r="E16" s="291">
        <v>-5437935</v>
      </c>
      <c r="F16" s="291">
        <v>-2660207</v>
      </c>
      <c r="G16" s="291">
        <v>-19783598</v>
      </c>
      <c r="H16" s="291">
        <v>-14382337.01</v>
      </c>
      <c r="I16" s="291">
        <v>-5468337.2999999998</v>
      </c>
      <c r="J16" s="291">
        <v>-7364129.3399999999</v>
      </c>
      <c r="K16" s="291">
        <v>-17424297.350000001</v>
      </c>
      <c r="L16" s="291">
        <v>-32349709</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1772478832</v>
      </c>
      <c r="D22" s="291">
        <v>2353028211</v>
      </c>
      <c r="E22" s="291">
        <v>2024381125</v>
      </c>
      <c r="F22" s="291">
        <v>2047329577</v>
      </c>
      <c r="G22" s="291">
        <v>1818805290</v>
      </c>
      <c r="H22" s="291">
        <v>1364410519.6199999</v>
      </c>
      <c r="I22" s="291">
        <v>993450271.97000003</v>
      </c>
      <c r="J22" s="291">
        <v>345621870.44</v>
      </c>
      <c r="K22" s="291">
        <v>683427278.33000004</v>
      </c>
      <c r="L22" s="291">
        <v>1016650228</v>
      </c>
      <c r="M22" s="291"/>
    </row>
    <row r="23" spans="2:13">
      <c r="B23" s="26" t="s">
        <v>288</v>
      </c>
      <c r="C23" s="291">
        <v>-822945701</v>
      </c>
      <c r="D23" s="291">
        <v>-460950816</v>
      </c>
      <c r="E23" s="291">
        <v>232444164</v>
      </c>
      <c r="F23" s="291">
        <v>-1278605700</v>
      </c>
      <c r="G23" s="291">
        <v>1031927465</v>
      </c>
      <c r="H23" s="291">
        <v>-93051870.170000002</v>
      </c>
      <c r="I23" s="291">
        <v>125499137.19</v>
      </c>
      <c r="J23" s="291">
        <v>407364377.23000002</v>
      </c>
      <c r="K23" s="291">
        <v>-1308553279.98</v>
      </c>
      <c r="L23" s="291">
        <v>-91366295</v>
      </c>
      <c r="M23" s="291"/>
    </row>
    <row r="24" spans="2:13">
      <c r="B24" s="26" t="s">
        <v>287</v>
      </c>
      <c r="C24" s="291">
        <v>-1065293099</v>
      </c>
      <c r="D24" s="291">
        <v>-575819200</v>
      </c>
      <c r="E24" s="291">
        <v>-492510346</v>
      </c>
      <c r="F24" s="291">
        <v>-511795258</v>
      </c>
      <c r="G24" s="291">
        <v>-503797913</v>
      </c>
      <c r="H24" s="291">
        <v>-454152155.01999998</v>
      </c>
      <c r="I24" s="291">
        <v>-367822327.06</v>
      </c>
      <c r="J24" s="291">
        <v>-561580856.22000003</v>
      </c>
      <c r="K24" s="291">
        <v>434935011.72000003</v>
      </c>
      <c r="L24" s="291">
        <v>-446631537</v>
      </c>
      <c r="M24" s="291"/>
    </row>
    <row r="25" spans="2:13">
      <c r="B25" s="23" t="str">
        <f>"Dividend per share ("&amp;Market_currency&amp;")"</f>
        <v>Dividend per share (HKD)</v>
      </c>
      <c r="C25" s="37">
        <f>(0.19+0.41)*Exchange_Rate</f>
        <v>0.66079367999999994</v>
      </c>
      <c r="D25" s="37"/>
      <c r="E25" s="37"/>
      <c r="F25" s="37"/>
      <c r="G25" s="37"/>
      <c r="H25" s="37"/>
      <c r="I25" s="37"/>
      <c r="J25" s="37"/>
      <c r="K25" s="37"/>
      <c r="L25" s="37"/>
      <c r="M25" s="37"/>
    </row>
    <row r="27" spans="2:13">
      <c r="B27" s="16" t="s">
        <v>26</v>
      </c>
      <c r="C27" s="94" t="s">
        <v>551</v>
      </c>
    </row>
    <row r="28" spans="2:13">
      <c r="B28" s="25" t="s">
        <v>22</v>
      </c>
      <c r="C28" s="274">
        <f>BS!C4</f>
        <v>2677683243.9199996</v>
      </c>
      <c r="D28" s="291">
        <v>1480929222</v>
      </c>
      <c r="E28" s="291">
        <v>1700785024</v>
      </c>
      <c r="F28" s="291">
        <v>1566430110</v>
      </c>
      <c r="G28" s="291">
        <v>1591251195</v>
      </c>
      <c r="H28" s="291">
        <v>1763659597</v>
      </c>
      <c r="I28" s="291">
        <v>1617030048.3499999</v>
      </c>
      <c r="J28" s="291">
        <v>1280220855</v>
      </c>
      <c r="K28" s="291">
        <v>803348863</v>
      </c>
      <c r="L28" s="291">
        <v>660924407</v>
      </c>
      <c r="M28" s="291"/>
    </row>
    <row r="29" spans="2:13">
      <c r="B29" s="25" t="s">
        <v>30</v>
      </c>
      <c r="C29" s="274">
        <f>BS!C6</f>
        <v>3212346044.4899998</v>
      </c>
      <c r="D29" s="291">
        <v>2641169798</v>
      </c>
      <c r="E29" s="291">
        <v>2572840226</v>
      </c>
      <c r="F29" s="291">
        <v>2742158427</v>
      </c>
      <c r="G29" s="291">
        <v>2130621634</v>
      </c>
      <c r="H29" s="291">
        <v>2157448334.2399998</v>
      </c>
      <c r="I29" s="291">
        <v>1921544765.26</v>
      </c>
      <c r="J29" s="291">
        <v>1764445460.22</v>
      </c>
      <c r="K29" s="291">
        <v>1512550560.26</v>
      </c>
      <c r="L29" s="291">
        <v>1464179821</v>
      </c>
      <c r="M29" s="291"/>
    </row>
    <row r="30" spans="2:13">
      <c r="B30" s="28" t="s">
        <v>38</v>
      </c>
      <c r="C30" s="275">
        <f>BS!C33+BS!C42</f>
        <v>9518655228.4500008</v>
      </c>
      <c r="D30" s="293">
        <v>8373407203</v>
      </c>
      <c r="E30" s="293">
        <v>7989354199</v>
      </c>
      <c r="F30" s="293">
        <v>7664257231</v>
      </c>
      <c r="G30" s="293">
        <v>6940685993</v>
      </c>
      <c r="H30" s="293">
        <v>6204537146.3100004</v>
      </c>
      <c r="I30" s="293">
        <v>4881683091.6899996</v>
      </c>
      <c r="J30" s="293">
        <v>4329883410.9300003</v>
      </c>
      <c r="K30" s="293">
        <v>3960699258.6100001</v>
      </c>
      <c r="L30" s="293">
        <v>3503775868</v>
      </c>
      <c r="M30" s="293"/>
    </row>
    <row r="31" spans="2:13">
      <c r="B31" s="28" t="s">
        <v>28</v>
      </c>
      <c r="C31" s="275">
        <f>BS!G27</f>
        <v>15435136145.889999</v>
      </c>
      <c r="D31" s="293">
        <v>13414156171</v>
      </c>
      <c r="E31" s="293">
        <v>12662033360</v>
      </c>
      <c r="F31" s="293">
        <v>11109688559</v>
      </c>
      <c r="G31" s="293">
        <v>10028150017</v>
      </c>
      <c r="H31" s="293">
        <v>9119966326.2199993</v>
      </c>
      <c r="I31" s="293">
        <v>8406029361.1000004</v>
      </c>
      <c r="J31" s="293">
        <v>7956822230.3900003</v>
      </c>
      <c r="K31" s="293">
        <v>8294477350.7799997</v>
      </c>
      <c r="L31" s="293">
        <v>7239513184</v>
      </c>
      <c r="M31" s="293"/>
    </row>
    <row r="32" spans="2:13">
      <c r="B32" s="25" t="s">
        <v>143</v>
      </c>
      <c r="C32" s="274">
        <f>BS!G28</f>
        <v>448834814.61000001</v>
      </c>
      <c r="D32" s="291">
        <v>343208028</v>
      </c>
      <c r="E32" s="291">
        <v>172053936</v>
      </c>
      <c r="F32" s="291">
        <v>-111871464</v>
      </c>
      <c r="G32" s="291">
        <v>-108694463</v>
      </c>
      <c r="H32" s="291">
        <v>-87283461.239999995</v>
      </c>
      <c r="I32" s="291">
        <v>-74534173.239999995</v>
      </c>
      <c r="J32" s="291">
        <v>-70479484.719999999</v>
      </c>
      <c r="K32" s="291">
        <v>-41213009.740000002</v>
      </c>
      <c r="L32" s="291">
        <v>-31157746</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12328513892</v>
      </c>
      <c r="D36" s="274">
        <f t="shared" si="1"/>
        <v>11868490425</v>
      </c>
      <c r="E36" s="274">
        <f t="shared" si="1"/>
        <v>10930302487</v>
      </c>
      <c r="F36" s="274">
        <f t="shared" si="1"/>
        <v>10460363984</v>
      </c>
      <c r="G36" s="274">
        <f t="shared" si="1"/>
        <v>9008056554</v>
      </c>
      <c r="H36" s="274">
        <f t="shared" si="1"/>
        <v>8842457723.7900009</v>
      </c>
      <c r="I36" s="274">
        <f t="shared" si="1"/>
        <v>8186582966.7299995</v>
      </c>
      <c r="J36" s="274">
        <f t="shared" si="1"/>
        <v>7345882957.6599998</v>
      </c>
      <c r="K36" s="274">
        <f t="shared" si="1"/>
        <v>6356168113.4300003</v>
      </c>
      <c r="L36" s="274">
        <f t="shared" si="1"/>
        <v>5732693142</v>
      </c>
      <c r="M36" s="274" t="str">
        <f t="shared" si="1"/>
        <v/>
      </c>
    </row>
    <row r="37" spans="2:13">
      <c r="B37" s="38" t="s">
        <v>40</v>
      </c>
      <c r="C37" s="274">
        <f t="shared" ref="C37:M37" si="2">IF(C$4="","",-C5)</f>
        <v>-7855898096.46</v>
      </c>
      <c r="D37" s="274">
        <f t="shared" si="2"/>
        <v>-7386835891.6800003</v>
      </c>
      <c r="E37" s="274">
        <f t="shared" si="2"/>
        <v>-6913161427</v>
      </c>
      <c r="F37" s="274">
        <f t="shared" si="2"/>
        <v>-6646716823</v>
      </c>
      <c r="G37" s="274">
        <f t="shared" si="2"/>
        <v>-5453686899</v>
      </c>
      <c r="H37" s="274">
        <f t="shared" si="2"/>
        <v>-5459861693.6899996</v>
      </c>
      <c r="I37" s="274">
        <f t="shared" si="2"/>
        <v>-5115028020.8500004</v>
      </c>
      <c r="J37" s="274">
        <f t="shared" si="2"/>
        <v>-4686978912.1300001</v>
      </c>
      <c r="K37" s="274">
        <f t="shared" si="2"/>
        <v>-3977341759.3800001</v>
      </c>
      <c r="L37" s="274">
        <f t="shared" si="2"/>
        <v>-3469413267</v>
      </c>
      <c r="M37" s="274" t="str">
        <f t="shared" si="2"/>
        <v/>
      </c>
    </row>
    <row r="38" spans="2:13">
      <c r="B38" s="30" t="s">
        <v>55</v>
      </c>
      <c r="C38" s="271">
        <f>IF(C36="","",C36+C37)</f>
        <v>4472615795.54</v>
      </c>
      <c r="D38" s="271">
        <f t="shared" ref="D38" si="3">IF(D36="","",D36+D37)</f>
        <v>4481654533.3199997</v>
      </c>
      <c r="E38" s="271">
        <f t="shared" ref="E38" si="4">IF(E36="","",E36+E37)</f>
        <v>4017141060</v>
      </c>
      <c r="F38" s="271">
        <f t="shared" ref="F38" si="5">IF(F36="","",F36+F37)</f>
        <v>3813647161</v>
      </c>
      <c r="G38" s="271">
        <f t="shared" ref="G38" si="6">IF(G36="","",G36+G37)</f>
        <v>3554369655</v>
      </c>
      <c r="H38" s="271">
        <f t="shared" ref="H38" si="7">IF(H36="","",H36+H37)</f>
        <v>3382596030.1000013</v>
      </c>
      <c r="I38" s="271">
        <f t="shared" ref="I38" si="8">IF(I36="","",I36+I37)</f>
        <v>3071554945.8799992</v>
      </c>
      <c r="J38" s="271">
        <f t="shared" ref="J38" si="9">IF(J36="","",J36+J37)</f>
        <v>2658904045.5299997</v>
      </c>
      <c r="K38" s="271">
        <f t="shared" ref="K38" si="10">IF(K36="","",K36+K37)</f>
        <v>2378826354.0500002</v>
      </c>
      <c r="L38" s="271">
        <f t="shared" ref="L38" si="11">IF(L36="","",L36+L37)</f>
        <v>2263279875</v>
      </c>
      <c r="M38" s="271" t="str">
        <f t="shared" ref="M38" si="12">IF(M36="","",M36+M37)</f>
        <v/>
      </c>
    </row>
    <row r="39" spans="2:13">
      <c r="B39" s="38" t="s">
        <v>51</v>
      </c>
      <c r="C39" s="274">
        <f t="shared" ref="C39:M39" si="13">IF(C$4="","",-C6)</f>
        <v>-3112598912</v>
      </c>
      <c r="D39" s="274">
        <f t="shared" si="13"/>
        <v>-3020689977</v>
      </c>
      <c r="E39" s="274">
        <f t="shared" si="13"/>
        <v>-2613446855</v>
      </c>
      <c r="F39" s="274">
        <f t="shared" si="13"/>
        <v>-2574399102</v>
      </c>
      <c r="G39" s="274">
        <f t="shared" si="13"/>
        <v>-2389175265</v>
      </c>
      <c r="H39" s="274">
        <f t="shared" si="13"/>
        <v>-2373654644.04</v>
      </c>
      <c r="I39" s="274">
        <f t="shared" si="13"/>
        <v>-2126015036.6900001</v>
      </c>
      <c r="J39" s="274">
        <f t="shared" si="13"/>
        <v>-1963522925.3899999</v>
      </c>
      <c r="K39" s="274">
        <f t="shared" si="13"/>
        <v>-1800975493.3800001</v>
      </c>
      <c r="L39" s="274">
        <f t="shared" si="13"/>
        <v>-1721071398</v>
      </c>
      <c r="M39" s="274" t="str">
        <f t="shared" si="13"/>
        <v/>
      </c>
    </row>
    <row r="40" spans="2:13">
      <c r="B40" s="66" t="s">
        <v>58</v>
      </c>
      <c r="C40" s="286">
        <f t="shared" ref="C40:M40" si="14">IF(C$4="","",-C7)</f>
        <v>-1438983986</v>
      </c>
      <c r="D40" s="286">
        <f t="shared" si="14"/>
        <v>-1402613434</v>
      </c>
      <c r="E40" s="286">
        <f t="shared" si="14"/>
        <v>-1211489002</v>
      </c>
      <c r="F40" s="286">
        <f t="shared" si="14"/>
        <v>-1121009339</v>
      </c>
      <c r="G40" s="286">
        <f t="shared" si="14"/>
        <v>-1184329784</v>
      </c>
      <c r="H40" s="286">
        <f t="shared" si="14"/>
        <v>-1119679106.03</v>
      </c>
      <c r="I40" s="286">
        <f t="shared" si="14"/>
        <v>-1010672983.29</v>
      </c>
      <c r="J40" s="286">
        <f t="shared" si="14"/>
        <v>-892516374.83000004</v>
      </c>
      <c r="K40" s="286">
        <f t="shared" si="14"/>
        <v>-804634976.54999995</v>
      </c>
      <c r="L40" s="286">
        <f t="shared" si="14"/>
        <v>-743696335</v>
      </c>
      <c r="M40" s="286" t="str">
        <f t="shared" si="14"/>
        <v/>
      </c>
    </row>
    <row r="41" spans="2:13">
      <c r="B41" s="66" t="s">
        <v>61</v>
      </c>
      <c r="C41" s="286">
        <f>IF(C$4="","",C39-C40)</f>
        <v>-1673614926</v>
      </c>
      <c r="D41" s="286">
        <f t="shared" ref="D41:M41" si="15">IF(D$4="","",D39-D40)</f>
        <v>-1618076543</v>
      </c>
      <c r="E41" s="286">
        <f t="shared" si="15"/>
        <v>-1401957853</v>
      </c>
      <c r="F41" s="286">
        <f t="shared" si="15"/>
        <v>-1453389763</v>
      </c>
      <c r="G41" s="286">
        <f t="shared" si="15"/>
        <v>-1204845481</v>
      </c>
      <c r="H41" s="286">
        <f t="shared" si="15"/>
        <v>-1253975538.01</v>
      </c>
      <c r="I41" s="286">
        <f t="shared" si="15"/>
        <v>-1115342053.4000001</v>
      </c>
      <c r="J41" s="286">
        <f t="shared" si="15"/>
        <v>-1071006550.5599998</v>
      </c>
      <c r="K41" s="286">
        <f t="shared" si="15"/>
        <v>-996340516.83000016</v>
      </c>
      <c r="L41" s="286">
        <f t="shared" si="15"/>
        <v>-977375063</v>
      </c>
      <c r="M41" s="286" t="str">
        <f t="shared" si="15"/>
        <v/>
      </c>
    </row>
    <row r="42" spans="2:13">
      <c r="B42" s="38" t="s">
        <v>46</v>
      </c>
      <c r="C42" s="274">
        <f t="shared" ref="C42:M42" si="16">IF(C$4="","",-C8)</f>
        <v>-30463684</v>
      </c>
      <c r="D42" s="274">
        <f t="shared" si="16"/>
        <v>-19979888</v>
      </c>
      <c r="E42" s="274">
        <f t="shared" si="16"/>
        <v>-14166706</v>
      </c>
      <c r="F42" s="274">
        <f t="shared" si="16"/>
        <v>-3793741</v>
      </c>
      <c r="G42" s="274">
        <f t="shared" si="16"/>
        <v>-3038699</v>
      </c>
      <c r="H42" s="274">
        <f t="shared" si="16"/>
        <v>-3255571.48</v>
      </c>
      <c r="I42" s="274">
        <f t="shared" si="16"/>
        <v>-13592602.42</v>
      </c>
      <c r="J42" s="274">
        <f t="shared" si="16"/>
        <v>0</v>
      </c>
      <c r="K42" s="274">
        <f t="shared" si="16"/>
        <v>0</v>
      </c>
      <c r="L42" s="274">
        <f t="shared" si="16"/>
        <v>0</v>
      </c>
      <c r="M42" s="274" t="str">
        <f t="shared" si="16"/>
        <v/>
      </c>
    </row>
    <row r="43" spans="2:13">
      <c r="B43" s="41" t="s">
        <v>127</v>
      </c>
      <c r="C43" s="275">
        <f>IF(C$4="","",C38+C39+C42)</f>
        <v>1329553199.54</v>
      </c>
      <c r="D43" s="275">
        <f t="shared" ref="D43:M43" si="17">IF(D$4="","",D38+D39+D42)</f>
        <v>1440984668.3199997</v>
      </c>
      <c r="E43" s="275">
        <f t="shared" si="17"/>
        <v>1389527499</v>
      </c>
      <c r="F43" s="275">
        <f t="shared" si="17"/>
        <v>1235454318</v>
      </c>
      <c r="G43" s="275">
        <f t="shared" si="17"/>
        <v>1162155691</v>
      </c>
      <c r="H43" s="275">
        <f t="shared" si="17"/>
        <v>1005685814.5800014</v>
      </c>
      <c r="I43" s="275">
        <f t="shared" si="17"/>
        <v>931947306.76999915</v>
      </c>
      <c r="J43" s="275">
        <f t="shared" si="17"/>
        <v>695381120.13999987</v>
      </c>
      <c r="K43" s="275">
        <f t="shared" si="17"/>
        <v>577850860.67000008</v>
      </c>
      <c r="L43" s="275">
        <f t="shared" si="17"/>
        <v>542208477</v>
      </c>
      <c r="M43" s="275" t="str">
        <f t="shared" si="17"/>
        <v/>
      </c>
    </row>
    <row r="44" spans="2:13">
      <c r="B44" s="41" t="s">
        <v>139</v>
      </c>
      <c r="C44" s="294">
        <f t="shared" ref="C44:M44" si="18">IF(C$4="","",C47-C46-C45-C43)</f>
        <v>146354588.46000004</v>
      </c>
      <c r="D44" s="294">
        <f t="shared" si="18"/>
        <v>-122854230.31999969</v>
      </c>
      <c r="E44" s="294">
        <f t="shared" si="18"/>
        <v>-161674048</v>
      </c>
      <c r="F44" s="294">
        <f t="shared" si="18"/>
        <v>-16987110</v>
      </c>
      <c r="G44" s="294">
        <f t="shared" si="18"/>
        <v>33109749</v>
      </c>
      <c r="H44" s="294">
        <f t="shared" si="18"/>
        <v>104398571.64999843</v>
      </c>
      <c r="I44" s="294">
        <f t="shared" si="18"/>
        <v>-51508701.379999161</v>
      </c>
      <c r="J44" s="294">
        <f t="shared" si="18"/>
        <v>221659135.77000022</v>
      </c>
      <c r="K44" s="294">
        <f t="shared" si="18"/>
        <v>57865199.049999952</v>
      </c>
      <c r="L44" s="294">
        <f t="shared" si="18"/>
        <v>75501254</v>
      </c>
      <c r="M44" s="294" t="str">
        <f t="shared" si="18"/>
        <v/>
      </c>
    </row>
    <row r="45" spans="2:13">
      <c r="B45" s="38" t="s">
        <v>65</v>
      </c>
      <c r="C45" s="289">
        <f t="shared" ref="C45:M45" si="19">IF(C$4="","",C51+C52)</f>
        <v>233018335</v>
      </c>
      <c r="D45" s="289">
        <f t="shared" si="19"/>
        <v>245041623</v>
      </c>
      <c r="E45" s="289">
        <f t="shared" si="19"/>
        <v>151946200</v>
      </c>
      <c r="F45" s="289">
        <f t="shared" si="19"/>
        <v>90266866</v>
      </c>
      <c r="G45" s="289">
        <f t="shared" si="19"/>
        <v>55900058</v>
      </c>
      <c r="H45" s="289">
        <f t="shared" si="19"/>
        <v>38752913</v>
      </c>
      <c r="I45" s="289">
        <f t="shared" si="19"/>
        <v>35482015</v>
      </c>
      <c r="J45" s="289">
        <f t="shared" si="19"/>
        <v>0</v>
      </c>
      <c r="K45" s="289">
        <f t="shared" si="19"/>
        <v>0</v>
      </c>
      <c r="L45" s="289">
        <f t="shared" si="19"/>
        <v>0</v>
      </c>
      <c r="M45" s="289" t="str">
        <f t="shared" si="19"/>
        <v/>
      </c>
    </row>
    <row r="46" spans="2:13">
      <c r="B46" s="38" t="s">
        <v>47</v>
      </c>
      <c r="C46" s="274">
        <f>IF(C$4="","",-C14)</f>
        <v>-105264449</v>
      </c>
      <c r="D46" s="274">
        <f t="shared" ref="D46:M46" si="20">IF(D$4="","",-D14)</f>
        <v>65178244</v>
      </c>
      <c r="E46" s="274">
        <f t="shared" si="20"/>
        <v>11435477</v>
      </c>
      <c r="F46" s="274">
        <f t="shared" si="20"/>
        <v>-5452812</v>
      </c>
      <c r="G46" s="274">
        <f t="shared" si="20"/>
        <v>-8170551</v>
      </c>
      <c r="H46" s="274">
        <f t="shared" si="20"/>
        <v>-24172075.120000001</v>
      </c>
      <c r="I46" s="274">
        <f t="shared" si="20"/>
        <v>10795846.369999999</v>
      </c>
      <c r="J46" s="274">
        <f t="shared" si="20"/>
        <v>-559885.21</v>
      </c>
      <c r="K46" s="274">
        <f t="shared" si="20"/>
        <v>-5678065.6299999999</v>
      </c>
      <c r="L46" s="274">
        <f t="shared" si="20"/>
        <v>-2789931</v>
      </c>
      <c r="M46" s="274" t="str">
        <f t="shared" si="20"/>
        <v/>
      </c>
    </row>
    <row r="47" spans="2:13">
      <c r="B47" s="41" t="s">
        <v>39</v>
      </c>
      <c r="C47" s="275">
        <f t="shared" ref="C47:M47" si="21">IF(C$4="","",C15)</f>
        <v>1603661674</v>
      </c>
      <c r="D47" s="275">
        <f t="shared" si="21"/>
        <v>1628350305</v>
      </c>
      <c r="E47" s="275">
        <f t="shared" si="21"/>
        <v>1391235128</v>
      </c>
      <c r="F47" s="275">
        <f t="shared" si="21"/>
        <v>1303281262</v>
      </c>
      <c r="G47" s="275">
        <f t="shared" si="21"/>
        <v>1242994947</v>
      </c>
      <c r="H47" s="275">
        <f t="shared" si="21"/>
        <v>1124665224.1099999</v>
      </c>
      <c r="I47" s="275">
        <f t="shared" si="21"/>
        <v>926716466.75999999</v>
      </c>
      <c r="J47" s="275">
        <f t="shared" si="21"/>
        <v>916480370.70000005</v>
      </c>
      <c r="K47" s="275">
        <f t="shared" si="21"/>
        <v>630037994.09000003</v>
      </c>
      <c r="L47" s="275">
        <f t="shared" si="21"/>
        <v>614919800</v>
      </c>
      <c r="M47" s="275" t="str">
        <f t="shared" si="21"/>
        <v/>
      </c>
    </row>
    <row r="48" spans="2:13">
      <c r="B48" s="27" t="s">
        <v>41</v>
      </c>
      <c r="C48" s="274">
        <f t="shared" ref="C48:M48" si="22">IF(C$4="","",MIN(-C16,0))</f>
        <v>-58805478</v>
      </c>
      <c r="D48" s="274">
        <f t="shared" si="22"/>
        <v>-49204301</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-12441883</v>
      </c>
      <c r="D51" s="274">
        <f t="shared" si="23"/>
        <v>-17875457</v>
      </c>
      <c r="E51" s="274">
        <f t="shared" si="23"/>
        <v>-20978186</v>
      </c>
      <c r="F51" s="274">
        <f t="shared" si="23"/>
        <v>-19487843</v>
      </c>
      <c r="G51" s="274">
        <f t="shared" si="23"/>
        <v>-22163955</v>
      </c>
      <c r="H51" s="274">
        <f t="shared" si="23"/>
        <v>-19440322</v>
      </c>
      <c r="I51" s="274">
        <f t="shared" si="23"/>
        <v>-516412</v>
      </c>
      <c r="J51" s="274">
        <f t="shared" si="23"/>
        <v>0</v>
      </c>
      <c r="K51" s="274">
        <f t="shared" si="23"/>
        <v>0</v>
      </c>
      <c r="L51" s="274">
        <f t="shared" si="23"/>
        <v>0</v>
      </c>
      <c r="M51" s="274" t="str">
        <f t="shared" si="23"/>
        <v/>
      </c>
    </row>
    <row r="52" spans="2:13">
      <c r="B52" s="38" t="s">
        <v>64</v>
      </c>
      <c r="C52" s="274">
        <f>IF(C$4="","",C13)</f>
        <v>245460218</v>
      </c>
      <c r="D52" s="274">
        <f t="shared" ref="D52:M52" si="24">IF(D$4="","",D13)</f>
        <v>262917080</v>
      </c>
      <c r="E52" s="274">
        <f t="shared" si="24"/>
        <v>172924386</v>
      </c>
      <c r="F52" s="274">
        <f t="shared" si="24"/>
        <v>109754709</v>
      </c>
      <c r="G52" s="274">
        <f t="shared" si="24"/>
        <v>78064013</v>
      </c>
      <c r="H52" s="274">
        <f t="shared" si="24"/>
        <v>58193235</v>
      </c>
      <c r="I52" s="274">
        <f t="shared" si="24"/>
        <v>35998427</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146354588.46000004</v>
      </c>
      <c r="D58" s="289">
        <f t="shared" ref="D58:M58" si="28">IF(D$4="","",D44-D55-D56-D57)</f>
        <v>-122854230.31999969</v>
      </c>
      <c r="E58" s="289">
        <f t="shared" si="28"/>
        <v>-161674048</v>
      </c>
      <c r="F58" s="289">
        <f t="shared" si="28"/>
        <v>-16987110</v>
      </c>
      <c r="G58" s="289">
        <f t="shared" si="28"/>
        <v>33109749</v>
      </c>
      <c r="H58" s="289">
        <f t="shared" si="28"/>
        <v>104398571.64999843</v>
      </c>
      <c r="I58" s="289">
        <f t="shared" si="28"/>
        <v>-51508701.379999161</v>
      </c>
      <c r="J58" s="289">
        <f t="shared" si="28"/>
        <v>221659135.77000022</v>
      </c>
      <c r="K58" s="289">
        <f t="shared" si="28"/>
        <v>57865199.049999952</v>
      </c>
      <c r="L58" s="289">
        <f t="shared" si="28"/>
        <v>75501254</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-115759968</v>
      </c>
      <c r="D64" s="274">
        <f t="shared" ref="D64:M64" si="32">IF(D$4="","",D22+D23+D24)</f>
        <v>1316258195</v>
      </c>
      <c r="E64" s="274">
        <f t="shared" si="32"/>
        <v>1764314943</v>
      </c>
      <c r="F64" s="274">
        <f t="shared" si="32"/>
        <v>256928619</v>
      </c>
      <c r="G64" s="274">
        <f t="shared" si="32"/>
        <v>2346934842</v>
      </c>
      <c r="H64" s="274">
        <f t="shared" si="32"/>
        <v>817206494.42999983</v>
      </c>
      <c r="I64" s="274">
        <f t="shared" si="32"/>
        <v>751127082.10000014</v>
      </c>
      <c r="J64" s="274">
        <f t="shared" si="32"/>
        <v>191405391.45000005</v>
      </c>
      <c r="K64" s="274">
        <f t="shared" si="32"/>
        <v>-190190989.92999995</v>
      </c>
      <c r="L64" s="274">
        <f t="shared" si="32"/>
        <v>478652396</v>
      </c>
      <c r="M64" s="274" t="str">
        <f t="shared" si="32"/>
        <v/>
      </c>
    </row>
    <row r="65" spans="2:13">
      <c r="B65" s="23" t="s">
        <v>34</v>
      </c>
      <c r="C65" s="70">
        <f>IF(C$4="","",C25)</f>
        <v>0.66079367999999994</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0.34019644735590715</v>
      </c>
      <c r="J70" s="98">
        <f t="shared" si="36"/>
        <v>0.20339202979420512</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-1.2323779762159051</v>
      </c>
      <c r="J71" s="98">
        <f t="shared" si="37"/>
        <v>2.8306121712027603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9">
        <f t="shared" ref="D76:M76" si="39">IF(D$4="","",D79+D80)</f>
        <v>21787563374</v>
      </c>
      <c r="E76" s="289">
        <f t="shared" si="39"/>
        <v>20651387559</v>
      </c>
      <c r="F76" s="289">
        <f t="shared" si="39"/>
        <v>18773945790</v>
      </c>
      <c r="G76" s="289">
        <f t="shared" si="39"/>
        <v>16968836010</v>
      </c>
      <c r="H76" s="289">
        <f t="shared" si="39"/>
        <v>15324503472.529999</v>
      </c>
      <c r="I76" s="289">
        <f t="shared" si="39"/>
        <v>13287712452.790001</v>
      </c>
      <c r="J76" s="289">
        <f t="shared" si="39"/>
        <v>12286705641.32</v>
      </c>
      <c r="K76" s="289">
        <f t="shared" si="39"/>
        <v>12255176609.389999</v>
      </c>
      <c r="L76" s="289">
        <f t="shared" si="39"/>
        <v>10743289052</v>
      </c>
      <c r="M76" s="289" t="str">
        <f t="shared" si="39"/>
        <v/>
      </c>
    </row>
    <row r="77" spans="2:13">
      <c r="B77" s="90" t="s">
        <v>82</v>
      </c>
      <c r="C77" s="263">
        <f t="shared" ref="C77:H78" si="40">IF(C$4="","",C28)</f>
        <v>2677683243.9199996</v>
      </c>
      <c r="D77" s="286">
        <f t="shared" si="40"/>
        <v>1480929222</v>
      </c>
      <c r="E77" s="286">
        <f t="shared" si="40"/>
        <v>1700785024</v>
      </c>
      <c r="F77" s="286">
        <f t="shared" si="40"/>
        <v>1566430110</v>
      </c>
      <c r="G77" s="286">
        <f t="shared" si="40"/>
        <v>1591251195</v>
      </c>
      <c r="H77" s="286">
        <f t="shared" si="40"/>
        <v>1763659597</v>
      </c>
      <c r="I77" s="295"/>
      <c r="J77" s="295"/>
      <c r="K77" s="295"/>
      <c r="L77" s="295"/>
      <c r="M77" s="295"/>
    </row>
    <row r="78" spans="2:13">
      <c r="B78" s="90" t="s">
        <v>83</v>
      </c>
      <c r="C78" s="263">
        <f t="shared" si="40"/>
        <v>3212346044.4899998</v>
      </c>
      <c r="D78" s="286">
        <f t="shared" si="40"/>
        <v>2641169798</v>
      </c>
      <c r="E78" s="286">
        <f t="shared" si="40"/>
        <v>2572840226</v>
      </c>
      <c r="F78" s="286">
        <f t="shared" si="40"/>
        <v>2742158427</v>
      </c>
      <c r="G78" s="286">
        <f t="shared" si="40"/>
        <v>2130621634</v>
      </c>
      <c r="H78" s="286">
        <f t="shared" si="40"/>
        <v>2157448334.2399998</v>
      </c>
      <c r="I78" s="295"/>
      <c r="J78" s="295"/>
      <c r="K78" s="295"/>
      <c r="L78" s="295"/>
      <c r="M78" s="295"/>
    </row>
    <row r="79" spans="2:13">
      <c r="B79" s="25" t="s">
        <v>38</v>
      </c>
      <c r="C79" s="262">
        <f t="shared" ref="C79:M79" si="41">IF(C$4="","",C30)</f>
        <v>9518655228.4500008</v>
      </c>
      <c r="D79" s="274">
        <f t="shared" si="41"/>
        <v>8373407203</v>
      </c>
      <c r="E79" s="274">
        <f t="shared" si="41"/>
        <v>7989354199</v>
      </c>
      <c r="F79" s="274">
        <f t="shared" si="41"/>
        <v>7664257231</v>
      </c>
      <c r="G79" s="274">
        <f t="shared" si="41"/>
        <v>6940685993</v>
      </c>
      <c r="H79" s="274">
        <f t="shared" si="41"/>
        <v>6204537146.3100004</v>
      </c>
      <c r="I79" s="274">
        <f t="shared" si="41"/>
        <v>4881683091.6899996</v>
      </c>
      <c r="J79" s="274">
        <f t="shared" si="41"/>
        <v>4329883410.9300003</v>
      </c>
      <c r="K79" s="274">
        <f t="shared" si="41"/>
        <v>3960699258.6100001</v>
      </c>
      <c r="L79" s="274">
        <f t="shared" si="41"/>
        <v>3503775868</v>
      </c>
      <c r="M79" s="274" t="str">
        <f t="shared" si="41"/>
        <v/>
      </c>
    </row>
    <row r="80" spans="2:13">
      <c r="B80" s="25" t="s">
        <v>28</v>
      </c>
      <c r="C80" s="262">
        <f t="shared" ref="C80:M80" si="42">IF(C$4="","",C31)</f>
        <v>15435136145.889999</v>
      </c>
      <c r="D80" s="274">
        <f t="shared" si="42"/>
        <v>13414156171</v>
      </c>
      <c r="E80" s="274">
        <f t="shared" si="42"/>
        <v>12662033360</v>
      </c>
      <c r="F80" s="274">
        <f t="shared" si="42"/>
        <v>11109688559</v>
      </c>
      <c r="G80" s="274">
        <f t="shared" si="42"/>
        <v>10028150017</v>
      </c>
      <c r="H80" s="274">
        <f t="shared" si="42"/>
        <v>9119966326.2199993</v>
      </c>
      <c r="I80" s="274">
        <f t="shared" si="42"/>
        <v>8406029361.1000004</v>
      </c>
      <c r="J80" s="274">
        <f t="shared" si="42"/>
        <v>7956822230.3900003</v>
      </c>
      <c r="K80" s="274">
        <f t="shared" si="42"/>
        <v>8294477350.7799997</v>
      </c>
      <c r="L80" s="274">
        <f t="shared" si="42"/>
        <v>7239513184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1"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91">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13.376727912112676</v>
      </c>
      <c r="D47" s="134">
        <f>D46*H1/Common_Shares*Exchange_Rate</f>
        <v>1.7185175102008612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6704022426.6051159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-984522918.94873989</v>
      </c>
      <c r="D73" s="289">
        <f>(Normalized_FCF!C26+Normalized_FCF!C35-Normalized_FCF!C89)/12</f>
        <v>-965248160.78744221</v>
      </c>
      <c r="F73" s="1" t="s">
        <v>278</v>
      </c>
    </row>
    <row r="74" spans="2:6" ht="15" customHeight="1">
      <c r="B74" s="227" t="s">
        <v>259</v>
      </c>
      <c r="C74" s="228">
        <f>-$C$66/C73</f>
        <v>8.7702567223115757</v>
      </c>
      <c r="D74" s="228">
        <f>-$C$66/D73</f>
        <v>8.9453874132596383</v>
      </c>
      <c r="F74" s="223" t="s">
        <v>257</v>
      </c>
    </row>
    <row r="75" spans="2:6" ht="15" customHeight="1">
      <c r="B75" s="77" t="s">
        <v>258</v>
      </c>
      <c r="C75" s="264"/>
      <c r="D75" s="265">
        <f>MAX(-D73*D76,G5)</f>
        <v>1930496321.5748844</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311826837.7993772</v>
      </c>
      <c r="D86" s="201">
        <f>C86*scaling_factor/Common_Shares</f>
        <v>0.25272854265612604</v>
      </c>
      <c r="E86" s="214" t="str">
        <f>Market_currency</f>
        <v>HKD</v>
      </c>
    </row>
    <row r="87" spans="2:8" ht="15" customHeight="1">
      <c r="B87" s="212" t="s">
        <v>240</v>
      </c>
      <c r="C87" s="73">
        <f>DCF!F5*Exchange_Rate</f>
        <v>7383292750.1315403</v>
      </c>
      <c r="D87" s="201">
        <f>C87*scaling_factor/Common_Shares</f>
        <v>5.983990441338503</v>
      </c>
      <c r="E87" s="214" t="str">
        <f>Market_currency</f>
        <v>HKD</v>
      </c>
    </row>
    <row r="88" spans="2:8" ht="15" customHeight="1">
      <c r="B88" s="213" t="s">
        <v>159</v>
      </c>
      <c r="C88" s="73">
        <f>DCF!F6*Exchange_Rate</f>
        <v>642686330.34684968</v>
      </c>
      <c r="D88" s="201">
        <f>C88*scaling_factor/Common_Shares</f>
        <v>0.52088261805763436</v>
      </c>
      <c r="E88" s="214" t="str">
        <f>Market_currency</f>
        <v>HKD</v>
      </c>
    </row>
    <row r="89" spans="2:8" ht="15" customHeight="1">
      <c r="B89" s="77" t="s">
        <v>244</v>
      </c>
      <c r="C89" s="162">
        <f>SUM(C86:C88)</f>
        <v>8337805918.2777672</v>
      </c>
      <c r="D89" s="216">
        <f>SUM(D86:D88)</f>
        <v>6.7576016020522633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8"/>
      <c r="F3" s="9"/>
      <c r="G3" s="16" t="s">
        <v>412</v>
      </c>
      <c r="H3" s="104">
        <f>scaling_factor</f>
        <v>1</v>
      </c>
    </row>
    <row r="4" spans="1:17" ht="15.75" customHeight="1">
      <c r="A4" s="10"/>
      <c r="B4" s="25" t="s">
        <v>0</v>
      </c>
      <c r="C4" s="269">
        <f>G4</f>
        <v>12328513892</v>
      </c>
      <c r="D4" s="54"/>
      <c r="E4" s="236"/>
      <c r="F4" s="54"/>
      <c r="G4" s="274">
        <f>Data!C36</f>
        <v>12328513892</v>
      </c>
      <c r="H4" s="274">
        <f>Data!D36</f>
        <v>11868490425</v>
      </c>
      <c r="I4" s="274">
        <f>Data!E36</f>
        <v>10930302487</v>
      </c>
      <c r="J4" s="274">
        <f>Data!F36</f>
        <v>10460363984</v>
      </c>
      <c r="K4" s="274">
        <f>Data!G36</f>
        <v>9008056554</v>
      </c>
      <c r="L4" s="274">
        <f>Data!H36</f>
        <v>8842457723.7900009</v>
      </c>
      <c r="M4" s="274">
        <f>Data!I36</f>
        <v>8186582966.7299995</v>
      </c>
      <c r="N4" s="274">
        <f>Data!J36</f>
        <v>7345882957.6599998</v>
      </c>
      <c r="O4" s="274">
        <f>Data!K36</f>
        <v>6356168113.4300003</v>
      </c>
      <c r="P4" s="274">
        <f>Data!L36</f>
        <v>5732693142</v>
      </c>
      <c r="Q4" s="274" t="str">
        <f>Data!M36</f>
        <v/>
      </c>
    </row>
    <row r="5" spans="1:17" ht="15.75" customHeight="1">
      <c r="A5" s="10"/>
      <c r="B5" s="2" t="s">
        <v>43</v>
      </c>
      <c r="C5" s="270">
        <f>C26</f>
        <v>-9094048668.5244274</v>
      </c>
      <c r="E5" s="238"/>
      <c r="G5" s="274">
        <f t="shared" ref="G5:Q5" si="1">G26</f>
        <v>-9325345766.4599991</v>
      </c>
      <c r="H5" s="274">
        <f t="shared" si="1"/>
        <v>-8809429213.6800003</v>
      </c>
      <c r="I5" s="274">
        <f t="shared" si="1"/>
        <v>-8138817135</v>
      </c>
      <c r="J5" s="274">
        <f t="shared" si="1"/>
        <v>-7771519903</v>
      </c>
      <c r="K5" s="274">
        <f t="shared" si="1"/>
        <v>-6641055382</v>
      </c>
      <c r="L5" s="274">
        <f t="shared" si="1"/>
        <v>-6582796371.1999989</v>
      </c>
      <c r="M5" s="274">
        <f t="shared" si="1"/>
        <v>-6139293606.5600004</v>
      </c>
      <c r="N5" s="274">
        <f t="shared" si="1"/>
        <v>-5579495286.96</v>
      </c>
      <c r="O5" s="274">
        <f t="shared" si="1"/>
        <v>-4781976735.9300003</v>
      </c>
      <c r="P5" s="274">
        <f t="shared" si="1"/>
        <v>-4213109602</v>
      </c>
      <c r="Q5" s="274" t="str">
        <f t="shared" si="1"/>
        <v/>
      </c>
    </row>
    <row r="6" spans="1:17" ht="15.75" customHeight="1">
      <c r="A6" s="10"/>
      <c r="B6" s="30" t="s">
        <v>45</v>
      </c>
      <c r="C6" s="271">
        <f>C4+C5</f>
        <v>3234465223.4755726</v>
      </c>
      <c r="E6" s="238"/>
      <c r="G6" s="271">
        <f>IF(G4="","",G4+G5)</f>
        <v>3003168125.5400009</v>
      </c>
      <c r="H6" s="271">
        <f t="shared" ref="H6:Q6" si="2">IF(H4="","",H4+H5)</f>
        <v>3059061211.3199997</v>
      </c>
      <c r="I6" s="271">
        <f t="shared" si="2"/>
        <v>2791485352</v>
      </c>
      <c r="J6" s="271">
        <f t="shared" si="2"/>
        <v>2688844081</v>
      </c>
      <c r="K6" s="271">
        <f t="shared" si="2"/>
        <v>2367001172</v>
      </c>
      <c r="L6" s="271">
        <f t="shared" si="2"/>
        <v>2259661352.5900021</v>
      </c>
      <c r="M6" s="271">
        <f t="shared" si="2"/>
        <v>2047289360.1699991</v>
      </c>
      <c r="N6" s="271">
        <f t="shared" si="2"/>
        <v>1766387670.6999998</v>
      </c>
      <c r="O6" s="271">
        <f t="shared" si="2"/>
        <v>1574191377.5</v>
      </c>
      <c r="P6" s="271">
        <f t="shared" si="2"/>
        <v>1519583540</v>
      </c>
      <c r="Q6" s="271" t="str">
        <f t="shared" si="2"/>
        <v/>
      </c>
    </row>
    <row r="7" spans="1:17" ht="15.75" customHeight="1">
      <c r="A7" s="10"/>
      <c r="B7" s="8" t="s">
        <v>42</v>
      </c>
      <c r="C7" s="270">
        <f>C35</f>
        <v>-1673614926</v>
      </c>
      <c r="E7" s="238"/>
      <c r="G7" s="270">
        <f t="shared" ref="G7:Q7" si="3">G35</f>
        <v>-1673614926</v>
      </c>
      <c r="H7" s="270">
        <f t="shared" si="3"/>
        <v>-1618076543</v>
      </c>
      <c r="I7" s="270">
        <f t="shared" si="3"/>
        <v>-1401957853</v>
      </c>
      <c r="J7" s="270">
        <f t="shared" si="3"/>
        <v>-1453389763</v>
      </c>
      <c r="K7" s="270">
        <f t="shared" si="3"/>
        <v>-1204845481</v>
      </c>
      <c r="L7" s="270">
        <f t="shared" si="3"/>
        <v>-1253975538.01</v>
      </c>
      <c r="M7" s="270">
        <f t="shared" si="3"/>
        <v>-1115342053.4000001</v>
      </c>
      <c r="N7" s="270">
        <f t="shared" si="3"/>
        <v>-1071006550.5599998</v>
      </c>
      <c r="O7" s="270">
        <f t="shared" si="3"/>
        <v>-996340516.83000016</v>
      </c>
      <c r="P7" s="270">
        <f t="shared" si="3"/>
        <v>-977375063</v>
      </c>
      <c r="Q7" s="270" t="str">
        <f t="shared" si="3"/>
        <v/>
      </c>
    </row>
    <row r="8" spans="1:17" ht="15.75" customHeight="1">
      <c r="A8" s="10"/>
      <c r="B8" s="28" t="s">
        <v>127</v>
      </c>
      <c r="C8" s="272">
        <f>C6+C7</f>
        <v>1560850297.4755726</v>
      </c>
      <c r="D8" s="56"/>
      <c r="E8" s="244"/>
      <c r="F8" s="56"/>
      <c r="G8" s="271">
        <f>IF(G$4="","",G6+G7)</f>
        <v>1329553199.5400009</v>
      </c>
      <c r="H8" s="271">
        <f t="shared" ref="H8:Q8" si="4">IF(H$4="","",H6+H7)</f>
        <v>1440984668.3199997</v>
      </c>
      <c r="I8" s="271">
        <f t="shared" si="4"/>
        <v>1389527499</v>
      </c>
      <c r="J8" s="271">
        <f t="shared" si="4"/>
        <v>1235454318</v>
      </c>
      <c r="K8" s="271">
        <f t="shared" si="4"/>
        <v>1162155691</v>
      </c>
      <c r="L8" s="271">
        <f t="shared" si="4"/>
        <v>1005685814.5800021</v>
      </c>
      <c r="M8" s="271">
        <f t="shared" si="4"/>
        <v>931947306.76999903</v>
      </c>
      <c r="N8" s="271">
        <f t="shared" si="4"/>
        <v>695381120.13999999</v>
      </c>
      <c r="O8" s="271">
        <f t="shared" si="4"/>
        <v>577850860.66999984</v>
      </c>
      <c r="P8" s="271">
        <f t="shared" si="4"/>
        <v>542208477</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-2573944.9000506923</v>
      </c>
      <c r="E10" s="238"/>
      <c r="G10" s="270">
        <f>G48</f>
        <v>42437845.883772507</v>
      </c>
      <c r="H10" s="270">
        <f t="shared" ref="H10:Q10" si="6">H48</f>
        <v>40907258.125402227</v>
      </c>
      <c r="I10" s="270">
        <f t="shared" si="6"/>
        <v>17684060.36479719</v>
      </c>
      <c r="J10" s="270">
        <f t="shared" si="6"/>
        <v>5050995.6057627723</v>
      </c>
      <c r="K10" s="270">
        <f t="shared" si="6"/>
        <v>-4710487.7786057256</v>
      </c>
      <c r="L10" s="270">
        <f t="shared" si="6"/>
        <v>-6429541.7371483576</v>
      </c>
      <c r="M10" s="270">
        <f t="shared" si="6"/>
        <v>7532077.2016280871</v>
      </c>
      <c r="N10" s="270">
        <f t="shared" si="6"/>
        <v>0</v>
      </c>
      <c r="O10" s="270">
        <f t="shared" si="6"/>
        <v>0</v>
      </c>
      <c r="P10" s="270">
        <f t="shared" si="6"/>
        <v>0</v>
      </c>
      <c r="Q10" s="270" t="str">
        <f t="shared" si="6"/>
        <v/>
      </c>
    </row>
    <row r="11" spans="1:17" ht="15.75" customHeight="1">
      <c r="A11" s="10"/>
      <c r="B11" s="67" t="s">
        <v>137</v>
      </c>
      <c r="C11" s="271">
        <f>SUM(C8:C10)</f>
        <v>1558276352.5755219</v>
      </c>
      <c r="E11" s="238"/>
      <c r="G11" s="271">
        <f t="shared" ref="G11:Q11" si="7">IF(G$4="","",SUM(G8:G10))</f>
        <v>1371991045.4237735</v>
      </c>
      <c r="H11" s="271">
        <f t="shared" si="7"/>
        <v>1481891926.4454019</v>
      </c>
      <c r="I11" s="271">
        <f t="shared" si="7"/>
        <v>1407211559.3647971</v>
      </c>
      <c r="J11" s="271">
        <f t="shared" si="7"/>
        <v>1240505313.6057627</v>
      </c>
      <c r="K11" s="271">
        <f t="shared" si="7"/>
        <v>1157445203.2213943</v>
      </c>
      <c r="L11" s="271">
        <f t="shared" si="7"/>
        <v>999256272.84285367</v>
      </c>
      <c r="M11" s="271">
        <f t="shared" si="7"/>
        <v>939479383.97162712</v>
      </c>
      <c r="N11" s="271">
        <f t="shared" si="7"/>
        <v>695381120.13999999</v>
      </c>
      <c r="O11" s="271">
        <f t="shared" si="7"/>
        <v>577850860.66999984</v>
      </c>
      <c r="P11" s="271">
        <f t="shared" si="7"/>
        <v>542208477</v>
      </c>
      <c r="Q11" s="271" t="str">
        <f t="shared" si="7"/>
        <v/>
      </c>
    </row>
    <row r="12" spans="1:17" ht="15.75" customHeight="1">
      <c r="A12" s="10"/>
      <c r="B12" s="2" t="s">
        <v>60</v>
      </c>
      <c r="C12" s="270">
        <f>-C11*C41</f>
        <v>-389569088.14388049</v>
      </c>
      <c r="E12" s="238"/>
      <c r="G12" s="270">
        <f>Data!C46</f>
        <v>-105264449</v>
      </c>
      <c r="H12" s="270">
        <f>Data!D46</f>
        <v>65178244</v>
      </c>
      <c r="I12" s="270">
        <f>Data!E46</f>
        <v>11435477</v>
      </c>
      <c r="J12" s="270">
        <f>Data!F46</f>
        <v>-5452812</v>
      </c>
      <c r="K12" s="270">
        <f>Data!G46</f>
        <v>-8170551</v>
      </c>
      <c r="L12" s="270">
        <f>Data!H46</f>
        <v>-24172075.120000001</v>
      </c>
      <c r="M12" s="270">
        <f>Data!I46</f>
        <v>10795846.369999999</v>
      </c>
      <c r="N12" s="270">
        <f>Data!J46</f>
        <v>-559885.21</v>
      </c>
      <c r="O12" s="270">
        <f>Data!K46</f>
        <v>-5678065.6299999999</v>
      </c>
      <c r="P12" s="270">
        <f>Data!L46</f>
        <v>-2789931</v>
      </c>
      <c r="Q12" s="270" t="str">
        <f>Data!M46</f>
        <v/>
      </c>
    </row>
    <row r="13" spans="1:17" ht="15.75" customHeight="1">
      <c r="A13" s="10"/>
      <c r="B13" s="38" t="s">
        <v>208</v>
      </c>
      <c r="C13" s="270">
        <f>-C4*C79</f>
        <v>-58805478.000000007</v>
      </c>
      <c r="D13" s="57"/>
      <c r="E13" s="245"/>
      <c r="F13" s="57"/>
      <c r="G13" s="274">
        <f>Data!C48</f>
        <v>-58805478</v>
      </c>
      <c r="H13" s="274">
        <f>Data!D48</f>
        <v>-49204301</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1109901786.4316416</v>
      </c>
      <c r="D14" s="58"/>
      <c r="E14" s="246"/>
      <c r="F14" s="58"/>
      <c r="G14" s="271">
        <f t="shared" ref="G14:Q14" si="8">IF(G$4="","",SUM(G11:G13))</f>
        <v>1207921118.4237735</v>
      </c>
      <c r="H14" s="271">
        <f t="shared" si="8"/>
        <v>1497865869.4454019</v>
      </c>
      <c r="I14" s="271">
        <f t="shared" si="8"/>
        <v>1418647036.3647971</v>
      </c>
      <c r="J14" s="271">
        <f t="shared" si="8"/>
        <v>1235052501.6057627</v>
      </c>
      <c r="K14" s="271">
        <f t="shared" si="8"/>
        <v>1149274652.2213943</v>
      </c>
      <c r="L14" s="271">
        <f t="shared" si="8"/>
        <v>975084197.72285366</v>
      </c>
      <c r="M14" s="271">
        <f t="shared" si="8"/>
        <v>950275230.34162712</v>
      </c>
      <c r="N14" s="271">
        <f t="shared" si="8"/>
        <v>694821234.92999995</v>
      </c>
      <c r="O14" s="271">
        <f t="shared" si="8"/>
        <v>572172795.03999984</v>
      </c>
      <c r="P14" s="271">
        <f t="shared" si="8"/>
        <v>539418546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1109901786.4316416</v>
      </c>
      <c r="D19" s="26"/>
      <c r="E19" s="235"/>
      <c r="F19" s="26"/>
      <c r="G19" s="275">
        <f t="shared" ref="G19:Q19" si="9">IF(G$4="","",G14+G17)</f>
        <v>1207921118.4237735</v>
      </c>
      <c r="H19" s="275">
        <f t="shared" si="9"/>
        <v>1497865869.4454019</v>
      </c>
      <c r="I19" s="275">
        <f t="shared" si="9"/>
        <v>1418647036.3647971</v>
      </c>
      <c r="J19" s="275">
        <f t="shared" si="9"/>
        <v>1235052501.6057627</v>
      </c>
      <c r="K19" s="275">
        <f t="shared" si="9"/>
        <v>1149274652.2213943</v>
      </c>
      <c r="L19" s="275">
        <f t="shared" si="9"/>
        <v>975084197.72285366</v>
      </c>
      <c r="M19" s="275">
        <f t="shared" si="9"/>
        <v>950275230.34162712</v>
      </c>
      <c r="N19" s="275">
        <f t="shared" si="9"/>
        <v>694821234.92999995</v>
      </c>
      <c r="O19" s="275">
        <f t="shared" si="9"/>
        <v>572172795.03999984</v>
      </c>
      <c r="P19" s="275">
        <f t="shared" si="9"/>
        <v>539418546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-7698138603.6882782</v>
      </c>
      <c r="D23" s="55"/>
      <c r="E23" s="237"/>
      <c r="F23" s="55"/>
      <c r="G23" s="274">
        <f>Data!C37</f>
        <v>-7855898096.46</v>
      </c>
      <c r="H23" s="274">
        <f>Data!D37</f>
        <v>-7386835891.6800003</v>
      </c>
      <c r="I23" s="274">
        <f>Data!E37</f>
        <v>-6913161427</v>
      </c>
      <c r="J23" s="274">
        <f>Data!F37</f>
        <v>-6646716823</v>
      </c>
      <c r="K23" s="274">
        <f>Data!G37</f>
        <v>-5453686899</v>
      </c>
      <c r="L23" s="274">
        <f>Data!H37</f>
        <v>-5459861693.6899996</v>
      </c>
      <c r="M23" s="274">
        <f>Data!I37</f>
        <v>-5115028020.8500004</v>
      </c>
      <c r="N23" s="274">
        <f>Data!J37</f>
        <v>-4686978912.1300001</v>
      </c>
      <c r="O23" s="274">
        <f>Data!K37</f>
        <v>-3977341759.3800001</v>
      </c>
      <c r="P23" s="274">
        <f>Data!L37</f>
        <v>-3469413267</v>
      </c>
      <c r="Q23" s="274" t="str">
        <f>Data!M37</f>
        <v/>
      </c>
    </row>
    <row r="24" spans="1:17" ht="15.75" customHeight="1">
      <c r="A24" s="10"/>
      <c r="B24" s="65" t="s">
        <v>59</v>
      </c>
      <c r="C24" s="270">
        <f>-C4*C30</f>
        <v>-1395910064.8361499</v>
      </c>
      <c r="D24" s="26"/>
      <c r="E24" s="235"/>
      <c r="F24" s="26"/>
      <c r="G24" s="274">
        <f>Data!C40</f>
        <v>-1438983986</v>
      </c>
      <c r="H24" s="274">
        <f>Data!D40</f>
        <v>-1402613434</v>
      </c>
      <c r="I24" s="274">
        <f>Data!E40</f>
        <v>-1211489002</v>
      </c>
      <c r="J24" s="274">
        <f>Data!F40</f>
        <v>-1121009339</v>
      </c>
      <c r="K24" s="274">
        <f>Data!G40</f>
        <v>-1184329784</v>
      </c>
      <c r="L24" s="274">
        <f>Data!H40</f>
        <v>-1119679106.03</v>
      </c>
      <c r="M24" s="274">
        <f>Data!I40</f>
        <v>-1010672983.29</v>
      </c>
      <c r="N24" s="274">
        <f>Data!J40</f>
        <v>-892516374.83000004</v>
      </c>
      <c r="O24" s="274">
        <f>Data!K40</f>
        <v>-804634976.54999995</v>
      </c>
      <c r="P24" s="274">
        <f>Data!L40</f>
        <v>-743696335</v>
      </c>
      <c r="Q24" s="274" t="str">
        <f>Data!M40</f>
        <v/>
      </c>
    </row>
    <row r="25" spans="1:17" ht="15.75" customHeight="1">
      <c r="A25" s="10"/>
      <c r="B25" s="26" t="s">
        <v>46</v>
      </c>
      <c r="C25" s="270">
        <f>-C4*C31</f>
        <v>0</v>
      </c>
      <c r="D25" s="55"/>
      <c r="E25" s="236"/>
      <c r="F25" s="55"/>
      <c r="G25" s="274">
        <f>Data!C42</f>
        <v>-30463684</v>
      </c>
      <c r="H25" s="274">
        <f>Data!D42</f>
        <v>-19979888</v>
      </c>
      <c r="I25" s="274">
        <f>Data!E42</f>
        <v>-14166706</v>
      </c>
      <c r="J25" s="274">
        <f>Data!F42</f>
        <v>-3793741</v>
      </c>
      <c r="K25" s="274">
        <f>Data!G42</f>
        <v>-3038699</v>
      </c>
      <c r="L25" s="274">
        <f>Data!H42</f>
        <v>-3255571.48</v>
      </c>
      <c r="M25" s="274">
        <f>Data!I42</f>
        <v>-13592602.42</v>
      </c>
      <c r="N25" s="274">
        <f>Data!J42</f>
        <v>0</v>
      </c>
      <c r="O25" s="274">
        <f>Data!K42</f>
        <v>0</v>
      </c>
      <c r="P25" s="274">
        <f>Data!L42</f>
        <v>0</v>
      </c>
      <c r="Q25" s="274" t="str">
        <f>Data!M42</f>
        <v/>
      </c>
    </row>
    <row r="26" spans="1:17" ht="15.75" customHeight="1">
      <c r="A26" s="10"/>
      <c r="B26" s="67" t="s">
        <v>43</v>
      </c>
      <c r="C26" s="271">
        <f>SUM(C23:C25)</f>
        <v>-9094048668.5244274</v>
      </c>
      <c r="D26" s="9"/>
      <c r="E26" s="243"/>
      <c r="F26" s="9"/>
      <c r="G26" s="271">
        <f>IF(G$4="","",SUM(G23:G25))</f>
        <v>-9325345766.4599991</v>
      </c>
      <c r="H26" s="271">
        <f t="shared" ref="H26:Q26" si="10">IF(H$4="","",SUM(H23:H25))</f>
        <v>-8809429213.6800003</v>
      </c>
      <c r="I26" s="271">
        <f t="shared" si="10"/>
        <v>-8138817135</v>
      </c>
      <c r="J26" s="271">
        <f t="shared" si="10"/>
        <v>-7771519903</v>
      </c>
      <c r="K26" s="271">
        <f t="shared" si="10"/>
        <v>-6641055382</v>
      </c>
      <c r="L26" s="271">
        <f t="shared" si="10"/>
        <v>-6582796371.1999989</v>
      </c>
      <c r="M26" s="271">
        <f t="shared" si="10"/>
        <v>-6139293606.5600004</v>
      </c>
      <c r="N26" s="271">
        <f t="shared" si="10"/>
        <v>-5579495286.96</v>
      </c>
      <c r="O26" s="271">
        <f t="shared" si="10"/>
        <v>-4781976735.9300003</v>
      </c>
      <c r="P26" s="271">
        <f t="shared" si="10"/>
        <v>-4213109602</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0.62441740108543153</v>
      </c>
      <c r="D29" s="25"/>
      <c r="E29" s="236"/>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6"/>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5"/>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8"/>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-1673614926</v>
      </c>
      <c r="D35" s="55"/>
      <c r="E35" s="237"/>
      <c r="F35" s="55"/>
      <c r="G35" s="271">
        <f>IF(G4="","",Data!C41)</f>
        <v>-1673614926</v>
      </c>
      <c r="H35" s="271">
        <f>IF(H4="","",Data!D41)</f>
        <v>-1618076543</v>
      </c>
      <c r="I35" s="271">
        <f>IF(I4="","",Data!E41)</f>
        <v>-1401957853</v>
      </c>
      <c r="J35" s="271">
        <f>IF(J4="","",Data!F41)</f>
        <v>-1453389763</v>
      </c>
      <c r="K35" s="271">
        <f>IF(K4="","",Data!G41)</f>
        <v>-1204845481</v>
      </c>
      <c r="L35" s="271">
        <f>IF(L4="","",Data!H41)</f>
        <v>-1253975538.01</v>
      </c>
      <c r="M35" s="271">
        <f>IF(M4="","",Data!I41)</f>
        <v>-1115342053.4000001</v>
      </c>
      <c r="N35" s="271">
        <f>IF(N4="","",Data!J41)</f>
        <v>-1071006550.5599998</v>
      </c>
      <c r="O35" s="271">
        <f>IF(O4="","",Data!K41)</f>
        <v>-996340516.83000016</v>
      </c>
      <c r="P35" s="271">
        <f>IF(P4="","",Data!L41)</f>
        <v>-977375063</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0.13575155453943338</v>
      </c>
      <c r="E38" s="238"/>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0.14579684385567238</v>
      </c>
      <c r="O38" s="29">
        <f t="shared" si="15"/>
        <v>0.15675175656931162</v>
      </c>
      <c r="P38" s="29">
        <f t="shared" si="15"/>
        <v>0.17049143200066996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7.6723860079922351E-2</v>
      </c>
      <c r="H41" s="6">
        <f t="shared" si="16"/>
        <v>-4.398312915864408E-2</v>
      </c>
      <c r="I41" s="6">
        <f t="shared" si="16"/>
        <v>-8.1263381642216418E-3</v>
      </c>
      <c r="J41" s="6">
        <f t="shared" si="16"/>
        <v>4.3956377616395474E-3</v>
      </c>
      <c r="K41" s="6">
        <f t="shared" si="16"/>
        <v>7.0591255441378765E-3</v>
      </c>
      <c r="L41" s="6">
        <f t="shared" si="16"/>
        <v>2.4190065928964534E-2</v>
      </c>
      <c r="M41" s="6">
        <f t="shared" si="16"/>
        <v>-1.1491307371068444E-2</v>
      </c>
      <c r="N41" s="6">
        <f t="shared" si="16"/>
        <v>8.051487073552977E-4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-14156922.829499999</v>
      </c>
      <c r="E45" s="238"/>
      <c r="G45" s="270">
        <f>Data!C51</f>
        <v>-12441883</v>
      </c>
      <c r="H45" s="270">
        <f>Data!D51</f>
        <v>-17875457</v>
      </c>
      <c r="I45" s="270">
        <f>Data!E51</f>
        <v>-20978186</v>
      </c>
      <c r="J45" s="270">
        <f>Data!F51</f>
        <v>-19487843</v>
      </c>
      <c r="K45" s="270">
        <f>Data!G51</f>
        <v>-22163955</v>
      </c>
      <c r="L45" s="270">
        <f>Data!H51</f>
        <v>-19440322</v>
      </c>
      <c r="M45" s="270">
        <f>Data!I51</f>
        <v>-516412</v>
      </c>
      <c r="N45" s="270">
        <f>Data!J51</f>
        <v>0</v>
      </c>
      <c r="O45" s="270">
        <f>Data!K51</f>
        <v>0</v>
      </c>
      <c r="P45" s="270">
        <f>Data!L51</f>
        <v>0</v>
      </c>
      <c r="Q45" s="270" t="str">
        <f>Data!M51</f>
        <v/>
      </c>
    </row>
    <row r="46" spans="1:17" ht="15.75" customHeight="1">
      <c r="A46" s="10"/>
      <c r="B46" s="2" t="s">
        <v>272</v>
      </c>
      <c r="C46" s="270">
        <f>BS!D75*C51</f>
        <v>11582977.929449307</v>
      </c>
      <c r="E46" s="238"/>
      <c r="G46" s="278">
        <f t="shared" ref="G46:Q46" si="17">IFERROR(IF(G$4="","",($C$46/$C$47)*G47),0)</f>
        <v>54879728.883772507</v>
      </c>
      <c r="H46" s="278">
        <f t="shared" si="17"/>
        <v>58782715.125402227</v>
      </c>
      <c r="I46" s="278">
        <f t="shared" si="17"/>
        <v>38662246.36479719</v>
      </c>
      <c r="J46" s="278">
        <f t="shared" si="17"/>
        <v>24538838.605762772</v>
      </c>
      <c r="K46" s="278">
        <f t="shared" si="17"/>
        <v>17453467.221394274</v>
      </c>
      <c r="L46" s="278">
        <f t="shared" si="17"/>
        <v>13010780.262851642</v>
      </c>
      <c r="M46" s="278">
        <f t="shared" si="17"/>
        <v>8048489.2016280871</v>
      </c>
      <c r="N46" s="278">
        <f t="shared" si="17"/>
        <v>0</v>
      </c>
      <c r="O46" s="278">
        <f t="shared" si="17"/>
        <v>0</v>
      </c>
      <c r="P46" s="278">
        <f t="shared" si="17"/>
        <v>0</v>
      </c>
      <c r="Q46" s="278" t="str">
        <f t="shared" si="17"/>
        <v/>
      </c>
    </row>
    <row r="47" spans="1:17" ht="15.75" customHeight="1">
      <c r="A47" s="10"/>
      <c r="B47" s="248" t="s">
        <v>269</v>
      </c>
      <c r="C47" s="282">
        <f>BS!$C$66*C51</f>
        <v>51807112.489080004</v>
      </c>
      <c r="D47" s="249"/>
      <c r="E47" s="250"/>
      <c r="F47" s="249"/>
      <c r="G47" s="282">
        <f>Data!C52</f>
        <v>245460218</v>
      </c>
      <c r="H47" s="282">
        <f>Data!D52</f>
        <v>262917080</v>
      </c>
      <c r="I47" s="282">
        <f>Data!E52</f>
        <v>172924386</v>
      </c>
      <c r="J47" s="282">
        <f>Data!F52</f>
        <v>109754709</v>
      </c>
      <c r="K47" s="282">
        <f>Data!G52</f>
        <v>78064013</v>
      </c>
      <c r="L47" s="282">
        <f>Data!H52</f>
        <v>58193235</v>
      </c>
      <c r="M47" s="282">
        <f>Data!I52</f>
        <v>35998427</v>
      </c>
      <c r="N47" s="282">
        <f>Data!J52</f>
        <v>0</v>
      </c>
      <c r="O47" s="282">
        <f>Data!K52</f>
        <v>0</v>
      </c>
      <c r="P47" s="282">
        <f>Data!L52</f>
        <v>0</v>
      </c>
      <c r="Q47" s="282" t="str">
        <f>Data!M52</f>
        <v/>
      </c>
    </row>
    <row r="48" spans="1:17" ht="15.75" customHeight="1">
      <c r="A48" s="10"/>
      <c r="B48" s="67" t="s">
        <v>65</v>
      </c>
      <c r="C48" s="271">
        <f>C45+C46</f>
        <v>-2573944.9000506923</v>
      </c>
      <c r="E48" s="238"/>
      <c r="G48" s="271">
        <f>IF(G$4="","",(G45+G46))</f>
        <v>42437845.883772507</v>
      </c>
      <c r="H48" s="271">
        <f t="shared" ref="H48:Q48" si="18">IF(H$4="","",(H45+H46))</f>
        <v>40907258.125402227</v>
      </c>
      <c r="I48" s="271">
        <f t="shared" si="18"/>
        <v>17684060.36479719</v>
      </c>
      <c r="J48" s="271">
        <f t="shared" si="18"/>
        <v>5050995.6057627723</v>
      </c>
      <c r="K48" s="271">
        <f t="shared" si="18"/>
        <v>-4710487.7786057256</v>
      </c>
      <c r="L48" s="271">
        <f t="shared" si="18"/>
        <v>-6429541.7371483576</v>
      </c>
      <c r="M48" s="271">
        <f t="shared" si="18"/>
        <v>7532077.2016280871</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5"/>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8"/>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146354588.46000004</v>
      </c>
      <c r="H60" s="270">
        <f>Data!D58</f>
        <v>-122854230.31999969</v>
      </c>
      <c r="I60" s="270">
        <f>Data!E58</f>
        <v>-161674048</v>
      </c>
      <c r="J60" s="270">
        <f>Data!F58</f>
        <v>-16987110</v>
      </c>
      <c r="K60" s="270">
        <f>Data!G58</f>
        <v>33109749</v>
      </c>
      <c r="L60" s="270">
        <f>Data!H58</f>
        <v>104398571.64999843</v>
      </c>
      <c r="M60" s="270">
        <f>Data!I58</f>
        <v>-51508701.379999161</v>
      </c>
      <c r="N60" s="270">
        <f>Data!J58</f>
        <v>221659135.77000022</v>
      </c>
      <c r="O60" s="270">
        <f>Data!K58</f>
        <v>57865199.049999952</v>
      </c>
      <c r="P60" s="270">
        <f>Data!L58</f>
        <v>75501254</v>
      </c>
      <c r="Q60" s="270" t="str">
        <f>Data!M58</f>
        <v/>
      </c>
    </row>
    <row r="61" spans="1:17" ht="15.75" customHeight="1">
      <c r="A61" s="10"/>
      <c r="B61" s="30" t="s">
        <v>164</v>
      </c>
      <c r="C61" s="271">
        <f>C59+C60</f>
        <v>0</v>
      </c>
      <c r="E61" s="238"/>
      <c r="G61" s="271">
        <f t="shared" ref="G61:Q61" si="21">IF(G4="","",G59+G60)</f>
        <v>146354588.46000004</v>
      </c>
      <c r="H61" s="271">
        <f t="shared" si="21"/>
        <v>-122854230.31999969</v>
      </c>
      <c r="I61" s="271">
        <f t="shared" si="21"/>
        <v>-161674048</v>
      </c>
      <c r="J61" s="271">
        <f t="shared" si="21"/>
        <v>-16987110</v>
      </c>
      <c r="K61" s="271">
        <f t="shared" si="21"/>
        <v>33109749</v>
      </c>
      <c r="L61" s="271">
        <f t="shared" si="21"/>
        <v>104398571.64999843</v>
      </c>
      <c r="M61" s="271">
        <f t="shared" si="21"/>
        <v>-51508701.379999161</v>
      </c>
      <c r="N61" s="271">
        <f t="shared" si="21"/>
        <v>221659135.77000022</v>
      </c>
      <c r="O61" s="271">
        <f t="shared" si="21"/>
        <v>57865199.049999952</v>
      </c>
      <c r="P61" s="271">
        <f t="shared" si="21"/>
        <v>75501254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5"/>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5"/>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5"/>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0.14579684385567238</v>
      </c>
      <c r="O73" s="6">
        <f t="shared" si="25"/>
        <v>0.15675175656931162</v>
      </c>
      <c r="P73" s="6">
        <f t="shared" si="25"/>
        <v>0.17049143200066996</v>
      </c>
      <c r="Q73" s="6" t="str">
        <f t="shared" si="25"/>
        <v/>
      </c>
    </row>
    <row r="74" spans="1:17" ht="15.75" customHeight="1">
      <c r="A74" s="10"/>
      <c r="B74" s="28" t="s">
        <v>127</v>
      </c>
      <c r="C74" s="75">
        <f t="shared" si="22"/>
        <v>0.1266049023547284</v>
      </c>
      <c r="D74" s="26"/>
      <c r="E74" s="235"/>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9.4662700746529549E-2</v>
      </c>
      <c r="O74" s="62">
        <f t="shared" si="26"/>
        <v>9.0911827748711357E-2</v>
      </c>
      <c r="P74" s="62">
        <f t="shared" si="26"/>
        <v>9.458180711393116E-2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2.0877981909246424E-4</v>
      </c>
      <c r="D76" s="26"/>
      <c r="E76" s="235"/>
      <c r="F76" s="26"/>
      <c r="G76" s="6">
        <f t="shared" ref="G76:Q76" si="28">IF(G$4="","",ABS(G10/G$4))</f>
        <v>3.4422515361977666E-3</v>
      </c>
      <c r="H76" s="6">
        <f t="shared" si="28"/>
        <v>3.4467111368463887E-3</v>
      </c>
      <c r="I76" s="6">
        <f t="shared" si="28"/>
        <v>1.6178930442071295E-3</v>
      </c>
      <c r="J76" s="6">
        <f t="shared" si="28"/>
        <v>4.8286996642647349E-4</v>
      </c>
      <c r="K76" s="6">
        <f t="shared" si="28"/>
        <v>5.2291942777757633E-4</v>
      </c>
      <c r="L76" s="6">
        <f t="shared" si="28"/>
        <v>7.2712156936302163E-4</v>
      </c>
      <c r="M76" s="6">
        <f t="shared" si="28"/>
        <v>9.2005141000075347E-4</v>
      </c>
      <c r="N76" s="6">
        <f t="shared" si="28"/>
        <v>0</v>
      </c>
      <c r="O76" s="6">
        <f t="shared" si="28"/>
        <v>0</v>
      </c>
      <c r="P76" s="6">
        <f t="shared" si="28"/>
        <v>0</v>
      </c>
      <c r="Q76" s="6" t="str">
        <f t="shared" si="28"/>
        <v/>
      </c>
    </row>
    <row r="77" spans="1:17" ht="15.75" customHeight="1">
      <c r="A77" s="10"/>
      <c r="B77" s="67" t="s">
        <v>137</v>
      </c>
      <c r="C77" s="75">
        <f>C11/C4</f>
        <v>0.12639612253563595</v>
      </c>
      <c r="D77" s="26"/>
      <c r="E77" s="235"/>
      <c r="F77" s="26"/>
      <c r="G77" s="62">
        <f t="shared" ref="G77:Q77" si="29">IF(G$4="","",G11/G$4)</f>
        <v>0.11128600392899436</v>
      </c>
      <c r="H77" s="62">
        <f t="shared" si="29"/>
        <v>0.12485934380702017</v>
      </c>
      <c r="I77" s="62">
        <f t="shared" si="29"/>
        <v>0.12874406367421853</v>
      </c>
      <c r="J77" s="62">
        <f t="shared" si="29"/>
        <v>0.11859102756875566</v>
      </c>
      <c r="K77" s="62">
        <f t="shared" si="29"/>
        <v>0.12849000184256551</v>
      </c>
      <c r="L77" s="62">
        <f t="shared" si="29"/>
        <v>0.11300662146842116</v>
      </c>
      <c r="M77" s="62">
        <f t="shared" si="29"/>
        <v>0.1147584270250042</v>
      </c>
      <c r="N77" s="62">
        <f t="shared" si="29"/>
        <v>9.4662700746529549E-2</v>
      </c>
      <c r="O77" s="62">
        <f t="shared" si="29"/>
        <v>9.0911827748711357E-2</v>
      </c>
      <c r="P77" s="62">
        <f t="shared" si="29"/>
        <v>9.458180711393116E-2</v>
      </c>
      <c r="Q77" s="62" t="str">
        <f t="shared" si="29"/>
        <v/>
      </c>
    </row>
    <row r="78" spans="1:17" ht="15.75" customHeight="1">
      <c r="A78" s="10"/>
      <c r="B78" s="2" t="s">
        <v>60</v>
      </c>
      <c r="C78" s="74">
        <f>ABS(C12/C$4)</f>
        <v>3.1599030633908988E-2</v>
      </c>
      <c r="D78" s="26"/>
      <c r="E78" s="235"/>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4">
        <f>MIN(BS!C62,MAX(G79:K79))</f>
        <v>4.7698756326307106E-3</v>
      </c>
      <c r="D79" s="26"/>
      <c r="E79" s="235"/>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9.0027216269096252E-2</v>
      </c>
      <c r="D80" s="26"/>
      <c r="E80" s="235"/>
      <c r="F80" s="26"/>
      <c r="G80" s="62">
        <f t="shared" ref="G80:Q80" si="32">IF(G$4="","",ABS(G14/G$4))</f>
        <v>9.7977836502061794E-2</v>
      </c>
      <c r="H80" s="62">
        <f t="shared" si="32"/>
        <v>0.12620525574931338</v>
      </c>
      <c r="I80" s="62">
        <f t="shared" si="32"/>
        <v>0.12979028147227131</v>
      </c>
      <c r="J80" s="62">
        <f t="shared" si="32"/>
        <v>0.11806974436978279</v>
      </c>
      <c r="K80" s="62">
        <f t="shared" si="32"/>
        <v>0.12758297478839234</v>
      </c>
      <c r="L80" s="62">
        <f t="shared" si="32"/>
        <v>0.11027298384469052</v>
      </c>
      <c r="M80" s="62">
        <f t="shared" si="32"/>
        <v>0.11607715138336887</v>
      </c>
      <c r="N80" s="62">
        <f t="shared" si="32"/>
        <v>9.4586483195388718E-2</v>
      </c>
      <c r="O80" s="62">
        <f t="shared" si="32"/>
        <v>9.0018511913026844E-2</v>
      </c>
      <c r="P80" s="62">
        <f t="shared" si="32"/>
        <v>9.4095136899619528E-2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9.0027216269096252E-2</v>
      </c>
      <c r="D85" s="72"/>
      <c r="E85" s="235"/>
      <c r="F85" s="72"/>
      <c r="G85" s="62">
        <f t="shared" ref="G85:Q85" si="35">IF(G$4="","",ABS(G19/G$4))</f>
        <v>9.7977836502061794E-2</v>
      </c>
      <c r="H85" s="62">
        <f t="shared" si="35"/>
        <v>0.12620525574931338</v>
      </c>
      <c r="I85" s="62">
        <f t="shared" si="35"/>
        <v>0.12979028147227131</v>
      </c>
      <c r="J85" s="62">
        <f t="shared" si="35"/>
        <v>0.11806974436978279</v>
      </c>
      <c r="K85" s="62">
        <f t="shared" si="35"/>
        <v>0.12758297478839234</v>
      </c>
      <c r="L85" s="62">
        <f t="shared" si="35"/>
        <v>0.11027298384469052</v>
      </c>
      <c r="M85" s="62">
        <f t="shared" si="35"/>
        <v>0.11607715138336887</v>
      </c>
      <c r="N85" s="62">
        <f t="shared" si="35"/>
        <v>9.4586483195388718E-2</v>
      </c>
      <c r="O85" s="62">
        <f t="shared" si="35"/>
        <v>9.0018511913026844E-2</v>
      </c>
      <c r="P85" s="62">
        <f t="shared" si="35"/>
        <v>9.4095136899619528E-2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0.66079367999999994</v>
      </c>
      <c r="E88" s="238"/>
      <c r="G88" s="109">
        <f>Data!C65</f>
        <v>0.66079367999999994</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815314334.92487991</v>
      </c>
      <c r="E89" s="238"/>
      <c r="G89" s="71">
        <f t="shared" ref="G89:Q89" si="36">IF(G$4="","",G88*Common_Shares/scaling_factor)</f>
        <v>815314334.92487991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0.73458241521182999</v>
      </c>
      <c r="E90" s="238"/>
      <c r="G90" s="152">
        <f t="shared" ref="G90:Q90" si="37">IF(G$4="","",G88/(G19*scaling_factor/Common_Shares))</f>
        <v>0.6749731604898096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5.6105123773584897E-2</v>
      </c>
      <c r="E92" s="238"/>
      <c r="G92" s="22">
        <f t="shared" ref="G92:Q92" si="38">IF(G$4="","",(G88*(1-dividend_tax_rate))/Market_Price)</f>
        <v>5.6105123773584897E-2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0.13577734911105743</v>
      </c>
      <c r="D96" s="26"/>
      <c r="E96" s="235"/>
      <c r="F96" s="26"/>
      <c r="G96" s="6">
        <f t="shared" ref="G96:Q96" si="40">IF(H5="","",G11/H11-1)</f>
        <v>-7.4162547929690459E-2</v>
      </c>
      <c r="H96" s="6">
        <f t="shared" si="40"/>
        <v>5.3069751014776179E-2</v>
      </c>
      <c r="I96" s="6">
        <f t="shared" si="40"/>
        <v>0.1343857571028626</v>
      </c>
      <c r="J96" s="6">
        <f t="shared" si="40"/>
        <v>7.1761591955451509E-2</v>
      </c>
      <c r="K96" s="6">
        <f t="shared" si="40"/>
        <v>0.15830666734620324</v>
      </c>
      <c r="L96" s="6">
        <f t="shared" si="40"/>
        <v>6.3627674956017843E-2</v>
      </c>
      <c r="M96" s="6">
        <f t="shared" si="40"/>
        <v>0.35102802874844108</v>
      </c>
      <c r="N96" s="6">
        <f t="shared" si="40"/>
        <v>0.20339202979420601</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24953791374.34</v>
      </c>
      <c r="D100" s="25"/>
      <c r="E100" s="239"/>
      <c r="F100" s="25"/>
      <c r="G100" s="274">
        <f t="shared" ref="G100:Q100" si="41">IF(G$4="","",G104+G103)</f>
        <v>24953791374.34</v>
      </c>
      <c r="H100" s="274">
        <f t="shared" si="41"/>
        <v>21787563374</v>
      </c>
      <c r="I100" s="274">
        <f t="shared" si="41"/>
        <v>20651387559</v>
      </c>
      <c r="J100" s="274">
        <f t="shared" si="41"/>
        <v>18773945790</v>
      </c>
      <c r="K100" s="274">
        <f t="shared" si="41"/>
        <v>16968836010</v>
      </c>
      <c r="L100" s="274">
        <f t="shared" si="41"/>
        <v>15324503472.529999</v>
      </c>
      <c r="M100" s="274">
        <f t="shared" si="41"/>
        <v>13287712452.790001</v>
      </c>
      <c r="N100" s="274">
        <f t="shared" si="41"/>
        <v>12286705641.32</v>
      </c>
      <c r="O100" s="274">
        <f t="shared" si="41"/>
        <v>12255176609.389999</v>
      </c>
      <c r="P100" s="274">
        <f t="shared" si="41"/>
        <v>10743289052</v>
      </c>
      <c r="Q100" s="274" t="str">
        <f t="shared" si="41"/>
        <v/>
      </c>
    </row>
    <row r="101" spans="1:17" ht="15.75" customHeight="1">
      <c r="A101" s="10"/>
      <c r="B101" s="90" t="s">
        <v>179</v>
      </c>
      <c r="C101" s="285">
        <f>BS!C4</f>
        <v>2677683243.9199996</v>
      </c>
      <c r="D101" s="86"/>
      <c r="E101" s="240"/>
      <c r="F101" s="86"/>
      <c r="G101" s="286">
        <f>IF(G$4="","",Data!D77)</f>
        <v>1480929222</v>
      </c>
      <c r="H101" s="286">
        <f>IF(H$4="","",Data!E77)</f>
        <v>1700785024</v>
      </c>
      <c r="I101" s="286">
        <f>IF(I$4="","",Data!F77)</f>
        <v>1566430110</v>
      </c>
      <c r="J101" s="286">
        <f>IF(J$4="","",Data!G77)</f>
        <v>1591251195</v>
      </c>
      <c r="K101" s="286">
        <f>IF(K$4="","",Data!H77)</f>
        <v>1763659597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3212346044.4899998</v>
      </c>
      <c r="D102" s="86"/>
      <c r="E102" s="240"/>
      <c r="F102" s="86"/>
      <c r="G102" s="286">
        <f>IF(G$4="","",Data!D78)</f>
        <v>2641169798</v>
      </c>
      <c r="H102" s="286">
        <f>IF(H$4="","",Data!E78)</f>
        <v>2572840226</v>
      </c>
      <c r="I102" s="286">
        <f>IF(I$4="","",Data!F78)</f>
        <v>2742158427</v>
      </c>
      <c r="J102" s="286">
        <f>IF(J$4="","",Data!G78)</f>
        <v>2130621634</v>
      </c>
      <c r="K102" s="286">
        <f>IF(K$4="","",Data!H78)</f>
        <v>2157448334.2399998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9518655228.4500008</v>
      </c>
      <c r="D103" s="25"/>
      <c r="E103" s="239"/>
      <c r="F103" s="25"/>
      <c r="G103" s="274">
        <f>Data!C79</f>
        <v>9518655228.4500008</v>
      </c>
      <c r="H103" s="274">
        <f>Data!D79</f>
        <v>8373407203</v>
      </c>
      <c r="I103" s="274">
        <f>Data!E79</f>
        <v>7989354199</v>
      </c>
      <c r="J103" s="274">
        <f>Data!F79</f>
        <v>7664257231</v>
      </c>
      <c r="K103" s="274">
        <f>Data!G79</f>
        <v>6940685993</v>
      </c>
      <c r="L103" s="274">
        <f>Data!H79</f>
        <v>6204537146.3100004</v>
      </c>
      <c r="M103" s="274">
        <f>Data!I79</f>
        <v>4881683091.6899996</v>
      </c>
      <c r="N103" s="274">
        <f>Data!J79</f>
        <v>4329883410.9300003</v>
      </c>
      <c r="O103" s="274">
        <f>Data!K79</f>
        <v>3960699258.6100001</v>
      </c>
      <c r="P103" s="274">
        <f>Data!L79</f>
        <v>3503775868</v>
      </c>
      <c r="Q103" s="274" t="str">
        <f>Data!M79</f>
        <v/>
      </c>
    </row>
    <row r="104" spans="1:17" ht="15.75" customHeight="1">
      <c r="A104" s="10"/>
      <c r="B104" s="25" t="s">
        <v>28</v>
      </c>
      <c r="C104" s="284">
        <f>BS!G27</f>
        <v>15435136145.889999</v>
      </c>
      <c r="D104" s="25"/>
      <c r="E104" s="239"/>
      <c r="F104" s="25"/>
      <c r="G104" s="274">
        <f>Data!C80</f>
        <v>15435136145.889999</v>
      </c>
      <c r="H104" s="274">
        <f>Data!D80</f>
        <v>13414156171</v>
      </c>
      <c r="I104" s="274">
        <f>Data!E80</f>
        <v>12662033360</v>
      </c>
      <c r="J104" s="274">
        <f>Data!F80</f>
        <v>11109688559</v>
      </c>
      <c r="K104" s="274">
        <f>Data!G80</f>
        <v>10028150017</v>
      </c>
      <c r="L104" s="274">
        <f>Data!H80</f>
        <v>9119966326.2199993</v>
      </c>
      <c r="M104" s="274">
        <f>Data!I80</f>
        <v>8406029361.1000004</v>
      </c>
      <c r="N104" s="274">
        <f>Data!J80</f>
        <v>7956822230.3900003</v>
      </c>
      <c r="O104" s="274">
        <f>Data!K80</f>
        <v>8294477350.7799997</v>
      </c>
      <c r="P104" s="274">
        <f>Data!L80</f>
        <v>7239513184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9"/>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9"/>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1.1052698089235498</v>
      </c>
      <c r="H112" s="254">
        <f>IF(H$4="","",Data!D$22/Data!D15)</f>
        <v>1.4450380877964708</v>
      </c>
      <c r="I112" s="254">
        <f>IF(I$4="","",Data!E$22/Data!E15)</f>
        <v>1.455096327182446</v>
      </c>
      <c r="J112" s="254">
        <f>IF(J$4="","",Data!F$22/Data!F15)</f>
        <v>1.5709038690989789</v>
      </c>
      <c r="K112" s="254">
        <f>IF(K$4="","",Data!G$22/Data!G15)</f>
        <v>1.4632443151838492</v>
      </c>
      <c r="L112" s="254">
        <f>IF(L$4="","",Data!H$22/Data!H15)</f>
        <v>1.2131703642741525</v>
      </c>
      <c r="M112" s="254">
        <f>IF(M$4="","",Data!I$22/Data!I15)</f>
        <v>1.0720110277562196</v>
      </c>
      <c r="N112" s="254">
        <f>IF(N$4="","",Data!J$22/Data!J15)</f>
        <v>0.3771186830504803</v>
      </c>
      <c r="O112" s="254">
        <f>IF(O$4="","",Data!K$22/Data!K15)</f>
        <v>1.0847397851253608</v>
      </c>
      <c r="P112" s="254">
        <f>IF(P$4="","",Data!L$22/Data!L15)</f>
        <v>1.6533054034038259</v>
      </c>
      <c r="Q112" s="254" t="str">
        <f>IF(Q$4="","",Data!M$22/Data!M15)</f>
        <v/>
      </c>
    </row>
    <row r="113" spans="1:17" ht="15.75" customHeight="1">
      <c r="A113" s="10"/>
      <c r="B113" s="2" t="s">
        <v>304</v>
      </c>
      <c r="C113" s="151"/>
      <c r="E113" s="238"/>
      <c r="G113" s="254">
        <f>IF(G$4="","",Data!C$22/G19)</f>
        <v>1.4673796202130505</v>
      </c>
      <c r="H113" s="254">
        <f>IF(H$4="","",Data!D$22/H19)</f>
        <v>1.5709205069685108</v>
      </c>
      <c r="I113" s="254">
        <f>IF(I$4="","",Data!E$22/I19)</f>
        <v>1.4269801248007132</v>
      </c>
      <c r="J113" s="254">
        <f>IF(J$4="","",Data!F$22/J19)</f>
        <v>1.6576862719100194</v>
      </c>
      <c r="K113" s="254">
        <f>IF(K$4="","",Data!G$22/K19)</f>
        <v>1.5825680018997135</v>
      </c>
      <c r="L113" s="254">
        <f>IF(L$4="","",Data!H$22/L19)</f>
        <v>1.399274568089969</v>
      </c>
      <c r="M113" s="254">
        <f>IF(M$4="","",Data!I$22/M19)</f>
        <v>1.0454342492046766</v>
      </c>
      <c r="N113" s="254">
        <f>IF(N$4="","",Data!J$22/N19)</f>
        <v>0.49742560109697831</v>
      </c>
      <c r="O113" s="254">
        <f>IF(O$4="","",Data!K$22/O19)</f>
        <v>1.194442106046343</v>
      </c>
      <c r="P113" s="254">
        <f>IF(P$4="","",Data!L$22/P19)</f>
        <v>1.8847150057017135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0.12639612253563595</v>
      </c>
      <c r="E116" s="238"/>
      <c r="G116" s="22">
        <f t="shared" ref="G116:Q116" si="44">IF(G4="","",G77)</f>
        <v>0.11128600392899436</v>
      </c>
      <c r="H116" s="22">
        <f t="shared" si="44"/>
        <v>0.12485934380702017</v>
      </c>
      <c r="I116" s="22">
        <f t="shared" si="44"/>
        <v>0.12874406367421853</v>
      </c>
      <c r="J116" s="22">
        <f t="shared" si="44"/>
        <v>0.11859102756875566</v>
      </c>
      <c r="K116" s="22">
        <f t="shared" si="44"/>
        <v>0.12849000184256551</v>
      </c>
      <c r="L116" s="22">
        <f t="shared" si="44"/>
        <v>0.11300662146842116</v>
      </c>
      <c r="M116" s="22">
        <f t="shared" si="44"/>
        <v>0.1147584270250042</v>
      </c>
      <c r="N116" s="22">
        <f t="shared" si="44"/>
        <v>9.4662700746529549E-2</v>
      </c>
      <c r="O116" s="22">
        <f t="shared" si="44"/>
        <v>9.0911827748711357E-2</v>
      </c>
      <c r="P116" s="22">
        <f t="shared" si="44"/>
        <v>9.458180711393116E-2</v>
      </c>
      <c r="Q116" s="22" t="str">
        <f t="shared" si="44"/>
        <v/>
      </c>
    </row>
    <row r="117" spans="1:17" ht="15.75" customHeight="1">
      <c r="B117" s="7" t="s">
        <v>80</v>
      </c>
      <c r="C117" s="40">
        <f>C4/C100</f>
        <v>0.49405373744838704</v>
      </c>
      <c r="E117" s="238"/>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242"/>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99">
        <f>C11/C104</f>
        <v>0.10095643717340666</v>
      </c>
      <c r="D119" s="100"/>
      <c r="E119" s="241"/>
      <c r="F119" s="100"/>
      <c r="G119" s="99">
        <f t="shared" ref="G119:Q119" si="47">IF(G$4="","",G11/G104)</f>
        <v>8.8887524700525647E-2</v>
      </c>
      <c r="H119" s="99">
        <f t="shared" si="47"/>
        <v>0.11047224346836643</v>
      </c>
      <c r="I119" s="99">
        <f t="shared" si="47"/>
        <v>0.11113630167886378</v>
      </c>
      <c r="J119" s="99">
        <f t="shared" si="47"/>
        <v>0.11165977399076815</v>
      </c>
      <c r="K119" s="99">
        <f t="shared" si="47"/>
        <v>0.11541961391276166</v>
      </c>
      <c r="L119" s="99">
        <f t="shared" si="47"/>
        <v>0.10956797833452316</v>
      </c>
      <c r="M119" s="99">
        <f t="shared" si="47"/>
        <v>0.11176256275277728</v>
      </c>
      <c r="N119" s="99">
        <f t="shared" si="47"/>
        <v>8.7394326529514052E-2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0.99069502728301084</v>
      </c>
      <c r="D123" s="26"/>
      <c r="E123" s="235"/>
      <c r="F123" s="26"/>
      <c r="G123" s="159">
        <f t="shared" ref="G123:Q123" si="48">IF(G$4="","",G14*$C$3/Common_Shares*Exchange_Rate)</f>
        <v>1.0781867909411356</v>
      </c>
      <c r="H123" s="159">
        <f t="shared" si="48"/>
        <v>1.3369906117255339</v>
      </c>
      <c r="I123" s="159">
        <f t="shared" si="48"/>
        <v>1.2662801173741027</v>
      </c>
      <c r="J123" s="159">
        <f t="shared" si="48"/>
        <v>1.1024041827232707</v>
      </c>
      <c r="K123" s="159">
        <f t="shared" si="48"/>
        <v>1.0258391299636598</v>
      </c>
      <c r="L123" s="159">
        <f t="shared" si="48"/>
        <v>0.87035724933106184</v>
      </c>
      <c r="M123" s="159">
        <f t="shared" si="48"/>
        <v>0.848212838972352</v>
      </c>
      <c r="N123" s="159">
        <f t="shared" si="48"/>
        <v>0.62019536386987084</v>
      </c>
      <c r="O123" s="159">
        <f t="shared" si="48"/>
        <v>0.51071973189193642</v>
      </c>
      <c r="P123" s="159">
        <f t="shared" si="48"/>
        <v>0.48148338679995945</v>
      </c>
      <c r="Q123" s="159" t="str">
        <f t="shared" si="48"/>
        <v/>
      </c>
    </row>
    <row r="124" spans="1:17" ht="15.75" customHeight="1">
      <c r="A124" s="10"/>
      <c r="B124" s="26" t="s">
        <v>226</v>
      </c>
      <c r="C124" s="74">
        <f>C19*Exchange_Rate*$C$3/(Market_Price*Common_Shares)</f>
        <v>9.3461795026699143E-2</v>
      </c>
      <c r="D124" s="26"/>
      <c r="E124" s="235"/>
      <c r="F124" s="26"/>
      <c r="G124" s="74">
        <f t="shared" ref="G124" si="49">IF(G$4="","",G123/Market_Price)</f>
        <v>0.10171573499444675</v>
      </c>
      <c r="H124" s="74">
        <f t="shared" ref="H124" si="50">IF(H$4="","",H123/Market_Price)</f>
        <v>0.12613118978542773</v>
      </c>
      <c r="I124" s="74">
        <f t="shared" ref="I124" si="51">IF(I$4="","",I123/Market_Price)</f>
        <v>0.11946038843151913</v>
      </c>
      <c r="J124" s="74">
        <f t="shared" ref="J124" si="52">IF(J$4="","",J123/Market_Price)</f>
        <v>0.10400039459653497</v>
      </c>
      <c r="K124" s="74">
        <f t="shared" ref="K124" si="53">IF(K$4="","",K123/Market_Price)</f>
        <v>9.6777276411666016E-2</v>
      </c>
      <c r="L124" s="74">
        <f t="shared" ref="L124" si="54">IF(L$4="","",L123/Market_Price)</f>
        <v>8.2109174465194515E-2</v>
      </c>
      <c r="M124" s="74">
        <f t="shared" ref="M124" si="55">IF(M$4="","",M123/Market_Price)</f>
        <v>8.0020079148335102E-2</v>
      </c>
      <c r="N124" s="74">
        <f t="shared" ref="N124" si="56">IF(N$4="","",N123/Market_Price)</f>
        <v>5.8508996591497255E-2</v>
      </c>
      <c r="O124" s="74">
        <f t="shared" ref="O124" si="57">IF(O$4="","",O123/Market_Price)</f>
        <v>4.8181106782258155E-2</v>
      </c>
      <c r="P124" s="74">
        <f t="shared" ref="P124" si="58">IF(P$4="","",P123/Market_Price)</f>
        <v>4.5422961018864103E-2</v>
      </c>
      <c r="Q124" s="74" t="str">
        <f t="shared" ref="Q124" si="59">IF(Q$4="","",Q123/Market_Price)</f>
        <v/>
      </c>
    </row>
    <row r="125" spans="1:17" ht="15.75" customHeight="1">
      <c r="B125" s="2" t="s">
        <v>306</v>
      </c>
      <c r="C125" s="151"/>
      <c r="G125" s="22">
        <f>IF(G$4="","",(Data!C47*$C$3)/(Market_Price*Common_Shares))</f>
        <v>0.12261615327243244</v>
      </c>
      <c r="H125" s="22">
        <f>IF(H$4="","",(Data!D47*$C$3)/(Market_Price*Common_Shares))</f>
        <v>0.1245038487956607</v>
      </c>
      <c r="I125" s="22">
        <f>IF(I$4="","",(Data!E47*$C$3)/(Market_Price*Common_Shares))</f>
        <v>0.10637399549952714</v>
      </c>
      <c r="J125" s="22">
        <f>IF(J$4="","",(Data!F47*$C$3)/(Market_Price*Common_Shares))</f>
        <v>9.9649032940897719E-2</v>
      </c>
      <c r="K125" s="22">
        <f>IF(K$4="","",(Data!G47*$C$3)/(Market_Price*Common_Shares))</f>
        <v>9.5039534466177591E-2</v>
      </c>
      <c r="L125" s="22">
        <f>IF(L$4="","",(Data!H47*$C$3)/(Market_Price*Common_Shares))</f>
        <v>8.5992030448466233E-2</v>
      </c>
      <c r="M125" s="22">
        <f>IF(M$4="","",(Data!I47*$C$3)/(Market_Price*Common_Shares))</f>
        <v>7.0856846035924667E-2</v>
      </c>
      <c r="N125" s="22">
        <f>IF(N$4="","",(Data!J47*$C$3)/(Market_Price*Common_Shares))</f>
        <v>7.0074192971532542E-2</v>
      </c>
      <c r="O125" s="22">
        <f>IF(O$4="","",(Data!K47*$C$3)/(Market_Price*Common_Shares))</f>
        <v>4.8172776404953439E-2</v>
      </c>
      <c r="P125" s="22">
        <f>IF(P$4="","",(Data!L47*$C$3)/(Market_Price*Common_Shares))</f>
        <v>4.701683757209596E-2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E21" sqref="E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427</v>
      </c>
      <c r="H3" s="106" t="s">
        <v>416</v>
      </c>
    </row>
    <row r="4" spans="2:15">
      <c r="B4" s="97" t="s">
        <v>393</v>
      </c>
      <c r="C4" s="279">
        <f>Normalized_FCF!C19</f>
        <v>1109901786.4316416</v>
      </c>
      <c r="D4" t="str">
        <f>Reporting_currency</f>
        <v>CNY</v>
      </c>
      <c r="E4" s="135" t="s">
        <v>434</v>
      </c>
      <c r="F4" s="279">
        <f>-BS!G31</f>
        <v>-283138456.58999997</v>
      </c>
      <c r="G4" t="str">
        <f>Reporting_currency</f>
        <v>CNY</v>
      </c>
      <c r="H4" s="312" t="s">
        <v>394</v>
      </c>
      <c r="I4" s="309">
        <f>Normalized_FCF!C4</f>
        <v>12328513892</v>
      </c>
      <c r="J4" s="309"/>
    </row>
    <row r="5" spans="2:15">
      <c r="B5" s="187" t="s">
        <v>105</v>
      </c>
      <c r="C5" s="188">
        <f>Equity_Cost</f>
        <v>9.2499999999999999E-2</v>
      </c>
      <c r="E5" s="135" t="s">
        <v>435</v>
      </c>
      <c r="F5" s="279">
        <f>BS!D66</f>
        <v>6704022426.6051159</v>
      </c>
      <c r="G5" t="str">
        <f>Reporting_currency</f>
        <v>CNY</v>
      </c>
      <c r="H5" s="312" t="s">
        <v>396</v>
      </c>
      <c r="I5" s="309">
        <f>Normalized_FCF!C7</f>
        <v>-1673614926</v>
      </c>
      <c r="J5" s="309"/>
    </row>
    <row r="6" spans="2:15" ht="13.25" customHeight="1">
      <c r="B6" s="136" t="s">
        <v>194</v>
      </c>
      <c r="C6" s="287">
        <f>(C4*(1+Terminal_Growth))/(Equity_Cost-Terminal_Growth)</f>
        <v>11998938231.693422</v>
      </c>
      <c r="D6" t="str">
        <f>Reporting_currency</f>
        <v>CNY</v>
      </c>
      <c r="E6" s="187" t="s">
        <v>436</v>
      </c>
      <c r="F6" s="288">
        <f>BS!H42</f>
        <v>583558544.63999999</v>
      </c>
      <c r="G6" t="str">
        <f>Reporting_currency</f>
        <v>CNY</v>
      </c>
      <c r="H6" s="312" t="s">
        <v>418</v>
      </c>
      <c r="I6" s="309">
        <f>I7+I8</f>
        <v>-2573944.9000506923</v>
      </c>
      <c r="J6" s="309"/>
      <c r="N6" s="135"/>
    </row>
    <row r="7" spans="2:15" ht="12.75" customHeight="1">
      <c r="B7" s="322" t="s">
        <v>433</v>
      </c>
      <c r="C7" s="279">
        <f>F7</f>
        <v>7004442514.6551161</v>
      </c>
      <c r="E7" s="140" t="s">
        <v>427</v>
      </c>
      <c r="F7" s="287">
        <f>SUM(F4:F6)</f>
        <v>7004442514.6551161</v>
      </c>
      <c r="G7" t="str">
        <f>Reporting_currency</f>
        <v>CNY</v>
      </c>
      <c r="H7" s="316" t="s">
        <v>419</v>
      </c>
      <c r="I7" s="317">
        <f>Normalized_FCF!C9</f>
        <v>0</v>
      </c>
      <c r="J7" s="317"/>
      <c r="N7" s="308"/>
      <c r="O7" s="308"/>
    </row>
    <row r="8" spans="2:15" ht="13.15">
      <c r="B8" s="136" t="s">
        <v>429</v>
      </c>
      <c r="C8" s="287">
        <f>C6+C7</f>
        <v>19003380746.348537</v>
      </c>
      <c r="D8" t="str">
        <f>Reporting_currency</f>
        <v>CNY</v>
      </c>
      <c r="E8" s="140" t="s">
        <v>467</v>
      </c>
      <c r="F8" s="108">
        <f>FV_adjustments*scaling_factor/Common_Shares*Exchange_Rate</f>
        <v>6.252144516740012</v>
      </c>
      <c r="G8" s="298" t="str">
        <f>Market_currency</f>
        <v>HKD</v>
      </c>
      <c r="H8" s="318" t="str">
        <f>Normalized_FCF!B10</f>
        <v>Net Interest Income</v>
      </c>
      <c r="I8" s="317">
        <f>Normalized_FCF!C10</f>
        <v>-2573944.9000506923</v>
      </c>
      <c r="J8" s="317"/>
      <c r="N8" s="308"/>
      <c r="O8" s="308"/>
    </row>
    <row r="9" spans="2:15" ht="13.15" thickBot="1">
      <c r="B9" s="189" t="str">
        <f>"*"&amp;Thesis!E15</f>
        <v>*CNY/HKD</v>
      </c>
      <c r="C9" s="190">
        <f>Exchange_Rate</f>
        <v>1.1013227999999999</v>
      </c>
      <c r="D9" t="str">
        <f>Thesis!E15</f>
        <v>CNY/HKD</v>
      </c>
      <c r="F9" s="326"/>
      <c r="H9" s="312" t="str">
        <f>Normalized_FCF!B79</f>
        <v>NCI’s Share of Profits</v>
      </c>
      <c r="I9" s="144">
        <f>Normalized_FCF!C79</f>
        <v>4.7698756326307106E-3</v>
      </c>
      <c r="J9" s="310"/>
      <c r="N9" s="308"/>
      <c r="O9" s="308"/>
    </row>
    <row r="10" spans="2:15" ht="13.5" thickTop="1">
      <c r="B10" s="107" t="s">
        <v>430</v>
      </c>
      <c r="C10" s="287">
        <f>C8*Exchange_Rate</f>
        <v>20928856493.03466</v>
      </c>
      <c r="D10" t="str">
        <f>Market_currency</f>
        <v>HKD</v>
      </c>
      <c r="H10" s="312" t="s">
        <v>398</v>
      </c>
      <c r="I10" s="310">
        <f>Normalized_FCF!C41</f>
        <v>0.25</v>
      </c>
      <c r="N10" s="308"/>
      <c r="O10" s="308"/>
    </row>
    <row r="11" spans="2:15" ht="13.15">
      <c r="B11" s="136" t="s">
        <v>428</v>
      </c>
      <c r="C11" s="108">
        <f>(C10*scaling_factor)/Common_Shares</f>
        <v>16.962361027907697</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1.7510817454651968E-3</v>
      </c>
      <c r="E16" s="312" t="s">
        <v>401</v>
      </c>
      <c r="F16" s="315">
        <f>Scenarios!C41</f>
        <v>1.7510817454651968E-3</v>
      </c>
    </row>
    <row r="17" spans="1:21" ht="13.25" customHeight="1">
      <c r="B17" s="312" t="s">
        <v>395</v>
      </c>
      <c r="C17" s="310">
        <f>Normalized_FCF!C32</f>
        <v>0.73764354310583824</v>
      </c>
      <c r="E17" s="312" t="s">
        <v>402</v>
      </c>
      <c r="F17" s="315">
        <f>Scenarios!C40</f>
        <v>0.73764354310583824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17.014170240778682</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12350102127.624994</v>
      </c>
      <c r="D21" s="303">
        <f t="shared" ref="D21:D50" si="1">IF(A21="",0,IF(A21="I",$C$16,$F$16))</f>
        <v>1.7510817454651968E-3</v>
      </c>
      <c r="E21" s="303">
        <f>$C$17</f>
        <v>0.73764354310583824</v>
      </c>
      <c r="F21" s="281">
        <f>I5*(1+D21)</f>
        <v>-1676545562.5458565</v>
      </c>
      <c r="G21" s="281">
        <f>C21*(1-E21)+F21+$I$6</f>
        <v>1561009529.038835</v>
      </c>
      <c r="H21" s="303">
        <f t="shared" ref="H21:H50" si="2">IF(A21="",0%,IF(A21="I",$C$18,$F$18))</f>
        <v>0</v>
      </c>
      <c r="I21" s="281">
        <f>(G21*(1-$I$10)+C21*(H21-$I$9))</f>
        <v>1111848695.5800669</v>
      </c>
      <c r="J21" s="303">
        <f>I21/C4-1</f>
        <v>1.7541274121961603E-3</v>
      </c>
      <c r="K21" s="119">
        <f t="shared" ref="K21:K50" si="3">IF($C$15&lt;B21,0,1/(1+Equity_Cost)^B21)</f>
        <v>0.91533180778032031</v>
      </c>
      <c r="L21" s="281">
        <f t="shared" ref="L21:L50" si="4">I21*K21</f>
        <v>1017710476.5034937</v>
      </c>
    </row>
    <row r="22" spans="1:21">
      <c r="A22" s="306" t="str">
        <f t="shared" si="0"/>
        <v>I</v>
      </c>
      <c r="B22" s="117">
        <v>2</v>
      </c>
      <c r="C22" s="281">
        <f t="shared" ref="C22:C50" si="5">IF(A22="",0,C21*(1+D22))</f>
        <v>12371728166.015308</v>
      </c>
      <c r="D22" s="303">
        <f t="shared" si="1"/>
        <v>1.7510817454651968E-3</v>
      </c>
      <c r="E22" s="303">
        <f t="shared" ref="E22:E50" si="6">IF($C$15&lt;B22,0,IF(B22&gt;=$F$15,$F$17,$C$17))</f>
        <v>0.73764354310583824</v>
      </c>
      <c r="F22" s="281">
        <f t="shared" ref="F22:F50" si="7">IF(A22="",0,F21*(1+D22))</f>
        <v>-1679481330.8758712</v>
      </c>
      <c r="G22" s="281">
        <f t="shared" ref="G22:G50" si="8">IF(A22="", 0,C22*(1-E22)+F22+$I$6)</f>
        <v>1563747491.5175605</v>
      </c>
      <c r="H22" s="303">
        <f t="shared" si="2"/>
        <v>0</v>
      </c>
      <c r="I22" s="281">
        <f>IF(A22="", 0,G22*(1-$I$10)+C22*(H22-$I$9))</f>
        <v>1113799013.9255629</v>
      </c>
      <c r="J22" s="303">
        <f>IF(A22="", 0,I22/I21-1)</f>
        <v>1.7541220790644463E-3</v>
      </c>
      <c r="K22" s="119">
        <f t="shared" si="3"/>
        <v>0.83783231833438931</v>
      </c>
      <c r="L22" s="281">
        <f t="shared" si="4"/>
        <v>933176809.9958111</v>
      </c>
    </row>
    <row r="23" spans="1:21">
      <c r="A23" s="306" t="str">
        <f t="shared" si="0"/>
        <v>I</v>
      </c>
      <c r="B23" s="117">
        <v>3</v>
      </c>
      <c r="C23" s="281">
        <f t="shared" si="5"/>
        <v>12393392073.366674</v>
      </c>
      <c r="D23" s="303">
        <f t="shared" si="1"/>
        <v>1.7510817454651968E-3</v>
      </c>
      <c r="E23" s="303">
        <f t="shared" si="6"/>
        <v>0.73764354310583824</v>
      </c>
      <c r="F23" s="281">
        <f t="shared" si="7"/>
        <v>-1682422239.9762173</v>
      </c>
      <c r="G23" s="281">
        <f t="shared" si="8"/>
        <v>1566490248.3924022</v>
      </c>
      <c r="H23" s="303">
        <f t="shared" si="2"/>
        <v>0</v>
      </c>
      <c r="I23" s="281">
        <f t="shared" ref="I23:I50" si="9">IF(A23="", 0,G23*(1-$I$10)+C23*(H23-$I$9))</f>
        <v>1115752747.4379113</v>
      </c>
      <c r="J23" s="303">
        <f t="shared" ref="J23:J50" si="10">IF(A23="", 0,I23/I22-1)</f>
        <v>1.7541167552865833E-3</v>
      </c>
      <c r="K23" s="119">
        <f t="shared" si="3"/>
        <v>0.76689457055779331</v>
      </c>
      <c r="L23" s="281">
        <f t="shared" si="4"/>
        <v>855664724.09507501</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12393392073.366674</v>
      </c>
      <c r="D51" s="305">
        <f>Terminal_Growth</f>
        <v>0</v>
      </c>
      <c r="E51" s="305">
        <f>F17</f>
        <v>0.73764354310583824</v>
      </c>
      <c r="F51" s="281">
        <f>VLOOKUP(C15,B21:F50,5,FALSE)*(1+Terminal_Growth)</f>
        <v>-1682422239.9762173</v>
      </c>
      <c r="G51" s="281">
        <f>C51*(1-E51)+F51+$I$6</f>
        <v>1566490248.3924022</v>
      </c>
      <c r="H51" s="303">
        <f>F18</f>
        <v>0</v>
      </c>
      <c r="I51" s="281">
        <f>(G51*(1-$I$10)+C51*(H51-$I$9))/Equity_Cost</f>
        <v>12062191864.193636</v>
      </c>
      <c r="J51" s="419">
        <f>(G51*(1-$I$10)+C51*(H51-$I$9))/VLOOKUP(C15,B21:I50,8,FALSE)-1</f>
        <v>0</v>
      </c>
      <c r="K51" s="119">
        <f>1/(1+Equity_Cost)^C15</f>
        <v>0.76689457055779331</v>
      </c>
      <c r="L51" s="281">
        <f>I51*K51</f>
        <v>9250429449.676487</v>
      </c>
    </row>
    <row r="52" spans="1:21" ht="13.15">
      <c r="G52" s="111"/>
      <c r="H52" s="111"/>
      <c r="I52" s="111"/>
      <c r="J52" s="464" t="s">
        <v>423</v>
      </c>
      <c r="K52" s="464"/>
      <c r="L52" s="321">
        <f>SUM(L21:L51)</f>
        <v>12056981460.270866</v>
      </c>
    </row>
    <row r="53" spans="1:21">
      <c r="C53" s="111"/>
    </row>
    <row r="54" spans="1:21" ht="13.15">
      <c r="B54" s="115" t="s">
        <v>108</v>
      </c>
      <c r="C54" s="128"/>
      <c r="D54" s="128"/>
      <c r="E54" s="113"/>
      <c r="F54" s="113"/>
      <c r="G54" s="113"/>
      <c r="H54" s="113"/>
      <c r="I54" s="113"/>
      <c r="J54" s="113"/>
      <c r="K54" s="113"/>
      <c r="L54" s="113"/>
    </row>
    <row r="55" spans="1:21" ht="13.15">
      <c r="A55" s="125">
        <f>L52</f>
        <v>12056981460.270866</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11758542070.589272</v>
      </c>
      <c r="C56" s="118">
        <v>11878740151.141344</v>
      </c>
      <c r="D56" s="118">
        <v>11998938231.693422</v>
      </c>
      <c r="E56" s="118">
        <v>12119136312.245493</v>
      </c>
      <c r="F56" s="118">
        <v>12239334392.797567</v>
      </c>
      <c r="G56" s="299"/>
      <c r="H56" s="299"/>
      <c r="I56" s="299"/>
      <c r="J56" s="299"/>
      <c r="K56" s="299"/>
      <c r="L56" s="299"/>
    </row>
    <row r="57" spans="1:21" ht="13.15">
      <c r="A57" s="131">
        <v>2</v>
      </c>
      <c r="B57" s="118">
        <v>11542900662.916904</v>
      </c>
      <c r="C57" s="118">
        <v>11769819236.041525</v>
      </c>
      <c r="D57" s="118">
        <v>11998938231.693422</v>
      </c>
      <c r="E57" s="118">
        <v>12230257649.872581</v>
      </c>
      <c r="F57" s="118">
        <v>12463777490.579016</v>
      </c>
      <c r="G57" s="299"/>
      <c r="H57" s="299"/>
      <c r="I57" s="299"/>
      <c r="J57" s="299"/>
      <c r="K57" s="299"/>
      <c r="L57" s="299"/>
    </row>
    <row r="58" spans="1:21" ht="13.15">
      <c r="A58" s="131">
        <v>3</v>
      </c>
      <c r="B58" s="118">
        <v>11349464892.190201</v>
      </c>
      <c r="C58" s="118">
        <v>11671117445.699352</v>
      </c>
      <c r="D58" s="118">
        <v>11998938231.69342</v>
      </c>
      <c r="E58" s="118">
        <v>12332987673.674282</v>
      </c>
      <c r="F58" s="118">
        <v>12673326195.143841</v>
      </c>
      <c r="G58" s="299"/>
      <c r="H58" s="299"/>
      <c r="I58" s="299"/>
      <c r="J58" s="299"/>
      <c r="K58" s="299"/>
      <c r="L58" s="299"/>
    </row>
    <row r="59" spans="1:21" ht="13.15">
      <c r="A59" s="131">
        <v>4</v>
      </c>
      <c r="B59" s="118">
        <v>11175948136.75572</v>
      </c>
      <c r="C59" s="118">
        <v>11581676006.396149</v>
      </c>
      <c r="D59" s="118">
        <v>11998938231.69342</v>
      </c>
      <c r="E59" s="118">
        <v>12427960052.658009</v>
      </c>
      <c r="F59" s="118">
        <v>12868968921.602537</v>
      </c>
      <c r="G59" s="299"/>
      <c r="H59" s="299"/>
      <c r="I59" s="299"/>
      <c r="J59" s="299"/>
      <c r="K59" s="299"/>
      <c r="L59" s="299"/>
    </row>
    <row r="60" spans="1:21" ht="13.15">
      <c r="A60" s="131">
        <v>5</v>
      </c>
      <c r="B60" s="118">
        <v>11020299239.432344</v>
      </c>
      <c r="C60" s="118">
        <v>11500626098.011559</v>
      </c>
      <c r="D60" s="118">
        <v>11998938231.69342</v>
      </c>
      <c r="E60" s="118">
        <v>12515760604.395824</v>
      </c>
      <c r="F60" s="118">
        <v>13051628492.300814</v>
      </c>
      <c r="G60" s="299"/>
      <c r="H60" s="299"/>
      <c r="I60" s="299"/>
      <c r="J60" s="299"/>
      <c r="K60" s="299"/>
      <c r="L60" s="299"/>
    </row>
    <row r="61" spans="1:21" ht="13.15">
      <c r="A61" s="131">
        <v>6</v>
      </c>
      <c r="B61" s="118">
        <v>10880678260.597643</v>
      </c>
      <c r="C61" s="118">
        <v>11427180414.441076</v>
      </c>
      <c r="D61" s="118">
        <v>11998938231.69342</v>
      </c>
      <c r="E61" s="118">
        <v>12596930908.519566</v>
      </c>
      <c r="F61" s="118">
        <v>13222166489.657555</v>
      </c>
      <c r="G61" s="299"/>
      <c r="H61" s="299"/>
      <c r="I61" s="299"/>
      <c r="J61" s="299"/>
      <c r="K61" s="299"/>
      <c r="L61" s="299"/>
    </row>
    <row r="62" spans="1:21" ht="13.15">
      <c r="A62" s="131">
        <v>7</v>
      </c>
      <c r="B62" s="118">
        <v>10755434728.096037</v>
      </c>
      <c r="C62" s="118">
        <v>11360625515.828009</v>
      </c>
      <c r="D62" s="118">
        <v>11998938231.69342</v>
      </c>
      <c r="E62" s="118">
        <v>12671971647.343351</v>
      </c>
      <c r="F62" s="118">
        <v>13381387320.141659</v>
      </c>
      <c r="G62" s="299"/>
      <c r="H62" s="299"/>
      <c r="I62" s="299"/>
      <c r="J62" s="299"/>
      <c r="K62" s="299"/>
      <c r="L62" s="299"/>
    </row>
    <row r="63" spans="1:21" ht="13.15">
      <c r="A63" s="131">
        <v>8</v>
      </c>
      <c r="B63" s="118">
        <v>10643088126.858898</v>
      </c>
      <c r="C63" s="118">
        <v>11300314898.320515</v>
      </c>
      <c r="D63" s="118">
        <v>11998938231.69342</v>
      </c>
      <c r="E63" s="118">
        <v>12741345694.219337</v>
      </c>
      <c r="F63" s="118">
        <v>13530042008.557018</v>
      </c>
      <c r="G63" s="299"/>
      <c r="H63" s="299"/>
      <c r="I63" s="299"/>
      <c r="J63" s="299"/>
      <c r="K63" s="299"/>
      <c r="L63" s="299"/>
    </row>
    <row r="64" spans="1:21" ht="13.15">
      <c r="A64" s="131">
        <v>9</v>
      </c>
      <c r="B64" s="118">
        <v>10542310397.602699</v>
      </c>
      <c r="C64" s="118">
        <v>11245662714.03455</v>
      </c>
      <c r="D64" s="118">
        <v>11998938231.693419</v>
      </c>
      <c r="E64" s="118">
        <v>12805480968.676777</v>
      </c>
      <c r="F64" s="118">
        <v>13668831740.532913</v>
      </c>
      <c r="G64" s="299"/>
      <c r="H64" s="299"/>
      <c r="I64" s="299"/>
      <c r="J64" s="299"/>
      <c r="K64" s="299"/>
      <c r="L64" s="299"/>
    </row>
    <row r="65" spans="1:21" ht="13.15">
      <c r="A65" s="131">
        <v>10</v>
      </c>
      <c r="B65" s="118">
        <v>10451910237.720707</v>
      </c>
      <c r="C65" s="118">
        <v>11196138080.219349</v>
      </c>
      <c r="D65" s="118">
        <v>11998938231.693417</v>
      </c>
      <c r="E65" s="118">
        <v>12864773075.955505</v>
      </c>
      <c r="F65" s="118">
        <v>13798411169.929176</v>
      </c>
      <c r="G65" s="299"/>
      <c r="H65" s="299"/>
      <c r="I65" s="299"/>
      <c r="J65" s="299"/>
      <c r="K65" s="299"/>
      <c r="L65" s="299"/>
    </row>
    <row r="66" spans="1:21" ht="13.15">
      <c r="A66" s="131">
        <v>15</v>
      </c>
      <c r="B66" s="118">
        <v>10121792533.621948</v>
      </c>
      <c r="C66" s="281">
        <v>11010084105.787693</v>
      </c>
      <c r="D66" s="118">
        <v>11998938231.693417</v>
      </c>
      <c r="E66" s="118">
        <v>13100462766.916977</v>
      </c>
      <c r="F66" s="118">
        <v>14328181785.726475</v>
      </c>
      <c r="G66" s="299"/>
      <c r="H66" s="299"/>
      <c r="I66" s="299"/>
      <c r="J66" s="299"/>
      <c r="K66" s="299"/>
      <c r="L66" s="299"/>
      <c r="M66" s="279"/>
      <c r="N66" s="279"/>
      <c r="O66" s="279"/>
      <c r="P66" s="279"/>
      <c r="Q66" s="279"/>
      <c r="R66" s="279"/>
      <c r="S66" s="279"/>
      <c r="T66" s="279"/>
      <c r="U66" s="279"/>
    </row>
    <row r="67" spans="1:21" ht="13.15">
      <c r="A67" s="132">
        <v>20</v>
      </c>
      <c r="B67" s="118">
        <v>9930061697.4670219</v>
      </c>
      <c r="C67" s="281">
        <v>10896397919.865473</v>
      </c>
      <c r="D67" s="118">
        <v>11998938231.693417</v>
      </c>
      <c r="E67" s="118">
        <v>13259625074.720104</v>
      </c>
      <c r="F67" s="118">
        <v>14704003177.638714</v>
      </c>
      <c r="G67" s="299"/>
      <c r="H67" s="299"/>
      <c r="I67" s="299"/>
      <c r="J67" s="299"/>
      <c r="K67" s="299"/>
      <c r="L67" s="299"/>
      <c r="M67" s="279"/>
      <c r="N67" s="279"/>
      <c r="O67" s="279"/>
      <c r="P67" s="279"/>
      <c r="Q67" s="279"/>
      <c r="R67" s="279"/>
      <c r="S67" s="279"/>
      <c r="T67" s="279"/>
      <c r="U67" s="279"/>
    </row>
    <row r="68" spans="1:21" ht="13.15">
      <c r="A68" s="132">
        <v>25</v>
      </c>
      <c r="B68" s="118">
        <v>9818705314.3459568</v>
      </c>
      <c r="C68" s="281">
        <v>10826931256.178101</v>
      </c>
      <c r="D68" s="118">
        <v>11998938231.693415</v>
      </c>
      <c r="E68" s="118">
        <v>13367108096.662539</v>
      </c>
      <c r="F68" s="118">
        <v>14970612374.916088</v>
      </c>
      <c r="G68" s="299"/>
      <c r="H68" s="299"/>
      <c r="I68" s="299"/>
      <c r="J68" s="299"/>
      <c r="K68" s="299"/>
      <c r="L68" s="299"/>
      <c r="M68" s="279"/>
      <c r="N68" s="279"/>
      <c r="O68" s="279"/>
      <c r="P68" s="279"/>
      <c r="Q68" s="279"/>
      <c r="R68" s="279"/>
      <c r="S68" s="279"/>
      <c r="T68" s="279"/>
      <c r="U68" s="279"/>
    </row>
    <row r="69" spans="1:21" ht="13.15">
      <c r="A69" s="132">
        <v>30</v>
      </c>
      <c r="B69" s="118">
        <v>9754030041.9146328</v>
      </c>
      <c r="C69" s="281">
        <v>10784484433.596193</v>
      </c>
      <c r="D69" s="118">
        <v>11998938231.693413</v>
      </c>
      <c r="E69" s="118">
        <v>13439691864.549141</v>
      </c>
      <c r="F69" s="118">
        <v>15159746004.886471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16.962361027907697</v>
      </c>
      <c r="C73" s="119">
        <f>C11</f>
        <v>16.962361027907697</v>
      </c>
      <c r="D73" s="119">
        <f>C11</f>
        <v>16.962361027907697</v>
      </c>
      <c r="E73" s="119">
        <f>C11</f>
        <v>16.962361027907697</v>
      </c>
      <c r="F73" s="119">
        <f>C11</f>
        <v>16.962361027907697</v>
      </c>
      <c r="G73" s="300"/>
      <c r="H73" s="300"/>
      <c r="I73" s="300"/>
      <c r="J73" s="300"/>
      <c r="K73" s="300"/>
      <c r="L73" s="300"/>
    </row>
    <row r="74" spans="1:21" ht="13.15">
      <c r="A74" s="131">
        <v>1</v>
      </c>
      <c r="B74" s="119">
        <f t="shared" ref="B74:F87" si="11">(B56+FV_adjustments)/Common_Shares*scaling_factor*Exchange_Rate</f>
        <v>16.747784130838728</v>
      </c>
      <c r="C74" s="119">
        <f t="shared" si="11"/>
        <v>16.855072579373211</v>
      </c>
      <c r="D74" s="119">
        <f t="shared" si="11"/>
        <v>16.962361027907697</v>
      </c>
      <c r="E74" s="119">
        <f t="shared" si="11"/>
        <v>17.069649476442176</v>
      </c>
      <c r="F74" s="119">
        <f t="shared" si="11"/>
        <v>17.176937924976659</v>
      </c>
      <c r="G74" s="300"/>
      <c r="H74" s="300"/>
      <c r="I74" s="300"/>
      <c r="J74" s="300"/>
      <c r="K74" s="300"/>
      <c r="L74" s="300"/>
    </row>
    <row r="75" spans="1:21" ht="13.15">
      <c r="A75" s="131">
        <v>2</v>
      </c>
      <c r="B75" s="119">
        <f t="shared" si="11"/>
        <v>16.555303252918744</v>
      </c>
      <c r="C75" s="119">
        <f t="shared" si="11"/>
        <v>16.757850095117703</v>
      </c>
      <c r="D75" s="119">
        <f t="shared" si="11"/>
        <v>16.962361027907697</v>
      </c>
      <c r="E75" s="119">
        <f t="shared" si="11"/>
        <v>17.168836051288704</v>
      </c>
      <c r="F75" s="119">
        <f t="shared" si="11"/>
        <v>17.37727516526073</v>
      </c>
      <c r="G75" s="300"/>
      <c r="H75" s="300"/>
      <c r="I75" s="300"/>
      <c r="J75" s="300"/>
      <c r="K75" s="300"/>
      <c r="L75" s="300"/>
    </row>
    <row r="76" spans="1:21" ht="13.15">
      <c r="A76" s="131">
        <v>3</v>
      </c>
      <c r="B76" s="119">
        <f t="shared" si="11"/>
        <v>16.382643060368089</v>
      </c>
      <c r="C76" s="119">
        <f t="shared" si="11"/>
        <v>16.669749171169926</v>
      </c>
      <c r="D76" s="119">
        <f t="shared" si="11"/>
        <v>16.962361027907697</v>
      </c>
      <c r="E76" s="119">
        <f t="shared" si="11"/>
        <v>17.260532564419126</v>
      </c>
      <c r="F76" s="119">
        <f t="shared" si="11"/>
        <v>17.564317714541964</v>
      </c>
      <c r="G76" s="300"/>
      <c r="H76" s="300"/>
      <c r="I76" s="300"/>
      <c r="J76" s="300"/>
      <c r="K76" s="300"/>
      <c r="L76" s="300"/>
    </row>
    <row r="77" spans="1:21" ht="13.15">
      <c r="A77" s="131">
        <v>4</v>
      </c>
      <c r="B77" s="119">
        <f t="shared" si="11"/>
        <v>16.227762521512581</v>
      </c>
      <c r="C77" s="119">
        <f t="shared" si="11"/>
        <v>16.589914008965529</v>
      </c>
      <c r="D77" s="119">
        <f t="shared" si="11"/>
        <v>16.962361027907697</v>
      </c>
      <c r="E77" s="119">
        <f t="shared" si="11"/>
        <v>17.34530462690126</v>
      </c>
      <c r="F77" s="119">
        <f t="shared" si="11"/>
        <v>17.738947829202708</v>
      </c>
      <c r="G77" s="300"/>
      <c r="H77" s="300"/>
      <c r="I77" s="300"/>
      <c r="J77" s="300"/>
      <c r="K77" s="300"/>
      <c r="L77" s="300"/>
    </row>
    <row r="78" spans="1:21" ht="13.15">
      <c r="A78" s="131">
        <v>5</v>
      </c>
      <c r="B78" s="119">
        <f t="shared" si="11"/>
        <v>16.088830779564393</v>
      </c>
      <c r="C78" s="119">
        <f t="shared" si="11"/>
        <v>16.517569102254001</v>
      </c>
      <c r="D78" s="119">
        <f t="shared" si="11"/>
        <v>16.962361027907697</v>
      </c>
      <c r="E78" s="119">
        <f t="shared" si="11"/>
        <v>17.423675137754309</v>
      </c>
      <c r="F78" s="119">
        <f t="shared" si="11"/>
        <v>17.901989217718913</v>
      </c>
      <c r="G78" s="300"/>
      <c r="H78" s="300"/>
      <c r="I78" s="300"/>
      <c r="J78" s="300"/>
      <c r="K78" s="300"/>
      <c r="L78" s="300"/>
    </row>
    <row r="79" spans="1:21" ht="13.15">
      <c r="A79" s="131">
        <v>6</v>
      </c>
      <c r="B79" s="119">
        <f t="shared" si="11"/>
        <v>15.964205509899198</v>
      </c>
      <c r="C79" s="119">
        <f t="shared" si="11"/>
        <v>16.452011703952468</v>
      </c>
      <c r="D79" s="119">
        <f t="shared" si="11"/>
        <v>16.962361027907697</v>
      </c>
      <c r="E79" s="119">
        <f t="shared" si="11"/>
        <v>17.49612750934385</v>
      </c>
      <c r="F79" s="119">
        <f t="shared" si="11"/>
        <v>18.054210925990336</v>
      </c>
      <c r="G79" s="300"/>
      <c r="H79" s="300"/>
      <c r="I79" s="300"/>
      <c r="J79" s="300"/>
      <c r="K79" s="300"/>
      <c r="L79" s="300"/>
    </row>
    <row r="80" spans="1:21" ht="13.15">
      <c r="A80" s="131">
        <f t="shared" ref="A80" si="12">A62</f>
        <v>7</v>
      </c>
      <c r="B80" s="119">
        <f t="shared" si="11"/>
        <v>15.852413505989002</v>
      </c>
      <c r="C80" s="119">
        <f t="shared" si="11"/>
        <v>16.392604999770764</v>
      </c>
      <c r="D80" s="119">
        <f t="shared" si="11"/>
        <v>16.962361027907697</v>
      </c>
      <c r="E80" s="119">
        <f t="shared" si="11"/>
        <v>17.563108649211529</v>
      </c>
      <c r="F80" s="119">
        <f t="shared" si="11"/>
        <v>18.196330964834143</v>
      </c>
      <c r="G80" s="300"/>
      <c r="H80" s="300"/>
      <c r="I80" s="300"/>
      <c r="J80" s="300"/>
      <c r="K80" s="300"/>
      <c r="L80" s="300"/>
    </row>
    <row r="81" spans="1:12" ht="13.15">
      <c r="A81" s="131">
        <v>8</v>
      </c>
      <c r="B81" s="119">
        <f t="shared" si="11"/>
        <v>15.752133264495191</v>
      </c>
      <c r="C81" s="119">
        <f t="shared" si="11"/>
        <v>16.338771922297184</v>
      </c>
      <c r="D81" s="119">
        <f t="shared" si="11"/>
        <v>16.962361027907697</v>
      </c>
      <c r="E81" s="119">
        <f t="shared" si="11"/>
        <v>17.62503171673222</v>
      </c>
      <c r="F81" s="119">
        <f t="shared" si="11"/>
        <v>18.329019696752379</v>
      </c>
      <c r="G81" s="300"/>
      <c r="H81" s="300"/>
      <c r="I81" s="300"/>
      <c r="J81" s="300"/>
      <c r="K81" s="300"/>
      <c r="L81" s="300"/>
    </row>
    <row r="82" spans="1:12" ht="13.15">
      <c r="A82" s="131">
        <f t="shared" ref="A82" si="13">A64</f>
        <v>9</v>
      </c>
      <c r="B82" s="119">
        <f t="shared" si="11"/>
        <v>15.662179363658634</v>
      </c>
      <c r="C82" s="119">
        <f t="shared" si="11"/>
        <v>16.289989545456137</v>
      </c>
      <c r="D82" s="119">
        <f t="shared" si="11"/>
        <v>16.962361027907694</v>
      </c>
      <c r="E82" s="119">
        <f t="shared" si="11"/>
        <v>17.68227867160261</v>
      </c>
      <c r="F82" s="119">
        <f t="shared" si="11"/>
        <v>18.452902997948353</v>
      </c>
      <c r="G82" s="300"/>
      <c r="H82" s="300"/>
      <c r="I82" s="300"/>
      <c r="J82" s="300"/>
      <c r="K82" s="300"/>
      <c r="L82" s="300"/>
    </row>
    <row r="83" spans="1:12" ht="13.15">
      <c r="A83" s="131">
        <f t="shared" ref="A83:A87" si="14">A65</f>
        <v>10</v>
      </c>
      <c r="B83" s="119">
        <f t="shared" si="11"/>
        <v>15.581488450322407</v>
      </c>
      <c r="C83" s="119">
        <f t="shared" si="11"/>
        <v>16.245784004886215</v>
      </c>
      <c r="D83" s="119">
        <f t="shared" si="11"/>
        <v>16.962361027907694</v>
      </c>
      <c r="E83" s="119">
        <f t="shared" si="11"/>
        <v>17.735202629880952</v>
      </c>
      <c r="F83" s="119">
        <f t="shared" si="11"/>
        <v>18.568565210506613</v>
      </c>
      <c r="G83" s="300"/>
      <c r="H83" s="300"/>
      <c r="I83" s="300"/>
      <c r="J83" s="300"/>
      <c r="K83" s="300"/>
      <c r="L83" s="300"/>
    </row>
    <row r="84" spans="1:12" ht="13.15">
      <c r="A84" s="131">
        <f t="shared" si="14"/>
        <v>15</v>
      </c>
      <c r="B84" s="119">
        <f t="shared" si="11"/>
        <v>15.286826371328747</v>
      </c>
      <c r="C84" s="119">
        <f t="shared" si="11"/>
        <v>16.079712781712239</v>
      </c>
      <c r="D84" s="119">
        <f t="shared" si="11"/>
        <v>16.962361027907694</v>
      </c>
      <c r="E84" s="119">
        <f t="shared" si="11"/>
        <v>17.945578545724906</v>
      </c>
      <c r="F84" s="119">
        <f t="shared" si="11"/>
        <v>19.04143688355655</v>
      </c>
      <c r="G84" s="300"/>
      <c r="H84" s="300"/>
      <c r="I84" s="300"/>
      <c r="J84" s="300"/>
      <c r="K84" s="300"/>
      <c r="L84" s="300"/>
    </row>
    <row r="85" spans="1:12" ht="13.15">
      <c r="A85" s="132">
        <f t="shared" si="14"/>
        <v>20</v>
      </c>
      <c r="B85" s="119">
        <f t="shared" si="11"/>
        <v>15.115687998296496</v>
      </c>
      <c r="C85" s="119">
        <f t="shared" si="11"/>
        <v>15.978236830920215</v>
      </c>
      <c r="D85" s="119">
        <f t="shared" si="11"/>
        <v>16.962361027907694</v>
      </c>
      <c r="E85" s="119">
        <f t="shared" si="11"/>
        <v>18.08764634739806</v>
      </c>
      <c r="F85" s="119">
        <f t="shared" si="11"/>
        <v>19.376893938104647</v>
      </c>
      <c r="G85" s="300"/>
      <c r="H85" s="300"/>
      <c r="I85" s="300"/>
      <c r="J85" s="300"/>
      <c r="K85" s="300"/>
      <c r="L85" s="300"/>
    </row>
    <row r="86" spans="1:12" ht="13.15">
      <c r="A86" s="132">
        <f t="shared" si="14"/>
        <v>25</v>
      </c>
      <c r="B86" s="119">
        <f t="shared" si="11"/>
        <v>15.016291622542436</v>
      </c>
      <c r="C86" s="119">
        <f t="shared" si="11"/>
        <v>15.916231093909666</v>
      </c>
      <c r="D86" s="119">
        <f t="shared" si="11"/>
        <v>16.96236102790769</v>
      </c>
      <c r="E86" s="119">
        <f t="shared" si="11"/>
        <v>18.183585372505913</v>
      </c>
      <c r="F86" s="119">
        <f t="shared" si="11"/>
        <v>19.614868513152221</v>
      </c>
      <c r="G86" s="300"/>
      <c r="H86" s="300"/>
      <c r="I86" s="300"/>
      <c r="J86" s="300"/>
      <c r="K86" s="300"/>
      <c r="L86" s="300"/>
    </row>
    <row r="87" spans="1:12" ht="13.15">
      <c r="A87" s="132">
        <f t="shared" si="14"/>
        <v>30</v>
      </c>
      <c r="B87" s="119">
        <f t="shared" si="11"/>
        <v>14.958562667089643</v>
      </c>
      <c r="C87" s="119">
        <f t="shared" si="11"/>
        <v>15.878343186556117</v>
      </c>
      <c r="D87" s="119">
        <f t="shared" si="11"/>
        <v>16.96236102790769</v>
      </c>
      <c r="E87" s="119">
        <f t="shared" si="11"/>
        <v>18.248373427436348</v>
      </c>
      <c r="F87" s="119">
        <f t="shared" si="11"/>
        <v>19.783688627683304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0.02</v>
      </c>
      <c r="D90" s="133">
        <f>Scenarios!D29</f>
        <v>3</v>
      </c>
      <c r="E90" s="127">
        <f>INDEX(B$73:F$87, MATCH(D90, A$73:A$87, 0), MATCH(C90, B$72:F$72, 0))</f>
        <v>17.564317714541964</v>
      </c>
      <c r="F90" s="130">
        <f>Scenarios!F29</f>
        <v>0.15</v>
      </c>
      <c r="G90" s="301"/>
      <c r="H90" s="301"/>
      <c r="I90" s="301"/>
      <c r="J90" s="301"/>
      <c r="K90" s="301"/>
      <c r="L90" s="301"/>
    </row>
    <row r="91" spans="1:12">
      <c r="B91" s="120" t="str">
        <f>Scenarios!B22</f>
        <v>Optimistic</v>
      </c>
      <c r="C91" s="130">
        <f>Scenarios!C22</f>
        <v>0.01</v>
      </c>
      <c r="D91" s="133">
        <f>Scenarios!D22</f>
        <v>3</v>
      </c>
      <c r="E91" s="127">
        <f>INDEX(B$73:F$87, MATCH(D91, A$73:A$87, 0), MATCH(C91, B$72:F$72, 0))</f>
        <v>17.260532564419126</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16.962361027907697</v>
      </c>
      <c r="F92" s="130">
        <f>Scenarios!F23*(1-F$90-F$94)</f>
        <v>0.44</v>
      </c>
      <c r="G92" s="301"/>
      <c r="H92" s="301"/>
      <c r="I92" s="301"/>
      <c r="J92" s="301"/>
      <c r="K92" s="301"/>
      <c r="L92" s="301"/>
    </row>
    <row r="93" spans="1:12">
      <c r="B93" s="120" t="str">
        <f>Scenarios!B24</f>
        <v>Pessimistic</v>
      </c>
      <c r="C93" s="130">
        <f>Scenarios!C24</f>
        <v>-0.01</v>
      </c>
      <c r="D93" s="133">
        <f>Scenarios!D24</f>
        <v>3</v>
      </c>
      <c r="E93" s="127">
        <f>INDEX(B$73:F$87, MATCH(D93, A$73:A$87, 0), MATCH(C93, B$72:F$72, 0))</f>
        <v>16.669749171169926</v>
      </c>
      <c r="F93" s="130">
        <f>Scenarios!F24*(1-F$90-F$94)</f>
        <v>0.19999999999999998</v>
      </c>
      <c r="G93" s="301"/>
      <c r="H93" s="301"/>
      <c r="I93" s="301"/>
      <c r="J93" s="301"/>
      <c r="K93" s="301"/>
      <c r="L93" s="301"/>
    </row>
    <row r="94" spans="1:12">
      <c r="B94" s="120" t="str">
        <f>Scenarios!B30</f>
        <v>Devil's advocate</v>
      </c>
      <c r="C94" s="130">
        <f>Scenarios!C30</f>
        <v>-0.02</v>
      </c>
      <c r="D94" s="133">
        <f>Scenarios!D30</f>
        <v>3</v>
      </c>
      <c r="E94" s="127">
        <f>INDEX(B$73:F$87, MATCH(D94, A$73:A$87, 0), MATCH(C94, B$72:F$72, 0))</f>
        <v>16.382643060368089</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65" sqref="D6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1329553199.5400009</v>
      </c>
      <c r="D7" s="465"/>
      <c r="E7" s="465"/>
      <c r="F7" s="465"/>
      <c r="G7" s="465"/>
    </row>
    <row r="8" spans="2:7">
      <c r="B8" s="97" t="s">
        <v>63</v>
      </c>
      <c r="C8" s="452">
        <f>Normalized_FCF!G19</f>
        <v>1207921118.4237735</v>
      </c>
      <c r="D8" s="465"/>
      <c r="E8" s="465"/>
      <c r="F8" s="465"/>
      <c r="G8" s="465"/>
    </row>
    <row r="9" spans="2:7">
      <c r="B9" s="97" t="s">
        <v>54</v>
      </c>
      <c r="C9" s="452">
        <f>Normalized_FCF!C19</f>
        <v>1109901786.4316416</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6.2036087223099612E-2</v>
      </c>
      <c r="D12" s="465"/>
      <c r="E12" s="465"/>
      <c r="F12" s="465"/>
      <c r="G12" s="465"/>
    </row>
    <row r="13" spans="2:7">
      <c r="B13" s="135" t="s">
        <v>127</v>
      </c>
      <c r="C13" s="252">
        <f ca="1">(Normalized_FCF!G8/OFFSET(Normalized_FCF!G8, 0, $C$4))^(1/$C$4) - 1</f>
        <v>-2.1818856200777392E-2</v>
      </c>
      <c r="D13" s="465"/>
      <c r="E13" s="465"/>
      <c r="F13" s="465"/>
      <c r="G13" s="465"/>
    </row>
    <row r="14" spans="2:7">
      <c r="B14" s="97" t="s">
        <v>63</v>
      </c>
      <c r="C14" s="252">
        <f ca="1">(Normalized_FCF!G19/OFFSET(Normalized_FCF!G19, 0, $C$4))^(1/$C$4) - 1</f>
        <v>-7.7254131105641166E-2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0.01</v>
      </c>
      <c r="D22" s="329">
        <f>C18</f>
        <v>3</v>
      </c>
      <c r="E22" s="330">
        <f>DCF!E91</f>
        <v>17.260532564419126</v>
      </c>
      <c r="F22" s="332">
        <f>1-F23-F24</f>
        <v>0.19999999999999996</v>
      </c>
      <c r="G22" s="332">
        <f>F22*(1-F$29-F$30)</f>
        <v>0.15999999999999995</v>
      </c>
    </row>
    <row r="23" spans="2:7">
      <c r="B23" s="306" t="s">
        <v>440</v>
      </c>
      <c r="C23" s="328">
        <v>0</v>
      </c>
      <c r="D23" s="329">
        <f>C18</f>
        <v>3</v>
      </c>
      <c r="E23" s="330">
        <f>DCF!E92</f>
        <v>16.962361027907697</v>
      </c>
      <c r="F23" s="331">
        <v>0.55000000000000004</v>
      </c>
      <c r="G23" s="332">
        <f t="shared" ref="G23:G24" si="0">F23*(1-F$29-F$30)</f>
        <v>0.44</v>
      </c>
    </row>
    <row r="24" spans="2:7">
      <c r="B24" s="306" t="s">
        <v>449</v>
      </c>
      <c r="C24" s="328">
        <v>-0.01</v>
      </c>
      <c r="D24" s="329">
        <f>C18</f>
        <v>3</v>
      </c>
      <c r="E24" s="330">
        <f>DCF!E93</f>
        <v>16.669749171169926</v>
      </c>
      <c r="F24" s="331">
        <v>0.25</v>
      </c>
      <c r="G24" s="332">
        <f t="shared" si="0"/>
        <v>0.19999999999999998</v>
      </c>
    </row>
    <row r="25" spans="2:7">
      <c r="B25" s="141" t="s">
        <v>454</v>
      </c>
      <c r="C25" s="446">
        <f>E23*F23+E24*F24+E22*F22</f>
        <v>16.948842371025538</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0.02</v>
      </c>
      <c r="D29" s="329">
        <f>C18</f>
        <v>3</v>
      </c>
      <c r="E29" s="330">
        <f>DCF!E90</f>
        <v>17.564317714541964</v>
      </c>
      <c r="F29" s="331">
        <v>0.15</v>
      </c>
      <c r="G29" s="332">
        <f>F29</f>
        <v>0.15</v>
      </c>
    </row>
    <row r="30" spans="2:7">
      <c r="B30" s="319" t="s">
        <v>450</v>
      </c>
      <c r="C30" s="328">
        <v>-0.02</v>
      </c>
      <c r="D30" s="329">
        <f>C18</f>
        <v>3</v>
      </c>
      <c r="E30" s="330">
        <f>DCF!E94</f>
        <v>16.382643060368089</v>
      </c>
      <c r="F30" s="331">
        <v>0.05</v>
      </c>
      <c r="G30" s="332">
        <f>F30</f>
        <v>0.05</v>
      </c>
    </row>
    <row r="31" spans="2:7">
      <c r="E31" s="333"/>
      <c r="F31" s="333"/>
    </row>
    <row r="32" spans="2:7" ht="13.15">
      <c r="B32" s="145" t="s">
        <v>459</v>
      </c>
    </row>
    <row r="33" spans="2:7">
      <c r="B33" s="97" t="s">
        <v>461</v>
      </c>
      <c r="C33" s="155">
        <f>Normalized_FCF!C88*(1-dividend_tax_rate)</f>
        <v>0.59471431199999991</v>
      </c>
      <c r="D33" t="str">
        <f>Market_currency</f>
        <v>HKD</v>
      </c>
      <c r="E33" s="97" t="s">
        <v>458</v>
      </c>
      <c r="F33" s="219">
        <f>Holding_Period</f>
        <v>3</v>
      </c>
    </row>
    <row r="34" spans="2:7">
      <c r="B34" s="97" t="s">
        <v>233</v>
      </c>
      <c r="C34" s="146">
        <f>Market_Price</f>
        <v>10.6</v>
      </c>
      <c r="D34" t="str">
        <f>Market_currency</f>
        <v>HKD</v>
      </c>
      <c r="E34" s="97" t="s">
        <v>457</v>
      </c>
      <c r="F34" s="334">
        <f>RATE(Holding_Period,$C$33,-C34,$C$36)</f>
        <v>0.21934387142409759</v>
      </c>
    </row>
    <row r="35" spans="2:7">
      <c r="B35" s="97" t="s">
        <v>437</v>
      </c>
      <c r="C35" s="324">
        <f>DCF!C11</f>
        <v>16.962361027907697</v>
      </c>
      <c r="D35" s="97" t="str">
        <f>Market_currency</f>
        <v>HKD</v>
      </c>
      <c r="E35" s="97" t="s">
        <v>457</v>
      </c>
      <c r="F35" s="334">
        <f>RATE(Holding_Period,$C$33,-C35,$C$36)</f>
        <v>3.6018174802351255E-2</v>
      </c>
    </row>
    <row r="36" spans="2:7">
      <c r="B36" s="97" t="s">
        <v>438</v>
      </c>
      <c r="C36" s="325">
        <f>E22*G22+E23*G23+E24*G24+E30*G30+E29*G29</f>
        <v>17.012853707020131</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0.73764354310583824</v>
      </c>
      <c r="E40" s="97" t="s">
        <v>403</v>
      </c>
    </row>
    <row r="41" spans="2:7">
      <c r="B41" s="97" t="s">
        <v>401</v>
      </c>
      <c r="C41" s="138">
        <f>DCF!C16</f>
        <v>1.7510817454651968E-3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1.7510817454651968E-3</v>
      </c>
      <c r="D46" s="138"/>
      <c r="E46" s="221" t="s">
        <v>252</v>
      </c>
    </row>
    <row r="47" spans="2:7">
      <c r="B47" s="97" t="s">
        <v>96</v>
      </c>
      <c r="C47" s="146">
        <f>DCF!I18</f>
        <v>17.014170240778682</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0.39720564923589674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0.59471431199999991</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1.0882389211484453</v>
      </c>
      <c r="D62" s="119">
        <f>C36/(1+F62)^Holding_Period</f>
        <v>7.8400247497788644</v>
      </c>
      <c r="E62" s="336">
        <f>C62+D62</f>
        <v>8.9282636709273095</v>
      </c>
      <c r="F62" s="305">
        <f>Thesis!E22</f>
        <v>0.29465259038036606</v>
      </c>
      <c r="G62" s="445">
        <f>(1-E62/C36)</f>
        <v>0.47520481721163699</v>
      </c>
    </row>
    <row r="63" spans="2:7" ht="13.15">
      <c r="B63" s="306" t="s">
        <v>313</v>
      </c>
      <c r="C63" s="119">
        <f>PV(F63, Holding_Period, -C58, 0)</f>
        <v>1.2512812599454139</v>
      </c>
      <c r="D63" s="119">
        <f>C36/(1+F63)^Holding_Period</f>
        <v>9.8269191087480934</v>
      </c>
      <c r="E63" s="336">
        <f>C63+D63</f>
        <v>11.078200368693507</v>
      </c>
      <c r="F63" s="305">
        <f>Thesis!E23</f>
        <v>0.20075184365903009</v>
      </c>
      <c r="G63" s="445">
        <f>(1-E63/C36)</f>
        <v>0.34883350204074037</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1.4348096081716528</v>
      </c>
      <c r="D66" s="119">
        <f>C36/(1+F66)^Holding_Period</f>
        <v>12.194139709347091</v>
      </c>
      <c r="E66" s="336">
        <f>C66+D66</f>
        <v>13.628949317518744</v>
      </c>
      <c r="F66" s="305">
        <f>Thesis!E24</f>
        <v>0.1174</v>
      </c>
      <c r="G66" s="445">
        <f>(1-E66/C36)</f>
        <v>0.19890280888649881</v>
      </c>
    </row>
    <row r="67" spans="2:7" ht="13.15">
      <c r="B67" s="306" t="s">
        <v>314</v>
      </c>
      <c r="C67" s="119">
        <f>PV(F67, Holding_Period, -C58, 0)</f>
        <v>1.5536169359140437</v>
      </c>
      <c r="D67" s="119">
        <f>C36/(1+F67)^Holding_Period</f>
        <v>13.790666783359127</v>
      </c>
      <c r="E67" s="336">
        <f>C67+D67</f>
        <v>15.34428371927317</v>
      </c>
      <c r="F67" s="305">
        <f>Thesis!E25</f>
        <v>7.2499999999999995E-2</v>
      </c>
      <c r="G67" s="445">
        <f>(1-E67/C36)</f>
        <v>9.8077019674744359E-2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45965</v>
      </c>
    </row>
    <row r="4" spans="1:10">
      <c r="B4" s="427" t="s">
        <v>537</v>
      </c>
      <c r="C4" s="428" t="str">
        <f>Thesis!C4</f>
        <v>新华文轩</v>
      </c>
      <c r="D4" s="353"/>
      <c r="E4" s="439" t="s">
        <v>543</v>
      </c>
      <c r="F4" s="442" t="str">
        <f>Thesis!F4</f>
        <v>INT</v>
      </c>
    </row>
    <row r="5" spans="1:10">
      <c r="B5" s="347" t="s">
        <v>364</v>
      </c>
      <c r="C5" s="359" t="str">
        <f>Thesis!C5</f>
        <v>0811.HK</v>
      </c>
      <c r="E5" s="443" t="s">
        <v>544</v>
      </c>
      <c r="F5" s="444" t="str">
        <f>Thesis!F5</f>
        <v>N</v>
      </c>
    </row>
    <row r="6" spans="1:10">
      <c r="B6" s="354" t="s">
        <v>336</v>
      </c>
      <c r="C6" s="356" t="str">
        <f>Thesis!C6</f>
        <v>CNS_04</v>
      </c>
      <c r="E6" s="358"/>
    </row>
    <row r="7" spans="1:10">
      <c r="B7" s="347" t="s">
        <v>366</v>
      </c>
      <c r="C7" s="356" t="str">
        <f>Market_currency</f>
        <v>HKD</v>
      </c>
      <c r="D7" s="358"/>
      <c r="E7" s="358"/>
    </row>
    <row r="8" spans="1:10">
      <c r="B8" s="355" t="s">
        <v>365</v>
      </c>
      <c r="C8" s="360">
        <f>Market_Price</f>
        <v>10.6</v>
      </c>
    </row>
    <row r="9" spans="1:10">
      <c r="B9" s="355" t="s">
        <v>361</v>
      </c>
      <c r="C9" s="357">
        <f>Common_Shares</f>
        <v>1233841000</v>
      </c>
    </row>
    <row r="10" spans="1:10">
      <c r="B10" s="355" t="s">
        <v>367</v>
      </c>
      <c r="C10" s="361">
        <f>投资主题!C8*Common_Shares/1000000</f>
        <v>13078.714599999999</v>
      </c>
      <c r="D10" s="347" t="s">
        <v>532</v>
      </c>
      <c r="E10" s="364">
        <f>Scenarios!F34</f>
        <v>0.21934387142409759</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Y</v>
      </c>
      <c r="D15" s="355" t="s">
        <v>368</v>
      </c>
      <c r="E15" s="348" t="str">
        <f>IF(E17=C7,C7,E17&amp;"/"&amp;C7)</f>
        <v>CNY/HKD</v>
      </c>
    </row>
    <row r="16" spans="1:10">
      <c r="B16" s="347" t="s">
        <v>338</v>
      </c>
      <c r="C16" s="362" t="str">
        <f>Thesis!C16</f>
        <v>Y</v>
      </c>
      <c r="D16" s="355" t="s">
        <v>369</v>
      </c>
      <c r="E16" s="430">
        <f>Exchange_Rate</f>
        <v>1.1013227999999999</v>
      </c>
    </row>
    <row r="17" spans="1:6">
      <c r="B17" s="347" t="s">
        <v>538</v>
      </c>
      <c r="C17" s="429">
        <f>Terminal_Growth</f>
        <v>0</v>
      </c>
      <c r="D17" s="355" t="s">
        <v>339</v>
      </c>
      <c r="E17" s="348" t="str">
        <f>Reporting_currency</f>
        <v>CNY</v>
      </c>
    </row>
    <row r="18" spans="1:6">
      <c r="B18" s="347" t="str">
        <f>"预期股权价值 ("&amp;C7&amp;") :"</f>
        <v>预期股权价值 (HKD) :</v>
      </c>
      <c r="C18" s="363">
        <f>C125</f>
        <v>17.012853707020131</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46173</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8.9282636709273095</v>
      </c>
      <c r="D22" s="369" t="s">
        <v>443</v>
      </c>
      <c r="E22" s="370">
        <f>Thesis!E22</f>
        <v>0.29465259038036606</v>
      </c>
    </row>
    <row r="23" spans="1:6">
      <c r="B23" s="347" t="s">
        <v>341</v>
      </c>
      <c r="C23" s="371">
        <f>E141</f>
        <v>11.078200368693507</v>
      </c>
      <c r="D23" s="369" t="s">
        <v>444</v>
      </c>
      <c r="E23" s="372">
        <f>Thesis!E23</f>
        <v>0.20075184365903009</v>
      </c>
    </row>
    <row r="24" spans="1:6">
      <c r="B24" s="347" t="s">
        <v>343</v>
      </c>
      <c r="C24" s="371">
        <f>E144</f>
        <v>13.628949317518744</v>
      </c>
      <c r="D24" s="369" t="s">
        <v>446</v>
      </c>
      <c r="E24" s="372">
        <f>Thesis!E24</f>
        <v>0.1174</v>
      </c>
    </row>
    <row r="25" spans="1:6">
      <c r="B25" s="347" t="s">
        <v>342</v>
      </c>
      <c r="C25" s="371">
        <f>E145</f>
        <v>15.34428371927317</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v>
      </c>
    </row>
    <row r="33" spans="2:6">
      <c r="B33" s="466" t="s">
        <v>504</v>
      </c>
      <c r="C33" s="466"/>
      <c r="D33" s="466"/>
      <c r="E33" s="466"/>
      <c r="F33" s="466"/>
    </row>
    <row r="34" spans="2:6">
      <c r="B34" s="376" t="s">
        <v>197</v>
      </c>
      <c r="C34" s="377">
        <f>Normalized_FCF!C8</f>
        <v>1560850297.4755726</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11582977.929449307</v>
      </c>
      <c r="D44" s="347" t="str">
        <f>Reporting_currency</f>
        <v>CNY</v>
      </c>
      <c r="E44" s="375"/>
      <c r="F44" s="375"/>
    </row>
    <row r="45" spans="2:6">
      <c r="B45" s="376" t="s">
        <v>268</v>
      </c>
      <c r="C45" s="380">
        <f>Normalized_FCF!C45</f>
        <v>-14156922.829499999</v>
      </c>
      <c r="D45" s="347" t="str">
        <f>Reporting_currency</f>
        <v>CNY</v>
      </c>
      <c r="E45" s="375"/>
      <c r="F45" s="375"/>
    </row>
    <row r="46" spans="2:6">
      <c r="B46" s="376" t="s">
        <v>203</v>
      </c>
      <c r="C46" s="377">
        <f>Normalized_FCF!C10</f>
        <v>-2573944.9000506923</v>
      </c>
      <c r="D46" s="347" t="str">
        <f>Reporting_currency</f>
        <v>CNY</v>
      </c>
    </row>
    <row r="48" spans="2:6">
      <c r="B48" s="347" t="s">
        <v>508</v>
      </c>
    </row>
    <row r="49" spans="2:6">
      <c r="B49" s="376" t="s">
        <v>223</v>
      </c>
      <c r="C49" s="377">
        <f>Normalized_FCF!C13</f>
        <v>-58805478.000000007</v>
      </c>
      <c r="D49" s="347" t="str">
        <f>Reporting_currency</f>
        <v>CNY</v>
      </c>
    </row>
    <row r="51" spans="2:6">
      <c r="B51" s="466" t="s">
        <v>509</v>
      </c>
      <c r="C51" s="466"/>
      <c r="D51" s="466"/>
      <c r="E51" s="466"/>
      <c r="F51" s="466"/>
    </row>
    <row r="52" spans="2:6">
      <c r="B52" s="376" t="s">
        <v>499</v>
      </c>
      <c r="C52" s="377">
        <f>Normalized_FCF!C12</f>
        <v>-389569088.14388049</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1207921118.4237735</v>
      </c>
      <c r="D60" s="347" t="str">
        <f>Reporting_currency</f>
        <v>CNY</v>
      </c>
    </row>
    <row r="61" spans="2:6">
      <c r="B61" s="376" t="s">
        <v>213</v>
      </c>
      <c r="C61" s="377">
        <f>Normalized_FCF!C19</f>
        <v>1109901786.4316416</v>
      </c>
      <c r="D61" s="347" t="str">
        <f>Reporting_currency</f>
        <v>CNY</v>
      </c>
    </row>
    <row r="62" spans="2:6">
      <c r="B62" s="381" t="s">
        <v>302</v>
      </c>
      <c r="C62" s="382">
        <f>Normalized_FCF!C124</f>
        <v>9.3461795026699143E-2</v>
      </c>
      <c r="F62" s="383"/>
    </row>
    <row r="63" spans="2:6">
      <c r="B63" s="381" t="s">
        <v>332</v>
      </c>
      <c r="C63" s="382">
        <f>Normalized_FCF!C92</f>
        <v>5.6105123773584897E-2</v>
      </c>
      <c r="E63" s="376" t="s">
        <v>373</v>
      </c>
      <c r="F63" s="384">
        <f>Normalized_FCF!C90</f>
        <v>0.73458241521182999</v>
      </c>
    </row>
    <row r="65" spans="1:6">
      <c r="B65" s="373" t="s">
        <v>376</v>
      </c>
      <c r="C65" s="385" t="s">
        <v>327</v>
      </c>
      <c r="D65" s="385" t="s">
        <v>374</v>
      </c>
    </row>
    <row r="66" spans="1:6">
      <c r="B66" s="376" t="s">
        <v>326</v>
      </c>
      <c r="C66" s="382">
        <f>Normalized_FCF!C119</f>
        <v>0.10095643717340666</v>
      </c>
      <c r="D66" s="382">
        <f>Normalized_FCF!G119</f>
        <v>8.8887524700525647E-2</v>
      </c>
    </row>
    <row r="67" spans="1:6">
      <c r="B67" s="386" t="str">
        <f>Normalized_FCF!B116</f>
        <v>Pre-tax Profit/Sales</v>
      </c>
      <c r="C67" s="387">
        <f>Normalized_FCF!C116</f>
        <v>0.12639612253563595</v>
      </c>
      <c r="D67" s="387">
        <f>Normalized_FCF!G116</f>
        <v>0.11128600392899436</v>
      </c>
    </row>
    <row r="68" spans="1:6">
      <c r="B68" s="386" t="str">
        <f>Normalized_FCF!B117</f>
        <v>Sales/Total Assets</v>
      </c>
      <c r="C68" s="388">
        <f>Normalized_FCF!C117</f>
        <v>0.49405373744838704</v>
      </c>
      <c r="D68" s="388">
        <f>Normalized_FCF!G117</f>
        <v>0.49405373744838704</v>
      </c>
    </row>
    <row r="69" spans="1:6">
      <c r="B69" s="386" t="str">
        <f>Normalized_FCF!B118</f>
        <v>Total Assets/Equity</v>
      </c>
      <c r="C69" s="388">
        <f>Normalized_FCF!C118</f>
        <v>1.6166874809837415</v>
      </c>
      <c r="D69" s="388">
        <f>Normalized_FCF!G118</f>
        <v>1.6166874809837415</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-283138456.58999997</v>
      </c>
      <c r="D78" s="347" t="str">
        <f>Reporting_currency</f>
        <v>CNY</v>
      </c>
    </row>
    <row r="79" spans="1:6">
      <c r="B79" s="376" t="s">
        <v>234</v>
      </c>
      <c r="C79" s="391">
        <f>C78*scaling_factor*Exchange_Rate/Common_Shares</f>
        <v>-0.25272854265612604</v>
      </c>
      <c r="D79" s="347" t="str">
        <f>Market_currency</f>
        <v>HKD</v>
      </c>
    </row>
    <row r="80" spans="1:6">
      <c r="B80" s="386" t="s">
        <v>309</v>
      </c>
      <c r="C80" s="392">
        <f>IF(BS!G31/BS!G27&gt;300%,"nm",BS!G31/BS!G27)</f>
        <v>1.8343761526547521E-2</v>
      </c>
    </row>
    <row r="81" spans="1:6">
      <c r="B81" s="386" t="s">
        <v>311</v>
      </c>
      <c r="C81" s="393">
        <f>IF(BS!C50&gt;30,"nm",BS!C50)</f>
        <v>0.18140013622570431</v>
      </c>
    </row>
    <row r="83" spans="1:6">
      <c r="B83" s="347" t="s">
        <v>515</v>
      </c>
    </row>
    <row r="84" spans="1:6">
      <c r="B84" s="347" t="s">
        <v>224</v>
      </c>
      <c r="C84" s="377">
        <f>DCF!F5</f>
        <v>6704022426.6051159</v>
      </c>
      <c r="D84" s="347" t="str">
        <f>Reporting_currency</f>
        <v>CNY</v>
      </c>
    </row>
    <row r="85" spans="1:6">
      <c r="B85" s="386" t="s">
        <v>484</v>
      </c>
      <c r="C85" s="394">
        <f>BS!C66</f>
        <v>8634518748.1800003</v>
      </c>
      <c r="D85" s="395" t="str">
        <f>Reporting_currency</f>
        <v>CNY</v>
      </c>
    </row>
    <row r="86" spans="1:6">
      <c r="B86" s="376" t="s">
        <v>235</v>
      </c>
      <c r="C86" s="391">
        <f>C84*scaling_factor*Exchange_Rate/Common_Shares</f>
        <v>5.983990441338503</v>
      </c>
      <c r="D86" s="347" t="str">
        <f>Market_currency</f>
        <v>HKD</v>
      </c>
    </row>
    <row r="88" spans="1:6">
      <c r="B88" s="347" t="s">
        <v>516</v>
      </c>
    </row>
    <row r="89" spans="1:6">
      <c r="B89" s="347" t="s">
        <v>217</v>
      </c>
      <c r="C89" s="377">
        <f>DCF!F6</f>
        <v>583558544.63999999</v>
      </c>
      <c r="D89" s="347" t="str">
        <f>Reporting_currency</f>
        <v>CNY</v>
      </c>
    </row>
    <row r="90" spans="1:6">
      <c r="B90" s="376" t="s">
        <v>236</v>
      </c>
      <c r="C90" s="391">
        <f>C89*scaling_factor*Exchange_Rate/Common_Shares</f>
        <v>0.52088261805763436</v>
      </c>
      <c r="D90" s="347" t="str">
        <f>Market_currency</f>
        <v>HKD</v>
      </c>
    </row>
    <row r="92" spans="1:6">
      <c r="B92" s="376" t="s">
        <v>483</v>
      </c>
      <c r="C92" s="391">
        <f>DCF!F8</f>
        <v>6.252144516740012</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9.2499999999999999E-2</v>
      </c>
    </row>
    <row r="102" spans="1:6">
      <c r="A102" s="389"/>
      <c r="B102" s="386" t="s">
        <v>318</v>
      </c>
      <c r="C102" s="387">
        <f>E25</f>
        <v>7.2499999999999995E-2</v>
      </c>
    </row>
    <row r="103" spans="1:6">
      <c r="A103" s="389"/>
      <c r="B103" s="386" t="s">
        <v>317</v>
      </c>
      <c r="C103" s="387">
        <f>IF(C15="Y",1%,0)+IF(C16="Y",1%,0)</f>
        <v>0.02</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1.7185175102008612</v>
      </c>
      <c r="D111" s="347" t="str">
        <f>Market_currency</f>
        <v>HKD</v>
      </c>
    </row>
    <row r="112" spans="1:6">
      <c r="A112" s="389"/>
      <c r="B112" s="376" t="s">
        <v>377</v>
      </c>
      <c r="C112" s="398">
        <f>DCF!C11</f>
        <v>16.962361027907697</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0.02</v>
      </c>
      <c r="D118" s="401">
        <f>DCF!D90</f>
        <v>3</v>
      </c>
      <c r="E118" s="402" t="str">
        <f>ROUND(DCF!E90,2)&amp;" "&amp;Market_currency</f>
        <v>17.56 HKD</v>
      </c>
      <c r="F118" s="403">
        <f>DCF!F90</f>
        <v>0.15</v>
      </c>
    </row>
    <row r="119" spans="1:6">
      <c r="A119" s="389"/>
      <c r="B119" s="404" t="str">
        <f>DCF!B91</f>
        <v>Optimistic</v>
      </c>
      <c r="C119" s="405">
        <f>DCF!C91</f>
        <v>0.01</v>
      </c>
      <c r="D119" s="406">
        <f>DCF!D91</f>
        <v>3</v>
      </c>
      <c r="E119" s="402" t="str">
        <f>ROUND(DCF!E91,2)&amp;" "&amp;Market_currency</f>
        <v>17.26 HKD</v>
      </c>
      <c r="F119" s="407">
        <f>DCF!F91</f>
        <v>0.15999999999999995</v>
      </c>
    </row>
    <row r="120" spans="1:6">
      <c r="B120" s="404" t="str">
        <f>DCF!B92</f>
        <v>Base</v>
      </c>
      <c r="C120" s="405">
        <f>DCF!C92</f>
        <v>0</v>
      </c>
      <c r="D120" s="406">
        <f>DCF!D92</f>
        <v>3</v>
      </c>
      <c r="E120" s="402" t="str">
        <f>ROUND(DCF!E92,2)&amp;" "&amp;Market_currency</f>
        <v>16.96 HKD</v>
      </c>
      <c r="F120" s="407">
        <f>DCF!F92</f>
        <v>0.44</v>
      </c>
    </row>
    <row r="121" spans="1:6">
      <c r="B121" s="404" t="str">
        <f>DCF!B93</f>
        <v>Pessimistic</v>
      </c>
      <c r="C121" s="405">
        <f>DCF!C93</f>
        <v>-0.01</v>
      </c>
      <c r="D121" s="406">
        <f>DCF!D93</f>
        <v>3</v>
      </c>
      <c r="E121" s="402" t="str">
        <f>ROUND(DCF!E93,2)&amp;" "&amp;Market_currency</f>
        <v>16.67 HKD</v>
      </c>
      <c r="F121" s="407">
        <f>DCF!F93</f>
        <v>0.19999999999999998</v>
      </c>
    </row>
    <row r="122" spans="1:6">
      <c r="B122" s="404" t="str">
        <f>DCF!B94</f>
        <v>Devil's advocate</v>
      </c>
      <c r="C122" s="405">
        <f>DCF!C94</f>
        <v>-0.02</v>
      </c>
      <c r="D122" s="406">
        <f>DCF!D94</f>
        <v>3</v>
      </c>
      <c r="E122" s="402" t="str">
        <f>ROUND(DCF!E94,2)&amp;" "&amp;Market_currency</f>
        <v>16.38 HKD</v>
      </c>
      <c r="F122" s="407">
        <f>DCF!F94</f>
        <v>0.05</v>
      </c>
    </row>
    <row r="124" spans="1:6">
      <c r="B124" s="466" t="s">
        <v>522</v>
      </c>
      <c r="C124" s="466"/>
      <c r="D124" s="466"/>
      <c r="E124" s="466"/>
      <c r="F124" s="466"/>
    </row>
    <row r="125" spans="1:6">
      <c r="B125" s="376" t="s">
        <v>218</v>
      </c>
      <c r="C125" s="408">
        <f>Scenarios!C36</f>
        <v>17.012853707020131</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0.59471431199999991</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1.0882389211484453</v>
      </c>
      <c r="D140" s="413">
        <f>Scenarios!D62</f>
        <v>7.8400247497788644</v>
      </c>
      <c r="E140" s="414">
        <f>Scenarios!E62</f>
        <v>8.9282636709273095</v>
      </c>
      <c r="F140" s="415">
        <f>E22</f>
        <v>0.29465259038036606</v>
      </c>
    </row>
    <row r="141" spans="1:6">
      <c r="B141" s="412" t="s">
        <v>313</v>
      </c>
      <c r="C141" s="413">
        <f>Scenarios!C63</f>
        <v>1.2512812599454139</v>
      </c>
      <c r="D141" s="413">
        <f>Scenarios!D63</f>
        <v>9.8269191087480934</v>
      </c>
      <c r="E141" s="414">
        <f>Scenarios!E63</f>
        <v>11.078200368693507</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1.4348096081716528</v>
      </c>
      <c r="D144" s="413">
        <f>Scenarios!D66</f>
        <v>12.194139709347091</v>
      </c>
      <c r="E144" s="414">
        <f>Scenarios!E66</f>
        <v>13.628949317518744</v>
      </c>
      <c r="F144" s="415">
        <f>E24</f>
        <v>0.1174</v>
      </c>
    </row>
    <row r="145" spans="1:6">
      <c r="B145" s="412" t="s">
        <v>314</v>
      </c>
      <c r="C145" s="413">
        <f>Scenarios!C67</f>
        <v>1.5536169359140437</v>
      </c>
      <c r="D145" s="413">
        <f>Scenarios!D67</f>
        <v>13.790666783359127</v>
      </c>
      <c r="E145" s="414">
        <f>Scenarios!E67</f>
        <v>15.34428371927317</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2025-12-04T03:51:20Z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