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87A5D55-B6C0-4DF0-A3B0-38050540857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<sst xmlns="http://schemas.openxmlformats.org/spreadsheetml/2006/main" count="768" uniqueCount="559">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</sst>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10.33</v>
      </c>
      <c r="E8" s="32"/>
    </row>
    <row r="9" spans="1:9">
      <c r="B9" s="4" t="s">
        <v>346</v>
      </c>
      <c r="C9" s="48">
        <f>791903900+441937100</f>
        <v>1233841000</v>
      </c>
    </row>
    <row r="10" spans="1:9">
      <c r="B10" s="4" t="s">
        <v>352</v>
      </c>
      <c r="C10" s="33">
        <f>Thesis!C8*Common_Shares/1000000</f>
        <v>12745.57753</v>
      </c>
      <c r="D10" s="1" t="s">
        <v>528</v>
      </c>
      <c r="E10" s="303">
        <f>Scenarios!F34</f>
        <v>0.27305219725121749</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1.1377999782562256</v>
      </c>
    </row>
    <row r="17" spans="1:6">
      <c r="B17" s="1" t="s">
        <v>532</v>
      </c>
      <c r="C17" s="456">
        <v>0</v>
      </c>
      <c r="D17" s="4" t="s">
        <v>274</v>
      </c>
      <c r="E17" s="224" t="s">
        <v>558</v>
      </c>
    </row>
    <row r="18" spans="1:6">
      <c r="B18" s="1" t="str">
        <f>"Expected Equity Value ("&amp;C7&amp;") :"</f>
        <v>Expected Equity Value (HKD) :</v>
      </c>
      <c r="C18" s="252">
        <f>C125</f>
        <v>18.920379042849973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9.7277573400094823</v>
      </c>
      <c r="D22" s="38" t="s">
        <v>406</v>
      </c>
      <c r="E22" s="79">
        <v>0.3</v>
      </c>
    </row>
    <row r="23" spans="1:6">
      <c r="B23" s="1" t="s">
        <v>313</v>
      </c>
      <c r="C23" s="256">
        <f>E141</f>
        <v>12.243540902841671</v>
      </c>
      <c r="D23" s="38" t="s">
        <v>407</v>
      </c>
      <c r="E23" s="443">
        <v>0.2</v>
      </c>
    </row>
    <row r="24" spans="1:6">
      <c r="B24" s="1" t="s">
        <v>315</v>
      </c>
      <c r="C24" s="256">
        <f>E144</f>
        <v>15.043710602228485</v>
      </c>
      <c r="D24" s="38" t="s">
        <v>408</v>
      </c>
      <c r="E24" s="443">
        <v>0.1174</v>
      </c>
    </row>
    <row r="25" spans="1:6">
      <c r="B25" s="1" t="s">
        <v>314</v>
      </c>
      <c r="C25" s="256">
        <f>E145</f>
        <v>16.941986811485037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1560850297.4755726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11609982.152307412</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-2546940.6771925874</v>
      </c>
      <c r="D46" s="1" t="str">
        <f>Reporting_currency</f>
        <v>CNY</v>
      </c>
    </row>
    <row r="48" spans="2:6">
      <c r="B48" s="1" t="s">
        <v>211</v>
      </c>
    </row>
    <row r="49" spans="2:6">
      <c r="B49" s="44" t="s">
        <v>223</v>
      </c>
      <c r="C49" s="285">
        <f>Normalized_FCF!C13</f>
        <v>-58805478.000000007</v>
      </c>
      <c r="D49" s="1" t="str">
        <f>Reporting_currency</f>
        <v>CNY</v>
      </c>
    </row>
    <row r="51" spans="2:6">
      <c r="B51" s="463" t="s">
        <v>206</v>
      </c>
      <c r="C51" s="463"/>
      <c r="D51" s="463"/>
      <c r="E51" s="463"/>
      <c r="F51" s="463"/>
    </row>
    <row r="52" spans="2:6">
      <c r="B52" s="44" t="s">
        <v>204</v>
      </c>
      <c r="C52" s="285">
        <f>Normalized_FCF!C12</f>
        <v>-389575839.19959497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1208049063.4512262</v>
      </c>
      <c r="D60" s="1" t="str">
        <f>Reporting_currency</f>
        <v>CNY</v>
      </c>
    </row>
    <row r="61" spans="2:6">
      <c r="B61" s="44" t="s">
        <v>213</v>
      </c>
      <c r="C61" s="285">
        <f>Normalized_FCF!C19</f>
        <v>1109922039.5987849</v>
      </c>
      <c r="D61" s="1" t="str">
        <f>Reporting_currency</f>
        <v>CNY</v>
      </c>
    </row>
    <row r="62" spans="2:6">
      <c r="B62" s="204" t="s">
        <v>302</v>
      </c>
      <c r="C62" s="89">
        <f>Normalized_FCF!C124</f>
        <v>9.908293834070013E-2</v>
      </c>
      <c r="F62" s="257"/>
    </row>
    <row r="63" spans="2:6">
      <c r="B63" s="204" t="s">
        <v>332</v>
      </c>
      <c r="C63" s="89">
        <f>Normalized_FCF!C92</f>
        <v>5.9478411254439673E-2</v>
      </c>
      <c r="E63" s="44" t="s">
        <v>322</v>
      </c>
      <c r="F63" s="258">
        <f>Normalized_FCF!C90</f>
        <v>0.75889884850603151</v>
      </c>
    </row>
    <row r="65" spans="1:6">
      <c r="B65" s="192" t="s">
        <v>325</v>
      </c>
      <c r="C65" s="264" t="s">
        <v>327</v>
      </c>
      <c r="D65" s="264" t="s">
        <v>328</v>
      </c>
    </row>
    <row r="66" spans="1:6">
      <c r="B66" s="44" t="s">
        <v>326</v>
      </c>
      <c r="C66" s="89">
        <f>Normalized_FCF!E119</f>
        <v>0.10095818670270156</v>
      </c>
      <c r="D66" s="89">
        <f>Normalized_FCF!G119</f>
        <v>8.8895813906804316E-2</v>
      </c>
    </row>
    <row r="67" spans="1:6">
      <c r="B67" s="229" t="str">
        <f>Normalized_FCF!B116</f>
        <v>Pre-tax Profit/Sales</v>
      </c>
      <c r="C67" s="263">
        <f>Normalized_FCF!E116</f>
        <v>0.12639831292314693</v>
      </c>
      <c r="D67" s="263">
        <f>Normalized_FCF!G116</f>
        <v>0.11129638190549448</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-283138456.58999997</v>
      </c>
      <c r="D78" s="1" t="str">
        <f>Reporting_currency</f>
        <v>CNY</v>
      </c>
    </row>
    <row r="79" spans="1:6">
      <c r="A79" s="191"/>
      <c r="B79" s="44" t="s">
        <v>234</v>
      </c>
      <c r="C79" s="201">
        <f>C78*scaling_factor*Exchange_Rate/Common_Shares</f>
        <v>-0.26109922571190552</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6699521722.7954321</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6.1780372596823687</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0.53813489696210992</v>
      </c>
      <c r="D90" s="1" t="str">
        <f>Market_currency</f>
        <v>HKD</v>
      </c>
    </row>
    <row r="91" spans="1:6">
      <c r="A91" s="191"/>
    </row>
    <row r="92" spans="1:6">
      <c r="A92" s="191"/>
      <c r="B92" s="44" t="s">
        <v>469</v>
      </c>
      <c r="C92" s="216">
        <f>DCF!F8</f>
        <v>6.4550729309325732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1.7754369434097639</v>
      </c>
      <c r="D111" s="1" t="str">
        <f>Market_currency</f>
        <v>HKD</v>
      </c>
    </row>
    <row r="112" spans="2:6">
      <c r="B112" s="44" t="s">
        <v>323</v>
      </c>
      <c r="C112" s="216">
        <f>DCF!C11</f>
        <v>18.861457816501449</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19.56 HKD</v>
      </c>
      <c r="E118" s="208">
        <f>DCF!F90</f>
        <v>0.15</v>
      </c>
      <c r="F118" s="208">
        <f>RATE(Holding_Period,Scenarios!C$58,-DCF!E90,C$18)</f>
        <v>2.0668220431155647E-2</v>
      </c>
    </row>
    <row r="119" spans="2:6">
      <c r="B119" s="205" t="str">
        <f>DCF!B91&amp;" ("&amp;DCF!D91&amp;"yrs)"</f>
        <v>Optimistic (3yrs)</v>
      </c>
      <c r="C119" s="198">
        <f>DCF!C91</f>
        <v>0.01</v>
      </c>
      <c r="D119" s="207" t="str">
        <f>ROUND(DCF!E91,2)&amp;" "&amp;Market_currency</f>
        <v>19.21 HKD</v>
      </c>
      <c r="E119" s="199">
        <f>DCF!F91</f>
        <v>0.15999999999999995</v>
      </c>
      <c r="F119" s="208">
        <f>RATE(Holding_Period,Scenarios!C$58,-DCF!E91,C$18)</f>
        <v>2.7105437025083185E-2</v>
      </c>
    </row>
    <row r="120" spans="2:6">
      <c r="B120" s="205" t="str">
        <f>DCF!B92&amp;" ("&amp;DCF!D92&amp;"yrs)"</f>
        <v>Base (3yrs)</v>
      </c>
      <c r="C120" s="198">
        <f>DCF!C92</f>
        <v>0</v>
      </c>
      <c r="D120" s="207" t="str">
        <f>ROUND(DCF!E92,2)&amp;" "&amp;Market_currency</f>
        <v>18.86 HKD</v>
      </c>
      <c r="E120" s="199">
        <f>DCF!F92</f>
        <v>0.44</v>
      </c>
      <c r="F120" s="208">
        <f>RATE(Holding_Period,Scenarios!C$58,-DCF!E92,C$18)</f>
        <v>3.3582099447689188E-2</v>
      </c>
    </row>
    <row r="121" spans="2:6">
      <c r="B121" s="205" t="str">
        <f>DCF!B93&amp;" ("&amp;DCF!D93&amp;"yrs)"</f>
        <v>Pessimistic (3yrs)</v>
      </c>
      <c r="C121" s="198">
        <f>DCF!C93</f>
        <v>-0.01</v>
      </c>
      <c r="D121" s="207" t="str">
        <f>ROUND(DCF!E93,2)&amp;" "&amp;Market_currency</f>
        <v>18.52 HKD</v>
      </c>
      <c r="E121" s="199">
        <f>DCF!F93</f>
        <v>0.19999999999999998</v>
      </c>
      <c r="F121" s="208">
        <f>RATE(Holding_Period,Scenarios!C$58,-DCF!E93,C$18)</f>
        <v>4.0097263072668192E-2</v>
      </c>
    </row>
    <row r="122" spans="2:6">
      <c r="B122" s="205" t="str">
        <f>DCF!B94&amp;" ("&amp;DCF!D94&amp;"yrs)"</f>
        <v>Devil's advocate (3yrs)</v>
      </c>
      <c r="C122" s="198">
        <f>DCF!C94</f>
        <v>-0.02</v>
      </c>
      <c r="D122" s="207" t="str">
        <f>ROUND(DCF!E94,2)&amp;" "&amp;Market_currency</f>
        <v>18.19 HKD</v>
      </c>
      <c r="E122" s="199">
        <f>DCF!F94</f>
        <v>0.05</v>
      </c>
      <c r="F122" s="208">
        <f>RATE(Holding_Period,Scenarios!C$58,-DCF!E94,C$18)</f>
        <v>4.6649913106092462E-2</v>
      </c>
    </row>
    <row r="124" spans="2:6">
      <c r="B124" s="463" t="s">
        <v>357</v>
      </c>
      <c r="C124" s="463"/>
      <c r="D124" s="463"/>
      <c r="E124" s="463"/>
      <c r="F124" s="463"/>
    </row>
    <row r="125" spans="2:6">
      <c r="B125" s="193" t="s">
        <v>218</v>
      </c>
      <c r="C125" s="197">
        <f>Scenarios!C36</f>
        <v>18.920379042849973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0.61441198825836185</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1.1158415262407211</v>
      </c>
      <c r="D140" s="333">
        <f>Scenarios!D62</f>
        <v>8.6119158137687606</v>
      </c>
      <c r="E140" s="334">
        <f>Scenarios!E62</f>
        <v>9.7277573400094823</v>
      </c>
      <c r="F140" s="335">
        <f>E22</f>
        <v>0.3</v>
      </c>
    </row>
    <row r="141" spans="1:6">
      <c r="B141" s="336" t="s">
        <v>313</v>
      </c>
      <c r="C141" s="333">
        <f>Scenarios!C63</f>
        <v>1.2942474752664566</v>
      </c>
      <c r="D141" s="333">
        <f>Scenarios!D63</f>
        <v>10.949293427575215</v>
      </c>
      <c r="E141" s="334">
        <f>Scenarios!E63</f>
        <v>12.243540902841671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1.4823322834863044</v>
      </c>
      <c r="D144" s="333">
        <f>Scenarios!D66</f>
        <v>13.561378318742181</v>
      </c>
      <c r="E144" s="334">
        <f>Scenarios!E66</f>
        <v>15.043710602228485</v>
      </c>
      <c r="F144" s="335">
        <f>E24</f>
        <v>0.1174</v>
      </c>
    </row>
    <row r="145" spans="1:6">
      <c r="B145" s="336" t="s">
        <v>314</v>
      </c>
      <c r="C145" s="333">
        <f>Scenarios!C67</f>
        <v>1.6050746574042627</v>
      </c>
      <c r="D145" s="333">
        <f>Scenarios!D67</f>
        <v>15.336912154080776</v>
      </c>
      <c r="E145" s="334">
        <f>Scenarios!E67</f>
        <v>16.941986811485037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C38" sqref="C3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0.68267998695373533</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0.68267998695373533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13.819781745680057</v>
      </c>
      <c r="D47" s="134">
        <f>D46*H1/Common_Shares*Exchange_Rate</f>
        <v>1.7754369434097639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6699521722.7954321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-986773270.85358191</v>
      </c>
      <c r="D73" s="285">
        <f>(Normalized_FCF!C26+Normalized_FCF!C35-Normalized_FCF!C89)/12</f>
        <v>-967498512.69228423</v>
      </c>
      <c r="F73" s="1" t="s">
        <v>278</v>
      </c>
    </row>
    <row r="74" spans="2:6" ht="15" customHeight="1">
      <c r="B74" s="227" t="s">
        <v>259</v>
      </c>
      <c r="C74" s="228">
        <f>-$C$66/C73</f>
        <v>8.7502560144448793</v>
      </c>
      <c r="D74" s="228">
        <f>-$C$66/D73</f>
        <v>8.9245809010625674</v>
      </c>
      <c r="F74" s="223" t="s">
        <v>257</v>
      </c>
    </row>
    <row r="75" spans="2:6" ht="15" customHeight="1">
      <c r="B75" s="77" t="s">
        <v>258</v>
      </c>
      <c r="C75" s="261"/>
      <c r="D75" s="262">
        <f>MAX(-D73*D76,G5)</f>
        <v>1934997025.3845685</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-322154929.75160325</v>
      </c>
      <c r="D86" s="201">
        <f>C86*scaling_factor/Common_Shares</f>
        <v>-0.26109922571190552</v>
      </c>
      <c r="E86" s="214" t="str">
        <f>Market_currency</f>
        <v>HKD</v>
      </c>
    </row>
    <row r="87" spans="2:8" ht="15" customHeight="1">
      <c r="B87" s="212" t="s">
        <v>240</v>
      </c>
      <c r="C87" s="73">
        <f>DCF!F5*Exchange_Rate</f>
        <v>7622715670.5237532</v>
      </c>
      <c r="D87" s="201">
        <f>C87*scaling_factor/Common_Shares</f>
        <v>6.1780372596823687</v>
      </c>
      <c r="E87" s="214" t="str">
        <f>Market_currency</f>
        <v>HKD</v>
      </c>
    </row>
    <row r="88" spans="2:8" ht="15" customHeight="1">
      <c r="B88" s="213" t="s">
        <v>159</v>
      </c>
      <c r="C88" s="73">
        <f>DCF!F6*Exchange_Rate</f>
        <v>663972899.40262663</v>
      </c>
      <c r="D88" s="201">
        <f>C88*scaling_factor/Common_Shares</f>
        <v>0.53813489696210992</v>
      </c>
      <c r="E88" s="214" t="str">
        <f>Market_currency</f>
        <v>HKD</v>
      </c>
    </row>
    <row r="89" spans="2:8" ht="15" customHeight="1">
      <c r="B89" s="77" t="s">
        <v>244</v>
      </c>
      <c r="C89" s="162">
        <f>SUM(C86:C88)</f>
        <v>7964533640.174777</v>
      </c>
      <c r="D89" s="216">
        <f>SUM(D86:D88)</f>
        <v>6.4550729309325732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-2546940.6771925874</v>
      </c>
      <c r="E10" s="237"/>
      <c r="G10" s="266">
        <f>G48</f>
        <v>42565790.911225416</v>
      </c>
      <c r="H10" s="266">
        <f t="shared" ref="H10:Q10" si="6">H48</f>
        <v>41044302.463146754</v>
      </c>
      <c r="I10" s="266">
        <f t="shared" si="6"/>
        <v>17774196.418184251</v>
      </c>
      <c r="J10" s="266">
        <f t="shared" si="6"/>
        <v>5108204.7509778664</v>
      </c>
      <c r="K10" s="266">
        <f t="shared" si="6"/>
        <v>-4669797.2652192824</v>
      </c>
      <c r="L10" s="266">
        <f t="shared" si="6"/>
        <v>-6399208.7768409234</v>
      </c>
      <c r="M10" s="266">
        <f t="shared" si="6"/>
        <v>7550841.2187397163</v>
      </c>
      <c r="N10" s="266">
        <f t="shared" si="6"/>
        <v>0</v>
      </c>
      <c r="O10" s="266">
        <f t="shared" si="6"/>
        <v>0</v>
      </c>
      <c r="P10" s="266">
        <f t="shared" si="6"/>
        <v>0</v>
      </c>
      <c r="Q10" s="266" t="str">
        <f t="shared" si="6"/>
        <v/>
      </c>
    </row>
    <row r="11" spans="1:17" ht="15.75" customHeight="1">
      <c r="A11" s="10"/>
      <c r="B11" s="67" t="s">
        <v>137</v>
      </c>
      <c r="C11" s="267">
        <f>SUM(C8:C10)</f>
        <v>1558303356.7983799</v>
      </c>
      <c r="E11" s="237"/>
      <c r="G11" s="267">
        <f t="shared" ref="G11:Q11" si="7">IF(G$4="","",SUM(G8:G10))</f>
        <v>1372118990.4512262</v>
      </c>
      <c r="H11" s="267">
        <f t="shared" si="7"/>
        <v>1482028970.7831464</v>
      </c>
      <c r="I11" s="267">
        <f t="shared" si="7"/>
        <v>1407301695.4181843</v>
      </c>
      <c r="J11" s="267">
        <f t="shared" si="7"/>
        <v>1240562522.7509778</v>
      </c>
      <c r="K11" s="267">
        <f t="shared" si="7"/>
        <v>1157485893.7347808</v>
      </c>
      <c r="L11" s="267">
        <f t="shared" si="7"/>
        <v>999286605.80316114</v>
      </c>
      <c r="M11" s="267">
        <f t="shared" si="7"/>
        <v>939498147.98873878</v>
      </c>
      <c r="N11" s="267">
        <f t="shared" si="7"/>
        <v>695381120.13999975</v>
      </c>
      <c r="O11" s="267">
        <f t="shared" si="7"/>
        <v>577850860.66999984</v>
      </c>
      <c r="P11" s="267">
        <f t="shared" si="7"/>
        <v>542208477</v>
      </c>
      <c r="Q11" s="267" t="str">
        <f t="shared" si="7"/>
        <v/>
      </c>
    </row>
    <row r="12" spans="1:17" ht="15.75" customHeight="1">
      <c r="A12" s="10"/>
      <c r="B12" s="2" t="s">
        <v>60</v>
      </c>
      <c r="C12" s="266">
        <f>-C11*C41</f>
        <v>-389575839.19959497</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1109922039.5987849</v>
      </c>
      <c r="D14" s="58"/>
      <c r="E14" s="243"/>
      <c r="F14" s="58"/>
      <c r="G14" s="267">
        <f t="shared" ref="G14:Q14" si="8">IF(G$4="","",SUM(G11:G13))</f>
        <v>1208049063.4512262</v>
      </c>
      <c r="H14" s="267">
        <f t="shared" si="8"/>
        <v>1498002913.7831464</v>
      </c>
      <c r="I14" s="267">
        <f t="shared" si="8"/>
        <v>1418737172.4181843</v>
      </c>
      <c r="J14" s="267">
        <f t="shared" si="8"/>
        <v>1235109710.7509778</v>
      </c>
      <c r="K14" s="267">
        <f t="shared" si="8"/>
        <v>1149315342.7347808</v>
      </c>
      <c r="L14" s="267">
        <f t="shared" si="8"/>
        <v>975114530.68316114</v>
      </c>
      <c r="M14" s="267">
        <f t="shared" si="8"/>
        <v>950293994.35873878</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1109922039.5987849</v>
      </c>
      <c r="D19" s="26"/>
      <c r="E19" s="234"/>
      <c r="F19" s="26"/>
      <c r="G19" s="271">
        <f t="shared" ref="G19:Q19" si="9">IF(G$4="","",G14+G17)</f>
        <v>1208049063.4512262</v>
      </c>
      <c r="H19" s="271">
        <f t="shared" si="9"/>
        <v>1498002913.7831464</v>
      </c>
      <c r="I19" s="271">
        <f t="shared" si="9"/>
        <v>1418737172.4181843</v>
      </c>
      <c r="J19" s="271">
        <f t="shared" si="9"/>
        <v>1235109710.7509778</v>
      </c>
      <c r="K19" s="271">
        <f t="shared" si="9"/>
        <v>1149315342.7347808</v>
      </c>
      <c r="L19" s="271">
        <f t="shared" si="9"/>
        <v>975114530.68316114</v>
      </c>
      <c r="M19" s="271">
        <f t="shared" si="9"/>
        <v>950293994.35873878</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7.6716705863376616E-2</v>
      </c>
      <c r="H41" s="6">
        <f t="shared" si="16"/>
        <v>-4.397906200548695E-2</v>
      </c>
      <c r="I41" s="6">
        <f t="shared" si="16"/>
        <v>-8.12581768161795E-3</v>
      </c>
      <c r="J41" s="6">
        <f t="shared" si="16"/>
        <v>4.3954350546623446E-3</v>
      </c>
      <c r="K41" s="6">
        <f t="shared" si="16"/>
        <v>7.0588773860877389E-3</v>
      </c>
      <c r="L41" s="6">
        <f t="shared" si="16"/>
        <v>2.4189331648823684E-2</v>
      </c>
      <c r="M41" s="6">
        <f t="shared" si="16"/>
        <v>-1.1491077862273128E-2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11609982.152307412</v>
      </c>
      <c r="E46" s="237"/>
      <c r="G46" s="274">
        <f t="shared" ref="G46:Q46" si="17">IFERROR(IF(G$4="","",($C$46/$C$47)*G47),0)</f>
        <v>55007673.911225416</v>
      </c>
      <c r="H46" s="274">
        <f t="shared" si="17"/>
        <v>58919759.463146754</v>
      </c>
      <c r="I46" s="274">
        <f t="shared" si="17"/>
        <v>38752382.418184251</v>
      </c>
      <c r="J46" s="274">
        <f t="shared" si="17"/>
        <v>24596047.750977866</v>
      </c>
      <c r="K46" s="274">
        <f t="shared" si="17"/>
        <v>17494157.734780718</v>
      </c>
      <c r="L46" s="274">
        <f t="shared" si="17"/>
        <v>13041113.223159077</v>
      </c>
      <c r="M46" s="274">
        <f t="shared" si="17"/>
        <v>8067253.2187397163</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-2546940.6771925874</v>
      </c>
      <c r="E48" s="237"/>
      <c r="G48" s="267">
        <f>IF(G$4="","",(G45+G46))</f>
        <v>42565790.911225416</v>
      </c>
      <c r="H48" s="267">
        <f t="shared" ref="H48:Q48" si="18">IF(H$4="","",(H45+H46))</f>
        <v>41044302.463146754</v>
      </c>
      <c r="I48" s="267">
        <f t="shared" si="18"/>
        <v>17774196.418184251</v>
      </c>
      <c r="J48" s="267">
        <f t="shared" si="18"/>
        <v>5108204.7509778664</v>
      </c>
      <c r="K48" s="267">
        <f t="shared" si="18"/>
        <v>-4669797.2652192824</v>
      </c>
      <c r="L48" s="267">
        <f t="shared" si="18"/>
        <v>-6399208.7768409234</v>
      </c>
      <c r="M48" s="267">
        <f t="shared" si="18"/>
        <v>7550841.2187397163</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2.0658943158147414E-4</v>
      </c>
      <c r="D76" s="26"/>
      <c r="E76" s="234"/>
      <c r="F76" s="26"/>
      <c r="G76" s="6">
        <f t="shared" ref="G76:Q76" si="28">IF(G$4="","",ABS(G10/G$4))</f>
        <v>3.4526295126979132E-3</v>
      </c>
      <c r="H76" s="6">
        <f t="shared" si="28"/>
        <v>3.4582580423783552E-3</v>
      </c>
      <c r="I76" s="6">
        <f t="shared" si="28"/>
        <v>1.6261394814392433E-3</v>
      </c>
      <c r="J76" s="6">
        <f t="shared" si="28"/>
        <v>4.883391016594922E-4</v>
      </c>
      <c r="K76" s="6">
        <f t="shared" si="28"/>
        <v>5.1840230322995401E-4</v>
      </c>
      <c r="L76" s="6">
        <f t="shared" si="28"/>
        <v>7.2369119273528546E-4</v>
      </c>
      <c r="M76" s="6">
        <f t="shared" si="28"/>
        <v>9.2234345506862672E-4</v>
      </c>
      <c r="N76" s="6">
        <f t="shared" si="28"/>
        <v>0</v>
      </c>
      <c r="O76" s="6">
        <f t="shared" si="28"/>
        <v>0</v>
      </c>
      <c r="P76" s="6">
        <f t="shared" si="28"/>
        <v>0</v>
      </c>
      <c r="Q76" s="6" t="str">
        <f t="shared" si="28"/>
        <v/>
      </c>
    </row>
    <row r="77" spans="1:17" ht="15.75" customHeight="1">
      <c r="A77" s="10"/>
      <c r="B77" s="67" t="s">
        <v>137</v>
      </c>
      <c r="C77" s="75">
        <f>C11/C4</f>
        <v>0.1263983129231469</v>
      </c>
      <c r="D77" s="26"/>
      <c r="E77" s="234"/>
      <c r="F77" s="26"/>
      <c r="G77" s="62">
        <f t="shared" ref="G77:Q77" si="29">IF(G$4="","",G11/G$4)</f>
        <v>0.11129638190549448</v>
      </c>
      <c r="H77" s="62">
        <f t="shared" si="29"/>
        <v>0.12487089071255213</v>
      </c>
      <c r="I77" s="62">
        <f t="shared" si="29"/>
        <v>0.12875231011145066</v>
      </c>
      <c r="J77" s="62">
        <f t="shared" si="29"/>
        <v>0.11859649670398867</v>
      </c>
      <c r="K77" s="62">
        <f t="shared" si="29"/>
        <v>0.12849451896711314</v>
      </c>
      <c r="L77" s="62">
        <f t="shared" si="29"/>
        <v>0.11301005184504891</v>
      </c>
      <c r="M77" s="62">
        <f t="shared" si="29"/>
        <v>0.11476071907007208</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3.1599578230786726E-2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9.0028859059729474E-2</v>
      </c>
      <c r="D80" s="26"/>
      <c r="E80" s="234"/>
      <c r="F80" s="26"/>
      <c r="G80" s="62">
        <f t="shared" ref="G80:Q80" si="32">IF(G$4="","",ABS(G14/G$4))</f>
        <v>9.798821447856193E-2</v>
      </c>
      <c r="H80" s="62">
        <f t="shared" si="32"/>
        <v>0.12621680265484533</v>
      </c>
      <c r="I80" s="62">
        <f t="shared" si="32"/>
        <v>0.12979852790950344</v>
      </c>
      <c r="J80" s="62">
        <f t="shared" si="32"/>
        <v>0.11807521350501581</v>
      </c>
      <c r="K80" s="62">
        <f t="shared" si="32"/>
        <v>0.12758749191293997</v>
      </c>
      <c r="L80" s="62">
        <f t="shared" si="32"/>
        <v>0.11027641422131826</v>
      </c>
      <c r="M80" s="62">
        <f t="shared" si="32"/>
        <v>0.11607944342843673</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9.0028859059729474E-2</v>
      </c>
      <c r="D85" s="72"/>
      <c r="E85" s="234"/>
      <c r="F85" s="72"/>
      <c r="G85" s="62">
        <f t="shared" ref="G85:Q85" si="35">IF(G$4="","",ABS(G19/G$4))</f>
        <v>9.798821447856193E-2</v>
      </c>
      <c r="H85" s="62">
        <f t="shared" si="35"/>
        <v>0.12621680265484533</v>
      </c>
      <c r="I85" s="62">
        <f t="shared" si="35"/>
        <v>0.12979852790950344</v>
      </c>
      <c r="J85" s="62">
        <f t="shared" si="35"/>
        <v>0.11807521350501581</v>
      </c>
      <c r="K85" s="62">
        <f t="shared" si="35"/>
        <v>0.12758749191293997</v>
      </c>
      <c r="L85" s="62">
        <f t="shared" si="35"/>
        <v>0.11027641422131826</v>
      </c>
      <c r="M85" s="62">
        <f t="shared" si="35"/>
        <v>0.11607944342843673</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0.68267998695373533</v>
      </c>
      <c r="E88" s="237"/>
      <c r="G88" s="109">
        <f>Data!C65</f>
        <v>0.68267998695373533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842318557.78298378</v>
      </c>
      <c r="E89" s="237"/>
      <c r="G89" s="71">
        <f t="shared" ref="G89:Q89" si="36">IF(G$4="","",G88*Common_Shares/scaling_factor)</f>
        <v>842318557.78298378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0.75889884850603151</v>
      </c>
      <c r="E90" s="237"/>
      <c r="G90" s="152">
        <f t="shared" ref="G90:Q90" si="37">IF(G$4="","",G88/(G19*scaling_factor/Common_Shares))</f>
        <v>0.69725525499485774</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5.9478411254439673E-2</v>
      </c>
      <c r="E92" s="237"/>
      <c r="G92" s="22">
        <f t="shared" ref="G92:Q92" si="38">IF(G$4="","",(G88*(1-dividend_tax_rate))/Market_Price)</f>
        <v>5.9478411254439673E-2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0.13569112273996464</v>
      </c>
      <c r="D96" s="26"/>
      <c r="E96" s="234"/>
      <c r="F96" s="26"/>
      <c r="G96" s="6">
        <f t="shared" ref="G96:Q96" si="40">IF(H5="","",G11/H11-1)</f>
        <v>-7.4161829828360615E-2</v>
      </c>
      <c r="H96" s="6">
        <f t="shared" si="40"/>
        <v>5.3099684032396954E-2</v>
      </c>
      <c r="I96" s="6">
        <f t="shared" si="40"/>
        <v>0.13440610175572476</v>
      </c>
      <c r="J96" s="6">
        <f t="shared" si="40"/>
        <v>7.1773340362826676E-2</v>
      </c>
      <c r="K96" s="6">
        <f t="shared" si="40"/>
        <v>0.15831222695561853</v>
      </c>
      <c r="L96" s="6">
        <f t="shared" si="40"/>
        <v>6.3638718120324622E-2</v>
      </c>
      <c r="M96" s="6">
        <f t="shared" si="40"/>
        <v>0.35105501253699756</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1.4672242093680179</v>
      </c>
      <c r="H113" s="251">
        <f>IF(H$4="","",Data!D$22/H19)</f>
        <v>1.5707767917870876</v>
      </c>
      <c r="I113" s="251">
        <f>IF(I$4="","",Data!E$22/I19)</f>
        <v>1.4268894650511752</v>
      </c>
      <c r="J113" s="251">
        <f>IF(J$4="","",Data!F$22/J19)</f>
        <v>1.6576094894073596</v>
      </c>
      <c r="K113" s="251">
        <f>IF(K$4="","",Data!G$22/K19)</f>
        <v>1.5825119724515089</v>
      </c>
      <c r="L113" s="251">
        <f>IF(L$4="","",Data!H$22/L19)</f>
        <v>1.3992310407517972</v>
      </c>
      <c r="M113" s="251">
        <f>IF(M$4="","",Data!I$22/M19)</f>
        <v>1.0454136065969597</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0.1263983129231469</v>
      </c>
      <c r="E116" s="22">
        <f>E119/E117/E118</f>
        <v>0.12639831292314693</v>
      </c>
      <c r="G116" s="22">
        <f t="shared" ref="G116:Q116" si="44">IF(G4="","",G77)</f>
        <v>0.11129638190549448</v>
      </c>
      <c r="H116" s="22">
        <f t="shared" si="44"/>
        <v>0.12487089071255213</v>
      </c>
      <c r="I116" s="22">
        <f t="shared" si="44"/>
        <v>0.12875231011145066</v>
      </c>
      <c r="J116" s="22">
        <f t="shared" si="44"/>
        <v>0.11859649670398867</v>
      </c>
      <c r="K116" s="22">
        <f t="shared" si="44"/>
        <v>0.12849451896711314</v>
      </c>
      <c r="L116" s="22">
        <f t="shared" si="44"/>
        <v>0.11301005184504891</v>
      </c>
      <c r="M116" s="22">
        <f t="shared" si="44"/>
        <v>0.11476071907007208</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0.10095818670270156</v>
      </c>
      <c r="D119" s="100"/>
      <c r="E119" s="453">
        <f>C11/C104</f>
        <v>0.10095818670270156</v>
      </c>
      <c r="F119" s="100"/>
      <c r="G119" s="99">
        <f t="shared" ref="G119:Q119" si="47">IF(G$4="","",G11/G104)</f>
        <v>8.8895813906804316E-2</v>
      </c>
      <c r="H119" s="99">
        <f t="shared" si="47"/>
        <v>0.11048245986483575</v>
      </c>
      <c r="I119" s="99">
        <f t="shared" si="47"/>
        <v>0.11114342028697548</v>
      </c>
      <c r="J119" s="99">
        <f t="shared" si="47"/>
        <v>0.11166492347312414</v>
      </c>
      <c r="K119" s="99">
        <f t="shared" si="47"/>
        <v>0.11542367154186749</v>
      </c>
      <c r="L119" s="99">
        <f t="shared" si="47"/>
        <v>0.10957130432929359</v>
      </c>
      <c r="M119" s="99">
        <f t="shared" si="47"/>
        <v>0.11176479496210057</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1.0235267530594323</v>
      </c>
      <c r="D123" s="26"/>
      <c r="E123" s="234"/>
      <c r="F123" s="26"/>
      <c r="G123" s="159">
        <f t="shared" ref="G123:Q123" si="48">IF(G$4="","",G14*$C$3/Common_Shares*Exchange_Rate)</f>
        <v>1.11401566176457</v>
      </c>
      <c r="H123" s="159">
        <f t="shared" si="48"/>
        <v>1.3813997773864106</v>
      </c>
      <c r="I123" s="159">
        <f t="shared" si="48"/>
        <v>1.3083040066983582</v>
      </c>
      <c r="J123" s="159">
        <f t="shared" si="48"/>
        <v>1.1389699337568744</v>
      </c>
      <c r="K123" s="159">
        <f t="shared" si="48"/>
        <v>1.0598537185692323</v>
      </c>
      <c r="L123" s="159">
        <f t="shared" si="48"/>
        <v>0.89921253371271526</v>
      </c>
      <c r="M123" s="159">
        <f t="shared" si="48"/>
        <v>0.87632400456654846</v>
      </c>
      <c r="N123" s="159">
        <f t="shared" si="48"/>
        <v>0.64073700419690827</v>
      </c>
      <c r="O123" s="159">
        <f t="shared" si="48"/>
        <v>0.52763540339096826</v>
      </c>
      <c r="P123" s="159">
        <f t="shared" si="48"/>
        <v>0.49743071425718943</v>
      </c>
      <c r="Q123" s="159" t="str">
        <f t="shared" si="48"/>
        <v/>
      </c>
    </row>
    <row r="124" spans="1:17" ht="15.75" customHeight="1">
      <c r="A124" s="10"/>
      <c r="B124" s="26" t="s">
        <v>226</v>
      </c>
      <c r="C124" s="74">
        <f>C19*Exchange_Rate*$C$3/(Market_Price*Common_Shares)</f>
        <v>9.908293834070013E-2</v>
      </c>
      <c r="D124" s="26"/>
      <c r="E124" s="234"/>
      <c r="F124" s="26"/>
      <c r="G124" s="74">
        <f t="shared" ref="G124" si="49">IF(G$4="","",G123/Market_Price)</f>
        <v>0.10784275525310455</v>
      </c>
      <c r="H124" s="74">
        <f t="shared" ref="H124" si="50">IF(H$4="","",H123/Market_Price)</f>
        <v>0.13372698716228565</v>
      </c>
      <c r="I124" s="74">
        <f t="shared" ref="I124" si="51">IF(I$4="","",I123/Market_Price)</f>
        <v>0.12665092029993788</v>
      </c>
      <c r="J124" s="74">
        <f t="shared" ref="J124" si="52">IF(J$4="","",J123/Market_Price)</f>
        <v>0.11025846406165289</v>
      </c>
      <c r="K124" s="74">
        <f t="shared" ref="K124" si="53">IF(K$4="","",K123/Market_Price)</f>
        <v>0.1025995855342916</v>
      </c>
      <c r="L124" s="74">
        <f t="shared" ref="L124" si="54">IF(L$4="","",L123/Market_Price)</f>
        <v>8.704864798767814E-2</v>
      </c>
      <c r="M124" s="74">
        <f t="shared" ref="M124" si="55">IF(M$4="","",M123/Market_Price)</f>
        <v>8.4832914285241867E-2</v>
      </c>
      <c r="N124" s="74">
        <f t="shared" ref="N124" si="56">IF(N$4="","",N123/Market_Price)</f>
        <v>6.2026815507929163E-2</v>
      </c>
      <c r="O124" s="74">
        <f t="shared" ref="O124" si="57">IF(O$4="","",O123/Market_Price)</f>
        <v>5.1077967414420937E-2</v>
      </c>
      <c r="P124" s="74">
        <f t="shared" ref="P124" si="58">IF(P$4="","",P123/Market_Price)</f>
        <v>4.8153989763522691E-2</v>
      </c>
      <c r="Q124" s="74" t="str">
        <f t="shared" ref="Q124" si="59">IF(Q$4="","",Q123/Market_Price)</f>
        <v/>
      </c>
    </row>
    <row r="125" spans="1:17" ht="15.75" customHeight="1">
      <c r="B125" s="2" t="s">
        <v>306</v>
      </c>
      <c r="C125" s="151"/>
      <c r="G125" s="22">
        <f>IF(G$4="","",(Data!C47*$C$3)/(Market_Price*Common_Shares))</f>
        <v>0.12582102852737501</v>
      </c>
      <c r="H125" s="22">
        <f>IF(H$4="","",(Data!D47*$C$3)/(Market_Price*Common_Shares))</f>
        <v>0.12775806362381448</v>
      </c>
      <c r="I125" s="22">
        <f>IF(I$4="","",(Data!E47*$C$3)/(Market_Price*Common_Shares))</f>
        <v>0.10915434194530375</v>
      </c>
      <c r="J125" s="22">
        <f>IF(J$4="","",(Data!F47*$C$3)/(Market_Price*Common_Shares))</f>
        <v>0.10225360592192796</v>
      </c>
      <c r="K125" s="22">
        <f>IF(K$4="","",(Data!G47*$C$3)/(Market_Price*Common_Shares))</f>
        <v>9.752362684815899E-2</v>
      </c>
      <c r="L125" s="22">
        <f>IF(L$4="","",(Data!H47*$C$3)/(Market_Price*Common_Shares))</f>
        <v>8.8239644022627503E-2</v>
      </c>
      <c r="M125" s="22">
        <f>IF(M$4="","",(Data!I47*$C$3)/(Market_Price*Common_Shares))</f>
        <v>7.2708864276941079E-2</v>
      </c>
      <c r="N125" s="22">
        <f>IF(N$4="","",(Data!J47*$C$3)/(Market_Price*Common_Shares))</f>
        <v>7.1905754646490308E-2</v>
      </c>
      <c r="O125" s="22">
        <f>IF(O$4="","",(Data!K47*$C$3)/(Market_Price*Common_Shares))</f>
        <v>4.9431890599468196E-2</v>
      </c>
      <c r="P125" s="22">
        <f>IF(P$4="","",(Data!L47*$C$3)/(Market_Price*Common_Shares))</f>
        <v>4.8245738457329837E-2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1109922039.5987849</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6699521722.7954321</v>
      </c>
      <c r="G5" t="str">
        <f>Reporting_currency</f>
        <v>CNY</v>
      </c>
      <c r="H5" s="308" t="s">
        <v>395</v>
      </c>
      <c r="I5" s="305">
        <f>Normalized_FCF!C7</f>
        <v>-1673614926</v>
      </c>
      <c r="J5" s="305"/>
    </row>
    <row r="6" spans="2:15" ht="13.25" customHeight="1">
      <c r="B6" s="136" t="s">
        <v>194</v>
      </c>
      <c r="C6" s="283">
        <f>(C4*(1+Terminal_Growth))/(Equity_Cost-Terminal_Growth)</f>
        <v>13453600479.985273</v>
      </c>
      <c r="D6" t="str">
        <f>Reporting_currency</f>
        <v>CNY</v>
      </c>
      <c r="E6" s="187" t="s">
        <v>433</v>
      </c>
      <c r="F6" s="284">
        <f>BS!H42</f>
        <v>583558544.63999999</v>
      </c>
      <c r="G6" t="str">
        <f>Reporting_currency</f>
        <v>CNY</v>
      </c>
      <c r="H6" s="308" t="s">
        <v>416</v>
      </c>
      <c r="I6" s="305">
        <f>I7+I8</f>
        <v>-2546940.6771925874</v>
      </c>
      <c r="J6" s="305"/>
      <c r="N6" s="135"/>
    </row>
    <row r="7" spans="2:15" ht="12.75" customHeight="1">
      <c r="B7" s="318" t="s">
        <v>430</v>
      </c>
      <c r="C7" s="275">
        <f>F7</f>
        <v>6999941810.8454323</v>
      </c>
      <c r="E7" s="140" t="s">
        <v>424</v>
      </c>
      <c r="F7" s="283">
        <f>SUM(F4:F6)</f>
        <v>6999941810.8454323</v>
      </c>
      <c r="G7" t="str">
        <f>Reporting_currency</f>
        <v>CNY</v>
      </c>
      <c r="H7" s="312" t="s">
        <v>417</v>
      </c>
      <c r="I7" s="313">
        <f>Normalized_FCF!C9</f>
        <v>0</v>
      </c>
      <c r="J7" s="313"/>
      <c r="N7" s="304"/>
      <c r="O7" s="304"/>
    </row>
    <row r="8" spans="2:15" ht="13.15">
      <c r="B8" s="136" t="s">
        <v>426</v>
      </c>
      <c r="C8" s="283">
        <f>C6+C7</f>
        <v>20453542290.830704</v>
      </c>
      <c r="D8" t="str">
        <f>Reporting_currency</f>
        <v>CNY</v>
      </c>
      <c r="E8" s="140" t="s">
        <v>464</v>
      </c>
      <c r="F8" s="108">
        <f>FV_adjustments*scaling_factor/Common_Shares*Exchange_Rate</f>
        <v>6.4550729309325732</v>
      </c>
      <c r="G8" s="294" t="str">
        <f>Market_currency</f>
        <v>HKD</v>
      </c>
      <c r="H8" s="314" t="str">
        <f>Normalized_FCF!B10</f>
        <v>Net Interest Income</v>
      </c>
      <c r="I8" s="313">
        <f>Normalized_FCF!C10</f>
        <v>-2546940.6771925874</v>
      </c>
      <c r="J8" s="313"/>
      <c r="N8" s="304"/>
      <c r="O8" s="304"/>
    </row>
    <row r="9" spans="2:15" ht="13.15" thickBot="1">
      <c r="B9" s="189" t="str">
        <f>"*"&amp;Thesis!E15</f>
        <v>*CNY/HKD</v>
      </c>
      <c r="C9" s="190">
        <f>Exchange_Rate</f>
        <v>1.1377999782562256</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23272039973.769966</v>
      </c>
      <c r="D10" t="str">
        <f>Market_currency</f>
        <v>HKD</v>
      </c>
      <c r="H10" s="308" t="s">
        <v>397</v>
      </c>
      <c r="I10" s="306">
        <f>Normalized_FCF!C41</f>
        <v>0.25</v>
      </c>
      <c r="N10" s="304"/>
      <c r="O10" s="304"/>
    </row>
    <row r="11" spans="2:15" ht="13.15">
      <c r="B11" s="136" t="s">
        <v>425</v>
      </c>
      <c r="C11" s="108">
        <f>(C10*scaling_factor)/Common_Shares</f>
        <v>18.861457816501449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0.1263983129231469</v>
      </c>
      <c r="E17" s="308" t="s">
        <v>550</v>
      </c>
      <c r="F17" s="311">
        <f>Scenarios!C40</f>
        <v>0.12639831292314693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18.921890854830792</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0.1263983129231469</v>
      </c>
      <c r="F21" s="277">
        <f>C21*E21</f>
        <v>1561032073.3603663</v>
      </c>
      <c r="G21" s="299">
        <f t="shared" ref="G21:G50" si="2">IF(A21="",0%,IF(A21="I",$C$18,$F$18))</f>
        <v>0</v>
      </c>
      <c r="H21" s="277">
        <f>(F21*(1-$I$10)+C21*(G21-$I$9))</f>
        <v>1111865603.8212154</v>
      </c>
      <c r="I21" s="299">
        <f>H21/C4-1</f>
        <v>1.7510817454646777E-3</v>
      </c>
      <c r="J21" s="299">
        <f>H21/C21</f>
        <v>9.0028859059729446E-2</v>
      </c>
      <c r="K21" s="119">
        <f t="shared" ref="K21:K50" si="3">IF($C$15&lt;B21,0,1/(1+Equity_Cost)^B21)</f>
        <v>0.92378752886836024</v>
      </c>
      <c r="L21" s="277">
        <f t="shared" ref="L21:L51" si="4">H21*K21</f>
        <v>1027127578.5877278</v>
      </c>
    </row>
    <row r="22" spans="1:21">
      <c r="A22" s="302" t="str">
        <f t="shared" si="0"/>
        <v>I</v>
      </c>
      <c r="B22" s="117">
        <v>2</v>
      </c>
      <c r="C22" s="277">
        <f t="shared" ref="C22:C50" si="5">IF(A22="",0,C21*(1+D22))</f>
        <v>12371728166.015308</v>
      </c>
      <c r="D22" s="299">
        <f t="shared" si="1"/>
        <v>1.7510817454652E-3</v>
      </c>
      <c r="E22" s="299">
        <f t="shared" ref="E22:E50" si="6">IF($C$15&lt;B22,0,IF(B22&gt;=$F$15,$F$17,$C$17))</f>
        <v>0.1263983129231469</v>
      </c>
      <c r="F22" s="277">
        <f t="shared" ref="F22:F50" si="7">IF(A22="", 0,C22*E22)</f>
        <v>1563765568.1281133</v>
      </c>
      <c r="G22" s="299">
        <f t="shared" si="2"/>
        <v>0</v>
      </c>
      <c r="H22" s="277">
        <f t="shared" ref="H22:H50" si="8">IF(A22="", 0,F22*(1-$I$10)+C22*(G22-$I$9))</f>
        <v>1113812571.3834777</v>
      </c>
      <c r="I22" s="299">
        <f t="shared" ref="I22:I50" si="9">IF(A22="", 0,H22/H21-1)</f>
        <v>1.7510817454655658E-3</v>
      </c>
      <c r="J22" s="299">
        <f>IF(A22="", 0,H22/C22)</f>
        <v>9.0028859059729474E-2</v>
      </c>
      <c r="K22" s="119">
        <f t="shared" si="3"/>
        <v>0.85338339849271161</v>
      </c>
      <c r="L22" s="277">
        <f t="shared" si="4"/>
        <v>950509157.45113814</v>
      </c>
    </row>
    <row r="23" spans="1:21">
      <c r="A23" s="302" t="str">
        <f t="shared" si="0"/>
        <v>I</v>
      </c>
      <c r="B23" s="117">
        <v>3</v>
      </c>
      <c r="C23" s="277">
        <f t="shared" si="5"/>
        <v>12393392073.366674</v>
      </c>
      <c r="D23" s="299">
        <f t="shared" si="1"/>
        <v>1.7510817454652E-3</v>
      </c>
      <c r="E23" s="299">
        <f t="shared" si="6"/>
        <v>0.1263983129231469</v>
      </c>
      <c r="F23" s="277">
        <f t="shared" si="7"/>
        <v>1566503849.4686494</v>
      </c>
      <c r="G23" s="299">
        <f t="shared" si="2"/>
        <v>0</v>
      </c>
      <c r="H23" s="277">
        <f t="shared" si="8"/>
        <v>1115762948.2450969</v>
      </c>
      <c r="I23" s="299">
        <f t="shared" si="9"/>
        <v>1.7510817454651217E-3</v>
      </c>
      <c r="J23" s="299">
        <f t="shared" ref="J23:J50" si="10">IF(A23="", 0,H23/C23)</f>
        <v>9.0028859059729488E-2</v>
      </c>
      <c r="K23" s="119">
        <f t="shared" si="3"/>
        <v>0.78834494087086515</v>
      </c>
      <c r="L23" s="277">
        <f t="shared" si="4"/>
        <v>879606075.46018314</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0.12639831292314693</v>
      </c>
      <c r="F51" s="277">
        <f>C51*E51</f>
        <v>1566503849.4686496</v>
      </c>
      <c r="G51" s="299">
        <f>F18</f>
        <v>0</v>
      </c>
      <c r="H51" s="277">
        <f>(F51*(1-$I$10)+C51*(G51-$I$9))/Equity_Cost</f>
        <v>13524399372.667843</v>
      </c>
      <c r="I51" s="415">
        <f>(F51*(1-$I$10)+C51*(G51-$I$9))/VLOOKUP(C15,B21:H50,COLUMN(H20)-1,FALSE)-1</f>
        <v>0</v>
      </c>
      <c r="J51" s="454"/>
      <c r="K51" s="119">
        <f>1/(1+Equity_Cost)^C15</f>
        <v>0.78834494087086515</v>
      </c>
      <c r="L51" s="277">
        <f t="shared" si="4"/>
        <v>10661891823.759796</v>
      </c>
    </row>
    <row r="52" spans="1:21" ht="13.15">
      <c r="G52" s="111"/>
      <c r="H52" s="111"/>
      <c r="I52" s="111"/>
      <c r="J52" s="468" t="s">
        <v>420</v>
      </c>
      <c r="K52" s="468"/>
      <c r="L52" s="317">
        <f>SUM(L21:L51)</f>
        <v>13519134635.258846</v>
      </c>
    </row>
    <row r="53" spans="1:21">
      <c r="C53" s="111"/>
    </row>
    <row r="54" spans="1:21" ht="13.15">
      <c r="B54" s="115" t="s">
        <v>108</v>
      </c>
      <c r="C54" s="128"/>
      <c r="D54" s="128"/>
      <c r="E54" s="113"/>
      <c r="F54" s="113"/>
      <c r="G54" s="113"/>
      <c r="H54" s="113"/>
      <c r="I54" s="113"/>
      <c r="J54" s="113"/>
      <c r="K54" s="113"/>
      <c r="L54" s="113"/>
    </row>
    <row r="55" spans="1:21" ht="13.15">
      <c r="A55" s="125">
        <f>L52</f>
        <v>13519134635.258846</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13184528470.385567</v>
      </c>
      <c r="C56" s="118">
        <v>13319064475.185421</v>
      </c>
      <c r="D56" s="118">
        <v>13453600479.985275</v>
      </c>
      <c r="E56" s="118">
        <v>13588136484.78513</v>
      </c>
      <c r="F56" s="118">
        <v>13722672489.58498</v>
      </c>
      <c r="G56" s="295"/>
      <c r="H56" s="295"/>
      <c r="I56" s="295"/>
      <c r="J56" s="295"/>
      <c r="K56" s="295"/>
      <c r="L56" s="295"/>
    </row>
    <row r="57" spans="1:21" ht="13.15">
      <c r="A57" s="131">
        <v>2</v>
      </c>
      <c r="B57" s="118">
        <v>12940934410.88653</v>
      </c>
      <c r="C57" s="118">
        <v>13196024618.601725</v>
      </c>
      <c r="D57" s="118">
        <v>13453600479.985275</v>
      </c>
      <c r="E57" s="118">
        <v>13713661995.037188</v>
      </c>
      <c r="F57" s="118">
        <v>13976209163.757452</v>
      </c>
      <c r="G57" s="295"/>
      <c r="H57" s="295"/>
      <c r="I57" s="295"/>
      <c r="J57" s="295"/>
      <c r="K57" s="295"/>
      <c r="L57" s="295"/>
    </row>
    <row r="58" spans="1:21" ht="13.15">
      <c r="A58" s="131">
        <v>3</v>
      </c>
      <c r="B58" s="118">
        <v>12720405839.700329</v>
      </c>
      <c r="C58" s="118">
        <v>13083498560.386606</v>
      </c>
      <c r="D58" s="118">
        <v>13453600479.985275</v>
      </c>
      <c r="E58" s="118">
        <v>13830780484.972128</v>
      </c>
      <c r="F58" s="118">
        <v>14215107461.822968</v>
      </c>
      <c r="G58" s="295"/>
      <c r="H58" s="295"/>
      <c r="I58" s="295"/>
      <c r="J58" s="295"/>
      <c r="K58" s="295"/>
      <c r="L58" s="295"/>
    </row>
    <row r="59" spans="1:21" ht="13.15">
      <c r="A59" s="131">
        <v>4</v>
      </c>
      <c r="B59" s="118">
        <v>12520758726.755779</v>
      </c>
      <c r="C59" s="118">
        <v>12980587892.827288</v>
      </c>
      <c r="D59" s="118">
        <v>13453600479.985275</v>
      </c>
      <c r="E59" s="118">
        <v>13940055011.377941</v>
      </c>
      <c r="F59" s="118">
        <v>14440212555.612183</v>
      </c>
      <c r="G59" s="295"/>
      <c r="H59" s="295"/>
      <c r="I59" s="295"/>
      <c r="J59" s="295"/>
      <c r="K59" s="295"/>
      <c r="L59" s="295"/>
    </row>
    <row r="60" spans="1:21" ht="13.15">
      <c r="A60" s="131">
        <v>5</v>
      </c>
      <c r="B60" s="118">
        <v>12340015843.905289</v>
      </c>
      <c r="C60" s="118">
        <v>12886470977.461258</v>
      </c>
      <c r="D60" s="118">
        <v>13453600479.985275</v>
      </c>
      <c r="E60" s="118">
        <v>14042010920.541798</v>
      </c>
      <c r="F60" s="118">
        <v>14652320819.505947</v>
      </c>
      <c r="G60" s="295"/>
      <c r="H60" s="295"/>
      <c r="I60" s="295"/>
      <c r="J60" s="295"/>
      <c r="K60" s="295"/>
      <c r="L60" s="295"/>
    </row>
    <row r="61" spans="1:21" ht="13.15">
      <c r="A61" s="131">
        <v>6</v>
      </c>
      <c r="B61" s="118">
        <v>12176387183.21847</v>
      </c>
      <c r="C61" s="118">
        <v>12800396385.117268</v>
      </c>
      <c r="D61" s="118">
        <v>13453600479.985275</v>
      </c>
      <c r="E61" s="118">
        <v>14137138373.895603</v>
      </c>
      <c r="F61" s="118">
        <v>14852182647.840023</v>
      </c>
      <c r="G61" s="295"/>
      <c r="H61" s="295"/>
      <c r="I61" s="295"/>
      <c r="J61" s="295"/>
      <c r="K61" s="295"/>
      <c r="L61" s="295"/>
    </row>
    <row r="62" spans="1:21" ht="13.15">
      <c r="A62" s="131">
        <v>7</v>
      </c>
      <c r="B62" s="118">
        <v>12028252229.432709</v>
      </c>
      <c r="C62" s="118">
        <v>12721676896.507057</v>
      </c>
      <c r="D62" s="118">
        <v>13453600479.985275</v>
      </c>
      <c r="E62" s="118">
        <v>14225894704.507465</v>
      </c>
      <c r="F62" s="118">
        <v>15040505109.642113</v>
      </c>
      <c r="G62" s="295"/>
      <c r="H62" s="295"/>
      <c r="I62" s="295"/>
      <c r="J62" s="295"/>
      <c r="K62" s="295"/>
      <c r="L62" s="295"/>
    </row>
    <row r="63" spans="1:21" ht="13.15">
      <c r="A63" s="131">
        <v>8</v>
      </c>
      <c r="B63" s="118">
        <v>11894143910.99387</v>
      </c>
      <c r="C63" s="118">
        <v>12649684015.468626</v>
      </c>
      <c r="D63" s="118">
        <v>13453600479.985275</v>
      </c>
      <c r="E63" s="118">
        <v>14308706615.748096</v>
      </c>
      <c r="F63" s="118">
        <v>15217954450.09304</v>
      </c>
      <c r="G63" s="295"/>
      <c r="H63" s="295"/>
      <c r="I63" s="295"/>
      <c r="J63" s="295"/>
      <c r="K63" s="295"/>
      <c r="L63" s="295"/>
    </row>
    <row r="64" spans="1:21" ht="13.15">
      <c r="A64" s="131">
        <v>9</v>
      </c>
      <c r="B64" s="118">
        <v>11772734070.744389</v>
      </c>
      <c r="C64" s="118">
        <v>12583842951.054722</v>
      </c>
      <c r="D64" s="118">
        <v>13453600479.985275</v>
      </c>
      <c r="E64" s="118">
        <v>14385972232.7024</v>
      </c>
      <c r="F64" s="118">
        <v>15385158447.56181</v>
      </c>
      <c r="G64" s="295"/>
      <c r="H64" s="295"/>
      <c r="I64" s="295"/>
      <c r="J64" s="295"/>
      <c r="K64" s="295"/>
      <c r="L64" s="295"/>
    </row>
    <row r="65" spans="1:21" ht="13.15">
      <c r="A65" s="131">
        <v>10</v>
      </c>
      <c r="B65" s="118">
        <v>11662820312.366108</v>
      </c>
      <c r="C65" s="118">
        <v>12523628028.403671</v>
      </c>
      <c r="D65" s="118">
        <v>13453600479.985275</v>
      </c>
      <c r="E65" s="118">
        <v>14458063016.188633</v>
      </c>
      <c r="F65" s="118">
        <v>15542708634.553173</v>
      </c>
      <c r="G65" s="295"/>
      <c r="H65" s="295"/>
      <c r="I65" s="295"/>
      <c r="J65" s="295"/>
      <c r="K65" s="295"/>
      <c r="L65" s="295"/>
    </row>
    <row r="66" spans="1:21" ht="13.15">
      <c r="A66" s="131">
        <v>15</v>
      </c>
      <c r="B66" s="118">
        <v>11251002680.299124</v>
      </c>
      <c r="C66" s="277">
        <v>12291485272.481298</v>
      </c>
      <c r="D66" s="118">
        <v>13453600479.985275</v>
      </c>
      <c r="E66" s="118">
        <v>14752244312.714245</v>
      </c>
      <c r="F66" s="118">
        <v>16204072620.002508</v>
      </c>
      <c r="G66" s="295"/>
      <c r="H66" s="295"/>
      <c r="I66" s="295"/>
      <c r="J66" s="295"/>
      <c r="K66" s="295"/>
      <c r="L66" s="295"/>
      <c r="M66" s="275"/>
      <c r="N66" s="275"/>
      <c r="O66" s="275"/>
      <c r="P66" s="275"/>
      <c r="Q66" s="275"/>
      <c r="R66" s="275"/>
      <c r="S66" s="275"/>
      <c r="T66" s="275"/>
      <c r="U66" s="275"/>
    </row>
    <row r="67" spans="1:21" ht="13.15">
      <c r="A67" s="132">
        <v>20</v>
      </c>
      <c r="B67" s="118">
        <v>11000567238.565195</v>
      </c>
      <c r="C67" s="277">
        <v>12142963000.608021</v>
      </c>
      <c r="D67" s="118">
        <v>13453600479.985273</v>
      </c>
      <c r="E67" s="118">
        <v>14960253444.577755</v>
      </c>
      <c r="F67" s="118">
        <v>16695321841.810682</v>
      </c>
      <c r="G67" s="295"/>
      <c r="H67" s="295"/>
      <c r="I67" s="295"/>
      <c r="J67" s="295"/>
      <c r="K67" s="295"/>
      <c r="L67" s="295"/>
      <c r="M67" s="275"/>
      <c r="N67" s="275"/>
      <c r="O67" s="275"/>
      <c r="P67" s="275"/>
      <c r="Q67" s="275"/>
      <c r="R67" s="275"/>
      <c r="S67" s="275"/>
      <c r="T67" s="275"/>
      <c r="U67" s="275"/>
    </row>
    <row r="68" spans="1:21" ht="13.15">
      <c r="A68" s="132">
        <v>25</v>
      </c>
      <c r="B68" s="118">
        <v>10848271888.408194</v>
      </c>
      <c r="C68" s="277">
        <v>12047940155.054411</v>
      </c>
      <c r="D68" s="118">
        <v>13453600479.985273</v>
      </c>
      <c r="E68" s="118">
        <v>15107332131.936935</v>
      </c>
      <c r="F68" s="118">
        <v>17060212890.063301</v>
      </c>
      <c r="G68" s="295"/>
      <c r="H68" s="295"/>
      <c r="I68" s="295"/>
      <c r="J68" s="295"/>
      <c r="K68" s="295"/>
      <c r="L68" s="295"/>
      <c r="M68" s="275"/>
      <c r="N68" s="275"/>
      <c r="O68" s="275"/>
      <c r="P68" s="275"/>
      <c r="Q68" s="275"/>
      <c r="R68" s="275"/>
      <c r="S68" s="275"/>
      <c r="T68" s="275"/>
      <c r="U68" s="275"/>
    </row>
    <row r="69" spans="1:21" ht="13.15">
      <c r="A69" s="132">
        <v>30</v>
      </c>
      <c r="B69" s="118">
        <v>10755657706.011099</v>
      </c>
      <c r="C69" s="277">
        <v>11987145628.663052</v>
      </c>
      <c r="D69" s="118">
        <v>13453600479.985275</v>
      </c>
      <c r="E69" s="118">
        <v>15211328240.576508</v>
      </c>
      <c r="F69" s="118">
        <v>17331247369.476452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18.861457816501449</v>
      </c>
      <c r="C73" s="119">
        <f>C11</f>
        <v>18.861457816501449</v>
      </c>
      <c r="D73" s="119">
        <f>C11</f>
        <v>18.861457816501449</v>
      </c>
      <c r="E73" s="119">
        <f>C11</f>
        <v>18.861457816501449</v>
      </c>
      <c r="F73" s="119">
        <f>C11</f>
        <v>18.861457816501449</v>
      </c>
      <c r="G73" s="296"/>
      <c r="H73" s="296"/>
      <c r="I73" s="296"/>
      <c r="J73" s="296"/>
      <c r="K73" s="296"/>
      <c r="L73" s="296"/>
    </row>
    <row r="74" spans="1:21" ht="13.15">
      <c r="A74" s="131">
        <v>1</v>
      </c>
      <c r="B74" s="119">
        <f t="shared" ref="B74:F87" si="11">(B56+FV_adjustments)/Common_Shares*scaling_factor*Exchange_Rate</f>
        <v>18.613330118790071</v>
      </c>
      <c r="C74" s="119">
        <f t="shared" si="11"/>
        <v>18.737393967645762</v>
      </c>
      <c r="D74" s="119">
        <f t="shared" si="11"/>
        <v>18.861457816501453</v>
      </c>
      <c r="E74" s="119">
        <f t="shared" si="11"/>
        <v>18.985521665357144</v>
      </c>
      <c r="F74" s="119">
        <f t="shared" si="11"/>
        <v>19.109585514212831</v>
      </c>
      <c r="G74" s="296"/>
      <c r="H74" s="296"/>
      <c r="I74" s="296"/>
      <c r="J74" s="296"/>
      <c r="K74" s="296"/>
      <c r="L74" s="296"/>
    </row>
    <row r="75" spans="1:21" ht="13.15">
      <c r="A75" s="131">
        <v>2</v>
      </c>
      <c r="B75" s="119">
        <f t="shared" si="11"/>
        <v>18.38869719153174</v>
      </c>
      <c r="C75" s="119">
        <f t="shared" si="11"/>
        <v>18.623931417653036</v>
      </c>
      <c r="D75" s="119">
        <f t="shared" si="11"/>
        <v>18.861457816501453</v>
      </c>
      <c r="E75" s="119">
        <f t="shared" si="11"/>
        <v>19.101276388077004</v>
      </c>
      <c r="F75" s="119">
        <f t="shared" si="11"/>
        <v>19.343387132379668</v>
      </c>
      <c r="G75" s="296"/>
      <c r="H75" s="296"/>
      <c r="I75" s="296"/>
      <c r="J75" s="296"/>
      <c r="K75" s="296"/>
      <c r="L75" s="296"/>
    </row>
    <row r="76" spans="1:21" ht="13.15">
      <c r="A76" s="131">
        <v>3</v>
      </c>
      <c r="B76" s="119">
        <f t="shared" si="11"/>
        <v>18.185334356692778</v>
      </c>
      <c r="C76" s="119">
        <f t="shared" si="11"/>
        <v>18.520164281862911</v>
      </c>
      <c r="D76" s="119">
        <f t="shared" si="11"/>
        <v>18.861457816501453</v>
      </c>
      <c r="E76" s="119">
        <f t="shared" si="11"/>
        <v>19.209278485025781</v>
      </c>
      <c r="F76" s="119">
        <f t="shared" si="11"/>
        <v>19.563689811853276</v>
      </c>
      <c r="G76" s="296"/>
      <c r="H76" s="296"/>
      <c r="I76" s="296"/>
      <c r="J76" s="296"/>
      <c r="K76" s="296"/>
      <c r="L76" s="296"/>
    </row>
    <row r="77" spans="1:21" ht="13.15">
      <c r="A77" s="131">
        <v>4</v>
      </c>
      <c r="B77" s="119">
        <f t="shared" si="11"/>
        <v>18.001227587046426</v>
      </c>
      <c r="C77" s="119">
        <f t="shared" si="11"/>
        <v>18.425264083773108</v>
      </c>
      <c r="D77" s="119">
        <f t="shared" si="11"/>
        <v>18.861457816501453</v>
      </c>
      <c r="E77" s="119">
        <f t="shared" si="11"/>
        <v>19.310047185181226</v>
      </c>
      <c r="F77" s="119">
        <f t="shared" si="11"/>
        <v>19.771272937084756</v>
      </c>
      <c r="G77" s="296"/>
      <c r="H77" s="296"/>
      <c r="I77" s="296"/>
      <c r="J77" s="296"/>
      <c r="K77" s="296"/>
      <c r="L77" s="296"/>
    </row>
    <row r="78" spans="1:21" ht="13.15">
      <c r="A78" s="131">
        <v>5</v>
      </c>
      <c r="B78" s="119">
        <f t="shared" si="11"/>
        <v>17.834553560022478</v>
      </c>
      <c r="C78" s="119">
        <f t="shared" si="11"/>
        <v>18.338473140485426</v>
      </c>
      <c r="D78" s="119">
        <f t="shared" si="11"/>
        <v>18.861457816501453</v>
      </c>
      <c r="E78" s="119">
        <f t="shared" si="11"/>
        <v>19.404066942370143</v>
      </c>
      <c r="F78" s="119">
        <f t="shared" si="11"/>
        <v>19.966870893422964</v>
      </c>
      <c r="G78" s="296"/>
      <c r="H78" s="296"/>
      <c r="I78" s="296"/>
      <c r="J78" s="296"/>
      <c r="K78" s="296"/>
      <c r="L78" s="296"/>
    </row>
    <row r="79" spans="1:21" ht="13.15">
      <c r="A79" s="131">
        <v>6</v>
      </c>
      <c r="B79" s="119">
        <f t="shared" si="11"/>
        <v>17.683661600222507</v>
      </c>
      <c r="C79" s="119">
        <f t="shared" si="11"/>
        <v>18.259098513367825</v>
      </c>
      <c r="D79" s="119">
        <f t="shared" si="11"/>
        <v>18.861457816501453</v>
      </c>
      <c r="E79" s="119">
        <f t="shared" si="11"/>
        <v>19.491789764320075</v>
      </c>
      <c r="F79" s="119">
        <f t="shared" si="11"/>
        <v>20.151175665215089</v>
      </c>
      <c r="G79" s="296"/>
      <c r="H79" s="296"/>
      <c r="I79" s="296"/>
      <c r="J79" s="296"/>
      <c r="K79" s="296"/>
      <c r="L79" s="296"/>
    </row>
    <row r="80" spans="1:21" ht="13.15">
      <c r="A80" s="131">
        <f t="shared" ref="A80" si="12">A62</f>
        <v>7</v>
      </c>
      <c r="B80" s="119">
        <f t="shared" si="11"/>
        <v>17.547057331766176</v>
      </c>
      <c r="C80" s="119">
        <f t="shared" si="11"/>
        <v>18.18650647563441</v>
      </c>
      <c r="D80" s="119">
        <f t="shared" si="11"/>
        <v>18.861457816501453</v>
      </c>
      <c r="E80" s="119">
        <f t="shared" si="11"/>
        <v>19.573637385723707</v>
      </c>
      <c r="F80" s="119">
        <f t="shared" si="11"/>
        <v>20.324839283901429</v>
      </c>
      <c r="G80" s="296"/>
      <c r="H80" s="296"/>
      <c r="I80" s="296"/>
      <c r="J80" s="296"/>
      <c r="K80" s="296"/>
      <c r="L80" s="296"/>
    </row>
    <row r="81" spans="1:12" ht="13.15">
      <c r="A81" s="131">
        <v>8</v>
      </c>
      <c r="B81" s="119">
        <f t="shared" si="11"/>
        <v>17.423387878567837</v>
      </c>
      <c r="C81" s="119">
        <f t="shared" si="11"/>
        <v>18.120117452672673</v>
      </c>
      <c r="D81" s="119">
        <f t="shared" si="11"/>
        <v>18.861457816501453</v>
      </c>
      <c r="E81" s="119">
        <f t="shared" si="11"/>
        <v>19.650003295763128</v>
      </c>
      <c r="F81" s="119">
        <f t="shared" si="11"/>
        <v>20.488476134765236</v>
      </c>
      <c r="G81" s="296"/>
      <c r="H81" s="296"/>
      <c r="I81" s="296"/>
      <c r="J81" s="296"/>
      <c r="K81" s="296"/>
      <c r="L81" s="296"/>
    </row>
    <row r="82" spans="1:12" ht="13.15">
      <c r="A82" s="131">
        <f t="shared" ref="A82" si="13">A64</f>
        <v>9</v>
      </c>
      <c r="B82" s="119">
        <f t="shared" si="11"/>
        <v>17.311428465972575</v>
      </c>
      <c r="C82" s="119">
        <f t="shared" si="11"/>
        <v>18.059401394721522</v>
      </c>
      <c r="D82" s="119">
        <f t="shared" si="11"/>
        <v>18.861457816501453</v>
      </c>
      <c r="E82" s="119">
        <f t="shared" si="11"/>
        <v>19.721254629841471</v>
      </c>
      <c r="F82" s="119">
        <f t="shared" si="11"/>
        <v>20.64266513049833</v>
      </c>
      <c r="G82" s="296"/>
      <c r="H82" s="296"/>
      <c r="I82" s="296"/>
      <c r="J82" s="296"/>
      <c r="K82" s="296"/>
      <c r="L82" s="296"/>
    </row>
    <row r="83" spans="1:12" ht="13.15">
      <c r="A83" s="131">
        <f t="shared" ref="A83:A87" si="14">A65</f>
        <v>10</v>
      </c>
      <c r="B83" s="119">
        <f t="shared" si="11"/>
        <v>17.210070291059544</v>
      </c>
      <c r="C83" s="119">
        <f t="shared" si="11"/>
        <v>18.003873544955574</v>
      </c>
      <c r="D83" s="119">
        <f t="shared" si="11"/>
        <v>18.861457816501453</v>
      </c>
      <c r="E83" s="119">
        <f t="shared" si="11"/>
        <v>19.787733934616654</v>
      </c>
      <c r="F83" s="119">
        <f t="shared" si="11"/>
        <v>20.787951759272246</v>
      </c>
      <c r="G83" s="296"/>
      <c r="H83" s="296"/>
      <c r="I83" s="296"/>
      <c r="J83" s="296"/>
      <c r="K83" s="296"/>
      <c r="L83" s="296"/>
    </row>
    <row r="84" spans="1:12" ht="13.15">
      <c r="A84" s="131">
        <f t="shared" si="14"/>
        <v>15</v>
      </c>
      <c r="B84" s="119">
        <f t="shared" si="11"/>
        <v>16.830308155734699</v>
      </c>
      <c r="C84" s="119">
        <f t="shared" si="11"/>
        <v>17.789800562585224</v>
      </c>
      <c r="D84" s="119">
        <f t="shared" si="11"/>
        <v>18.861457816501453</v>
      </c>
      <c r="E84" s="119">
        <f t="shared" si="11"/>
        <v>20.059016436000729</v>
      </c>
      <c r="F84" s="119">
        <f t="shared" si="11"/>
        <v>21.397835794787117</v>
      </c>
      <c r="G84" s="296"/>
      <c r="H84" s="296"/>
      <c r="I84" s="296"/>
      <c r="J84" s="296"/>
      <c r="K84" s="296"/>
      <c r="L84" s="296"/>
    </row>
    <row r="85" spans="1:12" ht="13.15">
      <c r="A85" s="132">
        <f t="shared" si="14"/>
        <v>20</v>
      </c>
      <c r="B85" s="119">
        <f t="shared" si="11"/>
        <v>16.599366372993284</v>
      </c>
      <c r="C85" s="119">
        <f t="shared" si="11"/>
        <v>17.652839124516639</v>
      </c>
      <c r="D85" s="119">
        <f t="shared" si="11"/>
        <v>18.861457816501449</v>
      </c>
      <c r="E85" s="119">
        <f t="shared" si="11"/>
        <v>20.250834332886466</v>
      </c>
      <c r="F85" s="119">
        <f t="shared" si="11"/>
        <v>21.85084663969479</v>
      </c>
      <c r="G85" s="296"/>
      <c r="H85" s="296"/>
      <c r="I85" s="296"/>
      <c r="J85" s="296"/>
      <c r="K85" s="296"/>
      <c r="L85" s="296"/>
    </row>
    <row r="86" spans="1:12" ht="13.15">
      <c r="A86" s="132">
        <f t="shared" si="14"/>
        <v>25</v>
      </c>
      <c r="B86" s="119">
        <f t="shared" si="11"/>
        <v>16.458925549502116</v>
      </c>
      <c r="C86" s="119">
        <f t="shared" si="11"/>
        <v>17.565212767794222</v>
      </c>
      <c r="D86" s="119">
        <f t="shared" si="11"/>
        <v>18.861457816501449</v>
      </c>
      <c r="E86" s="119">
        <f t="shared" si="11"/>
        <v>20.386464553700357</v>
      </c>
      <c r="F86" s="119">
        <f t="shared" si="11"/>
        <v>22.187334912306675</v>
      </c>
      <c r="G86" s="296"/>
      <c r="H86" s="296"/>
      <c r="I86" s="296"/>
      <c r="J86" s="296"/>
      <c r="K86" s="296"/>
      <c r="L86" s="296"/>
    </row>
    <row r="87" spans="1:12" ht="13.15">
      <c r="A87" s="132">
        <f t="shared" si="14"/>
        <v>30</v>
      </c>
      <c r="B87" s="119">
        <f t="shared" si="11"/>
        <v>16.373520367863939</v>
      </c>
      <c r="C87" s="119">
        <f t="shared" si="11"/>
        <v>17.509150430097399</v>
      </c>
      <c r="D87" s="119">
        <f t="shared" si="11"/>
        <v>18.861457816501453</v>
      </c>
      <c r="E87" s="119">
        <f t="shared" si="11"/>
        <v>20.482365703158703</v>
      </c>
      <c r="F87" s="119">
        <f t="shared" si="11"/>
        <v>22.437272323028942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19.563689811853276</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19.209278485025781</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18.861457816501453</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18.520164281862911</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18.185334356692778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1208049063.4512262</v>
      </c>
      <c r="D8" s="469"/>
      <c r="E8" s="469"/>
      <c r="F8" s="469"/>
      <c r="G8" s="469"/>
    </row>
    <row r="9" spans="2:7">
      <c r="B9" s="97" t="s">
        <v>54</v>
      </c>
      <c r="C9" s="447">
        <f>Normalized_FCF!C19</f>
        <v>1109922039.5987849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-7.7234577243394109E-2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19.209278485025781</v>
      </c>
      <c r="F22" s="328">
        <f>1-F23-F24</f>
        <v>0.19999999999999996</v>
      </c>
      <c r="G22" s="328">
        <f>F22*(1-F$29-F$30)</f>
        <v>0.15999999999999995</v>
      </c>
    </row>
    <row r="23" spans="2:7">
      <c r="B23" s="302" t="s">
        <v>437</v>
      </c>
      <c r="C23" s="324">
        <v>0</v>
      </c>
      <c r="D23" s="325">
        <f>C18</f>
        <v>3</v>
      </c>
      <c r="E23" s="326">
        <f>DCF!E92</f>
        <v>18.861457816501453</v>
      </c>
      <c r="F23" s="327">
        <v>0.55000000000000004</v>
      </c>
      <c r="G23" s="328">
        <f t="shared" ref="G23:G24" si="0">F23*(1-F$29-F$30)</f>
        <v>0.44</v>
      </c>
    </row>
    <row r="24" spans="2:7">
      <c r="B24" s="302" t="s">
        <v>446</v>
      </c>
      <c r="C24" s="324">
        <v>-0.01</v>
      </c>
      <c r="D24" s="325">
        <f>C18</f>
        <v>3</v>
      </c>
      <c r="E24" s="326">
        <f>DCF!E93</f>
        <v>18.520164281862911</v>
      </c>
      <c r="F24" s="327">
        <v>0.25</v>
      </c>
      <c r="G24" s="328">
        <f t="shared" si="0"/>
        <v>0.19999999999999998</v>
      </c>
    </row>
    <row r="25" spans="2:7">
      <c r="B25" s="141" t="s">
        <v>451</v>
      </c>
      <c r="C25" s="441">
        <f>E23*F23+E24*F24+E22*F22</f>
        <v>18.845698566546684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19.563689811853276</v>
      </c>
      <c r="F29" s="327">
        <v>0.15</v>
      </c>
      <c r="G29" s="328">
        <f>F29</f>
        <v>0.15</v>
      </c>
    </row>
    <row r="30" spans="2:7">
      <c r="B30" s="315" t="s">
        <v>447</v>
      </c>
      <c r="C30" s="324">
        <v>-0.02</v>
      </c>
      <c r="D30" s="325">
        <f>C18</f>
        <v>3</v>
      </c>
      <c r="E30" s="326">
        <f>DCF!E94</f>
        <v>18.185334356692778</v>
      </c>
      <c r="F30" s="327">
        <v>0.05</v>
      </c>
      <c r="G30" s="328">
        <f>F30</f>
        <v>0.05</v>
      </c>
    </row>
    <row r="31" spans="2:7">
      <c r="E31" s="329"/>
      <c r="F31" s="329"/>
    </row>
    <row r="32" spans="2:7" ht="13.15">
      <c r="B32" s="145" t="s">
        <v>456</v>
      </c>
    </row>
    <row r="33" spans="2:7">
      <c r="B33" s="97" t="s">
        <v>458</v>
      </c>
      <c r="C33" s="155">
        <f>Normalized_FCF!C88*(1-dividend_tax_rate)</f>
        <v>0.61441198825836185</v>
      </c>
      <c r="D33" t="str">
        <f>Market_currency</f>
        <v>HKD</v>
      </c>
      <c r="E33" s="97" t="s">
        <v>455</v>
      </c>
      <c r="F33" s="219">
        <f>Holding_Period</f>
        <v>3</v>
      </c>
    </row>
    <row r="34" spans="2:7">
      <c r="B34" s="97" t="s">
        <v>233</v>
      </c>
      <c r="C34" s="146">
        <f>Market_Price</f>
        <v>10.33</v>
      </c>
      <c r="D34" t="str">
        <f>Market_currency</f>
        <v>HKD</v>
      </c>
      <c r="E34" s="97" t="s">
        <v>454</v>
      </c>
      <c r="F34" s="330">
        <f>RATE(Holding_Period,$C$33,-C34,$C$36)</f>
        <v>0.27305219725121749</v>
      </c>
    </row>
    <row r="35" spans="2:7">
      <c r="B35" s="97" t="s">
        <v>434</v>
      </c>
      <c r="C35" s="320">
        <f>DCF!C11</f>
        <v>18.861457816501449</v>
      </c>
      <c r="D35" s="97" t="str">
        <f>Market_currency</f>
        <v>HKD</v>
      </c>
      <c r="E35" s="97" t="s">
        <v>454</v>
      </c>
      <c r="F35" s="330">
        <f>RATE(Holding_Period,$C$33,-C35,$C$36)</f>
        <v>3.3582099447689244E-2</v>
      </c>
    </row>
    <row r="36" spans="2:7">
      <c r="B36" s="97" t="s">
        <v>435</v>
      </c>
      <c r="C36" s="321">
        <f>E22*G22+E23*G23+E24*G24+E30*G30+E29*G29</f>
        <v>18.920379042849973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0.12639831292314693</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18.921890854830792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0.34117038122298882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0.61441198825836185</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1.1158415262407211</v>
      </c>
      <c r="D62" s="119">
        <f>C36/(1+F62)^Holding_Period</f>
        <v>8.6119158137687606</v>
      </c>
      <c r="E62" s="332">
        <f>C62+D62</f>
        <v>9.7277573400094823</v>
      </c>
      <c r="F62" s="301">
        <f>Thesis!E22</f>
        <v>0.3</v>
      </c>
      <c r="G62" s="440">
        <f>(1-E62/C36)</f>
        <v>0.48585822102302911</v>
      </c>
    </row>
    <row r="63" spans="2:7" ht="13.15">
      <c r="B63" s="302" t="s">
        <v>313</v>
      </c>
      <c r="C63" s="119">
        <f>PV(F63, Holding_Period, -C58, 0)</f>
        <v>1.2942474752664566</v>
      </c>
      <c r="D63" s="119">
        <f>C36/(1+F63)^Holding_Period</f>
        <v>10.949293427575215</v>
      </c>
      <c r="E63" s="332">
        <f>C63+D63</f>
        <v>12.243540902841671</v>
      </c>
      <c r="F63" s="301">
        <f>Thesis!E23</f>
        <v>0.2</v>
      </c>
      <c r="G63" s="440">
        <f>(1-E63/C36)</f>
        <v>0.35289135195901289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1.4823322834863044</v>
      </c>
      <c r="D66" s="119">
        <f>C36/(1+F66)^Holding_Period</f>
        <v>13.561378318742181</v>
      </c>
      <c r="E66" s="332">
        <f>C66+D66</f>
        <v>15.043710602228485</v>
      </c>
      <c r="F66" s="301">
        <f>Thesis!E24</f>
        <v>0.1174</v>
      </c>
      <c r="G66" s="440">
        <f>(1-E66/C36)</f>
        <v>0.20489380428593917</v>
      </c>
    </row>
    <row r="67" spans="2:7" ht="13.15">
      <c r="B67" s="302" t="s">
        <v>314</v>
      </c>
      <c r="C67" s="119">
        <f>PV(F67, Holding_Period, -C58, 0)</f>
        <v>1.6050746574042627</v>
      </c>
      <c r="D67" s="119">
        <f>C36/(1+F67)^Holding_Period</f>
        <v>15.336912154080776</v>
      </c>
      <c r="E67" s="332">
        <f>C67+D67</f>
        <v>16.941986811485037</v>
      </c>
      <c r="F67" s="301">
        <f>Thesis!E25</f>
        <v>7.2499999999999995E-2</v>
      </c>
      <c r="G67" s="440">
        <f>(1-E67/C36)</f>
        <v>0.10456409075549533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Y</v>
      </c>
    </row>
    <row r="6" spans="1:10">
      <c r="B6" s="350" t="s">
        <v>336</v>
      </c>
      <c r="C6" s="352" t="str">
        <f>Thesis!C6</f>
        <v>CNS_04</v>
      </c>
      <c r="E6" s="354"/>
    </row>
    <row r="7" spans="1:10">
      <c r="B7" s="343" t="s">
        <v>366</v>
      </c>
      <c r="C7" s="352" t="str">
        <f>Market_currency</f>
        <v>HKD</v>
      </c>
      <c r="D7" s="354"/>
      <c r="E7" s="354"/>
    </row>
    <row r="8" spans="1:10">
      <c r="B8" s="351" t="s">
        <v>365</v>
      </c>
      <c r="C8" s="356">
        <f>Market_Price</f>
        <v>10.33</v>
      </c>
    </row>
    <row r="9" spans="1:10">
      <c r="B9" s="351" t="s">
        <v>361</v>
      </c>
      <c r="C9" s="353">
        <f>Common_Shares</f>
        <v>1233841000</v>
      </c>
    </row>
    <row r="10" spans="1:10">
      <c r="B10" s="351" t="s">
        <v>367</v>
      </c>
      <c r="C10" s="357">
        <f>投资主题!C8*Common_Shares/1000000</f>
        <v>12745.57753</v>
      </c>
      <c r="D10" s="343" t="s">
        <v>529</v>
      </c>
      <c r="E10" s="360">
        <f>Scenarios!F34</f>
        <v>0.27305219725121749</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1.1377999782562256</v>
      </c>
    </row>
    <row r="17" spans="1:6">
      <c r="B17" s="343" t="s">
        <v>535</v>
      </c>
      <c r="C17" s="424">
        <f>Terminal_Growth</f>
        <v>0</v>
      </c>
      <c r="D17" s="351" t="s">
        <v>339</v>
      </c>
      <c r="E17" s="344" t="str">
        <f>Reporting_currency</f>
        <v>CNY</v>
      </c>
    </row>
    <row r="18" spans="1:6">
      <c r="B18" s="343" t="str">
        <f>"预期股权价值 ("&amp;C7&amp;") :"</f>
        <v>预期股权价值 (HKD) :</v>
      </c>
      <c r="C18" s="359">
        <f>C125</f>
        <v>18.920379042849973</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9.7277573400094823</v>
      </c>
      <c r="D22" s="365" t="s">
        <v>440</v>
      </c>
      <c r="E22" s="366">
        <f>Thesis!E22</f>
        <v>0.3</v>
      </c>
    </row>
    <row r="23" spans="1:6">
      <c r="B23" s="343" t="s">
        <v>341</v>
      </c>
      <c r="C23" s="367">
        <f>E141</f>
        <v>12.243540902841671</v>
      </c>
      <c r="D23" s="365" t="s">
        <v>441</v>
      </c>
      <c r="E23" s="368">
        <f>Thesis!E23</f>
        <v>0.2</v>
      </c>
    </row>
    <row r="24" spans="1:6">
      <c r="B24" s="343" t="s">
        <v>343</v>
      </c>
      <c r="C24" s="367">
        <f>E144</f>
        <v>15.043710602228485</v>
      </c>
      <c r="D24" s="365" t="s">
        <v>443</v>
      </c>
      <c r="E24" s="368">
        <f>Thesis!E24</f>
        <v>0.1174</v>
      </c>
    </row>
    <row r="25" spans="1:6">
      <c r="B25" s="343" t="s">
        <v>342</v>
      </c>
      <c r="C25" s="367">
        <f>E145</f>
        <v>16.941986811485037</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11609982.152307412</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-2546940.6771925874</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-389575839.19959497</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1208049063.4512262</v>
      </c>
      <c r="D60" s="343" t="str">
        <f>Reporting_currency</f>
        <v>CNY</v>
      </c>
    </row>
    <row r="61" spans="2:6">
      <c r="B61" s="372" t="s">
        <v>213</v>
      </c>
      <c r="C61" s="373">
        <f>Normalized_FCF!C19</f>
        <v>1109922039.5987849</v>
      </c>
      <c r="D61" s="343" t="str">
        <f>Reporting_currency</f>
        <v>CNY</v>
      </c>
    </row>
    <row r="62" spans="2:6">
      <c r="B62" s="377" t="s">
        <v>302</v>
      </c>
      <c r="C62" s="378">
        <f>Normalized_FCF!C124</f>
        <v>9.908293834070013E-2</v>
      </c>
      <c r="F62" s="379"/>
    </row>
    <row r="63" spans="2:6">
      <c r="B63" s="377" t="s">
        <v>332</v>
      </c>
      <c r="C63" s="378">
        <f>Normalized_FCF!C92</f>
        <v>5.9478411254439673E-2</v>
      </c>
      <c r="E63" s="372" t="s">
        <v>373</v>
      </c>
      <c r="F63" s="380">
        <f>Normalized_FCF!C90</f>
        <v>0.75889884850603151</v>
      </c>
    </row>
    <row r="65" spans="1:6">
      <c r="B65" s="369" t="s">
        <v>376</v>
      </c>
      <c r="C65" s="381" t="s">
        <v>327</v>
      </c>
      <c r="D65" s="381" t="s">
        <v>374</v>
      </c>
    </row>
    <row r="66" spans="1:6">
      <c r="B66" s="372" t="s">
        <v>326</v>
      </c>
      <c r="C66" s="378">
        <f>Normalized_FCF!E119</f>
        <v>0.10095818670270156</v>
      </c>
      <c r="D66" s="378">
        <f>Normalized_FCF!G119</f>
        <v>8.8895813906804316E-2</v>
      </c>
    </row>
    <row r="67" spans="1:6">
      <c r="B67" s="382" t="str">
        <f>Normalized_FCF!B116</f>
        <v>Pre-tax Profit/Sales</v>
      </c>
      <c r="C67" s="383">
        <f>Normalized_FCF!E116</f>
        <v>0.12639831292314693</v>
      </c>
      <c r="D67" s="383">
        <f>Normalized_FCF!G116</f>
        <v>0.11129638190549448</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-283138456.58999997</v>
      </c>
      <c r="D78" s="343" t="str">
        <f>Reporting_currency</f>
        <v>CNY</v>
      </c>
    </row>
    <row r="79" spans="1:6">
      <c r="B79" s="372" t="s">
        <v>234</v>
      </c>
      <c r="C79" s="387">
        <f>C78*scaling_factor*Exchange_Rate/Common_Shares</f>
        <v>-0.26109922571190552</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6699521722.7954321</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6.1780372596823687</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0.53813489696210992</v>
      </c>
      <c r="D90" s="343" t="str">
        <f>Market_currency</f>
        <v>HKD</v>
      </c>
    </row>
    <row r="92" spans="1:6">
      <c r="B92" s="372" t="s">
        <v>480</v>
      </c>
      <c r="C92" s="387">
        <f>DCF!F8</f>
        <v>6.4550729309325732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1.7754369434097639</v>
      </c>
      <c r="D111" s="343" t="str">
        <f>Market_currency</f>
        <v>HKD</v>
      </c>
    </row>
    <row r="112" spans="1:6">
      <c r="A112" s="385"/>
      <c r="B112" s="372" t="s">
        <v>377</v>
      </c>
      <c r="C112" s="394">
        <f>DCF!C11</f>
        <v>18.861457816501449</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19.56 HKD</v>
      </c>
      <c r="F118" s="399">
        <f>DCF!F90</f>
        <v>0.15</v>
      </c>
    </row>
    <row r="119" spans="1:6">
      <c r="A119" s="385"/>
      <c r="B119" s="400" t="str">
        <f>DCF!B91</f>
        <v>Optimistic</v>
      </c>
      <c r="C119" s="401">
        <f>DCF!C91</f>
        <v>0.01</v>
      </c>
      <c r="D119" s="402">
        <f>DCF!D91</f>
        <v>3</v>
      </c>
      <c r="E119" s="398" t="str">
        <f>ROUND(DCF!E91,2)&amp;" "&amp;Market_currency</f>
        <v>19.21 HKD</v>
      </c>
      <c r="F119" s="403">
        <f>DCF!F91</f>
        <v>0.15999999999999995</v>
      </c>
    </row>
    <row r="120" spans="1:6">
      <c r="B120" s="400" t="str">
        <f>DCF!B92</f>
        <v>Base</v>
      </c>
      <c r="C120" s="401">
        <f>DCF!C92</f>
        <v>0</v>
      </c>
      <c r="D120" s="402">
        <f>DCF!D92</f>
        <v>3</v>
      </c>
      <c r="E120" s="398" t="str">
        <f>ROUND(DCF!E92,2)&amp;" "&amp;Market_currency</f>
        <v>18.86 HKD</v>
      </c>
      <c r="F120" s="403">
        <f>DCF!F92</f>
        <v>0.44</v>
      </c>
    </row>
    <row r="121" spans="1:6">
      <c r="B121" s="400" t="str">
        <f>DCF!B93</f>
        <v>Pessimistic</v>
      </c>
      <c r="C121" s="401">
        <f>DCF!C93</f>
        <v>-0.01</v>
      </c>
      <c r="D121" s="402">
        <f>DCF!D93</f>
        <v>3</v>
      </c>
      <c r="E121" s="398" t="str">
        <f>ROUND(DCF!E93,2)&amp;" "&amp;Market_currency</f>
        <v>18.52 HKD</v>
      </c>
      <c r="F121" s="403">
        <f>DCF!F93</f>
        <v>0.19999999999999998</v>
      </c>
    </row>
    <row r="122" spans="1:6">
      <c r="B122" s="400" t="str">
        <f>DCF!B94</f>
        <v>Devil's advocate</v>
      </c>
      <c r="C122" s="401">
        <f>DCF!C94</f>
        <v>-0.02</v>
      </c>
      <c r="D122" s="402">
        <f>DCF!D94</f>
        <v>3</v>
      </c>
      <c r="E122" s="398" t="str">
        <f>ROUND(DCF!E94,2)&amp;" "&amp;Market_currency</f>
        <v>18.19 HKD</v>
      </c>
      <c r="F122" s="403">
        <f>DCF!F94</f>
        <v>0.05</v>
      </c>
    </row>
    <row r="124" spans="1:6">
      <c r="B124" s="470" t="s">
        <v>519</v>
      </c>
      <c r="C124" s="470"/>
      <c r="D124" s="470"/>
      <c r="E124" s="470"/>
      <c r="F124" s="470"/>
    </row>
    <row r="125" spans="1:6">
      <c r="B125" s="372" t="s">
        <v>218</v>
      </c>
      <c r="C125" s="404">
        <f>Scenarios!C36</f>
        <v>18.920379042849973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0.61441198825836185</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1.1158415262407211</v>
      </c>
      <c r="D140" s="409">
        <f>Scenarios!D62</f>
        <v>8.6119158137687606</v>
      </c>
      <c r="E140" s="410">
        <f>Scenarios!E62</f>
        <v>9.7277573400094823</v>
      </c>
      <c r="F140" s="411">
        <f>E22</f>
        <v>0.3</v>
      </c>
    </row>
    <row r="141" spans="1:6">
      <c r="B141" s="408" t="s">
        <v>313</v>
      </c>
      <c r="C141" s="409">
        <f>Scenarios!C63</f>
        <v>1.2942474752664566</v>
      </c>
      <c r="D141" s="409">
        <f>Scenarios!D63</f>
        <v>10.949293427575215</v>
      </c>
      <c r="E141" s="410">
        <f>Scenarios!E63</f>
        <v>12.243540902841671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1.4823322834863044</v>
      </c>
      <c r="D144" s="409">
        <f>Scenarios!D66</f>
        <v>13.561378318742181</v>
      </c>
      <c r="E144" s="410">
        <f>Scenarios!E66</f>
        <v>15.043710602228485</v>
      </c>
      <c r="F144" s="411">
        <f>E24</f>
        <v>0.1174</v>
      </c>
    </row>
    <row r="145" spans="1:6">
      <c r="B145" s="408" t="s">
        <v>314</v>
      </c>
      <c r="C145" s="409">
        <f>Scenarios!C67</f>
        <v>1.6050746574042627</v>
      </c>
      <c r="D145" s="409">
        <f>Scenarios!D67</f>
        <v>15.336912154080776</v>
      </c>
      <c r="E145" s="410">
        <f>Scenarios!E67</f>
        <v>16.941986811485037</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