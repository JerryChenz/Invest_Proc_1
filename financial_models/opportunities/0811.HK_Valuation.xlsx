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E599F08-4235-4966-A91F-FC5CEE6B6B2F}" xr6:coauthVersionLast="47" xr6:coauthVersionMax="47" xr10:uidLastSave="{00000000-0000-0000-0000-000000000000}"/>
  <bookViews>
    <workbookView xWindow="368" yWindow="368" windowWidth="12689" windowHeight="7642"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5" i="2"/>
  <c r="C66" i="2"/>
  <c r="C35" i="2"/>
  <c r="C29" i="2"/>
  <c r="C30"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<sst xmlns="http://schemas.openxmlformats.org/spreadsheetml/2006/main" count="768" uniqueCount="559">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</sst>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45965</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10.43</v>
      </c>
      <c r="E8" s="32"/>
    </row>
    <row r="9" spans="1:9">
      <c r="B9" s="4" t="s">
        <v>345</v>
      </c>
      <c r="C9" s="48">
        <f>791903900+441937100</f>
        <v>1233841000</v>
      </c>
    </row>
    <row r="10" spans="1:9">
      <c r="B10" s="4" t="s">
        <v>351</v>
      </c>
      <c r="C10" s="33">
        <f>Thesis!C8*Common_Shares/1000000</f>
        <v>12868.96163</v>
      </c>
      <c r="D10" s="1" t="s">
        <v>527</v>
      </c>
      <c r="E10" s="303">
        <f>Scenarios!F34</f>
        <v>0.27218843617683613</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496</v>
      </c>
      <c r="D16" s="4" t="s">
        <v>353</v>
      </c>
      <c r="E16" s="416">
        <v>1.14663</v>
      </c>
    </row>
    <row r="17" spans="1:6">
      <c r="B17" s="1" t="s">
        <v>531</v>
      </c>
      <c r="C17" s="456">
        <v>0</v>
      </c>
      <c r="D17" s="4" t="s">
        <v>273</v>
      </c>
      <c r="E17" s="224" t="s">
        <v>558</v>
      </c>
    </row>
    <row r="18" spans="1:6">
      <c r="B18" s="1" t="str">
        <f>"Expected Equity Value ("&amp;C7&amp;") :"</f>
        <v>Expected Equity Value (HKD) :</v>
      </c>
      <c r="C18" s="252">
        <f>C125</f>
        <v>19.06625573474069</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9.8028150809015404</v>
      </c>
      <c r="D22" s="38" t="s">
        <v>405</v>
      </c>
      <c r="E22" s="79">
        <v>0.3</v>
      </c>
    </row>
    <row r="23" spans="1:6">
      <c r="B23" s="1" t="s">
        <v>312</v>
      </c>
      <c r="C23" s="256">
        <f>E141</f>
        <v>12.338004434456417</v>
      </c>
      <c r="D23" s="38" t="s">
        <v>406</v>
      </c>
      <c r="E23" s="443">
        <v>0.2</v>
      </c>
    </row>
    <row r="24" spans="1:6">
      <c r="B24" s="1" t="s">
        <v>314</v>
      </c>
      <c r="C24" s="256">
        <f>E144</f>
        <v>15.159773039792789</v>
      </c>
      <c r="D24" s="38" t="s">
        <v>407</v>
      </c>
      <c r="E24" s="443">
        <v>0.1174</v>
      </c>
    </row>
    <row r="25" spans="1:6">
      <c r="B25" s="1" t="s">
        <v>313</v>
      </c>
      <c r="C25" s="256">
        <f>E145</f>
        <v>17.072691224039026</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v>
      </c>
    </row>
    <row r="33" spans="2:6" ht="24.5" customHeight="1">
      <c r="B33" s="463" t="s">
        <v>195</v>
      </c>
      <c r="C33" s="463"/>
      <c r="D33" s="463"/>
      <c r="E33" s="463"/>
      <c r="F33" s="463"/>
    </row>
    <row r="34" spans="2:6">
      <c r="B34" s="44" t="s">
        <v>196</v>
      </c>
      <c r="C34" s="285">
        <f>Normalized_FCF!C8</f>
        <v>1560850297.4755726</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11616519.058022426</v>
      </c>
      <c r="D44" s="1" t="str">
        <f>Reporting_currency</f>
        <v>CNY</v>
      </c>
      <c r="E44" s="244"/>
      <c r="F44" s="244"/>
    </row>
    <row r="45" spans="2:6">
      <c r="B45" s="44" t="s">
        <v>267</v>
      </c>
      <c r="C45" s="286">
        <f>Normalized_FCF!C45</f>
        <v>-14156922.829499999</v>
      </c>
      <c r="D45" s="1" t="str">
        <f>Reporting_currency</f>
        <v>CNY</v>
      </c>
      <c r="E45" s="244"/>
      <c r="F45" s="244"/>
    </row>
    <row r="46" spans="2:6">
      <c r="B46" s="44" t="s">
        <v>202</v>
      </c>
      <c r="C46" s="285">
        <f>Normalized_FCF!C10</f>
        <v>-2540403.7714775726</v>
      </c>
      <c r="D46" s="1" t="str">
        <f>Reporting_currency</f>
        <v>CNY</v>
      </c>
    </row>
    <row r="48" spans="2:6">
      <c r="B48" s="1" t="s">
        <v>210</v>
      </c>
    </row>
    <row r="49" spans="2:6">
      <c r="B49" s="44" t="s">
        <v>222</v>
      </c>
      <c r="C49" s="285">
        <f>Normalized_FCF!C13</f>
        <v>-58805478.000000007</v>
      </c>
      <c r="D49" s="1" t="str">
        <f>Reporting_currency</f>
        <v>CNY</v>
      </c>
    </row>
    <row r="51" spans="2:6">
      <c r="B51" s="463" t="s">
        <v>205</v>
      </c>
      <c r="C51" s="463"/>
      <c r="D51" s="463"/>
      <c r="E51" s="463"/>
      <c r="F51" s="463"/>
    </row>
    <row r="52" spans="2:6">
      <c r="B52" s="44" t="s">
        <v>203</v>
      </c>
      <c r="C52" s="285">
        <f>Normalized_FCF!C12</f>
        <v>-389577473.42602378</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1208080035.0731671</v>
      </c>
      <c r="D60" s="1" t="str">
        <f>Reporting_currency</f>
        <v>CNY</v>
      </c>
    </row>
    <row r="61" spans="2:6">
      <c r="B61" s="44" t="s">
        <v>212</v>
      </c>
      <c r="C61" s="285">
        <f>Normalized_FCF!C19</f>
        <v>1109926942.2780714</v>
      </c>
      <c r="D61" s="1" t="str">
        <f>Reporting_currency</f>
        <v>CNY</v>
      </c>
    </row>
    <row r="62" spans="2:6">
      <c r="B62" s="204" t="s">
        <v>301</v>
      </c>
      <c r="C62" s="89">
        <f>Normalized_FCF!C124</f>
        <v>9.8894966541624926E-2</v>
      </c>
      <c r="F62" s="257"/>
    </row>
    <row r="63" spans="2:6">
      <c r="B63" s="204" t="s">
        <v>331</v>
      </c>
      <c r="C63" s="89">
        <f>Normalized_FCF!C92</f>
        <v>5.9365311601150522E-2</v>
      </c>
      <c r="E63" s="44" t="s">
        <v>321</v>
      </c>
      <c r="F63" s="258">
        <f>Normalized_FCF!C90</f>
        <v>0.76478498824054597</v>
      </c>
    </row>
    <row r="65" spans="1:6">
      <c r="B65" s="192" t="s">
        <v>324</v>
      </c>
      <c r="C65" s="264" t="s">
        <v>326</v>
      </c>
      <c r="D65" s="264" t="s">
        <v>327</v>
      </c>
    </row>
    <row r="66" spans="1:6">
      <c r="B66" s="44" t="s">
        <v>325</v>
      </c>
      <c r="C66" s="89">
        <f>Normalized_FCF!E119</f>
        <v>0.10095861021083608</v>
      </c>
      <c r="D66" s="89">
        <f>Normalized_FCF!G119</f>
        <v>8.8897820472969208E-2</v>
      </c>
    </row>
    <row r="67" spans="1:6">
      <c r="B67" s="229" t="str">
        <f>Normalized_FCF!B116</f>
        <v>Pre-tax Profit/Sales</v>
      </c>
      <c r="C67" s="263">
        <f>Normalized_FCF!E116</f>
        <v>0.12639884314972349</v>
      </c>
      <c r="D67" s="263">
        <f>Normalized_FCF!G116</f>
        <v>0.11129889409976317</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-283138456.58999997</v>
      </c>
      <c r="D78" s="1" t="str">
        <f>Reporting_currency</f>
        <v>CNY</v>
      </c>
    </row>
    <row r="79" spans="1:6">
      <c r="A79" s="191"/>
      <c r="B79" s="44" t="s">
        <v>233</v>
      </c>
      <c r="C79" s="201">
        <f>C78*scaling_factor*Exchange_Rate/Common_Shares</f>
        <v>-0.26312551494057312</v>
      </c>
      <c r="D79" s="1" t="str">
        <f>Market_currency</f>
        <v>HKD</v>
      </c>
    </row>
    <row r="80" spans="1:6">
      <c r="A80" s="191"/>
      <c r="B80" s="229" t="s">
        <v>308</v>
      </c>
      <c r="C80" s="337">
        <f>IF(BS!G31/BS!G27&gt;300%,"nm",BS!G31/BS!G27)</f>
        <v>1.8343761526547521E-2</v>
      </c>
    </row>
    <row r="81" spans="1:6">
      <c r="A81" s="191"/>
      <c r="B81" s="229" t="s">
        <v>310</v>
      </c>
      <c r="C81" s="338">
        <f>IF(BS!C50&gt;30,"nm",BS!C50)</f>
        <v>0.18140013622570431</v>
      </c>
    </row>
    <row r="82" spans="1:6">
      <c r="A82" s="191"/>
    </row>
    <row r="83" spans="1:6">
      <c r="A83" s="191"/>
      <c r="B83" s="1" t="s">
        <v>465</v>
      </c>
    </row>
    <row r="84" spans="1:6">
      <c r="A84" s="191"/>
      <c r="B84" s="1" t="s">
        <v>223</v>
      </c>
      <c r="C84" s="285">
        <f>DCF!F5</f>
        <v>6698432238.5095959</v>
      </c>
      <c r="D84" s="1" t="str">
        <f>Reporting_currency</f>
        <v>CNY</v>
      </c>
    </row>
    <row r="85" spans="1:6">
      <c r="A85" s="191"/>
      <c r="B85" s="229" t="s">
        <v>221</v>
      </c>
      <c r="C85" s="291">
        <f>BS!C66</f>
        <v>8634518748.1800003</v>
      </c>
      <c r="D85" s="339" t="str">
        <f>Reporting_currency</f>
        <v>CNY</v>
      </c>
    </row>
    <row r="86" spans="1:6">
      <c r="A86" s="191"/>
      <c r="B86" s="44" t="s">
        <v>234</v>
      </c>
      <c r="C86" s="201">
        <f>C84*scaling_factor*Exchange_Rate/Common_Shares</f>
        <v>6.2249701198470939</v>
      </c>
      <c r="D86" s="1" t="str">
        <f>Market_currency</f>
        <v>HKD</v>
      </c>
    </row>
    <row r="87" spans="1:6">
      <c r="A87" s="191"/>
    </row>
    <row r="88" spans="1:6">
      <c r="A88" s="191"/>
      <c r="B88" s="1" t="s">
        <v>215</v>
      </c>
    </row>
    <row r="89" spans="1:6">
      <c r="A89" s="191"/>
      <c r="B89" s="1" t="s">
        <v>216</v>
      </c>
      <c r="C89" s="285">
        <f>DCF!F6</f>
        <v>583558544.63999999</v>
      </c>
      <c r="D89" s="1" t="str">
        <f>Reporting_currency</f>
        <v>CNY</v>
      </c>
    </row>
    <row r="90" spans="1:6">
      <c r="A90" s="191"/>
      <c r="B90" s="44" t="s">
        <v>235</v>
      </c>
      <c r="C90" s="201">
        <f>C89*scaling_factor*Exchange_Rate/Common_Shares</f>
        <v>0.54231115195601642</v>
      </c>
      <c r="D90" s="1" t="str">
        <f>Market_currency</f>
        <v>HKD</v>
      </c>
    </row>
    <row r="91" spans="1:6">
      <c r="A91" s="191"/>
    </row>
    <row r="92" spans="1:6">
      <c r="A92" s="191"/>
      <c r="B92" s="44" t="s">
        <v>468</v>
      </c>
      <c r="C92" s="216">
        <f>DCF!F8</f>
        <v>6.5041557568625379</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8.249999999999999E-2</v>
      </c>
    </row>
    <row r="102" spans="2:6">
      <c r="B102" s="229" t="s">
        <v>317</v>
      </c>
      <c r="C102" s="263">
        <f>E25</f>
        <v>7.2499999999999995E-2</v>
      </c>
    </row>
    <row r="103" spans="2:6">
      <c r="B103" s="229" t="s">
        <v>316</v>
      </c>
      <c r="C103" s="263">
        <f>IF(C15="Y",1%,0)+IF(C16="Y",1%,0)</f>
        <v>0.01</v>
      </c>
    </row>
    <row r="104" spans="2:6">
      <c r="B104" s="44" t="s">
        <v>213</v>
      </c>
      <c r="C104" s="211">
        <f>Terminal_Growth</f>
        <v>0</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1.7892154168801495</v>
      </c>
      <c r="D111" s="1" t="str">
        <f>Market_currency</f>
        <v>HKD</v>
      </c>
    </row>
    <row r="112" spans="2:6">
      <c r="B112" s="44" t="s">
        <v>322</v>
      </c>
      <c r="C112" s="216">
        <f>DCF!C11</f>
        <v>19.006876981458273</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(3yrs)</v>
      </c>
      <c r="C118" s="206">
        <f>DCF!C90</f>
        <v>0.02</v>
      </c>
      <c r="D118" s="207" t="str">
        <f>ROUND(DCF!E90,2)&amp;" "&amp;Market_currency</f>
        <v>19.71 HKD</v>
      </c>
      <c r="E118" s="208">
        <f>DCF!F90</f>
        <v>0.15</v>
      </c>
      <c r="F118" s="208">
        <f>RATE(Holding_Period,Scenarios!C$58,-DCF!E90,C$18)</f>
        <v>2.0669183549606021E-2</v>
      </c>
    </row>
    <row r="119" spans="2:6">
      <c r="B119" s="205" t="str">
        <f>DCF!B91&amp;" ("&amp;DCF!D91&amp;"yrs)"</f>
        <v>Optimistic (3yrs)</v>
      </c>
      <c r="C119" s="198">
        <f>DCF!C91</f>
        <v>0.01</v>
      </c>
      <c r="D119" s="207" t="str">
        <f>ROUND(DCF!E91,2)&amp;" "&amp;Market_currency</f>
        <v>19.36 HKD</v>
      </c>
      <c r="E119" s="199">
        <f>DCF!F91</f>
        <v>0.15999999999999995</v>
      </c>
      <c r="F119" s="208">
        <f>RATE(Holding_Period,Scenarios!C$58,-DCF!E91,C$18)</f>
        <v>2.710676010209085E-2</v>
      </c>
    </row>
    <row r="120" spans="2:6">
      <c r="B120" s="205" t="str">
        <f>DCF!B92&amp;" ("&amp;DCF!D92&amp;"yrs)"</f>
        <v>Base (3yrs)</v>
      </c>
      <c r="C120" s="198">
        <f>DCF!C92</f>
        <v>0</v>
      </c>
      <c r="D120" s="207" t="str">
        <f>ROUND(DCF!E92,2)&amp;" "&amp;Market_currency</f>
        <v>19.01 HKD</v>
      </c>
      <c r="E120" s="199">
        <f>DCF!F92</f>
        <v>0.44</v>
      </c>
      <c r="F120" s="208">
        <f>RATE(Holding_Period,Scenarios!C$58,-DCF!E92,C$18)</f>
        <v>3.3583793517719202E-2</v>
      </c>
    </row>
    <row r="121" spans="2:6">
      <c r="B121" s="205" t="str">
        <f>DCF!B93&amp;" ("&amp;DCF!D93&amp;"yrs)"</f>
        <v>Pessimistic (3yrs)</v>
      </c>
      <c r="C121" s="198">
        <f>DCF!C93</f>
        <v>-0.01</v>
      </c>
      <c r="D121" s="207" t="str">
        <f>ROUND(DCF!E93,2)&amp;" "&amp;Market_currency</f>
        <v>18.66 HKD</v>
      </c>
      <c r="E121" s="199">
        <f>DCF!F93</f>
        <v>0.19999999999999998</v>
      </c>
      <c r="F121" s="208">
        <f>RATE(Holding_Period,Scenarios!C$58,-DCF!E93,C$18)</f>
        <v>4.0099339383447855E-2</v>
      </c>
    </row>
    <row r="122" spans="2:6">
      <c r="B122" s="205" t="str">
        <f>DCF!B94&amp;" ("&amp;DCF!D94&amp;"yrs)"</f>
        <v>Devil's advocate (3yrs)</v>
      </c>
      <c r="C122" s="198">
        <f>DCF!C94</f>
        <v>-0.02</v>
      </c>
      <c r="D122" s="207" t="str">
        <f>ROUND(DCF!E94,2)&amp;" "&amp;Market_currency</f>
        <v>18.33 HKD</v>
      </c>
      <c r="E122" s="199">
        <f>DCF!F94</f>
        <v>0.05</v>
      </c>
      <c r="F122" s="208">
        <f>RATE(Holding_Period,Scenarios!C$58,-DCF!E94,C$18)</f>
        <v>4.6652383114452509E-2</v>
      </c>
    </row>
    <row r="124" spans="2:6">
      <c r="B124" s="463" t="s">
        <v>356</v>
      </c>
      <c r="C124" s="463"/>
      <c r="D124" s="463"/>
      <c r="E124" s="463"/>
      <c r="F124" s="463"/>
    </row>
    <row r="125" spans="2:6">
      <c r="B125" s="193" t="s">
        <v>217</v>
      </c>
      <c r="C125" s="197">
        <f>Scenarios!C36</f>
        <v>19.06625573474069</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0.61918019999999996</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1.1245011370050071</v>
      </c>
      <c r="D140" s="333">
        <f>Scenarios!D62</f>
        <v>8.6783139438965335</v>
      </c>
      <c r="E140" s="334">
        <f>Scenarios!E62</f>
        <v>9.8028150809015404</v>
      </c>
      <c r="F140" s="335">
        <f>E22</f>
        <v>0.3</v>
      </c>
    </row>
    <row r="141" spans="1:6">
      <c r="B141" s="336" t="s">
        <v>312</v>
      </c>
      <c r="C141" s="333">
        <f>Scenarios!C63</f>
        <v>1.3042916249999998</v>
      </c>
      <c r="D141" s="333">
        <f>Scenarios!D63</f>
        <v>11.033712809456418</v>
      </c>
      <c r="E141" s="334">
        <f>Scenarios!E63</f>
        <v>12.338004434456417</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1.4938360860393178</v>
      </c>
      <c r="D144" s="333">
        <f>Scenarios!D66</f>
        <v>13.665936953753471</v>
      </c>
      <c r="E144" s="334">
        <f>Scenarios!E66</f>
        <v>15.159773039792789</v>
      </c>
      <c r="F144" s="335">
        <f>E24</f>
        <v>0.1174</v>
      </c>
    </row>
    <row r="145" spans="1:6">
      <c r="B145" s="336" t="s">
        <v>313</v>
      </c>
      <c r="C145" s="333">
        <f>Scenarios!C67</f>
        <v>1.6175310156360334</v>
      </c>
      <c r="D145" s="333">
        <f>Scenarios!D67</f>
        <v>15.455160208402992</v>
      </c>
      <c r="E145" s="334">
        <f>Scenarios!E67</f>
        <v>17.072691224039026</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39</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50</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57</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45</v>
      </c>
      <c r="C8" s="287">
        <v>30463684</v>
      </c>
      <c r="D8" s="287">
        <v>19979888</v>
      </c>
      <c r="E8" s="287">
        <v>14166706</v>
      </c>
      <c r="F8" s="287">
        <v>3793741</v>
      </c>
      <c r="G8" s="287">
        <v>3038699</v>
      </c>
      <c r="H8" s="287">
        <v>3255571.48</v>
      </c>
      <c r="I8" s="287">
        <v>13592602.42</v>
      </c>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12441883</v>
      </c>
      <c r="D12" s="287">
        <v>17875457</v>
      </c>
      <c r="E12" s="287">
        <v>20978186</v>
      </c>
      <c r="F12" s="287">
        <v>19487843</v>
      </c>
      <c r="G12" s="287">
        <v>22163955</v>
      </c>
      <c r="H12" s="287">
        <v>19440322</v>
      </c>
      <c r="I12" s="287">
        <v>516412</v>
      </c>
      <c r="J12" s="287"/>
      <c r="K12" s="287"/>
      <c r="L12" s="287"/>
      <c r="M12" s="287"/>
    </row>
    <row r="13" spans="2:13">
      <c r="B13" s="38" t="s">
        <v>63</v>
      </c>
      <c r="C13" s="287">
        <v>245460218</v>
      </c>
      <c r="D13" s="287">
        <v>262917080</v>
      </c>
      <c r="E13" s="287">
        <v>172924386</v>
      </c>
      <c r="F13" s="287">
        <v>109754709</v>
      </c>
      <c r="G13" s="287">
        <v>78064013</v>
      </c>
      <c r="H13" s="287">
        <v>58193235</v>
      </c>
      <c r="I13" s="287">
        <v>35998427</v>
      </c>
      <c r="J13" s="287"/>
      <c r="K13" s="287"/>
      <c r="L13" s="287"/>
      <c r="M13" s="287"/>
    </row>
    <row r="14" spans="2:13">
      <c r="B14" s="38" t="s">
        <v>46</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38</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40</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287</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286</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0.68797799999999998</v>
      </c>
      <c r="D25" s="37"/>
      <c r="E25" s="37"/>
      <c r="F25" s="37"/>
      <c r="G25" s="37"/>
      <c r="H25" s="37"/>
      <c r="I25" s="37"/>
      <c r="J25" s="37"/>
      <c r="K25" s="37"/>
      <c r="L25" s="37"/>
      <c r="M25" s="37"/>
    </row>
    <row r="27" spans="2:13">
      <c r="B27" s="16" t="s">
        <v>25</v>
      </c>
      <c r="C27" s="94" t="s">
        <v>546</v>
      </c>
    </row>
    <row r="28" spans="2:13">
      <c r="B28" s="25" t="s">
        <v>21</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29</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37</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27</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142</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39</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54</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50</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57</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60</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45</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126</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138</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64</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46</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38</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40</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63</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33</v>
      </c>
      <c r="C65" s="70">
        <f>IF(C$4="","",C25)</f>
        <v>0.68797799999999998</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54</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138</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81</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82</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37</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27</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2489020666.2+17519347.58+171143230.14</f>
        <v>2677683243.9199996</v>
      </c>
      <c r="D4" s="231">
        <v>0.6</v>
      </c>
      <c r="E4" s="24"/>
      <c r="F4" s="4" t="s">
        <v>73</v>
      </c>
      <c r="G4" s="18">
        <f>8634518748.18</f>
        <v>8634518748.1800003</v>
      </c>
      <c r="H4" s="231">
        <v>0.9</v>
      </c>
    </row>
    <row r="5" spans="2:8" ht="15" customHeight="1">
      <c r="B5" s="1" t="s">
        <v>30</v>
      </c>
      <c r="C5" s="18">
        <v>0</v>
      </c>
      <c r="D5" s="231">
        <v>0.6</v>
      </c>
      <c r="E5" s="24"/>
      <c r="F5" s="1" t="s">
        <v>26</v>
      </c>
      <c r="G5" s="18">
        <v>0</v>
      </c>
      <c r="H5" s="231">
        <v>0.7</v>
      </c>
    </row>
    <row r="6" spans="2:8" ht="15" customHeight="1">
      <c r="B6" s="4" t="s">
        <v>8</v>
      </c>
      <c r="C6" s="18">
        <v>3212346044.4899998</v>
      </c>
      <c r="D6" s="231">
        <v>0.5</v>
      </c>
      <c r="E6" s="24"/>
      <c r="F6" s="4" t="s">
        <v>146</v>
      </c>
      <c r="G6" s="18">
        <v>0</v>
      </c>
      <c r="H6" s="231">
        <v>0.6</v>
      </c>
    </row>
    <row r="7" spans="2:8" ht="15" customHeight="1">
      <c r="B7" s="1" t="s">
        <v>65</v>
      </c>
      <c r="C7" s="18">
        <v>0</v>
      </c>
      <c r="D7" s="231">
        <v>0.6</v>
      </c>
      <c r="E7" s="24"/>
      <c r="F7" s="4" t="s">
        <v>147</v>
      </c>
      <c r="G7" s="18">
        <v>41360.769999999997</v>
      </c>
      <c r="H7" s="231">
        <v>0.6</v>
      </c>
    </row>
    <row r="8" spans="2:8" ht="15" customHeight="1">
      <c r="B8" s="1" t="s">
        <v>143</v>
      </c>
      <c r="C8" s="18">
        <v>0</v>
      </c>
      <c r="D8" s="231">
        <v>0.6</v>
      </c>
      <c r="E8" s="24"/>
      <c r="F8" s="1" t="s">
        <v>148</v>
      </c>
      <c r="G8" s="18">
        <v>0</v>
      </c>
      <c r="H8" s="231">
        <v>0.6</v>
      </c>
    </row>
    <row r="9" spans="2:8" ht="15" customHeight="1">
      <c r="B9" s="4" t="s">
        <v>22</v>
      </c>
      <c r="C9" s="18">
        <f>113843707.7+11878831.87</f>
        <v>125722539.57000001</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27794642.35+69338506.2</f>
        <v>97133148.550000012</v>
      </c>
      <c r="D11" s="231">
        <v>0.05</v>
      </c>
      <c r="H11" s="232"/>
    </row>
    <row r="12" spans="2:8" ht="15" customHeight="1">
      <c r="B12" s="77" t="s">
        <v>68</v>
      </c>
      <c r="C12" s="78">
        <f>SUM(C4:C11)</f>
        <v>6112884976.5299997</v>
      </c>
      <c r="D12" s="19">
        <f>C4*D4+C5*D5+C9*D9+C6*D6+C8*D8+C7*D7+C10*D10+C11*D11</f>
        <v>3230211879.9814997</v>
      </c>
      <c r="F12" s="77" t="s">
        <v>66</v>
      </c>
      <c r="G12" s="78">
        <f>SUM(G4:G10)</f>
        <v>8634560108.9500008</v>
      </c>
      <c r="H12" s="19">
        <f>G4*H4+G5*H5+G6*H6+G7*H7+G8*H8+G9*H9+G10*H10</f>
        <v>7771091689.8240004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f>17600738.62</f>
        <v>17600738.620000001</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457004202.45999998</v>
      </c>
      <c r="H17" s="231">
        <v>0.6</v>
      </c>
    </row>
    <row r="18" spans="2:8" ht="15" customHeight="1">
      <c r="B18" s="4" t="s">
        <v>143</v>
      </c>
      <c r="C18" s="18">
        <v>0</v>
      </c>
      <c r="D18" s="231">
        <v>0.6</v>
      </c>
      <c r="F18" s="4" t="s">
        <v>150</v>
      </c>
      <c r="G18" s="18">
        <v>0</v>
      </c>
      <c r="H18" s="231">
        <v>0.1</v>
      </c>
    </row>
    <row r="19" spans="2:8" ht="15" customHeight="1">
      <c r="B19" s="4" t="s">
        <v>23</v>
      </c>
      <c r="C19" s="18">
        <f>2399734506.36+11547863.01+343188029.45+27579084.17</f>
        <v>2782049482.9900002</v>
      </c>
      <c r="D19" s="231">
        <v>0.1</v>
      </c>
      <c r="F19" s="4" t="s">
        <v>151</v>
      </c>
      <c r="G19" s="18">
        <f>824354520.61+2193028193.81</f>
        <v>3017382714.4200001</v>
      </c>
      <c r="H19" s="231">
        <v>0.1</v>
      </c>
    </row>
    <row r="20" spans="2:8" ht="15" customHeight="1">
      <c r="B20" s="4" t="s">
        <v>554</v>
      </c>
      <c r="C20" s="18">
        <v>0</v>
      </c>
      <c r="D20" s="231">
        <v>0.05</v>
      </c>
      <c r="F20" s="4" t="s">
        <v>148</v>
      </c>
      <c r="G20" s="18">
        <v>0</v>
      </c>
      <c r="H20" s="231">
        <v>0.2</v>
      </c>
    </row>
    <row r="21" spans="2:8" ht="15" customHeight="1">
      <c r="B21" s="4" t="s">
        <v>16</v>
      </c>
      <c r="C21" s="18">
        <f>316333399.96+7951986.62</f>
        <v>324285386.57999998</v>
      </c>
      <c r="D21" s="231">
        <v>0.05</v>
      </c>
      <c r="F21" s="1" t="s">
        <v>149</v>
      </c>
      <c r="G21" s="18">
        <v>75929352.599999994</v>
      </c>
      <c r="H21" s="231">
        <v>0.1</v>
      </c>
    </row>
    <row r="22" spans="2:8" ht="15" customHeight="1">
      <c r="B22" s="4" t="s">
        <v>17</v>
      </c>
      <c r="C22" s="18">
        <v>7215283.8099999996</v>
      </c>
      <c r="D22" s="231">
        <v>0.9</v>
      </c>
      <c r="H22" s="232"/>
    </row>
    <row r="23" spans="2:8" ht="15" customHeight="1">
      <c r="B23" s="4" t="s">
        <v>18</v>
      </c>
      <c r="C23" s="18">
        <f>622652907.24+2902226220.14</f>
        <v>3524879127.3800001</v>
      </c>
      <c r="D23" s="231">
        <v>0</v>
      </c>
      <c r="H23" s="232"/>
    </row>
    <row r="24" spans="2:8" ht="15" customHeight="1">
      <c r="B24" s="77" t="s">
        <v>69</v>
      </c>
      <c r="C24" s="78">
        <f>SUM(C15:C23)</f>
        <v>6656030019.3800001</v>
      </c>
      <c r="D24" s="19">
        <f>C15*D15+C16*D16+C18*D18+C17*D17+C19*D19+C20*D20+C21*D21+C22*D22+C23*D23</f>
        <v>307953268.50500005</v>
      </c>
      <c r="F24" s="77" t="s">
        <v>67</v>
      </c>
      <c r="G24" s="78">
        <f>SUM(G15:G21)</f>
        <v>3550316269.48</v>
      </c>
      <c r="H24" s="19">
        <f>G15*H15+G16*H16+G17*H17+G18*H18+G19*H19+G20*H20+G21*H21</f>
        <v>583533728.17799997</v>
      </c>
    </row>
    <row r="26" spans="2:8" ht="15" customHeight="1">
      <c r="B26" s="16" t="s">
        <v>168</v>
      </c>
      <c r="C26" s="164" t="s">
        <v>112</v>
      </c>
      <c r="F26" s="166" t="s">
        <v>164</v>
      </c>
      <c r="G26" s="167" t="s">
        <v>112</v>
      </c>
      <c r="H26" s="168" t="s">
        <v>32</v>
      </c>
    </row>
    <row r="27" spans="2:8" ht="15" customHeight="1">
      <c r="B27" s="4" t="s">
        <v>3</v>
      </c>
      <c r="C27" s="18">
        <f>10000000+114000</f>
        <v>10114000</v>
      </c>
      <c r="F27" s="169" t="s">
        <v>27</v>
      </c>
      <c r="G27" s="82">
        <f>G32-G30</f>
        <v>15435136145.889999</v>
      </c>
      <c r="H27" s="170">
        <f>H32-G30</f>
        <v>2374135338.0384998</v>
      </c>
    </row>
    <row r="28" spans="2:8" ht="15" customHeight="1">
      <c r="B28" s="4" t="s">
        <v>4</v>
      </c>
      <c r="C28" s="18">
        <v>12125</v>
      </c>
      <c r="F28" s="171" t="s">
        <v>208</v>
      </c>
      <c r="G28" s="287">
        <v>448834814.61000001</v>
      </c>
      <c r="H28" s="170"/>
    </row>
    <row r="29" spans="2:8" ht="15" customHeight="1">
      <c r="B29" s="4" t="s">
        <v>5</v>
      </c>
      <c r="C29" s="18">
        <v>0</v>
      </c>
      <c r="F29" s="172" t="s">
        <v>71</v>
      </c>
      <c r="G29" s="14">
        <f>G27-G28</f>
        <v>14986301331.279999</v>
      </c>
      <c r="H29" s="170">
        <f>H27-G28</f>
        <v>1925300523.4284997</v>
      </c>
    </row>
    <row r="30" spans="2:8" ht="15" customHeight="1">
      <c r="B30" s="2" t="s">
        <v>6</v>
      </c>
      <c r="C30" s="18">
        <v>0</v>
      </c>
      <c r="F30" s="169" t="s">
        <v>20</v>
      </c>
      <c r="G30" s="82">
        <f>C33+C42</f>
        <v>9518655228.4500008</v>
      </c>
      <c r="H30" s="170"/>
    </row>
    <row r="31" spans="2:8" ht="15" customHeight="1">
      <c r="B31" s="77" t="s">
        <v>171</v>
      </c>
      <c r="C31" s="78">
        <f>SUM(C27:C30)</f>
        <v>10126125</v>
      </c>
      <c r="F31" s="172" t="s">
        <v>72</v>
      </c>
      <c r="G31" s="173">
        <f>C31+C40</f>
        <v>283138456.58999997</v>
      </c>
      <c r="H31" s="170"/>
    </row>
    <row r="32" spans="2:8" ht="15" customHeight="1">
      <c r="B32" s="4" t="s">
        <v>7</v>
      </c>
      <c r="C32" s="20">
        <f>C33-C31</f>
        <v>9106610238.4400005</v>
      </c>
      <c r="F32" s="174" t="s">
        <v>70</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12768914995.91</v>
      </c>
      <c r="H35" s="182">
        <f>D12+D24</f>
        <v>3538165148.4864998</v>
      </c>
    </row>
    <row r="36" spans="2:8" ht="15" customHeight="1">
      <c r="B36" s="4" t="s">
        <v>11</v>
      </c>
      <c r="C36" s="18">
        <v>0</v>
      </c>
      <c r="F36" s="172" t="s">
        <v>165</v>
      </c>
      <c r="G36" s="173">
        <f>C4+C15</f>
        <v>2695283982.5399995</v>
      </c>
      <c r="H36" s="177"/>
    </row>
    <row r="37" spans="2:8" ht="15" customHeight="1">
      <c r="B37" s="4" t="s">
        <v>12</v>
      </c>
      <c r="C37" s="18">
        <v>273012331.58999997</v>
      </c>
      <c r="F37" s="172" t="s">
        <v>166</v>
      </c>
      <c r="G37" s="173">
        <f>C6</f>
        <v>3212346044.4899998</v>
      </c>
      <c r="H37" s="177"/>
    </row>
    <row r="38" spans="2:8" ht="15" customHeight="1">
      <c r="B38" s="4" t="s">
        <v>13</v>
      </c>
      <c r="C38" s="18">
        <v>0</v>
      </c>
      <c r="F38" s="172" t="s">
        <v>167</v>
      </c>
      <c r="G38" s="173">
        <f>C7+C17</f>
        <v>0</v>
      </c>
      <c r="H38" s="177"/>
    </row>
    <row r="39" spans="2:8" ht="15" customHeight="1">
      <c r="B39" s="2" t="s">
        <v>14</v>
      </c>
      <c r="C39" s="18">
        <v>0</v>
      </c>
      <c r="F39" s="172" t="s">
        <v>75</v>
      </c>
      <c r="G39" s="173">
        <f>C7+C17+C19+C20</f>
        <v>2782049482.9900002</v>
      </c>
      <c r="H39" s="170">
        <f>C7*D7+C17*D17+C19*D19+C20*D20</f>
        <v>278204948.29900002</v>
      </c>
    </row>
    <row r="40" spans="2:8" ht="15" customHeight="1">
      <c r="B40" s="77" t="s">
        <v>172</v>
      </c>
      <c r="C40" s="78">
        <f>SUM(C36:C39)</f>
        <v>273012331.58999997</v>
      </c>
      <c r="F40" s="181" t="s">
        <v>114</v>
      </c>
      <c r="G40" s="175">
        <f>G12+G24</f>
        <v>12184876378.43</v>
      </c>
      <c r="H40" s="182">
        <f>H12+H24</f>
        <v>8354625418.0020008</v>
      </c>
    </row>
    <row r="41" spans="2:8" ht="15" customHeight="1">
      <c r="B41" s="4" t="s">
        <v>15</v>
      </c>
      <c r="C41" s="20">
        <f>C42-C40</f>
        <v>128906533.42000002</v>
      </c>
      <c r="F41" s="172" t="s">
        <v>159</v>
      </c>
      <c r="G41" s="173">
        <f>C70</f>
        <v>8634518748.1800003</v>
      </c>
      <c r="H41" s="182">
        <f>H40-H42</f>
        <v>7771066873.3620005</v>
      </c>
    </row>
    <row r="42" spans="2:8" ht="15" customHeight="1">
      <c r="B42" s="80" t="s">
        <v>19</v>
      </c>
      <c r="C42" s="81">
        <v>401918865.00999999</v>
      </c>
      <c r="F42" s="183" t="s">
        <v>160</v>
      </c>
      <c r="G42" s="184">
        <f>C82</f>
        <v>3550357630.25</v>
      </c>
      <c r="H42" s="185">
        <f>D82</f>
        <v>583558544.63999999</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14986301331.279999</v>
      </c>
      <c r="D46" s="73">
        <f>H29</f>
        <v>1925300523.4284997</v>
      </c>
      <c r="F46" s="223"/>
    </row>
    <row r="47" spans="2:8" ht="15" customHeight="1">
      <c r="B47" s="1" t="str">
        <f>"Equity per share ("&amp;Market_currency&amp;")"</f>
        <v>Equity per share (HKD)</v>
      </c>
      <c r="C47" s="134">
        <f>C46*H1/Common_Shares*Exchange_Rate</f>
        <v>13.927031680326385</v>
      </c>
      <c r="D47" s="134">
        <f>D46*H1/Common_Shares*Exchange_Rate</f>
        <v>1.7892154168801495</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0.18140013622570431</v>
      </c>
      <c r="D50" s="92">
        <f>G31/Normalized_FCF!G8</f>
        <v>0.21295759860377175</v>
      </c>
      <c r="F50" s="223"/>
    </row>
    <row r="51" spans="2:8" ht="15" customHeight="1">
      <c r="B51" s="1" t="s">
        <v>145</v>
      </c>
      <c r="C51" s="163"/>
      <c r="D51" s="89">
        <f>G29/G32</f>
        <v>0.60056209922033821</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0.12223828711958121</v>
      </c>
      <c r="D54" s="89">
        <f>Normalized_FCF!G8/G35</f>
        <v>0.10412421102073817</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0.11148804769806578</v>
      </c>
      <c r="F59" s="223"/>
    </row>
    <row r="60" spans="2:8" ht="15" customHeight="1">
      <c r="F60" s="223"/>
    </row>
    <row r="61" spans="2:8" ht="15" customHeight="1">
      <c r="B61" s="143" t="s">
        <v>230</v>
      </c>
      <c r="C61" s="210" t="s">
        <v>113</v>
      </c>
      <c r="D61" s="179" t="s">
        <v>90</v>
      </c>
      <c r="F61" s="223"/>
    </row>
    <row r="62" spans="2:8" ht="15" customHeight="1">
      <c r="B62" s="1" t="s">
        <v>209</v>
      </c>
      <c r="C62" s="89">
        <f>IF(G28&lt;=0,0,G28/G29)</f>
        <v>2.9949672349986339E-2</v>
      </c>
      <c r="D62" s="89">
        <f>G28/G29</f>
        <v>2.9949672349986339E-2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8634518748.1800003</v>
      </c>
      <c r="D66" s="73">
        <f>C66-D75</f>
        <v>6698432238.5095959</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8634518748.1800003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-987318012.9964999</v>
      </c>
      <c r="D73" s="285">
        <f>(Normalized_FCF!C26+Normalized_FCF!C35-Normalized_FCF!C89)/12</f>
        <v>-968043254.83520222</v>
      </c>
      <c r="F73" s="1" t="s">
        <v>277</v>
      </c>
    </row>
    <row r="74" spans="2:6" ht="15" customHeight="1">
      <c r="B74" s="227" t="s">
        <v>258</v>
      </c>
      <c r="C74" s="228">
        <f>-$C$66/C73</f>
        <v>8.7454281543738137</v>
      </c>
      <c r="D74" s="228">
        <f>-$C$66/D73</f>
        <v>8.9195588162534367</v>
      </c>
      <c r="F74" s="223" t="s">
        <v>256</v>
      </c>
    </row>
    <row r="75" spans="2:6" ht="15" customHeight="1">
      <c r="B75" s="77" t="s">
        <v>257</v>
      </c>
      <c r="C75" s="261"/>
      <c r="D75" s="262">
        <f>MAX(-D73*D76,G5)</f>
        <v>1936086509.6704044</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457045563.22999996</v>
      </c>
      <c r="D79" s="73">
        <f>G7*H7+G17*H17</f>
        <v>274227337.93799996</v>
      </c>
      <c r="F79" s="223"/>
    </row>
    <row r="80" spans="2:6" ht="15" customHeight="1">
      <c r="B80" s="102" t="s">
        <v>151</v>
      </c>
      <c r="C80" s="19">
        <f>G19</f>
        <v>3017382714.4200001</v>
      </c>
      <c r="D80" s="73">
        <f>G19*H19</f>
        <v>301738271.44200003</v>
      </c>
      <c r="F80" s="223"/>
    </row>
    <row r="81" spans="2:8" ht="15" customHeight="1">
      <c r="B81" s="102" t="s">
        <v>149</v>
      </c>
      <c r="C81" s="19">
        <f>G9+G21</f>
        <v>75929352.599999994</v>
      </c>
      <c r="D81" s="73">
        <f>G9*H9+G21*H21</f>
        <v>7592935.2599999998</v>
      </c>
      <c r="F81" s="223"/>
    </row>
    <row r="82" spans="2:8" ht="15" customHeight="1">
      <c r="B82" s="77" t="s">
        <v>158</v>
      </c>
      <c r="C82" s="78">
        <f>SUM(C79:C81)</f>
        <v>3550357630.25</v>
      </c>
      <c r="D82" s="78">
        <f>SUM(D79:D81)</f>
        <v>583558544.63999999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-324655048.4797917</v>
      </c>
      <c r="D86" s="201">
        <f>C86*scaling_factor/Common_Shares</f>
        <v>-0.26312551494057312</v>
      </c>
      <c r="E86" s="214" t="str">
        <f>Market_currency</f>
        <v>HKD</v>
      </c>
    </row>
    <row r="87" spans="2:8" ht="15" customHeight="1">
      <c r="B87" s="212" t="s">
        <v>239</v>
      </c>
      <c r="C87" s="73">
        <f>DCF!F5*Exchange_Rate</f>
        <v>7680623357.6422586</v>
      </c>
      <c r="D87" s="201">
        <f>C87*scaling_factor/Common_Shares</f>
        <v>6.2249701198470939</v>
      </c>
      <c r="E87" s="214" t="str">
        <f>Market_currency</f>
        <v>HKD</v>
      </c>
    </row>
    <row r="88" spans="2:8" ht="15" customHeight="1">
      <c r="B88" s="213" t="s">
        <v>158</v>
      </c>
      <c r="C88" s="73">
        <f>DCF!F6*Exchange_Rate</f>
        <v>669125734.04056323</v>
      </c>
      <c r="D88" s="201">
        <f>C88*scaling_factor/Common_Shares</f>
        <v>0.54231115195601642</v>
      </c>
      <c r="E88" s="214" t="str">
        <f>Market_currency</f>
        <v>HKD</v>
      </c>
    </row>
    <row r="89" spans="2:8" ht="15" customHeight="1">
      <c r="B89" s="77" t="s">
        <v>243</v>
      </c>
      <c r="C89" s="162">
        <f>SUM(C86:C88)</f>
        <v>8025094043.2030306</v>
      </c>
      <c r="D89" s="216">
        <f>SUM(D86:D88)</f>
        <v>6.504155756862537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v>
      </c>
      <c r="D3" s="9"/>
      <c r="E3" s="237"/>
      <c r="F3" s="9"/>
      <c r="G3" s="16" t="s">
        <v>409</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42</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44</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41</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126</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-2540403.7714775726</v>
      </c>
      <c r="E10" s="237"/>
      <c r="G10" s="266">
        <f>G48</f>
        <v>42596762.533166148</v>
      </c>
      <c r="H10" s="266">
        <f t="shared" ref="H10:Q10" si="6">H48</f>
        <v>41077476.752935424</v>
      </c>
      <c r="I10" s="266">
        <f t="shared" si="6"/>
        <v>17796015.630890749</v>
      </c>
      <c r="J10" s="266">
        <f t="shared" si="6"/>
        <v>5122053.3549637236</v>
      </c>
      <c r="K10" s="266">
        <f t="shared" si="6"/>
        <v>-4659947.3224566095</v>
      </c>
      <c r="L10" s="266">
        <f t="shared" si="6"/>
        <v>-6391866.0844542962</v>
      </c>
      <c r="M10" s="266">
        <f t="shared" si="6"/>
        <v>7555383.419836862</v>
      </c>
      <c r="N10" s="266">
        <f t="shared" si="6"/>
        <v>0</v>
      </c>
      <c r="O10" s="266">
        <f t="shared" si="6"/>
        <v>0</v>
      </c>
      <c r="P10" s="266">
        <f t="shared" si="6"/>
        <v>0</v>
      </c>
      <c r="Q10" s="266" t="str">
        <f t="shared" si="6"/>
        <v/>
      </c>
    </row>
    <row r="11" spans="1:17" ht="15.75" customHeight="1">
      <c r="A11" s="10"/>
      <c r="B11" s="67" t="s">
        <v>136</v>
      </c>
      <c r="C11" s="267">
        <f>SUM(C8:C10)</f>
        <v>1558309893.7040951</v>
      </c>
      <c r="E11" s="237"/>
      <c r="G11" s="267">
        <f t="shared" ref="G11:Q11" si="7">IF(G$4="","",SUM(G8:G10))</f>
        <v>1372149962.0731671</v>
      </c>
      <c r="H11" s="267">
        <f t="shared" si="7"/>
        <v>1482062145.0729351</v>
      </c>
      <c r="I11" s="267">
        <f t="shared" si="7"/>
        <v>1407323514.6308908</v>
      </c>
      <c r="J11" s="267">
        <f t="shared" si="7"/>
        <v>1240576371.3549638</v>
      </c>
      <c r="K11" s="267">
        <f t="shared" si="7"/>
        <v>1157495743.6775434</v>
      </c>
      <c r="L11" s="267">
        <f t="shared" si="7"/>
        <v>999293948.49554777</v>
      </c>
      <c r="M11" s="267">
        <f t="shared" si="7"/>
        <v>939502690.18983591</v>
      </c>
      <c r="N11" s="267">
        <f t="shared" si="7"/>
        <v>695381120.13999975</v>
      </c>
      <c r="O11" s="267">
        <f t="shared" si="7"/>
        <v>577850860.66999984</v>
      </c>
      <c r="P11" s="267">
        <f t="shared" si="7"/>
        <v>542208477</v>
      </c>
      <c r="Q11" s="267" t="str">
        <f t="shared" si="7"/>
        <v/>
      </c>
    </row>
    <row r="12" spans="1:17" ht="15.75" customHeight="1">
      <c r="A12" s="10"/>
      <c r="B12" s="2" t="s">
        <v>59</v>
      </c>
      <c r="C12" s="266">
        <f>-C11*C41</f>
        <v>-389577473.42602378</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207</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1109926942.2780714</v>
      </c>
      <c r="D14" s="58"/>
      <c r="E14" s="243"/>
      <c r="F14" s="58"/>
      <c r="G14" s="267">
        <f t="shared" ref="G14:Q14" si="8">IF(G$4="","",SUM(G11:G13))</f>
        <v>1208080035.0731671</v>
      </c>
      <c r="H14" s="267">
        <f t="shared" si="8"/>
        <v>1498036088.0729351</v>
      </c>
      <c r="I14" s="267">
        <f t="shared" si="8"/>
        <v>1418758991.6308908</v>
      </c>
      <c r="J14" s="267">
        <f t="shared" si="8"/>
        <v>1235123559.3549638</v>
      </c>
      <c r="K14" s="267">
        <f t="shared" si="8"/>
        <v>1149325192.6775434</v>
      </c>
      <c r="L14" s="267">
        <f t="shared" si="8"/>
        <v>975121873.37554777</v>
      </c>
      <c r="M14" s="267">
        <f t="shared" si="8"/>
        <v>950298536.55983591</v>
      </c>
      <c r="N14" s="267">
        <f t="shared" si="8"/>
        <v>694821234.92999971</v>
      </c>
      <c r="O14" s="267">
        <f t="shared" si="8"/>
        <v>572172795.03999984</v>
      </c>
      <c r="P14" s="267">
        <f t="shared" si="8"/>
        <v>539418546</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1109926942.2780714</v>
      </c>
      <c r="D19" s="26"/>
      <c r="E19" s="234"/>
      <c r="F19" s="26"/>
      <c r="G19" s="271">
        <f t="shared" ref="G19:Q19" si="9">IF(G$4="","",G14+G17)</f>
        <v>1208080035.0731671</v>
      </c>
      <c r="H19" s="271">
        <f t="shared" si="9"/>
        <v>1498036088.0729351</v>
      </c>
      <c r="I19" s="271">
        <f t="shared" si="9"/>
        <v>1418758991.6308908</v>
      </c>
      <c r="J19" s="271">
        <f t="shared" si="9"/>
        <v>1235123559.3549638</v>
      </c>
      <c r="K19" s="271">
        <f t="shared" si="9"/>
        <v>1149325192.6775434</v>
      </c>
      <c r="L19" s="271">
        <f t="shared" si="9"/>
        <v>975121873.37554777</v>
      </c>
      <c r="M19" s="271">
        <f t="shared" si="9"/>
        <v>950298536.55983591</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58</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45</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42</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42</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7.6714974244474737E-2</v>
      </c>
      <c r="H41" s="6">
        <f t="shared" si="16"/>
        <v>-4.3978077583779362E-2</v>
      </c>
      <c r="I41" s="6">
        <f t="shared" si="16"/>
        <v>-8.1256916985425823E-3</v>
      </c>
      <c r="J41" s="6">
        <f t="shared" si="16"/>
        <v>4.3953859882438443E-3</v>
      </c>
      <c r="K41" s="6">
        <f t="shared" si="16"/>
        <v>7.0588173171513297E-3</v>
      </c>
      <c r="L41" s="6">
        <f t="shared" si="16"/>
        <v>2.418915390850853E-2</v>
      </c>
      <c r="M41" s="6">
        <f t="shared" si="16"/>
        <v>-1.1491022306512598E-2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271</v>
      </c>
      <c r="C46" s="266">
        <f>BS!D75*C51</f>
        <v>11616519.058022426</v>
      </c>
      <c r="E46" s="237"/>
      <c r="G46" s="274">
        <f t="shared" ref="G46:Q46" si="17">IFERROR(IF(G$4="","",($C$46/$C$47)*G47),0)</f>
        <v>55038645.533166148</v>
      </c>
      <c r="H46" s="274">
        <f t="shared" si="17"/>
        <v>58952933.752935424</v>
      </c>
      <c r="I46" s="274">
        <f t="shared" si="17"/>
        <v>38774201.630890749</v>
      </c>
      <c r="J46" s="274">
        <f t="shared" si="17"/>
        <v>24609896.354963724</v>
      </c>
      <c r="K46" s="274">
        <f t="shared" si="17"/>
        <v>17504007.677543391</v>
      </c>
      <c r="L46" s="274">
        <f t="shared" si="17"/>
        <v>13048455.915545704</v>
      </c>
      <c r="M46" s="274">
        <f t="shared" si="17"/>
        <v>8071795.419836862</v>
      </c>
      <c r="N46" s="274">
        <f t="shared" si="17"/>
        <v>0</v>
      </c>
      <c r="O46" s="274">
        <f t="shared" si="17"/>
        <v>0</v>
      </c>
      <c r="P46" s="274">
        <f t="shared" si="17"/>
        <v>0</v>
      </c>
      <c r="Q46" s="274" t="str">
        <f t="shared" si="17"/>
        <v/>
      </c>
    </row>
    <row r="47" spans="1:17" ht="15.75" customHeight="1">
      <c r="A47" s="10"/>
      <c r="B47" s="245" t="s">
        <v>268</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64</v>
      </c>
      <c r="C48" s="267">
        <f>C45+C46</f>
        <v>-2540403.7714775726</v>
      </c>
      <c r="E48" s="237"/>
      <c r="G48" s="267">
        <f>IF(G$4="","",(G45+G46))</f>
        <v>42596762.533166148</v>
      </c>
      <c r="H48" s="267">
        <f t="shared" ref="H48:Q48" si="18">IF(H$4="","",(H45+H46))</f>
        <v>41077476.752935424</v>
      </c>
      <c r="I48" s="267">
        <f t="shared" si="18"/>
        <v>17796015.630890749</v>
      </c>
      <c r="J48" s="267">
        <f t="shared" si="18"/>
        <v>5122053.3549637236</v>
      </c>
      <c r="K48" s="267">
        <f t="shared" si="18"/>
        <v>-4659947.3224566095</v>
      </c>
      <c r="L48" s="267">
        <f t="shared" si="18"/>
        <v>-6391866.0844542962</v>
      </c>
      <c r="M48" s="267">
        <f t="shared" si="18"/>
        <v>7555383.419836862</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83</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86</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163</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44</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41</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126</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2.0605920500491517E-4</v>
      </c>
      <c r="D76" s="26"/>
      <c r="E76" s="234"/>
      <c r="F76" s="26"/>
      <c r="G76" s="6">
        <f t="shared" ref="G76:Q76" si="28">IF(G$4="","",ABS(G10/G$4))</f>
        <v>3.4551417069665861E-3</v>
      </c>
      <c r="H76" s="6">
        <f t="shared" si="28"/>
        <v>3.4610531990158658E-3</v>
      </c>
      <c r="I76" s="6">
        <f t="shared" si="28"/>
        <v>1.6281356945113379E-3</v>
      </c>
      <c r="J76" s="6">
        <f t="shared" si="28"/>
        <v>4.8966301390643112E-4</v>
      </c>
      <c r="K76" s="6">
        <f t="shared" si="28"/>
        <v>5.1730884398004521E-4</v>
      </c>
      <c r="L76" s="6">
        <f t="shared" si="28"/>
        <v>7.2286080229226732E-4</v>
      </c>
      <c r="M76" s="6">
        <f t="shared" si="28"/>
        <v>9.2289828986546509E-4</v>
      </c>
      <c r="N76" s="6">
        <f t="shared" si="28"/>
        <v>0</v>
      </c>
      <c r="O76" s="6">
        <f t="shared" si="28"/>
        <v>0</v>
      </c>
      <c r="P76" s="6">
        <f t="shared" si="28"/>
        <v>0</v>
      </c>
      <c r="Q76" s="6" t="str">
        <f t="shared" si="28"/>
        <v/>
      </c>
    </row>
    <row r="77" spans="1:17" ht="15.75" customHeight="1">
      <c r="A77" s="10"/>
      <c r="B77" s="67" t="s">
        <v>136</v>
      </c>
      <c r="C77" s="75">
        <f>C11/C4</f>
        <v>0.12639884314972349</v>
      </c>
      <c r="D77" s="26"/>
      <c r="E77" s="234"/>
      <c r="F77" s="26"/>
      <c r="G77" s="62">
        <f t="shared" ref="G77:Q77" si="29">IF(G$4="","",G11/G$4)</f>
        <v>0.11129889409976317</v>
      </c>
      <c r="H77" s="62">
        <f t="shared" si="29"/>
        <v>0.12487368586918965</v>
      </c>
      <c r="I77" s="62">
        <f t="shared" si="29"/>
        <v>0.12875430632452275</v>
      </c>
      <c r="J77" s="62">
        <f t="shared" si="29"/>
        <v>0.11859782061623562</v>
      </c>
      <c r="K77" s="62">
        <f t="shared" si="29"/>
        <v>0.12849561242636304</v>
      </c>
      <c r="L77" s="62">
        <f t="shared" si="29"/>
        <v>0.11301088223549192</v>
      </c>
      <c r="M77" s="62">
        <f t="shared" si="29"/>
        <v>0.11476127390486893</v>
      </c>
      <c r="N77" s="62">
        <f t="shared" si="29"/>
        <v>9.4662700746529521E-2</v>
      </c>
      <c r="O77" s="62">
        <f t="shared" si="29"/>
        <v>9.0911827748711357E-2</v>
      </c>
      <c r="P77" s="62">
        <f t="shared" si="29"/>
        <v>9.458180711393116E-2</v>
      </c>
      <c r="Q77" s="62" t="str">
        <f t="shared" si="29"/>
        <v/>
      </c>
    </row>
    <row r="78" spans="1:17" ht="15.75" customHeight="1">
      <c r="A78" s="10"/>
      <c r="B78" s="2" t="s">
        <v>59</v>
      </c>
      <c r="C78" s="74">
        <f>ABS(C12/C$4)</f>
        <v>3.1599710787430874E-2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9.0029256729661916E-2</v>
      </c>
      <c r="D80" s="26"/>
      <c r="E80" s="234"/>
      <c r="F80" s="26"/>
      <c r="G80" s="62">
        <f t="shared" ref="G80:Q80" si="32">IF(G$4="","",ABS(G14/G$4))</f>
        <v>9.7990726672830611E-2</v>
      </c>
      <c r="H80" s="62">
        <f t="shared" si="32"/>
        <v>0.12621959781148284</v>
      </c>
      <c r="I80" s="62">
        <f t="shared" si="32"/>
        <v>0.12980052412257553</v>
      </c>
      <c r="J80" s="62">
        <f t="shared" si="32"/>
        <v>0.11807653741726276</v>
      </c>
      <c r="K80" s="62">
        <f t="shared" si="32"/>
        <v>0.12758858537218987</v>
      </c>
      <c r="L80" s="62">
        <f t="shared" si="32"/>
        <v>0.11027724461176128</v>
      </c>
      <c r="M80" s="62">
        <f t="shared" si="32"/>
        <v>0.11607999826323358</v>
      </c>
      <c r="N80" s="62">
        <f t="shared" si="32"/>
        <v>9.458648319538869E-2</v>
      </c>
      <c r="O80" s="62">
        <f t="shared" si="32"/>
        <v>9.0018511913026844E-2</v>
      </c>
      <c r="P80" s="62">
        <f t="shared" si="32"/>
        <v>9.4095136899619528E-2</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9.0029256729661916E-2</v>
      </c>
      <c r="D85" s="72"/>
      <c r="E85" s="234"/>
      <c r="F85" s="72"/>
      <c r="G85" s="62">
        <f t="shared" ref="G85:Q85" si="35">IF(G$4="","",ABS(G19/G$4))</f>
        <v>9.7990726672830611E-2</v>
      </c>
      <c r="H85" s="62">
        <f t="shared" si="35"/>
        <v>0.12621959781148284</v>
      </c>
      <c r="I85" s="62">
        <f t="shared" si="35"/>
        <v>0.12980052412257553</v>
      </c>
      <c r="J85" s="62">
        <f t="shared" si="35"/>
        <v>0.11807653741726276</v>
      </c>
      <c r="K85" s="62">
        <f t="shared" si="35"/>
        <v>0.12758858537218987</v>
      </c>
      <c r="L85" s="62">
        <f t="shared" si="35"/>
        <v>0.11027724461176128</v>
      </c>
      <c r="M85" s="62">
        <f t="shared" si="35"/>
        <v>0.11607999826323358</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0.68797799999999998</v>
      </c>
      <c r="E88" s="237"/>
      <c r="G88" s="109">
        <f>Data!C65</f>
        <v>0.68797799999999998</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848855463.49800003</v>
      </c>
      <c r="E89" s="237"/>
      <c r="G89" s="71">
        <f t="shared" ref="G89:Q89" si="36">IF(G$4="","",G88*Common_Shares/scaling_factor)</f>
        <v>848855463.49800003</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0.76478498824054597</v>
      </c>
      <c r="E90" s="237"/>
      <c r="G90" s="152">
        <f t="shared" ref="G90:Q90" si="37">IF(G$4="","",G88/(G19*scaling_factor/Common_Shares))</f>
        <v>0.70264836670907249</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5.9365311601150522E-2</v>
      </c>
      <c r="E92" s="237"/>
      <c r="G92" s="22">
        <f t="shared" ref="G92:Q92" si="38">IF(G$4="","",(G88*(1-dividend_tax_rate))/Market_Price)</f>
        <v>5.9365311601150522E-2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136</v>
      </c>
      <c r="C96" s="74">
        <f>C11/G11-1</f>
        <v>0.135670252360508</v>
      </c>
      <c r="D96" s="26"/>
      <c r="E96" s="234"/>
      <c r="F96" s="26"/>
      <c r="G96" s="6">
        <f t="shared" ref="G96:Q96" si="40">IF(H5="","",G11/H11-1)</f>
        <v>-7.4161656017709743E-2</v>
      </c>
      <c r="H96" s="6">
        <f t="shared" si="40"/>
        <v>5.3106929334330477E-2</v>
      </c>
      <c r="I96" s="6">
        <f t="shared" si="40"/>
        <v>0.13441102629885249</v>
      </c>
      <c r="J96" s="6">
        <f t="shared" si="40"/>
        <v>7.1776184172790414E-2</v>
      </c>
      <c r="K96" s="6">
        <f t="shared" si="40"/>
        <v>0.15831357271818858</v>
      </c>
      <c r="L96" s="6">
        <f t="shared" si="40"/>
        <v>6.3641391270130798E-2</v>
      </c>
      <c r="M96" s="6">
        <f t="shared" si="40"/>
        <v>0.35106154449618598</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178</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27</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303</v>
      </c>
      <c r="C113" s="151"/>
      <c r="E113" s="459">
        <f>(Normalized_FCF!E117/Normalized_FCF!C117)^(1/DCF!C15)-1</f>
        <v>0</v>
      </c>
      <c r="G113" s="251">
        <f>IF(G$4="","",Data!C$22/G19)</f>
        <v>1.4671865940509896</v>
      </c>
      <c r="H113" s="251">
        <f>IF(H$4="","",Data!D$22/H19)</f>
        <v>1.5707420066407891</v>
      </c>
      <c r="I113" s="251">
        <f>IF(I$4="","",Data!E$22/I19)</f>
        <v>1.4268675207992407</v>
      </c>
      <c r="J113" s="251">
        <f>IF(J$4="","",Data!F$22/J19)</f>
        <v>1.6575909037547678</v>
      </c>
      <c r="K113" s="251">
        <f>IF(K$4="","",Data!G$22/K19)</f>
        <v>1.5824984100129154</v>
      </c>
      <c r="L113" s="251">
        <f>IF(L$4="","",Data!H$22/L19)</f>
        <v>1.3992205045066461</v>
      </c>
      <c r="M113" s="251">
        <f>IF(M$4="","",Data!I$22/M19)</f>
        <v>1.045408609768439</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35</v>
      </c>
      <c r="C115" s="451" t="s">
        <v>326</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0.12639884314972349</v>
      </c>
      <c r="E116" s="22">
        <f>E119/E117/E118</f>
        <v>0.12639884314972349</v>
      </c>
      <c r="G116" s="22">
        <f t="shared" ref="G116:Q116" si="44">IF(G4="","",G77)</f>
        <v>0.11129889409976317</v>
      </c>
      <c r="H116" s="22">
        <f t="shared" si="44"/>
        <v>0.12487368586918965</v>
      </c>
      <c r="I116" s="22">
        <f t="shared" si="44"/>
        <v>0.12875430632452275</v>
      </c>
      <c r="J116" s="22">
        <f t="shared" si="44"/>
        <v>0.11859782061623562</v>
      </c>
      <c r="K116" s="22">
        <f t="shared" si="44"/>
        <v>0.12849561242636304</v>
      </c>
      <c r="L116" s="22">
        <f t="shared" si="44"/>
        <v>0.11301088223549192</v>
      </c>
      <c r="M116" s="22">
        <f t="shared" si="44"/>
        <v>0.11476127390486893</v>
      </c>
      <c r="N116" s="22">
        <f t="shared" si="44"/>
        <v>9.4662700746529521E-2</v>
      </c>
      <c r="O116" s="22">
        <f t="shared" si="44"/>
        <v>9.0911827748711357E-2</v>
      </c>
      <c r="P116" s="22">
        <f t="shared" si="44"/>
        <v>9.458180711393116E-2</v>
      </c>
      <c r="Q116" s="22" t="str">
        <f t="shared" si="44"/>
        <v/>
      </c>
    </row>
    <row r="117" spans="1:17" ht="15.75" customHeight="1">
      <c r="B117" s="7" t="s">
        <v>79</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87</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190</v>
      </c>
      <c r="C119" s="62">
        <f>C11/C104</f>
        <v>0.10095861021083608</v>
      </c>
      <c r="D119" s="100"/>
      <c r="E119" s="453">
        <f>C11/C104</f>
        <v>0.10095861021083608</v>
      </c>
      <c r="F119" s="100"/>
      <c r="G119" s="99">
        <f t="shared" ref="G119:Q119" si="47">IF(G$4="","",G11/G104)</f>
        <v>8.8897820472969208E-2</v>
      </c>
      <c r="H119" s="99">
        <f t="shared" si="47"/>
        <v>0.11048493294546534</v>
      </c>
      <c r="I119" s="99">
        <f t="shared" si="47"/>
        <v>0.11114514348672438</v>
      </c>
      <c r="J119" s="99">
        <f t="shared" si="47"/>
        <v>0.11166617000707624</v>
      </c>
      <c r="K119" s="99">
        <f t="shared" si="47"/>
        <v>0.11542465377116659</v>
      </c>
      <c r="L119" s="99">
        <f t="shared" si="47"/>
        <v>0.10957210945204558</v>
      </c>
      <c r="M119" s="99">
        <f t="shared" si="47"/>
        <v>0.11176533531247314</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1.0314745010291479</v>
      </c>
      <c r="D123" s="26"/>
      <c r="E123" s="234"/>
      <c r="F123" s="26"/>
      <c r="G123" s="159">
        <f t="shared" ref="G123:Q123" si="48">IF(G$4="","",G14*$C$3/Common_Shares*Exchange_Rate)</f>
        <v>1.1226898851764091</v>
      </c>
      <c r="H123" s="159">
        <f t="shared" si="48"/>
        <v>1.3921511115833154</v>
      </c>
      <c r="I123" s="159">
        <f t="shared" si="48"/>
        <v>1.3184775206641119</v>
      </c>
      <c r="J123" s="159">
        <f t="shared" si="48"/>
        <v>1.1478219048185156</v>
      </c>
      <c r="K123" s="159">
        <f t="shared" si="48"/>
        <v>1.0680879835244992</v>
      </c>
      <c r="L123" s="159">
        <f t="shared" si="48"/>
        <v>0.90619779507132969</v>
      </c>
      <c r="M123" s="159">
        <f t="shared" si="48"/>
        <v>0.88312903443442436</v>
      </c>
      <c r="N123" s="159">
        <f t="shared" si="48"/>
        <v>0.6457095141171233</v>
      </c>
      <c r="O123" s="159">
        <f t="shared" si="48"/>
        <v>0.53173017591141403</v>
      </c>
      <c r="P123" s="159">
        <f t="shared" si="48"/>
        <v>0.50129107996895872</v>
      </c>
      <c r="Q123" s="159" t="str">
        <f t="shared" si="48"/>
        <v/>
      </c>
    </row>
    <row r="124" spans="1:17" ht="15.75" customHeight="1">
      <c r="A124" s="10"/>
      <c r="B124" s="26" t="s">
        <v>225</v>
      </c>
      <c r="C124" s="74">
        <f>C19*Exchange_Rate*$C$3/(Market_Price*Common_Shares)</f>
        <v>9.8894966541624926E-2</v>
      </c>
      <c r="D124" s="26"/>
      <c r="E124" s="234"/>
      <c r="F124" s="26"/>
      <c r="G124" s="74">
        <f t="shared" ref="G124" si="49">IF(G$4="","",G123/Market_Price)</f>
        <v>0.10764044920195677</v>
      </c>
      <c r="H124" s="74">
        <f t="shared" ref="H124" si="50">IF(H$4="","",H123/Market_Price)</f>
        <v>0.13347565786992477</v>
      </c>
      <c r="I124" s="74">
        <f t="shared" ref="I124" si="51">IF(I$4="","",I123/Market_Price)</f>
        <v>0.12641203457949299</v>
      </c>
      <c r="J124" s="74">
        <f t="shared" ref="J124" si="52">IF(J$4="","",J123/Market_Price)</f>
        <v>0.110050038812897</v>
      </c>
      <c r="K124" s="74">
        <f t="shared" ref="K124" si="53">IF(K$4="","",K123/Market_Price)</f>
        <v>0.10240536754789062</v>
      </c>
      <c r="L124" s="74">
        <f t="shared" ref="L124" si="54">IF(L$4="","",L123/Market_Price)</f>
        <v>8.688377709216967E-2</v>
      </c>
      <c r="M124" s="74">
        <f t="shared" ref="M124" si="55">IF(M$4="","",M123/Market_Price)</f>
        <v>8.4672007136569929E-2</v>
      </c>
      <c r="N124" s="74">
        <f t="shared" ref="N124" si="56">IF(N$4="","",N123/Market_Price)</f>
        <v>6.190887000164174E-2</v>
      </c>
      <c r="O124" s="74">
        <f t="shared" ref="O124" si="57">IF(O$4="","",O123/Market_Price)</f>
        <v>5.0980841410490321E-2</v>
      </c>
      <c r="P124" s="74">
        <f t="shared" ref="P124" si="58">IF(P$4="","",P123/Market_Price)</f>
        <v>4.8062423774588567E-2</v>
      </c>
      <c r="Q124" s="74" t="str">
        <f t="shared" ref="Q124" si="59">IF(Q$4="","",Q123/Market_Price)</f>
        <v/>
      </c>
    </row>
    <row r="125" spans="1:17" ht="15.75" customHeight="1">
      <c r="B125" s="2" t="s">
        <v>305</v>
      </c>
      <c r="C125" s="151"/>
      <c r="G125" s="22">
        <f>IF(G$4="","",(Data!C47*$C$3)/(Market_Price*Common_Shares))</f>
        <v>0.12461469076584697</v>
      </c>
      <c r="H125" s="22">
        <f>IF(H$4="","",(Data!D47*$C$3)/(Market_Price*Common_Shares))</f>
        <v>0.12653315409721988</v>
      </c>
      <c r="I125" s="22">
        <f>IF(I$4="","",(Data!E47*$C$3)/(Market_Price*Common_Shares))</f>
        <v>0.10810779983652807</v>
      </c>
      <c r="J125" s="22">
        <f>IF(J$4="","",(Data!F47*$C$3)/(Market_Price*Common_Shares))</f>
        <v>0.10127322619113287</v>
      </c>
      <c r="K125" s="22">
        <f>IF(K$4="","",(Data!G47*$C$3)/(Market_Price*Common_Shares))</f>
        <v>9.6588596868790261E-2</v>
      </c>
      <c r="L125" s="22">
        <f>IF(L$4="","",(Data!H47*$C$3)/(Market_Price*Common_Shares))</f>
        <v>8.7393626342640654E-2</v>
      </c>
      <c r="M125" s="22">
        <f>IF(M$4="","",(Data!I47*$C$3)/(Market_Price*Common_Shares))</f>
        <v>7.2011751484257092E-2</v>
      </c>
      <c r="N125" s="22">
        <f>IF(N$4="","",(Data!J47*$C$3)/(Market_Price*Common_Shares))</f>
        <v>7.1216341850263182E-2</v>
      </c>
      <c r="O125" s="22">
        <f>IF(O$4="","",(Data!K47*$C$3)/(Market_Price*Common_Shares))</f>
        <v>4.8957951092282494E-2</v>
      </c>
      <c r="P125" s="22">
        <f>IF(P$4="","",(Data!L47*$C$3)/(Market_Price*Common_Shares))</f>
        <v>4.7783171453903851E-2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423</v>
      </c>
      <c r="H3" s="106" t="s">
        <v>413</v>
      </c>
    </row>
    <row r="4" spans="2:15">
      <c r="B4" s="97" t="s">
        <v>392</v>
      </c>
      <c r="C4" s="275">
        <f>Normalized_FCF!C19</f>
        <v>1109926942.2780714</v>
      </c>
      <c r="D4" t="str">
        <f>Reporting_currency</f>
        <v>CNY</v>
      </c>
      <c r="E4" s="135" t="s">
        <v>430</v>
      </c>
      <c r="F4" s="275">
        <f>-BS!G31</f>
        <v>-283138456.58999997</v>
      </c>
      <c r="G4" t="str">
        <f>Reporting_currency</f>
        <v>CNY</v>
      </c>
      <c r="H4" s="308" t="s">
        <v>393</v>
      </c>
      <c r="I4" s="305">
        <f>Normalized_FCF!C4</f>
        <v>12328513892</v>
      </c>
      <c r="J4" s="305"/>
    </row>
    <row r="5" spans="2:15">
      <c r="B5" s="187" t="s">
        <v>104</v>
      </c>
      <c r="C5" s="188">
        <f>Equity_Cost</f>
        <v>8.249999999999999E-2</v>
      </c>
      <c r="E5" s="135" t="s">
        <v>431</v>
      </c>
      <c r="F5" s="275">
        <f>BS!D66</f>
        <v>6698432238.5095959</v>
      </c>
      <c r="G5" t="str">
        <f>Reporting_currency</f>
        <v>CNY</v>
      </c>
      <c r="H5" s="308" t="s">
        <v>394</v>
      </c>
      <c r="I5" s="305">
        <f>Normalized_FCF!C7</f>
        <v>-1673614926</v>
      </c>
      <c r="J5" s="305"/>
    </row>
    <row r="6" spans="2:15" ht="13.25" customHeight="1">
      <c r="B6" s="136" t="s">
        <v>193</v>
      </c>
      <c r="C6" s="283">
        <f>(C4*(1+Terminal_Growth))/(Equity_Cost-Terminal_Growth)</f>
        <v>13453659906.400867</v>
      </c>
      <c r="D6" t="str">
        <f>Reporting_currency</f>
        <v>CNY</v>
      </c>
      <c r="E6" s="187" t="s">
        <v>432</v>
      </c>
      <c r="F6" s="284">
        <f>BS!H42</f>
        <v>583558544.63999999</v>
      </c>
      <c r="G6" t="str">
        <f>Reporting_currency</f>
        <v>CNY</v>
      </c>
      <c r="H6" s="308" t="s">
        <v>415</v>
      </c>
      <c r="I6" s="305">
        <f>I7+I8</f>
        <v>-2540403.7714775726</v>
      </c>
      <c r="J6" s="305"/>
      <c r="N6" s="135"/>
    </row>
    <row r="7" spans="2:15" ht="12.75" customHeight="1">
      <c r="B7" s="318" t="s">
        <v>429</v>
      </c>
      <c r="C7" s="275">
        <f>F7</f>
        <v>6998852326.5595961</v>
      </c>
      <c r="E7" s="140" t="s">
        <v>423</v>
      </c>
      <c r="F7" s="283">
        <f>SUM(F4:F6)</f>
        <v>6998852326.5595961</v>
      </c>
      <c r="G7" t="str">
        <f>Reporting_currency</f>
        <v>CNY</v>
      </c>
      <c r="H7" s="312" t="s">
        <v>416</v>
      </c>
      <c r="I7" s="313">
        <f>Normalized_FCF!C9</f>
        <v>0</v>
      </c>
      <c r="J7" s="313"/>
      <c r="N7" s="304"/>
      <c r="O7" s="304"/>
    </row>
    <row r="8" spans="2:15" ht="13.15">
      <c r="B8" s="136" t="s">
        <v>425</v>
      </c>
      <c r="C8" s="283">
        <f>C6+C7</f>
        <v>20452512232.960464</v>
      </c>
      <c r="D8" t="str">
        <f>Reporting_currency</f>
        <v>CNY</v>
      </c>
      <c r="E8" s="140" t="s">
        <v>463</v>
      </c>
      <c r="F8" s="108">
        <f>FV_adjustments*scaling_factor/Common_Shares*Exchange_Rate</f>
        <v>6.5041557568625379</v>
      </c>
      <c r="G8" s="294" t="str">
        <f>Market_currency</f>
        <v>HKD</v>
      </c>
      <c r="H8" s="314" t="str">
        <f>Normalized_FCF!B10</f>
        <v>Net Interest Income</v>
      </c>
      <c r="I8" s="313">
        <f>Normalized_FCF!C10</f>
        <v>-2540403.7714775726</v>
      </c>
      <c r="J8" s="313"/>
      <c r="N8" s="304"/>
      <c r="O8" s="304"/>
    </row>
    <row r="9" spans="2:15" ht="13.15" thickBot="1">
      <c r="B9" s="189" t="str">
        <f>"*"&amp;Thesis!E15</f>
        <v>*CNY/HKD</v>
      </c>
      <c r="C9" s="190">
        <f>Exchange_Rate</f>
        <v>1.14663</v>
      </c>
      <c r="D9" t="str">
        <f>Thesis!E15</f>
        <v>CNY/HKD</v>
      </c>
      <c r="F9" s="322"/>
      <c r="H9" s="308" t="str">
        <f>Normalized_FCF!B79</f>
        <v>NCI’s Share of Profits</v>
      </c>
      <c r="I9" s="144">
        <f>Normalized_FCF!C79</f>
        <v>4.7698756326307106E-3</v>
      </c>
      <c r="J9" s="306"/>
      <c r="N9" s="304"/>
      <c r="O9" s="304"/>
    </row>
    <row r="10" spans="2:15" ht="13.5" thickTop="1">
      <c r="B10" s="107" t="s">
        <v>426</v>
      </c>
      <c r="C10" s="283">
        <f>C8*Exchange_Rate</f>
        <v>23451464101.679459</v>
      </c>
      <c r="D10" t="str">
        <f>Market_currency</f>
        <v>HKD</v>
      </c>
      <c r="H10" s="308" t="s">
        <v>396</v>
      </c>
      <c r="I10" s="306">
        <f>Normalized_FCF!C41</f>
        <v>0.25</v>
      </c>
      <c r="N10" s="304"/>
      <c r="O10" s="304"/>
    </row>
    <row r="11" spans="2:15" ht="13.15">
      <c r="B11" s="136" t="s">
        <v>424</v>
      </c>
      <c r="C11" s="108">
        <f>(C10*scaling_factor)/Common_Shares</f>
        <v>19.006876981458273</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v>
      </c>
      <c r="E15" s="308" t="str">
        <f>IF(F14="II","Change year","Terminal Year")</f>
        <v>Terminal Year</v>
      </c>
      <c r="F15" s="310">
        <f>IF(F14="II",_xlfn.CEILING.MATH(C15/2),C15+1)</f>
        <v>4</v>
      </c>
      <c r="H15" s="97" t="s">
        <v>428</v>
      </c>
      <c r="I15" s="126">
        <f>Terminal_Growth</f>
        <v>0</v>
      </c>
      <c r="J15" s="126"/>
    </row>
    <row r="16" spans="2:15" ht="13.25" customHeight="1">
      <c r="B16" s="114" t="s">
        <v>421</v>
      </c>
      <c r="C16" s="147">
        <f>Scenarios!C46</f>
        <v>1.7510817454652E-3</v>
      </c>
      <c r="E16" s="308" t="s">
        <v>399</v>
      </c>
      <c r="F16" s="311">
        <f>Scenarios!C41</f>
        <v>1.7510817454652E-3</v>
      </c>
    </row>
    <row r="17" spans="1:21" ht="13.25" customHeight="1">
      <c r="B17" s="308" t="s">
        <v>548</v>
      </c>
      <c r="C17" s="306">
        <f>Normalized_FCF!C77</f>
        <v>0.12639884314972349</v>
      </c>
      <c r="E17" s="308" t="s">
        <v>549</v>
      </c>
      <c r="F17" s="311">
        <f>Scenarios!C40</f>
        <v>0.12639884314972349</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19.067779286034192</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12350102127.624994</v>
      </c>
      <c r="D21" s="299">
        <f t="shared" ref="D21:D50" si="1">IF(A21="",0,IF(A21="I",$C$16,$F$16))</f>
        <v>1.7510817454652E-3</v>
      </c>
      <c r="E21" s="299">
        <f>$C$17</f>
        <v>0.12639884314972349</v>
      </c>
      <c r="F21" s="277">
        <f>C21*E21</f>
        <v>1561038621.712738</v>
      </c>
      <c r="G21" s="299">
        <f t="shared" ref="G21:G50" si="2">IF(A21="",0%,IF(A21="I",$C$18,$F$18))</f>
        <v>0</v>
      </c>
      <c r="H21" s="277">
        <f>(F21*(1-$I$10)+C21*(G21-$I$9))</f>
        <v>1111870515.0854943</v>
      </c>
      <c r="I21" s="299">
        <f>H21/C4-1</f>
        <v>1.7510817454648997E-3</v>
      </c>
      <c r="J21" s="299">
        <f>H21/C21</f>
        <v>9.0029256729661902E-2</v>
      </c>
      <c r="K21" s="119">
        <f t="shared" ref="K21:K50" si="3">IF($C$15&lt;B21,0,1/(1+Equity_Cost)^B21)</f>
        <v>0.92378752886836024</v>
      </c>
      <c r="L21" s="277">
        <f t="shared" ref="L21:L51" si="4">H21*K21</f>
        <v>1027132115.5524197</v>
      </c>
    </row>
    <row r="22" spans="1:21">
      <c r="A22" s="302" t="str">
        <f t="shared" si="0"/>
        <v>I</v>
      </c>
      <c r="B22" s="117">
        <v>2</v>
      </c>
      <c r="C22" s="277">
        <f t="shared" ref="C22:C50" si="5">IF(A22="",0,C21*(1+D22))</f>
        <v>12371728166.015308</v>
      </c>
      <c r="D22" s="299">
        <f t="shared" si="1"/>
        <v>1.7510817454652E-3</v>
      </c>
      <c r="E22" s="299">
        <f t="shared" ref="E22:E50" si="6">IF($C$15&lt;B22,0,IF(B22&gt;=$F$15,$F$17,$C$17))</f>
        <v>0.12639884314972349</v>
      </c>
      <c r="F22" s="277">
        <f t="shared" ref="F22:F50" si="7">IF(A22="", 0,C22*E22)</f>
        <v>1563772127.9471853</v>
      </c>
      <c r="G22" s="299">
        <f t="shared" si="2"/>
        <v>0</v>
      </c>
      <c r="H22" s="277">
        <f t="shared" ref="H22:H50" si="8">IF(A22="", 0,F22*(1-$I$10)+C22*(G22-$I$9))</f>
        <v>1113817491.2477815</v>
      </c>
      <c r="I22" s="299">
        <f t="shared" ref="I22:I50" si="9">IF(A22="", 0,H22/H21-1)</f>
        <v>1.7510817454653438E-3</v>
      </c>
      <c r="J22" s="299">
        <f>IF(A22="", 0,H22/C22)</f>
        <v>9.0029256729661916E-2</v>
      </c>
      <c r="K22" s="119">
        <f t="shared" si="3"/>
        <v>0.85338339849271161</v>
      </c>
      <c r="L22" s="277">
        <f t="shared" si="4"/>
        <v>950513355.98165786</v>
      </c>
    </row>
    <row r="23" spans="1:21">
      <c r="A23" s="302" t="str">
        <f t="shared" si="0"/>
        <v>I</v>
      </c>
      <c r="B23" s="117">
        <v>3</v>
      </c>
      <c r="C23" s="277">
        <f t="shared" si="5"/>
        <v>12393392073.366674</v>
      </c>
      <c r="D23" s="299">
        <f t="shared" si="1"/>
        <v>1.7510817454652E-3</v>
      </c>
      <c r="E23" s="299">
        <f t="shared" si="6"/>
        <v>0.12639884314972349</v>
      </c>
      <c r="F23" s="277">
        <f t="shared" si="7"/>
        <v>1566510420.7745008</v>
      </c>
      <c r="G23" s="299">
        <f t="shared" si="2"/>
        <v>0</v>
      </c>
      <c r="H23" s="277">
        <f t="shared" si="8"/>
        <v>1115767876.7244854</v>
      </c>
      <c r="I23" s="299">
        <f t="shared" si="9"/>
        <v>1.7510817454653438E-3</v>
      </c>
      <c r="J23" s="299">
        <f t="shared" ref="J23:J50" si="10">IF(A23="", 0,H23/C23)</f>
        <v>9.0029256729661916E-2</v>
      </c>
      <c r="K23" s="119">
        <f t="shared" si="3"/>
        <v>0.78834494087086515</v>
      </c>
      <c r="L23" s="277">
        <f t="shared" si="4"/>
        <v>879609960.80197525</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4</v>
      </c>
      <c r="C51" s="277">
        <f>VLOOKUP(C15,B21:C50,2,FALSE)*(1+Terminal_Growth)</f>
        <v>12393392073.366674</v>
      </c>
      <c r="D51" s="301">
        <f>Terminal_Growth</f>
        <v>0</v>
      </c>
      <c r="E51" s="301">
        <f>F17</f>
        <v>0.12639884314972349</v>
      </c>
      <c r="F51" s="277">
        <f>C51*E51</f>
        <v>1566510420.7745008</v>
      </c>
      <c r="G51" s="299">
        <f>F18</f>
        <v>0</v>
      </c>
      <c r="H51" s="277">
        <f>(F51*(1-$I$10)+C51*(G51-$I$9))/Equity_Cost</f>
        <v>13524459111.811945</v>
      </c>
      <c r="I51" s="415">
        <f>(F51*(1-$I$10)+C51*(G51-$I$9))/VLOOKUP(C15,B21:H50,COLUMN(H20)-1,FALSE)-1</f>
        <v>0</v>
      </c>
      <c r="J51" s="454"/>
      <c r="K51" s="119">
        <f>1/(1+Equity_Cost)^C15</f>
        <v>0.78834494087086515</v>
      </c>
      <c r="L51" s="277">
        <f t="shared" si="4"/>
        <v>10661938918.811821</v>
      </c>
    </row>
    <row r="52" spans="1:21" ht="13.15">
      <c r="G52" s="111"/>
      <c r="H52" s="111"/>
      <c r="I52" s="111"/>
      <c r="J52" s="468" t="s">
        <v>419</v>
      </c>
      <c r="K52" s="468"/>
      <c r="L52" s="317">
        <f>SUM(L21:L51)</f>
        <v>13519194351.147873</v>
      </c>
    </row>
    <row r="53" spans="1:21">
      <c r="C53" s="111"/>
    </row>
    <row r="54" spans="1:21" ht="13.15">
      <c r="B54" s="115" t="s">
        <v>107</v>
      </c>
      <c r="C54" s="128"/>
      <c r="D54" s="128"/>
      <c r="E54" s="113"/>
      <c r="F54" s="113"/>
      <c r="G54" s="113"/>
      <c r="H54" s="113"/>
      <c r="I54" s="113"/>
      <c r="J54" s="113"/>
      <c r="K54" s="113"/>
      <c r="L54" s="113"/>
    </row>
    <row r="55" spans="1:21" ht="13.15">
      <c r="A55" s="125">
        <f>L52</f>
        <v>13519194351.147873</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13184586708.272846</v>
      </c>
      <c r="C56" s="118">
        <v>13319123307.336859</v>
      </c>
      <c r="D56" s="118">
        <v>13453659906.400866</v>
      </c>
      <c r="E56" s="118">
        <v>13588196505.464876</v>
      </c>
      <c r="F56" s="118">
        <v>13722733104.528885</v>
      </c>
      <c r="G56" s="295"/>
      <c r="H56" s="295"/>
      <c r="I56" s="295"/>
      <c r="J56" s="295"/>
      <c r="K56" s="295"/>
      <c r="L56" s="295"/>
    </row>
    <row r="57" spans="1:21" ht="13.15">
      <c r="A57" s="131">
        <v>2</v>
      </c>
      <c r="B57" s="118">
        <v>12940991572.785131</v>
      </c>
      <c r="C57" s="118">
        <v>13196082907.269079</v>
      </c>
      <c r="D57" s="118">
        <v>13453659906.400867</v>
      </c>
      <c r="E57" s="118">
        <v>13713722570.180485</v>
      </c>
      <c r="F57" s="118">
        <v>13976270898.607943</v>
      </c>
      <c r="G57" s="295"/>
      <c r="H57" s="295"/>
      <c r="I57" s="295"/>
      <c r="J57" s="295"/>
      <c r="K57" s="295"/>
      <c r="L57" s="295"/>
    </row>
    <row r="58" spans="1:21" ht="13.15">
      <c r="A58" s="131">
        <v>3</v>
      </c>
      <c r="B58" s="118">
        <v>12720462027.493706</v>
      </c>
      <c r="C58" s="118">
        <v>13083556352.010792</v>
      </c>
      <c r="D58" s="118">
        <v>13453659906.400867</v>
      </c>
      <c r="E58" s="118">
        <v>13830841577.444012</v>
      </c>
      <c r="F58" s="118">
        <v>14215170251.920305</v>
      </c>
      <c r="G58" s="295"/>
      <c r="H58" s="295"/>
      <c r="I58" s="295"/>
      <c r="J58" s="295"/>
      <c r="K58" s="295"/>
      <c r="L58" s="295"/>
    </row>
    <row r="59" spans="1:21" ht="13.15">
      <c r="A59" s="131">
        <v>4</v>
      </c>
      <c r="B59" s="118">
        <v>12520814032.680225</v>
      </c>
      <c r="C59" s="118">
        <v>12980645229.880806</v>
      </c>
      <c r="D59" s="118">
        <v>13453659906.400867</v>
      </c>
      <c r="E59" s="118">
        <v>13940116586.530537</v>
      </c>
      <c r="F59" s="118">
        <v>14440276340.029882</v>
      </c>
      <c r="G59" s="295"/>
      <c r="H59" s="295"/>
      <c r="I59" s="295"/>
      <c r="J59" s="295"/>
      <c r="K59" s="295"/>
      <c r="L59" s="295"/>
    </row>
    <row r="60" spans="1:21" ht="13.15">
      <c r="A60" s="131">
        <v>5</v>
      </c>
      <c r="B60" s="118">
        <v>12340070351.463398</v>
      </c>
      <c r="C60" s="118">
        <v>12886527898.787334</v>
      </c>
      <c r="D60" s="118">
        <v>13453659906.400867</v>
      </c>
      <c r="E60" s="118">
        <v>14042072946.047756</v>
      </c>
      <c r="F60" s="118">
        <v>14652385540.835209</v>
      </c>
      <c r="G60" s="295"/>
      <c r="H60" s="295"/>
      <c r="I60" s="295"/>
      <c r="J60" s="295"/>
      <c r="K60" s="295"/>
      <c r="L60" s="295"/>
    </row>
    <row r="61" spans="1:21" ht="13.15">
      <c r="A61" s="131">
        <v>6</v>
      </c>
      <c r="B61" s="118">
        <v>12176440968.006134</v>
      </c>
      <c r="C61" s="118">
        <v>12800452926.239954</v>
      </c>
      <c r="D61" s="118">
        <v>13453659906.400869</v>
      </c>
      <c r="E61" s="118">
        <v>14137200819.592688</v>
      </c>
      <c r="F61" s="118">
        <v>14852248251.986647</v>
      </c>
      <c r="G61" s="295"/>
      <c r="H61" s="295"/>
      <c r="I61" s="295"/>
      <c r="J61" s="295"/>
      <c r="K61" s="295"/>
      <c r="L61" s="295"/>
    </row>
    <row r="62" spans="1:21" ht="13.15">
      <c r="A62" s="131">
        <v>7</v>
      </c>
      <c r="B62" s="118">
        <v>12028305359.887779</v>
      </c>
      <c r="C62" s="118">
        <v>12721733089.914869</v>
      </c>
      <c r="D62" s="118">
        <v>13453659906.400867</v>
      </c>
      <c r="E62" s="118">
        <v>14225957542.253548</v>
      </c>
      <c r="F62" s="118">
        <v>15040571545.635117</v>
      </c>
      <c r="G62" s="295"/>
      <c r="H62" s="295"/>
      <c r="I62" s="295"/>
      <c r="J62" s="295"/>
      <c r="K62" s="295"/>
      <c r="L62" s="295"/>
    </row>
    <row r="63" spans="1:21" ht="13.15">
      <c r="A63" s="131">
        <v>8</v>
      </c>
      <c r="B63" s="118">
        <v>11894196449.073936</v>
      </c>
      <c r="C63" s="118">
        <v>12649739890.873915</v>
      </c>
      <c r="D63" s="118">
        <v>13453659906.400869</v>
      </c>
      <c r="E63" s="118">
        <v>14308769819.285854</v>
      </c>
      <c r="F63" s="118">
        <v>15218021669.904343</v>
      </c>
      <c r="G63" s="295"/>
      <c r="H63" s="295"/>
      <c r="I63" s="295"/>
      <c r="J63" s="295"/>
      <c r="K63" s="295"/>
      <c r="L63" s="295"/>
    </row>
    <row r="64" spans="1:21" ht="13.15">
      <c r="A64" s="131">
        <v>9</v>
      </c>
      <c r="B64" s="118">
        <v>11772786072.540384</v>
      </c>
      <c r="C64" s="118">
        <v>12583898535.630917</v>
      </c>
      <c r="D64" s="118">
        <v>13453659906.400869</v>
      </c>
      <c r="E64" s="118">
        <v>14386035777.533085</v>
      </c>
      <c r="F64" s="118">
        <v>15385226405.936314</v>
      </c>
      <c r="G64" s="295"/>
      <c r="H64" s="295"/>
      <c r="I64" s="295"/>
      <c r="J64" s="295"/>
      <c r="K64" s="295"/>
      <c r="L64" s="295"/>
    </row>
    <row r="65" spans="1:21" ht="13.15">
      <c r="A65" s="131">
        <v>10</v>
      </c>
      <c r="B65" s="118">
        <v>11662871828.657818</v>
      </c>
      <c r="C65" s="118">
        <v>12523683347.002216</v>
      </c>
      <c r="D65" s="118">
        <v>13453659906.400869</v>
      </c>
      <c r="E65" s="118">
        <v>14458126879.45429</v>
      </c>
      <c r="F65" s="118">
        <v>15542777288.848661</v>
      </c>
      <c r="G65" s="295"/>
      <c r="H65" s="295"/>
      <c r="I65" s="295"/>
      <c r="J65" s="295"/>
      <c r="K65" s="295"/>
      <c r="L65" s="295"/>
    </row>
    <row r="66" spans="1:21" ht="13.15">
      <c r="A66" s="131">
        <v>15</v>
      </c>
      <c r="B66" s="118">
        <v>11251052377.535349</v>
      </c>
      <c r="C66" s="277">
        <v>12291539565.673157</v>
      </c>
      <c r="D66" s="118">
        <v>13453659906.400871</v>
      </c>
      <c r="E66" s="118">
        <v>14752309475.419415</v>
      </c>
      <c r="F66" s="118">
        <v>16204144195.63427</v>
      </c>
      <c r="G66" s="295"/>
      <c r="H66" s="295"/>
      <c r="I66" s="295"/>
      <c r="J66" s="295"/>
      <c r="K66" s="295"/>
      <c r="L66" s="295"/>
      <c r="M66" s="275"/>
      <c r="N66" s="275"/>
      <c r="O66" s="275"/>
      <c r="P66" s="275"/>
      <c r="Q66" s="275"/>
      <c r="R66" s="275"/>
      <c r="S66" s="275"/>
      <c r="T66" s="275"/>
      <c r="U66" s="275"/>
    </row>
    <row r="67" spans="1:21" ht="13.15">
      <c r="A67" s="132">
        <v>20</v>
      </c>
      <c r="B67" s="118">
        <v>11000615829.593409</v>
      </c>
      <c r="C67" s="277">
        <v>12143016637.756447</v>
      </c>
      <c r="D67" s="118">
        <v>13453659906.400871</v>
      </c>
      <c r="E67" s="118">
        <v>14960319526.088051</v>
      </c>
      <c r="F67" s="118">
        <v>16695395587.358253</v>
      </c>
      <c r="G67" s="295"/>
      <c r="H67" s="295"/>
      <c r="I67" s="295"/>
      <c r="J67" s="295"/>
      <c r="K67" s="295"/>
      <c r="L67" s="295"/>
      <c r="M67" s="275"/>
      <c r="N67" s="275"/>
      <c r="O67" s="275"/>
      <c r="P67" s="275"/>
      <c r="Q67" s="275"/>
      <c r="R67" s="275"/>
      <c r="S67" s="275"/>
      <c r="T67" s="275"/>
      <c r="U67" s="275"/>
    </row>
    <row r="68" spans="1:21" ht="13.15">
      <c r="A68" s="132">
        <v>25</v>
      </c>
      <c r="B68" s="118">
        <v>10848319806.726767</v>
      </c>
      <c r="C68" s="277">
        <v>12047993372.473778</v>
      </c>
      <c r="D68" s="118">
        <v>13453659906.400871</v>
      </c>
      <c r="E68" s="118">
        <v>15107398863.114155</v>
      </c>
      <c r="F68" s="118">
        <v>17060288247.385143</v>
      </c>
      <c r="G68" s="295"/>
      <c r="H68" s="295"/>
      <c r="I68" s="295"/>
      <c r="J68" s="295"/>
      <c r="K68" s="295"/>
      <c r="L68" s="295"/>
      <c r="M68" s="275"/>
      <c r="N68" s="275"/>
      <c r="O68" s="275"/>
      <c r="P68" s="275"/>
      <c r="Q68" s="275"/>
      <c r="R68" s="275"/>
      <c r="S68" s="275"/>
      <c r="T68" s="275"/>
      <c r="U68" s="275"/>
    </row>
    <row r="69" spans="1:21" ht="13.15">
      <c r="A69" s="132">
        <v>30</v>
      </c>
      <c r="B69" s="118">
        <v>10755705215.240007</v>
      </c>
      <c r="C69" s="277">
        <v>11987198577.54458</v>
      </c>
      <c r="D69" s="118">
        <v>13453659906.400871</v>
      </c>
      <c r="E69" s="118">
        <v>15211395431.118935</v>
      </c>
      <c r="F69" s="118">
        <v>17331323923.995106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19.006876981458273</v>
      </c>
      <c r="C73" s="119">
        <f>C11</f>
        <v>19.006876981458273</v>
      </c>
      <c r="D73" s="119">
        <f>C11</f>
        <v>19.006876981458273</v>
      </c>
      <c r="E73" s="119">
        <f>C11</f>
        <v>19.006876981458273</v>
      </c>
      <c r="F73" s="119">
        <f>C11</f>
        <v>19.006876981458273</v>
      </c>
      <c r="G73" s="296"/>
      <c r="H73" s="296"/>
      <c r="I73" s="296"/>
      <c r="J73" s="296"/>
      <c r="K73" s="296"/>
      <c r="L73" s="296"/>
    </row>
    <row r="74" spans="1:21" ht="13.15">
      <c r="A74" s="131">
        <v>1</v>
      </c>
      <c r="B74" s="119">
        <f t="shared" ref="B74:F87" si="11">(B56+FV_adjustments)/Common_Shares*scaling_factor*Exchange_Rate</f>
        <v>18.756822556966355</v>
      </c>
      <c r="C74" s="119">
        <f t="shared" si="11"/>
        <v>18.881849769212312</v>
      </c>
      <c r="D74" s="119">
        <f t="shared" si="11"/>
        <v>19.006876981458273</v>
      </c>
      <c r="E74" s="119">
        <f t="shared" si="11"/>
        <v>19.13190419370423</v>
      </c>
      <c r="F74" s="119">
        <f t="shared" si="11"/>
        <v>19.256931405950191</v>
      </c>
      <c r="G74" s="296"/>
      <c r="H74" s="296"/>
      <c r="I74" s="296"/>
      <c r="J74" s="296"/>
      <c r="K74" s="296"/>
      <c r="L74" s="296"/>
    </row>
    <row r="75" spans="1:21" ht="13.15">
      <c r="A75" s="131">
        <v>2</v>
      </c>
      <c r="B75" s="119">
        <f t="shared" si="11"/>
        <v>18.530445341260055</v>
      </c>
      <c r="C75" s="119">
        <f t="shared" si="11"/>
        <v>18.767506175564737</v>
      </c>
      <c r="D75" s="119">
        <f t="shared" si="11"/>
        <v>19.006876981458277</v>
      </c>
      <c r="E75" s="119">
        <f t="shared" si="11"/>
        <v>19.248557758940645</v>
      </c>
      <c r="F75" s="119">
        <f t="shared" si="11"/>
        <v>19.492548508011854</v>
      </c>
      <c r="G75" s="296"/>
      <c r="H75" s="296"/>
      <c r="I75" s="296"/>
      <c r="J75" s="296"/>
      <c r="K75" s="296"/>
      <c r="L75" s="296"/>
    </row>
    <row r="76" spans="1:21" ht="13.15">
      <c r="A76" s="131">
        <v>3</v>
      </c>
      <c r="B76" s="119">
        <f t="shared" si="11"/>
        <v>18.325503381544411</v>
      </c>
      <c r="C76" s="119">
        <f t="shared" si="11"/>
        <v>18.662933281605302</v>
      </c>
      <c r="D76" s="119">
        <f t="shared" si="11"/>
        <v>19.006876981458277</v>
      </c>
      <c r="E76" s="119">
        <f t="shared" si="11"/>
        <v>19.357398498791706</v>
      </c>
      <c r="F76" s="119">
        <f t="shared" si="11"/>
        <v>19.714561851293976</v>
      </c>
      <c r="G76" s="296"/>
      <c r="H76" s="296"/>
      <c r="I76" s="296"/>
      <c r="J76" s="296"/>
      <c r="K76" s="296"/>
      <c r="L76" s="296"/>
    </row>
    <row r="77" spans="1:21" ht="13.15">
      <c r="A77" s="131">
        <v>4</v>
      </c>
      <c r="B77" s="119">
        <f t="shared" si="11"/>
        <v>18.139967011547807</v>
      </c>
      <c r="C77" s="119">
        <f t="shared" si="11"/>
        <v>18.567296177660864</v>
      </c>
      <c r="D77" s="119">
        <f t="shared" si="11"/>
        <v>19.006876981458277</v>
      </c>
      <c r="E77" s="119">
        <f t="shared" si="11"/>
        <v>19.458949674079999</v>
      </c>
      <c r="F77" s="119">
        <f t="shared" si="11"/>
        <v>19.923756872215701</v>
      </c>
      <c r="G77" s="296"/>
      <c r="H77" s="296"/>
      <c r="I77" s="296"/>
      <c r="J77" s="296"/>
      <c r="K77" s="296"/>
      <c r="L77" s="296"/>
    </row>
    <row r="78" spans="1:21" ht="13.15">
      <c r="A78" s="131">
        <v>5</v>
      </c>
      <c r="B78" s="119">
        <f t="shared" si="11"/>
        <v>17.97199875048852</v>
      </c>
      <c r="C78" s="119">
        <f t="shared" si="11"/>
        <v>18.479831297379121</v>
      </c>
      <c r="D78" s="119">
        <f t="shared" si="11"/>
        <v>19.006876981458277</v>
      </c>
      <c r="E78" s="119">
        <f t="shared" si="11"/>
        <v>19.553699500445983</v>
      </c>
      <c r="F78" s="119">
        <f t="shared" si="11"/>
        <v>20.120873658673123</v>
      </c>
      <c r="G78" s="296"/>
      <c r="H78" s="296"/>
      <c r="I78" s="296"/>
      <c r="J78" s="296"/>
      <c r="K78" s="296"/>
      <c r="L78" s="296"/>
    </row>
    <row r="79" spans="1:21" ht="13.15">
      <c r="A79" s="131">
        <v>6</v>
      </c>
      <c r="B79" s="119">
        <f t="shared" si="11"/>
        <v>17.819935105372497</v>
      </c>
      <c r="C79" s="119">
        <f t="shared" si="11"/>
        <v>18.399840321417059</v>
      </c>
      <c r="D79" s="119">
        <f t="shared" si="11"/>
        <v>19.006876981458277</v>
      </c>
      <c r="E79" s="119">
        <f t="shared" si="11"/>
        <v>19.642103495484907</v>
      </c>
      <c r="F79" s="119">
        <f t="shared" si="11"/>
        <v>20.306609568314297</v>
      </c>
      <c r="G79" s="296"/>
      <c r="H79" s="296"/>
      <c r="I79" s="296"/>
      <c r="J79" s="296"/>
      <c r="K79" s="296"/>
      <c r="L79" s="296"/>
    </row>
    <row r="80" spans="1:21" ht="13.15">
      <c r="A80" s="131">
        <f t="shared" ref="A80" si="12">A62</f>
        <v>7</v>
      </c>
      <c r="B80" s="119">
        <f t="shared" si="11"/>
        <v>17.682270096399094</v>
      </c>
      <c r="C80" s="119">
        <f t="shared" si="11"/>
        <v>18.326684602061462</v>
      </c>
      <c r="D80" s="119">
        <f t="shared" si="11"/>
        <v>19.006876981458277</v>
      </c>
      <c r="E80" s="119">
        <f t="shared" si="11"/>
        <v>19.724586668685202</v>
      </c>
      <c r="F80" s="119">
        <f t="shared" si="11"/>
        <v>20.481621695643625</v>
      </c>
      <c r="G80" s="296"/>
      <c r="H80" s="296"/>
      <c r="I80" s="296"/>
      <c r="J80" s="296"/>
      <c r="K80" s="296"/>
      <c r="L80" s="296"/>
    </row>
    <row r="81" spans="1:12" ht="13.15">
      <c r="A81" s="131">
        <v>8</v>
      </c>
      <c r="B81" s="119">
        <f t="shared" si="11"/>
        <v>17.557640342316944</v>
      </c>
      <c r="C81" s="119">
        <f t="shared" si="11"/>
        <v>18.259780064267428</v>
      </c>
      <c r="D81" s="119">
        <f t="shared" si="11"/>
        <v>19.006876981458277</v>
      </c>
      <c r="E81" s="119">
        <f t="shared" si="11"/>
        <v>19.801545564696561</v>
      </c>
      <c r="F81" s="119">
        <f t="shared" si="11"/>
        <v>20.646529196683726</v>
      </c>
      <c r="G81" s="296"/>
      <c r="H81" s="296"/>
      <c r="I81" s="296"/>
      <c r="J81" s="296"/>
      <c r="K81" s="296"/>
      <c r="L81" s="296"/>
    </row>
    <row r="82" spans="1:12" ht="13.15">
      <c r="A82" s="131">
        <f t="shared" ref="A82" si="13">A64</f>
        <v>9</v>
      </c>
      <c r="B82" s="119">
        <f t="shared" si="11"/>
        <v>17.444811558020856</v>
      </c>
      <c r="C82" s="119">
        <f t="shared" si="11"/>
        <v>18.198592542404985</v>
      </c>
      <c r="D82" s="119">
        <f t="shared" si="11"/>
        <v>19.006876981458277</v>
      </c>
      <c r="E82" s="119">
        <f t="shared" si="11"/>
        <v>19.873350169751038</v>
      </c>
      <c r="F82" s="119">
        <f t="shared" si="11"/>
        <v>20.801915479418973</v>
      </c>
      <c r="G82" s="296"/>
      <c r="H82" s="296"/>
      <c r="I82" s="296"/>
      <c r="J82" s="296"/>
      <c r="K82" s="296"/>
      <c r="L82" s="296"/>
    </row>
    <row r="83" spans="1:12" ht="13.15">
      <c r="A83" s="131">
        <f t="shared" ref="A83:A87" si="14">A65</f>
        <v>10</v>
      </c>
      <c r="B83" s="119">
        <f t="shared" si="11"/>
        <v>17.34266633066736</v>
      </c>
      <c r="C83" s="119">
        <f t="shared" si="11"/>
        <v>18.142633515482288</v>
      </c>
      <c r="D83" s="119">
        <f t="shared" si="11"/>
        <v>19.006876981458277</v>
      </c>
      <c r="E83" s="119">
        <f t="shared" si="11"/>
        <v>19.940345690402332</v>
      </c>
      <c r="F83" s="119">
        <f t="shared" si="11"/>
        <v>20.948330267769972</v>
      </c>
      <c r="G83" s="296"/>
      <c r="H83" s="296"/>
      <c r="I83" s="296"/>
      <c r="J83" s="296"/>
      <c r="K83" s="296"/>
      <c r="L83" s="296"/>
    </row>
    <row r="84" spans="1:12" ht="13.15">
      <c r="A84" s="131">
        <f t="shared" si="14"/>
        <v>15</v>
      </c>
      <c r="B84" s="119">
        <f t="shared" si="11"/>
        <v>16.959955319085999</v>
      </c>
      <c r="C84" s="119">
        <f t="shared" si="11"/>
        <v>17.926898243283247</v>
      </c>
      <c r="D84" s="119">
        <f t="shared" si="11"/>
        <v>19.006876981458277</v>
      </c>
      <c r="E84" s="119">
        <f t="shared" si="11"/>
        <v>20.213734717036633</v>
      </c>
      <c r="F84" s="119">
        <f t="shared" si="11"/>
        <v>21.562950090200566</v>
      </c>
      <c r="G84" s="296"/>
      <c r="H84" s="296"/>
      <c r="I84" s="296"/>
      <c r="J84" s="296"/>
      <c r="K84" s="296"/>
      <c r="L84" s="296"/>
    </row>
    <row r="85" spans="1:12" ht="13.15">
      <c r="A85" s="132">
        <f t="shared" si="14"/>
        <v>20</v>
      </c>
      <c r="B85" s="119">
        <f t="shared" si="11"/>
        <v>16.727220259247115</v>
      </c>
      <c r="C85" s="119">
        <f t="shared" si="11"/>
        <v>17.788873291253658</v>
      </c>
      <c r="D85" s="119">
        <f t="shared" si="11"/>
        <v>19.006876981458277</v>
      </c>
      <c r="E85" s="119">
        <f t="shared" si="11"/>
        <v>20.407042091648254</v>
      </c>
      <c r="F85" s="119">
        <f t="shared" si="11"/>
        <v>22.019478592084091</v>
      </c>
      <c r="G85" s="296"/>
      <c r="H85" s="296"/>
      <c r="I85" s="296"/>
      <c r="J85" s="296"/>
      <c r="K85" s="296"/>
      <c r="L85" s="296"/>
    </row>
    <row r="86" spans="1:12" ht="13.15">
      <c r="A86" s="132">
        <f t="shared" si="14"/>
        <v>25</v>
      </c>
      <c r="B86" s="119">
        <f t="shared" si="11"/>
        <v>16.585688904153891</v>
      </c>
      <c r="C86" s="119">
        <f t="shared" si="11"/>
        <v>17.700566510500657</v>
      </c>
      <c r="D86" s="119">
        <f t="shared" si="11"/>
        <v>19.006876981458277</v>
      </c>
      <c r="E86" s="119">
        <f t="shared" si="11"/>
        <v>20.543725489439577</v>
      </c>
      <c r="F86" s="119">
        <f t="shared" si="11"/>
        <v>22.35857971675626</v>
      </c>
      <c r="G86" s="296"/>
      <c r="H86" s="296"/>
      <c r="I86" s="296"/>
      <c r="J86" s="296"/>
      <c r="K86" s="296"/>
      <c r="L86" s="296"/>
    </row>
    <row r="87" spans="1:12" ht="13.15">
      <c r="A87" s="132">
        <f t="shared" si="14"/>
        <v>30</v>
      </c>
      <c r="B87" s="119">
        <f t="shared" si="11"/>
        <v>16.499620546045787</v>
      </c>
      <c r="C87" s="119">
        <f t="shared" si="11"/>
        <v>17.644068845315541</v>
      </c>
      <c r="D87" s="119">
        <f t="shared" si="11"/>
        <v>19.006876981458277</v>
      </c>
      <c r="E87" s="119">
        <f t="shared" si="11"/>
        <v>20.640371317201271</v>
      </c>
      <c r="F87" s="119">
        <f t="shared" si="11"/>
        <v>22.610457906791506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19.714561851293976</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19.357398498791706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19.006876981458277</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18.662933281605302</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18.325503381544411</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1329553199.5400009</v>
      </c>
      <c r="D7" s="469"/>
      <c r="E7" s="469"/>
      <c r="F7" s="469"/>
      <c r="G7" s="469"/>
    </row>
    <row r="8" spans="2:7">
      <c r="B8" s="97" t="s">
        <v>62</v>
      </c>
      <c r="C8" s="447">
        <f>Normalized_FCF!G19</f>
        <v>1208080035.0731671</v>
      </c>
      <c r="D8" s="469"/>
      <c r="E8" s="469"/>
      <c r="F8" s="469"/>
      <c r="G8" s="469"/>
    </row>
    <row r="9" spans="2:7">
      <c r="B9" s="97" t="s">
        <v>53</v>
      </c>
      <c r="C9" s="447">
        <f>Normalized_FCF!C19</f>
        <v>1109926942.2780714</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6.2036087223099612E-2</v>
      </c>
      <c r="D12" s="469"/>
      <c r="E12" s="469"/>
      <c r="F12" s="469"/>
      <c r="G12" s="469"/>
    </row>
    <row r="13" spans="2:7">
      <c r="B13" s="135" t="s">
        <v>126</v>
      </c>
      <c r="C13" s="249">
        <f ca="1">(Normalized_FCF!G8/OFFSET(Normalized_FCF!G8, 0, $C$4))^(1/$C$4) - 1</f>
        <v>-2.1818856200777392E-2</v>
      </c>
      <c r="D13" s="469"/>
      <c r="E13" s="469"/>
      <c r="F13" s="469"/>
      <c r="G13" s="469"/>
    </row>
    <row r="14" spans="2:7">
      <c r="B14" s="97" t="s">
        <v>62</v>
      </c>
      <c r="C14" s="249">
        <f ca="1">(Normalized_FCF!G19/OFFSET(Normalized_FCF!G19, 0, $C$4))^(1/$C$4) - 1</f>
        <v>-7.7229844280476745E-2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0.01</v>
      </c>
      <c r="D22" s="325">
        <f>C18</f>
        <v>3</v>
      </c>
      <c r="E22" s="326">
        <f>DCF!E91</f>
        <v>19.357398498791706</v>
      </c>
      <c r="F22" s="328">
        <f>1-F23-F24</f>
        <v>0.19999999999999996</v>
      </c>
      <c r="G22" s="328">
        <f>F22*(1-F$29-F$30)</f>
        <v>0.15999999999999995</v>
      </c>
    </row>
    <row r="23" spans="2:7">
      <c r="B23" s="302" t="s">
        <v>436</v>
      </c>
      <c r="C23" s="324">
        <v>0</v>
      </c>
      <c r="D23" s="325">
        <f>C18</f>
        <v>3</v>
      </c>
      <c r="E23" s="326">
        <f>DCF!E92</f>
        <v>19.006876981458277</v>
      </c>
      <c r="F23" s="327">
        <v>0.55000000000000004</v>
      </c>
      <c r="G23" s="328">
        <f t="shared" ref="G23:G24" si="0">F23*(1-F$29-F$30)</f>
        <v>0.44</v>
      </c>
    </row>
    <row r="24" spans="2:7">
      <c r="B24" s="302" t="s">
        <v>445</v>
      </c>
      <c r="C24" s="324">
        <v>-0.01</v>
      </c>
      <c r="D24" s="325">
        <f>C18</f>
        <v>3</v>
      </c>
      <c r="E24" s="326">
        <f>DCF!E93</f>
        <v>18.662933281605302</v>
      </c>
      <c r="F24" s="327">
        <v>0.25</v>
      </c>
      <c r="G24" s="328">
        <f t="shared" si="0"/>
        <v>0.19999999999999998</v>
      </c>
    </row>
    <row r="25" spans="2:7">
      <c r="B25" s="141" t="s">
        <v>450</v>
      </c>
      <c r="C25" s="441">
        <f>E23*F23+E24*F24+E22*F22</f>
        <v>18.990995359961719</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0.02</v>
      </c>
      <c r="D29" s="325">
        <f>C18</f>
        <v>3</v>
      </c>
      <c r="E29" s="326">
        <f>DCF!E90</f>
        <v>19.714561851293976</v>
      </c>
      <c r="F29" s="327">
        <v>0.15</v>
      </c>
      <c r="G29" s="328">
        <f>F29</f>
        <v>0.15</v>
      </c>
    </row>
    <row r="30" spans="2:7">
      <c r="B30" s="315" t="s">
        <v>446</v>
      </c>
      <c r="C30" s="324">
        <v>-0.02</v>
      </c>
      <c r="D30" s="325">
        <f>C18</f>
        <v>3</v>
      </c>
      <c r="E30" s="326">
        <f>DCF!E94</f>
        <v>18.325503381544411</v>
      </c>
      <c r="F30" s="327">
        <v>0.05</v>
      </c>
      <c r="G30" s="328">
        <f>F30</f>
        <v>0.05</v>
      </c>
    </row>
    <row r="31" spans="2:7">
      <c r="E31" s="329"/>
      <c r="F31" s="329"/>
    </row>
    <row r="32" spans="2:7" ht="13.15">
      <c r="B32" s="145" t="s">
        <v>455</v>
      </c>
    </row>
    <row r="33" spans="2:7">
      <c r="B33" s="97" t="s">
        <v>457</v>
      </c>
      <c r="C33" s="155">
        <f>Normalized_FCF!C88*(1-dividend_tax_rate)</f>
        <v>0.61918019999999996</v>
      </c>
      <c r="D33" t="str">
        <f>Market_currency</f>
        <v>HKD</v>
      </c>
      <c r="E33" s="97" t="s">
        <v>454</v>
      </c>
      <c r="F33" s="219">
        <f>Holding_Period</f>
        <v>3</v>
      </c>
    </row>
    <row r="34" spans="2:7">
      <c r="B34" s="97" t="s">
        <v>232</v>
      </c>
      <c r="C34" s="146">
        <f>Market_Price</f>
        <v>10.43</v>
      </c>
      <c r="D34" t="str">
        <f>Market_currency</f>
        <v>HKD</v>
      </c>
      <c r="E34" s="97" t="s">
        <v>453</v>
      </c>
      <c r="F34" s="330">
        <f>RATE(Holding_Period,$C$33,-C34,$C$36)</f>
        <v>0.27218843617683613</v>
      </c>
    </row>
    <row r="35" spans="2:7">
      <c r="B35" s="97" t="s">
        <v>433</v>
      </c>
      <c r="C35" s="320">
        <f>DCF!C11</f>
        <v>19.006876981458273</v>
      </c>
      <c r="D35" s="97" t="str">
        <f>Market_currency</f>
        <v>HKD</v>
      </c>
      <c r="E35" s="97" t="s">
        <v>453</v>
      </c>
      <c r="F35" s="330">
        <f>RATE(Holding_Period,$C$33,-C35,$C$36)</f>
        <v>3.3583793517719257E-2</v>
      </c>
    </row>
    <row r="36" spans="2:7">
      <c r="B36" s="97" t="s">
        <v>434</v>
      </c>
      <c r="C36" s="321">
        <f>E22*G22+E23*G23+E24*G24+E30*G30+E29*G29</f>
        <v>19.06625573474069</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0.12639884314972349</v>
      </c>
      <c r="E40" s="97" t="s">
        <v>400</v>
      </c>
    </row>
    <row r="41" spans="2:7">
      <c r="B41" s="97" t="s">
        <v>399</v>
      </c>
      <c r="C41" s="455">
        <f>DCF!C16</f>
        <v>1.7510817454652E-3</v>
      </c>
      <c r="E41" s="97"/>
    </row>
    <row r="43" spans="2:7" ht="13.9">
      <c r="B43" s="34" t="s">
        <v>275</v>
      </c>
      <c r="C43" s="35"/>
      <c r="D43" s="35"/>
      <c r="E43" s="35"/>
      <c r="F43" s="35"/>
      <c r="G43" s="35"/>
    </row>
    <row r="44" spans="2:7" ht="13.15">
      <c r="B44" s="106" t="s">
        <v>248</v>
      </c>
      <c r="E44" s="222" t="s">
        <v>250</v>
      </c>
    </row>
    <row r="45" spans="2:7">
      <c r="B45" s="139" t="s">
        <v>110</v>
      </c>
      <c r="C45" s="150">
        <f>C18</f>
        <v>3</v>
      </c>
      <c r="D45" s="137"/>
      <c r="E45" s="221" t="s">
        <v>306</v>
      </c>
    </row>
    <row r="46" spans="2:7">
      <c r="B46" s="114" t="s">
        <v>111</v>
      </c>
      <c r="C46" s="138">
        <v>1.7510817454652E-3</v>
      </c>
      <c r="D46" s="138"/>
      <c r="E46" s="221" t="s">
        <v>251</v>
      </c>
    </row>
    <row r="47" spans="2:7">
      <c r="B47" s="97" t="s">
        <v>95</v>
      </c>
      <c r="C47" s="146">
        <f>DCF!I18</f>
        <v>19.067779286034192</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0.34113440244123511</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0.61918019999999996</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1.1245011370050071</v>
      </c>
      <c r="D62" s="119">
        <f>C36/(1+F62)^Holding_Period</f>
        <v>8.6783139438965335</v>
      </c>
      <c r="E62" s="332">
        <f>C62+D62</f>
        <v>9.8028150809015404</v>
      </c>
      <c r="F62" s="301">
        <f>Thesis!E22</f>
        <v>0.3</v>
      </c>
      <c r="G62" s="440">
        <f>(1-E62/C36)</f>
        <v>0.48585526087118414</v>
      </c>
    </row>
    <row r="63" spans="2:7" ht="13.15">
      <c r="B63" s="302" t="s">
        <v>312</v>
      </c>
      <c r="C63" s="119">
        <f>PV(F63, Holding_Period, -C58, 0)</f>
        <v>1.3042916249999998</v>
      </c>
      <c r="D63" s="119">
        <f>C36/(1+F63)^Holding_Period</f>
        <v>11.033712809456418</v>
      </c>
      <c r="E63" s="332">
        <f>C63+D63</f>
        <v>12.338004434456417</v>
      </c>
      <c r="F63" s="301">
        <f>Thesis!E23</f>
        <v>0.2</v>
      </c>
      <c r="G63" s="440">
        <f>(1-E63/C36)</f>
        <v>0.3528879185242807</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1.4938360860393178</v>
      </c>
      <c r="D66" s="119">
        <f>C36/(1+F66)^Holding_Period</f>
        <v>13.665936953753471</v>
      </c>
      <c r="E66" s="332">
        <f>C66+D66</f>
        <v>15.159773039792789</v>
      </c>
      <c r="F66" s="301">
        <f>Thesis!E24</f>
        <v>0.1174</v>
      </c>
      <c r="G66" s="440">
        <f>(1-E66/C36)</f>
        <v>0.20488987189183061</v>
      </c>
    </row>
    <row r="67" spans="2:7" ht="13.15">
      <c r="B67" s="302" t="s">
        <v>313</v>
      </c>
      <c r="C67" s="119">
        <f>PV(F67, Holding_Period, -C58, 0)</f>
        <v>1.6175310156360334</v>
      </c>
      <c r="D67" s="119">
        <f>C36/(1+F67)^Holding_Period</f>
        <v>15.455160208402992</v>
      </c>
      <c r="E67" s="332">
        <f>C67+D67</f>
        <v>17.072691224039026</v>
      </c>
      <c r="F67" s="301">
        <f>Thesis!E25</f>
        <v>7.2499999999999995E-2</v>
      </c>
      <c r="G67" s="440">
        <f>(1-E67/C36)</f>
        <v>0.1045598327451982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45965</v>
      </c>
    </row>
    <row r="4" spans="1:10">
      <c r="B4" s="422" t="s">
        <v>533</v>
      </c>
      <c r="C4" s="423" t="str">
        <f>Thesis!C4</f>
        <v>新华文轩</v>
      </c>
      <c r="D4" s="349"/>
      <c r="E4" s="434" t="s">
        <v>539</v>
      </c>
      <c r="F4" s="437" t="str">
        <f>Thesis!F4</f>
        <v>INT</v>
      </c>
    </row>
    <row r="5" spans="1:10">
      <c r="B5" s="343" t="s">
        <v>363</v>
      </c>
      <c r="C5" s="355" t="str">
        <f>Thesis!C5</f>
        <v>0811.HK</v>
      </c>
      <c r="E5" s="438" t="s">
        <v>540</v>
      </c>
      <c r="F5" s="439" t="str">
        <f>Thesis!F5</f>
        <v>Y</v>
      </c>
    </row>
    <row r="6" spans="1:10">
      <c r="B6" s="350" t="s">
        <v>335</v>
      </c>
      <c r="C6" s="352" t="str">
        <f>Thesis!C6</f>
        <v>CNS_04</v>
      </c>
      <c r="E6" s="354"/>
    </row>
    <row r="7" spans="1:10">
      <c r="B7" s="343" t="s">
        <v>365</v>
      </c>
      <c r="C7" s="352" t="str">
        <f>Market_currency</f>
        <v>HKD</v>
      </c>
      <c r="D7" s="354"/>
      <c r="E7" s="354"/>
    </row>
    <row r="8" spans="1:10">
      <c r="B8" s="351" t="s">
        <v>364</v>
      </c>
      <c r="C8" s="356">
        <f>Market_Price</f>
        <v>10.43</v>
      </c>
    </row>
    <row r="9" spans="1:10">
      <c r="B9" s="351" t="s">
        <v>360</v>
      </c>
      <c r="C9" s="353">
        <f>Common_Shares</f>
        <v>1233841000</v>
      </c>
    </row>
    <row r="10" spans="1:10">
      <c r="B10" s="351" t="s">
        <v>366</v>
      </c>
      <c r="C10" s="357">
        <f>投资主题!C8*Common_Shares/1000000</f>
        <v>12868.96163</v>
      </c>
      <c r="D10" s="343" t="s">
        <v>528</v>
      </c>
      <c r="E10" s="360">
        <f>Scenarios!F34</f>
        <v>0.27218843617683613</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Y</v>
      </c>
      <c r="D16" s="351" t="s">
        <v>368</v>
      </c>
      <c r="E16" s="425">
        <f>Exchange_Rate</f>
        <v>1.14663</v>
      </c>
    </row>
    <row r="17" spans="1:6">
      <c r="B17" s="343" t="s">
        <v>534</v>
      </c>
      <c r="C17" s="424">
        <f>Terminal_Growth</f>
        <v>0</v>
      </c>
      <c r="D17" s="351" t="s">
        <v>338</v>
      </c>
      <c r="E17" s="344" t="str">
        <f>Reporting_currency</f>
        <v>CNY</v>
      </c>
    </row>
    <row r="18" spans="1:6">
      <c r="B18" s="343" t="str">
        <f>"预期股权价值 ("&amp;C7&amp;") :"</f>
        <v>预期股权价值 (HKD) :</v>
      </c>
      <c r="C18" s="359">
        <f>C125</f>
        <v>19.06625573474069</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9.8028150809015404</v>
      </c>
      <c r="D22" s="365" t="s">
        <v>439</v>
      </c>
      <c r="E22" s="366">
        <f>Thesis!E22</f>
        <v>0.3</v>
      </c>
    </row>
    <row r="23" spans="1:6">
      <c r="B23" s="343" t="s">
        <v>340</v>
      </c>
      <c r="C23" s="367">
        <f>E141</f>
        <v>12.338004434456417</v>
      </c>
      <c r="D23" s="365" t="s">
        <v>440</v>
      </c>
      <c r="E23" s="368">
        <f>Thesis!E23</f>
        <v>0.2</v>
      </c>
    </row>
    <row r="24" spans="1:6">
      <c r="B24" s="343" t="s">
        <v>342</v>
      </c>
      <c r="C24" s="367">
        <f>E144</f>
        <v>15.159773039792789</v>
      </c>
      <c r="D24" s="365" t="s">
        <v>442</v>
      </c>
      <c r="E24" s="368">
        <f>Thesis!E24</f>
        <v>0.1174</v>
      </c>
    </row>
    <row r="25" spans="1:6">
      <c r="B25" s="343" t="s">
        <v>341</v>
      </c>
      <c r="C25" s="367">
        <f>E145</f>
        <v>17.072691224039026</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v>
      </c>
    </row>
    <row r="33" spans="2:6">
      <c r="B33" s="470" t="s">
        <v>500</v>
      </c>
      <c r="C33" s="470"/>
      <c r="D33" s="470"/>
      <c r="E33" s="470"/>
      <c r="F33" s="470"/>
    </row>
    <row r="34" spans="2:6">
      <c r="B34" s="372" t="s">
        <v>196</v>
      </c>
      <c r="C34" s="373">
        <f>Normalized_FCF!C8</f>
        <v>1560850297.4755726</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11616519.058022426</v>
      </c>
      <c r="D44" s="343" t="str">
        <f>Reporting_currency</f>
        <v>CNY</v>
      </c>
      <c r="E44" s="371"/>
      <c r="F44" s="371"/>
    </row>
    <row r="45" spans="2:6">
      <c r="B45" s="372" t="s">
        <v>267</v>
      </c>
      <c r="C45" s="376">
        <f>Normalized_FCF!C45</f>
        <v>-14156922.829499999</v>
      </c>
      <c r="D45" s="343" t="str">
        <f>Reporting_currency</f>
        <v>CNY</v>
      </c>
      <c r="E45" s="371"/>
      <c r="F45" s="371"/>
    </row>
    <row r="46" spans="2:6">
      <c r="B46" s="372" t="s">
        <v>202</v>
      </c>
      <c r="C46" s="373">
        <f>Normalized_FCF!C10</f>
        <v>-2540403.7714775726</v>
      </c>
      <c r="D46" s="343" t="str">
        <f>Reporting_currency</f>
        <v>CNY</v>
      </c>
    </row>
    <row r="48" spans="2:6">
      <c r="B48" s="343" t="s">
        <v>504</v>
      </c>
    </row>
    <row r="49" spans="2:6">
      <c r="B49" s="372" t="s">
        <v>222</v>
      </c>
      <c r="C49" s="373">
        <f>Normalized_FCF!C13</f>
        <v>-58805478.000000007</v>
      </c>
      <c r="D49" s="343" t="str">
        <f>Reporting_currency</f>
        <v>CNY</v>
      </c>
    </row>
    <row r="51" spans="2:6">
      <c r="B51" s="470" t="s">
        <v>505</v>
      </c>
      <c r="C51" s="470"/>
      <c r="D51" s="470"/>
      <c r="E51" s="470"/>
      <c r="F51" s="470"/>
    </row>
    <row r="52" spans="2:6">
      <c r="B52" s="372" t="s">
        <v>495</v>
      </c>
      <c r="C52" s="373">
        <f>Normalized_FCF!C12</f>
        <v>-389577473.42602378</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1208080035.0731671</v>
      </c>
      <c r="D60" s="343" t="str">
        <f>Reporting_currency</f>
        <v>CNY</v>
      </c>
    </row>
    <row r="61" spans="2:6">
      <c r="B61" s="372" t="s">
        <v>212</v>
      </c>
      <c r="C61" s="373">
        <f>Normalized_FCF!C19</f>
        <v>1109926942.2780714</v>
      </c>
      <c r="D61" s="343" t="str">
        <f>Reporting_currency</f>
        <v>CNY</v>
      </c>
    </row>
    <row r="62" spans="2:6">
      <c r="B62" s="377" t="s">
        <v>301</v>
      </c>
      <c r="C62" s="378">
        <f>Normalized_FCF!C124</f>
        <v>9.8894966541624926E-2</v>
      </c>
      <c r="F62" s="379"/>
    </row>
    <row r="63" spans="2:6">
      <c r="B63" s="377" t="s">
        <v>331</v>
      </c>
      <c r="C63" s="378">
        <f>Normalized_FCF!C92</f>
        <v>5.9365311601150522E-2</v>
      </c>
      <c r="E63" s="372" t="s">
        <v>372</v>
      </c>
      <c r="F63" s="380">
        <f>Normalized_FCF!C90</f>
        <v>0.76478498824054597</v>
      </c>
    </row>
    <row r="65" spans="1:6">
      <c r="B65" s="369" t="s">
        <v>375</v>
      </c>
      <c r="C65" s="381" t="s">
        <v>326</v>
      </c>
      <c r="D65" s="381" t="s">
        <v>373</v>
      </c>
    </row>
    <row r="66" spans="1:6">
      <c r="B66" s="372" t="s">
        <v>325</v>
      </c>
      <c r="C66" s="378">
        <f>Normalized_FCF!E119</f>
        <v>0.10095861021083608</v>
      </c>
      <c r="D66" s="378">
        <f>Normalized_FCF!G119</f>
        <v>8.8897820472969208E-2</v>
      </c>
    </row>
    <row r="67" spans="1:6">
      <c r="B67" s="382" t="str">
        <f>Normalized_FCF!B116</f>
        <v>Pre-tax Profit/Sales</v>
      </c>
      <c r="C67" s="383">
        <f>Normalized_FCF!E116</f>
        <v>0.12639884314972349</v>
      </c>
      <c r="D67" s="383">
        <f>Normalized_FCF!G116</f>
        <v>0.11129889409976317</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-283138456.58999997</v>
      </c>
      <c r="D78" s="343" t="str">
        <f>Reporting_currency</f>
        <v>CNY</v>
      </c>
    </row>
    <row r="79" spans="1:6">
      <c r="B79" s="372" t="s">
        <v>233</v>
      </c>
      <c r="C79" s="387">
        <f>C78*scaling_factor*Exchange_Rate/Common_Shares</f>
        <v>-0.26312551494057312</v>
      </c>
      <c r="D79" s="343" t="str">
        <f>Market_currency</f>
        <v>HKD</v>
      </c>
    </row>
    <row r="80" spans="1:6">
      <c r="B80" s="382" t="s">
        <v>308</v>
      </c>
      <c r="C80" s="388">
        <f>IF(BS!G31/BS!G27&gt;300%,"nm",BS!G31/BS!G27)</f>
        <v>1.8343761526547521E-2</v>
      </c>
    </row>
    <row r="81" spans="1:6">
      <c r="B81" s="382" t="s">
        <v>310</v>
      </c>
      <c r="C81" s="389">
        <f>IF(BS!C50&gt;30,"nm",BS!C50)</f>
        <v>0.18140013622570431</v>
      </c>
    </row>
    <row r="83" spans="1:6">
      <c r="B83" s="343" t="s">
        <v>511</v>
      </c>
    </row>
    <row r="84" spans="1:6">
      <c r="B84" s="343" t="s">
        <v>223</v>
      </c>
      <c r="C84" s="373">
        <f>DCF!F5</f>
        <v>6698432238.5095959</v>
      </c>
      <c r="D84" s="343" t="str">
        <f>Reporting_currency</f>
        <v>CNY</v>
      </c>
    </row>
    <row r="85" spans="1:6">
      <c r="B85" s="382" t="s">
        <v>480</v>
      </c>
      <c r="C85" s="390">
        <f>BS!C66</f>
        <v>8634518748.1800003</v>
      </c>
      <c r="D85" s="391" t="str">
        <f>Reporting_currency</f>
        <v>CNY</v>
      </c>
    </row>
    <row r="86" spans="1:6">
      <c r="B86" s="372" t="s">
        <v>234</v>
      </c>
      <c r="C86" s="387">
        <f>C84*scaling_factor*Exchange_Rate/Common_Shares</f>
        <v>6.2249701198470939</v>
      </c>
      <c r="D86" s="343" t="str">
        <f>Market_currency</f>
        <v>HKD</v>
      </c>
    </row>
    <row r="88" spans="1:6">
      <c r="B88" s="343" t="s">
        <v>512</v>
      </c>
    </row>
    <row r="89" spans="1:6">
      <c r="B89" s="343" t="s">
        <v>216</v>
      </c>
      <c r="C89" s="373">
        <f>DCF!F6</f>
        <v>583558544.63999999</v>
      </c>
      <c r="D89" s="343" t="str">
        <f>Reporting_currency</f>
        <v>CNY</v>
      </c>
    </row>
    <row r="90" spans="1:6">
      <c r="B90" s="372" t="s">
        <v>235</v>
      </c>
      <c r="C90" s="387">
        <f>C89*scaling_factor*Exchange_Rate/Common_Shares</f>
        <v>0.54231115195601642</v>
      </c>
      <c r="D90" s="343" t="str">
        <f>Market_currency</f>
        <v>HKD</v>
      </c>
    </row>
    <row r="92" spans="1:6">
      <c r="B92" s="372" t="s">
        <v>479</v>
      </c>
      <c r="C92" s="387">
        <f>DCF!F8</f>
        <v>6.5041557568625379</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8.249999999999999E-2</v>
      </c>
    </row>
    <row r="102" spans="1:6">
      <c r="A102" s="385"/>
      <c r="B102" s="382" t="s">
        <v>317</v>
      </c>
      <c r="C102" s="383">
        <f>E25</f>
        <v>7.2499999999999995E-2</v>
      </c>
    </row>
    <row r="103" spans="1:6">
      <c r="A103" s="385"/>
      <c r="B103" s="382" t="s">
        <v>316</v>
      </c>
      <c r="C103" s="383">
        <f>IF(C15="Y",1%,0)+IF(C16="Y",1%,0)</f>
        <v>0.01</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1.7892154168801495</v>
      </c>
      <c r="D111" s="343" t="str">
        <f>Market_currency</f>
        <v>HKD</v>
      </c>
    </row>
    <row r="112" spans="1:6">
      <c r="A112" s="385"/>
      <c r="B112" s="372" t="s">
        <v>376</v>
      </c>
      <c r="C112" s="394">
        <f>DCF!C11</f>
        <v>19.006876981458273</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0.02</v>
      </c>
      <c r="D118" s="397">
        <f>DCF!D90</f>
        <v>3</v>
      </c>
      <c r="E118" s="398" t="str">
        <f>ROUND(DCF!E90,2)&amp;" "&amp;Market_currency</f>
        <v>19.71 HKD</v>
      </c>
      <c r="F118" s="399">
        <f>DCF!F90</f>
        <v>0.15</v>
      </c>
    </row>
    <row r="119" spans="1:6">
      <c r="A119" s="385"/>
      <c r="B119" s="400" t="str">
        <f>DCF!B91</f>
        <v>Optimistic</v>
      </c>
      <c r="C119" s="401">
        <f>DCF!C91</f>
        <v>0.01</v>
      </c>
      <c r="D119" s="402">
        <f>DCF!D91</f>
        <v>3</v>
      </c>
      <c r="E119" s="398" t="str">
        <f>ROUND(DCF!E91,2)&amp;" "&amp;Market_currency</f>
        <v>19.36 HKD</v>
      </c>
      <c r="F119" s="403">
        <f>DCF!F91</f>
        <v>0.15999999999999995</v>
      </c>
    </row>
    <row r="120" spans="1:6">
      <c r="B120" s="400" t="str">
        <f>DCF!B92</f>
        <v>Base</v>
      </c>
      <c r="C120" s="401">
        <f>DCF!C92</f>
        <v>0</v>
      </c>
      <c r="D120" s="402">
        <f>DCF!D92</f>
        <v>3</v>
      </c>
      <c r="E120" s="398" t="str">
        <f>ROUND(DCF!E92,2)&amp;" "&amp;Market_currency</f>
        <v>19.01 HKD</v>
      </c>
      <c r="F120" s="403">
        <f>DCF!F92</f>
        <v>0.44</v>
      </c>
    </row>
    <row r="121" spans="1:6">
      <c r="B121" s="400" t="str">
        <f>DCF!B93</f>
        <v>Pessimistic</v>
      </c>
      <c r="C121" s="401">
        <f>DCF!C93</f>
        <v>-0.01</v>
      </c>
      <c r="D121" s="402">
        <f>DCF!D93</f>
        <v>3</v>
      </c>
      <c r="E121" s="398" t="str">
        <f>ROUND(DCF!E93,2)&amp;" "&amp;Market_currency</f>
        <v>18.66 HKD</v>
      </c>
      <c r="F121" s="403">
        <f>DCF!F93</f>
        <v>0.19999999999999998</v>
      </c>
    </row>
    <row r="122" spans="1:6">
      <c r="B122" s="400" t="str">
        <f>DCF!B94</f>
        <v>Devil's advocate</v>
      </c>
      <c r="C122" s="401">
        <f>DCF!C94</f>
        <v>-0.02</v>
      </c>
      <c r="D122" s="402">
        <f>DCF!D94</f>
        <v>3</v>
      </c>
      <c r="E122" s="398" t="str">
        <f>ROUND(DCF!E94,2)&amp;" "&amp;Market_currency</f>
        <v>18.33 HKD</v>
      </c>
      <c r="F122" s="403">
        <f>DCF!F94</f>
        <v>0.05</v>
      </c>
    </row>
    <row r="124" spans="1:6">
      <c r="B124" s="470" t="s">
        <v>518</v>
      </c>
      <c r="C124" s="470"/>
      <c r="D124" s="470"/>
      <c r="E124" s="470"/>
      <c r="F124" s="470"/>
    </row>
    <row r="125" spans="1:6">
      <c r="B125" s="372" t="s">
        <v>217</v>
      </c>
      <c r="C125" s="404">
        <f>Scenarios!C36</f>
        <v>19.06625573474069</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0.61918019999999996</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1.1245011370050071</v>
      </c>
      <c r="D140" s="409">
        <f>Scenarios!D62</f>
        <v>8.6783139438965335</v>
      </c>
      <c r="E140" s="410">
        <f>Scenarios!E62</f>
        <v>9.8028150809015404</v>
      </c>
      <c r="F140" s="411">
        <f>E22</f>
        <v>0.3</v>
      </c>
    </row>
    <row r="141" spans="1:6">
      <c r="B141" s="408" t="s">
        <v>312</v>
      </c>
      <c r="C141" s="409">
        <f>Scenarios!C63</f>
        <v>1.3042916249999998</v>
      </c>
      <c r="D141" s="409">
        <f>Scenarios!D63</f>
        <v>11.033712809456418</v>
      </c>
      <c r="E141" s="410">
        <f>Scenarios!E63</f>
        <v>12.338004434456417</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1.4938360860393178</v>
      </c>
      <c r="D144" s="409">
        <f>Scenarios!D66</f>
        <v>13.665936953753471</v>
      </c>
      <c r="E144" s="410">
        <f>Scenarios!E66</f>
        <v>15.159773039792789</v>
      </c>
      <c r="F144" s="411">
        <f>E24</f>
        <v>0.1174</v>
      </c>
    </row>
    <row r="145" spans="1:6">
      <c r="B145" s="408" t="s">
        <v>313</v>
      </c>
      <c r="C145" s="409">
        <f>Scenarios!C67</f>
        <v>1.6175310156360334</v>
      </c>
      <c r="D145" s="409">
        <f>Scenarios!D67</f>
        <v>15.455160208402992</v>
      </c>
      <c r="E145" s="410">
        <f>Scenarios!E67</f>
        <v>17.072691224039026</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2026-04-16T10:13:32Z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