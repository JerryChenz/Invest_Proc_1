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347DDA-4D96-4164-94C1-1DC40C68F9B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<sst xmlns="http://schemas.openxmlformats.org/spreadsheetml/2006/main" count="768" uniqueCount="559">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</sst>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10.77</v>
      </c>
      <c r="E8" s="32"/>
    </row>
    <row r="9" spans="1:9">
      <c r="B9" s="4" t="s">
        <v>346</v>
      </c>
      <c r="C9" s="48">
        <f>791903900+441937100</f>
        <v>1233841000</v>
      </c>
    </row>
    <row r="10" spans="1:9">
      <c r="B10" s="4" t="s">
        <v>352</v>
      </c>
      <c r="C10" s="33">
        <f>Thesis!C8*Common_Shares/1000000</f>
        <v>13288.467570000001</v>
      </c>
      <c r="D10" s="1" t="s">
        <v>528</v>
      </c>
      <c r="E10" s="303">
        <f>Scenarios!F34</f>
        <v>0.24912116807900339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1.1232618942260741</v>
      </c>
    </row>
    <row r="17" spans="1:6">
      <c r="B17" s="1" t="s">
        <v>532</v>
      </c>
      <c r="C17" s="456">
        <v>0</v>
      </c>
      <c r="D17" s="4" t="s">
        <v>274</v>
      </c>
      <c r="E17" s="224" t="s">
        <v>558</v>
      </c>
    </row>
    <row r="18" spans="1:6">
      <c r="B18" s="1" t="str">
        <f>"Expected Equity Value ("&amp;C7&amp;") :"</f>
        <v>Expected Equity Value (HKD) :</v>
      </c>
      <c r="C18" s="252">
        <f>C125</f>
        <v>18.680169991712596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9.718290643738694</v>
      </c>
      <c r="D22" s="38" t="s">
        <v>406</v>
      </c>
      <c r="E22" s="79">
        <v>0.29465259038036606</v>
      </c>
    </row>
    <row r="23" spans="1:6">
      <c r="B23" s="1" t="s">
        <v>313</v>
      </c>
      <c r="C23" s="256">
        <f>E141</f>
        <v>12.066197514914851</v>
      </c>
      <c r="D23" s="38" t="s">
        <v>407</v>
      </c>
      <c r="E23" s="443">
        <v>0.20075184365903009</v>
      </c>
    </row>
    <row r="24" spans="1:6">
      <c r="B24" s="1" t="s">
        <v>315</v>
      </c>
      <c r="C24" s="256">
        <f>E144</f>
        <v>14.852597969762343</v>
      </c>
      <c r="D24" s="38" t="s">
        <v>408</v>
      </c>
      <c r="E24" s="443">
        <v>0.1174</v>
      </c>
    </row>
    <row r="25" spans="1:6">
      <c r="B25" s="1" t="s">
        <v>314</v>
      </c>
      <c r="C25" s="256">
        <f>E145</f>
        <v>16.726764060493078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11599219.541824704</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-2557703.287675295</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-389573148.5469743</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1207998070.5935199</v>
      </c>
      <c r="D60" s="1" t="str">
        <f>Reporting_currency</f>
        <v>CNY</v>
      </c>
    </row>
    <row r="61" spans="2:6">
      <c r="B61" s="44" t="s">
        <v>213</v>
      </c>
      <c r="C61" s="285">
        <f>Normalized_FCF!C19</f>
        <v>1109913967.640923</v>
      </c>
      <c r="D61" s="1" t="str">
        <f>Reporting_currency</f>
        <v>CNY</v>
      </c>
    </row>
    <row r="62" spans="2:6">
      <c r="B62" s="204" t="s">
        <v>302</v>
      </c>
      <c r="C62" s="89">
        <f>Normalized_FCF!C124</f>
        <v>9.3820002882418194E-2</v>
      </c>
      <c r="F62" s="257"/>
    </row>
    <row r="63" spans="2:6">
      <c r="B63" s="204" t="s">
        <v>332</v>
      </c>
      <c r="C63" s="89">
        <f>Normalized_FCF!C92</f>
        <v>5.6319537872059428E-2</v>
      </c>
      <c r="E63" s="44" t="s">
        <v>322</v>
      </c>
      <c r="F63" s="258">
        <f>Normalized_FCF!C90</f>
        <v>0.74920757062613996</v>
      </c>
    </row>
    <row r="65" spans="1:6">
      <c r="B65" s="192" t="s">
        <v>325</v>
      </c>
      <c r="C65" s="264" t="s">
        <v>327</v>
      </c>
      <c r="D65" s="264" t="s">
        <v>328</v>
      </c>
    </row>
    <row r="66" spans="1:6">
      <c r="B66" s="44" t="s">
        <v>326</v>
      </c>
      <c r="C66" s="89">
        <f>Normalized_FCF!E119</f>
        <v>0.10095748942278249</v>
      </c>
      <c r="D66" s="89">
        <f>Normalized_FCF!G119</f>
        <v>8.8892510219864065E-2</v>
      </c>
    </row>
    <row r="67" spans="1:6">
      <c r="B67" s="229" t="str">
        <f>Normalized_FCF!B116</f>
        <v>Pre-tax Profit/Sales</v>
      </c>
      <c r="C67" s="263">
        <f>Normalized_FCF!E116</f>
        <v>0.12639743993792121</v>
      </c>
      <c r="D67" s="263">
        <f>Normalized_FCF!G116</f>
        <v>0.11129224573319076</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-0.2577630659684112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6701315491.2092161</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6.1007312388404973</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0.53125895171593207</v>
      </c>
      <c r="D90" s="1" t="str">
        <f>Market_currency</f>
        <v>HKD</v>
      </c>
    </row>
    <row r="91" spans="1:6">
      <c r="A91" s="191"/>
    </row>
    <row r="92" spans="1:6">
      <c r="A92" s="191"/>
      <c r="B92" s="44" t="s">
        <v>469</v>
      </c>
      <c r="C92" s="216">
        <f>DCF!F8</f>
        <v>6.3742271245880184</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1.7527515400288598</v>
      </c>
      <c r="D111" s="1" t="str">
        <f>Market_currency</f>
        <v>HKD</v>
      </c>
    </row>
    <row r="112" spans="2:6">
      <c r="B112" s="44" t="s">
        <v>323</v>
      </c>
      <c r="C112" s="216">
        <f>DCF!C11</f>
        <v>18.622002046329161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19.32 HKD</v>
      </c>
      <c r="E118" s="208">
        <f>DCF!F90</f>
        <v>0.15</v>
      </c>
      <c r="F118" s="208">
        <f>RATE(Holding_Period,Scenarios!C$58,-DCF!E90,C$18)</f>
        <v>2.0666634921696569E-2</v>
      </c>
    </row>
    <row r="119" spans="2:6">
      <c r="B119" s="205" t="str">
        <f>DCF!B91&amp;" ("&amp;DCF!D91&amp;"yrs)"</f>
        <v>Optimistic (3yrs)</v>
      </c>
      <c r="C119" s="198">
        <f>DCF!C91</f>
        <v>0.01</v>
      </c>
      <c r="D119" s="207" t="str">
        <f>ROUND(DCF!E91,2)&amp;" "&amp;Market_currency</f>
        <v>18.97 HKD</v>
      </c>
      <c r="E119" s="199">
        <f>DCF!F91</f>
        <v>0.15999999999999995</v>
      </c>
      <c r="F119" s="208">
        <f>RATE(Holding_Period,Scenarios!C$58,-DCF!E91,C$18)</f>
        <v>2.7103258946784007E-2</v>
      </c>
    </row>
    <row r="120" spans="2:6">
      <c r="B120" s="205" t="str">
        <f>DCF!B92&amp;" ("&amp;DCF!D92&amp;"yrs)"</f>
        <v>Base (3yrs)</v>
      </c>
      <c r="C120" s="198">
        <f>DCF!C92</f>
        <v>0</v>
      </c>
      <c r="D120" s="207" t="str">
        <f>ROUND(DCF!E92,2)&amp;" "&amp;Market_currency</f>
        <v>18.62 HKD</v>
      </c>
      <c r="E120" s="199">
        <f>DCF!F92</f>
        <v>0.44</v>
      </c>
      <c r="F120" s="208">
        <f>RATE(Holding_Period,Scenarios!C$58,-DCF!E92,C$18)</f>
        <v>3.3579310637593417E-2</v>
      </c>
    </row>
    <row r="121" spans="2:6">
      <c r="B121" s="205" t="str">
        <f>DCF!B93&amp;" ("&amp;DCF!D93&amp;"yrs)"</f>
        <v>Pessimistic (3yrs)</v>
      </c>
      <c r="C121" s="198">
        <f>DCF!C93</f>
        <v>-0.01</v>
      </c>
      <c r="D121" s="207" t="str">
        <f>ROUND(DCF!E93,2)&amp;" "&amp;Market_currency</f>
        <v>18.29 HKD</v>
      </c>
      <c r="E121" s="199">
        <f>DCF!F93</f>
        <v>0.19999999999999998</v>
      </c>
      <c r="F121" s="208">
        <f>RATE(Holding_Period,Scenarios!C$58,-DCF!E93,C$18)</f>
        <v>4.0093845016902364E-2</v>
      </c>
    </row>
    <row r="122" spans="2:6">
      <c r="B122" s="205" t="str">
        <f>DCF!B94&amp;" ("&amp;DCF!D94&amp;"yrs)"</f>
        <v>Devil's advocate (3yrs)</v>
      </c>
      <c r="C122" s="198">
        <f>DCF!C94</f>
        <v>-0.02</v>
      </c>
      <c r="D122" s="207" t="str">
        <f>ROUND(DCF!E94,2)&amp;" "&amp;Market_currency</f>
        <v>17.95 HKD</v>
      </c>
      <c r="E122" s="199">
        <f>DCF!F94</f>
        <v>0.05</v>
      </c>
      <c r="F122" s="208">
        <f>RATE(Holding_Period,Scenarios!C$58,-DCF!E94,C$18)</f>
        <v>4.6645846946718673E-2</v>
      </c>
    </row>
    <row r="124" spans="2:6">
      <c r="B124" s="463" t="s">
        <v>357</v>
      </c>
      <c r="C124" s="463"/>
      <c r="D124" s="463"/>
      <c r="E124" s="463"/>
      <c r="F124" s="463"/>
    </row>
    <row r="125" spans="2:6">
      <c r="B125" s="193" t="s">
        <v>218</v>
      </c>
      <c r="C125" s="197">
        <f>Scenarios!C36</f>
        <v>18.680169991712596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0.60656142288208004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1.1099173756683709</v>
      </c>
      <c r="D140" s="333">
        <f>Scenarios!D62</f>
        <v>8.6083732680703235</v>
      </c>
      <c r="E140" s="334">
        <f>Scenarios!E62</f>
        <v>9.718290643738694</v>
      </c>
      <c r="F140" s="335">
        <f>E22</f>
        <v>0.29465259038036606</v>
      </c>
    </row>
    <row r="141" spans="1:6">
      <c r="B141" s="336" t="s">
        <v>313</v>
      </c>
      <c r="C141" s="333">
        <f>Scenarios!C63</f>
        <v>1.2762076280050449</v>
      </c>
      <c r="D141" s="333">
        <f>Scenarios!D63</f>
        <v>10.789989886909806</v>
      </c>
      <c r="E141" s="334">
        <f>Scenarios!E63</f>
        <v>12.066197514914851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1.4633919849191011</v>
      </c>
      <c r="D144" s="333">
        <f>Scenarios!D66</f>
        <v>13.389205984843242</v>
      </c>
      <c r="E144" s="334">
        <f>Scenarios!E66</f>
        <v>14.852597969762343</v>
      </c>
      <c r="F144" s="335">
        <f>E24</f>
        <v>0.1174</v>
      </c>
    </row>
    <row r="145" spans="1:6">
      <c r="B145" s="336" t="s">
        <v>314</v>
      </c>
      <c r="C145" s="333">
        <f>Scenarios!C67</f>
        <v>1.5845660348959618</v>
      </c>
      <c r="D145" s="333">
        <f>Scenarios!D67</f>
        <v>15.142198025597116</v>
      </c>
      <c r="E145" s="334">
        <f>Scenarios!E67</f>
        <v>16.726764060493078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0.67395713653564449</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0.67395713653564449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13.643201369395497</v>
      </c>
      <c r="D47" s="134">
        <f>D46*H1/Common_Shares*Exchange_Rate</f>
        <v>1.7527515400288598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6701315491.2092161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-985876386.64668953</v>
      </c>
      <c r="D73" s="285">
        <f>(Normalized_FCF!C26+Normalized_FCF!C35-Normalized_FCF!C89)/12</f>
        <v>-966601628.48539197</v>
      </c>
      <c r="F73" s="1" t="s">
        <v>278</v>
      </c>
    </row>
    <row r="74" spans="2:6" ht="15" customHeight="1">
      <c r="B74" s="227" t="s">
        <v>259</v>
      </c>
      <c r="C74" s="228">
        <f>-$C$66/C73</f>
        <v>8.7582164104254687</v>
      </c>
      <c r="D74" s="228">
        <f>-$C$66/D73</f>
        <v>8.9328617847559233</v>
      </c>
      <c r="F74" s="223" t="s">
        <v>257</v>
      </c>
    </row>
    <row r="75" spans="2:6" ht="15" customHeight="1">
      <c r="B75" s="77" t="s">
        <v>258</v>
      </c>
      <c r="C75" s="261"/>
      <c r="D75" s="262">
        <f>MAX(-D73*D76,G5)</f>
        <v>1933203256.9707839</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-318038639.07753044</v>
      </c>
      <c r="D86" s="201">
        <f>C86*scaling_factor/Common_Shares</f>
        <v>-0.2577630659684112</v>
      </c>
      <c r="E86" s="214" t="str">
        <f>Market_currency</f>
        <v>HKD</v>
      </c>
    </row>
    <row r="87" spans="2:8" ht="15" customHeight="1">
      <c r="B87" s="212" t="s">
        <v>240</v>
      </c>
      <c r="C87" s="73">
        <f>DCF!F5*Exchange_Rate</f>
        <v>7527332332.4621983</v>
      </c>
      <c r="D87" s="201">
        <f>C87*scaling_factor/Common_Shares</f>
        <v>6.1007312388404973</v>
      </c>
      <c r="E87" s="214" t="str">
        <f>Market_currency</f>
        <v>HKD</v>
      </c>
    </row>
    <row r="88" spans="2:8" ht="15" customHeight="1">
      <c r="B88" s="213" t="s">
        <v>159</v>
      </c>
      <c r="C88" s="73">
        <f>DCF!F6*Exchange_Rate</f>
        <v>655489076.24413741</v>
      </c>
      <c r="D88" s="201">
        <f>C88*scaling_factor/Common_Shares</f>
        <v>0.53125895171593207</v>
      </c>
      <c r="E88" s="214" t="str">
        <f>Market_currency</f>
        <v>HKD</v>
      </c>
    </row>
    <row r="89" spans="2:8" ht="15" customHeight="1">
      <c r="B89" s="77" t="s">
        <v>244</v>
      </c>
      <c r="C89" s="162">
        <f>SUM(C86:C88)</f>
        <v>7864782769.6288052</v>
      </c>
      <c r="D89" s="216">
        <f>SUM(D86:D88)</f>
        <v>6.3742271245880184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-2557703.287675295</v>
      </c>
      <c r="E10" s="237"/>
      <c r="G10" s="266">
        <f>G48</f>
        <v>42514798.053519025</v>
      </c>
      <c r="H10" s="266">
        <f t="shared" ref="H10:Q10" si="6">H48</f>
        <v>40989683.049221933</v>
      </c>
      <c r="I10" s="266">
        <f t="shared" si="6"/>
        <v>17738272.435548246</v>
      </c>
      <c r="J10" s="266">
        <f t="shared" si="6"/>
        <v>5085403.8820458502</v>
      </c>
      <c r="K10" s="266">
        <f t="shared" si="6"/>
        <v>-4686014.5860516876</v>
      </c>
      <c r="L10" s="266">
        <f t="shared" si="6"/>
        <v>-6411298.0651826672</v>
      </c>
      <c r="M10" s="266">
        <f t="shared" si="6"/>
        <v>7543362.7658946011</v>
      </c>
      <c r="N10" s="266">
        <f t="shared" si="6"/>
        <v>0</v>
      </c>
      <c r="O10" s="266">
        <f t="shared" si="6"/>
        <v>0</v>
      </c>
      <c r="P10" s="266">
        <f t="shared" si="6"/>
        <v>0</v>
      </c>
      <c r="Q10" s="266" t="str">
        <f t="shared" si="6"/>
        <v/>
      </c>
    </row>
    <row r="11" spans="1:17" ht="15.75" customHeight="1">
      <c r="A11" s="10"/>
      <c r="B11" s="67" t="s">
        <v>137</v>
      </c>
      <c r="C11" s="267">
        <f>SUM(C8:C10)</f>
        <v>1558292594.1878972</v>
      </c>
      <c r="E11" s="237"/>
      <c r="G11" s="267">
        <f t="shared" ref="G11:Q11" si="7">IF(G$4="","",SUM(G8:G10))</f>
        <v>1372067997.5935199</v>
      </c>
      <c r="H11" s="267">
        <f t="shared" si="7"/>
        <v>1481974351.3692217</v>
      </c>
      <c r="I11" s="267">
        <f t="shared" si="7"/>
        <v>1407265771.4355483</v>
      </c>
      <c r="J11" s="267">
        <f t="shared" si="7"/>
        <v>1240539721.8820457</v>
      </c>
      <c r="K11" s="267">
        <f t="shared" si="7"/>
        <v>1157469676.4139483</v>
      </c>
      <c r="L11" s="267">
        <f t="shared" si="7"/>
        <v>999274516.51481938</v>
      </c>
      <c r="M11" s="267">
        <f t="shared" si="7"/>
        <v>939490669.53589368</v>
      </c>
      <c r="N11" s="267">
        <f t="shared" si="7"/>
        <v>695381120.13999975</v>
      </c>
      <c r="O11" s="267">
        <f t="shared" si="7"/>
        <v>577850860.66999984</v>
      </c>
      <c r="P11" s="267">
        <f t="shared" si="7"/>
        <v>542208477</v>
      </c>
      <c r="Q11" s="267" t="str">
        <f t="shared" si="7"/>
        <v/>
      </c>
    </row>
    <row r="12" spans="1:17" ht="15.75" customHeight="1">
      <c r="A12" s="10"/>
      <c r="B12" s="2" t="s">
        <v>60</v>
      </c>
      <c r="C12" s="266">
        <f>-C11*C41</f>
        <v>-389573148.5469743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1109913967.640923</v>
      </c>
      <c r="D14" s="58"/>
      <c r="E14" s="243"/>
      <c r="F14" s="58"/>
      <c r="G14" s="267">
        <f t="shared" ref="G14:Q14" si="8">IF(G$4="","",SUM(G11:G13))</f>
        <v>1207998070.5935199</v>
      </c>
      <c r="H14" s="267">
        <f t="shared" si="8"/>
        <v>1497948294.3692217</v>
      </c>
      <c r="I14" s="267">
        <f t="shared" si="8"/>
        <v>1418701248.4355483</v>
      </c>
      <c r="J14" s="267">
        <f t="shared" si="8"/>
        <v>1235086909.8820457</v>
      </c>
      <c r="K14" s="267">
        <f t="shared" si="8"/>
        <v>1149299125.4139483</v>
      </c>
      <c r="L14" s="267">
        <f t="shared" si="8"/>
        <v>975102441.39481938</v>
      </c>
      <c r="M14" s="267">
        <f t="shared" si="8"/>
        <v>950286515.90589368</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1109913967.640923</v>
      </c>
      <c r="D19" s="26"/>
      <c r="E19" s="234"/>
      <c r="F19" s="26"/>
      <c r="G19" s="271">
        <f t="shared" ref="G19:Q19" si="9">IF(G$4="","",G14+G17)</f>
        <v>1207998070.5935199</v>
      </c>
      <c r="H19" s="271">
        <f t="shared" si="9"/>
        <v>1497948294.3692217</v>
      </c>
      <c r="I19" s="271">
        <f t="shared" si="9"/>
        <v>1418701248.4355483</v>
      </c>
      <c r="J19" s="271">
        <f t="shared" si="9"/>
        <v>1235086909.8820457</v>
      </c>
      <c r="K19" s="271">
        <f t="shared" si="9"/>
        <v>1149299125.4139483</v>
      </c>
      <c r="L19" s="271">
        <f t="shared" si="9"/>
        <v>975102441.39481938</v>
      </c>
      <c r="M19" s="271">
        <f t="shared" si="9"/>
        <v>950286515.90589368</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7.671955703698656E-2</v>
      </c>
      <c r="H41" s="6">
        <f t="shared" si="16"/>
        <v>-4.3980682890888557E-2</v>
      </c>
      <c r="I41" s="6">
        <f t="shared" si="16"/>
        <v>-8.1260251134614731E-3</v>
      </c>
      <c r="J41" s="6">
        <f t="shared" si="16"/>
        <v>4.3955158418687622E-3</v>
      </c>
      <c r="K41" s="6">
        <f t="shared" si="16"/>
        <v>7.0589762880992734E-3</v>
      </c>
      <c r="L41" s="6">
        <f t="shared" si="16"/>
        <v>2.4189624292937251E-2</v>
      </c>
      <c r="M41" s="6">
        <f t="shared" si="16"/>
        <v>-1.1491169332563061E-2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11599219.541824704</v>
      </c>
      <c r="E46" s="237"/>
      <c r="G46" s="274">
        <f t="shared" ref="G46:Q46" si="17">IFERROR(IF(G$4="","",($C$46/$C$47)*G47),0)</f>
        <v>54956681.053519025</v>
      </c>
      <c r="H46" s="274">
        <f t="shared" si="17"/>
        <v>58865140.049221933</v>
      </c>
      <c r="I46" s="274">
        <f t="shared" si="17"/>
        <v>38716458.435548246</v>
      </c>
      <c r="J46" s="274">
        <f t="shared" si="17"/>
        <v>24573246.88204585</v>
      </c>
      <c r="K46" s="274">
        <f t="shared" si="17"/>
        <v>17477940.413948312</v>
      </c>
      <c r="L46" s="274">
        <f t="shared" si="17"/>
        <v>13029023.934817333</v>
      </c>
      <c r="M46" s="274">
        <f t="shared" si="17"/>
        <v>8059774.7658946011</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-2557703.287675295</v>
      </c>
      <c r="E48" s="237"/>
      <c r="G48" s="267">
        <f>IF(G$4="","",(G45+G46))</f>
        <v>42514798.053519025</v>
      </c>
      <c r="H48" s="267">
        <f t="shared" ref="H48:Q48" si="18">IF(H$4="","",(H45+H46))</f>
        <v>40989683.049221933</v>
      </c>
      <c r="I48" s="267">
        <f t="shared" si="18"/>
        <v>17738272.435548246</v>
      </c>
      <c r="J48" s="267">
        <f t="shared" si="18"/>
        <v>5085403.8820458502</v>
      </c>
      <c r="K48" s="267">
        <f t="shared" si="18"/>
        <v>-4686014.5860516876</v>
      </c>
      <c r="L48" s="267">
        <f t="shared" si="18"/>
        <v>-6411298.0651826672</v>
      </c>
      <c r="M48" s="267">
        <f t="shared" si="18"/>
        <v>7543362.7658946011</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2.0746241680718667E-4</v>
      </c>
      <c r="D76" s="26"/>
      <c r="E76" s="234"/>
      <c r="F76" s="26"/>
      <c r="G76" s="6">
        <f t="shared" ref="G76:Q76" si="28">IF(G$4="","",ABS(G10/G$4))</f>
        <v>3.4484933403941711E-3</v>
      </c>
      <c r="H76" s="6">
        <f t="shared" si="28"/>
        <v>3.4536559900558653E-3</v>
      </c>
      <c r="I76" s="6">
        <f t="shared" si="28"/>
        <v>1.6228528402251752E-3</v>
      </c>
      <c r="J76" s="6">
        <f t="shared" si="28"/>
        <v>4.8615936212395669E-4</v>
      </c>
      <c r="K76" s="6">
        <f t="shared" si="28"/>
        <v>5.2020261617594717E-4</v>
      </c>
      <c r="L76" s="6">
        <f t="shared" si="28"/>
        <v>7.2505837918043162E-4</v>
      </c>
      <c r="M76" s="6">
        <f t="shared" si="28"/>
        <v>9.2142995393200997E-4</v>
      </c>
      <c r="N76" s="6">
        <f t="shared" si="28"/>
        <v>0</v>
      </c>
      <c r="O76" s="6">
        <f t="shared" si="28"/>
        <v>0</v>
      </c>
      <c r="P76" s="6">
        <f t="shared" si="28"/>
        <v>0</v>
      </c>
      <c r="Q76" s="6" t="str">
        <f t="shared" si="28"/>
        <v/>
      </c>
    </row>
    <row r="77" spans="1:17" ht="15.75" customHeight="1">
      <c r="A77" s="10"/>
      <c r="B77" s="67" t="s">
        <v>137</v>
      </c>
      <c r="C77" s="75">
        <f>C11/C4</f>
        <v>0.12639743993792121</v>
      </c>
      <c r="D77" s="26"/>
      <c r="E77" s="234"/>
      <c r="F77" s="26"/>
      <c r="G77" s="62">
        <f t="shared" ref="G77:Q77" si="29">IF(G$4="","",G11/G$4)</f>
        <v>0.11129224573319076</v>
      </c>
      <c r="H77" s="62">
        <f t="shared" si="29"/>
        <v>0.12486628866022965</v>
      </c>
      <c r="I77" s="62">
        <f t="shared" si="29"/>
        <v>0.12874902347023659</v>
      </c>
      <c r="J77" s="62">
        <f t="shared" si="29"/>
        <v>0.11859431696445313</v>
      </c>
      <c r="K77" s="62">
        <f t="shared" si="29"/>
        <v>0.12849271865416714</v>
      </c>
      <c r="L77" s="62">
        <f t="shared" si="29"/>
        <v>0.11300868465860375</v>
      </c>
      <c r="M77" s="62">
        <f t="shared" si="29"/>
        <v>0.11475980556893547</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3.1599359984480303E-2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9.0028204320810198E-2</v>
      </c>
      <c r="D80" s="26"/>
      <c r="E80" s="234"/>
      <c r="F80" s="26"/>
      <c r="G80" s="62">
        <f t="shared" ref="G80:Q80" si="32">IF(G$4="","",ABS(G14/G$4))</f>
        <v>9.7984078306258188E-2</v>
      </c>
      <c r="H80" s="62">
        <f t="shared" si="32"/>
        <v>0.12621220060252286</v>
      </c>
      <c r="I80" s="62">
        <f t="shared" si="32"/>
        <v>0.12979524126828937</v>
      </c>
      <c r="J80" s="62">
        <f t="shared" si="32"/>
        <v>0.11807303376548027</v>
      </c>
      <c r="K80" s="62">
        <f t="shared" si="32"/>
        <v>0.12758569159999394</v>
      </c>
      <c r="L80" s="62">
        <f t="shared" si="32"/>
        <v>0.11027504703487311</v>
      </c>
      <c r="M80" s="62">
        <f t="shared" si="32"/>
        <v>0.11607852992730013</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9.0028204320810198E-2</v>
      </c>
      <c r="D85" s="72"/>
      <c r="E85" s="234"/>
      <c r="F85" s="72"/>
      <c r="G85" s="62">
        <f t="shared" ref="G85:Q85" si="35">IF(G$4="","",ABS(G19/G$4))</f>
        <v>9.7984078306258188E-2</v>
      </c>
      <c r="H85" s="62">
        <f t="shared" si="35"/>
        <v>0.12621220060252286</v>
      </c>
      <c r="I85" s="62">
        <f t="shared" si="35"/>
        <v>0.12979524126828937</v>
      </c>
      <c r="J85" s="62">
        <f t="shared" si="35"/>
        <v>0.11807303376548027</v>
      </c>
      <c r="K85" s="62">
        <f t="shared" si="35"/>
        <v>0.12758569159999394</v>
      </c>
      <c r="L85" s="62">
        <f t="shared" si="35"/>
        <v>0.11027504703487311</v>
      </c>
      <c r="M85" s="62">
        <f t="shared" si="35"/>
        <v>0.11607852992730013</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0.67395713653564449</v>
      </c>
      <c r="E88" s="237"/>
      <c r="G88" s="109">
        <f>Data!C65</f>
        <v>0.67395713653564449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831555947.30027616</v>
      </c>
      <c r="E89" s="237"/>
      <c r="G89" s="71">
        <f t="shared" ref="G89:Q89" si="36">IF(G$4="","",G88*Common_Shares/scaling_factor)</f>
        <v>831555947.30027616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0.74920757062613996</v>
      </c>
      <c r="E90" s="237"/>
      <c r="G90" s="152">
        <f t="shared" ref="G90:Q90" si="37">IF(G$4="","",G88/(G19*scaling_factor/Common_Shares))</f>
        <v>0.68837522802640883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5.6319537872059428E-2</v>
      </c>
      <c r="E92" s="237"/>
      <c r="G92" s="22">
        <f t="shared" ref="G92:Q92" si="38">IF(G$4="","",(G88*(1-dividend_tax_rate))/Market_Price)</f>
        <v>5.6319537872059428E-2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0.13572548658010963</v>
      </c>
      <c r="D96" s="26"/>
      <c r="E96" s="234"/>
      <c r="F96" s="26"/>
      <c r="G96" s="6">
        <f t="shared" ref="G96:Q96" si="40">IF(H5="","",G11/H11-1)</f>
        <v>-7.4162116013787527E-2</v>
      </c>
      <c r="H96" s="6">
        <f t="shared" si="40"/>
        <v>5.3087754601935266E-2</v>
      </c>
      <c r="I96" s="6">
        <f t="shared" si="40"/>
        <v>0.13439799356086679</v>
      </c>
      <c r="J96" s="6">
        <f t="shared" si="40"/>
        <v>7.1768658100369143E-2</v>
      </c>
      <c r="K96" s="6">
        <f t="shared" si="40"/>
        <v>0.15831001119779176</v>
      </c>
      <c r="L96" s="6">
        <f t="shared" si="40"/>
        <v>6.3634316888382614E-2</v>
      </c>
      <c r="M96" s="6">
        <f t="shared" si="40"/>
        <v>0.35104425807066475</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1.4672861448604271</v>
      </c>
      <c r="H113" s="251">
        <f>IF(H$4="","",Data!D$22/H19)</f>
        <v>1.5708340667331566</v>
      </c>
      <c r="I113" s="251">
        <f>IF(I$4="","",Data!E$22/I19)</f>
        <v>1.4269255963736946</v>
      </c>
      <c r="J113" s="251">
        <f>IF(J$4="","",Data!F$22/J19)</f>
        <v>1.6576400904415105</v>
      </c>
      <c r="K113" s="251">
        <f>IF(K$4="","",Data!G$22/K19)</f>
        <v>1.5825343026733032</v>
      </c>
      <c r="L113" s="251">
        <f>IF(L$4="","",Data!H$22/L19)</f>
        <v>1.399248388372714</v>
      </c>
      <c r="M113" s="251">
        <f>IF(M$4="","",Data!I$22/M19)</f>
        <v>1.0454218336697738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0.12639743993792121</v>
      </c>
      <c r="E116" s="22">
        <f>E119/E117/E118</f>
        <v>0.12639743993792121</v>
      </c>
      <c r="G116" s="22">
        <f t="shared" ref="G116:Q116" si="44">IF(G4="","",G77)</f>
        <v>0.11129224573319076</v>
      </c>
      <c r="H116" s="22">
        <f t="shared" si="44"/>
        <v>0.12486628866022965</v>
      </c>
      <c r="I116" s="22">
        <f t="shared" si="44"/>
        <v>0.12874902347023659</v>
      </c>
      <c r="J116" s="22">
        <f t="shared" si="44"/>
        <v>0.11859431696445313</v>
      </c>
      <c r="K116" s="22">
        <f t="shared" si="44"/>
        <v>0.12849271865416714</v>
      </c>
      <c r="L116" s="22">
        <f t="shared" si="44"/>
        <v>0.11300868465860375</v>
      </c>
      <c r="M116" s="22">
        <f t="shared" si="44"/>
        <v>0.11475980556893547</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0.10095748942278249</v>
      </c>
      <c r="D119" s="100"/>
      <c r="E119" s="453">
        <f>C11/C104</f>
        <v>0.10095748942278249</v>
      </c>
      <c r="F119" s="100"/>
      <c r="G119" s="99">
        <f t="shared" ref="G119:Q119" si="47">IF(G$4="","",G11/G104)</f>
        <v>8.8892510219864065E-2</v>
      </c>
      <c r="H119" s="99">
        <f t="shared" si="47"/>
        <v>0.11047838809071681</v>
      </c>
      <c r="I119" s="99">
        <f t="shared" si="47"/>
        <v>0.11114058314529257</v>
      </c>
      <c r="J119" s="99">
        <f t="shared" si="47"/>
        <v>0.11166287113215968</v>
      </c>
      <c r="K119" s="99">
        <f t="shared" si="47"/>
        <v>0.11542205436214789</v>
      </c>
      <c r="L119" s="99">
        <f t="shared" si="47"/>
        <v>0.1095699787445371</v>
      </c>
      <c r="M119" s="99">
        <f t="shared" si="47"/>
        <v>0.1117639053086716</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1.010441431043644</v>
      </c>
      <c r="D123" s="26"/>
      <c r="E123" s="234"/>
      <c r="F123" s="26"/>
      <c r="G123" s="159">
        <f t="shared" ref="G123:Q123" si="48">IF(G$4="","",G14*$C$3/Common_Shares*Exchange_Rate)</f>
        <v>1.0997350558105299</v>
      </c>
      <c r="H123" s="159">
        <f t="shared" si="48"/>
        <v>1.3636994058277274</v>
      </c>
      <c r="I123" s="159">
        <f t="shared" si="48"/>
        <v>1.2915546262918887</v>
      </c>
      <c r="J123" s="159">
        <f t="shared" si="48"/>
        <v>1.1243961433668803</v>
      </c>
      <c r="K123" s="159">
        <f t="shared" si="48"/>
        <v>1.046296818345996</v>
      </c>
      <c r="L123" s="159">
        <f t="shared" si="48"/>
        <v>0.88771196238868244</v>
      </c>
      <c r="M123" s="159">
        <f t="shared" si="48"/>
        <v>0.86512008590568035</v>
      </c>
      <c r="N123" s="159">
        <f t="shared" si="48"/>
        <v>0.63255007452011369</v>
      </c>
      <c r="O123" s="159">
        <f t="shared" si="48"/>
        <v>0.52089361399180079</v>
      </c>
      <c r="P123" s="159">
        <f t="shared" si="48"/>
        <v>0.49107486115361276</v>
      </c>
      <c r="Q123" s="159" t="str">
        <f t="shared" si="48"/>
        <v/>
      </c>
    </row>
    <row r="124" spans="1:17" ht="15.75" customHeight="1">
      <c r="A124" s="10"/>
      <c r="B124" s="26" t="s">
        <v>226</v>
      </c>
      <c r="C124" s="74">
        <f>C19*Exchange_Rate*$C$3/(Market_Price*Common_Shares)</f>
        <v>9.3820002882418194E-2</v>
      </c>
      <c r="D124" s="26"/>
      <c r="E124" s="234"/>
      <c r="F124" s="26"/>
      <c r="G124" s="74">
        <f t="shared" ref="G124" si="49">IF(G$4="","",G123/Market_Price)</f>
        <v>0.10211096154229618</v>
      </c>
      <c r="H124" s="74">
        <f t="shared" ref="H124" si="50">IF(H$4="","",H123/Market_Price)</f>
        <v>0.12662018624212884</v>
      </c>
      <c r="I124" s="74">
        <f t="shared" ref="I124" si="51">IF(I$4="","",I123/Market_Price)</f>
        <v>0.11992150661948828</v>
      </c>
      <c r="J124" s="74">
        <f t="shared" ref="J124" si="52">IF(J$4="","",J123/Market_Price)</f>
        <v>0.10440075611577349</v>
      </c>
      <c r="K124" s="74">
        <f t="shared" ref="K124" si="53">IF(K$4="","",K123/Market_Price)</f>
        <v>9.7149193903992195E-2</v>
      </c>
      <c r="L124" s="74">
        <f t="shared" ref="L124" si="54">IF(L$4="","",L123/Market_Price)</f>
        <v>8.2424509042588898E-2</v>
      </c>
      <c r="M124" s="74">
        <f t="shared" ref="M124" si="55">IF(M$4="","",M123/Market_Price)</f>
        <v>8.0326841773972174E-2</v>
      </c>
      <c r="N124" s="74">
        <f t="shared" ref="N124" si="56">IF(N$4="","",N123/Market_Price)</f>
        <v>5.8732597448478523E-2</v>
      </c>
      <c r="O124" s="74">
        <f t="shared" ref="O124" si="57">IF(O$4="","",O123/Market_Price)</f>
        <v>4.8365238067948076E-2</v>
      </c>
      <c r="P124" s="74">
        <f t="shared" ref="P124" si="58">IF(P$4="","",P123/Market_Price)</f>
        <v>4.5596551639146964E-2</v>
      </c>
      <c r="Q124" s="74" t="str">
        <f t="shared" ref="Q124" si="59">IF(Q$4="","",Q123/Market_Price)</f>
        <v/>
      </c>
    </row>
    <row r="125" spans="1:17" ht="15.75" customHeight="1">
      <c r="B125" s="2" t="s">
        <v>306</v>
      </c>
      <c r="C125" s="151"/>
      <c r="G125" s="22">
        <f>IF(G$4="","",(Data!C47*$C$3)/(Market_Price*Common_Shares))</f>
        <v>0.1206807079561545</v>
      </c>
      <c r="H125" s="22">
        <f>IF(H$4="","",(Data!D47*$C$3)/(Market_Price*Common_Shares))</f>
        <v>0.12253860698551564</v>
      </c>
      <c r="I125" s="22">
        <f>IF(I$4="","",(Data!E47*$C$3)/(Market_Price*Common_Shares))</f>
        <v>0.10469492593268225</v>
      </c>
      <c r="J125" s="22">
        <f>IF(J$4="","",(Data!F47*$C$3)/(Market_Price*Common_Shares))</f>
        <v>9.8076114129388658E-2</v>
      </c>
      <c r="K125" s="22">
        <f>IF(K$4="","",(Data!G47*$C$3)/(Market_Price*Common_Shares))</f>
        <v>9.3539374683517404E-2</v>
      </c>
      <c r="L125" s="22">
        <f>IF(L$4="","",(Data!H47*$C$3)/(Market_Price*Common_Shares))</f>
        <v>8.4634681778434737E-2</v>
      </c>
      <c r="M125" s="22">
        <f>IF(M$4="","",(Data!I47*$C$3)/(Market_Price*Common_Shares))</f>
        <v>6.9738399998217404E-2</v>
      </c>
      <c r="N125" s="22">
        <f>IF(N$4="","",(Data!J47*$C$3)/(Market_Price*Common_Shares))</f>
        <v>6.8968100789066386E-2</v>
      </c>
      <c r="O125" s="22">
        <f>IF(O$4="","",(Data!K47*$C$3)/(Market_Price*Common_Shares))</f>
        <v>4.7412389033658908E-2</v>
      </c>
      <c r="P125" s="22">
        <f>IF(P$4="","",(Data!L47*$C$3)/(Market_Price*Common_Shares))</f>
        <v>4.6274696217661761E-2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1109913967.640923</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6701315491.2092161</v>
      </c>
      <c r="G5" t="str">
        <f>Reporting_currency</f>
        <v>CNY</v>
      </c>
      <c r="H5" s="308" t="s">
        <v>395</v>
      </c>
      <c r="I5" s="305">
        <f>Normalized_FCF!C7</f>
        <v>-1673614926</v>
      </c>
      <c r="J5" s="305"/>
    </row>
    <row r="6" spans="2:15" ht="13.25" customHeight="1">
      <c r="B6" s="136" t="s">
        <v>194</v>
      </c>
      <c r="C6" s="283">
        <f>(C4*(1+Terminal_Growth))/(Equity_Cost-Terminal_Growth)</f>
        <v>13453502638.071796</v>
      </c>
      <c r="D6" t="str">
        <f>Reporting_currency</f>
        <v>CNY</v>
      </c>
      <c r="E6" s="187" t="s">
        <v>433</v>
      </c>
      <c r="F6" s="284">
        <f>BS!H42</f>
        <v>583558544.63999999</v>
      </c>
      <c r="G6" t="str">
        <f>Reporting_currency</f>
        <v>CNY</v>
      </c>
      <c r="H6" s="308" t="s">
        <v>416</v>
      </c>
      <c r="I6" s="305">
        <f>I7+I8</f>
        <v>-2557703.287675295</v>
      </c>
      <c r="J6" s="305"/>
      <c r="N6" s="135"/>
    </row>
    <row r="7" spans="2:15" ht="12.75" customHeight="1">
      <c r="B7" s="318" t="s">
        <v>430</v>
      </c>
      <c r="C7" s="275">
        <f>F7</f>
        <v>7001735579.2592163</v>
      </c>
      <c r="E7" s="140" t="s">
        <v>424</v>
      </c>
      <c r="F7" s="283">
        <f>SUM(F4:F6)</f>
        <v>7001735579.2592163</v>
      </c>
      <c r="G7" t="str">
        <f>Reporting_currency</f>
        <v>CNY</v>
      </c>
      <c r="H7" s="312" t="s">
        <v>417</v>
      </c>
      <c r="I7" s="313">
        <f>Normalized_FCF!C9</f>
        <v>0</v>
      </c>
      <c r="J7" s="313"/>
      <c r="N7" s="304"/>
      <c r="O7" s="304"/>
    </row>
    <row r="8" spans="2:15" ht="13.15">
      <c r="B8" s="136" t="s">
        <v>426</v>
      </c>
      <c r="C8" s="283">
        <f>C6+C7</f>
        <v>20455238217.331013</v>
      </c>
      <c r="D8" t="str">
        <f>Reporting_currency</f>
        <v>CNY</v>
      </c>
      <c r="E8" s="140" t="s">
        <v>464</v>
      </c>
      <c r="F8" s="108">
        <f>FV_adjustments*scaling_factor/Common_Shares*Exchange_Rate</f>
        <v>6.3742271245880184</v>
      </c>
      <c r="G8" s="294" t="str">
        <f>Market_currency</f>
        <v>HKD</v>
      </c>
      <c r="H8" s="314" t="str">
        <f>Normalized_FCF!B10</f>
        <v>Net Interest Income</v>
      </c>
      <c r="I8" s="313">
        <f>Normalized_FCF!C10</f>
        <v>-2557703.287675295</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22976589626.844818</v>
      </c>
      <c r="D10" t="str">
        <f>Market_currency</f>
        <v>HKD</v>
      </c>
      <c r="H10" s="308" t="s">
        <v>397</v>
      </c>
      <c r="I10" s="306">
        <f>Normalized_FCF!C41</f>
        <v>0.25</v>
      </c>
      <c r="N10" s="304"/>
      <c r="O10" s="304"/>
    </row>
    <row r="11" spans="2:15" ht="13.15">
      <c r="B11" s="136" t="s">
        <v>425</v>
      </c>
      <c r="C11" s="108">
        <f>(C10*scaling_factor)/Common_Shares</f>
        <v>18.622002046329161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0.12639743993792121</v>
      </c>
      <c r="E17" s="308" t="s">
        <v>550</v>
      </c>
      <c r="F17" s="311">
        <f>Scenarios!C40</f>
        <v>0.12639743993792121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18.681662475867796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0.12639743993792121</v>
      </c>
      <c r="F21" s="277">
        <f>C21*E21</f>
        <v>1561021291.9036732</v>
      </c>
      <c r="G21" s="299">
        <f t="shared" ref="G21:G50" si="2">IF(A21="",0%,IF(A21="I",$C$18,$F$18))</f>
        <v>0</v>
      </c>
      <c r="H21" s="277">
        <f>(F21*(1-$I$10)+C21*(G21-$I$9))</f>
        <v>1111857517.7286956</v>
      </c>
      <c r="I21" s="299">
        <f>H21/C4-1</f>
        <v>1.7510817454648997E-3</v>
      </c>
      <c r="J21" s="299">
        <f>H21/C21</f>
        <v>9.0028204320810185E-2</v>
      </c>
      <c r="K21" s="119">
        <f t="shared" ref="K21:K50" si="3">IF($C$15&lt;B21,0,1/(1+Equity_Cost)^B21)</f>
        <v>0.92378752886836024</v>
      </c>
      <c r="L21" s="277">
        <f t="shared" ref="L21:L51" si="4">H21*K21</f>
        <v>1027120108.7563008</v>
      </c>
    </row>
    <row r="22" spans="1:21">
      <c r="A22" s="302" t="str">
        <f t="shared" si="0"/>
        <v>I</v>
      </c>
      <c r="B22" s="117">
        <v>2</v>
      </c>
      <c r="C22" s="277">
        <f t="shared" ref="C22:C50" si="5">IF(A22="",0,C21*(1+D22))</f>
        <v>12371728166.015308</v>
      </c>
      <c r="D22" s="299">
        <f t="shared" si="1"/>
        <v>1.7510817454652E-3</v>
      </c>
      <c r="E22" s="299">
        <f t="shared" ref="E22:E50" si="6">IF($C$15&lt;B22,0,IF(B22&gt;=$F$15,$F$17,$C$17))</f>
        <v>0.12639743993792121</v>
      </c>
      <c r="F22" s="277">
        <f t="shared" ref="F22:F50" si="7">IF(A22="", 0,C22*E22)</f>
        <v>1563754767.7922082</v>
      </c>
      <c r="G22" s="299">
        <f t="shared" si="2"/>
        <v>0</v>
      </c>
      <c r="H22" s="277">
        <f t="shared" ref="H22:H50" si="8">IF(A22="", 0,F22*(1-$I$10)+C22*(G22-$I$9))</f>
        <v>1113804471.1315489</v>
      </c>
      <c r="I22" s="299">
        <f t="shared" ref="I22:I50" si="9">IF(A22="", 0,H22/H21-1)</f>
        <v>1.7510817454653438E-3</v>
      </c>
      <c r="J22" s="299">
        <f>IF(A22="", 0,H22/C22)</f>
        <v>9.0028204320810226E-2</v>
      </c>
      <c r="K22" s="119">
        <f t="shared" si="3"/>
        <v>0.85338339849271161</v>
      </c>
      <c r="L22" s="277">
        <f t="shared" si="4"/>
        <v>950502244.8306185</v>
      </c>
    </row>
    <row r="23" spans="1:21">
      <c r="A23" s="302" t="str">
        <f t="shared" si="0"/>
        <v>I</v>
      </c>
      <c r="B23" s="117">
        <v>3</v>
      </c>
      <c r="C23" s="277">
        <f t="shared" si="5"/>
        <v>12393392073.366674</v>
      </c>
      <c r="D23" s="299">
        <f t="shared" si="1"/>
        <v>1.7510817454652E-3</v>
      </c>
      <c r="E23" s="299">
        <f t="shared" si="6"/>
        <v>0.12639743993792121</v>
      </c>
      <c r="F23" s="277">
        <f t="shared" si="7"/>
        <v>1566493030.2204731</v>
      </c>
      <c r="G23" s="299">
        <f t="shared" si="2"/>
        <v>0</v>
      </c>
      <c r="H23" s="277">
        <f t="shared" si="8"/>
        <v>1115754833.8089645</v>
      </c>
      <c r="I23" s="299">
        <f t="shared" si="9"/>
        <v>1.7510817454648997E-3</v>
      </c>
      <c r="J23" s="299">
        <f t="shared" ref="J23:J50" si="10">IF(A23="", 0,H23/C23)</f>
        <v>9.0028204320810198E-2</v>
      </c>
      <c r="K23" s="119">
        <f t="shared" si="3"/>
        <v>0.78834494087086515</v>
      </c>
      <c r="L23" s="277">
        <f t="shared" si="4"/>
        <v>879599678.48551011</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0.12639743993792121</v>
      </c>
      <c r="F51" s="277">
        <f>C51*E51</f>
        <v>1566493030.2204731</v>
      </c>
      <c r="G51" s="299">
        <f>F18</f>
        <v>0</v>
      </c>
      <c r="H51" s="277">
        <f>(F51*(1-$I$10)+C51*(G51-$I$9))/Equity_Cost</f>
        <v>13524301015.866238</v>
      </c>
      <c r="I51" s="415">
        <f>(F51*(1-$I$10)+C51*(G51-$I$9))/VLOOKUP(C15,B21:H50,COLUMN(H20)-1,FALSE)-1</f>
        <v>0</v>
      </c>
      <c r="J51" s="454"/>
      <c r="K51" s="119">
        <f>1/(1+Equity_Cost)^C15</f>
        <v>0.78834494087086515</v>
      </c>
      <c r="L51" s="277">
        <f t="shared" si="4"/>
        <v>10661814284.672852</v>
      </c>
    </row>
    <row r="52" spans="1:21" ht="13.15">
      <c r="G52" s="111"/>
      <c r="H52" s="111"/>
      <c r="I52" s="111"/>
      <c r="J52" s="468" t="s">
        <v>420</v>
      </c>
      <c r="K52" s="468"/>
      <c r="L52" s="317">
        <f>SUM(L21:L51)</f>
        <v>13519036316.745281</v>
      </c>
    </row>
    <row r="53" spans="1:21">
      <c r="C53" s="111"/>
    </row>
    <row r="54" spans="1:21" ht="13.15">
      <c r="B54" s="115" t="s">
        <v>108</v>
      </c>
      <c r="C54" s="128"/>
      <c r="D54" s="128"/>
      <c r="E54" s="113"/>
      <c r="F54" s="113"/>
      <c r="G54" s="113"/>
      <c r="H54" s="113"/>
      <c r="I54" s="113"/>
      <c r="J54" s="113"/>
      <c r="K54" s="113"/>
      <c r="L54" s="113"/>
    </row>
    <row r="55" spans="1:21" ht="13.15">
      <c r="A55" s="125">
        <f>L52</f>
        <v>13519036316.745281</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13184432585.310358</v>
      </c>
      <c r="C56" s="118">
        <v>13318967611.691078</v>
      </c>
      <c r="D56" s="118">
        <v>13453502638.071795</v>
      </c>
      <c r="E56" s="118">
        <v>13588037664.452515</v>
      </c>
      <c r="F56" s="118">
        <v>13722572690.833233</v>
      </c>
      <c r="G56" s="295"/>
      <c r="H56" s="295"/>
      <c r="I56" s="295"/>
      <c r="J56" s="295"/>
      <c r="K56" s="295"/>
      <c r="L56" s="295"/>
    </row>
    <row r="57" spans="1:21" ht="13.15">
      <c r="A57" s="131">
        <v>2</v>
      </c>
      <c r="B57" s="118">
        <v>12940840297.360056</v>
      </c>
      <c r="C57" s="118">
        <v>13195928649.920256</v>
      </c>
      <c r="D57" s="118">
        <v>13453502638.071796</v>
      </c>
      <c r="E57" s="118">
        <v>13713562261.814661</v>
      </c>
      <c r="F57" s="118">
        <v>13976107521.148859</v>
      </c>
      <c r="G57" s="295"/>
      <c r="H57" s="295"/>
      <c r="I57" s="295"/>
      <c r="J57" s="295"/>
      <c r="K57" s="295"/>
      <c r="L57" s="295"/>
    </row>
    <row r="58" spans="1:21" ht="13.15">
      <c r="A58" s="131">
        <v>3</v>
      </c>
      <c r="B58" s="118">
        <v>12720313329.977791</v>
      </c>
      <c r="C58" s="118">
        <v>13083403410.055954</v>
      </c>
      <c r="D58" s="118">
        <v>13453502638.071795</v>
      </c>
      <c r="E58" s="118">
        <v>13830679900.000128</v>
      </c>
      <c r="F58" s="118">
        <v>14215004081.815777</v>
      </c>
      <c r="G58" s="295"/>
      <c r="H58" s="295"/>
      <c r="I58" s="295"/>
      <c r="J58" s="295"/>
      <c r="K58" s="295"/>
      <c r="L58" s="295"/>
    </row>
    <row r="59" spans="1:21" ht="13.15">
      <c r="A59" s="131">
        <v>4</v>
      </c>
      <c r="B59" s="118">
        <v>12520667668.975832</v>
      </c>
      <c r="C59" s="118">
        <v>12980493490.919083</v>
      </c>
      <c r="D59" s="118">
        <v>13453502638.071798</v>
      </c>
      <c r="E59" s="118">
        <v>13939953631.702045</v>
      </c>
      <c r="F59" s="118">
        <v>14440107538.518091</v>
      </c>
      <c r="G59" s="295"/>
      <c r="H59" s="295"/>
      <c r="I59" s="295"/>
      <c r="J59" s="295"/>
      <c r="K59" s="295"/>
      <c r="L59" s="295"/>
    </row>
    <row r="60" spans="1:21" ht="13.15">
      <c r="A60" s="131">
        <v>5</v>
      </c>
      <c r="B60" s="118">
        <v>12339926100.586067</v>
      </c>
      <c r="C60" s="118">
        <v>12886377260.022547</v>
      </c>
      <c r="D60" s="118">
        <v>13453502638.071796</v>
      </c>
      <c r="E60" s="118">
        <v>14041908799.386974</v>
      </c>
      <c r="F60" s="118">
        <v>14652214259.844982</v>
      </c>
      <c r="G60" s="295"/>
      <c r="H60" s="295"/>
      <c r="I60" s="295"/>
      <c r="J60" s="295"/>
      <c r="K60" s="295"/>
      <c r="L60" s="295"/>
    </row>
    <row r="61" spans="1:21" ht="13.15">
      <c r="A61" s="131">
        <v>6</v>
      </c>
      <c r="B61" s="118">
        <v>12176298629.89603</v>
      </c>
      <c r="C61" s="118">
        <v>12800303293.659893</v>
      </c>
      <c r="D61" s="118">
        <v>13453502638.071796</v>
      </c>
      <c r="E61" s="118">
        <v>14137035560.922102</v>
      </c>
      <c r="F61" s="118">
        <v>14852074634.674942</v>
      </c>
      <c r="G61" s="295"/>
      <c r="H61" s="295"/>
      <c r="I61" s="295"/>
      <c r="J61" s="295"/>
      <c r="K61" s="295"/>
      <c r="L61" s="295"/>
    </row>
    <row r="62" spans="1:21" ht="13.15">
      <c r="A62" s="131">
        <v>7</v>
      </c>
      <c r="B62" s="118">
        <v>12028164753.428371</v>
      </c>
      <c r="C62" s="118">
        <v>12721584377.540699</v>
      </c>
      <c r="D62" s="118">
        <v>13453502638.071796</v>
      </c>
      <c r="E62" s="118">
        <v>14225791246.049566</v>
      </c>
      <c r="F62" s="118">
        <v>15040395726.893473</v>
      </c>
      <c r="G62" s="295"/>
      <c r="H62" s="295"/>
      <c r="I62" s="295"/>
      <c r="J62" s="295"/>
      <c r="K62" s="295"/>
      <c r="L62" s="295"/>
    </row>
    <row r="63" spans="1:21" ht="13.15">
      <c r="A63" s="131">
        <v>8</v>
      </c>
      <c r="B63" s="118">
        <v>11894057410.2983</v>
      </c>
      <c r="C63" s="118">
        <v>12649592020.073727</v>
      </c>
      <c r="D63" s="118">
        <v>13453502638.0718</v>
      </c>
      <c r="E63" s="118">
        <v>14308602555.036854</v>
      </c>
      <c r="F63" s="118">
        <v>15217843776.836105</v>
      </c>
      <c r="G63" s="295"/>
      <c r="H63" s="295"/>
      <c r="I63" s="295"/>
      <c r="J63" s="295"/>
      <c r="K63" s="295"/>
      <c r="L63" s="295"/>
    </row>
    <row r="64" spans="1:21" ht="13.15">
      <c r="A64" s="131">
        <v>9</v>
      </c>
      <c r="B64" s="118">
        <v>11772648453.007336</v>
      </c>
      <c r="C64" s="118">
        <v>12583751434.49192</v>
      </c>
      <c r="D64" s="118">
        <v>13453502638.071796</v>
      </c>
      <c r="E64" s="118">
        <v>14385867610.07349</v>
      </c>
      <c r="F64" s="118">
        <v>15385046558.306297</v>
      </c>
      <c r="G64" s="295"/>
      <c r="H64" s="295"/>
      <c r="I64" s="295"/>
      <c r="J64" s="295"/>
      <c r="K64" s="295"/>
      <c r="L64" s="295"/>
    </row>
    <row r="65" spans="1:21" ht="13.15">
      <c r="A65" s="131">
        <v>10</v>
      </c>
      <c r="B65" s="118">
        <v>11662735493.981794</v>
      </c>
      <c r="C65" s="118">
        <v>12523536949.756594</v>
      </c>
      <c r="D65" s="118">
        <v>13453502638.071796</v>
      </c>
      <c r="E65" s="118">
        <v>14457957869.276268</v>
      </c>
      <c r="F65" s="118">
        <v>15542595599.506851</v>
      </c>
      <c r="G65" s="295"/>
      <c r="H65" s="295"/>
      <c r="I65" s="295"/>
      <c r="J65" s="295"/>
      <c r="K65" s="295"/>
      <c r="L65" s="295"/>
    </row>
    <row r="66" spans="1:21" ht="13.15">
      <c r="A66" s="131">
        <v>15</v>
      </c>
      <c r="B66" s="118">
        <v>11250920856.877028</v>
      </c>
      <c r="C66" s="277">
        <v>12291395882.102839</v>
      </c>
      <c r="D66" s="118">
        <v>13453502638.0718</v>
      </c>
      <c r="E66" s="118">
        <v>14752137026.355196</v>
      </c>
      <c r="F66" s="118">
        <v>16203954775.15691</v>
      </c>
      <c r="G66" s="295"/>
      <c r="H66" s="295"/>
      <c r="I66" s="295"/>
      <c r="J66" s="295"/>
      <c r="K66" s="295"/>
      <c r="L66" s="295"/>
      <c r="M66" s="275"/>
      <c r="N66" s="275"/>
      <c r="O66" s="275"/>
      <c r="P66" s="275"/>
      <c r="Q66" s="275"/>
      <c r="R66" s="275"/>
      <c r="S66" s="275"/>
      <c r="T66" s="275"/>
      <c r="U66" s="275"/>
    </row>
    <row r="67" spans="1:21" ht="13.15">
      <c r="A67" s="132">
        <v>20</v>
      </c>
      <c r="B67" s="118">
        <v>11000487236.446093</v>
      </c>
      <c r="C67" s="277">
        <v>12142874690.36445</v>
      </c>
      <c r="D67" s="118">
        <v>13453502638.0718</v>
      </c>
      <c r="E67" s="118">
        <v>14960144645.462954</v>
      </c>
      <c r="F67" s="118">
        <v>16695200424.333065</v>
      </c>
      <c r="G67" s="295"/>
      <c r="H67" s="295"/>
      <c r="I67" s="295"/>
      <c r="J67" s="295"/>
      <c r="K67" s="295"/>
      <c r="L67" s="295"/>
      <c r="M67" s="275"/>
      <c r="N67" s="275"/>
      <c r="O67" s="275"/>
      <c r="P67" s="275"/>
      <c r="Q67" s="275"/>
      <c r="R67" s="275"/>
      <c r="S67" s="275"/>
      <c r="T67" s="275"/>
      <c r="U67" s="275"/>
    </row>
    <row r="68" spans="1:21" ht="13.15">
      <c r="A68" s="132">
        <v>25</v>
      </c>
      <c r="B68" s="118">
        <v>10848192993.863861</v>
      </c>
      <c r="C68" s="277">
        <v>12047852535.868753</v>
      </c>
      <c r="D68" s="118">
        <v>13453502638.0718</v>
      </c>
      <c r="E68" s="118">
        <v>15107222263.18578</v>
      </c>
      <c r="F68" s="118">
        <v>17060088818.899153</v>
      </c>
      <c r="G68" s="295"/>
      <c r="H68" s="295"/>
      <c r="I68" s="295"/>
      <c r="J68" s="295"/>
      <c r="K68" s="295"/>
      <c r="L68" s="295"/>
      <c r="M68" s="275"/>
      <c r="N68" s="275"/>
      <c r="O68" s="275"/>
      <c r="P68" s="275"/>
      <c r="Q68" s="275"/>
      <c r="R68" s="275"/>
      <c r="S68" s="275"/>
      <c r="T68" s="275"/>
      <c r="U68" s="275"/>
    </row>
    <row r="69" spans="1:21" ht="13.15">
      <c r="A69" s="132">
        <v>30</v>
      </c>
      <c r="B69" s="118">
        <v>10755579485.007566</v>
      </c>
      <c r="C69" s="277">
        <v>11987058451.608318</v>
      </c>
      <c r="D69" s="118">
        <v>13453502638.0718</v>
      </c>
      <c r="E69" s="118">
        <v>15211217615.50898</v>
      </c>
      <c r="F69" s="118">
        <v>17331121327.201885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18.622002046329161</v>
      </c>
      <c r="C73" s="119">
        <f>C11</f>
        <v>18.622002046329161</v>
      </c>
      <c r="D73" s="119">
        <f>C11</f>
        <v>18.622002046329161</v>
      </c>
      <c r="E73" s="119">
        <f>C11</f>
        <v>18.622002046329161</v>
      </c>
      <c r="F73" s="119">
        <f>C11</f>
        <v>18.622002046329161</v>
      </c>
      <c r="G73" s="296"/>
      <c r="H73" s="296"/>
      <c r="I73" s="296"/>
      <c r="J73" s="296"/>
      <c r="K73" s="296"/>
      <c r="L73" s="296"/>
    </row>
    <row r="74" spans="1:21" ht="13.15">
      <c r="A74" s="131">
        <v>1</v>
      </c>
      <c r="B74" s="119">
        <f t="shared" ref="B74:F87" si="11">(B56+FV_adjustments)/Common_Shares*scaling_factor*Exchange_Rate</f>
        <v>18.377046547894334</v>
      </c>
      <c r="C74" s="119">
        <f t="shared" si="11"/>
        <v>18.499524297111748</v>
      </c>
      <c r="D74" s="119">
        <f t="shared" si="11"/>
        <v>18.622002046329158</v>
      </c>
      <c r="E74" s="119">
        <f t="shared" si="11"/>
        <v>18.744479795546575</v>
      </c>
      <c r="F74" s="119">
        <f t="shared" si="11"/>
        <v>18.866957544763981</v>
      </c>
      <c r="G74" s="296"/>
      <c r="H74" s="296"/>
      <c r="I74" s="296"/>
      <c r="J74" s="296"/>
      <c r="K74" s="296"/>
      <c r="L74" s="296"/>
    </row>
    <row r="75" spans="1:21" ht="13.15">
      <c r="A75" s="131">
        <v>2</v>
      </c>
      <c r="B75" s="119">
        <f t="shared" si="11"/>
        <v>18.155285450004154</v>
      </c>
      <c r="C75" s="119">
        <f t="shared" si="11"/>
        <v>18.387512313993746</v>
      </c>
      <c r="D75" s="119">
        <f t="shared" si="11"/>
        <v>18.622002046329161</v>
      </c>
      <c r="E75" s="119">
        <f t="shared" si="11"/>
        <v>18.858754647010386</v>
      </c>
      <c r="F75" s="119">
        <f t="shared" si="11"/>
        <v>19.097770116037442</v>
      </c>
      <c r="G75" s="296"/>
      <c r="H75" s="296"/>
      <c r="I75" s="296"/>
      <c r="J75" s="296"/>
      <c r="K75" s="296"/>
      <c r="L75" s="296"/>
    </row>
    <row r="76" spans="1:21" ht="13.15">
      <c r="A76" s="131">
        <v>3</v>
      </c>
      <c r="B76" s="119">
        <f t="shared" si="11"/>
        <v>17.954522516117425</v>
      </c>
      <c r="C76" s="119">
        <f t="shared" si="11"/>
        <v>18.285071793636401</v>
      </c>
      <c r="D76" s="119">
        <f t="shared" si="11"/>
        <v>18.622002046329158</v>
      </c>
      <c r="E76" s="119">
        <f t="shared" si="11"/>
        <v>18.96537598648241</v>
      </c>
      <c r="F76" s="119">
        <f t="shared" si="11"/>
        <v>19.315256326382872</v>
      </c>
      <c r="G76" s="296"/>
      <c r="H76" s="296"/>
      <c r="I76" s="296"/>
      <c r="J76" s="296"/>
      <c r="K76" s="296"/>
      <c r="L76" s="296"/>
    </row>
    <row r="77" spans="1:21" ht="13.15">
      <c r="A77" s="131">
        <v>4</v>
      </c>
      <c r="B77" s="119">
        <f t="shared" si="11"/>
        <v>17.772769467425512</v>
      </c>
      <c r="C77" s="119">
        <f t="shared" si="11"/>
        <v>18.191384851231074</v>
      </c>
      <c r="D77" s="119">
        <f t="shared" si="11"/>
        <v>18.622002046329165</v>
      </c>
      <c r="E77" s="119">
        <f t="shared" si="11"/>
        <v>19.064856404835052</v>
      </c>
      <c r="F77" s="119">
        <f t="shared" si="11"/>
        <v>19.520185596177178</v>
      </c>
      <c r="G77" s="296"/>
      <c r="H77" s="296"/>
      <c r="I77" s="296"/>
      <c r="J77" s="296"/>
      <c r="K77" s="296"/>
      <c r="L77" s="296"/>
    </row>
    <row r="78" spans="1:21" ht="13.15">
      <c r="A78" s="131">
        <v>5</v>
      </c>
      <c r="B78" s="119">
        <f t="shared" si="11"/>
        <v>17.60822629170443</v>
      </c>
      <c r="C78" s="119">
        <f t="shared" si="11"/>
        <v>18.105703490509342</v>
      </c>
      <c r="D78" s="119">
        <f t="shared" si="11"/>
        <v>18.622002046329161</v>
      </c>
      <c r="E78" s="119">
        <f t="shared" si="11"/>
        <v>19.157674162374242</v>
      </c>
      <c r="F78" s="119">
        <f t="shared" si="11"/>
        <v>19.713282921987982</v>
      </c>
      <c r="G78" s="296"/>
      <c r="H78" s="296"/>
      <c r="I78" s="296"/>
      <c r="J78" s="296"/>
      <c r="K78" s="296"/>
      <c r="L78" s="296"/>
    </row>
    <row r="79" spans="1:21" ht="13.15">
      <c r="A79" s="131">
        <v>6</v>
      </c>
      <c r="B79" s="119">
        <f t="shared" si="11"/>
        <v>17.459263416686731</v>
      </c>
      <c r="C79" s="119">
        <f t="shared" si="11"/>
        <v>18.027343631743047</v>
      </c>
      <c r="D79" s="119">
        <f t="shared" si="11"/>
        <v>18.622002046329161</v>
      </c>
      <c r="E79" s="119">
        <f t="shared" si="11"/>
        <v>19.244275488115193</v>
      </c>
      <c r="F79" s="119">
        <f t="shared" si="11"/>
        <v>19.895231441458673</v>
      </c>
      <c r="G79" s="296"/>
      <c r="H79" s="296"/>
      <c r="I79" s="296"/>
      <c r="J79" s="296"/>
      <c r="K79" s="296"/>
      <c r="L79" s="296"/>
    </row>
    <row r="80" spans="1:21" ht="13.15">
      <c r="A80" s="131">
        <f t="shared" ref="A80" si="12">A62</f>
        <v>7</v>
      </c>
      <c r="B80" s="119">
        <f t="shared" si="11"/>
        <v>17.324405571405116</v>
      </c>
      <c r="C80" s="119">
        <f t="shared" si="11"/>
        <v>17.955679650053778</v>
      </c>
      <c r="D80" s="119">
        <f t="shared" si="11"/>
        <v>18.622002046329161</v>
      </c>
      <c r="E80" s="119">
        <f t="shared" si="11"/>
        <v>19.32507672506518</v>
      </c>
      <c r="F80" s="119">
        <f t="shared" si="11"/>
        <v>20.066674850105418</v>
      </c>
      <c r="G80" s="296"/>
      <c r="H80" s="296"/>
      <c r="I80" s="296"/>
      <c r="J80" s="296"/>
      <c r="K80" s="296"/>
      <c r="L80" s="296"/>
    </row>
    <row r="81" spans="1:12" ht="13.15">
      <c r="A81" s="131">
        <v>8</v>
      </c>
      <c r="B81" s="119">
        <f t="shared" si="11"/>
        <v>17.202317175676729</v>
      </c>
      <c r="C81" s="119">
        <f t="shared" si="11"/>
        <v>17.890139380425722</v>
      </c>
      <c r="D81" s="119">
        <f t="shared" si="11"/>
        <v>18.622002046329165</v>
      </c>
      <c r="E81" s="119">
        <f t="shared" si="11"/>
        <v>19.400466331826831</v>
      </c>
      <c r="F81" s="119">
        <f t="shared" si="11"/>
        <v>20.228219678576256</v>
      </c>
      <c r="G81" s="296"/>
      <c r="H81" s="296"/>
      <c r="I81" s="296"/>
      <c r="J81" s="296"/>
      <c r="K81" s="296"/>
      <c r="L81" s="296"/>
    </row>
    <row r="82" spans="1:12" ht="13.15">
      <c r="A82" s="131">
        <f t="shared" ref="A82" si="13">A64</f>
        <v>9</v>
      </c>
      <c r="B82" s="119">
        <f t="shared" si="11"/>
        <v>17.091789113031165</v>
      </c>
      <c r="C82" s="119">
        <f t="shared" si="11"/>
        <v>17.830199549541859</v>
      </c>
      <c r="D82" s="119">
        <f t="shared" si="11"/>
        <v>18.622002046329161</v>
      </c>
      <c r="E82" s="119">
        <f t="shared" si="11"/>
        <v>19.470806750144856</v>
      </c>
      <c r="F82" s="119">
        <f t="shared" si="11"/>
        <v>20.380437438428679</v>
      </c>
      <c r="G82" s="296"/>
      <c r="H82" s="296"/>
      <c r="I82" s="296"/>
      <c r="J82" s="296"/>
      <c r="K82" s="296"/>
      <c r="L82" s="296"/>
    </row>
    <row r="83" spans="1:12" ht="13.15">
      <c r="A83" s="131">
        <f t="shared" ref="A83:A87" si="14">A65</f>
        <v>10</v>
      </c>
      <c r="B83" s="119">
        <f t="shared" si="11"/>
        <v>16.991726756086454</v>
      </c>
      <c r="C83" s="119">
        <f t="shared" si="11"/>
        <v>17.775381597971396</v>
      </c>
      <c r="D83" s="119">
        <f t="shared" si="11"/>
        <v>18.622002046329161</v>
      </c>
      <c r="E83" s="119">
        <f t="shared" si="11"/>
        <v>19.536436147374612</v>
      </c>
      <c r="F83" s="119">
        <f t="shared" si="11"/>
        <v>20.523866644017112</v>
      </c>
      <c r="G83" s="296"/>
      <c r="H83" s="296"/>
      <c r="I83" s="296"/>
      <c r="J83" s="296"/>
      <c r="K83" s="296"/>
      <c r="L83" s="296"/>
    </row>
    <row r="84" spans="1:12" ht="13.15">
      <c r="A84" s="131">
        <f t="shared" si="14"/>
        <v>15</v>
      </c>
      <c r="B84" s="119">
        <f t="shared" si="11"/>
        <v>16.616819706195646</v>
      </c>
      <c r="C84" s="119">
        <f t="shared" si="11"/>
        <v>17.564045440897331</v>
      </c>
      <c r="D84" s="119">
        <f t="shared" si="11"/>
        <v>18.622002046329165</v>
      </c>
      <c r="E84" s="119">
        <f t="shared" si="11"/>
        <v>19.804250425893731</v>
      </c>
      <c r="F84" s="119">
        <f t="shared" si="11"/>
        <v>21.125953590718087</v>
      </c>
      <c r="G84" s="296"/>
      <c r="H84" s="296"/>
      <c r="I84" s="296"/>
      <c r="J84" s="296"/>
      <c r="K84" s="296"/>
      <c r="L84" s="296"/>
    </row>
    <row r="85" spans="1:12" ht="13.15">
      <c r="A85" s="132">
        <f t="shared" si="14"/>
        <v>20</v>
      </c>
      <c r="B85" s="119">
        <f t="shared" si="11"/>
        <v>16.388830408657999</v>
      </c>
      <c r="C85" s="119">
        <f t="shared" si="11"/>
        <v>17.428834992253808</v>
      </c>
      <c r="D85" s="119">
        <f t="shared" si="11"/>
        <v>18.622002046329165</v>
      </c>
      <c r="E85" s="119">
        <f t="shared" si="11"/>
        <v>19.993616018585527</v>
      </c>
      <c r="F85" s="119">
        <f t="shared" si="11"/>
        <v>21.57317289889793</v>
      </c>
      <c r="G85" s="296"/>
      <c r="H85" s="296"/>
      <c r="I85" s="296"/>
      <c r="J85" s="296"/>
      <c r="K85" s="296"/>
      <c r="L85" s="296"/>
    </row>
    <row r="86" spans="1:12" ht="13.15">
      <c r="A86" s="132">
        <f t="shared" si="14"/>
        <v>25</v>
      </c>
      <c r="B86" s="119">
        <f t="shared" si="11"/>
        <v>16.250185056945224</v>
      </c>
      <c r="C86" s="119">
        <f t="shared" si="11"/>
        <v>17.342328898476506</v>
      </c>
      <c r="D86" s="119">
        <f t="shared" si="11"/>
        <v>18.622002046329165</v>
      </c>
      <c r="E86" s="119">
        <f t="shared" si="11"/>
        <v>20.12751226897889</v>
      </c>
      <c r="F86" s="119">
        <f t="shared" si="11"/>
        <v>21.905359322644113</v>
      </c>
      <c r="G86" s="296"/>
      <c r="H86" s="296"/>
      <c r="I86" s="296"/>
      <c r="J86" s="296"/>
      <c r="K86" s="296"/>
      <c r="L86" s="296"/>
    </row>
    <row r="87" spans="1:12" ht="13.15">
      <c r="A87" s="132">
        <f t="shared" si="14"/>
        <v>30</v>
      </c>
      <c r="B87" s="119">
        <f t="shared" si="11"/>
        <v>16.165871741543285</v>
      </c>
      <c r="C87" s="119">
        <f t="shared" si="11"/>
        <v>17.286983292159228</v>
      </c>
      <c r="D87" s="119">
        <f t="shared" si="11"/>
        <v>18.622002046329165</v>
      </c>
      <c r="E87" s="119">
        <f t="shared" si="11"/>
        <v>20.222187366046718</v>
      </c>
      <c r="F87" s="119">
        <f t="shared" si="11"/>
        <v>22.152101397735613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19.315256326382872</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18.96537598648241</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18.622002046329158</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18.285071793636401</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17.954522516117425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1207998070.5935199</v>
      </c>
      <c r="D8" s="469"/>
      <c r="E8" s="469"/>
      <c r="F8" s="469"/>
      <c r="G8" s="469"/>
    </row>
    <row r="9" spans="2:7">
      <c r="B9" s="97" t="s">
        <v>54</v>
      </c>
      <c r="C9" s="447">
        <f>Normalized_FCF!C19</f>
        <v>1109913967.640923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-7.7242370143822403E-2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18.96537598648241</v>
      </c>
      <c r="F22" s="328">
        <f>1-F23-F24</f>
        <v>0.19999999999999996</v>
      </c>
      <c r="G22" s="328">
        <f>F22*(1-F$29-F$30)</f>
        <v>0.15999999999999995</v>
      </c>
    </row>
    <row r="23" spans="2:7">
      <c r="B23" s="302" t="s">
        <v>437</v>
      </c>
      <c r="C23" s="324">
        <v>0</v>
      </c>
      <c r="D23" s="325">
        <f>C18</f>
        <v>3</v>
      </c>
      <c r="E23" s="326">
        <f>DCF!E92</f>
        <v>18.622002046329158</v>
      </c>
      <c r="F23" s="327">
        <v>0.55000000000000004</v>
      </c>
      <c r="G23" s="328">
        <f t="shared" ref="G23:G24" si="0">F23*(1-F$29-F$30)</f>
        <v>0.44</v>
      </c>
    </row>
    <row r="24" spans="2:7">
      <c r="B24" s="302" t="s">
        <v>446</v>
      </c>
      <c r="C24" s="324">
        <v>-0.01</v>
      </c>
      <c r="D24" s="325">
        <f>C18</f>
        <v>3</v>
      </c>
      <c r="E24" s="326">
        <f>DCF!E93</f>
        <v>18.285071793636401</v>
      </c>
      <c r="F24" s="327">
        <v>0.25</v>
      </c>
      <c r="G24" s="328">
        <f t="shared" si="0"/>
        <v>0.19999999999999998</v>
      </c>
    </row>
    <row r="25" spans="2:7">
      <c r="B25" s="141" t="s">
        <v>451</v>
      </c>
      <c r="C25" s="441">
        <f>E23*F23+E24*F24+E22*F22</f>
        <v>18.606444271186618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19.315256326382872</v>
      </c>
      <c r="F29" s="327">
        <v>0.15</v>
      </c>
      <c r="G29" s="328">
        <f>F29</f>
        <v>0.15</v>
      </c>
    </row>
    <row r="30" spans="2:7">
      <c r="B30" s="315" t="s">
        <v>447</v>
      </c>
      <c r="C30" s="324">
        <v>-0.02</v>
      </c>
      <c r="D30" s="325">
        <f>C18</f>
        <v>3</v>
      </c>
      <c r="E30" s="326">
        <f>DCF!E94</f>
        <v>17.954522516117425</v>
      </c>
      <c r="F30" s="327">
        <v>0.05</v>
      </c>
      <c r="G30" s="328">
        <f>F30</f>
        <v>0.05</v>
      </c>
    </row>
    <row r="31" spans="2:7">
      <c r="E31" s="329"/>
      <c r="F31" s="329"/>
    </row>
    <row r="32" spans="2:7" ht="13.15">
      <c r="B32" s="145" t="s">
        <v>456</v>
      </c>
    </row>
    <row r="33" spans="2:7">
      <c r="B33" s="97" t="s">
        <v>458</v>
      </c>
      <c r="C33" s="155">
        <f>Normalized_FCF!C88*(1-dividend_tax_rate)</f>
        <v>0.60656142288208004</v>
      </c>
      <c r="D33" t="str">
        <f>Market_currency</f>
        <v>HKD</v>
      </c>
      <c r="E33" s="97" t="s">
        <v>455</v>
      </c>
      <c r="F33" s="219">
        <f>Holding_Period</f>
        <v>3</v>
      </c>
    </row>
    <row r="34" spans="2:7">
      <c r="B34" s="97" t="s">
        <v>233</v>
      </c>
      <c r="C34" s="146">
        <f>Market_Price</f>
        <v>10.77</v>
      </c>
      <c r="D34" t="str">
        <f>Market_currency</f>
        <v>HKD</v>
      </c>
      <c r="E34" s="97" t="s">
        <v>454</v>
      </c>
      <c r="F34" s="330">
        <f>RATE(Holding_Period,$C$33,-C34,$C$36)</f>
        <v>0.24912116807900339</v>
      </c>
    </row>
    <row r="35" spans="2:7">
      <c r="B35" s="97" t="s">
        <v>434</v>
      </c>
      <c r="C35" s="320">
        <f>DCF!C11</f>
        <v>18.622002046329161</v>
      </c>
      <c r="D35" s="97" t="str">
        <f>Market_currency</f>
        <v>HKD</v>
      </c>
      <c r="E35" s="97" t="s">
        <v>454</v>
      </c>
      <c r="F35" s="330">
        <f>RATE(Holding_Period,$C$33,-C35,$C$36)</f>
        <v>3.3579310637593326E-2</v>
      </c>
    </row>
    <row r="36" spans="2:7">
      <c r="B36" s="97" t="s">
        <v>435</v>
      </c>
      <c r="C36" s="321">
        <f>E22*G22+E23*G23+E24*G24+E30*G30+E29*G29</f>
        <v>18.680169991712596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0.12639743993792121</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18.681662475867796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0.34122961019176623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0.60656142288208004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1.1099173756683709</v>
      </c>
      <c r="D62" s="119">
        <f>C36/(1+F62)^Holding_Period</f>
        <v>8.6083732680703235</v>
      </c>
      <c r="E62" s="332">
        <f>C62+D62</f>
        <v>9.718290643738694</v>
      </c>
      <c r="F62" s="301">
        <f>Thesis!E22</f>
        <v>0.29465259038036606</v>
      </c>
      <c r="G62" s="440">
        <f>(1-E62/C36)</f>
        <v>0.47975362922017384</v>
      </c>
    </row>
    <row r="63" spans="2:7" ht="13.15">
      <c r="B63" s="302" t="s">
        <v>313</v>
      </c>
      <c r="C63" s="119">
        <f>PV(F63, Holding_Period, -C58, 0)</f>
        <v>1.2762076280050449</v>
      </c>
      <c r="D63" s="119">
        <f>C36/(1+F63)^Holding_Period</f>
        <v>10.789989886909806</v>
      </c>
      <c r="E63" s="332">
        <f>C63+D63</f>
        <v>12.066197514914851</v>
      </c>
      <c r="F63" s="301">
        <f>Thesis!E23</f>
        <v>0.20075184365903009</v>
      </c>
      <c r="G63" s="440">
        <f>(1-E63/C36)</f>
        <v>0.35406382702791328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1.4633919849191011</v>
      </c>
      <c r="D66" s="119">
        <f>C36/(1+F66)^Holding_Period</f>
        <v>13.389205984843242</v>
      </c>
      <c r="E66" s="332">
        <f>C66+D66</f>
        <v>14.852597969762343</v>
      </c>
      <c r="F66" s="301">
        <f>Thesis!E24</f>
        <v>0.1174</v>
      </c>
      <c r="G66" s="440">
        <f>(1-E66/C36)</f>
        <v>0.20490027786943821</v>
      </c>
    </row>
    <row r="67" spans="2:7" ht="13.15">
      <c r="B67" s="302" t="s">
        <v>314</v>
      </c>
      <c r="C67" s="119">
        <f>PV(F67, Holding_Period, -C58, 0)</f>
        <v>1.5845660348959618</v>
      </c>
      <c r="D67" s="119">
        <f>C36/(1+F67)^Holding_Period</f>
        <v>15.142198025597116</v>
      </c>
      <c r="E67" s="332">
        <f>C67+D67</f>
        <v>16.726764060493078</v>
      </c>
      <c r="F67" s="301">
        <f>Thesis!E25</f>
        <v>7.2499999999999995E-2</v>
      </c>
      <c r="G67" s="440">
        <f>(1-E67/C36)</f>
        <v>0.10457110037468287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10.77</v>
      </c>
    </row>
    <row r="9" spans="1:10">
      <c r="B9" s="351" t="s">
        <v>361</v>
      </c>
      <c r="C9" s="353">
        <f>Common_Shares</f>
        <v>1233841000</v>
      </c>
    </row>
    <row r="10" spans="1:10">
      <c r="B10" s="351" t="s">
        <v>367</v>
      </c>
      <c r="C10" s="357">
        <f>投资主题!C8*Common_Shares/1000000</f>
        <v>13288.467570000001</v>
      </c>
      <c r="D10" s="343" t="s">
        <v>529</v>
      </c>
      <c r="E10" s="360">
        <f>Scenarios!F34</f>
        <v>0.24912116807900339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1.1232618942260741</v>
      </c>
    </row>
    <row r="17" spans="1:6">
      <c r="B17" s="343" t="s">
        <v>535</v>
      </c>
      <c r="C17" s="424">
        <f>Terminal_Growth</f>
        <v>0</v>
      </c>
      <c r="D17" s="351" t="s">
        <v>339</v>
      </c>
      <c r="E17" s="344" t="str">
        <f>Reporting_currency</f>
        <v>CNY</v>
      </c>
    </row>
    <row r="18" spans="1:6">
      <c r="B18" s="343" t="str">
        <f>"预期股权价值 ("&amp;C7&amp;") :"</f>
        <v>预期股权价值 (HKD) :</v>
      </c>
      <c r="C18" s="359">
        <f>C125</f>
        <v>18.680169991712596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9.718290643738694</v>
      </c>
      <c r="D22" s="365" t="s">
        <v>440</v>
      </c>
      <c r="E22" s="366">
        <f>Thesis!E22</f>
        <v>0.29465259038036606</v>
      </c>
    </row>
    <row r="23" spans="1:6">
      <c r="B23" s="343" t="s">
        <v>341</v>
      </c>
      <c r="C23" s="367">
        <f>E141</f>
        <v>12.066197514914851</v>
      </c>
      <c r="D23" s="365" t="s">
        <v>441</v>
      </c>
      <c r="E23" s="368">
        <f>Thesis!E23</f>
        <v>0.20075184365903009</v>
      </c>
    </row>
    <row r="24" spans="1:6">
      <c r="B24" s="343" t="s">
        <v>343</v>
      </c>
      <c r="C24" s="367">
        <f>E144</f>
        <v>14.852597969762343</v>
      </c>
      <c r="D24" s="365" t="s">
        <v>443</v>
      </c>
      <c r="E24" s="368">
        <f>Thesis!E24</f>
        <v>0.1174</v>
      </c>
    </row>
    <row r="25" spans="1:6">
      <c r="B25" s="343" t="s">
        <v>342</v>
      </c>
      <c r="C25" s="367">
        <f>E145</f>
        <v>16.726764060493078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11599219.541824704</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-2557703.287675295</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-389573148.5469743</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1207998070.5935199</v>
      </c>
      <c r="D60" s="343" t="str">
        <f>Reporting_currency</f>
        <v>CNY</v>
      </c>
    </row>
    <row r="61" spans="2:6">
      <c r="B61" s="372" t="s">
        <v>213</v>
      </c>
      <c r="C61" s="373">
        <f>Normalized_FCF!C19</f>
        <v>1109913967.640923</v>
      </c>
      <c r="D61" s="343" t="str">
        <f>Reporting_currency</f>
        <v>CNY</v>
      </c>
    </row>
    <row r="62" spans="2:6">
      <c r="B62" s="377" t="s">
        <v>302</v>
      </c>
      <c r="C62" s="378">
        <f>Normalized_FCF!C124</f>
        <v>9.3820002882418194E-2</v>
      </c>
      <c r="F62" s="379"/>
    </row>
    <row r="63" spans="2:6">
      <c r="B63" s="377" t="s">
        <v>332</v>
      </c>
      <c r="C63" s="378">
        <f>Normalized_FCF!C92</f>
        <v>5.6319537872059428E-2</v>
      </c>
      <c r="E63" s="372" t="s">
        <v>373</v>
      </c>
      <c r="F63" s="380">
        <f>Normalized_FCF!C90</f>
        <v>0.74920757062613996</v>
      </c>
    </row>
    <row r="65" spans="1:6">
      <c r="B65" s="369" t="s">
        <v>376</v>
      </c>
      <c r="C65" s="381" t="s">
        <v>327</v>
      </c>
      <c r="D65" s="381" t="s">
        <v>374</v>
      </c>
    </row>
    <row r="66" spans="1:6">
      <c r="B66" s="372" t="s">
        <v>326</v>
      </c>
      <c r="C66" s="378">
        <f>Normalized_FCF!E119</f>
        <v>0.10095748942278249</v>
      </c>
      <c r="D66" s="378">
        <f>Normalized_FCF!G119</f>
        <v>8.8892510219864065E-2</v>
      </c>
    </row>
    <row r="67" spans="1:6">
      <c r="B67" s="382" t="str">
        <f>Normalized_FCF!B116</f>
        <v>Pre-tax Profit/Sales</v>
      </c>
      <c r="C67" s="383">
        <f>Normalized_FCF!E116</f>
        <v>0.12639743993792121</v>
      </c>
      <c r="D67" s="383">
        <f>Normalized_FCF!G116</f>
        <v>0.11129224573319076</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-0.2577630659684112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6701315491.2092161</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6.1007312388404973</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0.53125895171593207</v>
      </c>
      <c r="D90" s="343" t="str">
        <f>Market_currency</f>
        <v>HKD</v>
      </c>
    </row>
    <row r="92" spans="1:6">
      <c r="B92" s="372" t="s">
        <v>480</v>
      </c>
      <c r="C92" s="387">
        <f>DCF!F8</f>
        <v>6.3742271245880184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1.7527515400288598</v>
      </c>
      <c r="D111" s="343" t="str">
        <f>Market_currency</f>
        <v>HKD</v>
      </c>
    </row>
    <row r="112" spans="1:6">
      <c r="A112" s="385"/>
      <c r="B112" s="372" t="s">
        <v>377</v>
      </c>
      <c r="C112" s="394">
        <f>DCF!C11</f>
        <v>18.622002046329161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19.32 HKD</v>
      </c>
      <c r="F118" s="399">
        <f>DCF!F90</f>
        <v>0.15</v>
      </c>
    </row>
    <row r="119" spans="1:6">
      <c r="A119" s="385"/>
      <c r="B119" s="400" t="str">
        <f>DCF!B91</f>
        <v>Optimistic</v>
      </c>
      <c r="C119" s="401">
        <f>DCF!C91</f>
        <v>0.01</v>
      </c>
      <c r="D119" s="402">
        <f>DCF!D91</f>
        <v>3</v>
      </c>
      <c r="E119" s="398" t="str">
        <f>ROUND(DCF!E91,2)&amp;" "&amp;Market_currency</f>
        <v>18.97 HKD</v>
      </c>
      <c r="F119" s="403">
        <f>DCF!F91</f>
        <v>0.15999999999999995</v>
      </c>
    </row>
    <row r="120" spans="1:6">
      <c r="B120" s="400" t="str">
        <f>DCF!B92</f>
        <v>Base</v>
      </c>
      <c r="C120" s="401">
        <f>DCF!C92</f>
        <v>0</v>
      </c>
      <c r="D120" s="402">
        <f>DCF!D92</f>
        <v>3</v>
      </c>
      <c r="E120" s="398" t="str">
        <f>ROUND(DCF!E92,2)&amp;" "&amp;Market_currency</f>
        <v>18.62 HKD</v>
      </c>
      <c r="F120" s="403">
        <f>DCF!F92</f>
        <v>0.44</v>
      </c>
    </row>
    <row r="121" spans="1:6">
      <c r="B121" s="400" t="str">
        <f>DCF!B93</f>
        <v>Pessimistic</v>
      </c>
      <c r="C121" s="401">
        <f>DCF!C93</f>
        <v>-0.01</v>
      </c>
      <c r="D121" s="402">
        <f>DCF!D93</f>
        <v>3</v>
      </c>
      <c r="E121" s="398" t="str">
        <f>ROUND(DCF!E93,2)&amp;" "&amp;Market_currency</f>
        <v>18.29 HKD</v>
      </c>
      <c r="F121" s="403">
        <f>DCF!F93</f>
        <v>0.19999999999999998</v>
      </c>
    </row>
    <row r="122" spans="1:6">
      <c r="B122" s="400" t="str">
        <f>DCF!B94</f>
        <v>Devil's advocate</v>
      </c>
      <c r="C122" s="401">
        <f>DCF!C94</f>
        <v>-0.02</v>
      </c>
      <c r="D122" s="402">
        <f>DCF!D94</f>
        <v>3</v>
      </c>
      <c r="E122" s="398" t="str">
        <f>ROUND(DCF!E94,2)&amp;" "&amp;Market_currency</f>
        <v>17.95 HKD</v>
      </c>
      <c r="F122" s="403">
        <f>DCF!F94</f>
        <v>0.05</v>
      </c>
    </row>
    <row r="124" spans="1:6">
      <c r="B124" s="470" t="s">
        <v>519</v>
      </c>
      <c r="C124" s="470"/>
      <c r="D124" s="470"/>
      <c r="E124" s="470"/>
      <c r="F124" s="470"/>
    </row>
    <row r="125" spans="1:6">
      <c r="B125" s="372" t="s">
        <v>218</v>
      </c>
      <c r="C125" s="404">
        <f>Scenarios!C36</f>
        <v>18.680169991712596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0.60656142288208004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1.1099173756683709</v>
      </c>
      <c r="D140" s="409">
        <f>Scenarios!D62</f>
        <v>8.6083732680703235</v>
      </c>
      <c r="E140" s="410">
        <f>Scenarios!E62</f>
        <v>9.718290643738694</v>
      </c>
      <c r="F140" s="411">
        <f>E22</f>
        <v>0.29465259038036606</v>
      </c>
    </row>
    <row r="141" spans="1:6">
      <c r="B141" s="408" t="s">
        <v>313</v>
      </c>
      <c r="C141" s="409">
        <f>Scenarios!C63</f>
        <v>1.2762076280050449</v>
      </c>
      <c r="D141" s="409">
        <f>Scenarios!D63</f>
        <v>10.789989886909806</v>
      </c>
      <c r="E141" s="410">
        <f>Scenarios!E63</f>
        <v>12.066197514914851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1.4633919849191011</v>
      </c>
      <c r="D144" s="409">
        <f>Scenarios!D66</f>
        <v>13.389205984843242</v>
      </c>
      <c r="E144" s="410">
        <f>Scenarios!E66</f>
        <v>14.852597969762343</v>
      </c>
      <c r="F144" s="411">
        <f>E24</f>
        <v>0.1174</v>
      </c>
    </row>
    <row r="145" spans="1:6">
      <c r="B145" s="408" t="s">
        <v>314</v>
      </c>
      <c r="C145" s="409">
        <f>Scenarios!C67</f>
        <v>1.5845660348959618</v>
      </c>
      <c r="D145" s="409">
        <f>Scenarios!D67</f>
        <v>15.142198025597116</v>
      </c>
      <c r="E145" s="410">
        <f>Scenarios!E67</f>
        <v>16.726764060493078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