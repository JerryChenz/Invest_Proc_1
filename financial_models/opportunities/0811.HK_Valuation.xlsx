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61698B-A15B-4215-9AA6-A6847E9C3CD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<sst xmlns="http://schemas.openxmlformats.org/spreadsheetml/2006/main" count="768" uniqueCount="559">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</sst>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10.53</v>
      </c>
      <c r="E8" s="32"/>
    </row>
    <row r="9" spans="1:9">
      <c r="B9" s="4" t="s">
        <v>345</v>
      </c>
      <c r="C9" s="48">
        <f>791903900+441937100</f>
        <v>1233841000</v>
      </c>
    </row>
    <row r="10" spans="1:9">
      <c r="B10" s="4" t="s">
        <v>351</v>
      </c>
      <c r="C10" s="33">
        <f>Thesis!C8*Common_Shares/1000000</f>
        <v>12992.345729999999</v>
      </c>
      <c r="D10" s="1" t="s">
        <v>527</v>
      </c>
      <c r="E10" s="303">
        <f>Scenarios!F34</f>
        <v>0.26782374778586066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1.146258</v>
      </c>
    </row>
    <row r="17" spans="1:6">
      <c r="B17" s="1" t="s">
        <v>531</v>
      </c>
      <c r="C17" s="456">
        <v>0</v>
      </c>
      <c r="D17" s="4" t="s">
        <v>273</v>
      </c>
      <c r="E17" s="224" t="s">
        <v>558</v>
      </c>
    </row>
    <row r="18" spans="1:6">
      <c r="B18" s="1" t="str">
        <f>"Expected Equity Value ("&amp;C7&amp;") :"</f>
        <v>Expected Equity Value (HKD) :</v>
      </c>
      <c r="C18" s="252">
        <f>C125</f>
        <v>19.060110392752261</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9.7996531085809089</v>
      </c>
      <c r="D22" s="38" t="s">
        <v>405</v>
      </c>
      <c r="E22" s="79">
        <v>0.3</v>
      </c>
    </row>
    <row r="23" spans="1:6">
      <c r="B23" s="1" t="s">
        <v>312</v>
      </c>
      <c r="C23" s="256">
        <f>E141</f>
        <v>12.334024952287187</v>
      </c>
      <c r="D23" s="38" t="s">
        <v>406</v>
      </c>
      <c r="E23" s="443">
        <v>0.2</v>
      </c>
    </row>
    <row r="24" spans="1:6">
      <c r="B24" s="1" t="s">
        <v>314</v>
      </c>
      <c r="C24" s="256">
        <f>E144</f>
        <v>15.154883658338015</v>
      </c>
      <c r="D24" s="38" t="s">
        <v>407</v>
      </c>
      <c r="E24" s="443">
        <v>0.1174</v>
      </c>
    </row>
    <row r="25" spans="1:6">
      <c r="B25" s="1" t="s">
        <v>313</v>
      </c>
      <c r="C25" s="256">
        <f>E145</f>
        <v>17.067185018705011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1560850297.4755726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11616243.664711228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-2540679.1647887714</v>
      </c>
      <c r="D46" s="1" t="str">
        <f>Reporting_currency</f>
        <v>CNY</v>
      </c>
    </row>
    <row r="48" spans="2:6">
      <c r="B48" s="1" t="s">
        <v>210</v>
      </c>
    </row>
    <row r="49" spans="2:6">
      <c r="B49" s="44" t="s">
        <v>222</v>
      </c>
      <c r="C49" s="285">
        <f>Normalized_FCF!C13</f>
        <v>-58805478.000000007</v>
      </c>
      <c r="D49" s="1" t="str">
        <f>Reporting_currency</f>
        <v>CNY</v>
      </c>
    </row>
    <row r="51" spans="2:6">
      <c r="B51" s="463" t="s">
        <v>205</v>
      </c>
      <c r="C51" s="463"/>
      <c r="D51" s="463"/>
      <c r="E51" s="463"/>
      <c r="F51" s="463"/>
    </row>
    <row r="52" spans="2:6">
      <c r="B52" s="44" t="s">
        <v>203</v>
      </c>
      <c r="C52" s="285">
        <f>Normalized_FCF!C12</f>
        <v>-389577404.57769597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1208078730.2696574</v>
      </c>
      <c r="D60" s="1" t="str">
        <f>Reporting_currency</f>
        <v>CNY</v>
      </c>
    </row>
    <row r="61" spans="2:6">
      <c r="B61" s="44" t="s">
        <v>212</v>
      </c>
      <c r="C61" s="285">
        <f>Normalized_FCF!C19</f>
        <v>1109926735.733088</v>
      </c>
      <c r="D61" s="1" t="str">
        <f>Reporting_currency</f>
        <v>CNY</v>
      </c>
    </row>
    <row r="62" spans="2:6">
      <c r="B62" s="204" t="s">
        <v>301</v>
      </c>
      <c r="C62" s="89">
        <f>Normalized_FCF!C124</f>
        <v>9.792399514971481E-2</v>
      </c>
      <c r="F62" s="257"/>
    </row>
    <row r="63" spans="2:6">
      <c r="B63" s="204" t="s">
        <v>331</v>
      </c>
      <c r="C63" s="89">
        <f>Normalized_FCF!C92</f>
        <v>5.878246153846154E-2</v>
      </c>
      <c r="E63" s="44" t="s">
        <v>321</v>
      </c>
      <c r="F63" s="258">
        <f>Normalized_FCF!C90</f>
        <v>0.76453701209956626</v>
      </c>
    </row>
    <row r="65" spans="1:6">
      <c r="B65" s="192" t="s">
        <v>324</v>
      </c>
      <c r="C65" s="264" t="s">
        <v>326</v>
      </c>
      <c r="D65" s="264" t="s">
        <v>327</v>
      </c>
    </row>
    <row r="66" spans="1:6">
      <c r="B66" s="44" t="s">
        <v>325</v>
      </c>
      <c r="C66" s="89">
        <f>Normalized_FCF!E119</f>
        <v>0.10095859236886121</v>
      </c>
      <c r="D66" s="89">
        <f>Normalized_FCF!G119</f>
        <v>8.8897735938340078E-2</v>
      </c>
    </row>
    <row r="67" spans="1:6">
      <c r="B67" s="229" t="str">
        <f>Normalized_FCF!B116</f>
        <v>Pre-tax Profit/Sales</v>
      </c>
      <c r="C67" s="263">
        <f>Normalized_FCF!E116</f>
        <v>0.12639882081180723</v>
      </c>
      <c r="D67" s="263">
        <f>Normalized_FCF!G116</f>
        <v>0.11129878826352685</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-283138456.58999997</v>
      </c>
      <c r="D78" s="1" t="str">
        <f>Reporting_currency</f>
        <v>CNY</v>
      </c>
    </row>
    <row r="79" spans="1:6">
      <c r="A79" s="191"/>
      <c r="B79" s="44" t="s">
        <v>233</v>
      </c>
      <c r="C79" s="201">
        <f>C78*scaling_factor*Exchange_Rate/Common_Shares</f>
        <v>-0.26304014939845588</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6698478137.3947954</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6.2229931999454413</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0.54213521050277713</v>
      </c>
      <c r="D90" s="1" t="str">
        <f>Market_currency</f>
        <v>HKD</v>
      </c>
    </row>
    <row r="91" spans="1:6">
      <c r="A91" s="191"/>
    </row>
    <row r="92" spans="1:6">
      <c r="A92" s="191"/>
      <c r="B92" s="44" t="s">
        <v>468</v>
      </c>
      <c r="C92" s="216">
        <f>DCF!F8</f>
        <v>6.5020882610497628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1.7886349435495377</v>
      </c>
      <c r="D111" s="1" t="str">
        <f>Market_currency</f>
        <v>HKD</v>
      </c>
    </row>
    <row r="112" spans="2:6">
      <c r="B112" s="44" t="s">
        <v>322</v>
      </c>
      <c r="C112" s="216">
        <f>DCF!C11</f>
        <v>19.000750914704273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19.71 HKD</v>
      </c>
      <c r="E118" s="208">
        <f>DCF!F90</f>
        <v>0.15</v>
      </c>
      <c r="F118" s="208">
        <f>RATE(Holding_Period,Scenarios!C$58,-DCF!E90,C$18)</f>
        <v>2.0669142972484466E-2</v>
      </c>
    </row>
    <row r="119" spans="2:6">
      <c r="B119" s="205" t="str">
        <f>DCF!B91&amp;" ("&amp;DCF!D91&amp;"yrs)"</f>
        <v>Optimistic (3yrs)</v>
      </c>
      <c r="C119" s="198">
        <f>DCF!C91</f>
        <v>0.01</v>
      </c>
      <c r="D119" s="207" t="str">
        <f>ROUND(DCF!E91,2)&amp;" "&amp;Market_currency</f>
        <v>19.35 HKD</v>
      </c>
      <c r="E119" s="199">
        <f>DCF!F91</f>
        <v>0.15999999999999995</v>
      </c>
      <c r="F119" s="208">
        <f>RATE(Holding_Period,Scenarios!C$58,-DCF!E91,C$18)</f>
        <v>2.7106704359527788E-2</v>
      </c>
    </row>
    <row r="120" spans="2:6">
      <c r="B120" s="205" t="str">
        <f>DCF!B92&amp;" ("&amp;DCF!D92&amp;"yrs)"</f>
        <v>Base (3yrs)</v>
      </c>
      <c r="C120" s="198">
        <f>DCF!C92</f>
        <v>0</v>
      </c>
      <c r="D120" s="207" t="str">
        <f>ROUND(DCF!E92,2)&amp;" "&amp;Market_currency</f>
        <v>19 HKD</v>
      </c>
      <c r="E120" s="199">
        <f>DCF!F92</f>
        <v>0.44</v>
      </c>
      <c r="F120" s="208">
        <f>RATE(Holding_Period,Scenarios!C$58,-DCF!E92,C$18)</f>
        <v>3.3583722144800945E-2</v>
      </c>
    </row>
    <row r="121" spans="2:6">
      <c r="B121" s="205" t="str">
        <f>DCF!B93&amp;" ("&amp;DCF!D93&amp;"yrs)"</f>
        <v>Pessimistic (3yrs)</v>
      </c>
      <c r="C121" s="198">
        <f>DCF!C93</f>
        <v>-0.01</v>
      </c>
      <c r="D121" s="207" t="str">
        <f>ROUND(DCF!E93,2)&amp;" "&amp;Market_currency</f>
        <v>18.66 HKD</v>
      </c>
      <c r="E121" s="199">
        <f>DCF!F93</f>
        <v>0.19999999999999998</v>
      </c>
      <c r="F121" s="208">
        <f>RATE(Holding_Period,Scenarios!C$58,-DCF!E93,C$18)</f>
        <v>4.0099251906274329E-2</v>
      </c>
    </row>
    <row r="122" spans="2:6">
      <c r="B122" s="205" t="str">
        <f>DCF!B94&amp;" ("&amp;DCF!D94&amp;"yrs)"</f>
        <v>Devil's advocate (3yrs)</v>
      </c>
      <c r="C122" s="198">
        <f>DCF!C94</f>
        <v>-0.02</v>
      </c>
      <c r="D122" s="207" t="str">
        <f>ROUND(DCF!E94,2)&amp;" "&amp;Market_currency</f>
        <v>18.32 HKD</v>
      </c>
      <c r="E122" s="199">
        <f>DCF!F94</f>
        <v>0.05</v>
      </c>
      <c r="F122" s="208">
        <f>RATE(Holding_Period,Scenarios!C$58,-DCF!E94,C$18)</f>
        <v>4.6652279050312315E-2</v>
      </c>
    </row>
    <row r="124" spans="2:6">
      <c r="B124" s="463" t="s">
        <v>356</v>
      </c>
      <c r="C124" s="463"/>
      <c r="D124" s="463"/>
      <c r="E124" s="463"/>
      <c r="F124" s="463"/>
    </row>
    <row r="125" spans="2:6">
      <c r="B125" s="193" t="s">
        <v>217</v>
      </c>
      <c r="C125" s="197">
        <f>Scenarios!C36</f>
        <v>19.060110392752261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0.61897932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1.1241363162494313</v>
      </c>
      <c r="D140" s="333">
        <f>Scenarios!D62</f>
        <v>8.6755167923314769</v>
      </c>
      <c r="E140" s="334">
        <f>Scenarios!E62</f>
        <v>9.7996531085809089</v>
      </c>
      <c r="F140" s="335">
        <f>E22</f>
        <v>0.3</v>
      </c>
    </row>
    <row r="141" spans="1:6">
      <c r="B141" s="336" t="s">
        <v>312</v>
      </c>
      <c r="C141" s="333">
        <f>Scenarios!C63</f>
        <v>1.303868475</v>
      </c>
      <c r="D141" s="333">
        <f>Scenarios!D63</f>
        <v>11.030156477287187</v>
      </c>
      <c r="E141" s="334">
        <f>Scenarios!E63</f>
        <v>12.334024952287187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1.4933514423233794</v>
      </c>
      <c r="D144" s="333">
        <f>Scenarios!D66</f>
        <v>13.661532216014635</v>
      </c>
      <c r="E144" s="334">
        <f>Scenarios!E66</f>
        <v>15.154883658338015</v>
      </c>
      <c r="F144" s="335">
        <f>E24</f>
        <v>0.1174</v>
      </c>
    </row>
    <row r="145" spans="1:6">
      <c r="B145" s="336" t="s">
        <v>313</v>
      </c>
      <c r="C145" s="333">
        <f>Scenarios!C67</f>
        <v>1.617006241700399</v>
      </c>
      <c r="D145" s="333">
        <f>Scenarios!D67</f>
        <v>15.450178777004613</v>
      </c>
      <c r="E145" s="334">
        <f>Scenarios!E67</f>
        <v>17.067185018705011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0.6877548</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0.6877548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13.922513347660152</v>
      </c>
      <c r="D47" s="134">
        <f>D46*H1/Common_Shares*Exchange_Rate</f>
        <v>1.7886349435495377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6698478137.3947954</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-987295063.55389988</v>
      </c>
      <c r="D73" s="285">
        <f>(Normalized_FCF!C26+Normalized_FCF!C35-Normalized_FCF!C89)/12</f>
        <v>-968020305.39260232</v>
      </c>
      <c r="F73" s="1" t="s">
        <v>277</v>
      </c>
    </row>
    <row r="74" spans="2:6" ht="15" customHeight="1">
      <c r="B74" s="227" t="s">
        <v>258</v>
      </c>
      <c r="C74" s="228">
        <f>-$C$66/C73</f>
        <v>8.7456314398037218</v>
      </c>
      <c r="D74" s="228">
        <f>-$C$66/D73</f>
        <v>8.9197702776266432</v>
      </c>
      <c r="F74" s="223" t="s">
        <v>256</v>
      </c>
    </row>
    <row r="75" spans="2:6" ht="15" customHeight="1">
      <c r="B75" s="77" t="s">
        <v>257</v>
      </c>
      <c r="C75" s="261"/>
      <c r="D75" s="262">
        <f>MAX(-D73*D76,G5)</f>
        <v>1936040610.7852046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-324549720.97394019</v>
      </c>
      <c r="D86" s="201">
        <f>C86*scaling_factor/Common_Shares</f>
        <v>-0.26304014939845588</v>
      </c>
      <c r="E86" s="214" t="str">
        <f>Market_currency</f>
        <v>HKD</v>
      </c>
    </row>
    <row r="87" spans="2:8" ht="15" customHeight="1">
      <c r="B87" s="212" t="s">
        <v>239</v>
      </c>
      <c r="C87" s="73">
        <f>DCF!F5*Exchange_Rate</f>
        <v>7678184152.8138838</v>
      </c>
      <c r="D87" s="201">
        <f>C87*scaling_factor/Common_Shares</f>
        <v>6.2229931999454413</v>
      </c>
      <c r="E87" s="214" t="str">
        <f>Market_currency</f>
        <v>HKD</v>
      </c>
    </row>
    <row r="88" spans="2:8" ht="15" customHeight="1">
      <c r="B88" s="213" t="s">
        <v>158</v>
      </c>
      <c r="C88" s="73">
        <f>DCF!F6*Exchange_Rate</f>
        <v>668908650.26195705</v>
      </c>
      <c r="D88" s="201">
        <f>C88*scaling_factor/Common_Shares</f>
        <v>0.54213521050277713</v>
      </c>
      <c r="E88" s="214" t="str">
        <f>Market_currency</f>
        <v>HKD</v>
      </c>
    </row>
    <row r="89" spans="2:8" ht="15" customHeight="1">
      <c r="B89" s="77" t="s">
        <v>243</v>
      </c>
      <c r="C89" s="162">
        <f>SUM(C86:C88)</f>
        <v>8022543082.1019011</v>
      </c>
      <c r="D89" s="216">
        <f>SUM(D86:D88)</f>
        <v>6.5020882610497628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-2540679.1647887714</v>
      </c>
      <c r="E10" s="237"/>
      <c r="G10" s="266">
        <f>G48</f>
        <v>42595457.729656465</v>
      </c>
      <c r="H10" s="266">
        <f t="shared" ref="H10:Q10" si="6">H48</f>
        <v>41076079.153228492</v>
      </c>
      <c r="I10" s="266">
        <f t="shared" si="6"/>
        <v>17795096.409244157</v>
      </c>
      <c r="J10" s="266">
        <f t="shared" si="6"/>
        <v>5121469.9271045178</v>
      </c>
      <c r="K10" s="266">
        <f t="shared" si="6"/>
        <v>-4660362.2907108255</v>
      </c>
      <c r="L10" s="266">
        <f t="shared" si="6"/>
        <v>-6392175.4247534554</v>
      </c>
      <c r="M10" s="266">
        <f t="shared" si="6"/>
        <v>7555192.0614396622</v>
      </c>
      <c r="N10" s="266">
        <f t="shared" si="6"/>
        <v>0</v>
      </c>
      <c r="O10" s="266">
        <f t="shared" si="6"/>
        <v>0</v>
      </c>
      <c r="P10" s="266">
        <f t="shared" si="6"/>
        <v>0</v>
      </c>
      <c r="Q10" s="266" t="str">
        <f t="shared" si="6"/>
        <v/>
      </c>
    </row>
    <row r="11" spans="1:17" ht="15.75" customHeight="1">
      <c r="A11" s="10"/>
      <c r="B11" s="67" t="s">
        <v>136</v>
      </c>
      <c r="C11" s="267">
        <f>SUM(C8:C10)</f>
        <v>1558309618.3107839</v>
      </c>
      <c r="E11" s="237"/>
      <c r="G11" s="267">
        <f t="shared" ref="G11:Q11" si="7">IF(G$4="","",SUM(G8:G10))</f>
        <v>1372148657.2696574</v>
      </c>
      <c r="H11" s="267">
        <f t="shared" si="7"/>
        <v>1482060747.4732282</v>
      </c>
      <c r="I11" s="267">
        <f t="shared" si="7"/>
        <v>1407322595.4092441</v>
      </c>
      <c r="J11" s="267">
        <f t="shared" si="7"/>
        <v>1240575787.9271045</v>
      </c>
      <c r="K11" s="267">
        <f t="shared" si="7"/>
        <v>1157495328.7092891</v>
      </c>
      <c r="L11" s="267">
        <f t="shared" si="7"/>
        <v>999293639.15524864</v>
      </c>
      <c r="M11" s="267">
        <f t="shared" si="7"/>
        <v>939502498.83143866</v>
      </c>
      <c r="N11" s="267">
        <f t="shared" si="7"/>
        <v>695381120.13999975</v>
      </c>
      <c r="O11" s="267">
        <f t="shared" si="7"/>
        <v>577850860.66999984</v>
      </c>
      <c r="P11" s="267">
        <f t="shared" si="7"/>
        <v>542208477</v>
      </c>
      <c r="Q11" s="267" t="str">
        <f t="shared" si="7"/>
        <v/>
      </c>
    </row>
    <row r="12" spans="1:17" ht="15.75" customHeight="1">
      <c r="A12" s="10"/>
      <c r="B12" s="2" t="s">
        <v>59</v>
      </c>
      <c r="C12" s="266">
        <f>-C11*C41</f>
        <v>-389577404.57769597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1109926735.733088</v>
      </c>
      <c r="D14" s="58"/>
      <c r="E14" s="243"/>
      <c r="F14" s="58"/>
      <c r="G14" s="267">
        <f t="shared" ref="G14:Q14" si="8">IF(G$4="","",SUM(G11:G13))</f>
        <v>1208078730.2696574</v>
      </c>
      <c r="H14" s="267">
        <f t="shared" si="8"/>
        <v>1498034690.4732282</v>
      </c>
      <c r="I14" s="267">
        <f t="shared" si="8"/>
        <v>1418758072.4092441</v>
      </c>
      <c r="J14" s="267">
        <f t="shared" si="8"/>
        <v>1235122975.9271045</v>
      </c>
      <c r="K14" s="267">
        <f t="shared" si="8"/>
        <v>1149324777.7092891</v>
      </c>
      <c r="L14" s="267">
        <f t="shared" si="8"/>
        <v>975121564.03524864</v>
      </c>
      <c r="M14" s="267">
        <f t="shared" si="8"/>
        <v>950298345.20143867</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1109926735.733088</v>
      </c>
      <c r="D19" s="26"/>
      <c r="E19" s="234"/>
      <c r="F19" s="26"/>
      <c r="G19" s="271">
        <f t="shared" ref="G19:Q19" si="9">IF(G$4="","",G14+G17)</f>
        <v>1208078730.2696574</v>
      </c>
      <c r="H19" s="271">
        <f t="shared" si="9"/>
        <v>1498034690.4732282</v>
      </c>
      <c r="I19" s="271">
        <f t="shared" si="9"/>
        <v>1418758072.4092441</v>
      </c>
      <c r="J19" s="271">
        <f t="shared" si="9"/>
        <v>1235122975.9271045</v>
      </c>
      <c r="K19" s="271">
        <f t="shared" si="9"/>
        <v>1149324777.7092891</v>
      </c>
      <c r="L19" s="271">
        <f t="shared" si="9"/>
        <v>975121564.03524864</v>
      </c>
      <c r="M19" s="271">
        <f t="shared" si="9"/>
        <v>950298345.20143867</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7.6715047194272926E-2</v>
      </c>
      <c r="H41" s="6">
        <f t="shared" si="16"/>
        <v>-4.3978119055593824E-2</v>
      </c>
      <c r="I41" s="6">
        <f t="shared" si="16"/>
        <v>-8.1256970060049425E-3</v>
      </c>
      <c r="J41" s="6">
        <f t="shared" si="16"/>
        <v>4.3953880553409637E-3</v>
      </c>
      <c r="K41" s="6">
        <f t="shared" si="16"/>
        <v>7.0588198477750195E-3</v>
      </c>
      <c r="L41" s="6">
        <f t="shared" si="16"/>
        <v>2.4189161396477844E-2</v>
      </c>
      <c r="M41" s="6">
        <f t="shared" si="16"/>
        <v>-1.1491024647010482E-2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11616243.664711228</v>
      </c>
      <c r="E46" s="237"/>
      <c r="G46" s="274">
        <f t="shared" ref="G46:Q46" si="17">IFERROR(IF(G$4="","",($C$46/$C$47)*G47),0)</f>
        <v>55037340.729656465</v>
      </c>
      <c r="H46" s="274">
        <f t="shared" si="17"/>
        <v>58951536.153228492</v>
      </c>
      <c r="I46" s="274">
        <f t="shared" si="17"/>
        <v>38773282.409244157</v>
      </c>
      <c r="J46" s="274">
        <f t="shared" si="17"/>
        <v>24609312.927104518</v>
      </c>
      <c r="K46" s="274">
        <f t="shared" si="17"/>
        <v>17503592.709289175</v>
      </c>
      <c r="L46" s="274">
        <f t="shared" si="17"/>
        <v>13048146.575246545</v>
      </c>
      <c r="M46" s="274">
        <f t="shared" si="17"/>
        <v>8071604.0614396622</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-2540679.1647887714</v>
      </c>
      <c r="E48" s="237"/>
      <c r="G48" s="267">
        <f>IF(G$4="","",(G45+G46))</f>
        <v>42595457.729656465</v>
      </c>
      <c r="H48" s="267">
        <f t="shared" ref="H48:Q48" si="18">IF(H$4="","",(H45+H46))</f>
        <v>41076079.153228492</v>
      </c>
      <c r="I48" s="267">
        <f t="shared" si="18"/>
        <v>17795096.409244157</v>
      </c>
      <c r="J48" s="267">
        <f t="shared" si="18"/>
        <v>5121469.9271045178</v>
      </c>
      <c r="K48" s="267">
        <f t="shared" si="18"/>
        <v>-4660362.2907108255</v>
      </c>
      <c r="L48" s="267">
        <f t="shared" si="18"/>
        <v>-6392175.4247534554</v>
      </c>
      <c r="M48" s="267">
        <f t="shared" si="18"/>
        <v>7555192.0614396622</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2.0608154292119701E-4</v>
      </c>
      <c r="D76" s="26"/>
      <c r="E76" s="234"/>
      <c r="F76" s="26"/>
      <c r="G76" s="6">
        <f t="shared" ref="G76:Q76" si="28">IF(G$4="","",ABS(G10/G$4))</f>
        <v>3.4550358707302713E-3</v>
      </c>
      <c r="H76" s="6">
        <f t="shared" si="28"/>
        <v>3.4609354418574669E-3</v>
      </c>
      <c r="I76" s="6">
        <f t="shared" si="28"/>
        <v>1.6280515960476691E-3</v>
      </c>
      <c r="J76" s="6">
        <f t="shared" si="28"/>
        <v>4.8960723880528759E-4</v>
      </c>
      <c r="K76" s="6">
        <f t="shared" si="28"/>
        <v>5.1735491032651277E-4</v>
      </c>
      <c r="L76" s="6">
        <f t="shared" si="28"/>
        <v>7.2289578581255347E-4</v>
      </c>
      <c r="M76" s="6">
        <f t="shared" si="28"/>
        <v>9.2287491522943224E-4</v>
      </c>
      <c r="N76" s="6">
        <f t="shared" si="28"/>
        <v>0</v>
      </c>
      <c r="O76" s="6">
        <f t="shared" si="28"/>
        <v>0</v>
      </c>
      <c r="P76" s="6">
        <f t="shared" si="28"/>
        <v>0</v>
      </c>
      <c r="Q76" s="6" t="str">
        <f t="shared" si="28"/>
        <v/>
      </c>
    </row>
    <row r="77" spans="1:17" ht="15.75" customHeight="1">
      <c r="A77" s="10"/>
      <c r="B77" s="67" t="s">
        <v>136</v>
      </c>
      <c r="C77" s="75">
        <f>C11/C4</f>
        <v>0.1263988208118072</v>
      </c>
      <c r="D77" s="26"/>
      <c r="E77" s="234"/>
      <c r="F77" s="26"/>
      <c r="G77" s="62">
        <f t="shared" ref="G77:Q77" si="29">IF(G$4="","",G11/G$4)</f>
        <v>0.11129878826352685</v>
      </c>
      <c r="H77" s="62">
        <f t="shared" si="29"/>
        <v>0.12487356811203125</v>
      </c>
      <c r="I77" s="62">
        <f t="shared" si="29"/>
        <v>0.12875422222605906</v>
      </c>
      <c r="J77" s="62">
        <f t="shared" si="29"/>
        <v>0.11859776484113446</v>
      </c>
      <c r="K77" s="62">
        <f t="shared" si="29"/>
        <v>0.12849556636001655</v>
      </c>
      <c r="L77" s="62">
        <f t="shared" si="29"/>
        <v>0.11301084725197164</v>
      </c>
      <c r="M77" s="62">
        <f t="shared" si="29"/>
        <v>0.11476125053023288</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3.15997052029518E-2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9.0029239976224709E-2</v>
      </c>
      <c r="D80" s="26"/>
      <c r="E80" s="234"/>
      <c r="F80" s="26"/>
      <c r="G80" s="62">
        <f t="shared" ref="G80:Q80" si="32">IF(G$4="","",ABS(G14/G$4))</f>
        <v>9.7990620836594294E-2</v>
      </c>
      <c r="H80" s="62">
        <f t="shared" si="32"/>
        <v>0.12621948005432446</v>
      </c>
      <c r="I80" s="62">
        <f t="shared" si="32"/>
        <v>0.12980044002411184</v>
      </c>
      <c r="J80" s="62">
        <f t="shared" si="32"/>
        <v>0.11807648164216161</v>
      </c>
      <c r="K80" s="62">
        <f t="shared" si="32"/>
        <v>0.12758853930584338</v>
      </c>
      <c r="L80" s="62">
        <f t="shared" si="32"/>
        <v>0.11027720962824099</v>
      </c>
      <c r="M80" s="62">
        <f t="shared" si="32"/>
        <v>0.11607997488859753</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9.0029239976224709E-2</v>
      </c>
      <c r="D85" s="72"/>
      <c r="E85" s="234"/>
      <c r="F85" s="72"/>
      <c r="G85" s="62">
        <f t="shared" ref="G85:Q85" si="35">IF(G$4="","",ABS(G19/G$4))</f>
        <v>9.7990620836594294E-2</v>
      </c>
      <c r="H85" s="62">
        <f t="shared" si="35"/>
        <v>0.12621948005432446</v>
      </c>
      <c r="I85" s="62">
        <f t="shared" si="35"/>
        <v>0.12980044002411184</v>
      </c>
      <c r="J85" s="62">
        <f t="shared" si="35"/>
        <v>0.11807648164216161</v>
      </c>
      <c r="K85" s="62">
        <f t="shared" si="35"/>
        <v>0.12758853930584338</v>
      </c>
      <c r="L85" s="62">
        <f t="shared" si="35"/>
        <v>0.11027720962824099</v>
      </c>
      <c r="M85" s="62">
        <f t="shared" si="35"/>
        <v>0.11607997488859753</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0.6877548</v>
      </c>
      <c r="E88" s="237"/>
      <c r="G88" s="109">
        <f>Data!C65</f>
        <v>0.6877548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848580070.1868</v>
      </c>
      <c r="E89" s="237"/>
      <c r="G89" s="71">
        <f t="shared" ref="G89:Q89" si="36">IF(G$4="","",G88*Common_Shares/scaling_factor)</f>
        <v>848580070.1868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0.76453701209956626</v>
      </c>
      <c r="E90" s="237"/>
      <c r="G90" s="152">
        <f t="shared" ref="G90:Q90" si="37">IF(G$4="","",G88/(G19*scaling_factor/Common_Shares))</f>
        <v>0.7024211658766536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5.878246153846154E-2</v>
      </c>
      <c r="E92" s="237"/>
      <c r="G92" s="22">
        <f t="shared" ref="G92:Q92" si="38">IF(G$4="","",(G88*(1-dividend_tax_rate))/Market_Price)</f>
        <v>5.878246153846154E-2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0.1356711315897472</v>
      </c>
      <c r="D96" s="26"/>
      <c r="E96" s="234"/>
      <c r="F96" s="26"/>
      <c r="G96" s="6">
        <f t="shared" ref="G96:Q96" si="40">IF(H5="","",G11/H11-1)</f>
        <v>-7.4161663340021944E-2</v>
      </c>
      <c r="H96" s="6">
        <f t="shared" si="40"/>
        <v>5.3106624101527E-2</v>
      </c>
      <c r="I96" s="6">
        <f t="shared" si="40"/>
        <v>0.13441081883498573</v>
      </c>
      <c r="J96" s="6">
        <f t="shared" si="40"/>
        <v>7.1776064366892545E-2</v>
      </c>
      <c r="K96" s="6">
        <f t="shared" si="40"/>
        <v>0.15831351602295407</v>
      </c>
      <c r="L96" s="6">
        <f t="shared" si="40"/>
        <v>6.3641278653520095E-2</v>
      </c>
      <c r="M96" s="6">
        <f t="shared" si="40"/>
        <v>0.35106126931126691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1.4671881787078247</v>
      </c>
      <c r="H113" s="251">
        <f>IF(H$4="","",Data!D$22/H19)</f>
        <v>1.5707434720731868</v>
      </c>
      <c r="I113" s="251">
        <f>IF(I$4="","",Data!E$22/I19)</f>
        <v>1.4268684452750466</v>
      </c>
      <c r="J113" s="251">
        <f>IF(J$4="","",Data!F$22/J19)</f>
        <v>1.657591686741346</v>
      </c>
      <c r="K113" s="251">
        <f>IF(K$4="","",Data!G$22/K19)</f>
        <v>1.5824989813802219</v>
      </c>
      <c r="L113" s="251">
        <f>IF(L$4="","",Data!H$22/L19)</f>
        <v>1.3992209483849332</v>
      </c>
      <c r="M113" s="251">
        <f>IF(M$4="","",Data!I$22/M19)</f>
        <v>1.0454088202788718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0.1263988208118072</v>
      </c>
      <c r="E116" s="22">
        <f>E119/E117/E118</f>
        <v>0.12639882081180723</v>
      </c>
      <c r="G116" s="22">
        <f t="shared" ref="G116:Q116" si="44">IF(G4="","",G77)</f>
        <v>0.11129878826352685</v>
      </c>
      <c r="H116" s="22">
        <f t="shared" si="44"/>
        <v>0.12487356811203125</v>
      </c>
      <c r="I116" s="22">
        <f t="shared" si="44"/>
        <v>0.12875422222605906</v>
      </c>
      <c r="J116" s="22">
        <f t="shared" si="44"/>
        <v>0.11859776484113446</v>
      </c>
      <c r="K116" s="22">
        <f t="shared" si="44"/>
        <v>0.12849556636001655</v>
      </c>
      <c r="L116" s="22">
        <f t="shared" si="44"/>
        <v>0.11301084725197164</v>
      </c>
      <c r="M116" s="22">
        <f t="shared" si="44"/>
        <v>0.11476125053023288</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0.10095859236886121</v>
      </c>
      <c r="D119" s="100"/>
      <c r="E119" s="453">
        <f>C11/C104</f>
        <v>0.10095859236886121</v>
      </c>
      <c r="F119" s="100"/>
      <c r="G119" s="99">
        <f t="shared" ref="G119:Q119" si="47">IF(G$4="","",G11/G104)</f>
        <v>8.8897735938340078E-2</v>
      </c>
      <c r="H119" s="99">
        <f t="shared" si="47"/>
        <v>0.1104848287570476</v>
      </c>
      <c r="I119" s="99">
        <f t="shared" si="47"/>
        <v>0.11114507089003942</v>
      </c>
      <c r="J119" s="99">
        <f t="shared" si="47"/>
        <v>0.11166611749184539</v>
      </c>
      <c r="K119" s="99">
        <f t="shared" si="47"/>
        <v>0.11542461239082689</v>
      </c>
      <c r="L119" s="99">
        <f t="shared" si="47"/>
        <v>0.10957207553302789</v>
      </c>
      <c r="M119" s="99">
        <f t="shared" si="47"/>
        <v>0.11176531254805143</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1.0311396689264969</v>
      </c>
      <c r="D123" s="26"/>
      <c r="E123" s="234"/>
      <c r="F123" s="26"/>
      <c r="G123" s="159">
        <f t="shared" ref="G123:Q123" si="48">IF(G$4="","",G14*$C$3/Common_Shares*Exchange_Rate)</f>
        <v>1.1223244398601091</v>
      </c>
      <c r="H123" s="159">
        <f t="shared" si="48"/>
        <v>1.3916981590273476</v>
      </c>
      <c r="I123" s="159">
        <f t="shared" si="48"/>
        <v>1.318048914376873</v>
      </c>
      <c r="J123" s="159">
        <f t="shared" si="48"/>
        <v>1.1474489761162507</v>
      </c>
      <c r="K123" s="159">
        <f t="shared" si="48"/>
        <v>1.0677410793185624</v>
      </c>
      <c r="L123" s="159">
        <f t="shared" si="48"/>
        <v>0.90590351086397358</v>
      </c>
      <c r="M123" s="159">
        <f t="shared" si="48"/>
        <v>0.88284234400859651</v>
      </c>
      <c r="N123" s="159">
        <f t="shared" si="48"/>
        <v>0.64550002723883515</v>
      </c>
      <c r="O123" s="159">
        <f t="shared" si="48"/>
        <v>0.53155766723342801</v>
      </c>
      <c r="P123" s="159">
        <f t="shared" si="48"/>
        <v>0.50112844661578604</v>
      </c>
      <c r="Q123" s="159" t="str">
        <f t="shared" si="48"/>
        <v/>
      </c>
    </row>
    <row r="124" spans="1:17" ht="15.75" customHeight="1">
      <c r="A124" s="10"/>
      <c r="B124" s="26" t="s">
        <v>225</v>
      </c>
      <c r="C124" s="74">
        <f>C19*Exchange_Rate*$C$3/(Market_Price*Common_Shares)</f>
        <v>9.792399514971481E-2</v>
      </c>
      <c r="D124" s="26"/>
      <c r="E124" s="234"/>
      <c r="F124" s="26"/>
      <c r="G124" s="74">
        <f t="shared" ref="G124" si="49">IF(G$4="","",G123/Market_Price)</f>
        <v>0.10658351755556593</v>
      </c>
      <c r="H124" s="74">
        <f t="shared" ref="H124" si="50">IF(H$4="","",H123/Market_Price)</f>
        <v>0.13216506733403113</v>
      </c>
      <c r="I124" s="74">
        <f t="shared" ref="I124" si="51">IF(I$4="","",I123/Market_Price)</f>
        <v>0.12517083707282745</v>
      </c>
      <c r="J124" s="74">
        <f t="shared" ref="J124" si="52">IF(J$4="","",J123/Market_Price)</f>
        <v>0.10896951340135336</v>
      </c>
      <c r="K124" s="74">
        <f t="shared" ref="K124" si="53">IF(K$4="","",K123/Market_Price)</f>
        <v>0.10139991256586539</v>
      </c>
      <c r="L124" s="74">
        <f t="shared" ref="L124" si="54">IF(L$4="","",L123/Market_Price)</f>
        <v>8.6030722779104812E-2</v>
      </c>
      <c r="M124" s="74">
        <f t="shared" ref="M124" si="55">IF(M$4="","",M123/Market_Price)</f>
        <v>8.3840678443361502E-2</v>
      </c>
      <c r="N124" s="74">
        <f t="shared" ref="N124" si="56">IF(N$4="","",N123/Market_Price)</f>
        <v>6.1301047221161933E-2</v>
      </c>
      <c r="O124" s="74">
        <f t="shared" ref="O124" si="57">IF(O$4="","",O123/Market_Price)</f>
        <v>5.0480310278578161E-2</v>
      </c>
      <c r="P124" s="74">
        <f t="shared" ref="P124" si="58">IF(P$4="","",P123/Market_Price)</f>
        <v>4.7590545737491552E-2</v>
      </c>
      <c r="Q124" s="74" t="str">
        <f t="shared" ref="Q124" si="59">IF(Q$4="","",Q123/Market_Price)</f>
        <v/>
      </c>
    </row>
    <row r="125" spans="1:17" ht="15.75" customHeight="1">
      <c r="B125" s="2" t="s">
        <v>305</v>
      </c>
      <c r="C125" s="151"/>
      <c r="G125" s="22">
        <f>IF(G$4="","",(Data!C47*$C$3)/(Market_Price*Common_Shares))</f>
        <v>0.12343126540244861</v>
      </c>
      <c r="H125" s="22">
        <f>IF(H$4="","",(Data!D47*$C$3)/(Market_Price*Common_Shares))</f>
        <v>0.12533150970883222</v>
      </c>
      <c r="I125" s="22">
        <f>IF(I$4="","",(Data!E47*$C$3)/(Market_Price*Common_Shares))</f>
        <v>0.10708113507074908</v>
      </c>
      <c r="J125" s="22">
        <f>IF(J$4="","",(Data!F47*$C$3)/(Market_Price*Common_Shares))</f>
        <v>0.10031146715797871</v>
      </c>
      <c r="K125" s="22">
        <f>IF(K$4="","",(Data!G47*$C$3)/(Market_Price*Common_Shares))</f>
        <v>9.5671326243255694E-2</v>
      </c>
      <c r="L125" s="22">
        <f>IF(L$4="","",(Data!H47*$C$3)/(Market_Price*Common_Shares))</f>
        <v>8.6563677374524417E-2</v>
      </c>
      <c r="M125" s="22">
        <f>IF(M$4="","",(Data!I47*$C$3)/(Market_Price*Common_Shares))</f>
        <v>7.1327879200455968E-2</v>
      </c>
      <c r="N125" s="22">
        <f>IF(N$4="","",(Data!J47*$C$3)/(Market_Price*Common_Shares))</f>
        <v>7.0540023314173306E-2</v>
      </c>
      <c r="O125" s="22">
        <f>IF(O$4="","",(Data!K47*$C$3)/(Market_Price*Common_Shares))</f>
        <v>4.849301328513831E-2</v>
      </c>
      <c r="P125" s="22">
        <f>IF(P$4="","",(Data!L47*$C$3)/(Market_Price*Common_Shares))</f>
        <v>4.7329390148548638E-2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1109926735.733088</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6698478137.3947954</v>
      </c>
      <c r="G5" t="str">
        <f>Reporting_currency</f>
        <v>CNY</v>
      </c>
      <c r="H5" s="308" t="s">
        <v>394</v>
      </c>
      <c r="I5" s="305">
        <f>Normalized_FCF!C7</f>
        <v>-1673614926</v>
      </c>
      <c r="J5" s="305"/>
    </row>
    <row r="6" spans="2:15" ht="13.25" customHeight="1">
      <c r="B6" s="136" t="s">
        <v>193</v>
      </c>
      <c r="C6" s="283">
        <f>(C4*(1+Terminal_Growth))/(Equity_Cost-Terminal_Growth)</f>
        <v>13453657402.825312</v>
      </c>
      <c r="D6" t="str">
        <f>Reporting_currency</f>
        <v>CNY</v>
      </c>
      <c r="E6" s="187" t="s">
        <v>432</v>
      </c>
      <c r="F6" s="284">
        <f>BS!H42</f>
        <v>583558544.63999999</v>
      </c>
      <c r="G6" t="str">
        <f>Reporting_currency</f>
        <v>CNY</v>
      </c>
      <c r="H6" s="308" t="s">
        <v>415</v>
      </c>
      <c r="I6" s="305">
        <f>I7+I8</f>
        <v>-2540679.1647887714</v>
      </c>
      <c r="J6" s="305"/>
      <c r="N6" s="135"/>
    </row>
    <row r="7" spans="2:15" ht="12.75" customHeight="1">
      <c r="B7" s="318" t="s">
        <v>429</v>
      </c>
      <c r="C7" s="275">
        <f>F7</f>
        <v>6998898225.4447956</v>
      </c>
      <c r="E7" s="140" t="s">
        <v>423</v>
      </c>
      <c r="F7" s="283">
        <f>SUM(F4:F6)</f>
        <v>6998898225.4447956</v>
      </c>
      <c r="G7" t="str">
        <f>Reporting_currency</f>
        <v>CNY</v>
      </c>
      <c r="H7" s="312" t="s">
        <v>416</v>
      </c>
      <c r="I7" s="313">
        <f>Normalized_FCF!C9</f>
        <v>0</v>
      </c>
      <c r="J7" s="313"/>
      <c r="N7" s="304"/>
      <c r="O7" s="304"/>
    </row>
    <row r="8" spans="2:15" ht="13.15">
      <c r="B8" s="136" t="s">
        <v>425</v>
      </c>
      <c r="C8" s="283">
        <f>C6+C7</f>
        <v>20452555628.270107</v>
      </c>
      <c r="D8" t="str">
        <f>Reporting_currency</f>
        <v>CNY</v>
      </c>
      <c r="E8" s="140" t="s">
        <v>463</v>
      </c>
      <c r="F8" s="108">
        <f>FV_adjustments*scaling_factor/Common_Shares*Exchange_Rate</f>
        <v>6.5020882610497628</v>
      </c>
      <c r="G8" s="294" t="str">
        <f>Market_currency</f>
        <v>HKD</v>
      </c>
      <c r="H8" s="314" t="str">
        <f>Normalized_FCF!B10</f>
        <v>Net Interest Income</v>
      </c>
      <c r="I8" s="313">
        <f>Normalized_FCF!C10</f>
        <v>-2540679.1647887714</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23443905509.349636</v>
      </c>
      <c r="D10" t="str">
        <f>Market_currency</f>
        <v>HKD</v>
      </c>
      <c r="H10" s="308" t="s">
        <v>396</v>
      </c>
      <c r="I10" s="306">
        <f>Normalized_FCF!C41</f>
        <v>0.25</v>
      </c>
      <c r="N10" s="304"/>
      <c r="O10" s="304"/>
    </row>
    <row r="11" spans="2:15" ht="13.15">
      <c r="B11" s="136" t="s">
        <v>424</v>
      </c>
      <c r="C11" s="108">
        <f>(C10*scaling_factor)/Common_Shares</f>
        <v>19.000750914704273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0.1263988208118072</v>
      </c>
      <c r="E17" s="308" t="s">
        <v>549</v>
      </c>
      <c r="F17" s="311">
        <f>Scenarios!C40</f>
        <v>0.12639882081180723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19.061633449478155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0.1263988208118072</v>
      </c>
      <c r="F21" s="277">
        <f>C21*E21</f>
        <v>1561038345.8371904</v>
      </c>
      <c r="G21" s="299">
        <f t="shared" ref="G21:G50" si="2">IF(A21="",0%,IF(A21="I",$C$18,$F$18))</f>
        <v>0</v>
      </c>
      <c r="H21" s="277">
        <f>(F21*(1-$I$10)+C21*(G21-$I$9))</f>
        <v>1111870308.1788335</v>
      </c>
      <c r="I21" s="299">
        <f>H21/C4-1</f>
        <v>1.7510817454646777E-3</v>
      </c>
      <c r="J21" s="299">
        <f>H21/C21</f>
        <v>9.0029239976224668E-2</v>
      </c>
      <c r="K21" s="119">
        <f t="shared" ref="K21:K50" si="3">IF($C$15&lt;B21,0,1/(1+Equity_Cost)^B21)</f>
        <v>0.92378752886836024</v>
      </c>
      <c r="L21" s="277">
        <f t="shared" ref="L21:L51" si="4">H21*K21</f>
        <v>1027131924.4146267</v>
      </c>
    </row>
    <row r="22" spans="1:21">
      <c r="A22" s="302" t="str">
        <f t="shared" si="0"/>
        <v>I</v>
      </c>
      <c r="B22" s="117">
        <v>2</v>
      </c>
      <c r="C22" s="277">
        <f t="shared" ref="C22:C50" si="5">IF(A22="",0,C21*(1+D22))</f>
        <v>12371728166.015308</v>
      </c>
      <c r="D22" s="299">
        <f t="shared" si="1"/>
        <v>1.7510817454652E-3</v>
      </c>
      <c r="E22" s="299">
        <f t="shared" ref="E22:E50" si="6">IF($C$15&lt;B22,0,IF(B22&gt;=$F$15,$F$17,$C$17))</f>
        <v>0.1263988208118072</v>
      </c>
      <c r="F22" s="277">
        <f t="shared" ref="F22:F50" si="7">IF(A22="", 0,C22*E22)</f>
        <v>1563771851.588557</v>
      </c>
      <c r="G22" s="299">
        <f t="shared" si="2"/>
        <v>0</v>
      </c>
      <c r="H22" s="277">
        <f t="shared" ref="H22:H50" si="8">IF(A22="", 0,F22*(1-$I$10)+C22*(G22-$I$9))</f>
        <v>1113817283.9788103</v>
      </c>
      <c r="I22" s="299">
        <f t="shared" ref="I22:I50" si="9">IF(A22="", 0,H22/H21-1)</f>
        <v>1.7510817454653438E-3</v>
      </c>
      <c r="J22" s="299">
        <f>IF(A22="", 0,H22/C22)</f>
        <v>9.0029239976224681E-2</v>
      </c>
      <c r="K22" s="119">
        <f t="shared" si="3"/>
        <v>0.85338339849271161</v>
      </c>
      <c r="L22" s="277">
        <f t="shared" si="4"/>
        <v>950513179.10175884</v>
      </c>
    </row>
    <row r="23" spans="1:21">
      <c r="A23" s="302" t="str">
        <f t="shared" si="0"/>
        <v>I</v>
      </c>
      <c r="B23" s="117">
        <v>3</v>
      </c>
      <c r="C23" s="277">
        <f t="shared" si="5"/>
        <v>12393392073.366674</v>
      </c>
      <c r="D23" s="299">
        <f t="shared" si="1"/>
        <v>1.7510817454652E-3</v>
      </c>
      <c r="E23" s="299">
        <f t="shared" si="6"/>
        <v>0.1263988208118072</v>
      </c>
      <c r="F23" s="277">
        <f t="shared" si="7"/>
        <v>1566510143.931946</v>
      </c>
      <c r="G23" s="299">
        <f t="shared" si="2"/>
        <v>0</v>
      </c>
      <c r="H23" s="277">
        <f t="shared" si="8"/>
        <v>1115767669.0925694</v>
      </c>
      <c r="I23" s="299">
        <f t="shared" si="9"/>
        <v>1.7510817454653438E-3</v>
      </c>
      <c r="J23" s="299">
        <f t="shared" ref="J23:J50" si="10">IF(A23="", 0,H23/C23)</f>
        <v>9.0029239976224695E-2</v>
      </c>
      <c r="K23" s="119">
        <f t="shared" si="3"/>
        <v>0.78834494087086515</v>
      </c>
      <c r="L23" s="277">
        <f t="shared" si="4"/>
        <v>879609797.11640465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0.12639882081180723</v>
      </c>
      <c r="F51" s="277">
        <f>C51*E51</f>
        <v>1566510143.9319463</v>
      </c>
      <c r="G51" s="299">
        <f>F18</f>
        <v>0</v>
      </c>
      <c r="H51" s="277">
        <f>(F51*(1-$I$10)+C51*(G51-$I$9))/Equity_Cost</f>
        <v>13524456595.061451</v>
      </c>
      <c r="I51" s="415">
        <f>(F51*(1-$I$10)+C51*(G51-$I$9))/VLOOKUP(C15,B21:H50,COLUMN(H20)-1,FALSE)-1</f>
        <v>0</v>
      </c>
      <c r="J51" s="454"/>
      <c r="K51" s="119">
        <f>1/(1+Equity_Cost)^C15</f>
        <v>0.78834494087086515</v>
      </c>
      <c r="L51" s="277">
        <f t="shared" si="4"/>
        <v>10661936934.744303</v>
      </c>
    </row>
    <row r="52" spans="1:21" ht="13.15">
      <c r="G52" s="111"/>
      <c r="H52" s="111"/>
      <c r="I52" s="111"/>
      <c r="J52" s="468" t="s">
        <v>419</v>
      </c>
      <c r="K52" s="468"/>
      <c r="L52" s="317">
        <f>SUM(L21:L51)</f>
        <v>13519191835.377092</v>
      </c>
    </row>
    <row r="53" spans="1:21">
      <c r="C53" s="111"/>
    </row>
    <row r="54" spans="1:21" ht="13.15">
      <c r="B54" s="115" t="s">
        <v>107</v>
      </c>
      <c r="C54" s="128"/>
      <c r="D54" s="128"/>
      <c r="E54" s="113"/>
      <c r="F54" s="113"/>
      <c r="G54" s="113"/>
      <c r="H54" s="113"/>
      <c r="I54" s="113"/>
      <c r="J54" s="113"/>
      <c r="K54" s="113"/>
      <c r="L54" s="113"/>
    </row>
    <row r="55" spans="1:21" ht="13.15">
      <c r="A55" s="125">
        <f>L52</f>
        <v>13519191835.377092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13184584254.768803</v>
      </c>
      <c r="C56" s="118">
        <v>13319120828.797058</v>
      </c>
      <c r="D56" s="118">
        <v>13453657402.825312</v>
      </c>
      <c r="E56" s="118">
        <v>13588193976.853563</v>
      </c>
      <c r="F56" s="118">
        <v>13722730550.881817</v>
      </c>
      <c r="G56" s="295"/>
      <c r="H56" s="295"/>
      <c r="I56" s="295"/>
      <c r="J56" s="295"/>
      <c r="K56" s="295"/>
      <c r="L56" s="295"/>
    </row>
    <row r="57" spans="1:21" ht="13.15">
      <c r="A57" s="131">
        <v>2</v>
      </c>
      <c r="B57" s="118">
        <v>12940989164.611412</v>
      </c>
      <c r="C57" s="118">
        <v>13196080451.625723</v>
      </c>
      <c r="D57" s="118">
        <v>13453657402.825312</v>
      </c>
      <c r="E57" s="118">
        <v>13713720018.21018</v>
      </c>
      <c r="F57" s="118">
        <v>13976268297.780331</v>
      </c>
      <c r="G57" s="295"/>
      <c r="H57" s="295"/>
      <c r="I57" s="295"/>
      <c r="J57" s="295"/>
      <c r="K57" s="295"/>
      <c r="L57" s="295"/>
    </row>
    <row r="58" spans="1:21" ht="13.15">
      <c r="A58" s="131">
        <v>3</v>
      </c>
      <c r="B58" s="118">
        <v>12720459660.35807</v>
      </c>
      <c r="C58" s="118">
        <v>13083553917.307362</v>
      </c>
      <c r="D58" s="118">
        <v>13453657402.82531</v>
      </c>
      <c r="E58" s="118">
        <v>13830839003.679169</v>
      </c>
      <c r="F58" s="118">
        <v>14215167606.636198</v>
      </c>
      <c r="G58" s="295"/>
      <c r="H58" s="295"/>
      <c r="I58" s="295"/>
      <c r="J58" s="295"/>
      <c r="K58" s="295"/>
      <c r="L58" s="295"/>
    </row>
    <row r="59" spans="1:21" ht="13.15">
      <c r="A59" s="131">
        <v>4</v>
      </c>
      <c r="B59" s="118">
        <v>12520811702.696846</v>
      </c>
      <c r="C59" s="118">
        <v>12980642814.32799</v>
      </c>
      <c r="D59" s="118">
        <v>13453657402.825312</v>
      </c>
      <c r="E59" s="118">
        <v>13940113992.430836</v>
      </c>
      <c r="F59" s="118">
        <v>14440273652.856049</v>
      </c>
      <c r="G59" s="295"/>
      <c r="H59" s="295"/>
      <c r="I59" s="295"/>
      <c r="J59" s="295"/>
      <c r="K59" s="295"/>
      <c r="L59" s="295"/>
    </row>
    <row r="60" spans="1:21" ht="13.15">
      <c r="A60" s="131">
        <v>5</v>
      </c>
      <c r="B60" s="118">
        <v>12340068055.114399</v>
      </c>
      <c r="C60" s="118">
        <v>12886525500.748699</v>
      </c>
      <c r="D60" s="118">
        <v>13453657402.825314</v>
      </c>
      <c r="E60" s="118">
        <v>14042070332.975121</v>
      </c>
      <c r="F60" s="118">
        <v>14652382814.190228</v>
      </c>
      <c r="G60" s="295"/>
      <c r="H60" s="295"/>
      <c r="I60" s="295"/>
      <c r="J60" s="295"/>
      <c r="K60" s="295"/>
      <c r="L60" s="295"/>
    </row>
    <row r="61" spans="1:21" ht="13.15">
      <c r="A61" s="131">
        <v>6</v>
      </c>
      <c r="B61" s="118">
        <v>12176438702.106731</v>
      </c>
      <c r="C61" s="118">
        <v>12800450544.21891</v>
      </c>
      <c r="D61" s="118">
        <v>13453657402.825314</v>
      </c>
      <c r="E61" s="118">
        <v>14137198188.817818</v>
      </c>
      <c r="F61" s="118">
        <v>14852245488.149452</v>
      </c>
      <c r="G61" s="295"/>
      <c r="H61" s="295"/>
      <c r="I61" s="295"/>
      <c r="J61" s="295"/>
      <c r="K61" s="295"/>
      <c r="L61" s="295"/>
    </row>
    <row r="62" spans="1:21" ht="13.15">
      <c r="A62" s="131">
        <v>7</v>
      </c>
      <c r="B62" s="118">
        <v>12028303121.554756</v>
      </c>
      <c r="C62" s="118">
        <v>12721730722.542706</v>
      </c>
      <c r="D62" s="118">
        <v>13453657402.825314</v>
      </c>
      <c r="E62" s="118">
        <v>14225954894.962044</v>
      </c>
      <c r="F62" s="118">
        <v>15040568746.753063</v>
      </c>
      <c r="G62" s="295"/>
      <c r="H62" s="295"/>
      <c r="I62" s="295"/>
      <c r="J62" s="295"/>
      <c r="K62" s="295"/>
      <c r="L62" s="295"/>
    </row>
    <row r="63" spans="1:21" ht="13.15">
      <c r="A63" s="131">
        <v>8</v>
      </c>
      <c r="B63" s="118">
        <v>11894194235.697079</v>
      </c>
      <c r="C63" s="118">
        <v>12649737536.898878</v>
      </c>
      <c r="D63" s="118">
        <v>13453657402.825314</v>
      </c>
      <c r="E63" s="118">
        <v>14308767156.583914</v>
      </c>
      <c r="F63" s="118">
        <v>15218018838.000807</v>
      </c>
      <c r="G63" s="295"/>
      <c r="H63" s="295"/>
      <c r="I63" s="295"/>
      <c r="J63" s="295"/>
      <c r="K63" s="295"/>
      <c r="L63" s="295"/>
    </row>
    <row r="64" spans="1:21" ht="13.15">
      <c r="A64" s="131">
        <v>9</v>
      </c>
      <c r="B64" s="118">
        <v>11772783881.756641</v>
      </c>
      <c r="C64" s="118">
        <v>12583896193.908218</v>
      </c>
      <c r="D64" s="118">
        <v>13453657402.825314</v>
      </c>
      <c r="E64" s="118">
        <v>14386033100.452812</v>
      </c>
      <c r="F64" s="118">
        <v>15385223542.917849</v>
      </c>
      <c r="G64" s="295"/>
      <c r="H64" s="295"/>
      <c r="I64" s="295"/>
      <c r="J64" s="295"/>
      <c r="K64" s="295"/>
      <c r="L64" s="295"/>
    </row>
    <row r="65" spans="1:21" ht="13.15">
      <c r="A65" s="131">
        <v>10</v>
      </c>
      <c r="B65" s="118">
        <v>11662869658.327885</v>
      </c>
      <c r="C65" s="118">
        <v>12523681016.484888</v>
      </c>
      <c r="D65" s="118">
        <v>13453657402.825314</v>
      </c>
      <c r="E65" s="118">
        <v>14458124188.95867</v>
      </c>
      <c r="F65" s="118">
        <v>15542774396.511738</v>
      </c>
      <c r="G65" s="295"/>
      <c r="H65" s="295"/>
      <c r="I65" s="295"/>
      <c r="J65" s="295"/>
      <c r="K65" s="295"/>
      <c r="L65" s="295"/>
    </row>
    <row r="66" spans="1:21" ht="13.15">
      <c r="A66" s="131">
        <v>15</v>
      </c>
      <c r="B66" s="118">
        <v>11251050283.840406</v>
      </c>
      <c r="C66" s="277">
        <v>12291537278.35519</v>
      </c>
      <c r="D66" s="118">
        <v>13453657402.825315</v>
      </c>
      <c r="E66" s="118">
        <v>14752306730.179703</v>
      </c>
      <c r="F66" s="118">
        <v>16204141180.224365</v>
      </c>
      <c r="G66" s="295"/>
      <c r="H66" s="295"/>
      <c r="I66" s="295"/>
      <c r="J66" s="295"/>
      <c r="K66" s="295"/>
      <c r="L66" s="295"/>
      <c r="M66" s="275"/>
      <c r="N66" s="275"/>
      <c r="O66" s="275"/>
      <c r="P66" s="275"/>
      <c r="Q66" s="275"/>
      <c r="R66" s="275"/>
      <c r="S66" s="275"/>
      <c r="T66" s="275"/>
      <c r="U66" s="275"/>
    </row>
    <row r="67" spans="1:21" ht="13.15">
      <c r="A67" s="132">
        <v>20</v>
      </c>
      <c r="B67" s="118">
        <v>11000613782.501905</v>
      </c>
      <c r="C67" s="277">
        <v>12143014378.076935</v>
      </c>
      <c r="D67" s="118">
        <v>13453657402.825314</v>
      </c>
      <c r="E67" s="118">
        <v>14960316742.139999</v>
      </c>
      <c r="F67" s="118">
        <v>16695392480.531963</v>
      </c>
      <c r="G67" s="295"/>
      <c r="H67" s="295"/>
      <c r="I67" s="295"/>
      <c r="J67" s="295"/>
      <c r="K67" s="295"/>
      <c r="L67" s="295"/>
      <c r="M67" s="275"/>
      <c r="N67" s="275"/>
      <c r="O67" s="275"/>
      <c r="P67" s="275"/>
      <c r="Q67" s="275"/>
      <c r="R67" s="275"/>
      <c r="S67" s="275"/>
      <c r="T67" s="275"/>
      <c r="U67" s="275"/>
    </row>
    <row r="68" spans="1:21" ht="13.15">
      <c r="A68" s="132">
        <v>25</v>
      </c>
      <c r="B68" s="118">
        <v>10848317787.975847</v>
      </c>
      <c r="C68" s="277">
        <v>12047991130.47703</v>
      </c>
      <c r="D68" s="118">
        <v>13453657402.825315</v>
      </c>
      <c r="E68" s="118">
        <v>15107396051.796284</v>
      </c>
      <c r="F68" s="118">
        <v>17060285072.656414</v>
      </c>
      <c r="G68" s="295"/>
      <c r="H68" s="295"/>
      <c r="I68" s="295"/>
      <c r="J68" s="295"/>
      <c r="K68" s="295"/>
      <c r="L68" s="295"/>
      <c r="M68" s="275"/>
      <c r="N68" s="275"/>
      <c r="O68" s="275"/>
      <c r="P68" s="275"/>
      <c r="Q68" s="275"/>
      <c r="R68" s="275"/>
      <c r="S68" s="275"/>
      <c r="T68" s="275"/>
      <c r="U68" s="275"/>
    </row>
    <row r="69" spans="1:21" ht="13.15">
      <c r="A69" s="132">
        <v>30</v>
      </c>
      <c r="B69" s="118">
        <v>10755703213.723629</v>
      </c>
      <c r="C69" s="277">
        <v>11987196346.861065</v>
      </c>
      <c r="D69" s="118">
        <v>13453657402.825315</v>
      </c>
      <c r="E69" s="118">
        <v>15211392600.448465</v>
      </c>
      <c r="F69" s="118">
        <v>17331320698.82967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19.000750914704273</v>
      </c>
      <c r="C73" s="119">
        <f>C11</f>
        <v>19.000750914704273</v>
      </c>
      <c r="D73" s="119">
        <f>C11</f>
        <v>19.000750914704273</v>
      </c>
      <c r="E73" s="119">
        <f>C11</f>
        <v>19.000750914704273</v>
      </c>
      <c r="F73" s="119">
        <f>C11</f>
        <v>19.000750914704273</v>
      </c>
      <c r="G73" s="296"/>
      <c r="H73" s="296"/>
      <c r="I73" s="296"/>
      <c r="J73" s="296"/>
      <c r="K73" s="296"/>
      <c r="L73" s="296"/>
    </row>
    <row r="74" spans="1:21" ht="13.15">
      <c r="A74" s="131">
        <v>1</v>
      </c>
      <c r="B74" s="119">
        <f t="shared" ref="B74:F87" si="11">(B56+FV_adjustments)/Common_Shares*scaling_factor*Exchange_Rate</f>
        <v>18.750777661631183</v>
      </c>
      <c r="C74" s="119">
        <f t="shared" si="11"/>
        <v>18.87576428816773</v>
      </c>
      <c r="D74" s="119">
        <f t="shared" si="11"/>
        <v>19.000750914704277</v>
      </c>
      <c r="E74" s="119">
        <f t="shared" si="11"/>
        <v>19.12573754124082</v>
      </c>
      <c r="F74" s="119">
        <f t="shared" si="11"/>
        <v>19.250724167777367</v>
      </c>
      <c r="G74" s="296"/>
      <c r="H74" s="296"/>
      <c r="I74" s="296"/>
      <c r="J74" s="296"/>
      <c r="K74" s="296"/>
      <c r="L74" s="296"/>
    </row>
    <row r="75" spans="1:21" ht="13.15">
      <c r="A75" s="131">
        <v>2</v>
      </c>
      <c r="B75" s="119">
        <f t="shared" si="11"/>
        <v>18.524473931366394</v>
      </c>
      <c r="C75" s="119">
        <f t="shared" si="11"/>
        <v>18.76145781216664</v>
      </c>
      <c r="D75" s="119">
        <f t="shared" si="11"/>
        <v>19.000750914704277</v>
      </c>
      <c r="E75" s="119">
        <f t="shared" si="11"/>
        <v>19.242353238979305</v>
      </c>
      <c r="F75" s="119">
        <f t="shared" si="11"/>
        <v>19.486264784991739</v>
      </c>
      <c r="G75" s="296"/>
      <c r="H75" s="296"/>
      <c r="I75" s="296"/>
      <c r="J75" s="296"/>
      <c r="K75" s="296"/>
      <c r="L75" s="296"/>
    </row>
    <row r="76" spans="1:21" ht="13.15">
      <c r="A76" s="131">
        <v>3</v>
      </c>
      <c r="B76" s="119">
        <f t="shared" si="11"/>
        <v>18.319598498886499</v>
      </c>
      <c r="C76" s="119">
        <f t="shared" si="11"/>
        <v>18.656918864137928</v>
      </c>
      <c r="D76" s="119">
        <f t="shared" si="11"/>
        <v>19.000750914704273</v>
      </c>
      <c r="E76" s="119">
        <f t="shared" si="11"/>
        <v>19.351158647492809</v>
      </c>
      <c r="F76" s="119">
        <f t="shared" si="11"/>
        <v>19.708206059410813</v>
      </c>
      <c r="G76" s="296"/>
      <c r="H76" s="296"/>
      <c r="I76" s="296"/>
      <c r="J76" s="296"/>
      <c r="K76" s="296"/>
      <c r="L76" s="296"/>
    </row>
    <row r="77" spans="1:21" ht="13.15">
      <c r="A77" s="131">
        <v>4</v>
      </c>
      <c r="B77" s="119">
        <f t="shared" si="11"/>
        <v>18.13412235677999</v>
      </c>
      <c r="C77" s="119">
        <f t="shared" si="11"/>
        <v>18.561312805432685</v>
      </c>
      <c r="D77" s="119">
        <f t="shared" si="11"/>
        <v>19.000750914704277</v>
      </c>
      <c r="E77" s="119">
        <f t="shared" si="11"/>
        <v>19.452676857745601</v>
      </c>
      <c r="F77" s="119">
        <f t="shared" si="11"/>
        <v>19.917333172489297</v>
      </c>
      <c r="G77" s="296"/>
      <c r="H77" s="296"/>
      <c r="I77" s="296"/>
      <c r="J77" s="296"/>
      <c r="K77" s="296"/>
      <c r="L77" s="296"/>
    </row>
    <row r="78" spans="1:21" ht="13.15">
      <c r="A78" s="131">
        <v>5</v>
      </c>
      <c r="B78" s="119">
        <f t="shared" si="11"/>
        <v>17.966208620738996</v>
      </c>
      <c r="C78" s="119">
        <f t="shared" si="11"/>
        <v>18.473876317563693</v>
      </c>
      <c r="D78" s="119">
        <f t="shared" si="11"/>
        <v>19.000750914704277</v>
      </c>
      <c r="E78" s="119">
        <f t="shared" si="11"/>
        <v>19.547395926896005</v>
      </c>
      <c r="F78" s="119">
        <f t="shared" si="11"/>
        <v>20.114385971879653</v>
      </c>
      <c r="G78" s="296"/>
      <c r="H78" s="296"/>
      <c r="I78" s="296"/>
      <c r="J78" s="296"/>
      <c r="K78" s="296"/>
      <c r="L78" s="296"/>
    </row>
    <row r="79" spans="1:21" ht="13.15">
      <c r="A79" s="131">
        <v>6</v>
      </c>
      <c r="B79" s="119">
        <f t="shared" si="11"/>
        <v>17.814194337764235</v>
      </c>
      <c r="C79" s="119">
        <f t="shared" si="11"/>
        <v>18.393911307872877</v>
      </c>
      <c r="D79" s="119">
        <f t="shared" si="11"/>
        <v>19.000750914704277</v>
      </c>
      <c r="E79" s="119">
        <f t="shared" si="11"/>
        <v>19.635771224671441</v>
      </c>
      <c r="F79" s="119">
        <f t="shared" si="11"/>
        <v>20.300061588857165</v>
      </c>
      <c r="G79" s="296"/>
      <c r="H79" s="296"/>
      <c r="I79" s="296"/>
      <c r="J79" s="296"/>
      <c r="K79" s="296"/>
      <c r="L79" s="296"/>
    </row>
    <row r="80" spans="1:21" ht="13.15">
      <c r="A80" s="131">
        <f t="shared" ref="A80" si="12">A62</f>
        <v>7</v>
      </c>
      <c r="B80" s="119">
        <f t="shared" si="11"/>
        <v>17.676574016918721</v>
      </c>
      <c r="C80" s="119">
        <f t="shared" si="11"/>
        <v>18.32077933596165</v>
      </c>
      <c r="D80" s="119">
        <f t="shared" si="11"/>
        <v>19.000750914704277</v>
      </c>
      <c r="E80" s="119">
        <f t="shared" si="11"/>
        <v>19.718227622595862</v>
      </c>
      <c r="F80" s="119">
        <f t="shared" si="11"/>
        <v>20.475016904623509</v>
      </c>
      <c r="G80" s="296"/>
      <c r="H80" s="296"/>
      <c r="I80" s="296"/>
      <c r="J80" s="296"/>
      <c r="K80" s="296"/>
      <c r="L80" s="296"/>
    </row>
    <row r="81" spans="1:12" ht="13.15">
      <c r="A81" s="131">
        <v>8</v>
      </c>
      <c r="B81" s="119">
        <f t="shared" si="11"/>
        <v>17.551984719525095</v>
      </c>
      <c r="C81" s="119">
        <f t="shared" si="11"/>
        <v>18.253896516384636</v>
      </c>
      <c r="D81" s="119">
        <f t="shared" si="11"/>
        <v>19.000750914704277</v>
      </c>
      <c r="E81" s="119">
        <f t="shared" si="11"/>
        <v>19.795161536594637</v>
      </c>
      <c r="F81" s="119">
        <f t="shared" si="11"/>
        <v>20.639870874213962</v>
      </c>
      <c r="G81" s="296"/>
      <c r="H81" s="296"/>
      <c r="I81" s="296"/>
      <c r="J81" s="296"/>
      <c r="K81" s="296"/>
      <c r="L81" s="296"/>
    </row>
    <row r="82" spans="1:12" ht="13.15">
      <c r="A82" s="131">
        <f t="shared" ref="A82" si="13">A64</f>
        <v>9</v>
      </c>
      <c r="B82" s="119">
        <f t="shared" si="11"/>
        <v>17.439192561145649</v>
      </c>
      <c r="C82" s="119">
        <f t="shared" si="11"/>
        <v>18.192728856910044</v>
      </c>
      <c r="D82" s="119">
        <f t="shared" si="11"/>
        <v>19.000750914704277</v>
      </c>
      <c r="E82" s="119">
        <f t="shared" si="11"/>
        <v>19.86694283279672</v>
      </c>
      <c r="F82" s="119">
        <f t="shared" si="11"/>
        <v>20.795206716229909</v>
      </c>
      <c r="G82" s="296"/>
      <c r="H82" s="296"/>
      <c r="I82" s="296"/>
      <c r="J82" s="296"/>
      <c r="K82" s="296"/>
      <c r="L82" s="296"/>
    </row>
    <row r="83" spans="1:12" ht="13.15">
      <c r="A83" s="131">
        <f t="shared" ref="A83:A87" si="14">A65</f>
        <v>10</v>
      </c>
      <c r="B83" s="119">
        <f t="shared" si="11"/>
        <v>17.337080491665869</v>
      </c>
      <c r="C83" s="119">
        <f t="shared" si="11"/>
        <v>18.136787995127278</v>
      </c>
      <c r="D83" s="119">
        <f t="shared" si="11"/>
        <v>19.000750914704277</v>
      </c>
      <c r="E83" s="119">
        <f t="shared" si="11"/>
        <v>19.933916605696592</v>
      </c>
      <c r="F83" s="119">
        <f t="shared" si="11"/>
        <v>20.941573976143321</v>
      </c>
      <c r="G83" s="296"/>
      <c r="H83" s="296"/>
      <c r="I83" s="296"/>
      <c r="J83" s="296"/>
      <c r="K83" s="296"/>
      <c r="L83" s="296"/>
    </row>
    <row r="84" spans="1:12" ht="13.15">
      <c r="A84" s="131">
        <f t="shared" si="14"/>
        <v>15</v>
      </c>
      <c r="B84" s="119">
        <f t="shared" si="11"/>
        <v>16.954493713822313</v>
      </c>
      <c r="C84" s="119">
        <f t="shared" si="11"/>
        <v>17.921122753835192</v>
      </c>
      <c r="D84" s="119">
        <f t="shared" si="11"/>
        <v>19.000750914704277</v>
      </c>
      <c r="E84" s="119">
        <f t="shared" si="11"/>
        <v>20.207216886150018</v>
      </c>
      <c r="F84" s="119">
        <f t="shared" si="11"/>
        <v>21.555994283755783</v>
      </c>
      <c r="G84" s="296"/>
      <c r="H84" s="296"/>
      <c r="I84" s="296"/>
      <c r="J84" s="296"/>
      <c r="K84" s="296"/>
      <c r="L84" s="296"/>
    </row>
    <row r="85" spans="1:12" ht="13.15">
      <c r="A85" s="132">
        <f t="shared" si="14"/>
        <v>20</v>
      </c>
      <c r="B85" s="119">
        <f t="shared" si="11"/>
        <v>16.721834203276572</v>
      </c>
      <c r="C85" s="119">
        <f t="shared" si="11"/>
        <v>17.783142606776408</v>
      </c>
      <c r="D85" s="119">
        <f t="shared" si="11"/>
        <v>19.000750914704277</v>
      </c>
      <c r="E85" s="119">
        <f t="shared" si="11"/>
        <v>20.400461510286828</v>
      </c>
      <c r="F85" s="119">
        <f t="shared" si="11"/>
        <v>22.012374589636355</v>
      </c>
      <c r="G85" s="296"/>
      <c r="H85" s="296"/>
      <c r="I85" s="296"/>
      <c r="J85" s="296"/>
      <c r="K85" s="296"/>
      <c r="L85" s="296"/>
    </row>
    <row r="86" spans="1:12" ht="13.15">
      <c r="A86" s="132">
        <f t="shared" si="14"/>
        <v>25</v>
      </c>
      <c r="B86" s="119">
        <f t="shared" si="11"/>
        <v>16.580348791385212</v>
      </c>
      <c r="C86" s="119">
        <f t="shared" si="11"/>
        <v>17.694864491729678</v>
      </c>
      <c r="D86" s="119">
        <f t="shared" si="11"/>
        <v>19.000750914704277</v>
      </c>
      <c r="E86" s="119">
        <f t="shared" si="11"/>
        <v>20.537100538595983</v>
      </c>
      <c r="F86" s="119">
        <f t="shared" si="11"/>
        <v>22.351365636994473</v>
      </c>
      <c r="G86" s="296"/>
      <c r="H86" s="296"/>
      <c r="I86" s="296"/>
      <c r="J86" s="296"/>
      <c r="K86" s="296"/>
      <c r="L86" s="296"/>
    </row>
    <row r="87" spans="1:12" ht="13.15">
      <c r="A87" s="132">
        <f t="shared" si="14"/>
        <v>30</v>
      </c>
      <c r="B87" s="119">
        <f t="shared" si="11"/>
        <v>16.494308372357803</v>
      </c>
      <c r="C87" s="119">
        <f t="shared" si="11"/>
        <v>17.638385166534565</v>
      </c>
      <c r="D87" s="119">
        <f t="shared" si="11"/>
        <v>19.000750914704277</v>
      </c>
      <c r="E87" s="119">
        <f t="shared" si="11"/>
        <v>20.633714993671596</v>
      </c>
      <c r="F87" s="119">
        <f t="shared" si="11"/>
        <v>22.603162063589231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19.708206059410813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19.351158647492809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19.000750914704273</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18.656918864137928</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18.319598498886499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1208078730.2696574</v>
      </c>
      <c r="D8" s="469"/>
      <c r="E8" s="469"/>
      <c r="F8" s="469"/>
      <c r="G8" s="469"/>
    </row>
    <row r="9" spans="2:7">
      <c r="B9" s="97" t="s">
        <v>53</v>
      </c>
      <c r="C9" s="447">
        <f>Normalized_FCF!C19</f>
        <v>1109926735.733088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-7.7230043672051774E-2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19.351158647492809</v>
      </c>
      <c r="F22" s="328">
        <f>1-F23-F24</f>
        <v>0.19999999999999996</v>
      </c>
      <c r="G22" s="328">
        <f>F22*(1-F$29-F$30)</f>
        <v>0.15999999999999995</v>
      </c>
    </row>
    <row r="23" spans="2:7">
      <c r="B23" s="302" t="s">
        <v>436</v>
      </c>
      <c r="C23" s="324">
        <v>0</v>
      </c>
      <c r="D23" s="325">
        <f>C18</f>
        <v>3</v>
      </c>
      <c r="E23" s="326">
        <f>DCF!E92</f>
        <v>19.000750914704273</v>
      </c>
      <c r="F23" s="327">
        <v>0.55000000000000004</v>
      </c>
      <c r="G23" s="328">
        <f t="shared" ref="G23:G24" si="0">F23*(1-F$29-F$30)</f>
        <v>0.44</v>
      </c>
    </row>
    <row r="24" spans="2:7">
      <c r="B24" s="302" t="s">
        <v>445</v>
      </c>
      <c r="C24" s="324">
        <v>-0.01</v>
      </c>
      <c r="D24" s="325">
        <f>C18</f>
        <v>3</v>
      </c>
      <c r="E24" s="326">
        <f>DCF!E93</f>
        <v>18.656918864137928</v>
      </c>
      <c r="F24" s="327">
        <v>0.25</v>
      </c>
      <c r="G24" s="328">
        <f t="shared" si="0"/>
        <v>0.19999999999999998</v>
      </c>
    </row>
    <row r="25" spans="2:7">
      <c r="B25" s="141" t="s">
        <v>450</v>
      </c>
      <c r="C25" s="441">
        <f>E23*F23+E24*F24+E22*F22</f>
        <v>18.984874448620396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19.708206059410813</v>
      </c>
      <c r="F29" s="327">
        <v>0.15</v>
      </c>
      <c r="G29" s="328">
        <f>F29</f>
        <v>0.15</v>
      </c>
    </row>
    <row r="30" spans="2:7">
      <c r="B30" s="315" t="s">
        <v>446</v>
      </c>
      <c r="C30" s="324">
        <v>-0.02</v>
      </c>
      <c r="D30" s="325">
        <f>C18</f>
        <v>3</v>
      </c>
      <c r="E30" s="326">
        <f>DCF!E94</f>
        <v>18.319598498886499</v>
      </c>
      <c r="F30" s="327">
        <v>0.05</v>
      </c>
      <c r="G30" s="328">
        <f>F30</f>
        <v>0.05</v>
      </c>
    </row>
    <row r="31" spans="2:7">
      <c r="E31" s="329"/>
      <c r="F31" s="329"/>
    </row>
    <row r="32" spans="2:7" ht="13.15">
      <c r="B32" s="145" t="s">
        <v>455</v>
      </c>
    </row>
    <row r="33" spans="2:7">
      <c r="B33" s="97" t="s">
        <v>457</v>
      </c>
      <c r="C33" s="155">
        <f>Normalized_FCF!C88*(1-dividend_tax_rate)</f>
        <v>0.61897932</v>
      </c>
      <c r="D33" t="str">
        <f>Market_currency</f>
        <v>HKD</v>
      </c>
      <c r="E33" s="97" t="s">
        <v>454</v>
      </c>
      <c r="F33" s="219">
        <f>Holding_Period</f>
        <v>3</v>
      </c>
    </row>
    <row r="34" spans="2:7">
      <c r="B34" s="97" t="s">
        <v>232</v>
      </c>
      <c r="C34" s="146">
        <f>Market_Price</f>
        <v>10.53</v>
      </c>
      <c r="D34" t="str">
        <f>Market_currency</f>
        <v>HKD</v>
      </c>
      <c r="E34" s="97" t="s">
        <v>453</v>
      </c>
      <c r="F34" s="330">
        <f>RATE(Holding_Period,$C$33,-C34,$C$36)</f>
        <v>0.26782374778586066</v>
      </c>
    </row>
    <row r="35" spans="2:7">
      <c r="B35" s="97" t="s">
        <v>433</v>
      </c>
      <c r="C35" s="320">
        <f>DCF!C11</f>
        <v>19.000750914704273</v>
      </c>
      <c r="D35" s="97" t="str">
        <f>Market_currency</f>
        <v>HKD</v>
      </c>
      <c r="E35" s="97" t="s">
        <v>453</v>
      </c>
      <c r="F35" s="330">
        <f>RATE(Holding_Period,$C$33,-C35,$C$36)</f>
        <v>3.3583722144800945E-2</v>
      </c>
    </row>
    <row r="36" spans="2:7">
      <c r="B36" s="97" t="s">
        <v>434</v>
      </c>
      <c r="C36" s="321">
        <f>E22*G22+E23*G23+E24*G24+E30*G30+E29*G29</f>
        <v>19.060110392752261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0.12639882081180723</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19.061633449478155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0.34113591826426287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0.61897932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1.1241363162494313</v>
      </c>
      <c r="D62" s="119">
        <f>C36/(1+F62)^Holding_Period</f>
        <v>8.6755167923314769</v>
      </c>
      <c r="E62" s="332">
        <f>C62+D62</f>
        <v>9.7996531085809089</v>
      </c>
      <c r="F62" s="301">
        <f>Thesis!E22</f>
        <v>0.3</v>
      </c>
      <c r="G62" s="440">
        <f>(1-E62/C36)</f>
        <v>0.48585538558542163</v>
      </c>
    </row>
    <row r="63" spans="2:7" ht="13.15">
      <c r="B63" s="302" t="s">
        <v>312</v>
      </c>
      <c r="C63" s="119">
        <f>PV(F63, Holding_Period, -C58, 0)</f>
        <v>1.303868475</v>
      </c>
      <c r="D63" s="119">
        <f>C36/(1+F63)^Holding_Period</f>
        <v>11.030156477287187</v>
      </c>
      <c r="E63" s="332">
        <f>C63+D63</f>
        <v>12.334024952287187</v>
      </c>
      <c r="F63" s="301">
        <f>Thesis!E23</f>
        <v>0.2</v>
      </c>
      <c r="G63" s="440">
        <f>(1-E63/C36)</f>
        <v>0.35288806317841237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1.4933514423233794</v>
      </c>
      <c r="D66" s="119">
        <f>C36/(1+F66)^Holding_Period</f>
        <v>13.661532216014635</v>
      </c>
      <c r="E66" s="332">
        <f>C66+D66</f>
        <v>15.154883658338015</v>
      </c>
      <c r="F66" s="301">
        <f>Thesis!E24</f>
        <v>0.1174</v>
      </c>
      <c r="G66" s="440">
        <f>(1-E66/C36)</f>
        <v>0.20489003756763313</v>
      </c>
    </row>
    <row r="67" spans="2:7" ht="13.15">
      <c r="B67" s="302" t="s">
        <v>313</v>
      </c>
      <c r="C67" s="119">
        <f>PV(F67, Holding_Period, -C58, 0)</f>
        <v>1.617006241700399</v>
      </c>
      <c r="D67" s="119">
        <f>C36/(1+F67)^Holding_Period</f>
        <v>15.450178777004613</v>
      </c>
      <c r="E67" s="332">
        <f>C67+D67</f>
        <v>17.067185018705011</v>
      </c>
      <c r="F67" s="301">
        <f>Thesis!E25</f>
        <v>7.2499999999999995E-2</v>
      </c>
      <c r="G67" s="440">
        <f>(1-E67/C36)</f>
        <v>0.10456001213954524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10.53</v>
      </c>
    </row>
    <row r="9" spans="1:10">
      <c r="B9" s="351" t="s">
        <v>360</v>
      </c>
      <c r="C9" s="353">
        <f>Common_Shares</f>
        <v>1233841000</v>
      </c>
    </row>
    <row r="10" spans="1:10">
      <c r="B10" s="351" t="s">
        <v>366</v>
      </c>
      <c r="C10" s="357">
        <f>投资主题!C8*Common_Shares/1000000</f>
        <v>12992.345729999999</v>
      </c>
      <c r="D10" s="343" t="s">
        <v>528</v>
      </c>
      <c r="E10" s="360">
        <f>Scenarios!F34</f>
        <v>0.26782374778586066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1.146258</v>
      </c>
    </row>
    <row r="17" spans="1:6">
      <c r="B17" s="343" t="s">
        <v>534</v>
      </c>
      <c r="C17" s="424">
        <f>Terminal_Growth</f>
        <v>0</v>
      </c>
      <c r="D17" s="351" t="s">
        <v>338</v>
      </c>
      <c r="E17" s="344" t="str">
        <f>Reporting_currency</f>
        <v>CNY</v>
      </c>
    </row>
    <row r="18" spans="1:6">
      <c r="B18" s="343" t="str">
        <f>"预期股权价值 ("&amp;C7&amp;") :"</f>
        <v>预期股权价值 (HKD) :</v>
      </c>
      <c r="C18" s="359">
        <f>C125</f>
        <v>19.060110392752261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9.7996531085809089</v>
      </c>
      <c r="D22" s="365" t="s">
        <v>439</v>
      </c>
      <c r="E22" s="366">
        <f>Thesis!E22</f>
        <v>0.3</v>
      </c>
    </row>
    <row r="23" spans="1:6">
      <c r="B23" s="343" t="s">
        <v>340</v>
      </c>
      <c r="C23" s="367">
        <f>E141</f>
        <v>12.334024952287187</v>
      </c>
      <c r="D23" s="365" t="s">
        <v>440</v>
      </c>
      <c r="E23" s="368">
        <f>Thesis!E23</f>
        <v>0.2</v>
      </c>
    </row>
    <row r="24" spans="1:6">
      <c r="B24" s="343" t="s">
        <v>342</v>
      </c>
      <c r="C24" s="367">
        <f>E144</f>
        <v>15.154883658338015</v>
      </c>
      <c r="D24" s="365" t="s">
        <v>442</v>
      </c>
      <c r="E24" s="368">
        <f>Thesis!E24</f>
        <v>0.1174</v>
      </c>
    </row>
    <row r="25" spans="1:6">
      <c r="B25" s="343" t="s">
        <v>341</v>
      </c>
      <c r="C25" s="367">
        <f>E145</f>
        <v>17.067185018705011</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11616243.664711228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-2540679.1647887714</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-389577404.57769597</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1208078730.2696574</v>
      </c>
      <c r="D60" s="343" t="str">
        <f>Reporting_currency</f>
        <v>CNY</v>
      </c>
    </row>
    <row r="61" spans="2:6">
      <c r="B61" s="372" t="s">
        <v>212</v>
      </c>
      <c r="C61" s="373">
        <f>Normalized_FCF!C19</f>
        <v>1109926735.733088</v>
      </c>
      <c r="D61" s="343" t="str">
        <f>Reporting_currency</f>
        <v>CNY</v>
      </c>
    </row>
    <row r="62" spans="2:6">
      <c r="B62" s="377" t="s">
        <v>301</v>
      </c>
      <c r="C62" s="378">
        <f>Normalized_FCF!C124</f>
        <v>9.792399514971481E-2</v>
      </c>
      <c r="F62" s="379"/>
    </row>
    <row r="63" spans="2:6">
      <c r="B63" s="377" t="s">
        <v>331</v>
      </c>
      <c r="C63" s="378">
        <f>Normalized_FCF!C92</f>
        <v>5.878246153846154E-2</v>
      </c>
      <c r="E63" s="372" t="s">
        <v>372</v>
      </c>
      <c r="F63" s="380">
        <f>Normalized_FCF!C90</f>
        <v>0.76453701209956626</v>
      </c>
    </row>
    <row r="65" spans="1:6">
      <c r="B65" s="369" t="s">
        <v>375</v>
      </c>
      <c r="C65" s="381" t="s">
        <v>326</v>
      </c>
      <c r="D65" s="381" t="s">
        <v>373</v>
      </c>
    </row>
    <row r="66" spans="1:6">
      <c r="B66" s="372" t="s">
        <v>325</v>
      </c>
      <c r="C66" s="378">
        <f>Normalized_FCF!E119</f>
        <v>0.10095859236886121</v>
      </c>
      <c r="D66" s="378">
        <f>Normalized_FCF!G119</f>
        <v>8.8897735938340078E-2</v>
      </c>
    </row>
    <row r="67" spans="1:6">
      <c r="B67" s="382" t="str">
        <f>Normalized_FCF!B116</f>
        <v>Pre-tax Profit/Sales</v>
      </c>
      <c r="C67" s="383">
        <f>Normalized_FCF!E116</f>
        <v>0.12639882081180723</v>
      </c>
      <c r="D67" s="383">
        <f>Normalized_FCF!G116</f>
        <v>0.11129878826352685</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-283138456.58999997</v>
      </c>
      <c r="D78" s="343" t="str">
        <f>Reporting_currency</f>
        <v>CNY</v>
      </c>
    </row>
    <row r="79" spans="1:6">
      <c r="B79" s="372" t="s">
        <v>233</v>
      </c>
      <c r="C79" s="387">
        <f>C78*scaling_factor*Exchange_Rate/Common_Shares</f>
        <v>-0.26304014939845588</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6698478137.3947954</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6.2229931999454413</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0.54213521050277713</v>
      </c>
      <c r="D90" s="343" t="str">
        <f>Market_currency</f>
        <v>HKD</v>
      </c>
    </row>
    <row r="92" spans="1:6">
      <c r="B92" s="372" t="s">
        <v>479</v>
      </c>
      <c r="C92" s="387">
        <f>DCF!F8</f>
        <v>6.5020882610497628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1.7886349435495377</v>
      </c>
      <c r="D111" s="343" t="str">
        <f>Market_currency</f>
        <v>HKD</v>
      </c>
    </row>
    <row r="112" spans="1:6">
      <c r="A112" s="385"/>
      <c r="B112" s="372" t="s">
        <v>376</v>
      </c>
      <c r="C112" s="394">
        <f>DCF!C11</f>
        <v>19.000750914704273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19.71 HKD</v>
      </c>
      <c r="F118" s="399">
        <f>DCF!F90</f>
        <v>0.15</v>
      </c>
    </row>
    <row r="119" spans="1:6">
      <c r="A119" s="385"/>
      <c r="B119" s="400" t="str">
        <f>DCF!B91</f>
        <v>Optimistic</v>
      </c>
      <c r="C119" s="401">
        <f>DCF!C91</f>
        <v>0.01</v>
      </c>
      <c r="D119" s="402">
        <f>DCF!D91</f>
        <v>3</v>
      </c>
      <c r="E119" s="398" t="str">
        <f>ROUND(DCF!E91,2)&amp;" "&amp;Market_currency</f>
        <v>19.35 HKD</v>
      </c>
      <c r="F119" s="403">
        <f>DCF!F91</f>
        <v>0.15999999999999995</v>
      </c>
    </row>
    <row r="120" spans="1:6">
      <c r="B120" s="400" t="str">
        <f>DCF!B92</f>
        <v>Base</v>
      </c>
      <c r="C120" s="401">
        <f>DCF!C92</f>
        <v>0</v>
      </c>
      <c r="D120" s="402">
        <f>DCF!D92</f>
        <v>3</v>
      </c>
      <c r="E120" s="398" t="str">
        <f>ROUND(DCF!E92,2)&amp;" "&amp;Market_currency</f>
        <v>19 HKD</v>
      </c>
      <c r="F120" s="403">
        <f>DCF!F92</f>
        <v>0.44</v>
      </c>
    </row>
    <row r="121" spans="1:6">
      <c r="B121" s="400" t="str">
        <f>DCF!B93</f>
        <v>Pessimistic</v>
      </c>
      <c r="C121" s="401">
        <f>DCF!C93</f>
        <v>-0.01</v>
      </c>
      <c r="D121" s="402">
        <f>DCF!D93</f>
        <v>3</v>
      </c>
      <c r="E121" s="398" t="str">
        <f>ROUND(DCF!E93,2)&amp;" "&amp;Market_currency</f>
        <v>18.66 HKD</v>
      </c>
      <c r="F121" s="403">
        <f>DCF!F93</f>
        <v>0.19999999999999998</v>
      </c>
    </row>
    <row r="122" spans="1:6">
      <c r="B122" s="400" t="str">
        <f>DCF!B94</f>
        <v>Devil's advocate</v>
      </c>
      <c r="C122" s="401">
        <f>DCF!C94</f>
        <v>-0.02</v>
      </c>
      <c r="D122" s="402">
        <f>DCF!D94</f>
        <v>3</v>
      </c>
      <c r="E122" s="398" t="str">
        <f>ROUND(DCF!E94,2)&amp;" "&amp;Market_currency</f>
        <v>18.32 HKD</v>
      </c>
      <c r="F122" s="403">
        <f>DCF!F94</f>
        <v>0.05</v>
      </c>
    </row>
    <row r="124" spans="1:6">
      <c r="B124" s="470" t="s">
        <v>518</v>
      </c>
      <c r="C124" s="470"/>
      <c r="D124" s="470"/>
      <c r="E124" s="470"/>
      <c r="F124" s="470"/>
    </row>
    <row r="125" spans="1:6">
      <c r="B125" s="372" t="s">
        <v>217</v>
      </c>
      <c r="C125" s="404">
        <f>Scenarios!C36</f>
        <v>19.060110392752261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0.61897932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1.1241363162494313</v>
      </c>
      <c r="D140" s="409">
        <f>Scenarios!D62</f>
        <v>8.6755167923314769</v>
      </c>
      <c r="E140" s="410">
        <f>Scenarios!E62</f>
        <v>9.7996531085809089</v>
      </c>
      <c r="F140" s="411">
        <f>E22</f>
        <v>0.3</v>
      </c>
    </row>
    <row r="141" spans="1:6">
      <c r="B141" s="408" t="s">
        <v>312</v>
      </c>
      <c r="C141" s="409">
        <f>Scenarios!C63</f>
        <v>1.303868475</v>
      </c>
      <c r="D141" s="409">
        <f>Scenarios!D63</f>
        <v>11.030156477287187</v>
      </c>
      <c r="E141" s="410">
        <f>Scenarios!E63</f>
        <v>12.334024952287187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1.4933514423233794</v>
      </c>
      <c r="D144" s="409">
        <f>Scenarios!D66</f>
        <v>13.661532216014635</v>
      </c>
      <c r="E144" s="410">
        <f>Scenarios!E66</f>
        <v>15.154883658338015</v>
      </c>
      <c r="F144" s="411">
        <f>E24</f>
        <v>0.1174</v>
      </c>
    </row>
    <row r="145" spans="1:6">
      <c r="B145" s="408" t="s">
        <v>313</v>
      </c>
      <c r="C145" s="409">
        <f>Scenarios!C67</f>
        <v>1.617006241700399</v>
      </c>
      <c r="D145" s="409">
        <f>Scenarios!D67</f>
        <v>15.450178777004613</v>
      </c>
      <c r="E145" s="410">
        <f>Scenarios!E67</f>
        <v>17.067185018705011</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