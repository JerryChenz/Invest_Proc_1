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E30967-C0F2-48E7-90BF-05C4D92BA2A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<sst xmlns="http://schemas.openxmlformats.org/spreadsheetml/2006/main" count="836" uniqueCount="561">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</sst>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22.71</v>
      </c>
      <c r="D12" s="50"/>
      <c r="E12" s="48"/>
    </row>
    <row r="13" spans="1:10">
      <c r="B13" s="1" t="s">
        <v>489</v>
      </c>
      <c r="C13" s="32" t="str">
        <f>Market_currency</f>
        <v>CNY</v>
      </c>
      <c r="D13" s="48"/>
      <c r="E13" s="5"/>
    </row>
    <row r="14" spans="1:10">
      <c r="B14" s="4" t="s">
        <v>490</v>
      </c>
      <c r="C14" s="35">
        <f>投资主题!C12*Common_Shares/1000000</f>
        <v>471784.60887356999</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1" t="s">
        <v>493</v>
      </c>
      <c r="C18" s="371"/>
      <c r="D18" s="371"/>
      <c r="E18" s="371"/>
      <c r="F18" s="371"/>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1.6914540272505496E-2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1" t="s">
        <v>496</v>
      </c>
      <c r="C36" s="371"/>
      <c r="D36" s="371"/>
      <c r="E36" s="371"/>
      <c r="F36" s="371"/>
    </row>
    <row r="37" spans="1:6" ht="24.6" customHeight="1">
      <c r="B37" s="372" t="s">
        <v>330</v>
      </c>
      <c r="C37" s="372"/>
      <c r="D37" s="372"/>
      <c r="E37" s="372"/>
      <c r="F37" s="372"/>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3"/>
      <c r="D61" s="373"/>
      <c r="E61" s="373"/>
      <c r="F61" s="373"/>
    </row>
    <row r="62" spans="2:6">
      <c r="B62" s="47" t="s">
        <v>238</v>
      </c>
      <c r="C62" s="349">
        <f>Normalized_FCF!C17</f>
        <v>0</v>
      </c>
      <c r="D62" s="1" t="str">
        <f>Reporting_currency</f>
        <v>CNY</v>
      </c>
    </row>
    <row r="64" spans="2:6">
      <c r="B64" s="371" t="s">
        <v>504</v>
      </c>
      <c r="C64" s="371"/>
      <c r="D64" s="371"/>
      <c r="E64" s="371"/>
      <c r="F64" s="371"/>
    </row>
    <row r="65" spans="1:6">
      <c r="B65" s="371" t="s">
        <v>505</v>
      </c>
      <c r="C65" s="371"/>
      <c r="D65" s="371"/>
      <c r="E65" s="371"/>
      <c r="F65" s="371"/>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0.24312489268990922</v>
      </c>
      <c r="F69" s="314"/>
    </row>
    <row r="70" spans="1:6">
      <c r="B70" s="227" t="s">
        <v>438</v>
      </c>
      <c r="C70" s="92">
        <f>Normalized_FCF!C94</f>
        <v>4.6675473359753417E-2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1" t="s">
        <v>510</v>
      </c>
      <c r="C80" s="371"/>
      <c r="D80" s="371"/>
      <c r="E80" s="371"/>
      <c r="F80" s="371"/>
    </row>
    <row r="81" spans="1:6">
      <c r="B81" s="372" t="s">
        <v>248</v>
      </c>
      <c r="C81" s="372"/>
      <c r="D81" s="372"/>
      <c r="E81" s="372"/>
      <c r="F81" s="372"/>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1" t="s">
        <v>511</v>
      </c>
      <c r="C89" s="371"/>
      <c r="D89" s="371"/>
      <c r="E89" s="371"/>
      <c r="F89" s="371"/>
    </row>
    <row r="90" spans="1:6">
      <c r="B90" s="371" t="s">
        <v>512</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1" t="s">
        <v>514</v>
      </c>
      <c r="C97" s="371"/>
      <c r="D97" s="371"/>
      <c r="E97" s="371"/>
      <c r="F97" s="371"/>
    </row>
    <row r="98" spans="2:6">
      <c r="B98" s="1" t="s">
        <v>249</v>
      </c>
    </row>
    <row r="100" spans="2:6">
      <c r="B100" s="210" t="s">
        <v>497</v>
      </c>
    </row>
    <row r="101" spans="2:6">
      <c r="B101" s="371" t="s">
        <v>515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1" t="s">
        <v>520</v>
      </c>
      <c r="C116" s="371"/>
      <c r="D116" s="371"/>
      <c r="E116" s="371"/>
      <c r="F116" s="371"/>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5" t="s">
        <v>528</v>
      </c>
      <c r="C134" s="375"/>
      <c r="D134" s="375"/>
      <c r="E134" s="375"/>
      <c r="F134" s="375"/>
    </row>
    <row r="136" spans="1:6" ht="13.9">
      <c r="A136" s="222" t="s">
        <v>529</v>
      </c>
      <c r="B136" s="36"/>
      <c r="C136" s="36"/>
      <c r="D136" s="36"/>
      <c r="E136" s="36"/>
      <c r="F136" s="36"/>
    </row>
    <row r="138" spans="1:6">
      <c r="B138" s="376" t="s">
        <v>530</v>
      </c>
      <c r="C138" s="376"/>
      <c r="D138" s="376"/>
      <c r="E138" s="376"/>
      <c r="F138" s="376"/>
    </row>
    <row r="139" spans="1:6" ht="24.6" customHeight="1">
      <c r="B139" s="371" t="s">
        <v>531</v>
      </c>
      <c r="C139" s="371"/>
      <c r="D139" s="371"/>
      <c r="E139" s="371"/>
      <c r="F139" s="371"/>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7" t="s">
        <v>538</v>
      </c>
      <c r="C179" s="371"/>
      <c r="D179" s="371"/>
      <c r="E179" s="371"/>
      <c r="F179" s="371"/>
    </row>
    <row r="181" spans="1:6">
      <c r="B181" s="210" t="s">
        <v>539</v>
      </c>
    </row>
    <row r="182" spans="1:6">
      <c r="B182" s="373" t="s">
        <v>540</v>
      </c>
      <c r="C182" s="373"/>
      <c r="D182" s="373"/>
      <c r="E182" s="373"/>
      <c r="F182" s="373"/>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4" t="s">
        <v>547</v>
      </c>
      <c r="C191" s="374"/>
      <c r="D191" s="374"/>
      <c r="E191" s="374"/>
      <c r="F191" s="374"/>
    </row>
    <row r="192" spans="1:6">
      <c r="B192" s="374" t="s">
        <v>548</v>
      </c>
      <c r="C192" s="374"/>
      <c r="D192" s="374"/>
      <c r="E192" s="374"/>
      <c r="F192" s="374"/>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22.71</v>
      </c>
      <c r="D12" s="50"/>
      <c r="E12" s="48"/>
    </row>
    <row r="13" spans="1:10">
      <c r="B13" s="1" t="s">
        <v>468</v>
      </c>
      <c r="C13" s="48" t="s">
        <v>394</v>
      </c>
      <c r="D13" s="48"/>
      <c r="E13" s="5"/>
    </row>
    <row r="14" spans="1:10">
      <c r="B14" s="4" t="s">
        <v>469</v>
      </c>
      <c r="C14" s="35">
        <f>Thesis!C12*Common_Shares/1000000</f>
        <v>471784.60887356999</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1" t="s">
        <v>472</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1.6914540272505496E-2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1" t="s">
        <v>473</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0.24312489268990922</v>
      </c>
      <c r="F69" s="314"/>
    </row>
    <row r="70" spans="1:6">
      <c r="B70" s="227" t="s">
        <v>438</v>
      </c>
      <c r="C70" s="92">
        <f>Normalized_FCF!C94</f>
        <v>4.6675473359753417E-2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1" t="s">
        <v>475</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1" t="s">
        <v>352</v>
      </c>
      <c r="C116" s="371"/>
      <c r="D116" s="371"/>
      <c r="E116" s="371"/>
      <c r="F116" s="371"/>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5" t="s">
        <v>478</v>
      </c>
      <c r="C134" s="375"/>
      <c r="D134" s="375"/>
      <c r="E134" s="375"/>
      <c r="F134" s="375"/>
    </row>
    <row r="136" spans="1:6" ht="13.9">
      <c r="A136" s="222" t="s">
        <v>479</v>
      </c>
      <c r="B136" s="36"/>
      <c r="C136" s="36"/>
      <c r="D136" s="36"/>
      <c r="E136" s="36"/>
      <c r="F136" s="36"/>
    </row>
    <row r="138" spans="1:6">
      <c r="B138" s="376" t="s">
        <v>353</v>
      </c>
      <c r="C138" s="376"/>
      <c r="D138" s="376"/>
      <c r="E138" s="376"/>
      <c r="F138" s="376"/>
    </row>
    <row r="139" spans="1:6">
      <c r="B139" s="371" t="s">
        <v>480</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7" t="s">
        <v>481</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4.6675473359753417E-2</v>
      </c>
      <c r="E94" s="268"/>
      <c r="G94" s="23">
        <f t="shared" ref="G94:Q94" si="39">IF(G$4="","",(G90*(1-dividend_tax_rate))/Market_Price)</f>
        <v>4.6675473359753417E-2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0.24312489268990922</v>
      </c>
      <c r="D126" s="27"/>
      <c r="E126" s="265"/>
      <c r="F126" s="27"/>
      <c r="G126" s="77">
        <f t="shared" ref="G126" si="50">IF(G$4="","",G125/Market_Price)</f>
        <v>0.29138508847972994</v>
      </c>
      <c r="H126" s="77">
        <f t="shared" ref="H126" si="51">IF(H$4="","",H125/Market_Price)</f>
        <v>0.29272892205987522</v>
      </c>
      <c r="I126" s="77">
        <f t="shared" ref="I126" si="52">IF(I$4="","",I125/Market_Price)</f>
        <v>0.29661416961887566</v>
      </c>
      <c r="J126" s="77">
        <f t="shared" ref="J126" si="53">IF(J$4="","",J125/Market_Price)</f>
        <v>0.31704934240464916</v>
      </c>
      <c r="K126" s="77">
        <f t="shared" ref="K126" si="54">IF(K$4="","",K125/Market_Price)</f>
        <v>0.3009063825523049</v>
      </c>
      <c r="L126" s="77">
        <f t="shared" ref="L126" si="55">IF(L$4="","",L125/Market_Price)</f>
        <v>0.26225315042686492</v>
      </c>
      <c r="M126" s="77">
        <f t="shared" ref="M126" si="56">IF(M$4="","",M125/Market_Price)</f>
        <v>0.22650378581688083</v>
      </c>
      <c r="N126" s="77">
        <f t="shared" ref="N126" si="57">IF(N$4="","",N125/Market_Price)</f>
        <v>0.19662998380021321</v>
      </c>
      <c r="O126" s="77">
        <f t="shared" ref="O126" si="58">IF(O$4="","",O125/Market_Price)</f>
        <v>0.22167531121818856</v>
      </c>
      <c r="P126" s="77">
        <f t="shared" ref="P126" si="59">IF(P$4="","",P125/Market_Price)</f>
        <v>0.20143302306300367</v>
      </c>
      <c r="Q126" s="77" t="str">
        <f t="shared" ref="Q126" si="60">IF(Q$4="","",Q125/Market_Price)</f>
        <v/>
      </c>
    </row>
    <row r="127" spans="1:17" ht="15.75" customHeight="1">
      <c r="B127" s="2" t="s">
        <v>375</v>
      </c>
      <c r="C127" s="169"/>
      <c r="G127" s="23">
        <f>IF(G$4="","",(Data!C47*$C$3)/(Market_Price*Common_Shares))</f>
        <v>0.16425080119721799</v>
      </c>
      <c r="H127" s="23">
        <f>IF(H$4="","",(Data!D47*$C$3)/(Market_Price*Common_Shares))</f>
        <v>0.1645962978432175</v>
      </c>
      <c r="I127" s="23">
        <f>IF(I$4="","",(Data!E47*$C$3)/(Market_Price*Common_Shares))</f>
        <v>0.19588176100243518</v>
      </c>
      <c r="J127" s="23">
        <f>IF(J$4="","",(Data!F47*$C$3)/(Market_Price*Common_Shares))</f>
        <v>0.17765734282879334</v>
      </c>
      <c r="K127" s="23">
        <f>IF(K$4="","",(Data!G47*$C$3)/(Market_Price*Common_Shares))</f>
        <v>0.14345741409749405</v>
      </c>
      <c r="L127" s="23">
        <f>IF(L$4="","",(Data!H47*$C$3)/(Market_Price*Common_Shares))</f>
        <v>0.14138231461017195</v>
      </c>
      <c r="M127" s="23">
        <f>IF(M$4="","",(Data!I47*$C$3)/(Market_Price*Common_Shares))</f>
        <v>0.12981559560882705</v>
      </c>
      <c r="N127" s="23">
        <f>IF(N$4="","",(Data!J47*$C$3)/(Market_Price*Common_Shares))</f>
        <v>0.12237575985754967</v>
      </c>
      <c r="O127" s="23">
        <f>IF(O$4="","",(Data!K47*$C$3)/(Market_Price*Common_Shares))</f>
        <v>0.11515212446143762</v>
      </c>
      <c r="P127" s="23">
        <f>IF(P$4="","",(Data!L47*$C$3)/(Market_Price*Common_Shares))</f>
        <v>0.10735831361886015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-22.71</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22.71</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22.71</v>
      </c>
      <c r="D86" t="str">
        <f>Market_currency</f>
        <v>CNY</v>
      </c>
    </row>
    <row r="87" spans="2:8" ht="13.15">
      <c r="B87" s="100" t="s">
        <v>293</v>
      </c>
      <c r="C87" s="237">
        <f ca="1">IRR(OFFSET($I$3, 0, 0, $C$76 + 1, 1))</f>
        <v>1.6914540272505496E-2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