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9CDCD01-9076-4351-9AE4-EE1D38256C3C}"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D58" i="3" s="1"/>
  <c r="C62" i="4"/>
  <c r="G10" i="2" s="1"/>
  <c r="J9" i="2"/>
  <c r="F62" i="4"/>
  <c r="J10" i="2" s="1"/>
  <c r="K45" i="4"/>
  <c r="L45" i="4"/>
  <c r="C70" i="3"/>
  <c r="C69" i="2" s="1"/>
  <c r="C108" i="6"/>
  <c r="J45" i="4"/>
  <c r="I45" i="4"/>
  <c r="G35" i="3"/>
  <c r="G40"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I94" i="2"/>
  <c r="P94" i="2"/>
  <c r="Q92" i="2"/>
  <c r="Q94" i="2"/>
  <c r="J94" i="2"/>
  <c r="K94" i="2"/>
  <c r="N94" i="2"/>
  <c r="L94" i="2"/>
  <c r="O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D76" i="3" s="1"/>
  <c r="C73" i="3"/>
  <c r="C74" i="3" s="1"/>
  <c r="F1" i="3"/>
  <c r="H1" i="2"/>
  <c r="E1" i="4"/>
  <c r="F1" i="4" s="1"/>
  <c r="G1" i="4" s="1"/>
  <c r="H1" i="4" s="1"/>
  <c r="I1" i="4" s="1"/>
  <c r="J1" i="4" s="1"/>
  <c r="K1" i="4" s="1"/>
  <c r="L1" i="4" s="1"/>
  <c r="M1" i="4" s="1"/>
  <c r="D74" i="3" l="1"/>
  <c r="C6" i="9"/>
  <c r="D75" i="3" l="1"/>
  <c r="Q117" i="2"/>
  <c r="C48" i="2" l="1"/>
  <c r="D66" i="3"/>
  <c r="C73" i="2"/>
  <c r="C41" i="3"/>
  <c r="C8" i="8" l="1"/>
  <c r="C109" i="6" s="1"/>
  <c r="C110" i="6" s="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G43" i="2"/>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1" i="2" l="1"/>
  <c r="O117" i="2" s="1"/>
  <c r="O118" i="2"/>
  <c r="P121" i="2"/>
  <c r="P117" i="2" s="1"/>
  <c r="P118" i="2"/>
  <c r="O81" i="2"/>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18" i="2"/>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l="1"/>
  <c r="H117" i="2" s="1"/>
  <c r="H118" i="2"/>
  <c r="C172" i="6"/>
  <c r="C148" i="6"/>
  <c r="C99" i="9"/>
  <c r="C165" i="6" s="1"/>
  <c r="D173" i="6"/>
  <c r="D32" i="6" s="1"/>
  <c r="C32" i="6"/>
  <c r="E26" i="6"/>
  <c r="C93" i="9"/>
  <c r="C151" i="6"/>
  <c r="C149" i="6"/>
  <c r="H16" i="2"/>
  <c r="H19" i="2" s="1"/>
  <c r="H92" i="2" s="1"/>
  <c r="H81" i="2"/>
  <c r="F99" i="9" l="1"/>
  <c r="C167" i="6" s="1"/>
  <c r="D165" i="6"/>
  <c r="D31" i="6" s="1"/>
  <c r="C31" i="6"/>
  <c r="C29" i="6"/>
  <c r="D149" i="6"/>
  <c r="D29" i="6" s="1"/>
  <c r="H115" i="2"/>
  <c r="F93" i="9"/>
  <c r="C159" i="6" s="1"/>
  <c r="C157" i="6"/>
  <c r="H125" i="2"/>
  <c r="H126" i="2" s="1"/>
  <c r="H84" i="2"/>
  <c r="G76" i="2"/>
  <c r="D54" i="3"/>
  <c r="D50" i="3"/>
  <c r="G13" i="2"/>
  <c r="G118" i="2" s="1"/>
  <c r="G98" i="2" l="1"/>
  <c r="G121" i="2"/>
  <c r="C30" i="6"/>
  <c r="D157" i="6"/>
  <c r="D30" i="6" s="1"/>
  <c r="H87" i="2"/>
  <c r="G16" i="2"/>
  <c r="G19" i="2" s="1"/>
  <c r="G92" i="2" s="1"/>
  <c r="G81" i="2"/>
  <c r="D74" i="6" s="1"/>
  <c r="G117" i="2" l="1"/>
  <c r="D73" i="6"/>
  <c r="G115" i="2"/>
  <c r="G125" i="2"/>
  <c r="G126" i="2" s="1"/>
  <c r="G84" i="2"/>
  <c r="J76" i="2"/>
  <c r="I76" i="2"/>
  <c r="N76" i="2"/>
  <c r="L76" i="2"/>
  <c r="J13" i="2"/>
  <c r="M76" i="2"/>
  <c r="L13" i="2"/>
  <c r="K13" i="2"/>
  <c r="N13" i="2"/>
  <c r="M13" i="2"/>
  <c r="I13" i="2"/>
  <c r="K76" i="2"/>
  <c r="M118" i="2" l="1"/>
  <c r="M121" i="2"/>
  <c r="M117" i="2" s="1"/>
  <c r="N98" i="2"/>
  <c r="N121" i="2"/>
  <c r="N117" i="2" s="1"/>
  <c r="N118" i="2"/>
  <c r="J121" i="2"/>
  <c r="J117" i="2" s="1"/>
  <c r="J118" i="2"/>
  <c r="K16" i="2"/>
  <c r="K19" i="2" s="1"/>
  <c r="K92" i="2" s="1"/>
  <c r="K118" i="2"/>
  <c r="K121" i="2"/>
  <c r="K117" i="2" s="1"/>
  <c r="I121" i="2"/>
  <c r="I117" i="2" s="1"/>
  <c r="I118" i="2"/>
  <c r="L121" i="2"/>
  <c r="L117" i="2" s="1"/>
  <c r="L118"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74" i="6" s="1"/>
  <c r="C98" i="2"/>
  <c r="J87" i="2"/>
  <c r="C82" i="2"/>
  <c r="C125" i="2" l="1"/>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<sst xmlns="http://schemas.openxmlformats.org/spreadsheetml/2006/main" count="687" uniqueCount="467">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</sst>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45794</v>
      </c>
      <c r="D1" s="316" t="s">
        <v>461</v>
      </c>
      <c r="E1" s="292" t="s">
        <v>350</v>
      </c>
      <c r="F1" s="254" t="s">
        <v>462</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437</v>
      </c>
    </row>
    <row r="6" spans="1:10">
      <c r="B6" s="4" t="s">
        <v>0</v>
      </c>
      <c r="C6" s="51">
        <v>20774311267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438</v>
      </c>
      <c r="D11" s="49" t="s">
        <v>463</v>
      </c>
      <c r="E11" s="34"/>
    </row>
    <row r="12" spans="1:10">
      <c r="B12" s="4" t="s">
        <v>94</v>
      </c>
      <c r="C12" s="50">
        <v>25.14</v>
      </c>
      <c r="D12" s="50"/>
      <c r="E12" s="48"/>
    </row>
    <row r="13" spans="1:10">
      <c r="B13" s="1" t="s">
        <v>413</v>
      </c>
      <c r="C13" s="48" t="s">
        <v>411</v>
      </c>
      <c r="D13" s="48"/>
      <c r="E13" s="5"/>
    </row>
    <row r="14" spans="1:10">
      <c r="B14" s="4" t="s">
        <v>417</v>
      </c>
      <c r="C14" s="35">
        <f>Thesis!C12*Common_Shares/1000000</f>
        <v>522266.18525238003</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440</v>
      </c>
    </row>
    <row r="22" spans="2:6">
      <c r="B22" s="2" t="s">
        <v>56</v>
      </c>
      <c r="C22" s="48" t="s">
        <v>439</v>
      </c>
      <c r="D22" s="1" t="str">
        <f>IF(valuation_method="DDM","DDM Terminal Value","")</f>
        <v>DDM Terminal Value</v>
      </c>
      <c r="E22" s="313">
        <v>0.02</v>
      </c>
    </row>
    <row r="23" spans="2:6">
      <c r="B23" s="1" t="s">
        <v>431</v>
      </c>
      <c r="C23" s="262" t="s">
        <v>464</v>
      </c>
    </row>
    <row r="24" spans="2:6">
      <c r="B24" s="1" t="s">
        <v>432</v>
      </c>
      <c r="C24" s="262" t="s">
        <v>464</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26.888151196428591</v>
      </c>
      <c r="D26" s="1" t="s">
        <v>396</v>
      </c>
      <c r="E26" s="301">
        <f ca="1">Scenarios!C87</f>
        <v>6.392228128073163E-2</v>
      </c>
    </row>
    <row r="27" spans="2:6">
      <c r="D27" s="5"/>
      <c r="E27" s="5"/>
    </row>
    <row r="28" spans="2:6">
      <c r="B28" s="45" t="s">
        <v>430</v>
      </c>
      <c r="C28" s="309" t="str">
        <f>C145&amp;" ("&amp;Market_currency&amp;")"</f>
        <v>601166.SS (CNY)</v>
      </c>
      <c r="D28" s="309" t="str">
        <f>IF(D11="","",D145&amp;" ("&amp;D13&amp;")")</f>
        <v/>
      </c>
      <c r="E28" s="305" t="s">
        <v>426</v>
      </c>
      <c r="F28" s="303">
        <v>3</v>
      </c>
    </row>
    <row r="29" spans="2:6">
      <c r="B29" s="1" t="s">
        <v>422</v>
      </c>
      <c r="C29" s="310">
        <f>C149</f>
        <v>12.726109311153213</v>
      </c>
      <c r="D29" s="310" t="str">
        <f>D149</f>
        <v/>
      </c>
      <c r="E29" s="306" t="s">
        <v>421</v>
      </c>
      <c r="F29" s="302">
        <v>0.35</v>
      </c>
    </row>
    <row r="30" spans="2:6">
      <c r="B30" s="1" t="s">
        <v>423</v>
      </c>
      <c r="C30" s="311">
        <f>C157</f>
        <v>15.835853412571439</v>
      </c>
      <c r="D30" s="311" t="str">
        <f>D157</f>
        <v/>
      </c>
      <c r="E30" s="307" t="s">
        <v>434</v>
      </c>
      <c r="F30" s="312">
        <v>0.25</v>
      </c>
    </row>
    <row r="31" spans="2:6">
      <c r="B31" s="1" t="s">
        <v>424</v>
      </c>
      <c r="C31" s="311">
        <f>C165</f>
        <v>25.409202896038835</v>
      </c>
      <c r="D31" s="311" t="str">
        <f>D165</f>
        <v/>
      </c>
      <c r="E31" s="307" t="s">
        <v>433</v>
      </c>
      <c r="F31" s="312">
        <v>0.06</v>
      </c>
    </row>
    <row r="32" spans="2:6">
      <c r="B32" s="1" t="s">
        <v>425</v>
      </c>
      <c r="C32" s="311">
        <f>C173</f>
        <v>23.632551844105855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6033.25</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343835</v>
      </c>
      <c r="D51" s="1" t="str">
        <f>Reporting_currency</f>
        <v>CNY</v>
      </c>
      <c r="E51" s="286"/>
      <c r="F51" s="286"/>
    </row>
    <row r="52" spans="2:6">
      <c r="B52" s="47" t="s">
        <v>338</v>
      </c>
      <c r="C52" s="350">
        <f>Normalized_FCF!C47</f>
        <v>-195728</v>
      </c>
      <c r="D52" s="1" t="str">
        <f>Reporting_currency</f>
        <v>CNY</v>
      </c>
      <c r="E52" s="286"/>
      <c r="F52" s="286"/>
    </row>
    <row r="53" spans="2:6">
      <c r="B53" s="47" t="s">
        <v>237</v>
      </c>
      <c r="C53" s="349">
        <f>Normalized_FCF!C12</f>
        <v>148107</v>
      </c>
      <c r="D53" s="1" t="str">
        <f>Reporting_currency</f>
        <v>CNY</v>
      </c>
    </row>
    <row r="55" spans="2:6">
      <c r="B55" s="1" t="s">
        <v>245</v>
      </c>
    </row>
    <row r="56" spans="2:6">
      <c r="B56" s="47" t="s">
        <v>264</v>
      </c>
      <c r="C56" s="349">
        <f>Normalized_FCF!C15</f>
        <v>-902.60509486250271</v>
      </c>
      <c r="D56" s="1" t="str">
        <f>Reporting_currency</f>
        <v>CNY</v>
      </c>
    </row>
    <row r="58" spans="2:6">
      <c r="B58" s="361" t="s">
        <v>240</v>
      </c>
      <c r="C58" s="361"/>
      <c r="D58" s="361"/>
      <c r="E58" s="361"/>
      <c r="F58" s="361"/>
    </row>
    <row r="59" spans="2:6">
      <c r="B59" s="47" t="s">
        <v>238</v>
      </c>
      <c r="C59" s="349">
        <f>Normalized_FCF!C14</f>
        <v>-38535.0625</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137471</v>
      </c>
      <c r="D67" s="1" t="str">
        <f>Reporting_currency</f>
        <v>CNY</v>
      </c>
    </row>
    <row r="68" spans="1:6">
      <c r="B68" s="47" t="s">
        <v>247</v>
      </c>
      <c r="C68" s="349">
        <f>Normalized_FCF!C19</f>
        <v>114702.58240513749</v>
      </c>
      <c r="D68" s="1" t="str">
        <f>Reporting_currency</f>
        <v>CNY</v>
      </c>
    </row>
    <row r="69" spans="1:6">
      <c r="B69" s="227" t="s">
        <v>387</v>
      </c>
      <c r="C69" s="92">
        <f>Normalized_FCF!C126</f>
        <v>0.21962475389768649</v>
      </c>
      <c r="F69" s="314"/>
    </row>
    <row r="70" spans="1:6">
      <c r="B70" s="227" t="s">
        <v>458</v>
      </c>
      <c r="C70" s="92">
        <f>Normalized_FCF!C94</f>
        <v>4.2163882259347654E-2</v>
      </c>
      <c r="E70" s="47" t="s">
        <v>449</v>
      </c>
      <c r="F70" s="315">
        <f>Normalized_FCF!C92</f>
        <v>0.19198146616473824</v>
      </c>
    </row>
    <row r="72" spans="1:6">
      <c r="B72" s="210" t="s">
        <v>451</v>
      </c>
      <c r="C72" s="323" t="s">
        <v>453</v>
      </c>
      <c r="D72" s="323" t="s">
        <v>454</v>
      </c>
    </row>
    <row r="73" spans="1:6">
      <c r="B73" s="47" t="s">
        <v>452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92.022771883130645</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9516669</v>
      </c>
      <c r="D102" s="1" t="str">
        <f>Reporting_currency</f>
        <v>CNY</v>
      </c>
    </row>
    <row r="103" spans="2:6">
      <c r="B103" s="47" t="s">
        <v>280</v>
      </c>
      <c r="C103" s="223">
        <f>C102*scaling_factor*Exchange_Rate/Common_Shares</f>
        <v>458.09793054931413</v>
      </c>
      <c r="D103" s="1" t="str">
        <f>Market_currency</f>
        <v>CNY</v>
      </c>
    </row>
    <row r="104" spans="2:6">
      <c r="B104" s="296" t="s">
        <v>401</v>
      </c>
      <c r="C104" s="325" t="str">
        <f>IF(BS!G31/BS!G27&gt;300%,"nm",BS!G31/BS!G27)</f>
        <v>nm</v>
      </c>
    </row>
    <row r="105" spans="2:6">
      <c r="B105" s="296" t="s">
        <v>403</v>
      </c>
      <c r="C105" s="326" t="str">
        <f>IF(BS!C50&gt;30,"nm",BS!C50)</f>
        <v>nm</v>
      </c>
    </row>
    <row r="107" spans="2:6">
      <c r="B107" s="1" t="s">
        <v>253</v>
      </c>
    </row>
    <row r="108" spans="2:6">
      <c r="B108" s="47" t="s">
        <v>263</v>
      </c>
      <c r="C108" s="349">
        <f>BS!C66</f>
        <v>6736706</v>
      </c>
      <c r="D108" s="1" t="str">
        <f>Reporting_currency</f>
        <v>CNY</v>
      </c>
    </row>
    <row r="109" spans="2:6">
      <c r="B109" s="47" t="s">
        <v>265</v>
      </c>
      <c r="C109" s="349">
        <f>DCF!C8</f>
        <v>0</v>
      </c>
      <c r="D109" s="1" t="str">
        <f>Reporting_currency</f>
        <v>CNY</v>
      </c>
    </row>
    <row r="110" spans="2:6">
      <c r="B110" s="47" t="s">
        <v>281</v>
      </c>
      <c r="C110" s="223">
        <f>C109*scaling_factor*Exchange_Rate/Common_Shares</f>
        <v>0</v>
      </c>
      <c r="D110" s="1" t="str">
        <f>Market_currency</f>
        <v>CNY</v>
      </c>
    </row>
    <row r="112" spans="2:6">
      <c r="B112" s="1" t="s">
        <v>255</v>
      </c>
    </row>
    <row r="113" spans="1:6">
      <c r="B113" s="47" t="s">
        <v>256</v>
      </c>
      <c r="C113" s="349">
        <f>DCF!C9</f>
        <v>2145886.1</v>
      </c>
      <c r="D113" s="1" t="str">
        <f>Reporting_currency</f>
        <v>CNY</v>
      </c>
    </row>
    <row r="114" spans="1:6">
      <c r="B114" s="47" t="s">
        <v>282</v>
      </c>
      <c r="C114" s="223">
        <f>C113*scaling_factor*Exchange_Rate/Common_Shares</f>
        <v>103.2951741417652</v>
      </c>
      <c r="D114" s="1" t="str">
        <f>Market_currency</f>
        <v>CNY</v>
      </c>
    </row>
    <row r="116" spans="1:6" ht="24.6" customHeight="1">
      <c r="B116" s="360" t="s">
        <v>363</v>
      </c>
      <c r="C116" s="360"/>
      <c r="D116" s="360"/>
      <c r="E116" s="360"/>
      <c r="F116" s="360"/>
    </row>
    <row r="118" spans="1:6">
      <c r="B118" s="47" t="s">
        <v>450</v>
      </c>
      <c r="C118" s="223">
        <f>IF(valuation_method="DCF",DCF!C12,DDM!C7)</f>
        <v>17.666666666666668</v>
      </c>
      <c r="D118" s="1" t="str">
        <f>Market_currency</f>
        <v>CNY</v>
      </c>
    </row>
    <row r="119" spans="1:6">
      <c r="B119" s="296" t="s">
        <v>402</v>
      </c>
      <c r="C119" s="223">
        <f>BS!D47</f>
        <v>-92.956751979911445</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257</v>
      </c>
      <c r="C132" s="217">
        <f>Scenarios!C60</f>
        <v>26.888151196428591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1.06</v>
      </c>
      <c r="D143" s="212" t="str">
        <f>Market_currency</f>
        <v>CNY</v>
      </c>
    </row>
    <row r="145" spans="2:4">
      <c r="B145" s="210" t="s">
        <v>405</v>
      </c>
      <c r="C145" s="241" t="str">
        <f>C11</f>
        <v>601166.SS</v>
      </c>
      <c r="D145" s="241" t="str">
        <f>IF(D11="","",D11)</f>
        <v/>
      </c>
    </row>
    <row r="146" spans="2:4">
      <c r="B146" s="1" t="s">
        <v>404</v>
      </c>
      <c r="C146" s="297">
        <f>F29</f>
        <v>0.35</v>
      </c>
    </row>
    <row r="147" spans="2:4">
      <c r="B147" s="212" t="str">
        <f>"PV("&amp;C141&amp;" yrs of Dividends)"</f>
        <v>PV(3 yrs of Dividends)</v>
      </c>
      <c r="C147" s="216">
        <f>Scenarios!C81</f>
        <v>1.7976324747243817</v>
      </c>
    </row>
    <row r="148" spans="2:4">
      <c r="B148" s="212" t="str">
        <f>"+ PV(Equity Value realized at year "&amp;C141&amp;")"</f>
        <v>+ PV(Equity Value realized at year 3)</v>
      </c>
      <c r="C148" s="216">
        <f>Scenarios!C82</f>
        <v>10.928476836428832</v>
      </c>
    </row>
    <row r="149" spans="2:4">
      <c r="B149" s="80" t="s">
        <v>259</v>
      </c>
      <c r="C149" s="215">
        <f>Scenarios!C83</f>
        <v>12.726109311153213</v>
      </c>
      <c r="D149" s="300" t="str">
        <f>IF($D$11="","",C149*$E$25)</f>
        <v/>
      </c>
    </row>
    <row r="150" spans="2:4">
      <c r="B150" s="259" t="s">
        <v>413</v>
      </c>
      <c r="C150" s="298" t="str">
        <f>Market_currency</f>
        <v>CNY</v>
      </c>
      <c r="D150" s="298" t="str">
        <f>IF($D$11="","",D$13)</f>
        <v/>
      </c>
    </row>
    <row r="151" spans="2:4">
      <c r="B151" s="214" t="s">
        <v>261</v>
      </c>
      <c r="C151" s="92">
        <f>Scenarios!F83</f>
        <v>0.52670195811590226</v>
      </c>
    </row>
    <row r="153" spans="2:4">
      <c r="B153" s="210" t="s">
        <v>408</v>
      </c>
    </row>
    <row r="154" spans="2:4">
      <c r="B154" s="1" t="s">
        <v>407</v>
      </c>
      <c r="C154" s="297">
        <f>Scenarios!C90</f>
        <v>0.25</v>
      </c>
    </row>
    <row r="155" spans="2:4">
      <c r="B155" s="212" t="str">
        <f>"PV("&amp;C141&amp;" yrs of Dividends)"</f>
        <v>PV(3 yrs of Dividends)</v>
      </c>
      <c r="C155" s="216">
        <f>Scenarios!C91</f>
        <v>2.0691199999999998</v>
      </c>
    </row>
    <row r="156" spans="2:4">
      <c r="B156" s="212" t="str">
        <f>"+ PV(Equity Value realized at year "&amp;C141&amp;")"</f>
        <v>+ PV(Equity Value realized at year 3)</v>
      </c>
      <c r="C156" s="216">
        <f>Scenarios!C92</f>
        <v>13.766733412571439</v>
      </c>
    </row>
    <row r="157" spans="2:4">
      <c r="B157" s="80" t="s">
        <v>259</v>
      </c>
      <c r="C157" s="215">
        <f>Scenarios!C93</f>
        <v>15.835853412571439</v>
      </c>
      <c r="D157" s="300" t="str">
        <f>IF($D$11="","",C157*$E$25)</f>
        <v/>
      </c>
    </row>
    <row r="158" spans="2:4">
      <c r="B158" s="259" t="s">
        <v>413</v>
      </c>
      <c r="C158" s="298" t="str">
        <f>Market_currency</f>
        <v>CNY</v>
      </c>
      <c r="D158" s="298" t="str">
        <f>IF($D$11="","",D$13)</f>
        <v/>
      </c>
    </row>
    <row r="159" spans="2:4">
      <c r="B159" s="214" t="s">
        <v>261</v>
      </c>
      <c r="C159" s="92">
        <f>Scenarios!F93</f>
        <v>0.41104714500880857</v>
      </c>
    </row>
    <row r="161" spans="2:4">
      <c r="B161" s="210" t="s">
        <v>397</v>
      </c>
    </row>
    <row r="162" spans="2:4">
      <c r="B162" s="1" t="s">
        <v>406</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398</v>
      </c>
      <c r="C165" s="215">
        <f>Scenarios!C99</f>
        <v>25.409202896038835</v>
      </c>
      <c r="D165" s="300" t="str">
        <f>IF($D$11="","",C165*$E$25)</f>
        <v/>
      </c>
    </row>
    <row r="166" spans="2:4">
      <c r="B166" s="259" t="s">
        <v>413</v>
      </c>
      <c r="C166" s="298" t="str">
        <f>Market_currency</f>
        <v>CNY</v>
      </c>
      <c r="D166" s="298" t="str">
        <f>IF($D$11="","",D$13)</f>
        <v/>
      </c>
    </row>
    <row r="167" spans="2:4">
      <c r="B167" s="214" t="s">
        <v>261</v>
      </c>
      <c r="C167" s="92">
        <f>Scenarios!F99</f>
        <v>5.5003718537040891E-2</v>
      </c>
    </row>
    <row r="169" spans="2:4">
      <c r="B169" s="210" t="s">
        <v>429</v>
      </c>
    </row>
    <row r="170" spans="2:4">
      <c r="B170" s="1" t="s">
        <v>420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398</v>
      </c>
      <c r="C173" s="215">
        <f>Scenarios!C105</f>
        <v>23.632551844105855</v>
      </c>
      <c r="D173" s="300" t="str">
        <f>IF($D$11="","",C173*$E$25)</f>
        <v/>
      </c>
    </row>
    <row r="174" spans="2:4">
      <c r="B174" s="259" t="s">
        <v>413</v>
      </c>
      <c r="C174" s="298" t="str">
        <f>Market_currency</f>
        <v>CNY</v>
      </c>
      <c r="D174" s="298" t="str">
        <f>IF($D$11="","",D$13)</f>
        <v/>
      </c>
    </row>
    <row r="175" spans="2:4">
      <c r="B175" s="214" t="s">
        <v>261</v>
      </c>
      <c r="C175" s="92">
        <f>Scenarios!F105</f>
        <v>0.1210155297728992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370</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369</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465</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171</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167</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167</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f>6731</f>
        <v>6731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455</v>
      </c>
      <c r="C15" s="19">
        <v>0</v>
      </c>
      <c r="D15" s="261">
        <v>0.4</v>
      </c>
      <c r="F15" s="4" t="s">
        <v>78</v>
      </c>
      <c r="G15" s="19">
        <f>177518+5608859</f>
        <v>5786377</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923189+1896064+630916+4011+114913</f>
        <v>3569093</v>
      </c>
      <c r="H17" s="261">
        <v>0.6</v>
      </c>
    </row>
    <row r="18" spans="2:8" ht="15" customHeight="1">
      <c r="B18" s="4" t="s">
        <v>172</v>
      </c>
      <c r="C18" s="19">
        <v>0</v>
      </c>
      <c r="D18" s="261">
        <v>0.6</v>
      </c>
      <c r="F18" s="4" t="s">
        <v>180</v>
      </c>
      <c r="G18" s="19">
        <v>0</v>
      </c>
      <c r="H18" s="261">
        <v>0.1</v>
      </c>
    </row>
    <row r="19" spans="2:8" ht="15" customHeight="1">
      <c r="B19" s="4" t="s">
        <v>26</v>
      </c>
      <c r="C19" s="19">
        <f>28869+1862+9314</f>
        <v>40045</v>
      </c>
      <c r="D19" s="261">
        <v>0.1</v>
      </c>
      <c r="F19" s="4" t="s">
        <v>181</v>
      </c>
      <c r="G19" s="19">
        <v>3917</v>
      </c>
      <c r="H19" s="261">
        <v>0.1</v>
      </c>
    </row>
    <row r="20" spans="2:8" ht="15" customHeight="1">
      <c r="B20" s="4" t="s">
        <v>18</v>
      </c>
      <c r="C20" s="19">
        <v>0</v>
      </c>
      <c r="D20" s="261">
        <v>0.05</v>
      </c>
      <c r="F20" s="4" t="s">
        <v>178</v>
      </c>
      <c r="G20" s="19">
        <v>0</v>
      </c>
      <c r="H20" s="261">
        <v>0.2</v>
      </c>
    </row>
    <row r="21" spans="2:8" ht="15" customHeight="1">
      <c r="B21" s="4" t="s">
        <v>19</v>
      </c>
      <c r="C21" s="19">
        <v>1122</v>
      </c>
      <c r="D21" s="261">
        <v>0.05</v>
      </c>
      <c r="F21" s="1" t="s">
        <v>179</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199</v>
      </c>
      <c r="C26" s="182" t="s">
        <v>135</v>
      </c>
      <c r="F26" s="184" t="s">
        <v>195</v>
      </c>
      <c r="G26" s="185" t="s">
        <v>135</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243</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202</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191451</v>
      </c>
      <c r="H35" s="200">
        <f>D12+D24</f>
        <v>64593.7</v>
      </c>
    </row>
    <row r="36" spans="2:8" ht="15" customHeight="1">
      <c r="B36" s="4" t="s">
        <v>13</v>
      </c>
      <c r="C36" s="19">
        <v>0</v>
      </c>
      <c r="F36" s="190" t="s">
        <v>196</v>
      </c>
      <c r="G36" s="191">
        <f>C4+C15</f>
        <v>0</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40045</v>
      </c>
      <c r="H39" s="188">
        <f>C7*D7+C17*D17+C19*D19+C20*D20</f>
        <v>4004.5</v>
      </c>
    </row>
    <row r="40" spans="2:8" ht="15" customHeight="1">
      <c r="B40" s="80" t="s">
        <v>203</v>
      </c>
      <c r="C40" s="81">
        <f>SUM(C36:C39)</f>
        <v>0</v>
      </c>
      <c r="F40" s="199" t="s">
        <v>137</v>
      </c>
      <c r="G40" s="193">
        <f>G12+G24</f>
        <v>10316447</v>
      </c>
      <c r="H40" s="200">
        <f>H12+H24</f>
        <v>7630283.8000000007</v>
      </c>
    </row>
    <row r="41" spans="2:8" ht="15" customHeight="1">
      <c r="B41" s="4" t="s">
        <v>17</v>
      </c>
      <c r="C41" s="21">
        <f>C42-C40</f>
        <v>0</v>
      </c>
      <c r="F41" s="190" t="s">
        <v>190</v>
      </c>
      <c r="G41" s="191">
        <f>C70</f>
        <v>6736706</v>
      </c>
      <c r="H41" s="200">
        <f>H40-H42</f>
        <v>5484397.7000000011</v>
      </c>
    </row>
    <row r="42" spans="2:8" ht="15" customHeight="1">
      <c r="B42" s="83" t="s">
        <v>22</v>
      </c>
      <c r="C42" s="84">
        <v>0</v>
      </c>
      <c r="F42" s="201" t="s">
        <v>191</v>
      </c>
      <c r="G42" s="202">
        <f>C82</f>
        <v>3579741</v>
      </c>
      <c r="H42" s="203">
        <f>D82</f>
        <v>2145886.1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175</v>
      </c>
      <c r="C51" s="181"/>
      <c r="D51" s="92">
        <f>G29/G32</f>
        <v>8.3928108171586746E-2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3.1513285383727427E-2</v>
      </c>
      <c r="D54" s="92">
        <f>Normalized_FCF!G8/G35</f>
        <v>-3.7659766728823565E-3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273</v>
      </c>
      <c r="C61" s="235" t="s">
        <v>136</v>
      </c>
      <c r="D61" s="197" t="s">
        <v>95</v>
      </c>
      <c r="F61" s="253"/>
    </row>
    <row r="62" spans="2:8" ht="15" customHeight="1">
      <c r="B62" s="1" t="s">
        <v>244</v>
      </c>
      <c r="C62" s="92">
        <f>IF(G28&lt;=0,0,G28/G29)</f>
        <v>1.3270091664890215E-2</v>
      </c>
      <c r="D62" s="92">
        <f>G28/G29</f>
        <v>1.3270091664890215E-2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6736706</v>
      </c>
      <c r="D66" s="76">
        <f>C66-D75</f>
        <v>0</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6736706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-7052.6474952516664</v>
      </c>
      <c r="D73" s="349">
        <f>(Normalized_FCF!C25+Normalized_FCF!C35-Normalized_FCF!C91)/12</f>
        <v>-7000.4599952516664</v>
      </c>
      <c r="F73" s="1" t="s">
        <v>348</v>
      </c>
    </row>
    <row r="74" spans="2:6" ht="15" customHeight="1">
      <c r="B74" s="257" t="s">
        <v>318</v>
      </c>
      <c r="C74" s="258">
        <f>-$C$66/C73</f>
        <v>955.20242639882679</v>
      </c>
      <c r="D74" s="258">
        <f>-$C$66/D73</f>
        <v>962.32333369084779</v>
      </c>
      <c r="F74" s="253" t="s">
        <v>316</v>
      </c>
    </row>
    <row r="75" spans="2:6" ht="15" customHeight="1">
      <c r="B75" s="80" t="s">
        <v>317</v>
      </c>
      <c r="C75" s="320"/>
      <c r="D75" s="321">
        <f>MAX(-D73*D76,G5)</f>
        <v>6736706</v>
      </c>
      <c r="F75" s="253" t="s">
        <v>349</v>
      </c>
    </row>
    <row r="76" spans="2:6" ht="15" customHeight="1">
      <c r="B76" s="259" t="s">
        <v>319</v>
      </c>
      <c r="C76" s="260"/>
      <c r="D76" s="290">
        <f>IF(valuation_method="DCF",IF(D74&lt;=3,1,IF(D74&gt;18,6,2)),-C66/D73)</f>
        <v>962.32333369084779</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3575824</v>
      </c>
      <c r="D79" s="76">
        <f>G7*H7+G17*H17</f>
        <v>2145494.4</v>
      </c>
      <c r="F79" s="253"/>
    </row>
    <row r="80" spans="2:6" ht="15" customHeight="1">
      <c r="B80" s="105" t="s">
        <v>181</v>
      </c>
      <c r="C80" s="20">
        <f>G19</f>
        <v>3917</v>
      </c>
      <c r="D80" s="76">
        <f>G19*H19</f>
        <v>391.70000000000005</v>
      </c>
      <c r="F80" s="253"/>
    </row>
    <row r="81" spans="2:8" ht="15" customHeight="1">
      <c r="B81" s="105" t="s">
        <v>179</v>
      </c>
      <c r="C81" s="20">
        <f>G9+G21</f>
        <v>0</v>
      </c>
      <c r="D81" s="76">
        <f>G9*H9+G21*H21</f>
        <v>0</v>
      </c>
      <c r="F81" s="253"/>
    </row>
    <row r="82" spans="2:8" ht="15" customHeight="1">
      <c r="B82" s="80" t="s">
        <v>188</v>
      </c>
      <c r="C82" s="81">
        <f>SUM(C79:C81)</f>
        <v>3579741</v>
      </c>
      <c r="D82" s="81">
        <f>SUM(D79:D81)</f>
        <v>2145886.1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-9516669</v>
      </c>
      <c r="D86" s="223">
        <f>C86*scaling_factor/Common_Shares</f>
        <v>-458.09793054931413</v>
      </c>
      <c r="E86" s="240" t="str">
        <f>Market_currency</f>
        <v>CNY</v>
      </c>
    </row>
    <row r="87" spans="2:8" ht="15" customHeight="1">
      <c r="B87" s="238" t="s">
        <v>286</v>
      </c>
      <c r="C87" s="76">
        <f>DCF!C8*Exchange_Rate</f>
        <v>0</v>
      </c>
      <c r="D87" s="223">
        <f>C87*scaling_factor/Common_Shares</f>
        <v>0</v>
      </c>
      <c r="E87" s="240" t="str">
        <f>Market_currency</f>
        <v>CNY</v>
      </c>
    </row>
    <row r="88" spans="2:8" ht="15" customHeight="1">
      <c r="B88" s="239" t="s">
        <v>188</v>
      </c>
      <c r="C88" s="76">
        <f>DCF!C9*Exchange_Rate</f>
        <v>2145886.1</v>
      </c>
      <c r="D88" s="223">
        <f>C88*scaling_factor/Common_Shares</f>
        <v>103.2951741417652</v>
      </c>
      <c r="E88" s="240" t="str">
        <f>Market_currency</f>
        <v>CNY</v>
      </c>
    </row>
    <row r="89" spans="2:8" ht="15" customHeight="1">
      <c r="B89" s="80" t="s">
        <v>290</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151</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163</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242</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153</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v>
      </c>
      <c r="D28" s="26"/>
      <c r="E28" s="266" t="s">
        <v>330</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-61984.75</v>
      </c>
      <c r="E33" s="266" t="s">
        <v>330</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342</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339</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5.1039038960584003E-2</v>
      </c>
      <c r="E53" s="265" t="s">
        <v>332</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333</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194</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151</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163</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153</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457</v>
      </c>
      <c r="C93" s="356">
        <v>0</v>
      </c>
      <c r="E93" s="268"/>
      <c r="G93" s="357"/>
      <c r="H93" s="357"/>
      <c r="I93" s="357"/>
      <c r="J93" s="357"/>
      <c r="K93" s="357"/>
      <c r="L93" s="357"/>
      <c r="M93" s="357"/>
      <c r="N93" s="357"/>
      <c r="O93" s="357"/>
      <c r="P93" s="357"/>
      <c r="Q93" s="357"/>
    </row>
    <row r="94" spans="1:17" ht="15.75" customHeight="1">
      <c r="A94" s="10"/>
      <c r="B94" s="2" t="s">
        <v>456</v>
      </c>
      <c r="C94" s="23">
        <f>(C90*(1-dividend_tax_rate))/Market_Price</f>
        <v>4.2163882259347654E-2</v>
      </c>
      <c r="E94" s="268"/>
      <c r="G94" s="23">
        <f t="shared" ref="G94:Q94" si="39">IF(G$4="","",(G90*(1-dividend_tax_rate))/Market_Price)</f>
        <v>4.2163882259347654E-2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163</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209</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30</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389</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83</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91</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221</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268</v>
      </c>
      <c r="C126" s="77">
        <f>C19*Exchange_Rate*$C$3/(Market_Price*Common_Shares)</f>
        <v>0.21962475389768649</v>
      </c>
      <c r="D126" s="27"/>
      <c r="E126" s="265"/>
      <c r="F126" s="27"/>
      <c r="G126" s="77">
        <f t="shared" ref="G126" si="50">IF(G$4="","",G125/Market_Price)</f>
        <v>0.26322018135937419</v>
      </c>
      <c r="H126" s="77">
        <f t="shared" ref="H126" si="51">IF(H$4="","",H125/Market_Price)</f>
        <v>0.26443412171757225</v>
      </c>
      <c r="I126" s="77">
        <f t="shared" ref="I126" si="52">IF(I$4="","",I125/Market_Price)</f>
        <v>0.26794382625475999</v>
      </c>
      <c r="J126" s="77">
        <f t="shared" ref="J126" si="53">IF(J$4="","",J125/Market_Price)</f>
        <v>0.28640376157556019</v>
      </c>
      <c r="K126" s="77">
        <f t="shared" ref="K126" si="54">IF(K$4="","",K125/Market_Price)</f>
        <v>0.27182115941777424</v>
      </c>
      <c r="L126" s="77">
        <f t="shared" ref="L126" si="55">IF(L$4="","",L125/Market_Price)</f>
        <v>0.23690409889395794</v>
      </c>
      <c r="M126" s="77">
        <f t="shared" ref="M126" si="56">IF(M$4="","",M125/Market_Price)</f>
        <v>0.20461022179400809</v>
      </c>
      <c r="N126" s="77">
        <f t="shared" ref="N126" si="57">IF(N$4="","",N125/Market_Price)</f>
        <v>0.17762398297942888</v>
      </c>
      <c r="O126" s="77">
        <f t="shared" ref="O126" si="58">IF(O$4="","",O125/Market_Price)</f>
        <v>0.20024846132717036</v>
      </c>
      <c r="P126" s="77">
        <f t="shared" ref="P126" si="59">IF(P$4="","",P125/Market_Price)</f>
        <v>0.1819627666571525</v>
      </c>
      <c r="Q126" s="77" t="str">
        <f t="shared" ref="Q126" si="60">IF(Q$4="","",Q125/Market_Price)</f>
        <v/>
      </c>
    </row>
    <row r="127" spans="1:17" ht="15.75" customHeight="1">
      <c r="B127" s="2" t="s">
        <v>391</v>
      </c>
      <c r="C127" s="169"/>
      <c r="G127" s="23">
        <f>IF(G$4="","",(Data!C47*$C$3)/(Market_Price*Common_Shares))</f>
        <v>0.14837453043710505</v>
      </c>
      <c r="H127" s="23">
        <f>IF(H$4="","",(Data!D47*$C$3)/(Market_Price*Common_Shares))</f>
        <v>0.14868663182257236</v>
      </c>
      <c r="I127" s="23">
        <f>IF(I$4="","",(Data!E47*$C$3)/(Market_Price*Common_Shares))</f>
        <v>0.1769480824329874</v>
      </c>
      <c r="J127" s="23">
        <f>IF(J$4="","",(Data!F47*$C$3)/(Market_Price*Common_Shares))</f>
        <v>0.16048521303269278</v>
      </c>
      <c r="K127" s="23">
        <f>IF(K$4="","",(Data!G47*$C$3)/(Market_Price*Common_Shares))</f>
        <v>0.12959100533628043</v>
      </c>
      <c r="L127" s="23">
        <f>IF(L$4="","",(Data!H47*$C$3)/(Market_Price*Common_Shares))</f>
        <v>0.12771648229105032</v>
      </c>
      <c r="M127" s="23">
        <f>IF(M$4="","",(Data!I47*$C$3)/(Market_Price*Common_Shares))</f>
        <v>0.11726778744138672</v>
      </c>
      <c r="N127" s="23">
        <f>IF(N$4="","",(Data!J47*$C$3)/(Market_Price*Common_Shares))</f>
        <v>0.11054707662549534</v>
      </c>
      <c r="O127" s="23">
        <f>IF(O$4="","",(Data!K47*$C$3)/(Market_Price*Common_Shares))</f>
        <v>0.10402166851707431</v>
      </c>
      <c r="P127" s="23">
        <f>IF(P$4="","",(Data!L47*$C$3)/(Market_Price*Common_Shares))</f>
        <v>9.6981197386010895E-2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114702.58240513749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1911709.7067522916</v>
      </c>
      <c r="D6" t="str">
        <f>Reporting_currency</f>
        <v>CNY</v>
      </c>
      <c r="E6" s="366" t="s">
        <v>248</v>
      </c>
      <c r="F6" s="366"/>
      <c r="H6" s="120"/>
    </row>
    <row r="7" spans="2:8">
      <c r="B7" s="148" t="s">
        <v>223</v>
      </c>
      <c r="C7" s="338">
        <f>BS!G31</f>
        <v>9516669</v>
      </c>
      <c r="D7" t="str">
        <f>Reporting_currency</f>
        <v>CNY</v>
      </c>
      <c r="E7" s="366"/>
      <c r="F7" s="366"/>
      <c r="H7" s="120"/>
    </row>
    <row r="8" spans="2:8">
      <c r="B8" s="148" t="s">
        <v>224</v>
      </c>
      <c r="C8" s="338">
        <f>BS!D66</f>
        <v>0</v>
      </c>
      <c r="D8" t="str">
        <f>Reporting_currency</f>
        <v>CNY</v>
      </c>
      <c r="E8" s="366"/>
      <c r="F8" s="366"/>
      <c r="H8" s="120"/>
    </row>
    <row r="9" spans="2:8">
      <c r="B9" s="205" t="s">
        <v>189</v>
      </c>
      <c r="C9" s="348">
        <f>BS!H42</f>
        <v>2145886.1</v>
      </c>
      <c r="D9" t="str">
        <f>Reporting_currency</f>
        <v>CNY</v>
      </c>
      <c r="E9" s="366"/>
      <c r="F9" s="366"/>
      <c r="H9" s="120"/>
    </row>
    <row r="10" spans="2:8" ht="13.15">
      <c r="B10" s="149" t="s">
        <v>226</v>
      </c>
      <c r="C10" s="347">
        <f>C6-C7+C8+C9</f>
        <v>-5459073.1932477076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3.0480331534493699E-2</v>
      </c>
      <c r="H16" s="120"/>
    </row>
    <row r="17" spans="2:17" ht="13.35" customHeight="1">
      <c r="B17" s="118" t="s">
        <v>133</v>
      </c>
      <c r="C17" s="162">
        <f>Scenarios!C64</f>
        <v>30</v>
      </c>
      <c r="H17" s="120"/>
    </row>
    <row r="18" spans="2:17" ht="13.3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130</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128</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444</v>
      </c>
      <c r="C2" s="37"/>
      <c r="D2" s="37"/>
      <c r="E2" s="37"/>
      <c r="F2" s="37"/>
      <c r="H2" s="130" t="s">
        <v>59</v>
      </c>
    </row>
    <row r="3" spans="2:8" ht="13.15">
      <c r="B3" s="109" t="s">
        <v>443</v>
      </c>
      <c r="C3" s="107">
        <f>scaling_factor</f>
        <v>1000000</v>
      </c>
      <c r="E3" s="109" t="s">
        <v>123</v>
      </c>
      <c r="H3" s="120"/>
    </row>
    <row r="4" spans="2:8">
      <c r="B4" s="100" t="s">
        <v>441</v>
      </c>
      <c r="C4" s="114">
        <f>Normalized_FCF!C91*(1-dividend_tax_rate)</f>
        <v>22020.769943020001</v>
      </c>
      <c r="D4" t="str">
        <f>Market_currency</f>
        <v>CNY</v>
      </c>
      <c r="E4" s="100" t="s">
        <v>249</v>
      </c>
      <c r="F4" s="134">
        <f>Thesis!E22</f>
        <v>0.02</v>
      </c>
      <c r="H4" s="120"/>
    </row>
    <row r="5" spans="2:8">
      <c r="B5" s="205" t="s">
        <v>122</v>
      </c>
      <c r="C5" s="206">
        <f>Equity_Cost</f>
        <v>0.06</v>
      </c>
      <c r="E5" s="148"/>
      <c r="H5" s="120"/>
    </row>
    <row r="6" spans="2:8" ht="13.35" customHeight="1">
      <c r="B6" s="149" t="s">
        <v>442</v>
      </c>
      <c r="C6" s="319">
        <f>(C4*(1+Terminal_Growth))/(Equity_Cost-Terminal_Growth)</f>
        <v>367012.83238366671</v>
      </c>
      <c r="D6" t="str">
        <f>Reporting_currency</f>
        <v>CNY</v>
      </c>
      <c r="E6" s="366"/>
      <c r="F6" s="366"/>
      <c r="H6" s="120"/>
    </row>
    <row r="7" spans="2:8" ht="13.15">
      <c r="B7" s="149" t="s">
        <v>445</v>
      </c>
      <c r="C7" s="111">
        <f>(C6*scaling_factor)/Common_Shares*Exchange_Rate</f>
        <v>17.666666666666668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3.0480331534493699E-2</v>
      </c>
      <c r="H11" s="120"/>
    </row>
    <row r="12" spans="2:8" ht="13.35" customHeight="1">
      <c r="B12" s="118" t="s">
        <v>133</v>
      </c>
      <c r="C12" s="162">
        <f>Scenarios!C64</f>
        <v>30</v>
      </c>
      <c r="H12" s="120"/>
    </row>
    <row r="13" spans="2:8" ht="13.35" customHeight="1">
      <c r="B13" s="153" t="s">
        <v>106</v>
      </c>
      <c r="C13" s="140">
        <f>F47/Common_Shares*scaling_factor</f>
        <v>26.886199522956279</v>
      </c>
      <c r="D13" t="str">
        <f>Market_currency</f>
        <v>CNY</v>
      </c>
      <c r="H13" s="120"/>
    </row>
    <row r="14" spans="2:8">
      <c r="H14" s="120"/>
    </row>
    <row r="15" spans="2:8" ht="13.15">
      <c r="B15" s="128" t="s">
        <v>107</v>
      </c>
      <c r="C15" s="128" t="s">
        <v>447</v>
      </c>
      <c r="D15" s="128" t="s">
        <v>117</v>
      </c>
      <c r="E15" s="128" t="s">
        <v>109</v>
      </c>
      <c r="F15" s="129" t="s">
        <v>446</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130</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128</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-25.14</v>
      </c>
    </row>
    <row r="4" spans="2:9">
      <c r="B4" s="152" t="s">
        <v>145</v>
      </c>
      <c r="C4" s="120">
        <v>3</v>
      </c>
      <c r="D4" s="120"/>
      <c r="E4" s="155" t="s">
        <v>149</v>
      </c>
      <c r="F4" s="155"/>
      <c r="H4" s="247">
        <v>1</v>
      </c>
      <c r="I4" s="124">
        <f t="shared" ref="I4:I13" si="0">IF(ROW()-3 &lt; $C$76, $C$77, IF(ROW()-3 = $C$76, $C$77 + $C$60, ""))</f>
        <v>1.06</v>
      </c>
    </row>
    <row r="5" spans="2:9">
      <c r="H5" s="247">
        <v>2</v>
      </c>
      <c r="I5" s="124">
        <f t="shared" si="0"/>
        <v>1.06</v>
      </c>
    </row>
    <row r="6" spans="2:9" ht="13.15">
      <c r="B6" s="159" t="s">
        <v>95</v>
      </c>
      <c r="C6" s="107">
        <f>DCF!C3</f>
        <v>1000000</v>
      </c>
      <c r="E6" s="100" t="s">
        <v>278</v>
      </c>
      <c r="F6" s="100"/>
      <c r="H6" s="247">
        <v>3</v>
      </c>
      <c r="I6" s="124">
        <f t="shared" si="0"/>
        <v>27.94815119642859</v>
      </c>
    </row>
    <row r="7" spans="2:9" ht="12.75" customHeight="1">
      <c r="B7" s="100" t="s">
        <v>274</v>
      </c>
      <c r="C7" s="338">
        <f>Normalized_FCF!G8</f>
        <v>-721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8"/>
      <c r="H7" s="247">
        <v>4</v>
      </c>
      <c r="I7" s="124" t="str">
        <f t="shared" si="0"/>
        <v/>
      </c>
    </row>
    <row r="8" spans="2:9">
      <c r="B8" s="100" t="s">
        <v>66</v>
      </c>
      <c r="C8" s="338">
        <f>Normalized_FCF!G19</f>
        <v>137471</v>
      </c>
      <c r="D8" t="str">
        <f>Reporting_currency</f>
        <v>CNY</v>
      </c>
      <c r="E8" s="368"/>
      <c r="F8" s="368"/>
      <c r="H8" s="247">
        <v>5</v>
      </c>
      <c r="I8" s="124" t="str">
        <f t="shared" si="0"/>
        <v/>
      </c>
    </row>
    <row r="9" spans="2:9">
      <c r="B9" s="100" t="s">
        <v>57</v>
      </c>
      <c r="C9" s="338">
        <f>Normalized_FCF!C19</f>
        <v>114702.58240513749</v>
      </c>
      <c r="D9" t="str">
        <f>Reporting_currency</f>
        <v>CNY</v>
      </c>
      <c r="E9" s="368"/>
      <c r="F9" s="368"/>
      <c r="H9" s="247">
        <v>6</v>
      </c>
      <c r="I9" s="124" t="str">
        <f t="shared" si="0"/>
        <v/>
      </c>
    </row>
    <row r="10" spans="2:9">
      <c r="E10" s="368"/>
      <c r="F10" s="368"/>
      <c r="H10" s="247">
        <v>7</v>
      </c>
      <c r="I10" s="124" t="str">
        <f t="shared" si="0"/>
        <v/>
      </c>
    </row>
    <row r="11" spans="2:9" ht="13.15">
      <c r="B11" s="159" t="s">
        <v>448</v>
      </c>
      <c r="E11" s="368"/>
      <c r="F11" s="368"/>
      <c r="H11" s="247">
        <v>8</v>
      </c>
      <c r="I11" s="124" t="str">
        <f t="shared" si="0"/>
        <v/>
      </c>
    </row>
    <row r="12" spans="2:9">
      <c r="B12" s="118" t="s">
        <v>143</v>
      </c>
      <c r="C12" s="158">
        <f ca="1">(Normalized_FCF!G4/OFFSET(Normalized_FCF!G4, 0, $C$4))^(1/$C$4) - 1</f>
        <v>-5.5054441259114184E-2</v>
      </c>
      <c r="D12" s="158"/>
      <c r="E12" s="368"/>
      <c r="F12" s="368"/>
      <c r="H12" s="247">
        <v>9</v>
      </c>
      <c r="I12" s="124" t="str">
        <f t="shared" si="0"/>
        <v/>
      </c>
    </row>
    <row r="13" spans="2:9">
      <c r="B13" s="148" t="s">
        <v>151</v>
      </c>
      <c r="C13" s="158">
        <f ca="1">(Normalized_FCF!G8/OFFSET(Normalized_FCF!G8, 0, $C$4))^(1/$C$4) - 1</f>
        <v>-1.3520092995664894</v>
      </c>
      <c r="E13" s="368"/>
      <c r="F13" s="368"/>
      <c r="H13" s="247">
        <v>10</v>
      </c>
      <c r="I13" s="124" t="str">
        <f t="shared" si="0"/>
        <v/>
      </c>
    </row>
    <row r="14" spans="2:9">
      <c r="B14" s="100" t="s">
        <v>66</v>
      </c>
      <c r="C14" s="158">
        <f ca="1">(Normalized_FCF!G19/OFFSET(Normalized_FCF!G19, 0, $C$4))^(1/$C$4) - 1</f>
        <v>-2.7745066708446342E-2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25.14</v>
      </c>
      <c r="D21" t="str">
        <f>Market_currency</f>
        <v>CNY</v>
      </c>
      <c r="E21" s="369"/>
      <c r="F21" s="369"/>
    </row>
    <row r="22" spans="2:6">
      <c r="B22" s="100" t="s">
        <v>277</v>
      </c>
      <c r="C22" s="160">
        <f>IF(valuation_method="DCF",DCF!C12,DDM!C7)</f>
        <v>17.666666666666668</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0.03</v>
      </c>
      <c r="D26" s="164"/>
      <c r="E26" s="367"/>
      <c r="F26" s="367"/>
    </row>
    <row r="27" spans="2:6">
      <c r="B27" s="100" t="s">
        <v>112</v>
      </c>
      <c r="C27" s="160">
        <f>IF(valuation_method="DCF",DCF!E76,DDM!E71)</f>
        <v>26.751910098643489</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24.188458613162062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0.04</v>
      </c>
      <c r="D38" s="164"/>
      <c r="E38" s="367"/>
      <c r="F38" s="367"/>
    </row>
    <row r="39" spans="2:6">
      <c r="B39" s="100" t="s">
        <v>112</v>
      </c>
      <c r="C39" s="160">
        <f>IF(valuation_method="DCF",DCF!E75,DDM!E70)</f>
        <v>29.787790686793507</v>
      </c>
      <c r="D39" t="str">
        <f>Market_currency</f>
        <v>CNY</v>
      </c>
      <c r="E39" s="367"/>
      <c r="F39" s="367"/>
    </row>
    <row r="40" spans="2:6">
      <c r="B40" s="100" t="s">
        <v>146</v>
      </c>
      <c r="C40" s="167">
        <f>1-C28-C34</f>
        <v>0.2</v>
      </c>
      <c r="D40" s="165"/>
      <c r="E40" s="367"/>
      <c r="F40" s="367"/>
    </row>
    <row r="42" spans="2:6" ht="13.15">
      <c r="B42" s="100" t="s">
        <v>119</v>
      </c>
      <c r="C42" s="154">
        <f>C27*C28+C33*C34+C39*C40</f>
        <v>26.846395919177208</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20.162370798692315</v>
      </c>
      <c r="D51" t="str">
        <f>Market_currency</f>
        <v>CNY</v>
      </c>
      <c r="E51" s="367"/>
      <c r="F51" s="367"/>
    </row>
    <row r="52" spans="2:6">
      <c r="B52" s="100" t="s">
        <v>146</v>
      </c>
      <c r="C52" s="165">
        <v>0.01</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0.06</v>
      </c>
      <c r="D56" s="164"/>
      <c r="E56" s="367"/>
      <c r="F56" s="367"/>
    </row>
    <row r="57" spans="2:6">
      <c r="B57" s="100" t="s">
        <v>112</v>
      </c>
      <c r="C57" s="160">
        <f>IF(valuation_method="DCF",DCF!E74,DDM!E69)</f>
        <v>37.705948764800347</v>
      </c>
      <c r="D57" t="str">
        <f>Market_currency</f>
        <v>CNY</v>
      </c>
      <c r="E57" s="367"/>
      <c r="F57" s="367"/>
    </row>
    <row r="58" spans="2:6">
      <c r="B58" s="100" t="s">
        <v>146</v>
      </c>
      <c r="C58" s="165">
        <v>0.01</v>
      </c>
      <c r="D58" s="165"/>
      <c r="E58" s="367"/>
      <c r="F58" s="367"/>
    </row>
    <row r="60" spans="2:6" ht="13.15">
      <c r="B60" s="100" t="s">
        <v>119</v>
      </c>
      <c r="C60" s="154">
        <f>C51*C52+C57*C58+C42*(1-C52-C58)</f>
        <v>26.888151196428591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3.0480331534493699E-2</v>
      </c>
      <c r="D65" s="151"/>
      <c r="E65" s="251" t="s">
        <v>309</v>
      </c>
    </row>
    <row r="66" spans="2:6">
      <c r="B66" s="100" t="s">
        <v>102</v>
      </c>
      <c r="C66" s="160">
        <f>IF(valuation_method="DCF",DCF!C18,DDM!C13)</f>
        <v>26.886199522956279</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-13.19550584997735</v>
      </c>
    </row>
    <row r="74" spans="2:6" ht="13.9">
      <c r="B74" s="36" t="s">
        <v>126</v>
      </c>
      <c r="C74" s="37"/>
      <c r="D74" s="37"/>
      <c r="E74" s="37"/>
      <c r="F74" s="37"/>
    </row>
    <row r="75" spans="2:6" ht="13.15">
      <c r="B75" s="109" t="s">
        <v>124</v>
      </c>
    </row>
    <row r="76" spans="2:6">
      <c r="B76" s="246" t="s">
        <v>296</v>
      </c>
      <c r="C76" s="245">
        <f>F60</f>
        <v>3</v>
      </c>
      <c r="D76" s="134"/>
    </row>
    <row r="77" spans="2:6">
      <c r="B77" s="100" t="s">
        <v>459</v>
      </c>
      <c r="C77" s="173">
        <f>Normalized_FCF!C90*(1-dividend_tax_rate)</f>
        <v>1.06</v>
      </c>
      <c r="D77" t="str">
        <f>Market_currency</f>
        <v>CNY</v>
      </c>
    </row>
    <row r="79" spans="2:6" ht="13.15">
      <c r="B79" s="109" t="s">
        <v>300</v>
      </c>
    </row>
    <row r="80" spans="2:6">
      <c r="B80" s="148" t="s">
        <v>298</v>
      </c>
      <c r="C80" s="167">
        <f>Thesis!F29</f>
        <v>0.35</v>
      </c>
    </row>
    <row r="81" spans="2:8">
      <c r="B81" s="100" t="s">
        <v>120</v>
      </c>
      <c r="C81" s="116">
        <f>PV(C80, C76, -C77, 0)</f>
        <v>1.7976324747243817</v>
      </c>
      <c r="D81" s="116"/>
      <c r="E81" s="100"/>
      <c r="F81" s="100"/>
    </row>
    <row r="82" spans="2:8">
      <c r="B82" s="100" t="s">
        <v>121</v>
      </c>
      <c r="C82" s="116">
        <f>C60/(1+C80)^C76</f>
        <v>10.928476836428832</v>
      </c>
      <c r="D82" s="116"/>
    </row>
    <row r="83" spans="2:8" ht="13.15">
      <c r="B83" s="110" t="s">
        <v>101</v>
      </c>
      <c r="C83" s="111">
        <f>C81+C82</f>
        <v>12.726109311153213</v>
      </c>
      <c r="D83" t="str">
        <f>Market_currency</f>
        <v>CNY</v>
      </c>
      <c r="E83" s="146" t="s">
        <v>125</v>
      </c>
      <c r="F83" s="291">
        <f>(1-C83/C60)</f>
        <v>0.52670195811590226</v>
      </c>
    </row>
    <row r="84" spans="2:8">
      <c r="E84" s="120"/>
    </row>
    <row r="85" spans="2:8" ht="13.15">
      <c r="B85" s="109" t="s">
        <v>301</v>
      </c>
    </row>
    <row r="86" spans="2:8">
      <c r="B86" s="148" t="s">
        <v>299</v>
      </c>
      <c r="C86" s="116">
        <f>Market_Price</f>
        <v>25.14</v>
      </c>
      <c r="D86" t="str">
        <f>Market_currency</f>
        <v>CNY</v>
      </c>
    </row>
    <row r="87" spans="2:8" ht="13.15">
      <c r="B87" s="100" t="s">
        <v>297</v>
      </c>
      <c r="C87" s="237">
        <f ca="1">IRR(OFFSET($I$3, 0, 0, $C$76 + 1, 1))</f>
        <v>6.392228128073163E-2</v>
      </c>
    </row>
    <row r="88" spans="2:8">
      <c r="B88" s="100"/>
    </row>
    <row r="89" spans="2:8" ht="13.15">
      <c r="B89" s="109" t="s">
        <v>409</v>
      </c>
    </row>
    <row r="90" spans="2:8">
      <c r="B90" s="148" t="s">
        <v>410</v>
      </c>
      <c r="C90" s="167">
        <f>Thesis!F30</f>
        <v>0.25</v>
      </c>
    </row>
    <row r="91" spans="2:8">
      <c r="B91" s="100" t="s">
        <v>120</v>
      </c>
      <c r="C91" s="116">
        <f>PV(C90, C76, -C77, 0)</f>
        <v>2.0691199999999998</v>
      </c>
      <c r="D91" s="116"/>
      <c r="E91" s="100"/>
      <c r="F91" s="100"/>
    </row>
    <row r="92" spans="2:8">
      <c r="B92" s="100" t="s">
        <v>121</v>
      </c>
      <c r="C92" s="116">
        <f>C60/(1+C90)^C76</f>
        <v>13.766733412571439</v>
      </c>
      <c r="D92" s="116"/>
    </row>
    <row r="93" spans="2:8" ht="13.15">
      <c r="B93" s="110" t="s">
        <v>101</v>
      </c>
      <c r="C93" s="111">
        <f>C91+C92</f>
        <v>15.835853412571439</v>
      </c>
      <c r="D93" t="str">
        <f>Market_currency</f>
        <v>CNY</v>
      </c>
      <c r="E93" s="146" t="s">
        <v>125</v>
      </c>
      <c r="F93" s="291">
        <f>(1-C93/C60)</f>
        <v>0.41104714500880857</v>
      </c>
    </row>
    <row r="95" spans="2:8" ht="13.15">
      <c r="B95" s="109" t="s">
        <v>394</v>
      </c>
      <c r="G95" s="2"/>
      <c r="H95" s="281"/>
    </row>
    <row r="96" spans="2:8">
      <c r="B96" s="148" t="s">
        <v>400</v>
      </c>
      <c r="C96" s="134">
        <f>Thesis!F31</f>
        <v>0.06</v>
      </c>
      <c r="G96" s="2"/>
      <c r="H96" s="281"/>
    </row>
    <row r="97" spans="2:8">
      <c r="B97" s="100" t="s">
        <v>120</v>
      </c>
      <c r="C97" s="116">
        <f>PV(C96, C76, -C77, 0)</f>
        <v>2.8333926664293383</v>
      </c>
      <c r="D97" s="116"/>
      <c r="G97" s="2"/>
      <c r="H97" s="281"/>
    </row>
    <row r="98" spans="2:8">
      <c r="B98" s="100" t="s">
        <v>121</v>
      </c>
      <c r="C98" s="116">
        <f>C60/(1+C96)^C76</f>
        <v>22.575810229609498</v>
      </c>
      <c r="D98" s="116"/>
      <c r="G98" s="2"/>
      <c r="H98" s="281"/>
    </row>
    <row r="99" spans="2:8" ht="13.15">
      <c r="B99" s="110" t="s">
        <v>395</v>
      </c>
      <c r="C99" s="111">
        <f>C97+C98</f>
        <v>25.409202896038835</v>
      </c>
      <c r="D99" t="s">
        <v>393</v>
      </c>
      <c r="E99" s="146" t="s">
        <v>125</v>
      </c>
      <c r="F99" s="291">
        <f>(1-C99/C60)</f>
        <v>5.5003718537040891E-2</v>
      </c>
    </row>
    <row r="100" spans="2:8">
      <c r="B100" s="100"/>
    </row>
    <row r="101" spans="2:8" ht="13.15">
      <c r="B101" s="109" t="s">
        <v>419</v>
      </c>
    </row>
    <row r="102" spans="2:8">
      <c r="B102" s="148" t="s">
        <v>418</v>
      </c>
      <c r="C102" s="134">
        <f>Thesis!F32</f>
        <v>8.6999999999999994E-2</v>
      </c>
    </row>
    <row r="103" spans="2:8">
      <c r="B103" s="100" t="s">
        <v>120</v>
      </c>
      <c r="C103" s="116">
        <f>PV(C102, C76, -C77, 0)</f>
        <v>2.6975834619563113</v>
      </c>
      <c r="D103" s="116"/>
    </row>
    <row r="104" spans="2:8">
      <c r="B104" s="100" t="s">
        <v>121</v>
      </c>
      <c r="C104" s="116">
        <f>C60/(1+C102)^C76</f>
        <v>20.934968382149542</v>
      </c>
      <c r="D104" s="116"/>
    </row>
    <row r="105" spans="2:8" ht="13.15">
      <c r="B105" s="110" t="s">
        <v>395</v>
      </c>
      <c r="C105" s="111">
        <f>C103+C104</f>
        <v>23.632551844105855</v>
      </c>
      <c r="D105" t="s">
        <v>393</v>
      </c>
      <c r="E105" s="146" t="s">
        <v>125</v>
      </c>
      <c r="F105" s="291">
        <f>(1-C105/C66)</f>
        <v>0.1210155297728992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460</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