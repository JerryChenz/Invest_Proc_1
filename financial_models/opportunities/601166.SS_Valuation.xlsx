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CC6D14C-5C19-814E-8D39-D51F39C4D4AB}"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<sst xmlns="http://schemas.openxmlformats.org/spreadsheetml/2006/main" count="685" uniqueCount="466">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</sst>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45794</v>
      </c>
      <c r="D1" s="316" t="s">
        <v>459</v>
      </c>
      <c r="E1" s="292" t="s">
        <v>353</v>
      </c>
      <c r="F1" s="254" t="s">
        <v>460</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440</v>
      </c>
    </row>
    <row r="6" spans="1:10" x14ac:dyDescent="0.15">
      <c r="B6" s="4" t="s">
        <v>0</v>
      </c>
      <c r="C6" s="51">
        <v>20774311267</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441</v>
      </c>
      <c r="D11" s="49" t="s">
        <v>461</v>
      </c>
      <c r="E11" s="34"/>
    </row>
    <row r="12" spans="1:10" x14ac:dyDescent="0.15">
      <c r="B12" s="4" t="s">
        <v>94</v>
      </c>
      <c r="C12" s="50">
        <v>22.62</v>
      </c>
      <c r="D12" s="50"/>
      <c r="E12" s="48"/>
    </row>
    <row r="13" spans="1:10" x14ac:dyDescent="0.15">
      <c r="B13" s="1" t="s">
        <v>416</v>
      </c>
      <c r="C13" s="48" t="s">
        <v>414</v>
      </c>
      <c r="D13" s="48"/>
      <c r="E13" s="5"/>
    </row>
    <row r="14" spans="1:10" x14ac:dyDescent="0.15">
      <c r="B14" s="4" t="s">
        <v>420</v>
      </c>
      <c r="C14" s="35">
        <f>Thesis!C12*Common_Shares/1000000</f>
        <v>469914.92085954006</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443</v>
      </c>
    </row>
    <row r="22" spans="2:6" x14ac:dyDescent="0.15">
      <c r="B22" s="2" t="s">
        <v>56</v>
      </c>
      <c r="C22" s="48" t="s">
        <v>442</v>
      </c>
      <c r="D22" s="1" t="str">
        <f>IF(valuation_method="DDM","DDM Terminal Value","")</f>
        <v>DDM Terminal Value</v>
      </c>
      <c r="E22" s="313">
        <v>0.02</v>
      </c>
    </row>
    <row r="23" spans="2:6" x14ac:dyDescent="0.15">
      <c r="B23" s="1" t="s">
        <v>434</v>
      </c>
      <c r="C23" s="262" t="s">
        <v>462</v>
      </c>
    </row>
    <row r="24" spans="2:6" x14ac:dyDescent="0.15">
      <c r="B24" s="1" t="s">
        <v>435</v>
      </c>
      <c r="C24" s="262" t="s">
        <v>462</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26.888151196428591</v>
      </c>
      <c r="D26" s="1" t="s">
        <v>399</v>
      </c>
      <c r="E26" s="301">
        <f ca="1">Scenarios!C87</f>
        <v>0.10366547931610515</v>
      </c>
    </row>
    <row r="27" spans="2:6" x14ac:dyDescent="0.15">
      <c r="D27" s="5"/>
      <c r="E27" s="5"/>
    </row>
    <row r="28" spans="2:6" x14ac:dyDescent="0.15">
      <c r="B28" s="45" t="s">
        <v>433</v>
      </c>
      <c r="C28" s="309" t="str">
        <f>C145&amp;" ("&amp;Market_currency&amp;")"</f>
        <v>601166.SS (CNY)</v>
      </c>
      <c r="D28" s="309" t="str">
        <f>IF(D11="","",D145&amp;" ("&amp;D13&amp;")")</f>
        <v/>
      </c>
      <c r="E28" s="305" t="s">
        <v>429</v>
      </c>
      <c r="F28" s="303">
        <v>3</v>
      </c>
    </row>
    <row r="29" spans="2:6" x14ac:dyDescent="0.15">
      <c r="B29" s="1" t="s">
        <v>425</v>
      </c>
      <c r="C29" s="310">
        <f>C149</f>
        <v>13.079690025486418</v>
      </c>
      <c r="D29" s="310" t="str">
        <f>D149</f>
        <v/>
      </c>
      <c r="E29" s="306" t="s">
        <v>424</v>
      </c>
      <c r="F29" s="302">
        <v>0.33699999999999997</v>
      </c>
    </row>
    <row r="30" spans="2:6" x14ac:dyDescent="0.15">
      <c r="B30" s="1" t="s">
        <v>426</v>
      </c>
      <c r="C30" s="311">
        <f>C157</f>
        <v>18.356272555350223</v>
      </c>
      <c r="D30" s="311" t="str">
        <f>D157</f>
        <v/>
      </c>
      <c r="E30" s="307" t="s">
        <v>437</v>
      </c>
      <c r="F30" s="312">
        <v>0.187</v>
      </c>
    </row>
    <row r="31" spans="2:6" x14ac:dyDescent="0.15">
      <c r="B31" s="1" t="s">
        <v>427</v>
      </c>
      <c r="C31" s="311">
        <f>C165</f>
        <v>25.409202896038835</v>
      </c>
      <c r="D31" s="311" t="str">
        <f>D165</f>
        <v/>
      </c>
      <c r="E31" s="307" t="s">
        <v>436</v>
      </c>
      <c r="F31" s="312">
        <v>0.06</v>
      </c>
    </row>
    <row r="32" spans="2:6" x14ac:dyDescent="0.15">
      <c r="B32" s="1" t="s">
        <v>428</v>
      </c>
      <c r="C32" s="311">
        <f>C173</f>
        <v>23.632551844105855</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1000000</v>
      </c>
    </row>
    <row r="40" spans="1:6" ht="24.5" customHeight="1" x14ac:dyDescent="0.15">
      <c r="B40" s="357" t="s">
        <v>231</v>
      </c>
      <c r="C40" s="357"/>
      <c r="D40" s="357"/>
      <c r="E40" s="357"/>
      <c r="F40" s="357"/>
    </row>
    <row r="41" spans="1:6" x14ac:dyDescent="0.15">
      <c r="B41" s="47" t="s">
        <v>232</v>
      </c>
      <c r="C41" s="349">
        <f>Normalized_FCF!C8</f>
        <v>6033.25</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0</v>
      </c>
      <c r="D44" s="1" t="str">
        <f>Reporting_currency</f>
        <v>CNY</v>
      </c>
    </row>
    <row r="45" spans="1:6" x14ac:dyDescent="0.15">
      <c r="B45" s="52" t="s">
        <v>235</v>
      </c>
      <c r="C45" s="349">
        <f>Normalized_FCF!C10</f>
        <v>0</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343835</v>
      </c>
      <c r="D51" s="1" t="str">
        <f>Reporting_currency</f>
        <v>CNY</v>
      </c>
      <c r="E51" s="286"/>
      <c r="F51" s="286"/>
    </row>
    <row r="52" spans="2:6" x14ac:dyDescent="0.15">
      <c r="B52" s="47" t="s">
        <v>341</v>
      </c>
      <c r="C52" s="350">
        <f>Normalized_FCF!C47</f>
        <v>-195728</v>
      </c>
      <c r="D52" s="1" t="str">
        <f>Reporting_currency</f>
        <v>CNY</v>
      </c>
      <c r="E52" s="286"/>
      <c r="F52" s="286"/>
    </row>
    <row r="53" spans="2:6" x14ac:dyDescent="0.15">
      <c r="B53" s="47" t="s">
        <v>238</v>
      </c>
      <c r="C53" s="349">
        <f>Normalized_FCF!C12</f>
        <v>148107</v>
      </c>
      <c r="D53" s="1" t="str">
        <f>Reporting_currency</f>
        <v>CNY</v>
      </c>
    </row>
    <row r="55" spans="2:6" x14ac:dyDescent="0.15">
      <c r="B55" s="1" t="s">
        <v>246</v>
      </c>
    </row>
    <row r="56" spans="2:6" x14ac:dyDescent="0.15">
      <c r="B56" s="47" t="s">
        <v>265</v>
      </c>
      <c r="C56" s="349">
        <f>Normalized_FCF!C15</f>
        <v>-902.60509486250271</v>
      </c>
      <c r="D56" s="1" t="str">
        <f>Reporting_currency</f>
        <v>CNY</v>
      </c>
    </row>
    <row r="58" spans="2:6" x14ac:dyDescent="0.15">
      <c r="B58" s="357" t="s">
        <v>241</v>
      </c>
      <c r="C58" s="357"/>
      <c r="D58" s="357"/>
      <c r="E58" s="357"/>
      <c r="F58" s="357"/>
    </row>
    <row r="59" spans="2:6" x14ac:dyDescent="0.15">
      <c r="B59" s="47" t="s">
        <v>239</v>
      </c>
      <c r="C59" s="349">
        <f>Normalized_FCF!C14</f>
        <v>-38535.0625</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137471</v>
      </c>
      <c r="D67" s="1" t="str">
        <f>Reporting_currency</f>
        <v>CNY</v>
      </c>
    </row>
    <row r="68" spans="1:6" x14ac:dyDescent="0.15">
      <c r="B68" s="47" t="s">
        <v>248</v>
      </c>
      <c r="C68" s="349">
        <f>Normalized_FCF!C19</f>
        <v>114702.58240513749</v>
      </c>
      <c r="D68" s="1" t="str">
        <f>Reporting_currency</f>
        <v>CNY</v>
      </c>
    </row>
    <row r="69" spans="1:6" x14ac:dyDescent="0.15">
      <c r="B69" s="227" t="s">
        <v>390</v>
      </c>
      <c r="C69" s="92">
        <f>Normalized_FCF!C125</f>
        <v>0.24409223311175232</v>
      </c>
      <c r="F69" s="314"/>
    </row>
    <row r="70" spans="1:6" x14ac:dyDescent="0.15">
      <c r="B70" s="227" t="s">
        <v>308</v>
      </c>
      <c r="C70" s="92">
        <f>Normalized_FCF!C93</f>
        <v>4.6861184792219276E-2</v>
      </c>
      <c r="E70" s="47" t="s">
        <v>452</v>
      </c>
      <c r="F70" s="315">
        <f>Normalized_FCF!C92</f>
        <v>0.19198146616473824</v>
      </c>
    </row>
    <row r="72" spans="1:6" x14ac:dyDescent="0.15">
      <c r="B72" s="210" t="s">
        <v>454</v>
      </c>
      <c r="C72" s="323" t="s">
        <v>456</v>
      </c>
      <c r="D72" s="323" t="s">
        <v>457</v>
      </c>
    </row>
    <row r="73" spans="1:6" x14ac:dyDescent="0.15">
      <c r="B73" s="47" t="s">
        <v>455</v>
      </c>
      <c r="C73" s="92">
        <f>Normalized_FCF!C120</f>
        <v>0.17249144202566888</v>
      </c>
      <c r="D73" s="92">
        <f>Normalized_FCF!G120</f>
        <v>0.16493306371564362</v>
      </c>
    </row>
    <row r="74" spans="1:6" x14ac:dyDescent="0.15">
      <c r="B74" s="259" t="str">
        <f>Normalized_FCF!B117</f>
        <v>Pre-tax Profit/Sales</v>
      </c>
      <c r="C74" s="322">
        <f>Normalized_FCF!C117</f>
        <v>0.71319953730480046</v>
      </c>
      <c r="D74" s="322">
        <f>Normalized_FCF!G117</f>
        <v>0.7018481216398329</v>
      </c>
    </row>
    <row r="75" spans="1:6" x14ac:dyDescent="0.15">
      <c r="B75" s="259" t="str">
        <f>Normalized_FCF!B118</f>
        <v>Sales/Total Assets</v>
      </c>
      <c r="C75" s="324">
        <f>Normalized_FCF!C118</f>
        <v>2.0567862383133143E-2</v>
      </c>
      <c r="D75" s="324">
        <f>Normalized_FCF!G118</f>
        <v>1.9984681998245511E-2</v>
      </c>
    </row>
    <row r="76" spans="1:6" x14ac:dyDescent="0.15">
      <c r="B76" s="259" t="str">
        <f>Normalized_FCF!B119</f>
        <v>Total Assets/Equity</v>
      </c>
      <c r="C76" s="324">
        <f>Normalized_FCF!C119</f>
        <v>11.758917470801054</v>
      </c>
      <c r="D76" s="324">
        <f>Normalized_FCF!G119</f>
        <v>11.758917470801054</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92.022771883130645</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9516669</v>
      </c>
      <c r="D102" s="1" t="str">
        <f>Reporting_currency</f>
        <v>CNY</v>
      </c>
    </row>
    <row r="103" spans="2:6" x14ac:dyDescent="0.15">
      <c r="B103" s="47" t="s">
        <v>281</v>
      </c>
      <c r="C103" s="223">
        <f>C102*scaling_factor*Exchange_Rate/Common_Shares</f>
        <v>458.09793054931413</v>
      </c>
      <c r="D103" s="1" t="str">
        <f>Market_currency</f>
        <v>CNY</v>
      </c>
    </row>
    <row r="104" spans="2:6" x14ac:dyDescent="0.15">
      <c r="B104" s="296" t="s">
        <v>404</v>
      </c>
      <c r="C104" s="325" t="str">
        <f>IF(BS!G31/BS!G27&gt;300%,"nm",BS!G31/BS!G27)</f>
        <v>nm</v>
      </c>
    </row>
    <row r="105" spans="2:6" x14ac:dyDescent="0.15">
      <c r="B105" s="296" t="s">
        <v>406</v>
      </c>
      <c r="C105" s="326" t="str">
        <f>IF(BS!C50&gt;30,"nm",BS!C50)</f>
        <v>nm</v>
      </c>
    </row>
    <row r="107" spans="2:6" x14ac:dyDescent="0.15">
      <c r="B107" s="1" t="s">
        <v>254</v>
      </c>
    </row>
    <row r="108" spans="2:6" x14ac:dyDescent="0.15">
      <c r="B108" s="47" t="s">
        <v>264</v>
      </c>
      <c r="C108" s="349">
        <f>BS!C66</f>
        <v>6736706</v>
      </c>
      <c r="D108" s="1" t="str">
        <f>Reporting_currency</f>
        <v>CNY</v>
      </c>
    </row>
    <row r="109" spans="2:6" x14ac:dyDescent="0.15">
      <c r="B109" s="47" t="s">
        <v>266</v>
      </c>
      <c r="C109" s="349">
        <f>DCF!C8</f>
        <v>0</v>
      </c>
      <c r="D109" s="1" t="str">
        <f>Reporting_currency</f>
        <v>CNY</v>
      </c>
    </row>
    <row r="110" spans="2:6" x14ac:dyDescent="0.15">
      <c r="B110" s="47" t="s">
        <v>282</v>
      </c>
      <c r="C110" s="223">
        <f>C109*scaling_factor*Exchange_Rate/Common_Shares</f>
        <v>0</v>
      </c>
      <c r="D110" s="1" t="str">
        <f>Market_currency</f>
        <v>CNY</v>
      </c>
    </row>
    <row r="112" spans="2:6" x14ac:dyDescent="0.15">
      <c r="B112" s="1" t="s">
        <v>256</v>
      </c>
    </row>
    <row r="113" spans="1:6" x14ac:dyDescent="0.15">
      <c r="B113" s="47" t="s">
        <v>257</v>
      </c>
      <c r="C113" s="349">
        <f>DCF!C9</f>
        <v>2145886.1</v>
      </c>
      <c r="D113" s="1" t="str">
        <f>Reporting_currency</f>
        <v>CNY</v>
      </c>
    </row>
    <row r="114" spans="1:6" x14ac:dyDescent="0.15">
      <c r="B114" s="47" t="s">
        <v>283</v>
      </c>
      <c r="C114" s="223">
        <f>C113*scaling_factor*Exchange_Rate/Common_Shares</f>
        <v>103.2951741417652</v>
      </c>
      <c r="D114" s="1" t="str">
        <f>Market_currency</f>
        <v>CNY</v>
      </c>
    </row>
    <row r="116" spans="1:6" ht="24.5" customHeight="1" x14ac:dyDescent="0.15">
      <c r="B116" s="356" t="s">
        <v>366</v>
      </c>
      <c r="C116" s="356"/>
      <c r="D116" s="356"/>
      <c r="E116" s="356"/>
      <c r="F116" s="356"/>
    </row>
    <row r="118" spans="1:6" x14ac:dyDescent="0.15">
      <c r="B118" s="47" t="s">
        <v>453</v>
      </c>
      <c r="C118" s="223">
        <f>IF(valuation_method="DCF",DCF!C12,DDM!C7)</f>
        <v>17.666666666666668</v>
      </c>
      <c r="D118" s="1" t="str">
        <f>Market_currency</f>
        <v>CNY</v>
      </c>
    </row>
    <row r="119" spans="1:6" x14ac:dyDescent="0.15">
      <c r="B119" s="296" t="s">
        <v>405</v>
      </c>
      <c r="C119" s="223">
        <f>BS!D47</f>
        <v>-92.956751979911445</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0.06</v>
      </c>
      <c r="D126" s="230">
        <f>DCF!D74</f>
        <v>30</v>
      </c>
      <c r="E126" s="231" t="str">
        <f>ROUND(IF(valuation_method="DCF",DCF!E74,DDM!E69),2)&amp;" "&amp;Market_currency</f>
        <v>37.71 CNY</v>
      </c>
      <c r="F126" s="232">
        <f>DCF!F74</f>
        <v>0.01</v>
      </c>
    </row>
    <row r="127" spans="1:6" x14ac:dyDescent="0.15">
      <c r="B127" s="218" t="str">
        <f>DCF!B75</f>
        <v>Optimistic</v>
      </c>
      <c r="C127" s="219">
        <f>DCF!C75</f>
        <v>0.04</v>
      </c>
      <c r="D127" s="220">
        <f>DCF!D75</f>
        <v>30</v>
      </c>
      <c r="E127" s="231" t="str">
        <f>ROUND(IF(valuation_method="DCF",DCF!E75,DDM!E70),2)&amp;" "&amp;Market_currency</f>
        <v>29.79 CNY</v>
      </c>
      <c r="F127" s="221">
        <f>DCF!F75</f>
        <v>0.19600000000000001</v>
      </c>
    </row>
    <row r="128" spans="1:6" x14ac:dyDescent="0.15">
      <c r="B128" s="218" t="str">
        <f>DCF!B76</f>
        <v>Base</v>
      </c>
      <c r="C128" s="219">
        <f>DCF!C76</f>
        <v>0.03</v>
      </c>
      <c r="D128" s="220">
        <f>DCF!D76</f>
        <v>30</v>
      </c>
      <c r="E128" s="231" t="str">
        <f>ROUND(IF(valuation_method="DCF",DCF!E76,DDM!E71),2)&amp;" "&amp;Market_currency</f>
        <v>26.75 CNY</v>
      </c>
      <c r="F128" s="221">
        <f>DCF!F76</f>
        <v>0.58799999999999997</v>
      </c>
    </row>
    <row r="129" spans="1:6" x14ac:dyDescent="0.15">
      <c r="B129" s="218" t="str">
        <f>DCF!B77</f>
        <v>Pessimistic</v>
      </c>
      <c r="C129" s="219">
        <f>DCF!C77</f>
        <v>0.02</v>
      </c>
      <c r="D129" s="220">
        <f>DCF!D77</f>
        <v>30</v>
      </c>
      <c r="E129" s="231" t="str">
        <f>ROUND(IF(valuation_method="DCF",DCF!E77,DDM!E72),2)&amp;" "&amp;Market_currency</f>
        <v>24.19 CNY</v>
      </c>
      <c r="F129" s="221">
        <f>DCF!F77</f>
        <v>0.19600000000000001</v>
      </c>
    </row>
    <row r="130" spans="1:6" x14ac:dyDescent="0.15">
      <c r="B130" s="218" t="str">
        <f>DCF!B78</f>
        <v>Devil's advocate</v>
      </c>
      <c r="C130" s="219">
        <f>DCF!C78</f>
        <v>0</v>
      </c>
      <c r="D130" s="220">
        <f>DCF!D78</f>
        <v>30</v>
      </c>
      <c r="E130" s="231" t="str">
        <f>ROUND(IF(valuation_method="DCF",DCF!E78,DDM!E73),2)&amp;" "&amp;Market_currency</f>
        <v>20.16 CNY</v>
      </c>
      <c r="F130" s="221">
        <f>DCF!F78</f>
        <v>0.01</v>
      </c>
    </row>
    <row r="132" spans="1:6" x14ac:dyDescent="0.15">
      <c r="B132" s="211" t="s">
        <v>258</v>
      </c>
      <c r="C132" s="217">
        <f>Scenarios!C60</f>
        <v>26.888151196428591</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1.06</v>
      </c>
      <c r="D143" s="212" t="str">
        <f>Market_currency</f>
        <v>CNY</v>
      </c>
    </row>
    <row r="145" spans="2:4" x14ac:dyDescent="0.15">
      <c r="B145" s="210" t="s">
        <v>408</v>
      </c>
      <c r="C145" s="241" t="str">
        <f>C11</f>
        <v>601166.SS</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1.829322250329541</v>
      </c>
    </row>
    <row r="148" spans="2:4" x14ac:dyDescent="0.15">
      <c r="B148" s="212" t="str">
        <f>"+ PV(Equity Value realized at year "&amp;C141&amp;")"</f>
        <v>+ PV(Equity Value realized at year 3)</v>
      </c>
      <c r="C148" s="216">
        <f>Scenarios!C82</f>
        <v>11.250367775156876</v>
      </c>
    </row>
    <row r="149" spans="2:4" x14ac:dyDescent="0.15">
      <c r="B149" s="80" t="s">
        <v>260</v>
      </c>
      <c r="C149" s="215">
        <f>Scenarios!C83</f>
        <v>13.079690025486418</v>
      </c>
      <c r="D149" s="300" t="str">
        <f>IF($D$11="","",C149*$E$25)</f>
        <v/>
      </c>
    </row>
    <row r="150" spans="2:4" x14ac:dyDescent="0.15">
      <c r="B150" s="259" t="s">
        <v>416</v>
      </c>
      <c r="C150" s="298" t="str">
        <f>Market_currency</f>
        <v>CNY</v>
      </c>
      <c r="D150" s="298" t="str">
        <f>IF($D$11="","",D$13)</f>
        <v/>
      </c>
    </row>
    <row r="151" spans="2:4" x14ac:dyDescent="0.15">
      <c r="B151" s="214" t="s">
        <v>262</v>
      </c>
      <c r="C151" s="92">
        <f>Scenarios!F83</f>
        <v>0.51355190135855366</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2.279132885208865</v>
      </c>
    </row>
    <row r="156" spans="2:4" x14ac:dyDescent="0.15">
      <c r="B156" s="212" t="str">
        <f>"+ PV(Equity Value realized at year "&amp;C141&amp;")"</f>
        <v>+ PV(Equity Value realized at year 3)</v>
      </c>
      <c r="C156" s="216">
        <f>Scenarios!C92</f>
        <v>16.07713967014136</v>
      </c>
    </row>
    <row r="157" spans="2:4" x14ac:dyDescent="0.15">
      <c r="B157" s="80" t="s">
        <v>260</v>
      </c>
      <c r="C157" s="215">
        <f>Scenarios!C93</f>
        <v>18.356272555350223</v>
      </c>
      <c r="D157" s="300" t="str">
        <f>IF($D$11="","",C157*$E$25)</f>
        <v/>
      </c>
    </row>
    <row r="158" spans="2:4" x14ac:dyDescent="0.15">
      <c r="B158" s="259" t="s">
        <v>416</v>
      </c>
      <c r="C158" s="298" t="str">
        <f>Market_currency</f>
        <v>CNY</v>
      </c>
      <c r="D158" s="298" t="str">
        <f>IF($D$11="","",D$13)</f>
        <v/>
      </c>
    </row>
    <row r="159" spans="2:4" x14ac:dyDescent="0.15">
      <c r="B159" s="214" t="s">
        <v>262</v>
      </c>
      <c r="C159" s="92">
        <f>Scenarios!F93</f>
        <v>0.3173099771252258</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2.8333926664293383</v>
      </c>
    </row>
    <row r="164" spans="2:4" x14ac:dyDescent="0.15">
      <c r="B164" s="212" t="str">
        <f>"+ PV(Equity Value realized at year "&amp;C141&amp;")"</f>
        <v>+ PV(Equity Value realized at year 3)</v>
      </c>
      <c r="C164" s="216">
        <f>Scenarios!C98</f>
        <v>22.575810229609498</v>
      </c>
    </row>
    <row r="165" spans="2:4" x14ac:dyDescent="0.15">
      <c r="B165" s="80" t="s">
        <v>401</v>
      </c>
      <c r="C165" s="215">
        <f>Scenarios!C99</f>
        <v>25.409202896038835</v>
      </c>
      <c r="D165" s="300" t="str">
        <f>IF($D$11="","",C165*$E$25)</f>
        <v/>
      </c>
    </row>
    <row r="166" spans="2:4" x14ac:dyDescent="0.15">
      <c r="B166" s="259" t="s">
        <v>416</v>
      </c>
      <c r="C166" s="298" t="str">
        <f>Market_currency</f>
        <v>CNY</v>
      </c>
      <c r="D166" s="298" t="str">
        <f>IF($D$11="","",D$13)</f>
        <v/>
      </c>
    </row>
    <row r="167" spans="2:4" x14ac:dyDescent="0.15">
      <c r="B167" s="214" t="s">
        <v>262</v>
      </c>
      <c r="C167" s="92">
        <f>Scenarios!F99</f>
        <v>5.5003718537040891E-2</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2.6975834619563113</v>
      </c>
    </row>
    <row r="172" spans="2:4" x14ac:dyDescent="0.15">
      <c r="B172" s="212" t="str">
        <f>"+ PV(Equity Value realized at year "&amp;C141&amp;")"</f>
        <v>+ PV(Equity Value realized at year 3)</v>
      </c>
      <c r="C172" s="216">
        <f>Scenarios!C104</f>
        <v>20.934968382149542</v>
      </c>
    </row>
    <row r="173" spans="2:4" x14ac:dyDescent="0.15">
      <c r="B173" s="80" t="s">
        <v>401</v>
      </c>
      <c r="C173" s="215">
        <f>Scenarios!C105</f>
        <v>23.632551844105855</v>
      </c>
      <c r="D173" s="300" t="str">
        <f>IF($D$11="","",C173*$E$25)</f>
        <v/>
      </c>
    </row>
    <row r="174" spans="2:4" x14ac:dyDescent="0.15">
      <c r="B174" s="259" t="s">
        <v>416</v>
      </c>
      <c r="C174" s="298" t="str">
        <f>Market_currency</f>
        <v>CNY</v>
      </c>
      <c r="D174" s="298" t="str">
        <f>IF($D$11="","",D$13)</f>
        <v/>
      </c>
    </row>
    <row r="175" spans="2:4" x14ac:dyDescent="0.15">
      <c r="B175" s="214" t="s">
        <v>262</v>
      </c>
      <c r="C175" s="92">
        <f>Scenarios!F105</f>
        <v>0.1210155297728992</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1000000</v>
      </c>
    </row>
    <row r="4" spans="2:13" x14ac:dyDescent="0.15">
      <c r="B4" s="32" t="s">
        <v>2</v>
      </c>
      <c r="C4" s="351">
        <v>61890</v>
      </c>
      <c r="D4" s="351">
        <v>62009</v>
      </c>
      <c r="E4" s="351">
        <v>74823</v>
      </c>
      <c r="F4" s="351">
        <v>73350</v>
      </c>
      <c r="G4" s="351">
        <v>57536</v>
      </c>
      <c r="H4" s="351">
        <v>76564</v>
      </c>
      <c r="I4" s="351">
        <v>61222</v>
      </c>
      <c r="J4" s="351">
        <v>50549</v>
      </c>
      <c r="K4" s="351">
        <v>39074</v>
      </c>
      <c r="L4" s="351">
        <v>21559</v>
      </c>
      <c r="M4" s="351"/>
    </row>
    <row r="5" spans="2:13" x14ac:dyDescent="0.15">
      <c r="B5" s="40" t="s">
        <v>43</v>
      </c>
      <c r="C5" s="351">
        <v>0</v>
      </c>
      <c r="D5" s="351">
        <v>0</v>
      </c>
      <c r="E5" s="351">
        <v>0</v>
      </c>
      <c r="F5" s="351">
        <v>0</v>
      </c>
      <c r="G5" s="351">
        <v>0</v>
      </c>
      <c r="H5" s="351">
        <v>0</v>
      </c>
      <c r="I5" s="351">
        <v>0</v>
      </c>
      <c r="J5" s="351">
        <v>0</v>
      </c>
      <c r="K5" s="351">
        <v>0</v>
      </c>
      <c r="L5" s="351">
        <v>0</v>
      </c>
      <c r="M5" s="351"/>
    </row>
    <row r="6" spans="2:13" x14ac:dyDescent="0.15">
      <c r="B6" s="40" t="s">
        <v>54</v>
      </c>
      <c r="C6" s="351">
        <v>62611</v>
      </c>
      <c r="D6" s="351">
        <v>63194</v>
      </c>
      <c r="E6" s="351">
        <v>65314</v>
      </c>
      <c r="F6" s="351">
        <v>56820</v>
      </c>
      <c r="G6" s="351">
        <v>49077</v>
      </c>
      <c r="H6" s="351">
        <v>47190</v>
      </c>
      <c r="I6" s="351">
        <v>42561</v>
      </c>
      <c r="J6" s="351">
        <v>38680</v>
      </c>
      <c r="K6" s="351">
        <v>36735</v>
      </c>
      <c r="L6" s="351">
        <v>33323</v>
      </c>
      <c r="M6" s="351"/>
    </row>
    <row r="7" spans="2:13" x14ac:dyDescent="0.15">
      <c r="B7" s="69" t="s">
        <v>61</v>
      </c>
      <c r="C7" s="352">
        <v>0</v>
      </c>
      <c r="D7" s="352">
        <v>0</v>
      </c>
      <c r="E7" s="352">
        <v>0</v>
      </c>
      <c r="F7" s="352">
        <v>0</v>
      </c>
      <c r="G7" s="352">
        <v>0</v>
      </c>
      <c r="H7" s="352">
        <v>0</v>
      </c>
      <c r="I7" s="352">
        <v>0</v>
      </c>
      <c r="J7" s="352">
        <v>0</v>
      </c>
      <c r="K7" s="352">
        <v>0</v>
      </c>
      <c r="L7" s="352">
        <v>0</v>
      </c>
      <c r="M7" s="352"/>
    </row>
    <row r="8" spans="2:13" x14ac:dyDescent="0.15">
      <c r="B8" s="40" t="s">
        <v>49</v>
      </c>
      <c r="C8" s="351">
        <v>0</v>
      </c>
      <c r="D8" s="351">
        <v>0</v>
      </c>
      <c r="E8" s="351">
        <v>0</v>
      </c>
      <c r="F8" s="351">
        <v>0</v>
      </c>
      <c r="G8" s="351">
        <v>0</v>
      </c>
      <c r="H8" s="351">
        <v>0</v>
      </c>
      <c r="I8" s="351">
        <v>0</v>
      </c>
      <c r="J8" s="351">
        <v>0</v>
      </c>
      <c r="K8" s="351">
        <v>0</v>
      </c>
      <c r="L8" s="351">
        <v>0</v>
      </c>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x14ac:dyDescent="0.15">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x14ac:dyDescent="0.15">
      <c r="B14" s="40" t="s">
        <v>50</v>
      </c>
      <c r="C14" s="351">
        <v>9629</v>
      </c>
      <c r="D14" s="351">
        <v>6675</v>
      </c>
      <c r="E14" s="351">
        <v>13807</v>
      </c>
      <c r="F14" s="351">
        <v>11494</v>
      </c>
      <c r="G14" s="351">
        <v>8956</v>
      </c>
      <c r="H14" s="351">
        <v>7801</v>
      </c>
      <c r="I14" s="351">
        <v>6832</v>
      </c>
      <c r="J14" s="351">
        <v>7018</v>
      </c>
      <c r="K14" s="351">
        <v>9598</v>
      </c>
      <c r="L14" s="351">
        <v>12594</v>
      </c>
      <c r="M14" s="351"/>
    </row>
    <row r="15" spans="2:13" x14ac:dyDescent="0.15">
      <c r="B15" s="43" t="s">
        <v>42</v>
      </c>
      <c r="C15" s="353">
        <v>77491</v>
      </c>
      <c r="D15" s="353">
        <v>77654</v>
      </c>
      <c r="E15" s="353">
        <v>92414</v>
      </c>
      <c r="F15" s="353">
        <v>83816</v>
      </c>
      <c r="G15" s="353">
        <v>67681</v>
      </c>
      <c r="H15" s="353">
        <v>66702</v>
      </c>
      <c r="I15" s="353">
        <v>61245</v>
      </c>
      <c r="J15" s="353">
        <v>57735</v>
      </c>
      <c r="K15" s="353">
        <v>54327</v>
      </c>
      <c r="L15" s="353">
        <v>50650</v>
      </c>
      <c r="M15" s="353"/>
    </row>
    <row r="16" spans="2:13" x14ac:dyDescent="0.15">
      <c r="B16" s="28" t="s">
        <v>44</v>
      </c>
      <c r="C16" s="351">
        <v>286</v>
      </c>
      <c r="D16" s="351">
        <v>538</v>
      </c>
      <c r="E16" s="351">
        <v>1037</v>
      </c>
      <c r="F16" s="351">
        <v>1136</v>
      </c>
      <c r="G16" s="351">
        <v>1055</v>
      </c>
      <c r="H16" s="351">
        <v>834</v>
      </c>
      <c r="I16" s="351">
        <v>625</v>
      </c>
      <c r="J16" s="351">
        <v>535</v>
      </c>
      <c r="K16" s="351">
        <v>477</v>
      </c>
      <c r="L16" s="351">
        <v>443</v>
      </c>
      <c r="M16" s="351"/>
    </row>
    <row r="18" spans="2:13" x14ac:dyDescent="0.15">
      <c r="B18" s="16" t="s">
        <v>51</v>
      </c>
      <c r="C18" s="9"/>
    </row>
    <row r="19" spans="2:13" ht="13" x14ac:dyDescent="0.15">
      <c r="B19" s="27" t="s">
        <v>47</v>
      </c>
      <c r="C19" s="351"/>
      <c r="D19" s="351"/>
      <c r="E19" s="351"/>
      <c r="F19" s="351"/>
      <c r="G19" s="351"/>
      <c r="H19" s="351"/>
      <c r="I19" s="351"/>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ht="13" x14ac:dyDescent="0.15">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ht="13" x14ac:dyDescent="0.15">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463</v>
      </c>
    </row>
    <row r="28" spans="2:13" ht="13" x14ac:dyDescent="0.15">
      <c r="B28" s="26" t="s">
        <v>24</v>
      </c>
      <c r="C28" s="333">
        <f>BS!C4</f>
        <v>0</v>
      </c>
      <c r="D28" s="351"/>
      <c r="E28" s="351"/>
      <c r="F28" s="351"/>
      <c r="G28" s="351"/>
      <c r="H28" s="351"/>
      <c r="I28" s="351"/>
      <c r="J28" s="351"/>
      <c r="K28" s="351"/>
      <c r="L28" s="351"/>
      <c r="M28" s="351"/>
    </row>
    <row r="29" spans="2:13" ht="13" x14ac:dyDescent="0.15">
      <c r="B29" s="26" t="s">
        <v>32</v>
      </c>
      <c r="C29" s="333">
        <f>BS!C6</f>
        <v>0</v>
      </c>
      <c r="D29" s="351"/>
      <c r="E29" s="351"/>
      <c r="F29" s="351"/>
      <c r="G29" s="351"/>
      <c r="H29" s="351"/>
      <c r="I29" s="351"/>
      <c r="J29" s="351"/>
      <c r="K29" s="351"/>
      <c r="L29" s="351"/>
      <c r="M29" s="351"/>
    </row>
    <row r="30" spans="2:13" ht="13" x14ac:dyDescent="0.15">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ht="13" x14ac:dyDescent="0.15">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ht="13" x14ac:dyDescent="0.15">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x14ac:dyDescent="0.15">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ht="13" x14ac:dyDescent="0.15">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x14ac:dyDescent="0.15">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x14ac:dyDescent="0.15">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x14ac:dyDescent="0.15">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x14ac:dyDescent="0.15">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x14ac:dyDescent="0.15">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x14ac:dyDescent="0.15">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x14ac:dyDescent="0.15">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x14ac:dyDescent="0.15">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x14ac:dyDescent="0.15">
      <c r="B50" s="16" t="s">
        <v>68</v>
      </c>
    </row>
    <row r="51" spans="2:13" x14ac:dyDescent="0.15">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x14ac:dyDescent="0.15">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x14ac:dyDescent="0.15">
      <c r="B60" s="16" t="s">
        <v>51</v>
      </c>
      <c r="C60" s="9"/>
    </row>
    <row r="61" spans="2:13" ht="13" x14ac:dyDescent="0.15">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x14ac:dyDescent="0.15">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ht="13" x14ac:dyDescent="0.15">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x14ac:dyDescent="0.15">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x14ac:dyDescent="0.15">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x14ac:dyDescent="0.15">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ht="13" x14ac:dyDescent="0.15">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ht="13" x14ac:dyDescent="0.15">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ht="13" x14ac:dyDescent="0.15">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ht="13" x14ac:dyDescent="0.15">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v>0</v>
      </c>
      <c r="D4" s="261">
        <v>0.6</v>
      </c>
      <c r="E4" s="25"/>
      <c r="F4" s="4" t="s">
        <v>77</v>
      </c>
      <c r="G4" s="19">
        <f>394940+107117+70524+377748</f>
        <v>950329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0</v>
      </c>
      <c r="D6" s="261">
        <v>0.5</v>
      </c>
      <c r="E6" s="25"/>
      <c r="F6" s="4" t="s">
        <v>177</v>
      </c>
      <c r="G6" s="19">
        <v>0</v>
      </c>
      <c r="H6" s="261">
        <v>0.6</v>
      </c>
    </row>
    <row r="7" spans="2:8" ht="15" customHeight="1" x14ac:dyDescent="0.15">
      <c r="B7" s="1" t="s">
        <v>69</v>
      </c>
      <c r="C7" s="19">
        <v>0</v>
      </c>
      <c r="D7" s="261">
        <v>0.6</v>
      </c>
      <c r="E7" s="25"/>
      <c r="F7" s="4" t="s">
        <v>178</v>
      </c>
      <c r="G7" s="19">
        <f>6731</f>
        <v>6731</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0</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0</v>
      </c>
      <c r="D11" s="261">
        <v>0.05</v>
      </c>
      <c r="H11" s="262"/>
    </row>
    <row r="12" spans="2:8" ht="15" customHeight="1" x14ac:dyDescent="0.15">
      <c r="B12" s="80" t="s">
        <v>72</v>
      </c>
      <c r="C12" s="81">
        <f>SUM(C4:C11)</f>
        <v>0</v>
      </c>
      <c r="D12" s="20">
        <f>C4*D4+C5*D5+C9*D9+C6*D6+C8*D8+C7*D7+C10*D10+C11*D11</f>
        <v>0</v>
      </c>
      <c r="F12" s="80" t="s">
        <v>70</v>
      </c>
      <c r="G12" s="81">
        <f>SUM(G4:G9)</f>
        <v>957060</v>
      </c>
      <c r="H12" s="20">
        <f>G4*H4+G5*H5+G6*H6+G7*H7+G8*H8+G9*H9</f>
        <v>859334.7</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458</v>
      </c>
      <c r="C15" s="19">
        <v>0</v>
      </c>
      <c r="D15" s="261">
        <v>0.4</v>
      </c>
      <c r="F15" s="4" t="s">
        <v>78</v>
      </c>
      <c r="G15" s="19">
        <f>177518+5608859</f>
        <v>5786377</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f>923189+1896064+630916+4011+114913</f>
        <v>3569093</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28869+1862+9314</f>
        <v>40045</v>
      </c>
      <c r="D19" s="261">
        <v>0.1</v>
      </c>
      <c r="F19" s="4" t="s">
        <v>182</v>
      </c>
      <c r="G19" s="19">
        <v>3917</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1122</v>
      </c>
      <c r="D21" s="261">
        <v>0.05</v>
      </c>
      <c r="F21" s="1" t="s">
        <v>180</v>
      </c>
      <c r="G21" s="19">
        <v>0</v>
      </c>
      <c r="H21" s="261">
        <v>0.1</v>
      </c>
    </row>
    <row r="22" spans="2:8" ht="15" customHeight="1" x14ac:dyDescent="0.15">
      <c r="B22" s="4" t="s">
        <v>20</v>
      </c>
      <c r="C22" s="19">
        <v>67259</v>
      </c>
      <c r="D22" s="261">
        <v>0.9</v>
      </c>
      <c r="H22" s="262"/>
    </row>
    <row r="23" spans="2:8" ht="15" customHeight="1" x14ac:dyDescent="0.15">
      <c r="B23" s="4" t="s">
        <v>21</v>
      </c>
      <c r="C23" s="19">
        <f>532+82493</f>
        <v>83025</v>
      </c>
      <c r="D23" s="261">
        <v>0</v>
      </c>
      <c r="H23" s="262"/>
    </row>
    <row r="24" spans="2:8" ht="15" customHeight="1" x14ac:dyDescent="0.15">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x14ac:dyDescent="0.15">
      <c r="B26" s="16" t="s">
        <v>200</v>
      </c>
      <c r="C26" s="182" t="s">
        <v>136</v>
      </c>
      <c r="F26" s="184" t="s">
        <v>196</v>
      </c>
      <c r="G26" s="185" t="s">
        <v>136</v>
      </c>
      <c r="H26" s="186" t="s">
        <v>35</v>
      </c>
    </row>
    <row r="27" spans="2:8" ht="15" customHeight="1" x14ac:dyDescent="0.15">
      <c r="B27" s="4" t="s">
        <v>5</v>
      </c>
      <c r="C27" s="19">
        <f>91419+1832111+336862+5630360</f>
        <v>7890752</v>
      </c>
      <c r="F27" s="187" t="s">
        <v>30</v>
      </c>
      <c r="G27" s="85">
        <f>G32-G30</f>
        <v>893611</v>
      </c>
      <c r="H27" s="188">
        <f>H32-G30</f>
        <v>-1919409.4999999991</v>
      </c>
    </row>
    <row r="28" spans="2:8" ht="15" customHeight="1" x14ac:dyDescent="0.15">
      <c r="B28" s="4" t="s">
        <v>6</v>
      </c>
      <c r="C28" s="19">
        <v>9304</v>
      </c>
      <c r="F28" s="189" t="s">
        <v>244</v>
      </c>
      <c r="G28" s="12">
        <v>11703</v>
      </c>
      <c r="H28" s="188"/>
    </row>
    <row r="29" spans="2:8" ht="15" customHeight="1" x14ac:dyDescent="0.15">
      <c r="B29" s="4" t="s">
        <v>7</v>
      </c>
      <c r="C29" s="19">
        <v>0</v>
      </c>
      <c r="F29" s="190" t="s">
        <v>75</v>
      </c>
      <c r="G29" s="14">
        <f>G27-G28</f>
        <v>881908</v>
      </c>
      <c r="H29" s="188">
        <f>H27-G28</f>
        <v>-1931112.4999999991</v>
      </c>
    </row>
    <row r="30" spans="2:8" ht="15" customHeight="1" x14ac:dyDescent="0.15">
      <c r="B30" s="2" t="s">
        <v>8</v>
      </c>
      <c r="C30" s="19">
        <f>26740+74890+261996+1252987</f>
        <v>1616613</v>
      </c>
      <c r="F30" s="187" t="s">
        <v>23</v>
      </c>
      <c r="G30" s="85">
        <f>C33+C42</f>
        <v>9614287</v>
      </c>
      <c r="H30" s="188"/>
    </row>
    <row r="31" spans="2:8" ht="15" customHeight="1" x14ac:dyDescent="0.15">
      <c r="B31" s="80" t="s">
        <v>203</v>
      </c>
      <c r="C31" s="81">
        <f>SUM(C27:C30)</f>
        <v>9516669</v>
      </c>
      <c r="F31" s="190" t="s">
        <v>76</v>
      </c>
      <c r="G31" s="191">
        <f>C31+C40</f>
        <v>9516669</v>
      </c>
      <c r="H31" s="188"/>
    </row>
    <row r="32" spans="2:8" ht="15" customHeight="1" x14ac:dyDescent="0.15">
      <c r="B32" s="4" t="s">
        <v>9</v>
      </c>
      <c r="C32" s="21">
        <f>C33-C31</f>
        <v>97618</v>
      </c>
      <c r="F32" s="192" t="s">
        <v>74</v>
      </c>
      <c r="G32" s="193">
        <f>G35+G40</f>
        <v>10507898</v>
      </c>
      <c r="H32" s="188">
        <f>H35+H40</f>
        <v>7694877.5000000009</v>
      </c>
    </row>
    <row r="33" spans="2:8" ht="15" customHeight="1" x14ac:dyDescent="0.15">
      <c r="B33" s="83" t="s">
        <v>4</v>
      </c>
      <c r="C33" s="84">
        <v>9614287</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191451</v>
      </c>
      <c r="H35" s="200">
        <f>D12+D24</f>
        <v>64593.7</v>
      </c>
    </row>
    <row r="36" spans="2:8" ht="15" customHeight="1" x14ac:dyDescent="0.15">
      <c r="B36" s="4" t="s">
        <v>13</v>
      </c>
      <c r="C36" s="19">
        <v>0</v>
      </c>
      <c r="F36" s="190" t="s">
        <v>197</v>
      </c>
      <c r="G36" s="191">
        <f>C4+C15</f>
        <v>0</v>
      </c>
      <c r="H36" s="195"/>
    </row>
    <row r="37" spans="2:8" ht="15" customHeight="1" x14ac:dyDescent="0.15">
      <c r="B37" s="4" t="s">
        <v>14</v>
      </c>
      <c r="C37" s="19">
        <v>0</v>
      </c>
      <c r="F37" s="190" t="s">
        <v>198</v>
      </c>
      <c r="G37" s="191">
        <f>C6</f>
        <v>0</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40045</v>
      </c>
      <c r="H39" s="188">
        <f>C7*D7+C17*D17+C19*D19+C20*D20</f>
        <v>4004.5</v>
      </c>
    </row>
    <row r="40" spans="2:8" ht="15" customHeight="1" x14ac:dyDescent="0.15">
      <c r="B40" s="80" t="s">
        <v>204</v>
      </c>
      <c r="C40" s="81">
        <f>SUM(C36:C39)</f>
        <v>0</v>
      </c>
      <c r="F40" s="199" t="s">
        <v>138</v>
      </c>
      <c r="G40" s="193">
        <f>G12+G24</f>
        <v>10316447</v>
      </c>
      <c r="H40" s="200">
        <f>H12+H24</f>
        <v>7630283.8000000007</v>
      </c>
    </row>
    <row r="41" spans="2:8" ht="15" customHeight="1" x14ac:dyDescent="0.15">
      <c r="B41" s="4" t="s">
        <v>17</v>
      </c>
      <c r="C41" s="21">
        <f>C42-C40</f>
        <v>0</v>
      </c>
      <c r="F41" s="190" t="s">
        <v>191</v>
      </c>
      <c r="G41" s="191">
        <f>C70</f>
        <v>6736706</v>
      </c>
      <c r="H41" s="200">
        <f>H40-H42</f>
        <v>5484397.7000000011</v>
      </c>
    </row>
    <row r="42" spans="2:8" ht="15" customHeight="1" x14ac:dyDescent="0.15">
      <c r="B42" s="83" t="s">
        <v>22</v>
      </c>
      <c r="C42" s="84">
        <v>0</v>
      </c>
      <c r="F42" s="201" t="s">
        <v>192</v>
      </c>
      <c r="G42" s="202">
        <f>C82</f>
        <v>3579741</v>
      </c>
      <c r="H42" s="203">
        <f>D82</f>
        <v>2145886.1</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881908</v>
      </c>
      <c r="D46" s="76">
        <f>H29</f>
        <v>-1931112.4999999991</v>
      </c>
      <c r="F46" s="253"/>
    </row>
    <row r="47" spans="2:8" ht="15" customHeight="1" x14ac:dyDescent="0.15">
      <c r="B47" s="1" t="str">
        <f>"Equity per share ("&amp;Market_currency&amp;")"</f>
        <v>Equity per share (CNY)</v>
      </c>
      <c r="C47" s="147">
        <f>C46*H1/Common_Shares*Exchange_Rate</f>
        <v>42.451852610917172</v>
      </c>
      <c r="D47" s="147">
        <f>D46*H1/Common_Shares*Exchange_Rate</f>
        <v>-92.956751979911445</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1577.3702399204408</v>
      </c>
      <c r="D50" s="95">
        <f>G31/Normalized_FCF!G8</f>
        <v>-13199.263522884881</v>
      </c>
      <c r="F50" s="253"/>
    </row>
    <row r="51" spans="2:8" ht="15" customHeight="1" x14ac:dyDescent="0.15">
      <c r="B51" s="1" t="s">
        <v>176</v>
      </c>
      <c r="C51" s="181"/>
      <c r="D51" s="92">
        <f>G29/G32</f>
        <v>8.3928108171586746E-2</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3.1513285383727427E-2</v>
      </c>
      <c r="D54" s="92">
        <f>Normalized_FCF!G8/G35</f>
        <v>-3.7659766728823565E-3</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v>
      </c>
      <c r="F58" s="5"/>
    </row>
    <row r="59" spans="2:8" ht="15" customHeight="1" x14ac:dyDescent="0.15">
      <c r="B59" s="1" t="s">
        <v>92</v>
      </c>
      <c r="C59" s="98"/>
      <c r="D59" s="92">
        <f>G39/G32</f>
        <v>3.810942968803085E-3</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1.3270091664890215E-2</v>
      </c>
      <c r="D62" s="92">
        <f>G28/G29</f>
        <v>1.3270091664890215E-2</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6736706</v>
      </c>
      <c r="D66" s="76">
        <f>C66-D75</f>
        <v>0</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6736706</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-7052.6474952516664</v>
      </c>
      <c r="D73" s="349">
        <f>(Normalized_FCF!C25+Normalized_FCF!C35-Normalized_FCF!C91)/12</f>
        <v>-7000.4599952516664</v>
      </c>
      <c r="F73" s="1" t="s">
        <v>351</v>
      </c>
    </row>
    <row r="74" spans="2:6" ht="15" customHeight="1" x14ac:dyDescent="0.15">
      <c r="B74" s="257" t="s">
        <v>321</v>
      </c>
      <c r="C74" s="258">
        <f>-$C$66/C73</f>
        <v>955.20242639882679</v>
      </c>
      <c r="D74" s="258">
        <f>-$C$66/D73</f>
        <v>962.32333369084779</v>
      </c>
      <c r="F74" s="253" t="s">
        <v>319</v>
      </c>
    </row>
    <row r="75" spans="2:6" ht="15" customHeight="1" x14ac:dyDescent="0.15">
      <c r="B75" s="80" t="s">
        <v>320</v>
      </c>
      <c r="C75" s="320"/>
      <c r="D75" s="321">
        <f>MAX(-D73*D76,G5)</f>
        <v>6736706</v>
      </c>
      <c r="F75" s="253" t="s">
        <v>352</v>
      </c>
    </row>
    <row r="76" spans="2:6" ht="15" customHeight="1" x14ac:dyDescent="0.15">
      <c r="B76" s="259" t="s">
        <v>322</v>
      </c>
      <c r="C76" s="260"/>
      <c r="D76" s="290">
        <f>IF(valuation_method="DCF",IF(D74&lt;=3,1,IF(D74&gt;18,6,2)),-C66/D73)</f>
        <v>962.32333369084779</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3575824</v>
      </c>
      <c r="D79" s="76">
        <f>G7*H7+G17*H17</f>
        <v>2145494.4</v>
      </c>
      <c r="F79" s="253"/>
    </row>
    <row r="80" spans="2:6" ht="15" customHeight="1" x14ac:dyDescent="0.15">
      <c r="B80" s="105" t="s">
        <v>182</v>
      </c>
      <c r="C80" s="20">
        <f>G19</f>
        <v>3917</v>
      </c>
      <c r="D80" s="76">
        <f>G19*H19</f>
        <v>391.70000000000005</v>
      </c>
      <c r="F80" s="253"/>
    </row>
    <row r="81" spans="2:8" ht="15" customHeight="1" x14ac:dyDescent="0.15">
      <c r="B81" s="105" t="s">
        <v>180</v>
      </c>
      <c r="C81" s="20">
        <f>G9+G21</f>
        <v>0</v>
      </c>
      <c r="D81" s="76">
        <f>G9*H9+G21*H21</f>
        <v>0</v>
      </c>
      <c r="F81" s="253"/>
    </row>
    <row r="82" spans="2:8" ht="15" customHeight="1" x14ac:dyDescent="0.15">
      <c r="B82" s="80" t="s">
        <v>189</v>
      </c>
      <c r="C82" s="81">
        <f>SUM(C79:C81)</f>
        <v>3579741</v>
      </c>
      <c r="D82" s="81">
        <f>SUM(D79:D81)</f>
        <v>2145886.1</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-9516669</v>
      </c>
      <c r="D86" s="223">
        <f>C86*scaling_factor/Common_Shares</f>
        <v>-458.09793054931413</v>
      </c>
      <c r="E86" s="240" t="str">
        <f>Market_currency</f>
        <v>CNY</v>
      </c>
    </row>
    <row r="87" spans="2:8" ht="15" customHeight="1" x14ac:dyDescent="0.15">
      <c r="B87" s="238" t="s">
        <v>287</v>
      </c>
      <c r="C87" s="76">
        <f>DCF!C8*Exchange_Rate</f>
        <v>0</v>
      </c>
      <c r="D87" s="223">
        <f>C87*scaling_factor/Common_Shares</f>
        <v>0</v>
      </c>
      <c r="E87" s="240" t="str">
        <f>Market_currency</f>
        <v>CNY</v>
      </c>
    </row>
    <row r="88" spans="2:8" ht="15" customHeight="1" x14ac:dyDescent="0.15">
      <c r="B88" s="239" t="s">
        <v>189</v>
      </c>
      <c r="C88" s="76">
        <f>DCF!C9*Exchange_Rate</f>
        <v>2145886.1</v>
      </c>
      <c r="D88" s="223">
        <f>C88*scaling_factor/Common_Shares</f>
        <v>103.2951741417652</v>
      </c>
      <c r="E88" s="240" t="str">
        <f>Market_currency</f>
        <v>CNY</v>
      </c>
    </row>
    <row r="89" spans="2:8" ht="15" customHeight="1" x14ac:dyDescent="0.15">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x14ac:dyDescent="0.15">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x14ac:dyDescent="0.15">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x14ac:dyDescent="0.15">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x14ac:dyDescent="0.15">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x14ac:dyDescent="0.15">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x14ac:dyDescent="0.15">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x14ac:dyDescent="0.15">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x14ac:dyDescent="0.15">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x14ac:dyDescent="0.15">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x14ac:dyDescent="0.2">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x14ac:dyDescent="0.15">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x14ac:dyDescent="0.2">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x14ac:dyDescent="0.15">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x14ac:dyDescent="0.15">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x14ac:dyDescent="0.15">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x14ac:dyDescent="0.15">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x14ac:dyDescent="0.15">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x14ac:dyDescent="0.15">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x14ac:dyDescent="0.15">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x14ac:dyDescent="0.15">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x14ac:dyDescent="0.15">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x14ac:dyDescent="0.15">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x14ac:dyDescent="0.15">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x14ac:dyDescent="0.15">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x14ac:dyDescent="0.15">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4.6861184792219276E-2</v>
      </c>
      <c r="E93" s="268"/>
      <c r="G93" s="23">
        <f t="shared" ref="G93:Q93" si="39">IF(G$4="","",G90/Market_Price)</f>
        <v>4.6861184792219276E-2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x14ac:dyDescent="0.15">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x14ac:dyDescent="0.15">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x14ac:dyDescent="0.15">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x14ac:dyDescent="0.15">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x14ac:dyDescent="0.15">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x14ac:dyDescent="0.15">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x14ac:dyDescent="0.15">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x14ac:dyDescent="0.15">
      <c r="A125" s="10"/>
      <c r="B125" s="27" t="s">
        <v>269</v>
      </c>
      <c r="C125" s="77">
        <f>C19*Exchange_Rate*$C$3/(Market_Price*Common_Shares)</f>
        <v>0.24409223311175232</v>
      </c>
      <c r="D125" s="27"/>
      <c r="E125" s="265"/>
      <c r="F125" s="27"/>
      <c r="G125" s="77">
        <f t="shared" ref="G125" si="50">IF(G$4="","",G124/Market_Price)</f>
        <v>0.29254444559569703</v>
      </c>
      <c r="H125" s="77">
        <f t="shared" ref="H125" si="51">IF(H$4="","",H124/Market_Price)</f>
        <v>0.29389362599380042</v>
      </c>
      <c r="I125" s="77">
        <f t="shared" ref="I125" si="52">IF(I$4="","",I124/Market_Price)</f>
        <v>0.29779433209746531</v>
      </c>
      <c r="J125" s="77">
        <f t="shared" ref="J125" si="53">IF(J$4="","",J124/Market_Price)</f>
        <v>0.31831081193676319</v>
      </c>
      <c r="K125" s="77">
        <f t="shared" ref="K125" si="54">IF(K$4="","",K124/Market_Price)</f>
        <v>0.30210362280118674</v>
      </c>
      <c r="L125" s="77">
        <f t="shared" ref="L125" si="55">IF(L$4="","",L124/Market_Price)</f>
        <v>0.26329659797498245</v>
      </c>
      <c r="M125" s="77">
        <f t="shared" ref="M125" si="56">IF(M$4="","",M124/Market_Price)</f>
        <v>0.22740499451376497</v>
      </c>
      <c r="N125" s="77">
        <f t="shared" ref="N125" si="57">IF(N$4="","",N124/Market_Price)</f>
        <v>0.19741233121586393</v>
      </c>
      <c r="O125" s="77">
        <f t="shared" ref="O125" si="58">IF(O$4="","",O124/Market_Price)</f>
        <v>0.22255730847767738</v>
      </c>
      <c r="P125" s="77">
        <f t="shared" ref="P125" si="59">IF(P$4="","",P124/Market_Price)</f>
        <v>0.202234480714448</v>
      </c>
      <c r="Q125" s="77" t="str">
        <f t="shared" ref="Q125" si="60">IF(Q$4="","",Q124/Market_Price)</f>
        <v/>
      </c>
    </row>
    <row r="126" spans="1:17" ht="15.75" customHeight="1" x14ac:dyDescent="0.15">
      <c r="B126" s="2" t="s">
        <v>394</v>
      </c>
      <c r="C126" s="169"/>
      <c r="G126" s="23">
        <f>IF(G$4="","",(Data!C47*$C$3)/(Market_Price*Common_Shares))</f>
        <v>0.16490431897386476</v>
      </c>
      <c r="H126" s="23">
        <f>IF(H$4="","",(Data!D47*$C$3)/(Market_Price*Common_Shares))</f>
        <v>0.16525119027495441</v>
      </c>
      <c r="I126" s="23">
        <f>IF(I$4="","",(Data!E47*$C$3)/(Market_Price*Common_Shares))</f>
        <v>0.19666113140430161</v>
      </c>
      <c r="J126" s="23">
        <f>IF(J$4="","",(Data!F47*$C$3)/(Market_Price*Common_Shares))</f>
        <v>0.1783642022830193</v>
      </c>
      <c r="K126" s="23">
        <f>IF(K$4="","",(Data!G47*$C$3)/(Market_Price*Common_Shares))</f>
        <v>0.14402819956472546</v>
      </c>
      <c r="L126" s="23">
        <f>IF(L$4="","",(Data!H47*$C$3)/(Market_Price*Common_Shares))</f>
        <v>0.14194484371339544</v>
      </c>
      <c r="M126" s="23">
        <f>IF(M$4="","",(Data!I47*$C$3)/(Market_Price*Common_Shares))</f>
        <v>0.13033210328366321</v>
      </c>
      <c r="N126" s="23">
        <f>IF(N$4="","",(Data!J47*$C$3)/(Market_Price*Common_Shares))</f>
        <v>0.12286266606387944</v>
      </c>
      <c r="O126" s="23">
        <f>IF(O$4="","",(Data!K47*$C$3)/(Market_Price*Common_Shares))</f>
        <v>0.1156102894128757</v>
      </c>
      <c r="P126" s="23">
        <f>IF(P$4="","",(Data!L47*$C$3)/(Market_Price*Common_Shares))</f>
        <v>0.10778546871283438</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1000000</v>
      </c>
      <c r="E3" s="109" t="s">
        <v>124</v>
      </c>
      <c r="H3" s="120"/>
    </row>
    <row r="4" spans="2:8" x14ac:dyDescent="0.15">
      <c r="B4" s="100" t="s">
        <v>128</v>
      </c>
      <c r="C4" s="338">
        <f>Normalized_FCF!C19</f>
        <v>114702.58240513749</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1911709.7067522916</v>
      </c>
      <c r="D6" t="str">
        <f>Reporting_currency</f>
        <v>CNY</v>
      </c>
      <c r="E6" s="364" t="s">
        <v>249</v>
      </c>
      <c r="F6" s="364"/>
      <c r="H6" s="120"/>
    </row>
    <row r="7" spans="2:8" x14ac:dyDescent="0.15">
      <c r="B7" s="148" t="s">
        <v>224</v>
      </c>
      <c r="C7" s="338">
        <f>BS!G31</f>
        <v>9516669</v>
      </c>
      <c r="D7" t="str">
        <f>Reporting_currency</f>
        <v>CNY</v>
      </c>
      <c r="E7" s="364"/>
      <c r="F7" s="364"/>
      <c r="H7" s="120"/>
    </row>
    <row r="8" spans="2:8" x14ac:dyDescent="0.15">
      <c r="B8" s="148" t="s">
        <v>225</v>
      </c>
      <c r="C8" s="338">
        <f>BS!D66</f>
        <v>0</v>
      </c>
      <c r="D8" t="str">
        <f>Reporting_currency</f>
        <v>CNY</v>
      </c>
      <c r="E8" s="364"/>
      <c r="F8" s="364"/>
      <c r="H8" s="120"/>
    </row>
    <row r="9" spans="2:8" x14ac:dyDescent="0.15">
      <c r="B9" s="205" t="s">
        <v>190</v>
      </c>
      <c r="C9" s="348">
        <f>BS!H42</f>
        <v>2145886.1</v>
      </c>
      <c r="D9" t="str">
        <f>Reporting_currency</f>
        <v>CNY</v>
      </c>
      <c r="E9" s="364"/>
      <c r="F9" s="364"/>
      <c r="H9" s="120"/>
    </row>
    <row r="10" spans="2:8" x14ac:dyDescent="0.15">
      <c r="B10" s="149" t="s">
        <v>227</v>
      </c>
      <c r="C10" s="347">
        <f>C6-C7+C8+C9</f>
        <v>-5459073.1932477076</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-262.77998452441824</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3.0480331534493699E-2</v>
      </c>
      <c r="H16" s="120"/>
    </row>
    <row r="17" spans="2:17" ht="13.25" customHeight="1" x14ac:dyDescent="0.15">
      <c r="B17" s="118" t="s">
        <v>134</v>
      </c>
      <c r="C17" s="162">
        <f>Scenarios!C64</f>
        <v>30</v>
      </c>
      <c r="H17" s="120"/>
    </row>
    <row r="18" spans="2:17" ht="13.25" customHeight="1" x14ac:dyDescent="0.15">
      <c r="B18" s="153" t="s">
        <v>106</v>
      </c>
      <c r="C18" s="140">
        <f>(F52-C7+C8+C9)*Exchange_Rate/Common_Shares*scaling_factor</f>
        <v>-228.15289802637383</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x14ac:dyDescent="0.15">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x14ac:dyDescent="0.15">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x14ac:dyDescent="0.15">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x14ac:dyDescent="0.15">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x14ac:dyDescent="0.15">
      <c r="B26" s="122">
        <v>6</v>
      </c>
      <c r="C26" s="123">
        <f t="shared" si="2"/>
        <v>137344.55208924323</v>
      </c>
      <c r="D26" s="138">
        <f>IF($C$17&lt;B26,0,DCF!$C$16)</f>
        <v>3.0480331534493699E-2</v>
      </c>
      <c r="E26" s="124">
        <f t="shared" si="0"/>
        <v>0.70496054043967626</v>
      </c>
      <c r="F26" s="125">
        <f t="shared" si="1"/>
        <v>96822.489667278176</v>
      </c>
      <c r="H26" s="120"/>
    </row>
    <row r="27" spans="2:17" x14ac:dyDescent="0.15">
      <c r="B27" s="122">
        <v>7</v>
      </c>
      <c r="C27" s="123">
        <f t="shared" si="2"/>
        <v>141530.8595713799</v>
      </c>
      <c r="D27" s="138">
        <f>IF($C$17&lt;B27,0,DCF!$C$16)</f>
        <v>3.0480331534493699E-2</v>
      </c>
      <c r="E27" s="124">
        <f t="shared" si="0"/>
        <v>0.66505711362233599</v>
      </c>
      <c r="F27" s="125">
        <f t="shared" si="1"/>
        <v>94126.104955030081</v>
      </c>
      <c r="H27" s="120"/>
    </row>
    <row r="28" spans="2:17" x14ac:dyDescent="0.15">
      <c r="B28" s="122">
        <v>8</v>
      </c>
      <c r="C28" s="123">
        <f t="shared" si="2"/>
        <v>145844.76709347745</v>
      </c>
      <c r="D28" s="138">
        <f>IF($C$17&lt;B28,0,DCF!$C$16)</f>
        <v>3.0480331534493699E-2</v>
      </c>
      <c r="E28" s="124">
        <f t="shared" si="0"/>
        <v>0.62741237134182648</v>
      </c>
      <c r="F28" s="125">
        <f t="shared" si="1"/>
        <v>91504.811169915076</v>
      </c>
      <c r="H28" s="120"/>
    </row>
    <row r="29" spans="2:17" x14ac:dyDescent="0.15">
      <c r="B29" s="122">
        <v>9</v>
      </c>
      <c r="C29" s="123">
        <f t="shared" si="2"/>
        <v>150290.16394705765</v>
      </c>
      <c r="D29" s="138">
        <f>IF($C$17&lt;B29,0,DCF!$C$16)</f>
        <v>3.0480331534493699E-2</v>
      </c>
      <c r="E29" s="124">
        <f t="shared" si="0"/>
        <v>0.59189846353002495</v>
      </c>
      <c r="F29" s="125">
        <f t="shared" si="1"/>
        <v>88956.517123938975</v>
      </c>
      <c r="H29" s="120"/>
    </row>
    <row r="30" spans="2:17" x14ac:dyDescent="0.15">
      <c r="B30" s="122">
        <v>10</v>
      </c>
      <c r="C30" s="123">
        <f t="shared" si="2"/>
        <v>154871.0579705374</v>
      </c>
      <c r="D30" s="138">
        <f>IF($C$17&lt;B30,0,DCF!$C$16)</f>
        <v>3.0480331534493699E-2</v>
      </c>
      <c r="E30" s="124">
        <f t="shared" si="0"/>
        <v>0.55839477691511785</v>
      </c>
      <c r="F30" s="125">
        <f t="shared" si="1"/>
        <v>86479.189866066517</v>
      </c>
      <c r="H30" s="120"/>
    </row>
    <row r="31" spans="2:17" x14ac:dyDescent="0.15">
      <c r="B31" s="122">
        <v>11</v>
      </c>
      <c r="C31" s="123">
        <f t="shared" si="2"/>
        <v>159591.57916257714</v>
      </c>
      <c r="D31" s="138">
        <f>IF($C$17&lt;B31,0,DCF!$C$16)</f>
        <v>3.0480331534493699E-2</v>
      </c>
      <c r="E31" s="124">
        <f t="shared" si="0"/>
        <v>0.52678752539162055</v>
      </c>
      <c r="F31" s="125">
        <f t="shared" si="1"/>
        <v>84070.853060394918</v>
      </c>
      <c r="H31" s="120"/>
    </row>
    <row r="32" spans="2:17" x14ac:dyDescent="0.15">
      <c r="B32" s="122">
        <v>12</v>
      </c>
      <c r="C32" s="123">
        <f t="shared" si="2"/>
        <v>164455.9834055659</v>
      </c>
      <c r="D32" s="138">
        <f>IF($C$17&lt;B32,0,DCF!$C$16)</f>
        <v>3.0480331534493699E-2</v>
      </c>
      <c r="E32" s="124">
        <f t="shared" si="0"/>
        <v>0.4969693635770005</v>
      </c>
      <c r="F32" s="125">
        <f t="shared" si="1"/>
        <v>81729.58540949384</v>
      </c>
      <c r="H32" s="120"/>
    </row>
    <row r="33" spans="2:17" x14ac:dyDescent="0.15">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x14ac:dyDescent="0.15">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x14ac:dyDescent="0.15">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x14ac:dyDescent="0.15">
      <c r="B36" s="122">
        <v>16</v>
      </c>
      <c r="C36" s="123">
        <f t="shared" si="2"/>
        <v>185442.17263933172</v>
      </c>
      <c r="D36" s="138">
        <f>IF($C$17&lt;B36,0,DCF!$C$16)</f>
        <v>3.0480331534493699E-2</v>
      </c>
      <c r="E36" s="124">
        <f t="shared" si="0"/>
        <v>0.39364628371277405</v>
      </c>
      <c r="F36" s="125">
        <f t="shared" si="1"/>
        <v>72998.622103095593</v>
      </c>
      <c r="H36" s="120"/>
    </row>
    <row r="37" spans="2:17" x14ac:dyDescent="0.15">
      <c r="B37" s="122">
        <v>17</v>
      </c>
      <c r="C37" s="123">
        <f t="shared" si="2"/>
        <v>191094.51154185535</v>
      </c>
      <c r="D37" s="138">
        <f>IF($C$17&lt;B37,0,DCF!$C$16)</f>
        <v>3.0480331534493699E-2</v>
      </c>
      <c r="E37" s="124">
        <f t="shared" si="0"/>
        <v>0.37136441859695657</v>
      </c>
      <c r="F37" s="125">
        <f t="shared" si="1"/>
        <v>70965.702175810511</v>
      </c>
      <c r="H37" s="120"/>
    </row>
    <row r="38" spans="2:17" x14ac:dyDescent="0.15">
      <c r="B38" s="122">
        <v>18</v>
      </c>
      <c r="C38" s="123">
        <f t="shared" si="2"/>
        <v>196919.13560807324</v>
      </c>
      <c r="D38" s="138">
        <f>IF($C$17&lt;B38,0,DCF!$C$16)</f>
        <v>3.0480331534493699E-2</v>
      </c>
      <c r="E38" s="124">
        <f t="shared" si="0"/>
        <v>0.35034379112920433</v>
      </c>
      <c r="F38" s="125">
        <f t="shared" si="1"/>
        <v>68989.396514818276</v>
      </c>
      <c r="H38" s="120"/>
    </row>
    <row r="39" spans="2:17" x14ac:dyDescent="0.15">
      <c r="B39" s="122">
        <v>19</v>
      </c>
      <c r="C39" s="123">
        <f t="shared" si="2"/>
        <v>202921.29614689323</v>
      </c>
      <c r="D39" s="138">
        <f>IF($C$17&lt;B39,0,DCF!$C$16)</f>
        <v>3.0480331534493699E-2</v>
      </c>
      <c r="E39" s="124">
        <f t="shared" si="0"/>
        <v>0.3305130104992493</v>
      </c>
      <c r="F39" s="125">
        <f t="shared" si="1"/>
        <v>67068.128483919398</v>
      </c>
      <c r="H39" s="120"/>
    </row>
    <row r="40" spans="2:17" x14ac:dyDescent="0.15">
      <c r="B40" s="122">
        <v>20</v>
      </c>
      <c r="C40" s="123">
        <f t="shared" si="2"/>
        <v>209106.40452885974</v>
      </c>
      <c r="D40" s="138">
        <f>IF($C$17&lt;B40,0,DCF!$C$16)</f>
        <v>3.0480331534493699E-2</v>
      </c>
      <c r="E40" s="124">
        <f t="shared" si="0"/>
        <v>0.31180472688608429</v>
      </c>
      <c r="F40" s="125">
        <f t="shared" si="1"/>
        <v>65200.365354252172</v>
      </c>
      <c r="H40" s="120"/>
    </row>
    <row r="41" spans="2:17" x14ac:dyDescent="0.15">
      <c r="B41" s="122">
        <v>21</v>
      </c>
      <c r="C41" s="123">
        <f t="shared" si="2"/>
        <v>215480.03706488534</v>
      </c>
      <c r="D41" s="138">
        <f>IF($C$17&lt;B41,0,DCF!$C$16)</f>
        <v>3.0480331534493699E-2</v>
      </c>
      <c r="E41" s="124">
        <f t="shared" si="0"/>
        <v>0.29415540272272095</v>
      </c>
      <c r="F41" s="125">
        <f t="shared" si="1"/>
        <v>63384.617081528188</v>
      </c>
      <c r="H41" s="120"/>
    </row>
    <row r="42" spans="2:17" x14ac:dyDescent="0.15">
      <c r="B42" s="122">
        <v>22</v>
      </c>
      <c r="C42" s="123">
        <f t="shared" si="2"/>
        <v>222047.94003368801</v>
      </c>
      <c r="D42" s="138">
        <f>IF($C$17&lt;B42,0,DCF!$C$16)</f>
        <v>3.0480331534493699E-2</v>
      </c>
      <c r="E42" s="124">
        <f t="shared" si="0"/>
        <v>0.27750509690822728</v>
      </c>
      <c r="F42" s="125">
        <f t="shared" si="1"/>
        <v>61619.435117320827</v>
      </c>
      <c r="H42" s="120"/>
    </row>
    <row r="43" spans="2:17" x14ac:dyDescent="0.15">
      <c r="B43" s="122">
        <v>23</v>
      </c>
      <c r="C43" s="123">
        <f t="shared" si="2"/>
        <v>228816.03486246624</v>
      </c>
      <c r="D43" s="138">
        <f>IF($C$17&lt;B43,0,DCF!$C$16)</f>
        <v>3.0480331534493699E-2</v>
      </c>
      <c r="E43" s="124">
        <f t="shared" si="0"/>
        <v>0.26179726123417668</v>
      </c>
      <c r="F43" s="125">
        <f t="shared" si="1"/>
        <v>59903.411253457554</v>
      </c>
      <c r="H43" s="120"/>
    </row>
    <row r="44" spans="2:17" x14ac:dyDescent="0.15">
      <c r="B44" s="122">
        <v>24</v>
      </c>
      <c r="C44" s="123">
        <f t="shared" si="2"/>
        <v>235790.42346548248</v>
      </c>
      <c r="D44" s="138">
        <f>IF($C$17&lt;B44,0,DCF!$C$16)</f>
        <v>3.0480331534493699E-2</v>
      </c>
      <c r="E44" s="124">
        <f t="shared" si="0"/>
        <v>0.24697854833412897</v>
      </c>
      <c r="F44" s="125">
        <f t="shared" si="1"/>
        <v>58235.176498594403</v>
      </c>
      <c r="H44" s="120"/>
    </row>
    <row r="45" spans="2:17" x14ac:dyDescent="0.15">
      <c r="B45" s="122">
        <v>25</v>
      </c>
      <c r="C45" s="123">
        <f t="shared" si="2"/>
        <v>242977.39374536905</v>
      </c>
      <c r="D45" s="138">
        <f>IF($C$17&lt;B45,0,DCF!$C$16)</f>
        <v>3.0480331534493699E-2</v>
      </c>
      <c r="E45" s="124">
        <f t="shared" si="0"/>
        <v>0.23299863050389524</v>
      </c>
      <c r="F45" s="125">
        <f t="shared" si="1"/>
        <v>56613.399986076707</v>
      </c>
      <c r="H45" s="120"/>
    </row>
    <row r="46" spans="2:17" x14ac:dyDescent="0.15">
      <c r="B46" s="122">
        <v>26</v>
      </c>
      <c r="C46" s="123">
        <f t="shared" si="2"/>
        <v>250383.42526211514</v>
      </c>
      <c r="D46" s="138">
        <f>IF($C$17&lt;B46,0,DCF!$C$16)</f>
        <v>3.0480331534493699E-2</v>
      </c>
      <c r="E46" s="124">
        <f t="shared" si="0"/>
        <v>0.21981002877725966</v>
      </c>
      <c r="F46" s="125">
        <f t="shared" si="1"/>
        <v>55036.787912214371</v>
      </c>
      <c r="H46" s="120"/>
    </row>
    <row r="47" spans="2:17" x14ac:dyDescent="0.15">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x14ac:dyDescent="0.15">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x14ac:dyDescent="0.15">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x14ac:dyDescent="0.15">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x14ac:dyDescent="0.15">
      <c r="B51" s="126" t="s">
        <v>131</v>
      </c>
      <c r="C51" s="123">
        <f>C$21*(1+Terminal_Growth)^$C$17/Equity_Cost</f>
        <v>1969979.2524118114</v>
      </c>
      <c r="D51" s="139">
        <f>Terminal_Growth</f>
        <v>0</v>
      </c>
      <c r="E51" s="124">
        <f>1/(1+Equity_Cost)^C17</f>
        <v>0.17411013091063426</v>
      </c>
      <c r="F51" s="125">
        <f t="shared" si="1"/>
        <v>342993.34552865388</v>
      </c>
      <c r="H51" s="120"/>
    </row>
    <row r="52" spans="1:17" x14ac:dyDescent="0.15">
      <c r="C52" s="114"/>
      <c r="E52" s="127" t="s">
        <v>100</v>
      </c>
      <c r="F52" s="137">
        <f>SUM(F21:F51)</f>
        <v>2631063.579932001</v>
      </c>
      <c r="H52" s="120"/>
    </row>
    <row r="53" spans="1:17" x14ac:dyDescent="0.15">
      <c r="C53" s="114"/>
      <c r="H53" s="120"/>
    </row>
    <row r="54" spans="1:17" x14ac:dyDescent="0.15">
      <c r="B54" s="119" t="s">
        <v>129</v>
      </c>
      <c r="C54" s="136"/>
      <c r="D54" s="136"/>
      <c r="E54" s="117"/>
      <c r="F54" s="117"/>
      <c r="H54" s="120"/>
    </row>
    <row r="55" spans="1:17" x14ac:dyDescent="0.15">
      <c r="A55" s="133">
        <f>F52</f>
        <v>2631063.579932001</v>
      </c>
      <c r="B55" s="131">
        <f>C78</f>
        <v>0</v>
      </c>
      <c r="C55" s="131">
        <f>C77</f>
        <v>0.02</v>
      </c>
      <c r="D55" s="131">
        <f>C76</f>
        <v>0.03</v>
      </c>
      <c r="E55" s="131">
        <f>C75</f>
        <v>0.04</v>
      </c>
      <c r="F55" s="131">
        <f>C74</f>
        <v>0.06</v>
      </c>
      <c r="H55" s="120"/>
    </row>
    <row r="56" spans="1:17" x14ac:dyDescent="0.15">
      <c r="A56" s="143">
        <v>5</v>
      </c>
      <c r="B56" s="123">
        <f t="dataTable" ref="B56:F61" dt2D="1" dtr="1" r1="C16" r2="C17"/>
        <v>1911709.7067522909</v>
      </c>
      <c r="C56" s="123">
        <v>1968874.0875522024</v>
      </c>
      <c r="D56" s="123">
        <v>1998014.3064496904</v>
      </c>
      <c r="E56" s="123">
        <v>2027537.4569108186</v>
      </c>
      <c r="F56" s="123">
        <v>2087766.0566947917</v>
      </c>
      <c r="H56" s="120"/>
    </row>
    <row r="57" spans="1:17" x14ac:dyDescent="0.15">
      <c r="A57" s="143">
        <v>10</v>
      </c>
      <c r="B57" s="123">
        <v>1911709.7067522909</v>
      </c>
      <c r="C57" s="123">
        <v>2022822.2763396518</v>
      </c>
      <c r="D57" s="123">
        <v>2082327.300124404</v>
      </c>
      <c r="E57" s="123">
        <v>2144673.0507178493</v>
      </c>
      <c r="F57" s="123">
        <v>2278563.8621934908</v>
      </c>
      <c r="H57" s="120"/>
    </row>
    <row r="58" spans="1:17" x14ac:dyDescent="0.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x14ac:dyDescent="0.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x14ac:dyDescent="0.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x14ac:dyDescent="0.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0.03</v>
      </c>
      <c r="E64" s="132">
        <f>E55</f>
        <v>0.04</v>
      </c>
      <c r="F64" s="132">
        <f>F55</f>
        <v>0.06</v>
      </c>
      <c r="H64" s="120"/>
    </row>
    <row r="65" spans="1:8" x14ac:dyDescent="0.15">
      <c r="A65" s="143">
        <v>0</v>
      </c>
      <c r="B65" s="124">
        <f>C12</f>
        <v>-262.77998452441824</v>
      </c>
      <c r="C65" s="124">
        <f>C12</f>
        <v>-262.77998452441824</v>
      </c>
      <c r="D65" s="124">
        <f>C12</f>
        <v>-262.77998452441824</v>
      </c>
      <c r="E65" s="141">
        <f>C12</f>
        <v>-262.77998452441824</v>
      </c>
      <c r="F65" s="124">
        <f>C12</f>
        <v>-262.77998452441824</v>
      </c>
      <c r="H65" s="120"/>
    </row>
    <row r="66" spans="1:8" x14ac:dyDescent="0.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x14ac:dyDescent="0.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x14ac:dyDescent="0.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x14ac:dyDescent="0.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x14ac:dyDescent="0.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x14ac:dyDescent="0.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0.06</v>
      </c>
      <c r="D74" s="145">
        <f>Scenarios!C55</f>
        <v>30</v>
      </c>
      <c r="E74" s="135">
        <f>INDEX(B$65:F$71, MATCH(D74, A$65:A$71, 0), MATCH(C74, B$64:F$64, 0))</f>
        <v>-172.1783443470226</v>
      </c>
      <c r="F74" s="142">
        <f>Scenarios!C58</f>
        <v>0.01</v>
      </c>
    </row>
    <row r="75" spans="1:8" x14ac:dyDescent="0.15">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x14ac:dyDescent="0.15">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x14ac:dyDescent="0.15">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x14ac:dyDescent="0.15">
      <c r="B78" s="127" t="str">
        <f>Scenarios!B48</f>
        <v>Devil's advocate</v>
      </c>
      <c r="C78" s="142">
        <f>Scenarios!C50</f>
        <v>0</v>
      </c>
      <c r="D78" s="145">
        <f>Scenarios!C49</f>
        <v>30</v>
      </c>
      <c r="E78" s="135">
        <f>INDEX(B$65:F$71, MATCH(D78, A$65:A$71, 0), MATCH(C78, B$64:F$64, 0))</f>
        <v>-262.77998452441835</v>
      </c>
      <c r="F78" s="142">
        <f>Scenarios!C52</f>
        <v>0.01</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447</v>
      </c>
      <c r="C2" s="37"/>
      <c r="D2" s="37"/>
      <c r="E2" s="37"/>
      <c r="F2" s="37"/>
      <c r="H2" s="130" t="s">
        <v>59</v>
      </c>
    </row>
    <row r="3" spans="2:8" x14ac:dyDescent="0.15">
      <c r="B3" s="109" t="s">
        <v>446</v>
      </c>
      <c r="C3" s="107">
        <f>scaling_factor</f>
        <v>1000000</v>
      </c>
      <c r="E3" s="109" t="s">
        <v>124</v>
      </c>
      <c r="H3" s="120"/>
    </row>
    <row r="4" spans="2:8" x14ac:dyDescent="0.15">
      <c r="B4" s="100" t="s">
        <v>444</v>
      </c>
      <c r="C4" s="114">
        <f>Normalized_FCF!C91</f>
        <v>22020.769943020001</v>
      </c>
      <c r="D4" t="str">
        <f>Market_currency</f>
        <v>CNY</v>
      </c>
      <c r="E4" s="100" t="s">
        <v>250</v>
      </c>
      <c r="F4" s="134">
        <f>Thesis!E22</f>
        <v>0.02</v>
      </c>
      <c r="H4" s="120"/>
    </row>
    <row r="5" spans="2:8" x14ac:dyDescent="0.15">
      <c r="B5" s="205" t="s">
        <v>123</v>
      </c>
      <c r="C5" s="206">
        <f>Equity_Cost</f>
        <v>0.06</v>
      </c>
      <c r="E5" s="148"/>
      <c r="H5" s="120"/>
    </row>
    <row r="6" spans="2:8" ht="13.25" customHeight="1" x14ac:dyDescent="0.15">
      <c r="B6" s="149" t="s">
        <v>445</v>
      </c>
      <c r="C6" s="319">
        <f>(C4*(1+Terminal_Growth))/(Equity_Cost-Terminal_Growth)</f>
        <v>367012.83238366671</v>
      </c>
      <c r="D6" t="str">
        <f>Reporting_currency</f>
        <v>CNY</v>
      </c>
      <c r="E6" s="364"/>
      <c r="F6" s="364"/>
      <c r="H6" s="120"/>
    </row>
    <row r="7" spans="2:8" x14ac:dyDescent="0.15">
      <c r="B7" s="149" t="s">
        <v>448</v>
      </c>
      <c r="C7" s="111">
        <f>(C6*scaling_factor)/Common_Shares*Exchange_Rate</f>
        <v>17.666666666666668</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3.0480331534493699E-2</v>
      </c>
      <c r="H11" s="120"/>
    </row>
    <row r="12" spans="2:8" ht="13.25" customHeight="1" x14ac:dyDescent="0.15">
      <c r="B12" s="118" t="s">
        <v>134</v>
      </c>
      <c r="C12" s="162">
        <f>Scenarios!C64</f>
        <v>30</v>
      </c>
      <c r="H12" s="120"/>
    </row>
    <row r="13" spans="2:8" ht="13.25" customHeight="1" x14ac:dyDescent="0.15">
      <c r="B13" s="153" t="s">
        <v>106</v>
      </c>
      <c r="C13" s="140">
        <f>F47/Common_Shares*scaling_factor</f>
        <v>26.886199522956279</v>
      </c>
      <c r="D13" t="str">
        <f>Market_currency</f>
        <v>CNY</v>
      </c>
      <c r="H13" s="120"/>
    </row>
    <row r="14" spans="2:8" x14ac:dyDescent="0.15">
      <c r="H14" s="120"/>
    </row>
    <row r="15" spans="2:8" ht="14" x14ac:dyDescent="0.2">
      <c r="B15" s="128" t="s">
        <v>107</v>
      </c>
      <c r="C15" s="128" t="s">
        <v>450</v>
      </c>
      <c r="D15" s="128" t="s">
        <v>118</v>
      </c>
      <c r="E15" s="128" t="s">
        <v>109</v>
      </c>
      <c r="F15" s="129" t="s">
        <v>449</v>
      </c>
      <c r="H15" s="120"/>
    </row>
    <row r="16" spans="2:8" x14ac:dyDescent="0.15">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x14ac:dyDescent="0.15">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x14ac:dyDescent="0.15">
      <c r="B18" s="122">
        <v>3</v>
      </c>
      <c r="C18" s="123">
        <f t="shared" si="2"/>
        <v>24096.369856930891</v>
      </c>
      <c r="D18" s="138">
        <f>IF($C$12&lt;B18,0,DDM!$C$11)</f>
        <v>3.0480331534493699E-2</v>
      </c>
      <c r="E18" s="124">
        <f t="shared" si="0"/>
        <v>0.8396192830323016</v>
      </c>
      <c r="F18" s="125">
        <f t="shared" si="1"/>
        <v>20231.776782957477</v>
      </c>
      <c r="H18" s="120"/>
    </row>
    <row r="19" spans="2:8" x14ac:dyDescent="0.15">
      <c r="B19" s="122">
        <v>4</v>
      </c>
      <c r="C19" s="123">
        <f t="shared" si="2"/>
        <v>24830.835198947923</v>
      </c>
      <c r="D19" s="138">
        <f>IF($C$12&lt;B19,0,DDM!$C$11)</f>
        <v>3.0480331534493699E-2</v>
      </c>
      <c r="E19" s="124">
        <f t="shared" si="0"/>
        <v>0.79209366323802044</v>
      </c>
      <c r="F19" s="125">
        <f t="shared" si="1"/>
        <v>19668.347213994242</v>
      </c>
      <c r="H19" s="120"/>
    </row>
    <row r="20" spans="2:8" x14ac:dyDescent="0.15">
      <c r="B20" s="122">
        <v>5</v>
      </c>
      <c r="C20" s="123">
        <f t="shared" si="2"/>
        <v>25587.687288090234</v>
      </c>
      <c r="D20" s="138">
        <f>IF($C$12&lt;B20,0,DDM!$C$11)</f>
        <v>3.0480331534493699E-2</v>
      </c>
      <c r="E20" s="124">
        <f t="shared" si="0"/>
        <v>0.74725817286605689</v>
      </c>
      <c r="F20" s="125">
        <f t="shared" si="1"/>
        <v>19120.60845076634</v>
      </c>
      <c r="H20" s="120"/>
    </row>
    <row r="21" spans="2:8" x14ac:dyDescent="0.15">
      <c r="B21" s="122">
        <v>6</v>
      </c>
      <c r="C21" s="123">
        <f t="shared" si="2"/>
        <v>26367.608479832172</v>
      </c>
      <c r="D21" s="138">
        <f>IF($C$12&lt;B21,0,DDM!$C$11)</f>
        <v>3.0480331534493699E-2</v>
      </c>
      <c r="E21" s="124">
        <f t="shared" si="0"/>
        <v>0.70496054043967626</v>
      </c>
      <c r="F21" s="125">
        <f t="shared" si="1"/>
        <v>18588.12352404428</v>
      </c>
      <c r="H21" s="120"/>
    </row>
    <row r="22" spans="2:8" x14ac:dyDescent="0.15">
      <c r="B22" s="122">
        <v>7</v>
      </c>
      <c r="C22" s="123">
        <f t="shared" si="2"/>
        <v>27171.301928069188</v>
      </c>
      <c r="D22" s="138">
        <f>IF($C$12&lt;B22,0,DDM!$C$11)</f>
        <v>3.0480331534493699E-2</v>
      </c>
      <c r="E22" s="124">
        <f t="shared" si="0"/>
        <v>0.66505711362233599</v>
      </c>
      <c r="F22" s="125">
        <f t="shared" si="1"/>
        <v>18070.467633642707</v>
      </c>
      <c r="H22" s="120"/>
    </row>
    <row r="23" spans="2:8" x14ac:dyDescent="0.15">
      <c r="B23" s="122">
        <v>8</v>
      </c>
      <c r="C23" s="123">
        <f t="shared" si="2"/>
        <v>27999.492219060565</v>
      </c>
      <c r="D23" s="138">
        <f>IF($C$12&lt;B23,0,DDM!$C$11)</f>
        <v>3.0480331534493699E-2</v>
      </c>
      <c r="E23" s="124">
        <f t="shared" si="0"/>
        <v>0.62741237134182648</v>
      </c>
      <c r="F23" s="125">
        <f t="shared" si="1"/>
        <v>17567.227809527809</v>
      </c>
      <c r="H23" s="120"/>
    </row>
    <row r="24" spans="2:8" x14ac:dyDescent="0.15">
      <c r="B24" s="122">
        <v>9</v>
      </c>
      <c r="C24" s="123">
        <f t="shared" si="2"/>
        <v>28852.926024695007</v>
      </c>
      <c r="D24" s="138">
        <f>IF($C$12&lt;B24,0,DDM!$C$11)</f>
        <v>3.0480331534493699E-2</v>
      </c>
      <c r="E24" s="124">
        <f t="shared" si="0"/>
        <v>0.59189846353002495</v>
      </c>
      <c r="F24" s="125">
        <f t="shared" si="1"/>
        <v>17078.002582362446</v>
      </c>
      <c r="H24" s="120"/>
    </row>
    <row r="25" spans="2:8" x14ac:dyDescent="0.15">
      <c r="B25" s="122">
        <v>10</v>
      </c>
      <c r="C25" s="123">
        <f t="shared" si="2"/>
        <v>29732.372775667936</v>
      </c>
      <c r="D25" s="138">
        <f>IF($C$12&lt;B25,0,DDM!$C$11)</f>
        <v>3.0480331534493699E-2</v>
      </c>
      <c r="E25" s="124">
        <f t="shared" si="0"/>
        <v>0.55839477691511785</v>
      </c>
      <c r="F25" s="125">
        <f t="shared" si="1"/>
        <v>16602.401663226221</v>
      </c>
      <c r="H25" s="120"/>
    </row>
    <row r="26" spans="2:8" x14ac:dyDescent="0.15">
      <c r="B26" s="122">
        <v>11</v>
      </c>
      <c r="C26" s="123">
        <f t="shared" si="2"/>
        <v>30638.625355177446</v>
      </c>
      <c r="D26" s="138">
        <f>IF($C$12&lt;B26,0,DDM!$C$11)</f>
        <v>3.0480331534493699E-2</v>
      </c>
      <c r="E26" s="124">
        <f t="shared" si="0"/>
        <v>0.52678752539162055</v>
      </c>
      <c r="F26" s="125">
        <f t="shared" si="1"/>
        <v>16140.045632254889</v>
      </c>
      <c r="H26" s="120"/>
    </row>
    <row r="27" spans="2:8" x14ac:dyDescent="0.15">
      <c r="B27" s="122">
        <v>12</v>
      </c>
      <c r="C27" s="123">
        <f t="shared" si="2"/>
        <v>31572.5008137644</v>
      </c>
      <c r="D27" s="138">
        <f>IF($C$12&lt;B27,0,DDM!$C$11)</f>
        <v>3.0480331534493699E-2</v>
      </c>
      <c r="E27" s="124">
        <f t="shared" si="0"/>
        <v>0.4969693635770005</v>
      </c>
      <c r="F27" s="125">
        <f t="shared" si="1"/>
        <v>15690.565635950825</v>
      </c>
      <c r="H27" s="120"/>
    </row>
    <row r="28" spans="2:8" x14ac:dyDescent="0.15">
      <c r="B28" s="122">
        <v>13</v>
      </c>
      <c r="C28" s="123">
        <f t="shared" si="2"/>
        <v>32534.84110594101</v>
      </c>
      <c r="D28" s="138">
        <f>IF($C$12&lt;B28,0,DDM!$C$11)</f>
        <v>3.0480331534493699E-2</v>
      </c>
      <c r="E28" s="124">
        <f t="shared" si="0"/>
        <v>0.46883902224245327</v>
      </c>
      <c r="F28" s="125">
        <f t="shared" si="1"/>
        <v>15253.60309292296</v>
      </c>
      <c r="H28" s="120"/>
    </row>
    <row r="29" spans="2:8" x14ac:dyDescent="0.15">
      <c r="B29" s="122">
        <v>14</v>
      </c>
      <c r="C29" s="123">
        <f t="shared" si="2"/>
        <v>33526.513849272167</v>
      </c>
      <c r="D29" s="138">
        <f>IF($C$12&lt;B29,0,DDM!$C$11)</f>
        <v>3.0480331534493699E-2</v>
      </c>
      <c r="E29" s="124">
        <f t="shared" si="0"/>
        <v>0.44230096437967292</v>
      </c>
      <c r="F29" s="125">
        <f t="shared" si="1"/>
        <v>14828.80940782154</v>
      </c>
      <c r="H29" s="120"/>
    </row>
    <row r="30" spans="2:8" x14ac:dyDescent="0.15">
      <c r="B30" s="122">
        <v>15</v>
      </c>
      <c r="C30" s="123">
        <f t="shared" si="2"/>
        <v>34548.413106593776</v>
      </c>
      <c r="D30" s="138">
        <f>IF($C$12&lt;B30,0,DDM!$C$11)</f>
        <v>3.0480331534493699E-2</v>
      </c>
      <c r="E30" s="124">
        <f t="shared" si="0"/>
        <v>0.41726506073554037</v>
      </c>
      <c r="F30" s="125">
        <f t="shared" si="1"/>
        <v>14415.845693239391</v>
      </c>
      <c r="H30" s="120"/>
    </row>
    <row r="31" spans="2:8" x14ac:dyDescent="0.15">
      <c r="B31" s="122">
        <v>16</v>
      </c>
      <c r="C31" s="123">
        <f t="shared" si="2"/>
        <v>35601.460192073406</v>
      </c>
      <c r="D31" s="138">
        <f>IF($C$12&lt;B31,0,DDM!$C$11)</f>
        <v>3.0480331534493699E-2</v>
      </c>
      <c r="E31" s="124">
        <f t="shared" si="0"/>
        <v>0.39364628371277405</v>
      </c>
      <c r="F31" s="125">
        <f t="shared" si="1"/>
        <v>14014.382499357958</v>
      </c>
      <c r="H31" s="120"/>
    </row>
    <row r="32" spans="2:8" x14ac:dyDescent="0.15">
      <c r="B32" s="122">
        <v>17</v>
      </c>
      <c r="C32" s="123">
        <f t="shared" si="2"/>
        <v>36686.60450183988</v>
      </c>
      <c r="D32" s="138">
        <f>IF($C$12&lt;B32,0,DDM!$C$11)</f>
        <v>3.0480331534493699E-2</v>
      </c>
      <c r="E32" s="124">
        <f t="shared" si="0"/>
        <v>0.37136441859695657</v>
      </c>
      <c r="F32" s="125">
        <f t="shared" si="1"/>
        <v>13624.099551122257</v>
      </c>
      <c r="H32" s="120"/>
    </row>
    <row r="33" spans="2:8" x14ac:dyDescent="0.15">
      <c r="B33" s="122">
        <v>18</v>
      </c>
      <c r="C33" s="123">
        <f t="shared" si="2"/>
        <v>37804.824369930808</v>
      </c>
      <c r="D33" s="138">
        <f>IF($C$12&lt;B33,0,DDM!$C$11)</f>
        <v>3.0480331534493699E-2</v>
      </c>
      <c r="E33" s="124">
        <f t="shared" si="0"/>
        <v>0.35034379112920433</v>
      </c>
      <c r="F33" s="125">
        <f t="shared" si="1"/>
        <v>13244.685492735292</v>
      </c>
      <c r="H33" s="120"/>
    </row>
    <row r="34" spans="2:8" x14ac:dyDescent="0.15">
      <c r="B34" s="122">
        <v>19</v>
      </c>
      <c r="C34" s="123">
        <f t="shared" si="2"/>
        <v>38957.127950329603</v>
      </c>
      <c r="D34" s="138">
        <f>IF($C$12&lt;B34,0,DDM!$C$11)</f>
        <v>3.0480331534493699E-2</v>
      </c>
      <c r="E34" s="124">
        <f t="shared" si="0"/>
        <v>0.3305130104992493</v>
      </c>
      <c r="F34" s="125">
        <f t="shared" si="1"/>
        <v>12875.837639267887</v>
      </c>
      <c r="H34" s="120"/>
    </row>
    <row r="35" spans="2:8" x14ac:dyDescent="0.15">
      <c r="B35" s="122">
        <v>20</v>
      </c>
      <c r="C35" s="123">
        <f t="shared" si="2"/>
        <v>40144.554125887342</v>
      </c>
      <c r="D35" s="138">
        <f>IF($C$12&lt;B35,0,DDM!$C$11)</f>
        <v>3.0480331534493699E-2</v>
      </c>
      <c r="E35" s="124">
        <f t="shared" si="0"/>
        <v>0.31180472688608429</v>
      </c>
      <c r="F35" s="125">
        <f t="shared" si="1"/>
        <v>12517.261735185932</v>
      </c>
      <c r="H35" s="120"/>
    </row>
    <row r="36" spans="2:8" x14ac:dyDescent="0.15">
      <c r="B36" s="122">
        <v>21</v>
      </c>
      <c r="C36" s="123">
        <f t="shared" si="2"/>
        <v>41368.173444948821</v>
      </c>
      <c r="D36" s="138">
        <f>IF($C$12&lt;B36,0,DDM!$C$11)</f>
        <v>3.0480331534493699E-2</v>
      </c>
      <c r="E36" s="124">
        <f t="shared" si="0"/>
        <v>0.29415540272272095</v>
      </c>
      <c r="F36" s="125">
        <f t="shared" si="1"/>
        <v>12168.671719602291</v>
      </c>
      <c r="H36" s="120"/>
    </row>
    <row r="37" spans="2:8" x14ac:dyDescent="0.15">
      <c r="B37" s="122">
        <v>22</v>
      </c>
      <c r="C37" s="123">
        <f t="shared" si="2"/>
        <v>42629.089086527296</v>
      </c>
      <c r="D37" s="138">
        <f>IF($C$12&lt;B37,0,DDM!$C$11)</f>
        <v>3.0480331534493699E-2</v>
      </c>
      <c r="E37" s="124">
        <f t="shared" si="0"/>
        <v>0.27750509690822728</v>
      </c>
      <c r="F37" s="125">
        <f t="shared" si="1"/>
        <v>11829.789498066211</v>
      </c>
      <c r="H37" s="120"/>
    </row>
    <row r="38" spans="2:8" x14ac:dyDescent="0.15">
      <c r="B38" s="122">
        <v>23</v>
      </c>
      <c r="C38" s="123">
        <f t="shared" si="2"/>
        <v>43928.437854898119</v>
      </c>
      <c r="D38" s="138">
        <f>IF($C$12&lt;B38,0,DDM!$C$11)</f>
        <v>3.0480331534493699E-2</v>
      </c>
      <c r="E38" s="124">
        <f t="shared" si="0"/>
        <v>0.26179726123417668</v>
      </c>
      <c r="F38" s="125">
        <f t="shared" si="1"/>
        <v>11500.344720708059</v>
      </c>
      <c r="H38" s="120"/>
    </row>
    <row r="39" spans="2:8" x14ac:dyDescent="0.15">
      <c r="B39" s="122">
        <v>24</v>
      </c>
      <c r="C39" s="123">
        <f t="shared" si="2"/>
        <v>45267.391204507818</v>
      </c>
      <c r="D39" s="138">
        <f>IF($C$12&lt;B39,0,DDM!$C$11)</f>
        <v>3.0480331534493699E-2</v>
      </c>
      <c r="E39" s="124">
        <f t="shared" si="0"/>
        <v>0.24697854833412897</v>
      </c>
      <c r="F39" s="125">
        <f t="shared" si="1"/>
        <v>11180.074566562458</v>
      </c>
      <c r="H39" s="120"/>
    </row>
    <row r="40" spans="2:8" x14ac:dyDescent="0.15">
      <c r="B40" s="122">
        <v>25</v>
      </c>
      <c r="C40" s="123">
        <f t="shared" si="2"/>
        <v>46647.156296122841</v>
      </c>
      <c r="D40" s="138">
        <f>IF($C$12&lt;B40,0,DDM!$C$11)</f>
        <v>3.0480331534493699E-2</v>
      </c>
      <c r="E40" s="124">
        <f t="shared" si="0"/>
        <v>0.23299863050389524</v>
      </c>
      <c r="F40" s="125">
        <f t="shared" si="1"/>
        <v>10868.723533897777</v>
      </c>
      <c r="H40" s="120"/>
    </row>
    <row r="41" spans="2:8" x14ac:dyDescent="0.15">
      <c r="B41" s="122">
        <v>26</v>
      </c>
      <c r="C41" s="123">
        <f t="shared" si="2"/>
        <v>48068.977085170016</v>
      </c>
      <c r="D41" s="138">
        <f>IF($C$12&lt;B41,0,DDM!$C$11)</f>
        <v>3.0480331534493699E-2</v>
      </c>
      <c r="E41" s="124">
        <f t="shared" si="0"/>
        <v>0.21981002877725966</v>
      </c>
      <c r="F41" s="125">
        <f t="shared" si="1"/>
        <v>10566.043236384656</v>
      </c>
      <c r="H41" s="120"/>
    </row>
    <row r="42" spans="2:8" x14ac:dyDescent="0.15">
      <c r="B42" s="122">
        <v>27</v>
      </c>
      <c r="C42" s="123">
        <f t="shared" si="2"/>
        <v>49534.135443249972</v>
      </c>
      <c r="D42" s="138">
        <f>IF($C$12&lt;B42,0,DDM!$C$11)</f>
        <v>3.0480331534493699E-2</v>
      </c>
      <c r="E42" s="124">
        <f t="shared" si="0"/>
        <v>0.20736795167666003</v>
      </c>
      <c r="F42" s="125">
        <f t="shared" si="1"/>
        <v>10271.792204940994</v>
      </c>
      <c r="H42" s="120"/>
    </row>
    <row r="43" spans="2:8" x14ac:dyDescent="0.15">
      <c r="B43" s="122">
        <v>28</v>
      </c>
      <c r="C43" s="123">
        <f t="shared" si="2"/>
        <v>51043.952313834736</v>
      </c>
      <c r="D43" s="138">
        <f>IF($C$12&lt;B43,0,DDM!$C$11)</f>
        <v>3.0480331534493699E-2</v>
      </c>
      <c r="E43" s="124">
        <f t="shared" si="0"/>
        <v>0.1956301430911887</v>
      </c>
      <c r="F43" s="125">
        <f t="shared" si="1"/>
        <v>9985.7356950953017</v>
      </c>
      <c r="H43" s="120"/>
    </row>
    <row r="44" spans="2:8" x14ac:dyDescent="0.15">
      <c r="B44" s="122">
        <v>29</v>
      </c>
      <c r="C44" s="123">
        <f t="shared" si="2"/>
        <v>52599.788903191307</v>
      </c>
      <c r="D44" s="138">
        <f>IF($C$12&lt;B44,0,DDM!$C$11)</f>
        <v>3.0480331534493699E-2</v>
      </c>
      <c r="E44" s="124">
        <f t="shared" si="0"/>
        <v>0.18455673876527234</v>
      </c>
      <c r="F44" s="125">
        <f t="shared" si="1"/>
        <v>9707.6454997147484</v>
      </c>
      <c r="H44" s="120"/>
    </row>
    <row r="45" spans="2:8" x14ac:dyDescent="0.15">
      <c r="B45" s="122">
        <v>30</v>
      </c>
      <c r="C45" s="123">
        <f t="shared" si="2"/>
        <v>54203.047907604967</v>
      </c>
      <c r="D45" s="138">
        <f>IF($C$12&lt;B45,0,DDM!$C$11)</f>
        <v>3.0480331534493699E-2</v>
      </c>
      <c r="E45" s="124">
        <f t="shared" si="0"/>
        <v>0.17411013091063426</v>
      </c>
      <c r="F45" s="125">
        <f t="shared" si="1"/>
        <v>9437.2997669484812</v>
      </c>
      <c r="H45" s="120"/>
    </row>
    <row r="46" spans="2:8" x14ac:dyDescent="0.15">
      <c r="B46" s="126" t="s">
        <v>131</v>
      </c>
      <c r="C46" s="123">
        <f>C$16*(1+F4)^$C$12/Equity_Cost</f>
        <v>685056.05483192916</v>
      </c>
      <c r="D46" s="139">
        <f>Terminal_Growth</f>
        <v>0</v>
      </c>
      <c r="E46" s="124">
        <f>1/(1+Equity_Cost)^C12</f>
        <v>0.17411013091063426</v>
      </c>
      <c r="F46" s="125">
        <f t="shared" si="1"/>
        <v>119275.19938790983</v>
      </c>
      <c r="H46" s="120"/>
    </row>
    <row r="47" spans="2:8" x14ac:dyDescent="0.15">
      <c r="C47" s="114"/>
      <c r="E47" s="127" t="s">
        <v>100</v>
      </c>
      <c r="F47" s="137">
        <f>SUM(F16:F46)</f>
        <v>558542.27767656068</v>
      </c>
      <c r="H47" s="120"/>
    </row>
    <row r="48" spans="2:8" x14ac:dyDescent="0.15">
      <c r="C48" s="114"/>
      <c r="H48" s="120"/>
    </row>
    <row r="49" spans="1:8" x14ac:dyDescent="0.15">
      <c r="B49" s="119" t="s">
        <v>129</v>
      </c>
      <c r="C49" s="136"/>
      <c r="D49" s="136"/>
      <c r="E49" s="117"/>
      <c r="F49" s="117"/>
      <c r="H49" s="120"/>
    </row>
    <row r="50" spans="1:8" x14ac:dyDescent="0.15">
      <c r="A50" s="133">
        <f>F47</f>
        <v>558542.27767656068</v>
      </c>
      <c r="B50" s="131">
        <f>C73</f>
        <v>0</v>
      </c>
      <c r="C50" s="131">
        <f>C72</f>
        <v>0.02</v>
      </c>
      <c r="D50" s="131">
        <f>C71</f>
        <v>0.03</v>
      </c>
      <c r="E50" s="131">
        <f>C70</f>
        <v>0.04</v>
      </c>
      <c r="F50" s="131">
        <f>C69</f>
        <v>0.06</v>
      </c>
      <c r="H50" s="120"/>
    </row>
    <row r="51" spans="1:8" x14ac:dyDescent="0.15">
      <c r="A51" s="143">
        <v>5</v>
      </c>
      <c r="B51" s="123">
        <f t="dataTable" ref="B51:F56" dt2D="1" dtr="1" r1="C11" r2="C12"/>
        <v>395557.34013975487</v>
      </c>
      <c r="C51" s="123">
        <v>407102.73193324311</v>
      </c>
      <c r="D51" s="123">
        <v>412982.55895910517</v>
      </c>
      <c r="E51" s="123">
        <v>418935.90174799564</v>
      </c>
      <c r="F51" s="123">
        <v>431069.5667946937</v>
      </c>
      <c r="H51" s="120"/>
    </row>
    <row r="52" spans="1:8" x14ac:dyDescent="0.15">
      <c r="A52" s="143">
        <v>10</v>
      </c>
      <c r="B52" s="123">
        <v>411893.12148566649</v>
      </c>
      <c r="C52" s="123">
        <v>434122.28128641954</v>
      </c>
      <c r="D52" s="123">
        <v>445994.94588780403</v>
      </c>
      <c r="E52" s="123">
        <v>458412.97738689464</v>
      </c>
      <c r="F52" s="123">
        <v>485015.1374620148</v>
      </c>
      <c r="H52" s="120"/>
    </row>
    <row r="53" spans="1:8" x14ac:dyDescent="0.15">
      <c r="A53" s="143">
        <v>15</v>
      </c>
      <c r="B53" s="123">
        <v>419979.67410095019</v>
      </c>
      <c r="C53" s="123">
        <v>456414.31205559522</v>
      </c>
      <c r="D53" s="123">
        <v>476843.43715630146</v>
      </c>
      <c r="E53" s="123">
        <v>498938.63661218865</v>
      </c>
      <c r="F53" s="123">
        <v>548786.53106863168</v>
      </c>
      <c r="H53" s="120"/>
    </row>
    <row r="54" spans="1:8" x14ac:dyDescent="0.15">
      <c r="A54" s="144">
        <v>20</v>
      </c>
      <c r="B54" s="123">
        <v>422622.87185119989</v>
      </c>
      <c r="C54" s="123">
        <v>474805.98207637807</v>
      </c>
      <c r="D54" s="123">
        <v>505423.61220162653</v>
      </c>
      <c r="E54" s="123">
        <v>539606.66257942491</v>
      </c>
      <c r="F54" s="123">
        <v>620664.55681896757</v>
      </c>
      <c r="H54" s="120"/>
    </row>
    <row r="55" spans="1:8" x14ac:dyDescent="0.15">
      <c r="A55" s="144">
        <v>25</v>
      </c>
      <c r="B55" s="123">
        <v>421793.28497020365</v>
      </c>
      <c r="C55" s="123">
        <v>489979.72419327294</v>
      </c>
      <c r="D55" s="123">
        <v>531713.9127819913</v>
      </c>
      <c r="E55" s="123">
        <v>579735.05517070927</v>
      </c>
      <c r="F55" s="123">
        <v>699230.82487934455</v>
      </c>
      <c r="H55" s="120"/>
    </row>
    <row r="56" spans="1:8" x14ac:dyDescent="0.15">
      <c r="A56" s="144">
        <v>30</v>
      </c>
      <c r="B56" s="123">
        <v>418859.3668527056</v>
      </c>
      <c r="C56" s="123">
        <v>502498.56829877582</v>
      </c>
      <c r="D56" s="123">
        <v>555752.50737602054</v>
      </c>
      <c r="E56" s="123">
        <v>618820.83568369201</v>
      </c>
      <c r="F56" s="123">
        <v>783315.11625751655</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0.02</v>
      </c>
      <c r="D59" s="132">
        <f>D50</f>
        <v>0.03</v>
      </c>
      <c r="E59" s="132">
        <f>E50</f>
        <v>0.04</v>
      </c>
      <c r="F59" s="132">
        <f>F50</f>
        <v>0.06</v>
      </c>
      <c r="H59" s="120"/>
    </row>
    <row r="60" spans="1:8" x14ac:dyDescent="0.15">
      <c r="A60" s="143">
        <v>0</v>
      </c>
      <c r="B60" s="124">
        <f>C7</f>
        <v>17.666666666666668</v>
      </c>
      <c r="C60" s="124">
        <f>C7</f>
        <v>17.666666666666668</v>
      </c>
      <c r="D60" s="124">
        <f>C7</f>
        <v>17.666666666666668</v>
      </c>
      <c r="E60" s="141">
        <f>C7</f>
        <v>17.666666666666668</v>
      </c>
      <c r="F60" s="124">
        <f>C7</f>
        <v>17.666666666666668</v>
      </c>
      <c r="H60" s="120"/>
    </row>
    <row r="61" spans="1:8" x14ac:dyDescent="0.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x14ac:dyDescent="0.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x14ac:dyDescent="0.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x14ac:dyDescent="0.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x14ac:dyDescent="0.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x14ac:dyDescent="0.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0.06</v>
      </c>
      <c r="D69" s="145">
        <f>Scenarios!C55</f>
        <v>30</v>
      </c>
      <c r="E69" s="135">
        <f>INDEX(B$60:F$66, MATCH(D69, A$60:A$66, 0), MATCH(C69, B$59:F$59, 0))</f>
        <v>37.705948764800347</v>
      </c>
      <c r="F69" s="142">
        <f>Scenarios!C58</f>
        <v>0.01</v>
      </c>
    </row>
    <row r="70" spans="1:8" x14ac:dyDescent="0.15">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x14ac:dyDescent="0.15">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x14ac:dyDescent="0.15">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x14ac:dyDescent="0.15">
      <c r="B73" s="127" t="str">
        <f>Scenarios!B48</f>
        <v>Devil's advocate</v>
      </c>
      <c r="C73" s="142">
        <f>Scenarios!C50</f>
        <v>0</v>
      </c>
      <c r="D73" s="145">
        <f>Scenarios!C49</f>
        <v>30</v>
      </c>
      <c r="E73" s="135">
        <f>INDEX(B$60:F$66, MATCH(D73, A$60:A$66, 0), MATCH(C73, B$59:F$59, 0))</f>
        <v>20.162370798692315</v>
      </c>
      <c r="F73" s="142">
        <f>Scenarios!C52</f>
        <v>0.01</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-22.62</v>
      </c>
    </row>
    <row r="4" spans="2:9" x14ac:dyDescent="0.15">
      <c r="B4" s="152" t="s">
        <v>146</v>
      </c>
      <c r="C4" s="120">
        <v>3</v>
      </c>
      <c r="D4" s="120"/>
      <c r="E4" s="155" t="s">
        <v>150</v>
      </c>
      <c r="F4" s="155"/>
      <c r="H4" s="247">
        <v>1</v>
      </c>
      <c r="I4" s="124">
        <f t="shared" ref="I4:I13" si="0">IF(ROW()-3 &lt; $C$76, $C$77, IF(ROW()-3 = $C$76, $C$77 + $C$60, ""))</f>
        <v>1.06</v>
      </c>
    </row>
    <row r="5" spans="2:9" x14ac:dyDescent="0.15">
      <c r="H5" s="247">
        <v>2</v>
      </c>
      <c r="I5" s="124">
        <f t="shared" si="0"/>
        <v>1.06</v>
      </c>
    </row>
    <row r="6" spans="2:9" x14ac:dyDescent="0.15">
      <c r="B6" s="159" t="s">
        <v>95</v>
      </c>
      <c r="C6" s="107">
        <f>DCF!C3</f>
        <v>1000000</v>
      </c>
      <c r="E6" s="100" t="s">
        <v>279</v>
      </c>
      <c r="F6" s="100"/>
      <c r="H6" s="247">
        <v>3</v>
      </c>
      <c r="I6" s="124">
        <f t="shared" si="0"/>
        <v>27.94815119642859</v>
      </c>
    </row>
    <row r="7" spans="2:9" ht="12.75" customHeight="1" x14ac:dyDescent="0.15">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x14ac:dyDescent="0.15">
      <c r="B8" s="100" t="s">
        <v>66</v>
      </c>
      <c r="C8" s="338">
        <f>Normalized_FCF!G19</f>
        <v>137471</v>
      </c>
      <c r="D8" t="str">
        <f>Reporting_currency</f>
        <v>CNY</v>
      </c>
      <c r="E8" s="366"/>
      <c r="F8" s="366"/>
      <c r="H8" s="247">
        <v>5</v>
      </c>
      <c r="I8" s="124" t="str">
        <f t="shared" si="0"/>
        <v/>
      </c>
    </row>
    <row r="9" spans="2:9" x14ac:dyDescent="0.15">
      <c r="B9" s="100" t="s">
        <v>57</v>
      </c>
      <c r="C9" s="338">
        <f>Normalized_FCF!C19</f>
        <v>114702.58240513749</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451</v>
      </c>
      <c r="E11" s="366"/>
      <c r="F11" s="366"/>
      <c r="H11" s="247">
        <v>8</v>
      </c>
      <c r="I11" s="124" t="str">
        <f t="shared" si="0"/>
        <v/>
      </c>
    </row>
    <row r="12" spans="2:9" ht="14" x14ac:dyDescent="0.15">
      <c r="B12" s="118" t="s">
        <v>144</v>
      </c>
      <c r="C12" s="158">
        <f ca="1">(Normalized_FCF!G4/OFFSET(Normalized_FCF!G4, 0, $C$4))^(1/$C$4) - 1</f>
        <v>-5.5054441259114184E-2</v>
      </c>
      <c r="D12" s="158"/>
      <c r="E12" s="366"/>
      <c r="F12" s="366"/>
      <c r="H12" s="247">
        <v>9</v>
      </c>
      <c r="I12" s="124" t="str">
        <f t="shared" si="0"/>
        <v/>
      </c>
    </row>
    <row r="13" spans="2:9" x14ac:dyDescent="0.15">
      <c r="B13" s="148" t="s">
        <v>152</v>
      </c>
      <c r="C13" s="158">
        <f ca="1">(Normalized_FCF!G8/OFFSET(Normalized_FCF!G8, 0, $C$4))^(1/$C$4) - 1</f>
        <v>-1.3520092995664894</v>
      </c>
      <c r="E13" s="366"/>
      <c r="F13" s="366"/>
      <c r="H13" s="247">
        <v>10</v>
      </c>
      <c r="I13" s="124" t="str">
        <f t="shared" si="0"/>
        <v/>
      </c>
    </row>
    <row r="14" spans="2:9" x14ac:dyDescent="0.15">
      <c r="B14" s="100" t="s">
        <v>66</v>
      </c>
      <c r="C14" s="158">
        <f ca="1">(Normalized_FCF!G19/OFFSET(Normalized_FCF!G19, 0, $C$4))^(1/$C$4) - 1</f>
        <v>-2.7745066708446342E-2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30</v>
      </c>
      <c r="E18" s="366" t="s">
        <v>330</v>
      </c>
      <c r="F18" s="367"/>
    </row>
    <row r="19" spans="2:6" x14ac:dyDescent="0.15">
      <c r="E19" s="367"/>
      <c r="F19" s="367"/>
    </row>
    <row r="20" spans="2:6" x14ac:dyDescent="0.15">
      <c r="B20" s="159" t="s">
        <v>303</v>
      </c>
      <c r="E20" s="367"/>
      <c r="F20" s="367"/>
    </row>
    <row r="21" spans="2:6" x14ac:dyDescent="0.15">
      <c r="B21" s="100" t="s">
        <v>277</v>
      </c>
      <c r="C21" s="160">
        <f>Market_Price</f>
        <v>22.62</v>
      </c>
      <c r="D21" t="str">
        <f>Market_currency</f>
        <v>CNY</v>
      </c>
      <c r="E21" s="367"/>
      <c r="F21" s="367"/>
    </row>
    <row r="22" spans="2:6" x14ac:dyDescent="0.15">
      <c r="B22" s="100" t="s">
        <v>278</v>
      </c>
      <c r="C22" s="160">
        <f>IF(valuation_method="DCF",DCF!C12,DDM!C7)</f>
        <v>17.666666666666668</v>
      </c>
      <c r="D22" t="str">
        <f>Market_currency</f>
        <v>CNY</v>
      </c>
      <c r="E22" s="367"/>
      <c r="F22" s="367"/>
    </row>
    <row r="24" spans="2:6" x14ac:dyDescent="0.15">
      <c r="B24" s="159" t="s">
        <v>115</v>
      </c>
      <c r="E24" s="159" t="s">
        <v>149</v>
      </c>
      <c r="F24" s="159"/>
    </row>
    <row r="25" spans="2:6" x14ac:dyDescent="0.15">
      <c r="B25" s="152" t="s">
        <v>133</v>
      </c>
      <c r="C25" s="166">
        <f>C18</f>
        <v>30</v>
      </c>
      <c r="D25" s="163"/>
      <c r="E25" s="365"/>
      <c r="F25" s="365"/>
    </row>
    <row r="26" spans="2:6" ht="14" x14ac:dyDescent="0.15">
      <c r="B26" s="118" t="s">
        <v>134</v>
      </c>
      <c r="C26" s="164">
        <v>0.03</v>
      </c>
      <c r="D26" s="164"/>
      <c r="E26" s="365"/>
      <c r="F26" s="365"/>
    </row>
    <row r="27" spans="2:6" x14ac:dyDescent="0.15">
      <c r="B27" s="100" t="s">
        <v>113</v>
      </c>
      <c r="C27" s="160">
        <f>IF(valuation_method="DCF",DCF!E76,DDM!E71)</f>
        <v>26.751910098643489</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30</v>
      </c>
      <c r="D31" s="163"/>
      <c r="E31" s="365"/>
      <c r="F31" s="365"/>
    </row>
    <row r="32" spans="2:6" ht="14" x14ac:dyDescent="0.15">
      <c r="B32" s="118" t="s">
        <v>134</v>
      </c>
      <c r="C32" s="164">
        <v>0.02</v>
      </c>
      <c r="D32" s="164"/>
      <c r="E32" s="365"/>
      <c r="F32" s="365"/>
    </row>
    <row r="33" spans="2:6" x14ac:dyDescent="0.15">
      <c r="B33" s="100" t="s">
        <v>113</v>
      </c>
      <c r="C33" s="160">
        <f>IF(valuation_method="DCF",DCF!E77,DDM!E72)</f>
        <v>24.188458613162062</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30</v>
      </c>
      <c r="D37" s="163"/>
      <c r="E37" s="365"/>
      <c r="F37" s="365"/>
    </row>
    <row r="38" spans="2:6" ht="14" x14ac:dyDescent="0.15">
      <c r="B38" s="118" t="s">
        <v>134</v>
      </c>
      <c r="C38" s="164">
        <v>0.04</v>
      </c>
      <c r="D38" s="164"/>
      <c r="E38" s="365"/>
      <c r="F38" s="365"/>
    </row>
    <row r="39" spans="2:6" x14ac:dyDescent="0.15">
      <c r="B39" s="100" t="s">
        <v>113</v>
      </c>
      <c r="C39" s="160">
        <f>IF(valuation_method="DCF",DCF!E75,DDM!E70)</f>
        <v>29.787790686793507</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26.846395919177208</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30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30</v>
      </c>
      <c r="D49" s="163"/>
      <c r="E49" s="365"/>
      <c r="F49" s="365"/>
    </row>
    <row r="50" spans="2:6" ht="14" x14ac:dyDescent="0.15">
      <c r="B50" s="118" t="s">
        <v>134</v>
      </c>
      <c r="C50" s="164">
        <v>0</v>
      </c>
      <c r="D50" s="164"/>
      <c r="E50" s="365"/>
      <c r="F50" s="365"/>
    </row>
    <row r="51" spans="2:6" x14ac:dyDescent="0.15">
      <c r="B51" s="100" t="s">
        <v>113</v>
      </c>
      <c r="C51" s="160">
        <f>IF(valuation_method="DCF",DCF!E78,DDM!E73)</f>
        <v>20.162370798692315</v>
      </c>
      <c r="D51" t="str">
        <f>Market_currency</f>
        <v>CNY</v>
      </c>
      <c r="E51" s="365"/>
      <c r="F51" s="365"/>
    </row>
    <row r="52" spans="2:6" x14ac:dyDescent="0.15">
      <c r="B52" s="100" t="s">
        <v>147</v>
      </c>
      <c r="C52" s="165">
        <v>0.01</v>
      </c>
      <c r="D52" s="165"/>
      <c r="E52" s="365"/>
      <c r="F52" s="365"/>
    </row>
    <row r="54" spans="2:6" x14ac:dyDescent="0.15">
      <c r="B54" s="159" t="s">
        <v>316</v>
      </c>
      <c r="E54" s="159" t="s">
        <v>149</v>
      </c>
      <c r="F54" s="159"/>
    </row>
    <row r="55" spans="2:6" x14ac:dyDescent="0.15">
      <c r="B55" s="152" t="s">
        <v>133</v>
      </c>
      <c r="C55" s="166">
        <f>C46</f>
        <v>30</v>
      </c>
      <c r="D55" s="163"/>
      <c r="E55" s="365"/>
      <c r="F55" s="365"/>
    </row>
    <row r="56" spans="2:6" ht="14" x14ac:dyDescent="0.15">
      <c r="B56" s="118" t="s">
        <v>134</v>
      </c>
      <c r="C56" s="164">
        <v>0.06</v>
      </c>
      <c r="D56" s="164"/>
      <c r="E56" s="365"/>
      <c r="F56" s="365"/>
    </row>
    <row r="57" spans="2:6" x14ac:dyDescent="0.15">
      <c r="B57" s="100" t="s">
        <v>113</v>
      </c>
      <c r="C57" s="160">
        <f>IF(valuation_method="DCF",DCF!E74,DDM!E69)</f>
        <v>37.705948764800347</v>
      </c>
      <c r="D57" t="str">
        <f>Market_currency</f>
        <v>CNY</v>
      </c>
      <c r="E57" s="365"/>
      <c r="F57" s="365"/>
    </row>
    <row r="58" spans="2:6" x14ac:dyDescent="0.15">
      <c r="B58" s="100" t="s">
        <v>147</v>
      </c>
      <c r="C58" s="165">
        <v>0.01</v>
      </c>
      <c r="D58" s="165"/>
      <c r="E58" s="365"/>
      <c r="F58" s="365"/>
    </row>
    <row r="60" spans="2:6" x14ac:dyDescent="0.15">
      <c r="B60" s="100" t="s">
        <v>120</v>
      </c>
      <c r="C60" s="154">
        <f>C51*C52+C57*C58+C42*(1-C52-C58)</f>
        <v>26.888151196428591</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30</v>
      </c>
      <c r="D64" s="150"/>
      <c r="E64" s="251" t="s">
        <v>395</v>
      </c>
    </row>
    <row r="65" spans="2:6" ht="14" x14ac:dyDescent="0.15">
      <c r="B65" s="118" t="s">
        <v>134</v>
      </c>
      <c r="C65" s="151">
        <v>3.0480331534493699E-2</v>
      </c>
      <c r="D65" s="151"/>
      <c r="E65" s="251" t="s">
        <v>312</v>
      </c>
    </row>
    <row r="66" spans="2:6" x14ac:dyDescent="0.15">
      <c r="B66" s="100" t="s">
        <v>102</v>
      </c>
      <c r="C66" s="160">
        <f>IF(valuation_method="DCF",DCF!C18,DDM!C13)</f>
        <v>26.886199522956279</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-13.19550584997735</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1.06</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1.829322250329541</v>
      </c>
      <c r="D81" s="116"/>
      <c r="E81" s="100"/>
      <c r="F81" s="100"/>
    </row>
    <row r="82" spans="2:8" x14ac:dyDescent="0.15">
      <c r="B82" s="100" t="s">
        <v>122</v>
      </c>
      <c r="C82" s="116">
        <f>C60/(1+C80)^C76</f>
        <v>11.250367775156876</v>
      </c>
      <c r="D82" s="116"/>
    </row>
    <row r="83" spans="2:8" x14ac:dyDescent="0.15">
      <c r="B83" s="110" t="s">
        <v>101</v>
      </c>
      <c r="C83" s="111">
        <f>C81+C82</f>
        <v>13.079690025486418</v>
      </c>
      <c r="D83" t="str">
        <f>Market_currency</f>
        <v>CNY</v>
      </c>
      <c r="E83" s="146" t="s">
        <v>126</v>
      </c>
      <c r="F83" s="291">
        <f>(1-C83/C60)</f>
        <v>0.51355190135855366</v>
      </c>
    </row>
    <row r="84" spans="2:8" x14ac:dyDescent="0.15">
      <c r="E84" s="120"/>
    </row>
    <row r="85" spans="2:8" x14ac:dyDescent="0.15">
      <c r="B85" s="109" t="s">
        <v>302</v>
      </c>
    </row>
    <row r="86" spans="2:8" x14ac:dyDescent="0.15">
      <c r="B86" s="148" t="s">
        <v>300</v>
      </c>
      <c r="C86" s="116">
        <f>Market_Price</f>
        <v>22.62</v>
      </c>
      <c r="D86" t="str">
        <f>Market_currency</f>
        <v>CNY</v>
      </c>
    </row>
    <row r="87" spans="2:8" x14ac:dyDescent="0.15">
      <c r="B87" s="100" t="s">
        <v>298</v>
      </c>
      <c r="C87" s="237">
        <f ca="1">IRR(OFFSET($I$3, 0, 0, $C$76 + 1, 1))</f>
        <v>0.10366547931610515</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2.279132885208865</v>
      </c>
      <c r="D91" s="116"/>
      <c r="E91" s="100"/>
      <c r="F91" s="100"/>
    </row>
    <row r="92" spans="2:8" x14ac:dyDescent="0.15">
      <c r="B92" s="100" t="s">
        <v>122</v>
      </c>
      <c r="C92" s="116">
        <f>C60/(1+C90)^C76</f>
        <v>16.07713967014136</v>
      </c>
      <c r="D92" s="116"/>
    </row>
    <row r="93" spans="2:8" x14ac:dyDescent="0.15">
      <c r="B93" s="110" t="s">
        <v>101</v>
      </c>
      <c r="C93" s="111">
        <f>C91+C92</f>
        <v>18.356272555350223</v>
      </c>
      <c r="D93" t="str">
        <f>Market_currency</f>
        <v>CNY</v>
      </c>
      <c r="E93" s="146" t="s">
        <v>126</v>
      </c>
      <c r="F93" s="291">
        <f>(1-C93/C60)</f>
        <v>0.3173099771252258</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2.8333926664293383</v>
      </c>
      <c r="D97" s="116"/>
      <c r="G97" s="2"/>
      <c r="H97" s="281"/>
    </row>
    <row r="98" spans="2:8" x14ac:dyDescent="0.15">
      <c r="B98" s="100" t="s">
        <v>122</v>
      </c>
      <c r="C98" s="116">
        <f>C60/(1+C96)^C76</f>
        <v>22.575810229609498</v>
      </c>
      <c r="D98" s="116"/>
      <c r="G98" s="2"/>
      <c r="H98" s="281"/>
    </row>
    <row r="99" spans="2:8" x14ac:dyDescent="0.15">
      <c r="B99" s="110" t="s">
        <v>398</v>
      </c>
      <c r="C99" s="111">
        <f>C97+C98</f>
        <v>25.409202896038835</v>
      </c>
      <c r="D99" t="s">
        <v>396</v>
      </c>
      <c r="E99" s="146" t="s">
        <v>126</v>
      </c>
      <c r="F99" s="291">
        <f>(1-C99/C60)</f>
        <v>5.5003718537040891E-2</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2.6975834619563113</v>
      </c>
      <c r="D103" s="116"/>
    </row>
    <row r="104" spans="2:8" x14ac:dyDescent="0.15">
      <c r="B104" s="100" t="s">
        <v>122</v>
      </c>
      <c r="C104" s="116">
        <f>C60/(1+C102)^C76</f>
        <v>20.934968382149542</v>
      </c>
      <c r="D104" s="116"/>
    </row>
    <row r="105" spans="2:8" x14ac:dyDescent="0.15">
      <c r="B105" s="110" t="s">
        <v>398</v>
      </c>
      <c r="C105" s="111">
        <f>C103+C104</f>
        <v>23.632551844105855</v>
      </c>
      <c r="D105" t="s">
        <v>396</v>
      </c>
      <c r="E105" s="146" t="s">
        <v>126</v>
      </c>
      <c r="F105" s="291">
        <f>(1-C105/C66)</f>
        <v>0.1210155297728992</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