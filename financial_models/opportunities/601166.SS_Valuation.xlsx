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59EE462-CC50-4ACC-BAB2-7DB52F4809FA}"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7" i="3"/>
  <c r="C30" i="3"/>
  <c r="G15" i="3"/>
  <c r="G17" i="3"/>
  <c r="C19" i="3"/>
  <c r="C23" i="3"/>
  <c r="G4" i="3"/>
  <c r="G7"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C80" i="4" s="1"/>
  <c r="C76" i="4" s="1"/>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E1" i="4"/>
  <c r="F1" i="4" s="1"/>
  <c r="G1" i="4" s="1"/>
  <c r="H1" i="4" s="1"/>
  <c r="I1" i="4" s="1"/>
  <c r="J1" i="4" s="1"/>
  <c r="K1" i="4" s="1"/>
  <c r="L1" i="4" s="1"/>
  <c r="M1" i="4" s="1"/>
  <c r="D74" i="3" l="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I80" i="2" l="1"/>
  <c r="I118" i="2"/>
  <c r="K43" i="2"/>
  <c r="K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17" i="2" l="1"/>
  <c r="O120" i="2"/>
  <c r="O116" i="2" s="1"/>
  <c r="P120" i="2"/>
  <c r="P116" i="2" s="1"/>
  <c r="P117" i="2"/>
  <c r="O81" i="2"/>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17" i="2"/>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H117" i="2"/>
  <c r="C172" i="6"/>
  <c r="C148" i="6"/>
  <c r="C99" i="9"/>
  <c r="C165" i="6" s="1"/>
  <c r="D173" i="6"/>
  <c r="D32" i="6" s="1"/>
  <c r="C32" i="6"/>
  <c r="E26" i="6"/>
  <c r="C93" i="9"/>
  <c r="C151" i="6"/>
  <c r="C149" i="6"/>
  <c r="H16" i="2"/>
  <c r="H19" i="2" s="1"/>
  <c r="H81" i="2"/>
  <c r="F99" i="9" l="1"/>
  <c r="C167" i="6" s="1"/>
  <c r="D165" i="6"/>
  <c r="D31" i="6" s="1"/>
  <c r="C31" i="6"/>
  <c r="C29" i="6"/>
  <c r="D149" i="6"/>
  <c r="D29" i="6" s="1"/>
  <c r="H114" i="2"/>
  <c r="H92" i="2"/>
  <c r="F93" i="9"/>
  <c r="C159" i="6" s="1"/>
  <c r="C157" i="6"/>
  <c r="H124" i="2"/>
  <c r="H125" i="2" s="1"/>
  <c r="H84" i="2"/>
  <c r="G76" i="2"/>
  <c r="D54" i="3"/>
  <c r="D50" i="3"/>
  <c r="G13" i="2"/>
  <c r="G117" i="2" s="1"/>
  <c r="G97" i="2" l="1"/>
  <c r="G120" i="2"/>
  <c r="C30" i="6"/>
  <c r="D157" i="6"/>
  <c r="D30" i="6" s="1"/>
  <c r="H87" i="2"/>
  <c r="G16" i="2"/>
  <c r="G19" i="2" s="1"/>
  <c r="G81" i="2"/>
  <c r="D74" i="6" s="1"/>
  <c r="G116" i="2" l="1"/>
  <c r="D73" i="6"/>
  <c r="G114" i="2"/>
  <c r="G92" i="2"/>
  <c r="G124" i="2"/>
  <c r="G125" i="2" s="1"/>
  <c r="G84" i="2"/>
  <c r="J76" i="2"/>
  <c r="I76" i="2"/>
  <c r="N76" i="2"/>
  <c r="L76" i="2"/>
  <c r="J13" i="2"/>
  <c r="M76" i="2"/>
  <c r="L13" i="2"/>
  <c r="K13" i="2"/>
  <c r="N13" i="2"/>
  <c r="M13" i="2"/>
  <c r="I13" i="2"/>
  <c r="K76" i="2"/>
  <c r="I120" i="2" l="1"/>
  <c r="I116" i="2" s="1"/>
  <c r="I117" i="2"/>
  <c r="M120" i="2"/>
  <c r="M116" i="2" s="1"/>
  <c r="M117" i="2"/>
  <c r="L120" i="2"/>
  <c r="L116" i="2" s="1"/>
  <c r="L117" i="2"/>
  <c r="N97" i="2"/>
  <c r="N120" i="2"/>
  <c r="N116" i="2" s="1"/>
  <c r="N117" i="2"/>
  <c r="K16" i="2"/>
  <c r="K19" i="2" s="1"/>
  <c r="K114" i="2" s="1"/>
  <c r="K117" i="2"/>
  <c r="K120" i="2"/>
  <c r="K116" i="2" s="1"/>
  <c r="J120" i="2"/>
  <c r="J116" i="2" s="1"/>
  <c r="J117" i="2"/>
  <c r="K92" i="2"/>
  <c r="C8" i="9"/>
  <c r="C67" i="6"/>
  <c r="G87" i="2"/>
  <c r="K81" i="2"/>
  <c r="K97" i="2"/>
  <c r="L97" i="2"/>
  <c r="M97" i="2"/>
  <c r="I97" i="2"/>
  <c r="H97" i="2"/>
  <c r="J97" i="2"/>
  <c r="I16" i="2"/>
  <c r="I19" i="2" s="1"/>
  <c r="I81" i="2"/>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<sst xmlns="http://schemas.openxmlformats.org/spreadsheetml/2006/main" count="685" uniqueCount="466">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</sst>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45794</v>
      </c>
      <c r="D1" s="316" t="s">
        <v>459</v>
      </c>
      <c r="E1" s="292" t="s">
        <v>353</v>
      </c>
      <c r="F1" s="254" t="s">
        <v>460</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440</v>
      </c>
    </row>
    <row r="6" spans="1:10">
      <c r="B6" s="4" t="s">
        <v>0</v>
      </c>
      <c r="C6" s="51">
        <v>20774311267</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441</v>
      </c>
      <c r="D11" s="49" t="s">
        <v>461</v>
      </c>
      <c r="E11" s="34"/>
    </row>
    <row r="12" spans="1:10">
      <c r="B12" s="4" t="s">
        <v>94</v>
      </c>
      <c r="C12" s="50">
        <v>23.8</v>
      </c>
      <c r="D12" s="50"/>
      <c r="E12" s="48"/>
    </row>
    <row r="13" spans="1:10">
      <c r="B13" s="1" t="s">
        <v>416</v>
      </c>
      <c r="C13" s="48" t="s">
        <v>414</v>
      </c>
      <c r="D13" s="48"/>
      <c r="E13" s="5"/>
    </row>
    <row r="14" spans="1:10">
      <c r="B14" s="4" t="s">
        <v>420</v>
      </c>
      <c r="C14" s="35">
        <f>Thesis!C12*Common_Shares/1000000</f>
        <v>494428.60815460002</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443</v>
      </c>
    </row>
    <row r="22" spans="2:6">
      <c r="B22" s="2" t="s">
        <v>56</v>
      </c>
      <c r="C22" s="48" t="s">
        <v>442</v>
      </c>
      <c r="D22" s="1" t="str">
        <f>IF(valuation_method="DDM","DDM Terminal Value","")</f>
        <v>DDM Terminal Value</v>
      </c>
      <c r="E22" s="313">
        <v>0.02</v>
      </c>
    </row>
    <row r="23" spans="2:6">
      <c r="B23" s="1" t="s">
        <v>434</v>
      </c>
      <c r="C23" s="262" t="s">
        <v>462</v>
      </c>
    </row>
    <row r="24" spans="2:6">
      <c r="B24" s="1" t="s">
        <v>435</v>
      </c>
      <c r="C24" s="262" t="s">
        <v>462</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26.888151196428591</v>
      </c>
      <c r="D26" s="1" t="s">
        <v>399</v>
      </c>
      <c r="E26" s="301">
        <f ca="1">Scenarios!C87</f>
        <v>8.4338176800193398E-2</v>
      </c>
    </row>
    <row r="27" spans="2:6">
      <c r="D27" s="5"/>
      <c r="E27" s="5"/>
    </row>
    <row r="28" spans="2:6">
      <c r="B28" s="45" t="s">
        <v>433</v>
      </c>
      <c r="C28" s="309" t="str">
        <f>C145&amp;" ("&amp;Market_currency&amp;")"</f>
        <v>601166.SS (CNY)</v>
      </c>
      <c r="D28" s="309" t="str">
        <f>IF(D11="","",D145&amp;" ("&amp;D13&amp;")")</f>
        <v/>
      </c>
      <c r="E28" s="305" t="s">
        <v>429</v>
      </c>
      <c r="F28" s="303">
        <v>3</v>
      </c>
    </row>
    <row r="29" spans="2:6">
      <c r="B29" s="1" t="s">
        <v>425</v>
      </c>
      <c r="C29" s="310">
        <f>C149</f>
        <v>13.079690025486418</v>
      </c>
      <c r="D29" s="310" t="str">
        <f>D149</f>
        <v/>
      </c>
      <c r="E29" s="306" t="s">
        <v>424</v>
      </c>
      <c r="F29" s="302">
        <v>0.33699999999999997</v>
      </c>
    </row>
    <row r="30" spans="2:6">
      <c r="B30" s="1" t="s">
        <v>426</v>
      </c>
      <c r="C30" s="311">
        <f>C157</f>
        <v>18.356272555350223</v>
      </c>
      <c r="D30" s="311" t="str">
        <f>D157</f>
        <v/>
      </c>
      <c r="E30" s="307" t="s">
        <v>437</v>
      </c>
      <c r="F30" s="312">
        <v>0.187</v>
      </c>
    </row>
    <row r="31" spans="2:6">
      <c r="B31" s="1" t="s">
        <v>427</v>
      </c>
      <c r="C31" s="311">
        <f>C165</f>
        <v>25.409202896038835</v>
      </c>
      <c r="D31" s="311" t="str">
        <f>D165</f>
        <v/>
      </c>
      <c r="E31" s="307" t="s">
        <v>436</v>
      </c>
      <c r="F31" s="312">
        <v>0.06</v>
      </c>
    </row>
    <row r="32" spans="2:6">
      <c r="B32" s="1" t="s">
        <v>428</v>
      </c>
      <c r="C32" s="311">
        <f>C173</f>
        <v>23.632551844105855</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6033.25</v>
      </c>
      <c r="D41" s="1" t="str">
        <f>Reporting_currency</f>
        <v>CNY</v>
      </c>
    </row>
    <row r="42" spans="1:6">
      <c r="B42" s="47"/>
      <c r="C42" s="76"/>
    </row>
    <row r="43" spans="1:6" ht="24.5" customHeight="1">
      <c r="B43" s="359" t="s">
        <v>233</v>
      </c>
      <c r="C43" s="359"/>
      <c r="D43" s="359"/>
      <c r="E43" s="359"/>
      <c r="F43" s="359"/>
    </row>
    <row r="44" spans="1:6">
      <c r="B44" s="47" t="s">
        <v>234</v>
      </c>
      <c r="C44" s="349">
        <f>Normalized_FCF!C9</f>
        <v>0</v>
      </c>
      <c r="D44" s="1" t="str">
        <f>Reporting_currency</f>
        <v>CNY</v>
      </c>
    </row>
    <row r="45" spans="1:6">
      <c r="B45" s="52" t="s">
        <v>235</v>
      </c>
      <c r="C45" s="349">
        <f>Normalized_FCF!C10</f>
        <v>0</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343835</v>
      </c>
      <c r="D51" s="1" t="str">
        <f>Reporting_currency</f>
        <v>CNY</v>
      </c>
      <c r="E51" s="286"/>
      <c r="F51" s="286"/>
    </row>
    <row r="52" spans="2:6">
      <c r="B52" s="47" t="s">
        <v>341</v>
      </c>
      <c r="C52" s="350">
        <f>Normalized_FCF!C47</f>
        <v>-195728</v>
      </c>
      <c r="D52" s="1" t="str">
        <f>Reporting_currency</f>
        <v>CNY</v>
      </c>
      <c r="E52" s="286"/>
      <c r="F52" s="286"/>
    </row>
    <row r="53" spans="2:6">
      <c r="B53" s="47" t="s">
        <v>238</v>
      </c>
      <c r="C53" s="349">
        <f>Normalized_FCF!C12</f>
        <v>148107</v>
      </c>
      <c r="D53" s="1" t="str">
        <f>Reporting_currency</f>
        <v>CNY</v>
      </c>
    </row>
    <row r="55" spans="2:6">
      <c r="B55" s="1" t="s">
        <v>246</v>
      </c>
    </row>
    <row r="56" spans="2:6">
      <c r="B56" s="47" t="s">
        <v>265</v>
      </c>
      <c r="C56" s="349">
        <f>Normalized_FCF!C15</f>
        <v>-902.60509486250271</v>
      </c>
      <c r="D56" s="1" t="str">
        <f>Reporting_currency</f>
        <v>CNY</v>
      </c>
    </row>
    <row r="58" spans="2:6">
      <c r="B58" s="359" t="s">
        <v>241</v>
      </c>
      <c r="C58" s="359"/>
      <c r="D58" s="359"/>
      <c r="E58" s="359"/>
      <c r="F58" s="359"/>
    </row>
    <row r="59" spans="2:6">
      <c r="B59" s="47" t="s">
        <v>239</v>
      </c>
      <c r="C59" s="349">
        <f>Normalized_FCF!C14</f>
        <v>-38535.0625</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137471</v>
      </c>
      <c r="D67" s="1" t="str">
        <f>Reporting_currency</f>
        <v>CNY</v>
      </c>
    </row>
    <row r="68" spans="1:6">
      <c r="B68" s="47" t="s">
        <v>248</v>
      </c>
      <c r="C68" s="349">
        <f>Normalized_FCF!C19</f>
        <v>114702.58240513749</v>
      </c>
      <c r="D68" s="1" t="str">
        <f>Reporting_currency</f>
        <v>CNY</v>
      </c>
    </row>
    <row r="69" spans="1:6">
      <c r="B69" s="227" t="s">
        <v>390</v>
      </c>
      <c r="C69" s="92">
        <f>Normalized_FCF!C125</f>
        <v>0.23199018121797638</v>
      </c>
      <c r="F69" s="314"/>
    </row>
    <row r="70" spans="1:6">
      <c r="B70" s="227" t="s">
        <v>308</v>
      </c>
      <c r="C70" s="92">
        <f>Normalized_FCF!C93</f>
        <v>4.4537815126050422E-2</v>
      </c>
      <c r="E70" s="47" t="s">
        <v>452</v>
      </c>
      <c r="F70" s="315">
        <f>Normalized_FCF!C92</f>
        <v>0.19198146616473824</v>
      </c>
    </row>
    <row r="72" spans="1:6">
      <c r="B72" s="210" t="s">
        <v>454</v>
      </c>
      <c r="C72" s="323" t="s">
        <v>456</v>
      </c>
      <c r="D72" s="323" t="s">
        <v>457</v>
      </c>
    </row>
    <row r="73" spans="1:6">
      <c r="B73" s="47" t="s">
        <v>455</v>
      </c>
      <c r="C73" s="92">
        <f>Normalized_FCF!C120</f>
        <v>0.17249144202566888</v>
      </c>
      <c r="D73" s="92">
        <f>Normalized_FCF!G120</f>
        <v>0.16493306371564362</v>
      </c>
    </row>
    <row r="74" spans="1:6">
      <c r="B74" s="259" t="str">
        <f>Normalized_FCF!B117</f>
        <v>Pre-tax Profit/Sales</v>
      </c>
      <c r="C74" s="322">
        <f>Normalized_FCF!C117</f>
        <v>0.71319953730480046</v>
      </c>
      <c r="D74" s="322">
        <f>Normalized_FCF!G117</f>
        <v>0.7018481216398329</v>
      </c>
    </row>
    <row r="75" spans="1:6">
      <c r="B75" s="259" t="str">
        <f>Normalized_FCF!B118</f>
        <v>Sales/Total Assets</v>
      </c>
      <c r="C75" s="324">
        <f>Normalized_FCF!C118</f>
        <v>2.0567862383133143E-2</v>
      </c>
      <c r="D75" s="324">
        <f>Normalized_FCF!G118</f>
        <v>1.9984681998245511E-2</v>
      </c>
    </row>
    <row r="76" spans="1:6">
      <c r="B76" s="259" t="str">
        <f>Normalized_FCF!B119</f>
        <v>Total Assets/Equity</v>
      </c>
      <c r="C76" s="324">
        <f>Normalized_FCF!C119</f>
        <v>11.758917470801054</v>
      </c>
      <c r="D76" s="324">
        <f>Normalized_FCF!G119</f>
        <v>11.758917470801054</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92.022771883130645</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9516669</v>
      </c>
      <c r="D102" s="1" t="str">
        <f>Reporting_currency</f>
        <v>CNY</v>
      </c>
    </row>
    <row r="103" spans="2:6">
      <c r="B103" s="47" t="s">
        <v>281</v>
      </c>
      <c r="C103" s="223">
        <f>C102*scaling_factor*Exchange_Rate/Common_Shares</f>
        <v>458.09793054931413</v>
      </c>
      <c r="D103" s="1" t="str">
        <f>Market_currency</f>
        <v>CNY</v>
      </c>
    </row>
    <row r="104" spans="2:6">
      <c r="B104" s="296" t="s">
        <v>404</v>
      </c>
      <c r="C104" s="325" t="str">
        <f>IF(BS!G31/BS!G27&gt;300%,"nm",BS!G31/BS!G27)</f>
        <v>nm</v>
      </c>
    </row>
    <row r="105" spans="2:6">
      <c r="B105" s="296" t="s">
        <v>406</v>
      </c>
      <c r="C105" s="326" t="str">
        <f>IF(BS!C50&gt;30,"nm",BS!C50)</f>
        <v>nm</v>
      </c>
    </row>
    <row r="107" spans="2:6">
      <c r="B107" s="1" t="s">
        <v>254</v>
      </c>
    </row>
    <row r="108" spans="2:6">
      <c r="B108" s="47" t="s">
        <v>264</v>
      </c>
      <c r="C108" s="349">
        <f>BS!C66</f>
        <v>6736706</v>
      </c>
      <c r="D108" s="1" t="str">
        <f>Reporting_currency</f>
        <v>CNY</v>
      </c>
    </row>
    <row r="109" spans="2:6">
      <c r="B109" s="47" t="s">
        <v>266</v>
      </c>
      <c r="C109" s="349">
        <f>DCF!C8</f>
        <v>0</v>
      </c>
      <c r="D109" s="1" t="str">
        <f>Reporting_currency</f>
        <v>CNY</v>
      </c>
    </row>
    <row r="110" spans="2:6">
      <c r="B110" s="47" t="s">
        <v>282</v>
      </c>
      <c r="C110" s="223">
        <f>C109*scaling_factor*Exchange_Rate/Common_Shares</f>
        <v>0</v>
      </c>
      <c r="D110" s="1" t="str">
        <f>Market_currency</f>
        <v>CNY</v>
      </c>
    </row>
    <row r="112" spans="2:6">
      <c r="B112" s="1" t="s">
        <v>256</v>
      </c>
    </row>
    <row r="113" spans="1:6">
      <c r="B113" s="47" t="s">
        <v>257</v>
      </c>
      <c r="C113" s="349">
        <f>DCF!C9</f>
        <v>2145886.1</v>
      </c>
      <c r="D113" s="1" t="str">
        <f>Reporting_currency</f>
        <v>CNY</v>
      </c>
    </row>
    <row r="114" spans="1:6">
      <c r="B114" s="47" t="s">
        <v>283</v>
      </c>
      <c r="C114" s="223">
        <f>C113*scaling_factor*Exchange_Rate/Common_Shares</f>
        <v>103.2951741417652</v>
      </c>
      <c r="D114" s="1" t="str">
        <f>Market_currency</f>
        <v>CNY</v>
      </c>
    </row>
    <row r="116" spans="1:6" ht="24.5" customHeight="1">
      <c r="B116" s="358" t="s">
        <v>366</v>
      </c>
      <c r="C116" s="358"/>
      <c r="D116" s="358"/>
      <c r="E116" s="358"/>
      <c r="F116" s="358"/>
    </row>
    <row r="118" spans="1:6">
      <c r="B118" s="47" t="s">
        <v>453</v>
      </c>
      <c r="C118" s="223">
        <f>IF(valuation_method="DCF",DCF!C12,DDM!C7)</f>
        <v>17.666666666666668</v>
      </c>
      <c r="D118" s="1" t="str">
        <f>Market_currency</f>
        <v>CNY</v>
      </c>
    </row>
    <row r="119" spans="1:6">
      <c r="B119" s="296" t="s">
        <v>405</v>
      </c>
      <c r="C119" s="223">
        <f>BS!D47</f>
        <v>-92.956751979911445</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258</v>
      </c>
      <c r="C132" s="217">
        <f>Scenarios!C60</f>
        <v>26.888151196428591</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601166.SS</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11.250367775156876</v>
      </c>
    </row>
    <row r="149" spans="2:4">
      <c r="B149" s="80" t="s">
        <v>260</v>
      </c>
      <c r="C149" s="215">
        <f>Scenarios!C83</f>
        <v>13.079690025486418</v>
      </c>
      <c r="D149" s="300" t="str">
        <f>IF($D$11="","",C149*$E$25)</f>
        <v/>
      </c>
    </row>
    <row r="150" spans="2:4">
      <c r="B150" s="259" t="s">
        <v>416</v>
      </c>
      <c r="C150" s="298" t="str">
        <f>Market_currency</f>
        <v>CNY</v>
      </c>
      <c r="D150" s="298" t="str">
        <f>IF($D$11="","",D$13)</f>
        <v/>
      </c>
    </row>
    <row r="151" spans="2:4">
      <c r="B151" s="214" t="s">
        <v>262</v>
      </c>
      <c r="C151" s="92">
        <f>Scenarios!F83</f>
        <v>0.51355190135855366</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16.07713967014136</v>
      </c>
    </row>
    <row r="157" spans="2:4">
      <c r="B157" s="80" t="s">
        <v>260</v>
      </c>
      <c r="C157" s="215">
        <f>Scenarios!C93</f>
        <v>18.356272555350223</v>
      </c>
      <c r="D157" s="300" t="str">
        <f>IF($D$11="","",C157*$E$25)</f>
        <v/>
      </c>
    </row>
    <row r="158" spans="2:4">
      <c r="B158" s="259" t="s">
        <v>416</v>
      </c>
      <c r="C158" s="298" t="str">
        <f>Market_currency</f>
        <v>CNY</v>
      </c>
      <c r="D158" s="298" t="str">
        <f>IF($D$11="","",D$13)</f>
        <v/>
      </c>
    </row>
    <row r="159" spans="2:4">
      <c r="B159" s="214" t="s">
        <v>262</v>
      </c>
      <c r="C159" s="92">
        <f>Scenarios!F93</f>
        <v>0.3173099771252258</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401</v>
      </c>
      <c r="C165" s="215">
        <f>Scenarios!C99</f>
        <v>25.409202896038835</v>
      </c>
      <c r="D165" s="300" t="str">
        <f>IF($D$11="","",C165*$E$25)</f>
        <v/>
      </c>
    </row>
    <row r="166" spans="2:4">
      <c r="B166" s="259" t="s">
        <v>416</v>
      </c>
      <c r="C166" s="298" t="str">
        <f>Market_currency</f>
        <v>CNY</v>
      </c>
      <c r="D166" s="298" t="str">
        <f>IF($D$11="","",D$13)</f>
        <v/>
      </c>
    </row>
    <row r="167" spans="2:4">
      <c r="B167" s="214" t="s">
        <v>262</v>
      </c>
      <c r="C167" s="92">
        <f>Scenarios!F99</f>
        <v>5.5003718537040891E-2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401</v>
      </c>
      <c r="C173" s="215">
        <f>Scenarios!C105</f>
        <v>23.632551844105855</v>
      </c>
      <c r="D173" s="300" t="str">
        <f>IF($D$11="","",C173*$E$25)</f>
        <v/>
      </c>
    </row>
    <row r="174" spans="2:4">
      <c r="B174" s="259" t="s">
        <v>416</v>
      </c>
      <c r="C174" s="298" t="str">
        <f>Market_currency</f>
        <v>CNY</v>
      </c>
      <c r="D174" s="298" t="str">
        <f>IF($D$11="","",D$13)</f>
        <v/>
      </c>
    </row>
    <row r="175" spans="2:4">
      <c r="B175" s="214" t="s">
        <v>262</v>
      </c>
      <c r="C175" s="92">
        <f>Scenarios!F105</f>
        <v>0.1210155297728992</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373</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372</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172</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168</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168</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f>6731</f>
        <v>6731</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458</v>
      </c>
      <c r="C15" s="19">
        <v>0</v>
      </c>
      <c r="D15" s="261">
        <v>0.4</v>
      </c>
      <c r="F15" s="4" t="s">
        <v>78</v>
      </c>
      <c r="G15" s="19">
        <f>177518+5608859</f>
        <v>5786377</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923189+1896064+630916+4011+114913</f>
        <v>3569093</v>
      </c>
      <c r="H17" s="261">
        <v>0.6</v>
      </c>
    </row>
    <row r="18" spans="2:8" ht="15" customHeight="1">
      <c r="B18" s="4" t="s">
        <v>173</v>
      </c>
      <c r="C18" s="19">
        <v>0</v>
      </c>
      <c r="D18" s="261">
        <v>0.6</v>
      </c>
      <c r="F18" s="4" t="s">
        <v>181</v>
      </c>
      <c r="G18" s="19">
        <v>0</v>
      </c>
      <c r="H18" s="261">
        <v>0.1</v>
      </c>
    </row>
    <row r="19" spans="2:8" ht="15" customHeight="1">
      <c r="B19" s="4" t="s">
        <v>26</v>
      </c>
      <c r="C19" s="19">
        <f>28869+1862+9314</f>
        <v>40045</v>
      </c>
      <c r="D19" s="261">
        <v>0.1</v>
      </c>
      <c r="F19" s="4" t="s">
        <v>182</v>
      </c>
      <c r="G19" s="19">
        <v>3917</v>
      </c>
      <c r="H19" s="261">
        <v>0.1</v>
      </c>
    </row>
    <row r="20" spans="2:8" ht="15" customHeight="1">
      <c r="B20" s="4" t="s">
        <v>18</v>
      </c>
      <c r="C20" s="19">
        <v>0</v>
      </c>
      <c r="D20" s="261">
        <v>0.05</v>
      </c>
      <c r="F20" s="4" t="s">
        <v>179</v>
      </c>
      <c r="G20" s="19">
        <v>0</v>
      </c>
      <c r="H20" s="261">
        <v>0.2</v>
      </c>
    </row>
    <row r="21" spans="2:8" ht="15" customHeight="1">
      <c r="B21" s="4" t="s">
        <v>19</v>
      </c>
      <c r="C21" s="19">
        <v>1122</v>
      </c>
      <c r="D21" s="261">
        <v>0.05</v>
      </c>
      <c r="F21" s="1" t="s">
        <v>180</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200</v>
      </c>
      <c r="C26" s="182" t="s">
        <v>136</v>
      </c>
      <c r="F26" s="184" t="s">
        <v>196</v>
      </c>
      <c r="G26" s="185" t="s">
        <v>136</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244</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203</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191451</v>
      </c>
      <c r="H35" s="200">
        <f>D12+D24</f>
        <v>64593.7</v>
      </c>
    </row>
    <row r="36" spans="2:8" ht="15" customHeight="1">
      <c r="B36" s="4" t="s">
        <v>13</v>
      </c>
      <c r="C36" s="19">
        <v>0</v>
      </c>
      <c r="F36" s="190" t="s">
        <v>197</v>
      </c>
      <c r="G36" s="191">
        <f>C4+C15</f>
        <v>0</v>
      </c>
      <c r="H36" s="195"/>
    </row>
    <row r="37" spans="2:8" ht="15" customHeight="1">
      <c r="B37" s="4" t="s">
        <v>14</v>
      </c>
      <c r="C37" s="19">
        <v>0</v>
      </c>
      <c r="F37" s="190" t="s">
        <v>198</v>
      </c>
      <c r="G37" s="191">
        <f>C6</f>
        <v>0</v>
      </c>
      <c r="H37" s="195"/>
    </row>
    <row r="38" spans="2:8" ht="15" customHeight="1">
      <c r="B38" s="4" t="s">
        <v>15</v>
      </c>
      <c r="C38" s="19">
        <v>0</v>
      </c>
      <c r="F38" s="190" t="s">
        <v>199</v>
      </c>
      <c r="G38" s="191">
        <f>C7+C17</f>
        <v>0</v>
      </c>
      <c r="H38" s="195"/>
    </row>
    <row r="39" spans="2:8" ht="15" customHeight="1">
      <c r="B39" s="2" t="s">
        <v>16</v>
      </c>
      <c r="C39" s="19">
        <v>0</v>
      </c>
      <c r="F39" s="190" t="s">
        <v>79</v>
      </c>
      <c r="G39" s="191">
        <f>C7+C17+C19+C20</f>
        <v>40045</v>
      </c>
      <c r="H39" s="188">
        <f>C7*D7+C17*D17+C19*D19+C20*D20</f>
        <v>4004.5</v>
      </c>
    </row>
    <row r="40" spans="2:8" ht="15" customHeight="1">
      <c r="B40" s="80" t="s">
        <v>204</v>
      </c>
      <c r="C40" s="81">
        <f>SUM(C36:C39)</f>
        <v>0</v>
      </c>
      <c r="F40" s="199" t="s">
        <v>138</v>
      </c>
      <c r="G40" s="193">
        <f>G12+G24</f>
        <v>10316447</v>
      </c>
      <c r="H40" s="200">
        <f>H12+H24</f>
        <v>7630283.8000000007</v>
      </c>
    </row>
    <row r="41" spans="2:8" ht="15" customHeight="1">
      <c r="B41" s="4" t="s">
        <v>17</v>
      </c>
      <c r="C41" s="21">
        <f>C42-C40</f>
        <v>0</v>
      </c>
      <c r="F41" s="190" t="s">
        <v>191</v>
      </c>
      <c r="G41" s="191">
        <f>C70</f>
        <v>6736706</v>
      </c>
      <c r="H41" s="200">
        <f>H40-H42</f>
        <v>5484397.7000000011</v>
      </c>
    </row>
    <row r="42" spans="2:8" ht="15" customHeight="1">
      <c r="B42" s="83" t="s">
        <v>22</v>
      </c>
      <c r="C42" s="84">
        <v>0</v>
      </c>
      <c r="F42" s="201" t="s">
        <v>192</v>
      </c>
      <c r="G42" s="202">
        <f>C82</f>
        <v>3579741</v>
      </c>
      <c r="H42" s="203">
        <f>D82</f>
        <v>2145886.1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176</v>
      </c>
      <c r="C51" s="181"/>
      <c r="D51" s="92">
        <f>G29/G32</f>
        <v>8.3928108171586746E-2</v>
      </c>
      <c r="F51" s="253"/>
    </row>
    <row r="52" spans="2:8" ht="15" customHeight="1">
      <c r="F52" s="253"/>
    </row>
    <row r="53" spans="2:8" ht="15" customHeight="1">
      <c r="B53" s="157" t="s">
        <v>142</v>
      </c>
      <c r="C53" s="235" t="s">
        <v>57</v>
      </c>
      <c r="D53" s="197" t="s">
        <v>95</v>
      </c>
      <c r="F53" s="253"/>
    </row>
    <row r="54" spans="2:8" ht="15" customHeight="1">
      <c r="B54" s="1" t="s">
        <v>139</v>
      </c>
      <c r="C54" s="92">
        <f>Normalized_FCF!C8/G35</f>
        <v>3.1513285383727427E-2</v>
      </c>
      <c r="D54" s="92">
        <f>Normalized_FCF!G8/G35</f>
        <v>-3.7659766728823565E-3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274</v>
      </c>
      <c r="C61" s="235" t="s">
        <v>137</v>
      </c>
      <c r="D61" s="197" t="s">
        <v>95</v>
      </c>
      <c r="F61" s="253"/>
    </row>
    <row r="62" spans="2:8" ht="15" customHeight="1">
      <c r="B62" s="1" t="s">
        <v>245</v>
      </c>
      <c r="C62" s="92">
        <f>IF(G28&lt;=0,0,G28/G29)</f>
        <v>1.3270091664890215E-2</v>
      </c>
      <c r="D62" s="92">
        <f>G28/G29</f>
        <v>1.3270091664890215E-2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6736706</v>
      </c>
      <c r="D66" s="76">
        <f>C66-D75</f>
        <v>0</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6736706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-7052.6474952516664</v>
      </c>
      <c r="D73" s="349">
        <f>(Normalized_FCF!C25+Normalized_FCF!C35-Normalized_FCF!C91)/12</f>
        <v>-7000.4599952516664</v>
      </c>
      <c r="F73" s="1" t="s">
        <v>351</v>
      </c>
    </row>
    <row r="74" spans="2:6" ht="15" customHeight="1">
      <c r="B74" s="257" t="s">
        <v>321</v>
      </c>
      <c r="C74" s="258">
        <f>-$C$66/C73</f>
        <v>955.20242639882679</v>
      </c>
      <c r="D74" s="258">
        <f>-$C$66/D73</f>
        <v>962.32333369084779</v>
      </c>
      <c r="F74" s="253" t="s">
        <v>319</v>
      </c>
    </row>
    <row r="75" spans="2:6" ht="15" customHeight="1">
      <c r="B75" s="80" t="s">
        <v>320</v>
      </c>
      <c r="C75" s="320"/>
      <c r="D75" s="321">
        <f>MAX(-D73*D76,G5)</f>
        <v>6736706</v>
      </c>
      <c r="F75" s="253" t="s">
        <v>352</v>
      </c>
    </row>
    <row r="76" spans="2:6" ht="15" customHeight="1">
      <c r="B76" s="259" t="s">
        <v>322</v>
      </c>
      <c r="C76" s="260"/>
      <c r="D76" s="290">
        <f>IF(valuation_method="DCF",IF(D74&lt;=3,1,IF(D74&gt;18,6,2)),-C66/D73)</f>
        <v>962.32333369084779</v>
      </c>
      <c r="F76" s="253" t="s">
        <v>323</v>
      </c>
    </row>
    <row r="77" spans="2:6" ht="15" customHeight="1">
      <c r="F77" s="253"/>
    </row>
    <row r="78" spans="2:6" ht="15" customHeight="1">
      <c r="B78" s="16" t="s">
        <v>189</v>
      </c>
      <c r="C78" s="234" t="s">
        <v>136</v>
      </c>
      <c r="D78" s="183" t="s">
        <v>35</v>
      </c>
      <c r="F78" s="253"/>
    </row>
    <row r="79" spans="2:6" ht="15" customHeight="1">
      <c r="B79" s="105" t="s">
        <v>178</v>
      </c>
      <c r="C79" s="20">
        <f>G7+G17</f>
        <v>3575824</v>
      </c>
      <c r="D79" s="76">
        <f>G7*H7+G17*H17</f>
        <v>2145494.4</v>
      </c>
      <c r="F79" s="253"/>
    </row>
    <row r="80" spans="2:6" ht="15" customHeight="1">
      <c r="B80" s="105" t="s">
        <v>182</v>
      </c>
      <c r="C80" s="20">
        <f>G19</f>
        <v>3917</v>
      </c>
      <c r="D80" s="76">
        <f>G19*H19</f>
        <v>391.70000000000005</v>
      </c>
      <c r="F80" s="253"/>
    </row>
    <row r="81" spans="2:8" ht="15" customHeight="1">
      <c r="B81" s="105" t="s">
        <v>180</v>
      </c>
      <c r="C81" s="20">
        <f>G9+G21</f>
        <v>0</v>
      </c>
      <c r="D81" s="76">
        <f>G9*H9+G21*H21</f>
        <v>0</v>
      </c>
      <c r="F81" s="253"/>
    </row>
    <row r="82" spans="2:8" ht="15" customHeight="1">
      <c r="B82" s="80" t="s">
        <v>189</v>
      </c>
      <c r="C82" s="81">
        <f>SUM(C79:C81)</f>
        <v>3579741</v>
      </c>
      <c r="D82" s="81">
        <f>SUM(D79:D81)</f>
        <v>2145886.1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-9516669</v>
      </c>
      <c r="D86" s="223">
        <f>C86*scaling_factor/Common_Shares</f>
        <v>-458.09793054931413</v>
      </c>
      <c r="E86" s="240" t="str">
        <f>Market_currency</f>
        <v>CNY</v>
      </c>
    </row>
    <row r="87" spans="2:8" ht="15" customHeight="1">
      <c r="B87" s="238" t="s">
        <v>287</v>
      </c>
      <c r="C87" s="76">
        <f>DCF!C8*Exchange_Rate</f>
        <v>0</v>
      </c>
      <c r="D87" s="223">
        <f>C87*scaling_factor/Common_Shares</f>
        <v>0</v>
      </c>
      <c r="E87" s="240" t="str">
        <f>Market_currency</f>
        <v>CNY</v>
      </c>
    </row>
    <row r="88" spans="2:8" ht="15" customHeight="1">
      <c r="B88" s="239" t="s">
        <v>189</v>
      </c>
      <c r="C88" s="76">
        <f>DCF!C9*Exchange_Rate</f>
        <v>2145886.1</v>
      </c>
      <c r="D88" s="223">
        <f>C88*scaling_factor/Common_Shares</f>
        <v>103.2951741417652</v>
      </c>
      <c r="E88" s="240" t="str">
        <f>Market_currency</f>
        <v>CNY</v>
      </c>
    </row>
    <row r="89" spans="2:8" ht="15" customHeight="1">
      <c r="B89" s="80" t="s">
        <v>291</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152</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164</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243</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154</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v>
      </c>
      <c r="D28" s="26"/>
      <c r="E28" s="266" t="s">
        <v>333</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-61984.75</v>
      </c>
      <c r="E33" s="266" t="s">
        <v>333</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345</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342</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5.1039038960584003E-2</v>
      </c>
      <c r="E53" s="265" t="s">
        <v>335</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336</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195</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152</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164</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154</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4.4537815126050422E-2</v>
      </c>
      <c r="E93" s="268"/>
      <c r="G93" s="23">
        <f t="shared" ref="G93:Q93" si="39">IF(G$4="","",G90/Market_Price)</f>
        <v>4.4537815126050422E-2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9.9014380352237863E-2</v>
      </c>
      <c r="D96" s="27"/>
      <c r="E96" s="265"/>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c r="A97" s="10"/>
      <c r="B97" s="70" t="s">
        <v>164</v>
      </c>
      <c r="C97" s="77">
        <f>C13/G13-1</f>
        <v>4.5826944214511611E-2</v>
      </c>
      <c r="D97" s="27"/>
      <c r="E97" s="265"/>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10507898</v>
      </c>
      <c r="D101" s="26"/>
      <c r="E101" s="269"/>
      <c r="F101" s="26"/>
      <c r="G101" s="333">
        <f t="shared" ref="G101:Q101" si="42">IF(G$4="","",G105+G104)</f>
        <v>10507898</v>
      </c>
      <c r="H101" s="333">
        <f t="shared" si="42"/>
        <v>10158326</v>
      </c>
      <c r="I101" s="333">
        <f t="shared" si="42"/>
        <v>9266671</v>
      </c>
      <c r="J101" s="333">
        <f t="shared" si="42"/>
        <v>8603024</v>
      </c>
      <c r="K101" s="333">
        <f t="shared" si="42"/>
        <v>7894000</v>
      </c>
      <c r="L101" s="333">
        <f t="shared" si="42"/>
        <v>7145681</v>
      </c>
      <c r="M101" s="333">
        <f t="shared" si="42"/>
        <v>6711657</v>
      </c>
      <c r="N101" s="333">
        <f t="shared" si="42"/>
        <v>6416842</v>
      </c>
      <c r="O101" s="333">
        <f t="shared" si="42"/>
        <v>6085895</v>
      </c>
      <c r="P101" s="333">
        <f t="shared" si="42"/>
        <v>5298880</v>
      </c>
      <c r="Q101" s="333" t="str">
        <f t="shared" si="42"/>
        <v/>
      </c>
    </row>
    <row r="102" spans="1:17" ht="15.75" customHeight="1">
      <c r="A102" s="10"/>
      <c r="B102" s="93" t="s">
        <v>210</v>
      </c>
      <c r="C102" s="345">
        <f>BS!C4</f>
        <v>0</v>
      </c>
      <c r="D102" s="89"/>
      <c r="E102" s="270"/>
      <c r="F102" s="89"/>
      <c r="G102" s="346">
        <f>IF(G$4="","",Data!D77)</f>
        <v>0</v>
      </c>
      <c r="H102" s="346">
        <f>IF(H$4="","",Data!E77)</f>
        <v>0</v>
      </c>
      <c r="I102" s="346">
        <f>IF(I$4="","",Data!F77)</f>
        <v>0</v>
      </c>
      <c r="J102" s="346">
        <f>IF(J$4="","",Data!G77)</f>
        <v>0</v>
      </c>
      <c r="K102" s="346">
        <f>IF(K$4="","",Data!H77)</f>
        <v>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9614287</v>
      </c>
      <c r="D104" s="26"/>
      <c r="E104" s="269"/>
      <c r="F104" s="26"/>
      <c r="G104" s="333">
        <f>Data!C79</f>
        <v>9614287</v>
      </c>
      <c r="H104" s="333">
        <f>Data!D79</f>
        <v>9350607</v>
      </c>
      <c r="I104" s="333">
        <f>Data!E79</f>
        <v>8509373</v>
      </c>
      <c r="J104" s="333">
        <f>Data!F79</f>
        <v>7908726</v>
      </c>
      <c r="K104" s="333">
        <f>Data!G79</f>
        <v>7269197</v>
      </c>
      <c r="L104" s="333">
        <f>Data!H79</f>
        <v>6596029</v>
      </c>
      <c r="M104" s="333">
        <f>Data!I79</f>
        <v>6239073</v>
      </c>
      <c r="N104" s="333">
        <f>Data!J79</f>
        <v>5994090</v>
      </c>
      <c r="O104" s="333">
        <f>Data!K79</f>
        <v>5731485</v>
      </c>
      <c r="P104" s="333">
        <f>Data!L79</f>
        <v>4981503</v>
      </c>
      <c r="Q104" s="333" t="str">
        <f>Data!M79</f>
        <v/>
      </c>
    </row>
    <row r="105" spans="1:17" ht="15.75" customHeight="1">
      <c r="A105" s="10"/>
      <c r="B105" s="26" t="s">
        <v>30</v>
      </c>
      <c r="C105" s="344">
        <f>BS!G27</f>
        <v>893611</v>
      </c>
      <c r="D105" s="26"/>
      <c r="E105" s="269"/>
      <c r="F105" s="26"/>
      <c r="G105" s="333">
        <f>Data!C80</f>
        <v>893611</v>
      </c>
      <c r="H105" s="333">
        <f>Data!D80</f>
        <v>807719</v>
      </c>
      <c r="I105" s="333">
        <f>Data!E80</f>
        <v>757298</v>
      </c>
      <c r="J105" s="333">
        <f>Data!F80</f>
        <v>694298</v>
      </c>
      <c r="K105" s="333">
        <f>Data!G80</f>
        <v>624803</v>
      </c>
      <c r="L105" s="333">
        <f>Data!H80</f>
        <v>549652</v>
      </c>
      <c r="M105" s="333">
        <f>Data!I80</f>
        <v>472584</v>
      </c>
      <c r="N105" s="333">
        <f>Data!J80</f>
        <v>422752</v>
      </c>
      <c r="O105" s="333">
        <f>Data!K80</f>
        <v>354410</v>
      </c>
      <c r="P105" s="333">
        <f>Data!L80</f>
        <v>317377</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v>
      </c>
      <c r="D108" s="26"/>
      <c r="E108" s="269"/>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-3.0617491063478339</v>
      </c>
      <c r="H113" s="295">
        <f>IF(H$4="","",Data!D$22/Data!D15)</f>
        <v>5.5839621912586601</v>
      </c>
      <c r="I113" s="295">
        <f>IF(I$4="","",Data!E$22/Data!E15)</f>
        <v>-3.7287315774666174</v>
      </c>
      <c r="J113" s="295">
        <f>IF(J$4="","",Data!F$22/Data!F15)</f>
        <v>-4.6503173618402212</v>
      </c>
      <c r="K113" s="295">
        <f>IF(K$4="","",Data!G$22/Data!G15)</f>
        <v>-0.50572538821825919</v>
      </c>
      <c r="L113" s="295">
        <f>IF(L$4="","",Data!H$22/Data!H15)</f>
        <v>-8.8154628047135013</v>
      </c>
      <c r="M113" s="295">
        <f>IF(M$4="","",Data!I$22/Data!I15)</f>
        <v>-5.8143358641521754</v>
      </c>
      <c r="N113" s="295">
        <f>IF(N$4="","",Data!J$22/Data!J15)</f>
        <v>-2.817043387892959</v>
      </c>
      <c r="O113" s="295">
        <f>IF(O$4="","",Data!K$22/Data!K15)</f>
        <v>3.7369447972463048</v>
      </c>
      <c r="P113" s="295">
        <f>IF(P$4="","",Data!L$22/Data!L15)</f>
        <v>16.163731490621917</v>
      </c>
      <c r="Q113" s="295" t="str">
        <f>IF(Q$4="","",Data!M$22/Data!M15)</f>
        <v/>
      </c>
    </row>
    <row r="114" spans="1:17" ht="15.75" customHeight="1">
      <c r="A114" s="10"/>
      <c r="B114" s="2" t="s">
        <v>392</v>
      </c>
      <c r="C114" s="169"/>
      <c r="E114" s="268"/>
      <c r="G114" s="295">
        <f>IF(G$4="","",Data!C$22/G19)</f>
        <v>-1.7258767303649496</v>
      </c>
      <c r="H114" s="295">
        <f>IF(H$4="","",Data!D$22/H19)</f>
        <v>3.1397632236341915</v>
      </c>
      <c r="I114" s="295">
        <f>IF(I$4="","",Data!E$22/I19)</f>
        <v>-2.4624262173248153</v>
      </c>
      <c r="J114" s="295">
        <f>IF(J$4="","",Data!F$22/J19)</f>
        <v>-2.6057869085901095</v>
      </c>
      <c r="K114" s="295">
        <f>IF(K$4="","",Data!G$22/K19)</f>
        <v>-0.24110507667490824</v>
      </c>
      <c r="L114" s="295">
        <f>IF(L$4="","",Data!H$22/L19)</f>
        <v>-4.752471166358192</v>
      </c>
      <c r="M114" s="295">
        <f>IF(M$4="","",Data!I$22/M19)</f>
        <v>-3.3323569871141014</v>
      </c>
      <c r="N114" s="295">
        <f>IF(N$4="","",Data!J$22/N19)</f>
        <v>-1.7532312136859012</v>
      </c>
      <c r="O114" s="295">
        <f>IF(O$4="","",Data!K$22/O19)</f>
        <v>1.941204593480776</v>
      </c>
      <c r="P114" s="295">
        <f>IF(P$4="","",Data!L$22/P19)</f>
        <v>8.6148285332463459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0.71319953730480046</v>
      </c>
      <c r="E117" s="268"/>
      <c r="G117" s="23">
        <f t="shared" ref="G117:Q117" si="45">IF(G4="","",IF(valuation_method="DDM",G13/(G4+G12),G81))</f>
        <v>0.7018481216398329</v>
      </c>
      <c r="H117" s="23">
        <f t="shared" si="45"/>
        <v>0.69692871393492939</v>
      </c>
      <c r="I117" s="23">
        <f t="shared" si="45"/>
        <v>0.70324767374236696</v>
      </c>
      <c r="J117" s="23">
        <f t="shared" si="45"/>
        <v>0.74058229732135927</v>
      </c>
      <c r="K117" s="23">
        <f t="shared" si="45"/>
        <v>0.75589775728546493</v>
      </c>
      <c r="L117" s="23">
        <f t="shared" si="45"/>
        <v>0.73717920156834793</v>
      </c>
      <c r="M117" s="23">
        <f t="shared" si="45"/>
        <v>0.7287017382823705</v>
      </c>
      <c r="N117" s="23">
        <f t="shared" si="45"/>
        <v>0.72172661870503596</v>
      </c>
      <c r="O117" s="23">
        <f t="shared" si="45"/>
        <v>0.75735337829358029</v>
      </c>
      <c r="P117" s="23">
        <f t="shared" si="45"/>
        <v>0.76432355208532243</v>
      </c>
      <c r="Q117" s="23" t="str">
        <f t="shared" si="45"/>
        <v/>
      </c>
    </row>
    <row r="118" spans="1:17" ht="15.75" customHeight="1">
      <c r="B118" s="7" t="s">
        <v>83</v>
      </c>
      <c r="C118" s="42">
        <f>IF(valuation_method="DDM",(C4+C12)/C101,C4/C101)</f>
        <v>2.0567862383133143E-2</v>
      </c>
      <c r="E118" s="268"/>
      <c r="G118" s="42">
        <f t="shared" ref="G118:Q118" si="46">IF(G4="","",IF(valuation_method="DDM",(G4+G12)/G101,G4/G101))</f>
        <v>1.9984681998245511E-2</v>
      </c>
      <c r="H118" s="42">
        <f t="shared" si="46"/>
        <v>2.0526216622699447E-2</v>
      </c>
      <c r="I118" s="42">
        <f t="shared" si="46"/>
        <v>2.3751355799725704E-2</v>
      </c>
      <c r="J118" s="42">
        <f t="shared" si="46"/>
        <v>2.5459536088705551E-2</v>
      </c>
      <c r="K118" s="42">
        <f t="shared" si="46"/>
        <v>2.546883709146187E-2</v>
      </c>
      <c r="L118" s="42">
        <f t="shared" si="46"/>
        <v>2.5127346154971093E-2</v>
      </c>
      <c r="M118" s="42">
        <f t="shared" si="46"/>
        <v>2.3374108659009244E-2</v>
      </c>
      <c r="N118" s="42">
        <f t="shared" si="46"/>
        <v>2.1661745762167745E-2</v>
      </c>
      <c r="O118" s="42">
        <f t="shared" si="46"/>
        <v>2.4876045347479704E-2</v>
      </c>
      <c r="P118" s="42">
        <f t="shared" si="46"/>
        <v>2.6683563319041006E-2</v>
      </c>
      <c r="Q118" s="42" t="str">
        <f t="shared" si="46"/>
        <v/>
      </c>
    </row>
    <row r="119" spans="1:17" ht="15.75" customHeight="1">
      <c r="B119" s="7" t="s">
        <v>91</v>
      </c>
      <c r="C119" s="15">
        <f>C101/C105</f>
        <v>11.758917470801054</v>
      </c>
      <c r="D119" s="11"/>
      <c r="E119" s="272"/>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c r="A120" s="10"/>
      <c r="B120" s="70" t="s">
        <v>222</v>
      </c>
      <c r="C120" s="102">
        <f>C13/C105</f>
        <v>0.17249144202566888</v>
      </c>
      <c r="D120" s="103"/>
      <c r="E120" s="271"/>
      <c r="F120" s="103"/>
      <c r="G120" s="102">
        <f>IF(G$4="","",G13/G105)</f>
        <v>0.16493306371564362</v>
      </c>
      <c r="H120" s="102">
        <f t="shared" ref="H120:Q120" si="48">IF(H$4="","",H13/H105)</f>
        <v>0.17991157816022652</v>
      </c>
      <c r="I120" s="102">
        <f t="shared" si="48"/>
        <v>0.20438717651439725</v>
      </c>
      <c r="J120" s="102">
        <f t="shared" si="48"/>
        <v>0.23363022794246852</v>
      </c>
      <c r="K120" s="102">
        <f t="shared" si="48"/>
        <v>0.24323506769333694</v>
      </c>
      <c r="L120" s="102">
        <f t="shared" si="48"/>
        <v>0.2408105492202339</v>
      </c>
      <c r="M120" s="102">
        <f t="shared" si="48"/>
        <v>0.24189985272459499</v>
      </c>
      <c r="N120" s="102">
        <f t="shared" si="48"/>
        <v>0.2373022481265612</v>
      </c>
      <c r="O120" s="102">
        <f t="shared" si="48"/>
        <v>0.32351795942552414</v>
      </c>
      <c r="P120" s="102">
        <f t="shared" si="48"/>
        <v>0.34050986681454548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5.5213663129878379</v>
      </c>
      <c r="D124" s="27"/>
      <c r="E124" s="265"/>
      <c r="F124" s="27"/>
      <c r="G124" s="177">
        <f t="shared" ref="G124:Q124" si="49">IF(G$4="","",G16*$C$3/Common_Shares*Exchange_Rate)</f>
        <v>6.6173553593746677</v>
      </c>
      <c r="H124" s="177">
        <f t="shared" si="49"/>
        <v>6.6478738199797665</v>
      </c>
      <c r="I124" s="177">
        <f t="shared" si="49"/>
        <v>6.7361077920446659</v>
      </c>
      <c r="J124" s="177">
        <f t="shared" si="49"/>
        <v>7.2001905660095833</v>
      </c>
      <c r="K124" s="177">
        <f t="shared" si="49"/>
        <v>6.8335839477628442</v>
      </c>
      <c r="L124" s="177">
        <f t="shared" si="49"/>
        <v>5.9557690461941029</v>
      </c>
      <c r="M124" s="177">
        <f t="shared" si="49"/>
        <v>5.1439009759013636</v>
      </c>
      <c r="N124" s="177">
        <f t="shared" si="49"/>
        <v>4.4654669321028422</v>
      </c>
      <c r="O124" s="177">
        <f t="shared" si="49"/>
        <v>5.0342463177650627</v>
      </c>
      <c r="P124" s="177">
        <f t="shared" si="49"/>
        <v>4.5745439537608137</v>
      </c>
      <c r="Q124" s="177" t="str">
        <f t="shared" si="49"/>
        <v/>
      </c>
    </row>
    <row r="125" spans="1:17" ht="15.75" customHeight="1">
      <c r="A125" s="10"/>
      <c r="B125" s="27" t="s">
        <v>269</v>
      </c>
      <c r="C125" s="77">
        <f>C19*Exchange_Rate*$C$3/(Market_Price*Common_Shares)</f>
        <v>0.23199018121797638</v>
      </c>
      <c r="D125" s="27"/>
      <c r="E125" s="265"/>
      <c r="F125" s="27"/>
      <c r="G125" s="77">
        <f t="shared" ref="G125" si="50">IF(G$4="","",G124/Market_Price)</f>
        <v>0.2780401411501961</v>
      </c>
      <c r="H125" s="77">
        <f t="shared" ref="H125" si="51">IF(H$4="","",H124/Market_Price)</f>
        <v>0.27932242941091456</v>
      </c>
      <c r="I125" s="77">
        <f t="shared" ref="I125" si="52">IF(I$4="","",I124/Market_Price)</f>
        <v>0.28302973916154056</v>
      </c>
      <c r="J125" s="77">
        <f t="shared" ref="J125" si="53">IF(J$4="","",J124/Market_Price)</f>
        <v>0.30252901537855392</v>
      </c>
      <c r="K125" s="77">
        <f t="shared" ref="K125" si="54">IF(K$4="","",K124/Market_Price)</f>
        <v>0.28712537595642201</v>
      </c>
      <c r="L125" s="77">
        <f t="shared" ref="L125" si="55">IF(L$4="","",L124/Market_Price)</f>
        <v>0.25024239689891187</v>
      </c>
      <c r="M125" s="77">
        <f t="shared" ref="M125" si="56">IF(M$4="","",M124/Market_Price)</f>
        <v>0.21613029310509932</v>
      </c>
      <c r="N125" s="77">
        <f t="shared" ref="N125" si="57">IF(N$4="","",N124/Market_Price)</f>
        <v>0.18762466101272446</v>
      </c>
      <c r="O125" s="77">
        <f t="shared" ref="O125" si="58">IF(O$4="","",O124/Market_Price)</f>
        <v>0.21152295452794381</v>
      </c>
      <c r="P125" s="77">
        <f t="shared" ref="P125" si="59">IF(P$4="","",P124/Market_Price)</f>
        <v>0.19220772914961401</v>
      </c>
      <c r="Q125" s="77" t="str">
        <f t="shared" ref="Q125" si="60">IF(Q$4="","",Q124/Market_Price)</f>
        <v/>
      </c>
    </row>
    <row r="126" spans="1:17" ht="15.75" customHeight="1">
      <c r="B126" s="2" t="s">
        <v>394</v>
      </c>
      <c r="C126" s="169"/>
      <c r="G126" s="23">
        <f>IF(G$4="","",(Data!C47*$C$3)/(Market_Price*Common_Shares))</f>
        <v>0.15672839055415214</v>
      </c>
      <c r="H126" s="23">
        <f>IF(H$4="","",(Data!D47*$C$3)/(Market_Price*Common_Shares))</f>
        <v>0.15705806403443148</v>
      </c>
      <c r="I126" s="23">
        <f>IF(I$4="","",(Data!E47*$C$3)/(Market_Price*Common_Shares))</f>
        <v>0.18691070556156733</v>
      </c>
      <c r="J126" s="23">
        <f>IF(J$4="","",(Data!F47*$C$3)/(Market_Price*Common_Shares))</f>
        <v>0.16952093511100405</v>
      </c>
      <c r="K126" s="23">
        <f>IF(K$4="","",(Data!G47*$C$3)/(Market_Price*Common_Shares))</f>
        <v>0.13688730563672646</v>
      </c>
      <c r="L126" s="23">
        <f>IF(L$4="","",(Data!H47*$C$3)/(Market_Price*Common_Shares))</f>
        <v>0.13490724221836156</v>
      </c>
      <c r="M126" s="23">
        <f>IF(M$4="","",(Data!I47*$C$3)/(Market_Price*Common_Shares))</f>
        <v>0.12387025950741437</v>
      </c>
      <c r="N126" s="23">
        <f>IF(N$4="","",(Data!J47*$C$3)/(Market_Price*Common_Shares))</f>
        <v>0.11677115572961987</v>
      </c>
      <c r="O126" s="23">
        <f>IF(O$4="","",(Data!K47*$C$3)/(Market_Price*Common_Shares))</f>
        <v>0.10987835069408605</v>
      </c>
      <c r="P126" s="23">
        <f>IF(P$4="","",(Data!L47*$C$3)/(Market_Price*Common_Shares))</f>
        <v>0.10244148328925688</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114702.58240513749</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1911709.7067522916</v>
      </c>
      <c r="D6" t="str">
        <f>Reporting_currency</f>
        <v>CNY</v>
      </c>
      <c r="E6" s="364" t="s">
        <v>249</v>
      </c>
      <c r="F6" s="364"/>
      <c r="H6" s="120"/>
    </row>
    <row r="7" spans="2:8">
      <c r="B7" s="148" t="s">
        <v>224</v>
      </c>
      <c r="C7" s="338">
        <f>BS!G31</f>
        <v>9516669</v>
      </c>
      <c r="D7" t="str">
        <f>Reporting_currency</f>
        <v>CNY</v>
      </c>
      <c r="E7" s="364"/>
      <c r="F7" s="364"/>
      <c r="H7" s="120"/>
    </row>
    <row r="8" spans="2:8">
      <c r="B8" s="148" t="s">
        <v>225</v>
      </c>
      <c r="C8" s="338">
        <f>BS!D66</f>
        <v>0</v>
      </c>
      <c r="D8" t="str">
        <f>Reporting_currency</f>
        <v>CNY</v>
      </c>
      <c r="E8" s="364"/>
      <c r="F8" s="364"/>
      <c r="H8" s="120"/>
    </row>
    <row r="9" spans="2:8">
      <c r="B9" s="205" t="s">
        <v>190</v>
      </c>
      <c r="C9" s="348">
        <f>BS!H42</f>
        <v>2145886.1</v>
      </c>
      <c r="D9" t="str">
        <f>Reporting_currency</f>
        <v>CNY</v>
      </c>
      <c r="E9" s="364"/>
      <c r="F9" s="364"/>
      <c r="H9" s="120"/>
    </row>
    <row r="10" spans="2:8" ht="13.15">
      <c r="B10" s="149" t="s">
        <v>227</v>
      </c>
      <c r="C10" s="347">
        <f>C6-C7+C8+C9</f>
        <v>-5459073.1932477076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-262.77998452441824</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3.0480331534493699E-2</v>
      </c>
      <c r="H16" s="120"/>
    </row>
    <row r="17" spans="2:17" ht="13.25" customHeight="1">
      <c r="B17" s="118" t="s">
        <v>134</v>
      </c>
      <c r="C17" s="162">
        <f>Scenarios!C64</f>
        <v>30</v>
      </c>
      <c r="H17" s="120"/>
    </row>
    <row r="18" spans="2:17" ht="13.25" customHeight="1">
      <c r="B18" s="153" t="s">
        <v>106</v>
      </c>
      <c r="C18" s="140">
        <f>(F52-C7+C8+C9)*Exchange_Rate/Common_Shares*scaling_factor</f>
        <v>-228.15289802637383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c r="B51" s="126" t="s">
        <v>131</v>
      </c>
      <c r="C51" s="123">
        <f>C$21*(1+Terminal_Growth)^$C$17/Equity_Cost</f>
        <v>1969979.2524118114</v>
      </c>
      <c r="D51" s="139">
        <f>Terminal_Growth</f>
        <v>0</v>
      </c>
      <c r="E51" s="124">
        <f>1/(1+Equity_Cost)^C17</f>
        <v>0.17411013091063426</v>
      </c>
      <c r="F51" s="125">
        <f t="shared" si="1"/>
        <v>342993.34552865388</v>
      </c>
      <c r="H51" s="120"/>
    </row>
    <row r="52" spans="1:17">
      <c r="C52" s="114"/>
      <c r="E52" s="127" t="s">
        <v>100</v>
      </c>
      <c r="F52" s="137">
        <f>SUM(F21:F51)</f>
        <v>2631063.579932001</v>
      </c>
      <c r="H52" s="120"/>
    </row>
    <row r="53" spans="1:17">
      <c r="C53" s="114"/>
      <c r="H53" s="120"/>
    </row>
    <row r="54" spans="1:17" ht="13.15">
      <c r="B54" s="119" t="s">
        <v>129</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ht="13.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ht="13.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ht="13.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447</v>
      </c>
      <c r="C2" s="37"/>
      <c r="D2" s="37"/>
      <c r="E2" s="37"/>
      <c r="F2" s="37"/>
      <c r="H2" s="130" t="s">
        <v>59</v>
      </c>
    </row>
    <row r="3" spans="2:8" ht="13.15">
      <c r="B3" s="109" t="s">
        <v>446</v>
      </c>
      <c r="C3" s="107">
        <f>scaling_factor</f>
        <v>1000000</v>
      </c>
      <c r="E3" s="109" t="s">
        <v>124</v>
      </c>
      <c r="H3" s="120"/>
    </row>
    <row r="4" spans="2:8">
      <c r="B4" s="100" t="s">
        <v>444</v>
      </c>
      <c r="C4" s="114">
        <f>Normalized_FCF!C91</f>
        <v>22020.769943020001</v>
      </c>
      <c r="D4" t="str">
        <f>Market_currency</f>
        <v>CNY</v>
      </c>
      <c r="E4" s="100" t="s">
        <v>250</v>
      </c>
      <c r="F4" s="134">
        <f>Thesis!E22</f>
        <v>0.02</v>
      </c>
      <c r="H4" s="120"/>
    </row>
    <row r="5" spans="2:8">
      <c r="B5" s="205" t="s">
        <v>123</v>
      </c>
      <c r="C5" s="206">
        <f>Equity_Cost</f>
        <v>0.06</v>
      </c>
      <c r="E5" s="148"/>
      <c r="H5" s="120"/>
    </row>
    <row r="6" spans="2:8" ht="13.25" customHeight="1">
      <c r="B6" s="149" t="s">
        <v>445</v>
      </c>
      <c r="C6" s="319">
        <f>(C4*(1+Terminal_Growth))/(Equity_Cost-Terminal_Growth)</f>
        <v>367012.83238366671</v>
      </c>
      <c r="D6" t="str">
        <f>Reporting_currency</f>
        <v>CNY</v>
      </c>
      <c r="E6" s="364"/>
      <c r="F6" s="364"/>
      <c r="H6" s="120"/>
    </row>
    <row r="7" spans="2:8" ht="13.15">
      <c r="B7" s="149" t="s">
        <v>448</v>
      </c>
      <c r="C7" s="111">
        <f>(C6*scaling_factor)/Common_Shares*Exchange_Rate</f>
        <v>17.666666666666668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3.0480331534493699E-2</v>
      </c>
      <c r="H11" s="120"/>
    </row>
    <row r="12" spans="2:8" ht="13.25" customHeight="1">
      <c r="B12" s="118" t="s">
        <v>134</v>
      </c>
      <c r="C12" s="162">
        <f>Scenarios!C64</f>
        <v>30</v>
      </c>
      <c r="H12" s="120"/>
    </row>
    <row r="13" spans="2:8" ht="13.25" customHeight="1">
      <c r="B13" s="153" t="s">
        <v>106</v>
      </c>
      <c r="C13" s="140">
        <f>F47/Common_Shares*scaling_factor</f>
        <v>26.886199522956279</v>
      </c>
      <c r="D13" t="str">
        <f>Market_currency</f>
        <v>CNY</v>
      </c>
      <c r="H13" s="120"/>
    </row>
    <row r="14" spans="2:8">
      <c r="H14" s="120"/>
    </row>
    <row r="15" spans="2:8" ht="13.15">
      <c r="B15" s="128" t="s">
        <v>107</v>
      </c>
      <c r="C15" s="128" t="s">
        <v>450</v>
      </c>
      <c r="D15" s="128" t="s">
        <v>118</v>
      </c>
      <c r="E15" s="128" t="s">
        <v>109</v>
      </c>
      <c r="F15" s="129" t="s">
        <v>449</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131</v>
      </c>
      <c r="C46" s="123">
        <f>C$16*(1+F4)^$C$12/Equity_Cost</f>
        <v>685056.05483192916</v>
      </c>
      <c r="D46" s="139">
        <f>Terminal_Growth</f>
        <v>0</v>
      </c>
      <c r="E46" s="124">
        <f>1/(1+Equity_Cost)^C12</f>
        <v>0.17411013091063426</v>
      </c>
      <c r="F46" s="125">
        <f t="shared" si="1"/>
        <v>119275.19938790983</v>
      </c>
      <c r="H46" s="120"/>
    </row>
    <row r="47" spans="2:8">
      <c r="C47" s="114"/>
      <c r="E47" s="127" t="s">
        <v>100</v>
      </c>
      <c r="F47" s="137">
        <f>SUM(F16:F46)</f>
        <v>558542.27767656068</v>
      </c>
      <c r="H47" s="120"/>
    </row>
    <row r="48" spans="2:8">
      <c r="C48" s="114"/>
      <c r="H48" s="120"/>
    </row>
    <row r="49" spans="1:8" ht="13.15">
      <c r="B49" s="119" t="s">
        <v>129</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-23.8</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1000000</v>
      </c>
      <c r="E6" s="100" t="s">
        <v>279</v>
      </c>
      <c r="F6" s="100"/>
      <c r="H6" s="247">
        <v>3</v>
      </c>
      <c r="I6" s="124">
        <f t="shared" si="0"/>
        <v>27.94815119642859</v>
      </c>
    </row>
    <row r="7" spans="2:9" ht="12.75" customHeight="1">
      <c r="B7" s="100" t="s">
        <v>275</v>
      </c>
      <c r="C7" s="338">
        <f>Normalized_FCF!G8</f>
        <v>-721</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6"/>
      <c r="H7" s="247">
        <v>4</v>
      </c>
      <c r="I7" s="124" t="str">
        <f t="shared" si="0"/>
        <v/>
      </c>
    </row>
    <row r="8" spans="2:9">
      <c r="B8" s="100" t="s">
        <v>66</v>
      </c>
      <c r="C8" s="338">
        <f>Normalized_FCF!G19</f>
        <v>137471</v>
      </c>
      <c r="D8" t="str">
        <f>Reporting_currency</f>
        <v>CNY</v>
      </c>
      <c r="E8" s="366"/>
      <c r="F8" s="366"/>
      <c r="H8" s="247">
        <v>5</v>
      </c>
      <c r="I8" s="124" t="str">
        <f t="shared" si="0"/>
        <v/>
      </c>
    </row>
    <row r="9" spans="2:9">
      <c r="B9" s="100" t="s">
        <v>57</v>
      </c>
      <c r="C9" s="338">
        <f>Normalized_FCF!C19</f>
        <v>114702.58240513749</v>
      </c>
      <c r="D9" t="str">
        <f>Reporting_currency</f>
        <v>CNY</v>
      </c>
      <c r="E9" s="366"/>
      <c r="F9" s="366"/>
      <c r="H9" s="247">
        <v>6</v>
      </c>
      <c r="I9" s="124" t="str">
        <f t="shared" si="0"/>
        <v/>
      </c>
    </row>
    <row r="10" spans="2:9">
      <c r="E10" s="366"/>
      <c r="F10" s="366"/>
      <c r="H10" s="247">
        <v>7</v>
      </c>
      <c r="I10" s="124" t="str">
        <f t="shared" si="0"/>
        <v/>
      </c>
    </row>
    <row r="11" spans="2:9" ht="13.15">
      <c r="B11" s="159" t="s">
        <v>451</v>
      </c>
      <c r="E11" s="366"/>
      <c r="F11" s="366"/>
      <c r="H11" s="247">
        <v>8</v>
      </c>
      <c r="I11" s="124" t="str">
        <f t="shared" si="0"/>
        <v/>
      </c>
    </row>
    <row r="12" spans="2:9">
      <c r="B12" s="118" t="s">
        <v>144</v>
      </c>
      <c r="C12" s="158">
        <f ca="1">(Normalized_FCF!G4/OFFSET(Normalized_FCF!G4, 0, $C$4))^(1/$C$4) - 1</f>
        <v>-5.5054441259114184E-2</v>
      </c>
      <c r="D12" s="158"/>
      <c r="E12" s="366"/>
      <c r="F12" s="366"/>
      <c r="H12" s="247">
        <v>9</v>
      </c>
      <c r="I12" s="124" t="str">
        <f t="shared" si="0"/>
        <v/>
      </c>
    </row>
    <row r="13" spans="2:9">
      <c r="B13" s="148" t="s">
        <v>152</v>
      </c>
      <c r="C13" s="158">
        <f ca="1">(Normalized_FCF!G8/OFFSET(Normalized_FCF!G8, 0, $C$4))^(1/$C$4) - 1</f>
        <v>-1.3520092995664894</v>
      </c>
      <c r="E13" s="366"/>
      <c r="F13" s="366"/>
      <c r="H13" s="247">
        <v>10</v>
      </c>
      <c r="I13" s="124" t="str">
        <f t="shared" si="0"/>
        <v/>
      </c>
    </row>
    <row r="14" spans="2:9">
      <c r="B14" s="100" t="s">
        <v>66</v>
      </c>
      <c r="C14" s="158">
        <f ca="1">(Normalized_FCF!G19/OFFSET(Normalized_FCF!G19, 0, $C$4))^(1/$C$4) - 1</f>
        <v>-2.7745066708446342E-2</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23.8</v>
      </c>
      <c r="D21" t="str">
        <f>Market_currency</f>
        <v>CNY</v>
      </c>
      <c r="E21" s="367"/>
      <c r="F21" s="367"/>
    </row>
    <row r="22" spans="2:6">
      <c r="B22" s="100" t="s">
        <v>278</v>
      </c>
      <c r="C22" s="160">
        <f>IF(valuation_method="DCF",DCF!C12,DDM!C7)</f>
        <v>17.666666666666668</v>
      </c>
      <c r="D22" t="str">
        <f>Market_currency</f>
        <v>CNY</v>
      </c>
      <c r="E22" s="367"/>
      <c r="F22" s="367"/>
    </row>
    <row r="24" spans="2:6" ht="13.15">
      <c r="B24" s="159" t="s">
        <v>115</v>
      </c>
      <c r="E24" s="159" t="s">
        <v>149</v>
      </c>
      <c r="F24" s="159"/>
    </row>
    <row r="25" spans="2:6">
      <c r="B25" s="152" t="s">
        <v>133</v>
      </c>
      <c r="C25" s="166">
        <f>C18</f>
        <v>30</v>
      </c>
      <c r="D25" s="163"/>
      <c r="E25" s="365"/>
      <c r="F25" s="365"/>
    </row>
    <row r="26" spans="2:6">
      <c r="B26" s="118" t="s">
        <v>134</v>
      </c>
      <c r="C26" s="164">
        <v>0.03</v>
      </c>
      <c r="D26" s="164"/>
      <c r="E26" s="365"/>
      <c r="F26" s="365"/>
    </row>
    <row r="27" spans="2:6">
      <c r="B27" s="100" t="s">
        <v>113</v>
      </c>
      <c r="C27" s="160">
        <f>IF(valuation_method="DCF",DCF!E76,DDM!E71)</f>
        <v>26.751910098643489</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24.188458613162062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0.04</v>
      </c>
      <c r="D38" s="164"/>
      <c r="E38" s="365"/>
      <c r="F38" s="365"/>
    </row>
    <row r="39" spans="2:6">
      <c r="B39" s="100" t="s">
        <v>113</v>
      </c>
      <c r="C39" s="160">
        <f>IF(valuation_method="DCF",DCF!E75,DDM!E70)</f>
        <v>29.787790686793507</v>
      </c>
      <c r="D39" t="str">
        <f>Market_currency</f>
        <v>CNY</v>
      </c>
      <c r="E39" s="365"/>
      <c r="F39" s="365"/>
    </row>
    <row r="40" spans="2:6">
      <c r="B40" s="100" t="s">
        <v>147</v>
      </c>
      <c r="C40" s="167">
        <f>1-C28-C34</f>
        <v>0.2</v>
      </c>
      <c r="D40" s="165"/>
      <c r="E40" s="365"/>
      <c r="F40" s="365"/>
    </row>
    <row r="42" spans="2:6" ht="13.15">
      <c r="B42" s="100" t="s">
        <v>120</v>
      </c>
      <c r="C42" s="154">
        <f>C27*C28+C33*C34+C39*C40</f>
        <v>26.846395919177208</v>
      </c>
      <c r="D42" t="str">
        <f>Market_currency</f>
        <v>CNY</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20.162370798692315</v>
      </c>
      <c r="D51" t="str">
        <f>Market_currency</f>
        <v>CNY</v>
      </c>
      <c r="E51" s="365"/>
      <c r="F51" s="365"/>
    </row>
    <row r="52" spans="2:6">
      <c r="B52" s="100" t="s">
        <v>147</v>
      </c>
      <c r="C52" s="165">
        <v>0.01</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0.06</v>
      </c>
      <c r="D56" s="164"/>
      <c r="E56" s="365"/>
      <c r="F56" s="365"/>
    </row>
    <row r="57" spans="2:6">
      <c r="B57" s="100" t="s">
        <v>113</v>
      </c>
      <c r="C57" s="160">
        <f>IF(valuation_method="DCF",DCF!E74,DDM!E69)</f>
        <v>37.705948764800347</v>
      </c>
      <c r="D57" t="str">
        <f>Market_currency</f>
        <v>CNY</v>
      </c>
      <c r="E57" s="365"/>
      <c r="F57" s="365"/>
    </row>
    <row r="58" spans="2:6">
      <c r="B58" s="100" t="s">
        <v>147</v>
      </c>
      <c r="C58" s="165">
        <v>0.01</v>
      </c>
      <c r="D58" s="165"/>
      <c r="E58" s="365"/>
      <c r="F58" s="365"/>
    </row>
    <row r="60" spans="2:6" ht="13.15">
      <c r="B60" s="100" t="s">
        <v>120</v>
      </c>
      <c r="C60" s="154">
        <f>C51*C52+C57*C58+C42*(1-C52-C58)</f>
        <v>26.888151196428591</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3.0480331534493699E-2</v>
      </c>
      <c r="D65" s="151"/>
      <c r="E65" s="251" t="s">
        <v>312</v>
      </c>
    </row>
    <row r="66" spans="2:6">
      <c r="B66" s="100" t="s">
        <v>102</v>
      </c>
      <c r="C66" s="160">
        <f>IF(valuation_method="DCF",DCF!C18,DDM!C13)</f>
        <v>26.886199522956279</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-13.19550584997735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11.250367775156876</v>
      </c>
      <c r="D82" s="116"/>
    </row>
    <row r="83" spans="2:8" ht="13.15">
      <c r="B83" s="110" t="s">
        <v>101</v>
      </c>
      <c r="C83" s="111">
        <f>C81+C82</f>
        <v>13.079690025486418</v>
      </c>
      <c r="D83" t="str">
        <f>Market_currency</f>
        <v>CNY</v>
      </c>
      <c r="E83" s="146" t="s">
        <v>126</v>
      </c>
      <c r="F83" s="291">
        <f>(1-C83/C60)</f>
        <v>0.51355190135855366</v>
      </c>
    </row>
    <row r="84" spans="2:8">
      <c r="E84" s="120"/>
    </row>
    <row r="85" spans="2:8" ht="13.15">
      <c r="B85" s="109" t="s">
        <v>302</v>
      </c>
    </row>
    <row r="86" spans="2:8">
      <c r="B86" s="148" t="s">
        <v>300</v>
      </c>
      <c r="C86" s="116">
        <f>Market_Price</f>
        <v>23.8</v>
      </c>
      <c r="D86" t="str">
        <f>Market_currency</f>
        <v>CNY</v>
      </c>
    </row>
    <row r="87" spans="2:8" ht="13.15">
      <c r="B87" s="100" t="s">
        <v>298</v>
      </c>
      <c r="C87" s="237">
        <f ca="1">IRR(OFFSET($I$3, 0, 0, $C$76 + 1, 1))</f>
        <v>8.4338176800193398E-2</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16.07713967014136</v>
      </c>
      <c r="D92" s="116"/>
    </row>
    <row r="93" spans="2:8" ht="13.15">
      <c r="B93" s="110" t="s">
        <v>101</v>
      </c>
      <c r="C93" s="111">
        <f>C91+C92</f>
        <v>18.356272555350223</v>
      </c>
      <c r="D93" t="str">
        <f>Market_currency</f>
        <v>CNY</v>
      </c>
      <c r="E93" s="146" t="s">
        <v>126</v>
      </c>
      <c r="F93" s="291">
        <f>(1-C93/C60)</f>
        <v>0.3173099771252258</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22.575810229609498</v>
      </c>
      <c r="D98" s="116"/>
      <c r="G98" s="2"/>
      <c r="H98" s="281"/>
    </row>
    <row r="99" spans="2:8" ht="13.15">
      <c r="B99" s="110" t="s">
        <v>398</v>
      </c>
      <c r="C99" s="111">
        <f>C97+C98</f>
        <v>25.409202896038835</v>
      </c>
      <c r="D99" t="s">
        <v>396</v>
      </c>
      <c r="E99" s="146" t="s">
        <v>126</v>
      </c>
      <c r="F99" s="291">
        <f>(1-C99/C60)</f>
        <v>5.5003718537040891E-2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20.934968382149542</v>
      </c>
      <c r="D104" s="116"/>
    </row>
    <row r="105" spans="2:8" ht="13.15">
      <c r="B105" s="110" t="s">
        <v>398</v>
      </c>
      <c r="C105" s="111">
        <f>C103+C104</f>
        <v>23.632551844105855</v>
      </c>
      <c r="D105" t="s">
        <v>396</v>
      </c>
      <c r="E105" s="146" t="s">
        <v>126</v>
      </c>
      <c r="F105" s="291">
        <f>(1-C105/C66)</f>
        <v>0.1210155297728992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