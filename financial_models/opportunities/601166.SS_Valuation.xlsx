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DBB5B19-A40C-4B1D-94B3-38025B9DA036}"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<sst xmlns="http://schemas.openxmlformats.org/spreadsheetml/2006/main" count="836" uniqueCount="561">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</sst>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24.39</v>
      </c>
      <c r="D12" s="50"/>
      <c r="E12" s="48"/>
    </row>
    <row r="13" spans="1:10">
      <c r="B13" s="1" t="s">
        <v>489</v>
      </c>
      <c r="C13" s="32" t="str">
        <f>Market_currency</f>
        <v>CNY</v>
      </c>
      <c r="D13" s="48"/>
      <c r="E13" s="5"/>
    </row>
    <row r="14" spans="1:10">
      <c r="B14" s="4" t="s">
        <v>490</v>
      </c>
      <c r="C14" s="35">
        <f>投资主题!C12*Common_Shares/1000000</f>
        <v>506685.45180213003</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-8.0985622641209787E-3</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2" t="s">
        <v>330</v>
      </c>
      <c r="C37" s="372"/>
      <c r="D37" s="372"/>
      <c r="E37" s="372"/>
      <c r="F37" s="372"/>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0.22637828261532753</v>
      </c>
      <c r="F69" s="314"/>
    </row>
    <row r="70" spans="1:6">
      <c r="B70" s="227" t="s">
        <v>438</v>
      </c>
      <c r="C70" s="92">
        <f>Normalized_FCF!C94</f>
        <v>4.3460434604346045E-2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6" t="s">
        <v>530</v>
      </c>
      <c r="C138" s="376"/>
      <c r="D138" s="376"/>
      <c r="E138" s="376"/>
      <c r="F138" s="376"/>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4" t="s">
        <v>547</v>
      </c>
      <c r="C191" s="374"/>
      <c r="D191" s="374"/>
      <c r="E191" s="374"/>
      <c r="F191" s="374"/>
    </row>
    <row r="192" spans="1:6">
      <c r="B192" s="374" t="s">
        <v>548</v>
      </c>
      <c r="C192" s="374"/>
      <c r="D192" s="374"/>
      <c r="E192" s="374"/>
      <c r="F192" s="374"/>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24.39</v>
      </c>
      <c r="D12" s="50"/>
      <c r="E12" s="48"/>
    </row>
    <row r="13" spans="1:10">
      <c r="B13" s="1" t="s">
        <v>468</v>
      </c>
      <c r="C13" s="48" t="s">
        <v>394</v>
      </c>
      <c r="D13" s="48"/>
      <c r="E13" s="5"/>
    </row>
    <row r="14" spans="1:10">
      <c r="B14" s="4" t="s">
        <v>469</v>
      </c>
      <c r="C14" s="35">
        <f>Thesis!C12*Common_Shares/1000000</f>
        <v>506685.45180213003</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-8.0985622641209787E-3</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0.22637828261532753</v>
      </c>
      <c r="F69" s="314"/>
    </row>
    <row r="70" spans="1:6">
      <c r="B70" s="227" t="s">
        <v>438</v>
      </c>
      <c r="C70" s="92">
        <f>Normalized_FCF!C94</f>
        <v>4.3460434604346045E-2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6" t="s">
        <v>353</v>
      </c>
      <c r="C138" s="376"/>
      <c r="D138" s="376"/>
      <c r="E138" s="376"/>
      <c r="F138" s="376"/>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4.3460434604346045E-2</v>
      </c>
      <c r="E94" s="268"/>
      <c r="G94" s="23">
        <f t="shared" ref="G94:Q94" si="39">IF(G$4="","",(G90*(1-dividend_tax_rate))/Market_Price)</f>
        <v>4.3460434604346045E-2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0.22637828261532753</v>
      </c>
      <c r="D126" s="27"/>
      <c r="E126" s="265"/>
      <c r="F126" s="27"/>
      <c r="G126" s="77">
        <f t="shared" ref="G126" si="50">IF(G$4="","",G125/Market_Price)</f>
        <v>0.27131428287719012</v>
      </c>
      <c r="H126" s="77">
        <f t="shared" ref="H126" si="51">IF(H$4="","",H125/Market_Price)</f>
        <v>0.27256555227469315</v>
      </c>
      <c r="I126" s="77">
        <f t="shared" ref="I126" si="52">IF(I$4="","",I125/Market_Price)</f>
        <v>0.27618318130564434</v>
      </c>
      <c r="J126" s="77">
        <f t="shared" ref="J126" si="53">IF(J$4="","",J125/Market_Price)</f>
        <v>0.29521076531404605</v>
      </c>
      <c r="K126" s="77">
        <f t="shared" ref="K126" si="54">IF(K$4="","",K125/Market_Price)</f>
        <v>0.28017974365571319</v>
      </c>
      <c r="L126" s="77">
        <f t="shared" ref="L126" si="55">IF(L$4="","",L125/Market_Price)</f>
        <v>0.24418897278368604</v>
      </c>
      <c r="M126" s="77">
        <f t="shared" ref="M126" si="56">IF(M$4="","",M125/Market_Price)</f>
        <v>0.21090204903244622</v>
      </c>
      <c r="N126" s="77">
        <f t="shared" ref="N126" si="57">IF(N$4="","",N125/Market_Price)</f>
        <v>0.18308597507596727</v>
      </c>
      <c r="O126" s="77">
        <f t="shared" ref="O126" si="58">IF(O$4="","",O125/Market_Price)</f>
        <v>0.20640616308999846</v>
      </c>
      <c r="P126" s="77">
        <f t="shared" ref="P126" si="59">IF(P$4="","",P125/Market_Price)</f>
        <v>0.18755817768597022</v>
      </c>
      <c r="Q126" s="77" t="str">
        <f t="shared" ref="Q126" si="60">IF(Q$4="","",Q125/Market_Price)</f>
        <v/>
      </c>
    </row>
    <row r="127" spans="1:17" ht="15.75" customHeight="1">
      <c r="B127" s="2" t="s">
        <v>375</v>
      </c>
      <c r="C127" s="169"/>
      <c r="G127" s="23">
        <f>IF(G$4="","",(Data!C47*$C$3)/(Market_Price*Common_Shares))</f>
        <v>0.15293709287367038</v>
      </c>
      <c r="H127" s="23">
        <f>IF(H$4="","",(Data!D47*$C$3)/(Market_Price*Common_Shares))</f>
        <v>0.15325879147271296</v>
      </c>
      <c r="I127" s="23">
        <f>IF(I$4="","",(Data!E47*$C$3)/(Market_Price*Common_Shares))</f>
        <v>0.18238929037988122</v>
      </c>
      <c r="J127" s="23">
        <f>IF(J$4="","",(Data!F47*$C$3)/(Market_Price*Common_Shares))</f>
        <v>0.1654201826831446</v>
      </c>
      <c r="K127" s="23">
        <f>IF(K$4="","",(Data!G47*$C$3)/(Market_Price*Common_Shares))</f>
        <v>0.13357596860000368</v>
      </c>
      <c r="L127" s="23">
        <f>IF(L$4="","",(Data!H47*$C$3)/(Market_Price*Common_Shares))</f>
        <v>0.13164380339471116</v>
      </c>
      <c r="M127" s="23">
        <f>IF(M$4="","",(Data!I47*$C$3)/(Market_Price*Common_Shares))</f>
        <v>0.12087380796541461</v>
      </c>
      <c r="N127" s="23">
        <f>IF(N$4="","",(Data!J47*$C$3)/(Market_Price*Common_Shares))</f>
        <v>0.11394643322529532</v>
      </c>
      <c r="O127" s="23">
        <f>IF(O$4="","",(Data!K47*$C$3)/(Market_Price*Common_Shares))</f>
        <v>0.10722036681095728</v>
      </c>
      <c r="P127" s="23">
        <f>IF(P$4="","",(Data!L47*$C$3)/(Market_Price*Common_Shares))</f>
        <v>9.9963399027647157E-2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-24.39</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24.39</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24.39</v>
      </c>
      <c r="D86" t="str">
        <f>Market_currency</f>
        <v>CNY</v>
      </c>
    </row>
    <row r="87" spans="2:8" ht="13.15">
      <c r="B87" s="100" t="s">
        <v>293</v>
      </c>
      <c r="C87" s="237">
        <f ca="1">IRR(OFFSET($I$3, 0, 0, $C$76 + 1, 1))</f>
        <v>-8.0985622641209787E-3</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