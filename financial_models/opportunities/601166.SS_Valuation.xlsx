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3C05352-8B52-44B3-9AA7-1D7476A2B360}"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L94" i="2"/>
  <c r="H94" i="2"/>
  <c r="M94" i="2"/>
  <c r="O94" i="2"/>
  <c r="Q92" i="2"/>
  <c r="Q94" i="2"/>
  <c r="I94" i="2"/>
  <c r="P94" i="2"/>
  <c r="J94" i="2"/>
  <c r="N94" i="2"/>
  <c r="C44" i="6"/>
  <c r="C44" i="12"/>
  <c r="K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12" l="1"/>
  <c r="C104" i="6"/>
  <c r="O121" i="2"/>
  <c r="O117" i="2" s="1"/>
  <c r="O118" i="2"/>
  <c r="P118" i="2"/>
  <c r="P121" i="2"/>
  <c r="P117" i="2" s="1"/>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18" i="2" l="1"/>
  <c r="H121" i="2"/>
  <c r="H117" i="2" s="1"/>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M121" i="2" l="1"/>
  <c r="M117" i="2" s="1"/>
  <c r="M118" i="2"/>
  <c r="N98" i="2"/>
  <c r="N118" i="2"/>
  <c r="N121" i="2"/>
  <c r="N117" i="2" s="1"/>
  <c r="J121" i="2"/>
  <c r="J117" i="2" s="1"/>
  <c r="J118" i="2"/>
  <c r="I121" i="2"/>
  <c r="I117" i="2" s="1"/>
  <c r="I118" i="2"/>
  <c r="K16" i="2"/>
  <c r="K19" i="2" s="1"/>
  <c r="K92" i="2" s="1"/>
  <c r="K121" i="2"/>
  <c r="K117" i="2" s="1"/>
  <c r="K118" i="2"/>
  <c r="L118" i="2"/>
  <c r="L121" i="2"/>
  <c r="L117" i="2" s="1"/>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<sst xmlns="http://schemas.openxmlformats.org/spreadsheetml/2006/main" count="836" uniqueCount="561">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</sst>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69D716-BE73-45A3-BD9D-1DA97DF67E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24.94</v>
          </cell>
        </row>
        <row r="13">
          <cell r="C13" t="str">
            <v>CNY</v>
          </cell>
        </row>
        <row r="16">
          <cell r="C16">
            <v>1</v>
          </cell>
        </row>
        <row r="21">
          <cell r="E21" t="str">
            <v>DDM</v>
          </cell>
        </row>
        <row r="25">
          <cell r="C25" t="str">
            <v>CNY</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22.69</v>
      </c>
      <c r="D12" s="50"/>
      <c r="E12" s="48"/>
    </row>
    <row r="13" spans="1:10">
      <c r="B13" s="1" t="s">
        <v>489</v>
      </c>
      <c r="C13" s="32" t="str">
        <f>Market_currency</f>
        <v>CNY</v>
      </c>
      <c r="D13" s="48"/>
      <c r="E13" s="5"/>
    </row>
    <row r="14" spans="1:10">
      <c r="B14" s="4" t="s">
        <v>490</v>
      </c>
      <c r="C14" s="35">
        <f>投资主题!C12*Common_Shares/1000000</f>
        <v>471369.12264823006</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1" t="s">
        <v>493</v>
      </c>
      <c r="C18" s="371"/>
      <c r="D18" s="371"/>
      <c r="E18" s="371"/>
      <c r="F18" s="371"/>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1.722752919997772E-2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1" t="s">
        <v>496</v>
      </c>
      <c r="C36" s="371"/>
      <c r="D36" s="371"/>
      <c r="E36" s="371"/>
      <c r="F36" s="371"/>
    </row>
    <row r="37" spans="1:6" ht="24.6" customHeight="1">
      <c r="B37" s="372" t="s">
        <v>330</v>
      </c>
      <c r="C37" s="372"/>
      <c r="D37" s="372"/>
      <c r="E37" s="372"/>
      <c r="F37" s="372"/>
    </row>
    <row r="39" spans="1:6">
      <c r="B39" s="210" t="s">
        <v>497</v>
      </c>
      <c r="C39" s="108">
        <f>scaling_factor</f>
        <v>1000000</v>
      </c>
    </row>
    <row r="40" spans="1:6">
      <c r="B40" s="370" t="s">
        <v>498</v>
      </c>
      <c r="C40" s="370"/>
      <c r="D40" s="370"/>
      <c r="E40" s="370"/>
      <c r="F40" s="370"/>
    </row>
    <row r="41" spans="1:6">
      <c r="B41" s="47" t="s">
        <v>228</v>
      </c>
      <c r="C41" s="349">
        <f>Normalized_FCF!C8</f>
        <v>6033.25</v>
      </c>
      <c r="D41" s="1" t="str">
        <f>Reporting_currency</f>
        <v>CNY</v>
      </c>
    </row>
    <row r="42" spans="1:6">
      <c r="B42" s="47"/>
      <c r="C42" s="76"/>
    </row>
    <row r="43" spans="1:6" ht="24.6" customHeight="1">
      <c r="B43" s="370" t="s">
        <v>499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500</v>
      </c>
      <c r="C47" s="370"/>
      <c r="D47" s="370"/>
      <c r="E47" s="370"/>
      <c r="F47" s="370"/>
    </row>
    <row r="48" spans="1:6">
      <c r="B48" s="47" t="s">
        <v>233</v>
      </c>
      <c r="C48" s="349">
        <f>Normalized_FCF!C11</f>
        <v>0</v>
      </c>
      <c r="D48" s="1" t="str">
        <f>Reporting_currency</f>
        <v>CNY</v>
      </c>
    </row>
    <row r="50" spans="2:6">
      <c r="B50" s="370" t="s">
        <v>501</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503</v>
      </c>
      <c r="C61" s="373"/>
      <c r="D61" s="373"/>
      <c r="E61" s="373"/>
      <c r="F61" s="373"/>
    </row>
    <row r="62" spans="2:6">
      <c r="B62" s="47" t="s">
        <v>238</v>
      </c>
      <c r="C62" s="349">
        <f>Normalized_FCF!C17</f>
        <v>0</v>
      </c>
      <c r="D62" s="1" t="str">
        <f>Reporting_currency</f>
        <v>CNY</v>
      </c>
    </row>
    <row r="64" spans="2:6">
      <c r="B64" s="371" t="s">
        <v>504</v>
      </c>
      <c r="C64" s="371"/>
      <c r="D64" s="371"/>
      <c r="E64" s="371"/>
      <c r="F64" s="371"/>
    </row>
    <row r="65" spans="1:6">
      <c r="B65" s="371" t="s">
        <v>505</v>
      </c>
      <c r="C65" s="371"/>
      <c r="D65" s="371"/>
      <c r="E65" s="371"/>
      <c r="F65" s="371"/>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0.24333919404970639</v>
      </c>
      <c r="F69" s="314"/>
    </row>
    <row r="70" spans="1:6">
      <c r="B70" s="227" t="s">
        <v>438</v>
      </c>
      <c r="C70" s="92">
        <f>Normalized_FCF!C94</f>
        <v>4.6716615249008372E-2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1" t="s">
        <v>510</v>
      </c>
      <c r="C80" s="371"/>
      <c r="D80" s="371"/>
      <c r="E80" s="371"/>
      <c r="F80" s="371"/>
    </row>
    <row r="81" spans="1:6">
      <c r="B81" s="372" t="s">
        <v>248</v>
      </c>
      <c r="C81" s="372"/>
      <c r="D81" s="372"/>
      <c r="E81" s="372"/>
      <c r="F81" s="372"/>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1" t="s">
        <v>511</v>
      </c>
      <c r="C89" s="371"/>
      <c r="D89" s="371"/>
      <c r="E89" s="371"/>
      <c r="F89" s="371"/>
    </row>
    <row r="90" spans="1:6">
      <c r="B90" s="371" t="s">
        <v>512</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1" t="s">
        <v>514</v>
      </c>
      <c r="C97" s="371"/>
      <c r="D97" s="371"/>
      <c r="E97" s="371"/>
      <c r="F97" s="371"/>
    </row>
    <row r="98" spans="2:6">
      <c r="B98" s="1" t="s">
        <v>249</v>
      </c>
    </row>
    <row r="100" spans="2:6">
      <c r="B100" s="210" t="s">
        <v>497</v>
      </c>
    </row>
    <row r="101" spans="2:6">
      <c r="B101" s="371" t="s">
        <v>515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1" t="s">
        <v>520</v>
      </c>
      <c r="C116" s="371"/>
      <c r="D116" s="371"/>
      <c r="E116" s="371"/>
      <c r="F116" s="371"/>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0" t="s">
        <v>523</v>
      </c>
      <c r="C123" s="370"/>
      <c r="D123" s="370"/>
      <c r="E123" s="370"/>
      <c r="F123" s="370"/>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5" t="s">
        <v>528</v>
      </c>
      <c r="C134" s="375"/>
      <c r="D134" s="375"/>
      <c r="E134" s="375"/>
      <c r="F134" s="375"/>
    </row>
    <row r="136" spans="1:6" ht="13.9">
      <c r="A136" s="222" t="s">
        <v>529</v>
      </c>
      <c r="B136" s="36"/>
      <c r="C136" s="36"/>
      <c r="D136" s="36"/>
      <c r="E136" s="36"/>
      <c r="F136" s="36"/>
    </row>
    <row r="138" spans="1:6">
      <c r="B138" s="376" t="s">
        <v>530</v>
      </c>
      <c r="C138" s="376"/>
      <c r="D138" s="376"/>
      <c r="E138" s="376"/>
      <c r="F138" s="376"/>
    </row>
    <row r="139" spans="1:6" ht="24.6" customHeight="1">
      <c r="B139" s="371" t="s">
        <v>531</v>
      </c>
      <c r="C139" s="371"/>
      <c r="D139" s="371"/>
      <c r="E139" s="371"/>
      <c r="F139" s="371"/>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7" t="s">
        <v>538</v>
      </c>
      <c r="C179" s="371"/>
      <c r="D179" s="371"/>
      <c r="E179" s="371"/>
      <c r="F179" s="371"/>
    </row>
    <row r="181" spans="1:6">
      <c r="B181" s="210" t="s">
        <v>539</v>
      </c>
    </row>
    <row r="182" spans="1:6">
      <c r="B182" s="373" t="s">
        <v>540</v>
      </c>
      <c r="C182" s="373"/>
      <c r="D182" s="373"/>
      <c r="E182" s="373"/>
      <c r="F182" s="373"/>
    </row>
    <row r="183" spans="1:6">
      <c r="B183" s="214" t="s">
        <v>541</v>
      </c>
    </row>
    <row r="184" spans="1:6">
      <c r="B184" s="214" t="s">
        <v>542</v>
      </c>
    </row>
    <row r="185" spans="1:6">
      <c r="B185" s="214" t="s">
        <v>543</v>
      </c>
    </row>
    <row r="187" spans="1:6">
      <c r="B187" s="1" t="s">
        <v>544</v>
      </c>
    </row>
    <row r="188" spans="1:6" ht="24.6" customHeight="1">
      <c r="B188" s="370" t="s">
        <v>545</v>
      </c>
      <c r="C188" s="370"/>
      <c r="D188" s="370"/>
      <c r="E188" s="370"/>
      <c r="F188" s="370"/>
    </row>
    <row r="190" spans="1:6">
      <c r="B190" s="1" t="s">
        <v>546</v>
      </c>
    </row>
    <row r="191" spans="1:6">
      <c r="B191" s="374" t="s">
        <v>547</v>
      </c>
      <c r="C191" s="374"/>
      <c r="D191" s="374"/>
      <c r="E191" s="374"/>
      <c r="F191" s="374"/>
    </row>
    <row r="192" spans="1:6">
      <c r="B192" s="374" t="s">
        <v>548</v>
      </c>
      <c r="C192" s="374"/>
      <c r="D192" s="374"/>
      <c r="E192" s="374"/>
      <c r="F192" s="374"/>
    </row>
    <row r="194" spans="2:2">
      <c r="B194" s="1" t="s">
        <v>549</v>
      </c>
    </row>
    <row r="195" spans="2:2">
      <c r="B195" s="214" t="s">
        <v>550</v>
      </c>
    </row>
    <row r="196" spans="2:2">
      <c r="B196" s="214" t="s">
        <v>551</v>
      </c>
    </row>
    <row r="197" spans="2:2">
      <c r="B197" s="214" t="s">
        <v>552</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22.69</v>
      </c>
      <c r="D12" s="50"/>
      <c r="E12" s="48"/>
    </row>
    <row r="13" spans="1:10">
      <c r="B13" s="1" t="s">
        <v>468</v>
      </c>
      <c r="C13" s="48" t="s">
        <v>394</v>
      </c>
      <c r="D13" s="48"/>
      <c r="E13" s="5"/>
    </row>
    <row r="14" spans="1:10">
      <c r="B14" s="4" t="s">
        <v>469</v>
      </c>
      <c r="C14" s="35">
        <f>Thesis!C12*Common_Shares/1000000</f>
        <v>471369.12264823006</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1" t="s">
        <v>472</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1.722752919997772E-2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1" t="s">
        <v>473</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6033.25</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0.24333919404970639</v>
      </c>
      <c r="F69" s="314"/>
    </row>
    <row r="70" spans="1:6">
      <c r="B70" s="227" t="s">
        <v>438</v>
      </c>
      <c r="C70" s="92">
        <f>Normalized_FCF!C94</f>
        <v>4.6716615249008372E-2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1" t="s">
        <v>475</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1" t="s">
        <v>352</v>
      </c>
      <c r="C116" s="371"/>
      <c r="D116" s="371"/>
      <c r="E116" s="371"/>
      <c r="F116" s="371"/>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0" t="s">
        <v>477</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5" t="s">
        <v>478</v>
      </c>
      <c r="C134" s="375"/>
      <c r="D134" s="375"/>
      <c r="E134" s="375"/>
      <c r="F134" s="375"/>
    </row>
    <row r="136" spans="1:6" ht="13.9">
      <c r="A136" s="222" t="s">
        <v>479</v>
      </c>
      <c r="B136" s="36"/>
      <c r="C136" s="36"/>
      <c r="D136" s="36"/>
      <c r="E136" s="36"/>
      <c r="F136" s="36"/>
    </row>
    <row r="138" spans="1:6">
      <c r="B138" s="376" t="s">
        <v>353</v>
      </c>
      <c r="C138" s="376"/>
      <c r="D138" s="376"/>
      <c r="E138" s="376"/>
      <c r="F138" s="376"/>
    </row>
    <row r="139" spans="1:6">
      <c r="B139" s="371" t="s">
        <v>480</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7" t="s">
        <v>481</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482</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4.6716615249008372E-2</v>
      </c>
      <c r="E94" s="268"/>
      <c r="G94" s="23">
        <f t="shared" ref="G94:Q94" si="39">IF(G$4="","",(G90*(1-dividend_tax_rate))/Market_Price)</f>
        <v>4.6716615249008372E-2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0.24333919404970639</v>
      </c>
      <c r="D126" s="27"/>
      <c r="E126" s="265"/>
      <c r="F126" s="27"/>
      <c r="G126" s="77">
        <f t="shared" ref="G126" si="50">IF(G$4="","",G125/Market_Price)</f>
        <v>0.29164192857534893</v>
      </c>
      <c r="H126" s="77">
        <f t="shared" ref="H126" si="51">IF(H$4="","",H125/Market_Price)</f>
        <v>0.2929869466716512</v>
      </c>
      <c r="I126" s="77">
        <f t="shared" ref="I126" si="52">IF(I$4="","",I125/Market_Price)</f>
        <v>0.29687561886490371</v>
      </c>
      <c r="J126" s="77">
        <f t="shared" ref="J126" si="53">IF(J$4="","",J125/Market_Price)</f>
        <v>0.31732880414321651</v>
      </c>
      <c r="K126" s="77">
        <f t="shared" ref="K126" si="54">IF(K$4="","",K125/Market_Price)</f>
        <v>0.3011716151504118</v>
      </c>
      <c r="L126" s="77">
        <f t="shared" ref="L126" si="55">IF(L$4="","",L125/Market_Price)</f>
        <v>0.26248431230472025</v>
      </c>
      <c r="M126" s="77">
        <f t="shared" ref="M126" si="56">IF(M$4="","",M125/Market_Price)</f>
        <v>0.22670343657564404</v>
      </c>
      <c r="N126" s="77">
        <f t="shared" ref="N126" si="57">IF(N$4="","",N125/Market_Price)</f>
        <v>0.1968033024285078</v>
      </c>
      <c r="O126" s="77">
        <f t="shared" ref="O126" si="58">IF(O$4="","",O125/Market_Price)</f>
        <v>0.22187070593940336</v>
      </c>
      <c r="P126" s="77">
        <f t="shared" ref="P126" si="59">IF(P$4="","",P125/Market_Price)</f>
        <v>0.20161057530898252</v>
      </c>
      <c r="Q126" s="77" t="str">
        <f t="shared" ref="Q126" si="60">IF(Q$4="","",Q125/Market_Price)</f>
        <v/>
      </c>
    </row>
    <row r="127" spans="1:17" ht="15.75" customHeight="1">
      <c r="B127" s="2" t="s">
        <v>375</v>
      </c>
      <c r="C127" s="169"/>
      <c r="G127" s="23">
        <f>IF(G$4="","",(Data!C47*$C$3)/(Market_Price*Common_Shares))</f>
        <v>0.16439557933842311</v>
      </c>
      <c r="H127" s="23">
        <f>IF(H$4="","",(Data!D47*$C$3)/(Market_Price*Common_Shares))</f>
        <v>0.16474138052091092</v>
      </c>
      <c r="I127" s="23">
        <f>IF(I$4="","",(Data!E47*$C$3)/(Market_Price*Common_Shares))</f>
        <v>0.19605442011305874</v>
      </c>
      <c r="J127" s="23">
        <f>IF(J$4="","",(Data!F47*$C$3)/(Market_Price*Common_Shares))</f>
        <v>0.17781393810673848</v>
      </c>
      <c r="K127" s="23">
        <f>IF(K$4="","",(Data!G47*$C$3)/(Market_Price*Common_Shares))</f>
        <v>0.14358386399973952</v>
      </c>
      <c r="L127" s="23">
        <f>IF(L$4="","",(Data!H47*$C$3)/(Market_Price*Common_Shares))</f>
        <v>0.14150693542516549</v>
      </c>
      <c r="M127" s="23">
        <f>IF(M$4="","",(Data!I47*$C$3)/(Market_Price*Common_Shares))</f>
        <v>0.1299300209905889</v>
      </c>
      <c r="N127" s="23">
        <f>IF(N$4="","",(Data!J47*$C$3)/(Market_Price*Common_Shares))</f>
        <v>0.12248362742904155</v>
      </c>
      <c r="O127" s="23">
        <f>IF(O$4="","",(Data!K47*$C$3)/(Market_Price*Common_Shares))</f>
        <v>0.11525362479150499</v>
      </c>
      <c r="P127" s="23">
        <f>IF(P$4="","",(Data!L47*$C$3)/(Market_Price*Common_Shares))</f>
        <v>0.10745294412888118</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-22.69</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22.69</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22.69</v>
      </c>
      <c r="D86" t="str">
        <f>Market_currency</f>
        <v>CNY</v>
      </c>
    </row>
    <row r="87" spans="2:8" ht="13.15">
      <c r="B87" s="100" t="s">
        <v>293</v>
      </c>
      <c r="C87" s="237">
        <f ca="1">IRR(OFFSET($I$3, 0, 0, $C$76 + 1, 1))</f>
        <v>1.722752919997772E-2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291F-23DF-47A3-B422-DA32891059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