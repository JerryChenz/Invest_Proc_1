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A853ACF-0772-4CC6-9667-0E9C74004FA6}"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L94" i="2"/>
  <c r="H94" i="2"/>
  <c r="M94" i="2"/>
  <c r="O94" i="2"/>
  <c r="Q92" i="2"/>
  <c r="Q94" i="2"/>
  <c r="I94" i="2"/>
  <c r="P94" i="2"/>
  <c r="J94" i="2"/>
  <c r="N94" i="2"/>
  <c r="C44" i="6"/>
  <c r="C44" i="12"/>
  <c r="K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12" l="1"/>
  <c r="C104" i="6"/>
  <c r="O121" i="2"/>
  <c r="O117" i="2" s="1"/>
  <c r="O118" i="2"/>
  <c r="P118" i="2"/>
  <c r="P121" i="2"/>
  <c r="P117" i="2" s="1"/>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18" i="2" l="1"/>
  <c r="H121" i="2"/>
  <c r="H117" i="2" s="1"/>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M121" i="2" l="1"/>
  <c r="M117" i="2" s="1"/>
  <c r="M118" i="2"/>
  <c r="N98" i="2"/>
  <c r="N118" i="2"/>
  <c r="N121" i="2"/>
  <c r="N117" i="2" s="1"/>
  <c r="J121" i="2"/>
  <c r="J117" i="2" s="1"/>
  <c r="J118" i="2"/>
  <c r="I121" i="2"/>
  <c r="I117" i="2" s="1"/>
  <c r="I118" i="2"/>
  <c r="K16" i="2"/>
  <c r="K19" i="2" s="1"/>
  <c r="K92" i="2" s="1"/>
  <c r="K121" i="2"/>
  <c r="K117" i="2" s="1"/>
  <c r="K118" i="2"/>
  <c r="L118" i="2"/>
  <c r="L121" i="2"/>
  <c r="L117" i="2" s="1"/>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<sst xmlns="http://schemas.openxmlformats.org/spreadsheetml/2006/main" count="836" uniqueCount="561">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</sst>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69D716-BE73-45A3-BD9D-1DA97DF67E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20774311267</v>
          </cell>
        </row>
        <row r="12">
          <cell r="C12">
            <v>24.94</v>
          </cell>
        </row>
        <row r="13">
          <cell r="C13" t="str">
            <v>CNY</v>
          </cell>
        </row>
        <row r="16">
          <cell r="C16">
            <v>1</v>
          </cell>
        </row>
        <row r="21">
          <cell r="E21" t="str">
            <v>DDM</v>
          </cell>
        </row>
        <row r="25">
          <cell r="C25" t="str">
            <v>CNY</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22.53</v>
      </c>
      <c r="D12" s="50"/>
      <c r="E12" s="48"/>
    </row>
    <row r="13" spans="1:10">
      <c r="B13" s="1" t="s">
        <v>489</v>
      </c>
      <c r="C13" s="32" t="str">
        <f>Market_currency</f>
        <v>CNY</v>
      </c>
      <c r="D13" s="48"/>
      <c r="E13" s="5"/>
    </row>
    <row r="14" spans="1:10">
      <c r="B14" s="4" t="s">
        <v>490</v>
      </c>
      <c r="C14" s="35">
        <f>投资主题!C12*Common_Shares/1000000</f>
        <v>468045.23284551001</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71" t="s">
        <v>493</v>
      </c>
      <c r="C18" s="371"/>
      <c r="D18" s="371"/>
      <c r="E18" s="371"/>
      <c r="F18" s="371"/>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20.647898129891665</v>
      </c>
      <c r="D26" s="1" t="s">
        <v>450</v>
      </c>
      <c r="E26" s="301">
        <f ca="1">Scenarios!C87</f>
        <v>1.9745171873054801E-2</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8.355749929850889</v>
      </c>
      <c r="D29" s="310" t="str">
        <f>D149</f>
        <v/>
      </c>
      <c r="E29" s="306" t="s">
        <v>459</v>
      </c>
      <c r="F29" s="362">
        <f>Thesis!F29</f>
        <v>0.45</v>
      </c>
    </row>
    <row r="30" spans="2:6">
      <c r="B30" s="1" t="s">
        <v>454</v>
      </c>
      <c r="C30" s="311">
        <f>C157</f>
        <v>11.323303654934758</v>
      </c>
      <c r="D30" s="311" t="str">
        <f>D157</f>
        <v/>
      </c>
      <c r="E30" s="307" t="s">
        <v>458</v>
      </c>
      <c r="F30" s="224">
        <f>Thesis!F30</f>
        <v>0.3</v>
      </c>
    </row>
    <row r="31" spans="2:6">
      <c r="B31" s="1" t="s">
        <v>455</v>
      </c>
      <c r="C31" s="311">
        <f>C165</f>
        <v>19.377301122078141</v>
      </c>
      <c r="D31" s="311" t="str">
        <f>D165</f>
        <v/>
      </c>
      <c r="E31" s="307" t="s">
        <v>495</v>
      </c>
      <c r="F31" s="224">
        <f>Thesis!F31</f>
        <v>7.4999999999999997E-2</v>
      </c>
    </row>
    <row r="32" spans="2:6">
      <c r="B32" s="1" t="s">
        <v>456</v>
      </c>
      <c r="C32" s="311">
        <f>C173</f>
        <v>18.773924722806626</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71" t="s">
        <v>496</v>
      </c>
      <c r="C36" s="371"/>
      <c r="D36" s="371"/>
      <c r="E36" s="371"/>
      <c r="F36" s="371"/>
    </row>
    <row r="37" spans="1:6" ht="24.6" customHeight="1">
      <c r="B37" s="372" t="s">
        <v>330</v>
      </c>
      <c r="C37" s="372"/>
      <c r="D37" s="372"/>
      <c r="E37" s="372"/>
      <c r="F37" s="372"/>
    </row>
    <row r="39" spans="1:6">
      <c r="B39" s="210" t="s">
        <v>497</v>
      </c>
      <c r="C39" s="108">
        <f>scaling_factor</f>
        <v>1000000</v>
      </c>
    </row>
    <row r="40" spans="1:6">
      <c r="B40" s="370" t="s">
        <v>498</v>
      </c>
      <c r="C40" s="370"/>
      <c r="D40" s="370"/>
      <c r="E40" s="370"/>
      <c r="F40" s="370"/>
    </row>
    <row r="41" spans="1:6">
      <c r="B41" s="47" t="s">
        <v>228</v>
      </c>
      <c r="C41" s="349">
        <f>Normalized_FCF!C8</f>
        <v>6033.25</v>
      </c>
      <c r="D41" s="1" t="str">
        <f>Reporting_currency</f>
        <v>CNY</v>
      </c>
    </row>
    <row r="42" spans="1:6">
      <c r="B42" s="47"/>
      <c r="C42" s="76"/>
    </row>
    <row r="43" spans="1:6" ht="24.6" customHeight="1">
      <c r="B43" s="370" t="s">
        <v>499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500</v>
      </c>
      <c r="C47" s="370"/>
      <c r="D47" s="370"/>
      <c r="E47" s="370"/>
      <c r="F47" s="370"/>
    </row>
    <row r="48" spans="1:6">
      <c r="B48" s="47" t="s">
        <v>233</v>
      </c>
      <c r="C48" s="349">
        <f>Normalized_FCF!C11</f>
        <v>0</v>
      </c>
      <c r="D48" s="1" t="str">
        <f>Reporting_currency</f>
        <v>CNY</v>
      </c>
    </row>
    <row r="50" spans="2:6">
      <c r="B50" s="370" t="s">
        <v>501</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503</v>
      </c>
      <c r="C61" s="373"/>
      <c r="D61" s="373"/>
      <c r="E61" s="373"/>
      <c r="F61" s="373"/>
    </row>
    <row r="62" spans="2:6">
      <c r="B62" s="47" t="s">
        <v>238</v>
      </c>
      <c r="C62" s="349">
        <f>Normalized_FCF!C17</f>
        <v>0</v>
      </c>
      <c r="D62" s="1" t="str">
        <f>Reporting_currency</f>
        <v>CNY</v>
      </c>
    </row>
    <row r="64" spans="2:6">
      <c r="B64" s="371" t="s">
        <v>504</v>
      </c>
      <c r="C64" s="371"/>
      <c r="D64" s="371"/>
      <c r="E64" s="371"/>
      <c r="F64" s="371"/>
    </row>
    <row r="65" spans="1:6">
      <c r="B65" s="371" t="s">
        <v>505</v>
      </c>
      <c r="C65" s="371"/>
      <c r="D65" s="371"/>
      <c r="E65" s="371"/>
      <c r="F65" s="371"/>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0.2450673019524118</v>
      </c>
      <c r="F69" s="314"/>
    </row>
    <row r="70" spans="1:6">
      <c r="B70" s="227" t="s">
        <v>438</v>
      </c>
      <c r="C70" s="92">
        <f>Normalized_FCF!C94</f>
        <v>4.7048379937860631E-2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71" t="s">
        <v>510</v>
      </c>
      <c r="C80" s="371"/>
      <c r="D80" s="371"/>
      <c r="E80" s="371"/>
      <c r="F80" s="371"/>
    </row>
    <row r="81" spans="1:6">
      <c r="B81" s="372" t="s">
        <v>248</v>
      </c>
      <c r="C81" s="372"/>
      <c r="D81" s="372"/>
      <c r="E81" s="372"/>
      <c r="F81" s="372"/>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71" t="s">
        <v>511</v>
      </c>
      <c r="C89" s="371"/>
      <c r="D89" s="371"/>
      <c r="E89" s="371"/>
      <c r="F89" s="371"/>
    </row>
    <row r="90" spans="1:6">
      <c r="B90" s="371" t="s">
        <v>512</v>
      </c>
      <c r="C90" s="371"/>
      <c r="D90" s="371"/>
      <c r="E90" s="371"/>
      <c r="F90" s="371"/>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71" t="s">
        <v>514</v>
      </c>
      <c r="C97" s="371"/>
      <c r="D97" s="371"/>
      <c r="E97" s="371"/>
      <c r="F97" s="371"/>
    </row>
    <row r="98" spans="2:6">
      <c r="B98" s="1" t="s">
        <v>249</v>
      </c>
    </row>
    <row r="100" spans="2:6">
      <c r="B100" s="210" t="s">
        <v>497</v>
      </c>
    </row>
    <row r="101" spans="2:6">
      <c r="B101" s="371" t="s">
        <v>515</v>
      </c>
      <c r="C101" s="371"/>
      <c r="D101" s="371"/>
      <c r="E101" s="371"/>
      <c r="F101" s="371"/>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71" t="s">
        <v>520</v>
      </c>
      <c r="C116" s="371"/>
      <c r="D116" s="371"/>
      <c r="E116" s="371"/>
      <c r="F116" s="371"/>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70" t="s">
        <v>523</v>
      </c>
      <c r="C123" s="370"/>
      <c r="D123" s="370"/>
      <c r="E123" s="370"/>
      <c r="F123" s="370"/>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c r="B134" s="375" t="s">
        <v>528</v>
      </c>
      <c r="C134" s="375"/>
      <c r="D134" s="375"/>
      <c r="E134" s="375"/>
      <c r="F134" s="375"/>
    </row>
    <row r="136" spans="1:6" ht="13.9">
      <c r="A136" s="222" t="s">
        <v>529</v>
      </c>
      <c r="B136" s="36"/>
      <c r="C136" s="36"/>
      <c r="D136" s="36"/>
      <c r="E136" s="36"/>
      <c r="F136" s="36"/>
    </row>
    <row r="138" spans="1:6">
      <c r="B138" s="376" t="s">
        <v>530</v>
      </c>
      <c r="C138" s="376"/>
      <c r="D138" s="376"/>
      <c r="E138" s="376"/>
      <c r="F138" s="376"/>
    </row>
    <row r="139" spans="1:6" ht="24.6" customHeight="1">
      <c r="B139" s="371" t="s">
        <v>531</v>
      </c>
      <c r="C139" s="371"/>
      <c r="D139" s="371"/>
      <c r="E139" s="371"/>
      <c r="F139" s="371"/>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536</v>
      </c>
      <c r="C150" s="298" t="str">
        <f>Market_currency</f>
        <v>CNY</v>
      </c>
      <c r="D150" s="298" t="str">
        <f>IF($D$11="","",D$13)</f>
        <v/>
      </c>
    </row>
    <row r="151" spans="2:4">
      <c r="B151" s="214" t="s">
        <v>537</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536</v>
      </c>
      <c r="C158" s="298" t="str">
        <f>Market_currency</f>
        <v>CNY</v>
      </c>
      <c r="D158" s="298" t="str">
        <f>IF($D$11="","",D$13)</f>
        <v/>
      </c>
    </row>
    <row r="159" spans="2:4">
      <c r="B159" s="214" t="s">
        <v>537</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536</v>
      </c>
      <c r="C166" s="298" t="str">
        <f>Market_currency</f>
        <v>CNY</v>
      </c>
      <c r="D166" s="298" t="str">
        <f>IF($D$11="","",D$13)</f>
        <v/>
      </c>
    </row>
    <row r="167" spans="2:4">
      <c r="B167" s="214" t="s">
        <v>537</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536</v>
      </c>
      <c r="C174" s="298" t="str">
        <f>Market_currency</f>
        <v>CNY</v>
      </c>
      <c r="D174" s="298" t="str">
        <f>IF($D$11="","",D$13)</f>
        <v/>
      </c>
    </row>
    <row r="175" spans="2:4">
      <c r="B175" s="214" t="s">
        <v>537</v>
      </c>
      <c r="C175" s="92">
        <f>Scenarios!F105</f>
        <v>9.0875682334987329E-2</v>
      </c>
    </row>
    <row r="177" spans="1:6" ht="13.9">
      <c r="A177" s="222" t="s">
        <v>357</v>
      </c>
      <c r="B177" s="36"/>
      <c r="C177" s="36"/>
      <c r="D177" s="36"/>
      <c r="E177" s="36"/>
      <c r="F177" s="36"/>
    </row>
    <row r="179" spans="1:6">
      <c r="B179" s="377" t="s">
        <v>538</v>
      </c>
      <c r="C179" s="371"/>
      <c r="D179" s="371"/>
      <c r="E179" s="371"/>
      <c r="F179" s="371"/>
    </row>
    <row r="181" spans="1:6">
      <c r="B181" s="210" t="s">
        <v>539</v>
      </c>
    </row>
    <row r="182" spans="1:6">
      <c r="B182" s="373" t="s">
        <v>540</v>
      </c>
      <c r="C182" s="373"/>
      <c r="D182" s="373"/>
      <c r="E182" s="373"/>
      <c r="F182" s="373"/>
    </row>
    <row r="183" spans="1:6">
      <c r="B183" s="214" t="s">
        <v>541</v>
      </c>
    </row>
    <row r="184" spans="1:6">
      <c r="B184" s="214" t="s">
        <v>542</v>
      </c>
    </row>
    <row r="185" spans="1:6">
      <c r="B185" s="214" t="s">
        <v>543</v>
      </c>
    </row>
    <row r="187" spans="1:6">
      <c r="B187" s="1" t="s">
        <v>544</v>
      </c>
    </row>
    <row r="188" spans="1:6" ht="24.6" customHeight="1">
      <c r="B188" s="370" t="s">
        <v>545</v>
      </c>
      <c r="C188" s="370"/>
      <c r="D188" s="370"/>
      <c r="E188" s="370"/>
      <c r="F188" s="370"/>
    </row>
    <row r="190" spans="1:6">
      <c r="B190" s="1" t="s">
        <v>546</v>
      </c>
    </row>
    <row r="191" spans="1:6">
      <c r="B191" s="374" t="s">
        <v>547</v>
      </c>
      <c r="C191" s="374"/>
      <c r="D191" s="374"/>
      <c r="E191" s="374"/>
      <c r="F191" s="374"/>
    </row>
    <row r="192" spans="1:6">
      <c r="B192" s="374" t="s">
        <v>548</v>
      </c>
      <c r="C192" s="374"/>
      <c r="D192" s="374"/>
      <c r="E192" s="374"/>
      <c r="F192" s="374"/>
    </row>
    <row r="194" spans="2:2">
      <c r="B194" s="1" t="s">
        <v>549</v>
      </c>
    </row>
    <row r="195" spans="2:2">
      <c r="B195" s="214" t="s">
        <v>550</v>
      </c>
    </row>
    <row r="196" spans="2:2">
      <c r="B196" s="214" t="s">
        <v>551</v>
      </c>
    </row>
    <row r="197" spans="2:2">
      <c r="B197" s="214" t="s">
        <v>552</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22.53</v>
      </c>
      <c r="D12" s="50"/>
      <c r="E12" s="48"/>
    </row>
    <row r="13" spans="1:10">
      <c r="B13" s="1" t="s">
        <v>468</v>
      </c>
      <c r="C13" s="48" t="s">
        <v>394</v>
      </c>
      <c r="D13" s="48"/>
      <c r="E13" s="5"/>
    </row>
    <row r="14" spans="1:10">
      <c r="B14" s="4" t="s">
        <v>469</v>
      </c>
      <c r="C14" s="35">
        <f>Thesis!C12*Common_Shares/1000000</f>
        <v>468045.23284551001</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71" t="s">
        <v>472</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20.647898129891665</v>
      </c>
      <c r="D26" s="1" t="s">
        <v>380</v>
      </c>
      <c r="E26" s="301">
        <f ca="1">Scenarios!C87</f>
        <v>1.9745171873054801E-2</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8.355749929850889</v>
      </c>
      <c r="D29" s="310" t="str">
        <f>D149</f>
        <v/>
      </c>
      <c r="E29" s="306" t="s">
        <v>401</v>
      </c>
      <c r="F29" s="302">
        <v>0.45</v>
      </c>
    </row>
    <row r="30" spans="2:6">
      <c r="B30" s="1" t="s">
        <v>403</v>
      </c>
      <c r="C30" s="311">
        <f>C157</f>
        <v>11.323303654934758</v>
      </c>
      <c r="D30" s="311" t="str">
        <f>D157</f>
        <v/>
      </c>
      <c r="E30" s="307" t="s">
        <v>414</v>
      </c>
      <c r="F30" s="312">
        <v>0.3</v>
      </c>
    </row>
    <row r="31" spans="2:6">
      <c r="B31" s="1" t="s">
        <v>404</v>
      </c>
      <c r="C31" s="311">
        <f>C165</f>
        <v>19.377301122078141</v>
      </c>
      <c r="D31" s="311" t="str">
        <f>D165</f>
        <v/>
      </c>
      <c r="E31" s="307" t="s">
        <v>413</v>
      </c>
      <c r="F31" s="312">
        <v>7.4999999999999997E-2</v>
      </c>
    </row>
    <row r="32" spans="2:6">
      <c r="B32" s="1" t="s">
        <v>405</v>
      </c>
      <c r="C32" s="311">
        <f>C173</f>
        <v>18.773924722806626</v>
      </c>
      <c r="D32" s="311" t="str">
        <f>D173</f>
        <v/>
      </c>
      <c r="E32" s="307" t="s">
        <v>415</v>
      </c>
      <c r="F32" s="312">
        <v>8.6999999999999994E-2</v>
      </c>
    </row>
    <row r="33" spans="1:6">
      <c r="D33" s="5"/>
      <c r="E33" s="5"/>
    </row>
    <row r="34" spans="1:6" ht="13.9">
      <c r="A34" s="222" t="s">
        <v>345</v>
      </c>
      <c r="B34" s="36"/>
      <c r="C34" s="36"/>
      <c r="D34" s="36"/>
      <c r="E34" s="36"/>
      <c r="F34" s="36"/>
    </row>
    <row r="36" spans="1:6">
      <c r="B36" s="371" t="s">
        <v>473</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6033.25</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0.2450673019524118</v>
      </c>
      <c r="F69" s="314"/>
    </row>
    <row r="70" spans="1:6">
      <c r="B70" s="227" t="s">
        <v>438</v>
      </c>
      <c r="C70" s="92">
        <f>Normalized_FCF!C94</f>
        <v>4.7048379937860631E-2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71" t="s">
        <v>475</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71" t="s">
        <v>352</v>
      </c>
      <c r="C116" s="371"/>
      <c r="D116" s="371"/>
      <c r="E116" s="371"/>
      <c r="F116" s="371"/>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70" t="s">
        <v>477</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ht="24.6" customHeight="1">
      <c r="B134" s="375" t="s">
        <v>478</v>
      </c>
      <c r="C134" s="375"/>
      <c r="D134" s="375"/>
      <c r="E134" s="375"/>
      <c r="F134" s="375"/>
    </row>
    <row r="136" spans="1:6" ht="13.9">
      <c r="A136" s="222" t="s">
        <v>479</v>
      </c>
      <c r="B136" s="36"/>
      <c r="C136" s="36"/>
      <c r="D136" s="36"/>
      <c r="E136" s="36"/>
      <c r="F136" s="36"/>
    </row>
    <row r="138" spans="1:6">
      <c r="B138" s="376" t="s">
        <v>353</v>
      </c>
      <c r="C138" s="376"/>
      <c r="D138" s="376"/>
      <c r="E138" s="376"/>
      <c r="F138" s="376"/>
    </row>
    <row r="139" spans="1:6">
      <c r="B139" s="371" t="s">
        <v>480</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396</v>
      </c>
      <c r="C150" s="298" t="str">
        <f>Market_currency</f>
        <v>CNY</v>
      </c>
      <c r="D150" s="298" t="str">
        <f>IF($D$11="","",D$13)</f>
        <v/>
      </c>
    </row>
    <row r="151" spans="2:4">
      <c r="B151" s="214" t="s">
        <v>258</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396</v>
      </c>
      <c r="C158" s="298" t="str">
        <f>Market_currency</f>
        <v>CNY</v>
      </c>
      <c r="D158" s="298" t="str">
        <f>IF($D$11="","",D$13)</f>
        <v/>
      </c>
    </row>
    <row r="159" spans="2:4">
      <c r="B159" s="214" t="s">
        <v>258</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396</v>
      </c>
      <c r="C166" s="298" t="str">
        <f>Market_currency</f>
        <v>CNY</v>
      </c>
      <c r="D166" s="298" t="str">
        <f>IF($D$11="","",D$13)</f>
        <v/>
      </c>
    </row>
    <row r="167" spans="2:4">
      <c r="B167" s="214" t="s">
        <v>258</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396</v>
      </c>
      <c r="C174" s="298" t="str">
        <f>Market_currency</f>
        <v>CNY</v>
      </c>
      <c r="D174" s="298" t="str">
        <f>IF($D$11="","",D$13)</f>
        <v/>
      </c>
    </row>
    <row r="175" spans="2:4">
      <c r="B175" s="214" t="s">
        <v>258</v>
      </c>
      <c r="C175" s="92">
        <f>Scenarios!F105</f>
        <v>9.0875682334987329E-2</v>
      </c>
    </row>
    <row r="177" spans="1:6" ht="13.9">
      <c r="A177" s="222" t="s">
        <v>357</v>
      </c>
      <c r="B177" s="36"/>
      <c r="C177" s="36"/>
      <c r="D177" s="36"/>
      <c r="E177" s="36"/>
      <c r="F177" s="36"/>
    </row>
    <row r="179" spans="1:6">
      <c r="B179" s="377" t="s">
        <v>481</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482</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4.7048379937860631E-2</v>
      </c>
      <c r="E94" s="268"/>
      <c r="G94" s="23">
        <f t="shared" ref="G94:Q94" si="39">IF(G$4="","",(G90*(1-dividend_tax_rate))/Market_Price)</f>
        <v>4.7048379937860631E-2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0.2450673019524118</v>
      </c>
      <c r="D126" s="27"/>
      <c r="E126" s="265"/>
      <c r="F126" s="27"/>
      <c r="G126" s="77">
        <f t="shared" ref="G126" si="50">IF(G$4="","",G125/Market_Price)</f>
        <v>0.29371306521858265</v>
      </c>
      <c r="H126" s="77">
        <f t="shared" ref="H126" si="51">IF(H$4="","",H125/Market_Price)</f>
        <v>0.29506763515223106</v>
      </c>
      <c r="I126" s="77">
        <f t="shared" ref="I126" si="52">IF(I$4="","",I125/Market_Price)</f>
        <v>0.29898392330424617</v>
      </c>
      <c r="J126" s="77">
        <f t="shared" ref="J126" si="53">IF(J$4="","",J125/Market_Price)</f>
        <v>0.31958235978737609</v>
      </c>
      <c r="K126" s="77">
        <f t="shared" ref="K126" si="54">IF(K$4="","",K125/Market_Price)</f>
        <v>0.30331042821850174</v>
      </c>
      <c r="L126" s="77">
        <f t="shared" ref="L126" si="55">IF(L$4="","",L125/Market_Price)</f>
        <v>0.26434838198819804</v>
      </c>
      <c r="M126" s="77">
        <f t="shared" ref="M126" si="56">IF(M$4="","",M125/Market_Price)</f>
        <v>0.22831340328013153</v>
      </c>
      <c r="N126" s="77">
        <f t="shared" ref="N126" si="57">IF(N$4="","",N125/Market_Price)</f>
        <v>0.19820092907691264</v>
      </c>
      <c r="O126" s="77">
        <f t="shared" ref="O126" si="58">IF(O$4="","",O125/Market_Price)</f>
        <v>0.22344635231979859</v>
      </c>
      <c r="P126" s="77">
        <f t="shared" ref="P126" si="59">IF(P$4="","",P125/Market_Price)</f>
        <v>0.20304234148960557</v>
      </c>
      <c r="Q126" s="77" t="str">
        <f t="shared" ref="Q126" si="60">IF(Q$4="","",Q125/Market_Price)</f>
        <v/>
      </c>
    </row>
    <row r="127" spans="1:17" ht="15.75" customHeight="1">
      <c r="B127" s="2" t="s">
        <v>375</v>
      </c>
      <c r="C127" s="169"/>
      <c r="G127" s="23">
        <f>IF(G$4="","",(Data!C47*$C$3)/(Market_Price*Common_Shares))</f>
        <v>0.1655630579311505</v>
      </c>
      <c r="H127" s="23">
        <f>IF(H$4="","",(Data!D47*$C$3)/(Market_Price*Common_Shares))</f>
        <v>0.16591131486992761</v>
      </c>
      <c r="I127" s="23">
        <f>IF(I$4="","",(Data!E47*$C$3)/(Market_Price*Common_Shares))</f>
        <v>0.19744672846716835</v>
      </c>
      <c r="J127" s="23">
        <f>IF(J$4="","",(Data!F47*$C$3)/(Market_Price*Common_Shares))</f>
        <v>0.17907670908308462</v>
      </c>
      <c r="K127" s="23">
        <f>IF(K$4="","",(Data!G47*$C$3)/(Market_Price*Common_Shares))</f>
        <v>0.14460354523542343</v>
      </c>
      <c r="L127" s="23">
        <f>IF(L$4="","",(Data!H47*$C$3)/(Market_Price*Common_Shares))</f>
        <v>0.14251186705712407</v>
      </c>
      <c r="M127" s="23">
        <f>IF(M$4="","",(Data!I47*$C$3)/(Market_Price*Common_Shares))</f>
        <v>0.13085273751781901</v>
      </c>
      <c r="N127" s="23">
        <f>IF(N$4="","",(Data!J47*$C$3)/(Market_Price*Common_Shares))</f>
        <v>0.12335346233310931</v>
      </c>
      <c r="O127" s="23">
        <f>IF(O$4="","",(Data!K47*$C$3)/(Market_Price*Common_Shares))</f>
        <v>0.11607211480333991</v>
      </c>
      <c r="P127" s="23">
        <f>IF(P$4="","",(Data!L47*$C$3)/(Market_Price*Common_Shares))</f>
        <v>0.10821603649730643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8" t="s">
        <v>245</v>
      </c>
      <c r="F6" s="378"/>
      <c r="H6" s="120"/>
    </row>
    <row r="7" spans="2:8">
      <c r="B7" s="148" t="s">
        <v>220</v>
      </c>
      <c r="C7" s="338">
        <f>BS!G31</f>
        <v>9516669</v>
      </c>
      <c r="D7" t="str">
        <f>Reporting_currency</f>
        <v>CNY</v>
      </c>
      <c r="E7" s="378"/>
      <c r="F7" s="378"/>
      <c r="H7" s="120"/>
    </row>
    <row r="8" spans="2:8">
      <c r="B8" s="148" t="s">
        <v>221</v>
      </c>
      <c r="C8" s="338">
        <f>BS!D66</f>
        <v>0</v>
      </c>
      <c r="D8" t="str">
        <f>Reporting_currency</f>
        <v>CNY</v>
      </c>
      <c r="E8" s="378"/>
      <c r="F8" s="378"/>
      <c r="H8" s="120"/>
    </row>
    <row r="9" spans="2:8">
      <c r="B9" s="205" t="s">
        <v>186</v>
      </c>
      <c r="C9" s="348">
        <f>BS!H42</f>
        <v>2145886.1</v>
      </c>
      <c r="D9" t="str">
        <f>Reporting_currency</f>
        <v>CNY</v>
      </c>
      <c r="E9" s="378"/>
      <c r="F9" s="378"/>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3.0480331534493699E-2</v>
      </c>
      <c r="H16" s="120"/>
    </row>
    <row r="17" spans="2:17" ht="13.35" customHeight="1">
      <c r="B17" s="118" t="s">
        <v>130</v>
      </c>
      <c r="C17" s="162">
        <f>Scenarios!C64</f>
        <v>30</v>
      </c>
      <c r="H17" s="120"/>
    </row>
    <row r="18" spans="2:17" ht="13.35" customHeight="1">
      <c r="B18" s="153" t="s">
        <v>103</v>
      </c>
      <c r="C18" s="140">
        <f>(F52-C7+C8+C9)*Exchange_Rate/Common_Shares*scaling_factor</f>
        <v>-254.2678707014849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127</v>
      </c>
      <c r="C51" s="123">
        <f>C$21*(1+Terminal_Growth)^$C$17/Equity_Cost</f>
        <v>1575983.4019294491</v>
      </c>
      <c r="D51" s="139">
        <f>Terminal_Growth</f>
        <v>0</v>
      </c>
      <c r="E51" s="124">
        <f>1/(1+Equity_Cost)^C17</f>
        <v>0.11422103008133992</v>
      </c>
      <c r="F51" s="125">
        <f t="shared" si="1"/>
        <v>180010.44755947602</v>
      </c>
      <c r="H51" s="120"/>
    </row>
    <row r="52" spans="1:17">
      <c r="C52" s="114"/>
      <c r="E52" s="127" t="s">
        <v>97</v>
      </c>
      <c r="F52" s="137">
        <f>SUM(F21:F51)</f>
        <v>2088543.0088500436</v>
      </c>
      <c r="H52" s="120"/>
    </row>
    <row r="53" spans="1:17">
      <c r="C53" s="114"/>
      <c r="H53" s="120"/>
    </row>
    <row r="54" spans="1:17" ht="13.15">
      <c r="B54" s="119" t="s">
        <v>125</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8"/>
      <c r="F6" s="378"/>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3.0480331534493699E-2</v>
      </c>
      <c r="H11" s="120"/>
    </row>
    <row r="12" spans="2:8" ht="13.35" customHeight="1">
      <c r="B12" s="118" t="s">
        <v>130</v>
      </c>
      <c r="C12" s="162">
        <f>Scenarios!C64</f>
        <v>30</v>
      </c>
      <c r="H12" s="120"/>
    </row>
    <row r="13" spans="2:8" ht="13.35" customHeight="1">
      <c r="B13" s="153" t="s">
        <v>103</v>
      </c>
      <c r="C13" s="140">
        <f>F47/Common_Shares*scaling_factor</f>
        <v>20.650558298809361</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127</v>
      </c>
      <c r="C46" s="123">
        <f>C$16*(1+F4)^$C$12/Equity_Cost</f>
        <v>548044.84386554325</v>
      </c>
      <c r="D46" s="139">
        <f>Terminal_Growth</f>
        <v>0</v>
      </c>
      <c r="E46" s="124">
        <f>1/(1+Equity_Cost)^C12</f>
        <v>0.11422103008133992</v>
      </c>
      <c r="F46" s="125">
        <f t="shared" si="1"/>
        <v>62598.246597089455</v>
      </c>
      <c r="H46" s="120"/>
    </row>
    <row r="47" spans="2:8">
      <c r="C47" s="114"/>
      <c r="E47" s="127" t="s">
        <v>97</v>
      </c>
      <c r="F47" s="137">
        <f>SUM(F16:F46)</f>
        <v>429001.12593679567</v>
      </c>
      <c r="H47" s="120"/>
    </row>
    <row r="48" spans="2:8">
      <c r="C48" s="114"/>
      <c r="H48" s="120"/>
    </row>
    <row r="49" spans="1:8" ht="13.15">
      <c r="B49" s="119" t="s">
        <v>125</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-22.53</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21.707898129891664</v>
      </c>
    </row>
    <row r="7" spans="2:9" ht="12.75" customHeight="1">
      <c r="B7" s="100" t="s">
        <v>270</v>
      </c>
      <c r="C7" s="338">
        <f>Normalized_FCF!G8</f>
        <v>-721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80"/>
      <c r="H7" s="247">
        <v>4</v>
      </c>
      <c r="I7" s="124" t="str">
        <f t="shared" si="0"/>
        <v/>
      </c>
    </row>
    <row r="8" spans="2:9">
      <c r="B8" s="100" t="s">
        <v>64</v>
      </c>
      <c r="C8" s="338">
        <f>Normalized_FCF!G19</f>
        <v>137471</v>
      </c>
      <c r="D8" t="str">
        <f>Reporting_currency</f>
        <v>CNY</v>
      </c>
      <c r="E8" s="380"/>
      <c r="F8" s="380"/>
      <c r="H8" s="247">
        <v>5</v>
      </c>
      <c r="I8" s="124" t="str">
        <f t="shared" si="0"/>
        <v/>
      </c>
    </row>
    <row r="9" spans="2:9">
      <c r="B9" s="100" t="s">
        <v>55</v>
      </c>
      <c r="C9" s="338">
        <f>Normalized_FCF!C19</f>
        <v>114702.58240513749</v>
      </c>
      <c r="D9" t="str">
        <f>Reporting_currency</f>
        <v>CNY</v>
      </c>
      <c r="E9" s="380"/>
      <c r="F9" s="380"/>
      <c r="H9" s="247">
        <v>6</v>
      </c>
      <c r="I9" s="124" t="str">
        <f t="shared" si="0"/>
        <v/>
      </c>
    </row>
    <row r="10" spans="2:9">
      <c r="E10" s="380"/>
      <c r="F10" s="380"/>
      <c r="H10" s="247">
        <v>7</v>
      </c>
      <c r="I10" s="124" t="str">
        <f t="shared" si="0"/>
        <v/>
      </c>
    </row>
    <row r="11" spans="2:9" ht="13.15">
      <c r="B11" s="159" t="s">
        <v>428</v>
      </c>
      <c r="E11" s="380"/>
      <c r="F11" s="380"/>
      <c r="H11" s="247">
        <v>8</v>
      </c>
      <c r="I11" s="124" t="str">
        <f t="shared" si="0"/>
        <v/>
      </c>
    </row>
    <row r="12" spans="2:9">
      <c r="B12" s="118" t="s">
        <v>140</v>
      </c>
      <c r="C12" s="158">
        <f ca="1">(Normalized_FCF!G4/OFFSET(Normalized_FCF!G4, 0, $C$4))^(1/$C$4) - 1</f>
        <v>-5.5054441259114184E-2</v>
      </c>
      <c r="D12" s="158"/>
      <c r="E12" s="380"/>
      <c r="F12" s="380"/>
      <c r="H12" s="247">
        <v>9</v>
      </c>
      <c r="I12" s="124" t="str">
        <f t="shared" si="0"/>
        <v/>
      </c>
    </row>
    <row r="13" spans="2:9">
      <c r="B13" s="148" t="s">
        <v>148</v>
      </c>
      <c r="C13" s="158">
        <f ca="1">(Normalized_FCF!G8/OFFSET(Normalized_FCF!G8, 0, $C$4))^(1/$C$4) - 1</f>
        <v>-1.3520092995664894</v>
      </c>
      <c r="E13" s="380"/>
      <c r="F13" s="380"/>
      <c r="H13" s="247">
        <v>10</v>
      </c>
      <c r="I13" s="124" t="str">
        <f t="shared" si="0"/>
        <v/>
      </c>
    </row>
    <row r="14" spans="2:9">
      <c r="B14" s="100" t="s">
        <v>64</v>
      </c>
      <c r="C14" s="158">
        <f ca="1">(Normalized_FCF!G19/OFFSET(Normalized_FCF!G19, 0, $C$4))^(1/$C$4) - 1</f>
        <v>-2.7745066708446342E-2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22.53</v>
      </c>
      <c r="D21" t="str">
        <f>Market_currency</f>
        <v>CNY</v>
      </c>
      <c r="E21" s="381"/>
      <c r="F21" s="381"/>
    </row>
    <row r="22" spans="2:6">
      <c r="B22" s="100" t="s">
        <v>273</v>
      </c>
      <c r="C22" s="160">
        <f>IF(valuation_method="DCF",DCF!C12,DDM!C7)</f>
        <v>14.133333333333335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0.03</v>
      </c>
      <c r="D26" s="164"/>
      <c r="E26" s="379"/>
      <c r="F26" s="379"/>
    </row>
    <row r="27" spans="2:6">
      <c r="B27" s="100" t="s">
        <v>109</v>
      </c>
      <c r="C27" s="160">
        <f>IF(valuation_method="DCF",DCF!E76,DDM!E71)</f>
        <v>20.547504511084881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18.573597539063663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0.04</v>
      </c>
      <c r="D38" s="164"/>
      <c r="E38" s="379"/>
      <c r="F38" s="379"/>
    </row>
    <row r="39" spans="2:6">
      <c r="B39" s="100" t="s">
        <v>109</v>
      </c>
      <c r="C39" s="160">
        <f>IF(valuation_method="DCF",DCF!E75,DDM!E70)</f>
        <v>22.869668135916577</v>
      </c>
      <c r="D39" t="str">
        <f>Market_currency</f>
        <v>CNY</v>
      </c>
      <c r="E39" s="379"/>
      <c r="F39" s="379"/>
    </row>
    <row r="40" spans="2:6">
      <c r="B40" s="100" t="s">
        <v>143</v>
      </c>
      <c r="C40" s="167">
        <f>1-C28-C34</f>
        <v>0.2</v>
      </c>
      <c r="D40" s="165"/>
      <c r="E40" s="379"/>
      <c r="F40" s="379"/>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15.443133723453277</v>
      </c>
      <c r="D51" t="str">
        <f>Market_currency</f>
        <v>CNY</v>
      </c>
      <c r="E51" s="379"/>
      <c r="F51" s="379"/>
    </row>
    <row r="52" spans="2:6">
      <c r="B52" s="100" t="s">
        <v>143</v>
      </c>
      <c r="C52" s="165">
        <v>0.01</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0.06</v>
      </c>
      <c r="D56" s="164"/>
      <c r="E56" s="379"/>
      <c r="F56" s="379"/>
    </row>
    <row r="57" spans="2:6">
      <c r="B57" s="100" t="s">
        <v>109</v>
      </c>
      <c r="C57" s="160">
        <f>IF(valuation_method="DCF",DCF!E74,DDM!E69)</f>
        <v>28.86540678430962</v>
      </c>
      <c r="D57" t="str">
        <f>Market_currency</f>
        <v>CNY</v>
      </c>
      <c r="E57" s="379"/>
      <c r="F57" s="379"/>
    </row>
    <row r="58" spans="2:6">
      <c r="B58" s="100" t="s">
        <v>143</v>
      </c>
      <c r="C58" s="165">
        <v>0.01</v>
      </c>
      <c r="D58" s="165"/>
      <c r="E58" s="379"/>
      <c r="F58" s="379"/>
    </row>
    <row r="60" spans="2:6" ht="13.15">
      <c r="B60" s="100" t="s">
        <v>116</v>
      </c>
      <c r="C60" s="154">
        <f>C51*C52+C57*C58+C42*(1-C52-C58)</f>
        <v>20.647898129891665</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3.0480331534493699E-2</v>
      </c>
      <c r="D65" s="151"/>
      <c r="E65" s="251" t="s">
        <v>304</v>
      </c>
    </row>
    <row r="66" spans="2:6">
      <c r="B66" s="100" t="s">
        <v>99</v>
      </c>
      <c r="C66" s="160">
        <f>IF(valuation_method="DCF",DCF!C18,DDM!C13)</f>
        <v>20.650558298809361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-17.183480573933387</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6.7728560022605819</v>
      </c>
      <c r="D82" s="116"/>
    </row>
    <row r="83" spans="2:8" ht="13.15">
      <c r="B83" s="110" t="s">
        <v>98</v>
      </c>
      <c r="C83" s="111">
        <f>C81+C82</f>
        <v>8.355749929850889</v>
      </c>
      <c r="D83" t="str">
        <f>Market_currency</f>
        <v>CNY</v>
      </c>
      <c r="E83" s="146" t="s">
        <v>122</v>
      </c>
      <c r="F83" s="291">
        <f>(1-C83/C60)</f>
        <v>0.59532200918047007</v>
      </c>
    </row>
    <row r="84" spans="2:8">
      <c r="E84" s="120"/>
    </row>
    <row r="85" spans="2:8" ht="13.15">
      <c r="B85" s="109" t="s">
        <v>297</v>
      </c>
    </row>
    <row r="86" spans="2:8">
      <c r="B86" s="148" t="s">
        <v>295</v>
      </c>
      <c r="C86" s="116">
        <f>Market_Price</f>
        <v>22.53</v>
      </c>
      <c r="D86" t="str">
        <f>Market_currency</f>
        <v>CNY</v>
      </c>
    </row>
    <row r="87" spans="2:8" ht="13.15">
      <c r="B87" s="100" t="s">
        <v>293</v>
      </c>
      <c r="C87" s="237">
        <f ca="1">IRR(OFFSET($I$3, 0, 0, $C$76 + 1, 1))</f>
        <v>1.9745171873054801E-2</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9.3982240008610205</v>
      </c>
      <c r="D92" s="116"/>
    </row>
    <row r="93" spans="2:8" ht="13.15">
      <c r="B93" s="110" t="s">
        <v>98</v>
      </c>
      <c r="C93" s="111">
        <f>C91+C92</f>
        <v>11.323303654934758</v>
      </c>
      <c r="D93" t="str">
        <f>Market_currency</f>
        <v>CNY</v>
      </c>
      <c r="E93" s="146" t="s">
        <v>122</v>
      </c>
      <c r="F93" s="291">
        <f>(1-C93/C60)</f>
        <v>0.45160017820205267</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16.620743837813862</v>
      </c>
      <c r="D98" s="116"/>
      <c r="G98" s="2"/>
      <c r="H98" s="281"/>
    </row>
    <row r="99" spans="2:8" ht="13.15">
      <c r="B99" s="110" t="s">
        <v>379</v>
      </c>
      <c r="C99" s="111">
        <f>C97+C98</f>
        <v>19.377301122078141</v>
      </c>
      <c r="D99" t="s">
        <v>377</v>
      </c>
      <c r="E99" s="146" t="s">
        <v>122</v>
      </c>
      <c r="F99" s="291">
        <f>(1-C99/C60)</f>
        <v>6.1536384954074319E-2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16.076341260850313</v>
      </c>
      <c r="D104" s="116"/>
    </row>
    <row r="105" spans="2:8" ht="13.15">
      <c r="B105" s="110" t="s">
        <v>379</v>
      </c>
      <c r="C105" s="111">
        <f>C103+C104</f>
        <v>18.773924722806626</v>
      </c>
      <c r="D105" t="s">
        <v>377</v>
      </c>
      <c r="E105" s="146" t="s">
        <v>122</v>
      </c>
      <c r="F105" s="291">
        <f>(1-C105/C66)</f>
        <v>9.0875682334987329E-2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C291F-23DF-47A3-B422-DA32891059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440</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