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AF1F21-CDC9-4D7E-9587-FB0D739F7AA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<sst xmlns="http://schemas.openxmlformats.org/spreadsheetml/2006/main" count="686" uniqueCount="466">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</sst>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23.16</v>
      </c>
      <c r="D12" s="50"/>
      <c r="E12" s="48"/>
    </row>
    <row r="13" spans="1:10">
      <c r="B13" s="1" t="s">
        <v>413</v>
      </c>
      <c r="C13" s="48" t="s">
        <v>411</v>
      </c>
      <c r="D13" s="48"/>
      <c r="E13" s="5"/>
    </row>
    <row r="14" spans="1:10">
      <c r="B14" s="4" t="s">
        <v>417</v>
      </c>
      <c r="C14" s="35">
        <f>Thesis!C12*Common_Shares/1000000</f>
        <v>481133.04894372006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9.4653369060194503E-2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0.23840096342779957</v>
      </c>
      <c r="F69" s="314"/>
    </row>
    <row r="70" spans="1:6">
      <c r="B70" s="227" t="s">
        <v>458</v>
      </c>
      <c r="C70" s="92">
        <f>Normalized_FCF!C94</f>
        <v>4.5768566493955096E-2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4.5768566493955096E-2</v>
      </c>
      <c r="E94" s="268"/>
      <c r="G94" s="23">
        <f t="shared" ref="G94:Q94" si="39">IF(G$4="","",(G90*(1-dividend_tax_rate))/Market_Price)</f>
        <v>4.5768566493955096E-2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0.23840096342779957</v>
      </c>
      <c r="D126" s="27"/>
      <c r="E126" s="265"/>
      <c r="F126" s="27"/>
      <c r="G126" s="77">
        <f t="shared" ref="G126" si="50">IF(G$4="","",G125/Market_Price)</f>
        <v>0.28572346111289582</v>
      </c>
      <c r="H126" s="77">
        <f t="shared" ref="H126" si="51">IF(H$4="","",H125/Market_Price)</f>
        <v>0.28704118393695022</v>
      </c>
      <c r="I126" s="77">
        <f t="shared" ref="I126" si="52">IF(I$4="","",I125/Market_Price)</f>
        <v>0.29085094093457109</v>
      </c>
      <c r="J126" s="77">
        <f t="shared" ref="J126" si="53">IF(J$4="","",J125/Market_Price)</f>
        <v>0.31088905725429977</v>
      </c>
      <c r="K126" s="77">
        <f t="shared" ref="K126" si="54">IF(K$4="","",K125/Market_Price)</f>
        <v>0.29505975594830935</v>
      </c>
      <c r="L126" s="77">
        <f t="shared" ref="L126" si="55">IF(L$4="","",L125/Market_Price)</f>
        <v>0.2571575581258248</v>
      </c>
      <c r="M126" s="77">
        <f t="shared" ref="M126" si="56">IF(M$4="","",M125/Market_Price)</f>
        <v>0.22210280552251138</v>
      </c>
      <c r="N126" s="77">
        <f t="shared" ref="N126" si="57">IF(N$4="","",N125/Market_Price)</f>
        <v>0.19280945302689301</v>
      </c>
      <c r="O126" s="77">
        <f t="shared" ref="O126" si="58">IF(O$4="","",O125/Market_Price)</f>
        <v>0.21736814843545177</v>
      </c>
      <c r="P126" s="77">
        <f t="shared" ref="P126" si="59">IF(P$4="","",P125/Market_Price)</f>
        <v>0.19751916898794533</v>
      </c>
      <c r="Q126" s="77" t="str">
        <f t="shared" ref="Q126" si="60">IF(Q$4="","",Q125/Market_Price)</f>
        <v/>
      </c>
    </row>
    <row r="127" spans="1:17" ht="15.75" customHeight="1">
      <c r="B127" s="2" t="s">
        <v>391</v>
      </c>
      <c r="C127" s="169"/>
      <c r="G127" s="23">
        <f>IF(G$4="","",(Data!C47*$C$3)/(Market_Price*Common_Shares))</f>
        <v>0.16105939961955185</v>
      </c>
      <c r="H127" s="23">
        <f>IF(H$4="","",(Data!D47*$C$3)/(Market_Price*Common_Shares))</f>
        <v>0.16139818324781818</v>
      </c>
      <c r="I127" s="23">
        <f>IF(I$4="","",(Data!E47*$C$3)/(Market_Price*Common_Shares))</f>
        <v>0.1920757682368438</v>
      </c>
      <c r="J127" s="23">
        <f>IF(J$4="","",(Data!F47*$C$3)/(Market_Price*Common_Shares))</f>
        <v>0.1742054514525862</v>
      </c>
      <c r="K127" s="23">
        <f>IF(K$4="","",(Data!G47*$C$3)/(Market_Price*Common_Shares))</f>
        <v>0.14067002910855311</v>
      </c>
      <c r="L127" s="23">
        <f>IF(L$4="","",(Data!H47*$C$3)/(Market_Price*Common_Shares))</f>
        <v>0.13863524891178777</v>
      </c>
      <c r="M127" s="23">
        <f>IF(M$4="","",(Data!I47*$C$3)/(Market_Price*Common_Shares))</f>
        <v>0.12729327185995087</v>
      </c>
      <c r="N127" s="23">
        <f>IF(N$4="","",(Data!J47*$C$3)/(Market_Price*Common_Shares))</f>
        <v>0.11999799250280453</v>
      </c>
      <c r="O127" s="23">
        <f>IF(O$4="","",(Data!K47*$C$3)/(Market_Price*Common_Shares))</f>
        <v>0.11291471271672056</v>
      </c>
      <c r="P127" s="23">
        <f>IF(P$4="","",(Data!L47*$C$3)/(Market_Price*Common_Shares))</f>
        <v>0.10527233602263877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-23.16</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23.16</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23.16</v>
      </c>
      <c r="D86" t="str">
        <f>Market_currency</f>
        <v>CNY</v>
      </c>
    </row>
    <row r="87" spans="2:8" ht="13.15">
      <c r="B87" s="100" t="s">
        <v>297</v>
      </c>
      <c r="C87" s="237">
        <f ca="1">IRR(OFFSET($I$3, 0, 0, $C$76 + 1, 1))</f>
        <v>9.4653369060194503E-2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