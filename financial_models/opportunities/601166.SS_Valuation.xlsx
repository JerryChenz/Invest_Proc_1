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BB2205D-6244-4908-ABEE-911A767CDACE}"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Q92" i="2"/>
  <c r="Q94" i="2"/>
  <c r="J94" i="2"/>
  <c r="K94" i="2"/>
  <c r="O94" i="2"/>
  <c r="N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8" i="2" l="1"/>
  <c r="O121" i="2"/>
  <c r="O117" i="2" s="1"/>
  <c r="P118" i="2"/>
  <c r="P121" i="2"/>
  <c r="P117" i="2" s="1"/>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N98" i="2"/>
  <c r="N121" i="2"/>
  <c r="N117" i="2" s="1"/>
  <c r="N118" i="2"/>
  <c r="J121" i="2"/>
  <c r="J117" i="2" s="1"/>
  <c r="J118" i="2"/>
  <c r="K16" i="2"/>
  <c r="K19" i="2" s="1"/>
  <c r="K92" i="2" s="1"/>
  <c r="K118" i="2"/>
  <c r="K121" i="2"/>
  <c r="K117" i="2" s="1"/>
  <c r="L121" i="2"/>
  <c r="L117" i="2" s="1"/>
  <c r="L118" i="2"/>
  <c r="M118" i="2"/>
  <c r="M121" i="2"/>
  <c r="M117" i="2" s="1"/>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15" i="2" l="1"/>
  <c r="K125" i="2"/>
  <c r="K126" i="2" s="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<sst xmlns="http://schemas.openxmlformats.org/spreadsheetml/2006/main" count="687" uniqueCount="467">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</sst>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2A296993-17E8-4481-A7B5-82C5E009835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25.14</v>
          </cell>
        </row>
        <row r="13">
          <cell r="C13" t="str">
            <v>CNY</v>
          </cell>
        </row>
        <row r="16">
          <cell r="C16">
            <v>1</v>
          </cell>
        </row>
        <row r="21">
          <cell r="E21" t="str">
            <v>DDM</v>
          </cell>
        </row>
        <row r="25">
          <cell r="C25" t="str">
            <v>CNY</v>
          </cell>
        </row>
        <row r="86">
          <cell r="C86">
            <v>0.06</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461</v>
      </c>
      <c r="E1" s="292" t="s">
        <v>350</v>
      </c>
      <c r="F1" s="254" t="s">
        <v>462</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463</v>
      </c>
      <c r="E11" s="34"/>
    </row>
    <row r="12" spans="1:10">
      <c r="B12" s="4" t="s">
        <v>94</v>
      </c>
      <c r="C12" s="50">
        <v>25.14</v>
      </c>
      <c r="D12" s="50"/>
      <c r="E12" s="48"/>
    </row>
    <row r="13" spans="1:10">
      <c r="B13" s="1" t="s">
        <v>413</v>
      </c>
      <c r="C13" s="48" t="s">
        <v>411</v>
      </c>
      <c r="D13" s="48"/>
      <c r="E13" s="5"/>
    </row>
    <row r="14" spans="1:10">
      <c r="B14" s="4" t="s">
        <v>417</v>
      </c>
      <c r="C14" s="35">
        <f>Thesis!C12*Common_Shares/1000000</f>
        <v>522266.18525238003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464</v>
      </c>
    </row>
    <row r="24" spans="2:6">
      <c r="B24" s="1" t="s">
        <v>432</v>
      </c>
      <c r="C24" s="262" t="s">
        <v>464</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6.392228128073163E-2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12.726109311153213</v>
      </c>
      <c r="D29" s="310" t="str">
        <f>D149</f>
        <v/>
      </c>
      <c r="E29" s="306" t="s">
        <v>421</v>
      </c>
      <c r="F29" s="302">
        <v>0.35</v>
      </c>
    </row>
    <row r="30" spans="2:6">
      <c r="B30" s="1" t="s">
        <v>423</v>
      </c>
      <c r="C30" s="311">
        <f>C157</f>
        <v>15.835853412571439</v>
      </c>
      <c r="D30" s="311" t="str">
        <f>D157</f>
        <v/>
      </c>
      <c r="E30" s="307" t="s">
        <v>434</v>
      </c>
      <c r="F30" s="312">
        <v>0.25</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6033.25</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61" t="s">
        <v>240</v>
      </c>
      <c r="C58" s="361"/>
      <c r="D58" s="361"/>
      <c r="E58" s="361"/>
      <c r="F58" s="361"/>
    </row>
    <row r="59" spans="2:6">
      <c r="B59" s="47" t="s">
        <v>238</v>
      </c>
      <c r="C59" s="349">
        <f>Normalized_FCF!C14</f>
        <v>-38535.0625</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0.21962475389768649</v>
      </c>
      <c r="F69" s="314"/>
    </row>
    <row r="70" spans="1:6">
      <c r="B70" s="227" t="s">
        <v>458</v>
      </c>
      <c r="C70" s="92">
        <f>Normalized_FCF!C94</f>
        <v>4.2163882259347654E-2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60" t="s">
        <v>363</v>
      </c>
      <c r="C116" s="360"/>
      <c r="D116" s="360"/>
      <c r="E116" s="360"/>
      <c r="F116" s="360"/>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0.35</v>
      </c>
    </row>
    <row r="147" spans="2:4">
      <c r="B147" s="212" t="str">
        <f>"PV("&amp;C141&amp;" yrs of Dividends)"</f>
        <v>PV(3 yrs of Dividends)</v>
      </c>
      <c r="C147" s="216">
        <f>Scenarios!C81</f>
        <v>1.7976324747243817</v>
      </c>
    </row>
    <row r="148" spans="2:4">
      <c r="B148" s="212" t="str">
        <f>"+ PV(Equity Value realized at year "&amp;C141&amp;")"</f>
        <v>+ PV(Equity Value realized at year 3)</v>
      </c>
      <c r="C148" s="216">
        <f>Scenarios!C82</f>
        <v>10.928476836428832</v>
      </c>
    </row>
    <row r="149" spans="2:4">
      <c r="B149" s="80" t="s">
        <v>259</v>
      </c>
      <c r="C149" s="215">
        <f>Scenarios!C83</f>
        <v>12.726109311153213</v>
      </c>
      <c r="D149" s="300" t="str">
        <f>IF($D$11="","",C149*$E$25)</f>
        <v/>
      </c>
    </row>
    <row r="150" spans="2:4">
      <c r="B150" s="259" t="s">
        <v>413</v>
      </c>
      <c r="C150" s="298" t="str">
        <f>Market_currency</f>
        <v>CNY</v>
      </c>
      <c r="D150" s="298" t="str">
        <f>IF($D$11="","",D$13)</f>
        <v/>
      </c>
    </row>
    <row r="151" spans="2:4">
      <c r="B151" s="214" t="s">
        <v>261</v>
      </c>
      <c r="C151" s="92">
        <f>Scenarios!F83</f>
        <v>0.52670195811590226</v>
      </c>
    </row>
    <row r="153" spans="2:4">
      <c r="B153" s="210" t="s">
        <v>408</v>
      </c>
    </row>
    <row r="154" spans="2:4">
      <c r="B154" s="1" t="s">
        <v>407</v>
      </c>
      <c r="C154" s="297">
        <f>Scenarios!C90</f>
        <v>0.25</v>
      </c>
    </row>
    <row r="155" spans="2:4">
      <c r="B155" s="212" t="str">
        <f>"PV("&amp;C141&amp;" yrs of Dividends)"</f>
        <v>PV(3 yrs of Dividends)</v>
      </c>
      <c r="C155" s="216">
        <f>Scenarios!C91</f>
        <v>2.0691199999999998</v>
      </c>
    </row>
    <row r="156" spans="2:4">
      <c r="B156" s="212" t="str">
        <f>"+ PV(Equity Value realized at year "&amp;C141&amp;")"</f>
        <v>+ PV(Equity Value realized at year 3)</v>
      </c>
      <c r="C156" s="216">
        <f>Scenarios!C92</f>
        <v>13.766733412571439</v>
      </c>
    </row>
    <row r="157" spans="2:4">
      <c r="B157" s="80" t="s">
        <v>259</v>
      </c>
      <c r="C157" s="215">
        <f>Scenarios!C93</f>
        <v>15.835853412571439</v>
      </c>
      <c r="D157" s="300" t="str">
        <f>IF($D$11="","",C157*$E$25)</f>
        <v/>
      </c>
    </row>
    <row r="158" spans="2:4">
      <c r="B158" s="259" t="s">
        <v>413</v>
      </c>
      <c r="C158" s="298" t="str">
        <f>Market_currency</f>
        <v>CNY</v>
      </c>
      <c r="D158" s="298" t="str">
        <f>IF($D$11="","",D$13)</f>
        <v/>
      </c>
    </row>
    <row r="159" spans="2:4">
      <c r="B159" s="214" t="s">
        <v>261</v>
      </c>
      <c r="C159" s="92">
        <f>Scenarios!F93</f>
        <v>0.41104714500880857</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465</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4.2163882259347654E-2</v>
      </c>
      <c r="E94" s="268"/>
      <c r="G94" s="23">
        <f t="shared" ref="G94:Q94" si="39">IF(G$4="","",(G90*(1-dividend_tax_rate))/Market_Price)</f>
        <v>4.2163882259347654E-2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0.21962475389768649</v>
      </c>
      <c r="D126" s="27"/>
      <c r="E126" s="265"/>
      <c r="F126" s="27"/>
      <c r="G126" s="77">
        <f t="shared" ref="G126" si="50">IF(G$4="","",G125/Market_Price)</f>
        <v>0.26322018135937419</v>
      </c>
      <c r="H126" s="77">
        <f t="shared" ref="H126" si="51">IF(H$4="","",H125/Market_Price)</f>
        <v>0.26443412171757225</v>
      </c>
      <c r="I126" s="77">
        <f t="shared" ref="I126" si="52">IF(I$4="","",I125/Market_Price)</f>
        <v>0.26794382625475999</v>
      </c>
      <c r="J126" s="77">
        <f t="shared" ref="J126" si="53">IF(J$4="","",J125/Market_Price)</f>
        <v>0.28640376157556019</v>
      </c>
      <c r="K126" s="77">
        <f t="shared" ref="K126" si="54">IF(K$4="","",K125/Market_Price)</f>
        <v>0.27182115941777424</v>
      </c>
      <c r="L126" s="77">
        <f t="shared" ref="L126" si="55">IF(L$4="","",L125/Market_Price)</f>
        <v>0.23690409889395794</v>
      </c>
      <c r="M126" s="77">
        <f t="shared" ref="M126" si="56">IF(M$4="","",M125/Market_Price)</f>
        <v>0.20461022179400809</v>
      </c>
      <c r="N126" s="77">
        <f t="shared" ref="N126" si="57">IF(N$4="","",N125/Market_Price)</f>
        <v>0.17762398297942888</v>
      </c>
      <c r="O126" s="77">
        <f t="shared" ref="O126" si="58">IF(O$4="","",O125/Market_Price)</f>
        <v>0.20024846132717036</v>
      </c>
      <c r="P126" s="77">
        <f t="shared" ref="P126" si="59">IF(P$4="","",P125/Market_Price)</f>
        <v>0.1819627666571525</v>
      </c>
      <c r="Q126" s="77" t="str">
        <f t="shared" ref="Q126" si="60">IF(Q$4="","",Q125/Market_Price)</f>
        <v/>
      </c>
    </row>
    <row r="127" spans="1:17" ht="15.75" customHeight="1">
      <c r="B127" s="2" t="s">
        <v>391</v>
      </c>
      <c r="C127" s="169"/>
      <c r="G127" s="23">
        <f>IF(G$4="","",(Data!C47*$C$3)/(Market_Price*Common_Shares))</f>
        <v>0.14837453043710505</v>
      </c>
      <c r="H127" s="23">
        <f>IF(H$4="","",(Data!D47*$C$3)/(Market_Price*Common_Shares))</f>
        <v>0.14868663182257236</v>
      </c>
      <c r="I127" s="23">
        <f>IF(I$4="","",(Data!E47*$C$3)/(Market_Price*Common_Shares))</f>
        <v>0.1769480824329874</v>
      </c>
      <c r="J127" s="23">
        <f>IF(J$4="","",(Data!F47*$C$3)/(Market_Price*Common_Shares))</f>
        <v>0.16048521303269278</v>
      </c>
      <c r="K127" s="23">
        <f>IF(K$4="","",(Data!G47*$C$3)/(Market_Price*Common_Shares))</f>
        <v>0.12959100533628043</v>
      </c>
      <c r="L127" s="23">
        <f>IF(L$4="","",(Data!H47*$C$3)/(Market_Price*Common_Shares))</f>
        <v>0.12771648229105032</v>
      </c>
      <c r="M127" s="23">
        <f>IF(M$4="","",(Data!I47*$C$3)/(Market_Price*Common_Shares))</f>
        <v>0.11726778744138672</v>
      </c>
      <c r="N127" s="23">
        <f>IF(N$4="","",(Data!J47*$C$3)/(Market_Price*Common_Shares))</f>
        <v>0.11054707662549534</v>
      </c>
      <c r="O127" s="23">
        <f>IF(O$4="","",(Data!K47*$C$3)/(Market_Price*Common_Shares))</f>
        <v>0.10402166851707431</v>
      </c>
      <c r="P127" s="23">
        <f>IF(P$4="","",(Data!L47*$C$3)/(Market_Price*Common_Shares))</f>
        <v>9.6981197386010895E-2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-25.14</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25.14</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0.35</v>
      </c>
    </row>
    <row r="81" spans="2:8">
      <c r="B81" s="100" t="s">
        <v>120</v>
      </c>
      <c r="C81" s="116">
        <f>PV(C80, C76, -C77, 0)</f>
        <v>1.7976324747243817</v>
      </c>
      <c r="D81" s="116"/>
      <c r="E81" s="100"/>
      <c r="F81" s="100"/>
    </row>
    <row r="82" spans="2:8">
      <c r="B82" s="100" t="s">
        <v>121</v>
      </c>
      <c r="C82" s="116">
        <f>C60/(1+C80)^C76</f>
        <v>10.928476836428832</v>
      </c>
      <c r="D82" s="116"/>
    </row>
    <row r="83" spans="2:8" ht="13.15">
      <c r="B83" s="110" t="s">
        <v>101</v>
      </c>
      <c r="C83" s="111">
        <f>C81+C82</f>
        <v>12.726109311153213</v>
      </c>
      <c r="D83" t="str">
        <f>Market_currency</f>
        <v>CNY</v>
      </c>
      <c r="E83" s="146" t="s">
        <v>125</v>
      </c>
      <c r="F83" s="291">
        <f>(1-C83/C60)</f>
        <v>0.52670195811590226</v>
      </c>
    </row>
    <row r="84" spans="2:8">
      <c r="E84" s="120"/>
    </row>
    <row r="85" spans="2:8" ht="13.15">
      <c r="B85" s="109" t="s">
        <v>301</v>
      </c>
    </row>
    <row r="86" spans="2:8">
      <c r="B86" s="148" t="s">
        <v>299</v>
      </c>
      <c r="C86" s="116">
        <f>Market_Price</f>
        <v>25.14</v>
      </c>
      <c r="D86" t="str">
        <f>Market_currency</f>
        <v>CNY</v>
      </c>
    </row>
    <row r="87" spans="2:8" ht="13.15">
      <c r="B87" s="100" t="s">
        <v>297</v>
      </c>
      <c r="C87" s="237">
        <f ca="1">IRR(OFFSET($I$3, 0, 0, $C$76 + 1, 1))</f>
        <v>6.392228128073163E-2</v>
      </c>
    </row>
    <row r="88" spans="2:8">
      <c r="B88" s="100"/>
    </row>
    <row r="89" spans="2:8" ht="13.15">
      <c r="B89" s="109" t="s">
        <v>409</v>
      </c>
    </row>
    <row r="90" spans="2:8">
      <c r="B90" s="148" t="s">
        <v>410</v>
      </c>
      <c r="C90" s="167">
        <f>Thesis!F30</f>
        <v>0.25</v>
      </c>
    </row>
    <row r="91" spans="2:8">
      <c r="B91" s="100" t="s">
        <v>120</v>
      </c>
      <c r="C91" s="116">
        <f>PV(C90, C76, -C77, 0)</f>
        <v>2.0691199999999998</v>
      </c>
      <c r="D91" s="116"/>
      <c r="E91" s="100"/>
      <c r="F91" s="100"/>
    </row>
    <row r="92" spans="2:8">
      <c r="B92" s="100" t="s">
        <v>121</v>
      </c>
      <c r="C92" s="116">
        <f>C60/(1+C90)^C76</f>
        <v>13.766733412571439</v>
      </c>
      <c r="D92" s="116"/>
    </row>
    <row r="93" spans="2:8" ht="13.15">
      <c r="B93" s="110" t="s">
        <v>101</v>
      </c>
      <c r="C93" s="111">
        <f>C91+C92</f>
        <v>15.835853412571439</v>
      </c>
      <c r="D93" t="str">
        <f>Market_currency</f>
        <v>CNY</v>
      </c>
      <c r="E93" s="146" t="s">
        <v>125</v>
      </c>
      <c r="F93" s="291">
        <f>(1-C93/C60)</f>
        <v>0.41104714500880857</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599D9-BD65-4240-BB2F-590DEC389933}">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460</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