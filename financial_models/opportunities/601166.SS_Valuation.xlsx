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319D063-5649-4CBB-AABC-DBBCCCDE7DFC}"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H120" i="2" l="1"/>
  <c r="I120" i="2"/>
  <c r="J120" i="2"/>
  <c r="K120" i="2"/>
  <c r="L120" i="2"/>
  <c r="M120" i="2"/>
  <c r="N120" i="2"/>
  <c r="O120" i="2"/>
  <c r="P120" i="2"/>
  <c r="Q120" i="2"/>
  <c r="G120" i="2"/>
  <c r="C120" i="2"/>
  <c r="E85" i="2"/>
  <c r="E86" i="2"/>
  <c r="C90" i="2"/>
  <c r="C83" i="2"/>
  <c r="C78" i="2"/>
  <c r="C66" i="2"/>
  <c r="C67" i="2"/>
  <c r="C68" i="2"/>
  <c r="C53" i="2"/>
  <c r="C54" i="2"/>
  <c r="C33" i="2"/>
  <c r="C34" i="2"/>
  <c r="C28" i="2"/>
  <c r="C29" i="2"/>
  <c r="C4" i="2"/>
  <c r="C27" i="3"/>
  <c r="C30" i="3"/>
  <c r="G15" i="3"/>
  <c r="G17" i="3"/>
  <c r="C19" i="3"/>
  <c r="C23" i="3"/>
  <c r="G4" i="3"/>
  <c r="G7" i="3"/>
  <c r="C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D76" i="3" s="1"/>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16" i="2"/>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16" i="2"/>
  <c r="G76" i="2"/>
  <c r="D54" i="3"/>
  <c r="D50" i="3"/>
  <c r="G13" i="2"/>
  <c r="G97" i="2" s="1"/>
  <c r="C30" i="6" l="1"/>
  <c r="D152" i="6"/>
  <c r="D30" i="6" s="1"/>
  <c r="H87" i="2"/>
  <c r="G16" i="2"/>
  <c r="G19" i="2" s="1"/>
  <c r="G81" i="2"/>
  <c r="G117" i="2" s="1"/>
  <c r="G114" i="2" l="1"/>
  <c r="G92" i="2"/>
  <c r="G124" i="2"/>
  <c r="G125" i="2" s="1"/>
  <c r="G84" i="2"/>
  <c r="N116" i="2"/>
  <c r="J76" i="2"/>
  <c r="I76" i="2"/>
  <c r="N76" i="2"/>
  <c r="L76" i="2"/>
  <c r="L116" i="2"/>
  <c r="M116" i="2"/>
  <c r="I116" i="2"/>
  <c r="J116" i="2"/>
  <c r="K116" i="2"/>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<sst xmlns="http://schemas.openxmlformats.org/spreadsheetml/2006/main" count="682" uniqueCount="463">
  <si>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</si>
  <si>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</si>
  <si>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</si>
  <si>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</si>
  <si>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</si>
  <si>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</si>
  <si>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</si>
  <si>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</si>
  <si>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</si>
  <si>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</si>
  <si>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</si>
  <si>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</si>
  <si>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</si>
  <si>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</si>
  <si>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</si>
  <si>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</si>
  <si>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</si>
  <si>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</si>
  <si>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</si>
  <si>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</si>
  <si>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</si>
  <si>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</si>
  <si>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</si>
  <si>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</si>
  <si>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</si>
  <si>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</si>
  <si>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</si>
  <si>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</si>
  <si>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</si>
  <si>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</si>
  <si>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</si>
  <si>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</si>
  <si>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</si>
  <si>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</si>
  <si>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</si>
  <si>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</si>
  <si>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</si>
  <si>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</si>
  <si>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</si>
  <si>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</si>
  <si>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</si>
  <si>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</si>
  <si>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</si>
  <si>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</si>
  <si>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</si>
  <si>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</si>
  <si>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</si>
  <si>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</si>
  <si>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</si>
  <si>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</si>
  <si>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</si>
  <si>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</si>
  <si>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</si>
  <si>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</si>
  <si>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</si>
  <si>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</si>
  <si>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</si>
  <si>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</si>
  <si>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</si>
  <si>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</si>
  <si>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</si>
  <si>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</si>
  <si>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</si>
  <si>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</si>
  <si>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</si>
  <si>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</si>
  <si>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</si>
  <si>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</si>
  <si>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</si>
  <si>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</si>
  <si>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</si>
  <si>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</si>
  <si>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</si>
  <si>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</si>
  <si>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</si>
  <si>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</si>
  <si>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</si>
  <si>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</si>
  <si>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</si>
  <si>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</si>
  <si>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</si>
  <si>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</si>
  <si>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</si>
  <si>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</si>
  <si>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</si>
  <si>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</si>
  <si>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</si>
  <si>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</si>
  <si>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</si>
  <si>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</si>
  <si>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</si>
  <si>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</si>
  <si>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</si>
  <si>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</si>
  <si>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</si>
  <si>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</si>
  <si>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</si>
  <si>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</si>
  <si>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</si>
  <si>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</si>
  <si>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</si>
  <si>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</si>
  <si>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</si>
  <si>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</si>
  <si>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</si>
  <si>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</si>
  <si>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</si>
  <si>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</si>
  <si>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</si>
  <si>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</si>
  <si>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</si>
  <si>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</si>
  <si>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</si>
  <si>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</si>
  <si>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</si>
  <si>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</si>
  <si>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</si>
  <si>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</si>
  <si>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</si>
  <si>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</si>
  <si>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</si>
  <si>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</si>
  <si>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</si>
  <si>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</si>
  <si>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</si>
  <si>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</si>
  <si>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</si>
  <si>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</si>
  <si>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</si>
  <si>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</si>
  <si>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</si>
  <si>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</si>
  <si>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</si>
  <si>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</si>
  <si>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</si>
  <si>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</si>
  <si>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</si>
  <si>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</si>
  <si>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</si>
  <si>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</si>
  <si>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</si>
  <si>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</si>
  <si>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</si>
  <si>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</si>
  <si>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</si>
  <si>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</si>
  <si>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</si>
  <si>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</si>
  <si>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</si>
  <si>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</si>
  <si>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</si>
  <si>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</si>
  <si>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</si>
  <si>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</si>
  <si>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</si>
  <si>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</si>
  <si>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</si>
  <si>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</si>
  <si>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</si>
  <si>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</si>
  <si>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</si>
  <si>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</si>
  <si>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</si>
  <si>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</si>
  <si>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</si>
  <si>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</si>
  <si>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</si>
  <si>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</si>
  <si>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</si>
  <si>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</si>
  <si>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</si>
  <si>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</si>
  <si>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</si>
  <si>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</si>
  <si>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</si>
  <si>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</si>
  <si>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</si>
  <si>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</si>
  <si>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</si>
  <si>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</si>
  <si>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</si>
  <si>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</si>
  <si>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</si>
  <si>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</si>
  <si>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</si>
  <si>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</si>
  <si>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</si>
  <si>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</si>
  <si>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</si>
  <si>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</si>
  <si>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</si>
  <si>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</si>
  <si>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</si>
  <si>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</si>
  <si>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</si>
  <si>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</si>
  <si>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</si>
  <si>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</si>
  <si>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</si>
  <si>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</si>
  <si>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</si>
  <si>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</si>
  <si>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</si>
  <si>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</si>
  <si>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</si>
  <si>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</si>
  <si>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</si>
  <si>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</si>
  <si>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</si>
  <si>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</si>
  <si>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</si>
  <si>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</si>
  <si>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</si>
  <si>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</si>
  <si>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</si>
  <si>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</si>
  <si>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</si>
  <si>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</si>
  <si>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</si>
  <si>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</si>
  <si>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</si>
  <si>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</si>
  <si>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</si>
  <si>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</si>
  <si>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</si>
  <si>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</si>
  <si>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</si>
  <si>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</si>
  <si>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</si>
  <si>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</si>
  <si>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</si>
  <si>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</si>
  <si>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</si>
  <si>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</si>
  <si>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</si>
  <si>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</si>
  <si>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</si>
  <si>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</si>
  <si>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</si>
  <si>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</si>
  <si>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</si>
  <si>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</si>
  <si>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</si>
  <si>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</si>
  <si>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</si>
  <si>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</si>
  <si>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</si>
  <si>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</si>
  <si>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</si>
  <si>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</si>
  <si>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</si>
  <si>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</si>
  <si>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</si>
  <si>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</si>
  <si>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</si>
  <si>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</si>
  <si>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</si>
  <si>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</si>
  <si>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</si>
  <si>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</si>
  <si>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</si>
  <si>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</si>
  <si>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</si>
  <si>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</si>
  <si>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</si>
  <si>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</si>
  <si>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</si>
  <si>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</si>
  <si>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</si>
  <si>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</si>
  <si>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</si>
  <si>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</si>
  <si>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</si>
  <si>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</si>
  <si>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</si>
  <si>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</si>
  <si>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</si>
  <si>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</si>
  <si>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</si>
  <si>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</si>
  <si>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</si>
  <si>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</si>
  <si>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</si>
  <si>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</si>
  <si>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</si>
  <si>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</si>
  <si>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</si>
  <si>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</si>
  <si>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</si>
  <si>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</si>
  <si>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</si>
  <si>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</si>
  <si>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</si>
  <si>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</si>
  <si>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</si>
  <si>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</si>
  <si>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</si>
  <si>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</si>
  <si>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</si>
  <si>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</si>
  <si>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</si>
  <si>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</si>
  <si>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</si>
  <si>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</si>
  <si>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</si>
  <si>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</si>
  <si>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</si>
  <si>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</si>
  <si>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</si>
  <si>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</si>
  <si>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</si>
  <si>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</si>
  <si>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</si>
  <si>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</si>
  <si>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</si>
  <si>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</si>
  <si>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</si>
  <si>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</si>
  <si>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</si>
  <si>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</si>
  <si>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</si>
  <si>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</si>
  <si>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</si>
  <si>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</si>
  <si>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</si>
  <si>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</si>
  <si>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</si>
  <si>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</si>
  <si>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</si>
  <si>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</si>
  <si>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</si>
  <si>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</si>
  <si>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</si>
  <si>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</si>
  <si>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</si>
  <si>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</si>
  <si>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</si>
  <si>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</si>
  <si>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</si>
  <si>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</si>
  <si>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</si>
  <si>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</si>
  <si>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</si>
  <si>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</si>
  <si>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</si>
  <si>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</si>
  <si>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</si>
  <si>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</si>
  <si>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</si>
  <si>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</si>
  <si>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</si>
  <si>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</si>
  <si>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</si>
  <si>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</si>
  <si>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</si>
  <si>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</si>
  <si>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</si>
  <si>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</si>
  <si>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</si>
  <si>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</si>
  <si>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</si>
  <si>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</si>
  <si>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</si>
  <si>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</si>
  <si>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</si>
  <si>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</si>
  <si>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</si>
  <si>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</si>
  <si>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</si>
  <si>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</si>
  <si>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</si>
  <si>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</si>
  <si>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</si>
  <si>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</si>
  <si>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</si>
  <si>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</si>
  <si>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</si>
  <si>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</si>
  <si>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</si>
  <si>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</si>
  <si>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</si>
  <si>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</si>
  <si>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</si>
  <si>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</si>
  <si>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</si>
  <si>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</si>
  <si>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</si>
  <si>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</si>
  <si>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</si>
  <si>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</si>
  <si>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</si>
  <si>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</si>
  <si>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</si>
  <si>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</si>
  <si>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</si>
  <si>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</si>
  <si>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</si>
  <si>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</si>
  <si>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</si>
  <si>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</si>
  <si>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</si>
  <si>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</si>
  <si>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</si>
  <si>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</si>
  <si>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</si>
  <si>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</si>
  <si>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</si>
  <si>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</si>
  <si>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</si>
  <si>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</si>
  <si>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</si>
  <si>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</si>
  <si>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</si>
  <si>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</si>
  <si>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</si>
  <si>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</si>
  <si>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</si>
  <si>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</si>
  <si>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</si>
  <si>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</si>
  <si>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</si>
  <si>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</si>
  <si>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</si>
  <si>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</si>
  <si>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</si>
  <si>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</si>
  <si>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</si>
  <si>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</si>
  <si>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</si>
  <si>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</si>
  <si>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</si>
  <si>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</si>
  <si>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</si>
  <si>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</si>
  <si>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</si>
  <si>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</si>
  <si>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</si>
  <si>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</si>
  <si>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</si>
  <si>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</si>
  <si>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</si>
  <si>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</si>
  <si>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</si>
  <si>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</si>
  <si>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</si>
  <si>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</si>
  <si>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</si>
  <si>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</si>
  <si>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</si>
  <si>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</si>
  <si>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</si>
  <si>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</si>
  <si>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</si>
  <si>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</si>
  <si>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</si>
  <si>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</si>
  <si>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CN</t>
  </si>
  <si>
    <t>N</t>
  </si>
  <si>
    <t/>
  </si>
  <si>
    <t>Latest Asset Value</t>
  </si>
  <si>
    <t>Notes</t>
  </si>
  <si>
    <t>Historical Average or D&amp;A</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</si>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</sst>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F2" sqref="F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45794</v>
      </c>
      <c r="D1" s="319" t="s">
        <v>456</v>
      </c>
      <c r="E1" s="294" t="s">
        <v>354</v>
      </c>
      <c r="F1" s="254" t="s">
        <v>462</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442</v>
      </c>
    </row>
    <row r="6" spans="1:10">
      <c r="B6" s="4" t="s">
        <v>0</v>
      </c>
      <c r="C6" s="51">
        <v>20774311267</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443</v>
      </c>
      <c r="D11" s="49" t="s">
        <v>458</v>
      </c>
      <c r="E11" s="34"/>
    </row>
    <row r="12" spans="1:10">
      <c r="B12" s="4" t="s">
        <v>95</v>
      </c>
      <c r="C12" s="50">
        <v>22.52</v>
      </c>
      <c r="D12" s="50"/>
      <c r="E12" s="48"/>
    </row>
    <row r="13" spans="1:10">
      <c r="B13" s="1" t="s">
        <v>418</v>
      </c>
      <c r="C13" s="48" t="s">
        <v>416</v>
      </c>
      <c r="D13" s="48"/>
      <c r="E13" s="5"/>
    </row>
    <row r="14" spans="1:10">
      <c r="B14" s="4" t="s">
        <v>422</v>
      </c>
      <c r="C14" s="35">
        <f>Thesis!C12*Common_Shares/1000000</f>
        <v>467837.48973283998</v>
      </c>
      <c r="D14" s="35" t="str">
        <f>IF(D11="","",Thesis!D12*Common_Shares/1000000)</f>
        <v/>
      </c>
      <c r="E14" s="5"/>
    </row>
    <row r="15" spans="1:10">
      <c r="B15" s="4" t="s">
        <v>421</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11" t="s">
        <v>445</v>
      </c>
    </row>
    <row r="22" spans="2:6">
      <c r="B22" s="2" t="s">
        <v>56</v>
      </c>
      <c r="C22" s="48" t="s">
        <v>444</v>
      </c>
      <c r="D22" s="1" t="str">
        <f>IF(valuation_method="DDM","DDM Terminal Value","")</f>
        <v>DDM Terminal Value</v>
      </c>
      <c r="E22" s="316">
        <v>0.02</v>
      </c>
    </row>
    <row r="23" spans="2:6">
      <c r="B23" s="1" t="s">
        <v>436</v>
      </c>
      <c r="C23" s="264" t="s">
        <v>457</v>
      </c>
    </row>
    <row r="24" spans="2:6">
      <c r="B24" s="1" t="s">
        <v>437</v>
      </c>
      <c r="C24" s="264" t="s">
        <v>457</v>
      </c>
    </row>
    <row r="25" spans="2:6">
      <c r="B25" s="4" t="s">
        <v>348</v>
      </c>
      <c r="C25" s="48" t="s">
        <v>416</v>
      </c>
      <c r="D25" s="32" t="str">
        <f>IF(D11="","",Market_currency&amp;"/"&amp;D13&amp;":")</f>
        <v/>
      </c>
      <c r="E25" s="302" t="str">
        <f>IF(D11="","",1/Exchange_Rate*D16)</f>
        <v/>
      </c>
    </row>
    <row r="26" spans="2:6">
      <c r="B26" s="1" t="str">
        <f>"Expected Equity Value ("&amp;C13&amp;") :"</f>
        <v>Expected Equity Value (CNY) :</v>
      </c>
      <c r="C26" s="307">
        <f>C127</f>
        <v>26.888151196428591</v>
      </c>
      <c r="D26" s="1" t="s">
        <v>400</v>
      </c>
      <c r="E26" s="304">
        <f ca="1">Scenarios!C87</f>
        <v>0.10536678638212904</v>
      </c>
    </row>
    <row r="27" spans="2:6">
      <c r="D27" s="5"/>
      <c r="E27" s="5"/>
    </row>
    <row r="28" spans="2:6">
      <c r="B28" s="45" t="s">
        <v>435</v>
      </c>
      <c r="C28" s="312" t="str">
        <f>C140&amp;" ("&amp;Market_currency&amp;")"</f>
        <v>601166.SS (CNY)</v>
      </c>
      <c r="D28" s="312" t="str">
        <f>IF(D11="","",D140&amp;" ("&amp;D13&amp;")")</f>
        <v/>
      </c>
      <c r="E28" s="308" t="s">
        <v>431</v>
      </c>
      <c r="F28" s="306">
        <v>3</v>
      </c>
    </row>
    <row r="29" spans="2:6">
      <c r="B29" s="1" t="s">
        <v>427</v>
      </c>
      <c r="C29" s="313">
        <f>C144</f>
        <v>13.079690025486418</v>
      </c>
      <c r="D29" s="313" t="str">
        <f>D144</f>
        <v/>
      </c>
      <c r="E29" s="309" t="s">
        <v>426</v>
      </c>
      <c r="F29" s="305">
        <v>0.33700000000000002</v>
      </c>
    </row>
    <row r="30" spans="2:6">
      <c r="B30" s="1" t="s">
        <v>428</v>
      </c>
      <c r="C30" s="314">
        <f>C152</f>
        <v>18.356272555350223</v>
      </c>
      <c r="D30" s="314" t="str">
        <f>D152</f>
        <v/>
      </c>
      <c r="E30" s="310" t="s">
        <v>439</v>
      </c>
      <c r="F30" s="315">
        <v>0.187</v>
      </c>
    </row>
    <row r="31" spans="2:6">
      <c r="B31" s="1" t="s">
        <v>429</v>
      </c>
      <c r="C31" s="314">
        <f>C160</f>
        <v>25.409202896038835</v>
      </c>
      <c r="D31" s="314" t="str">
        <f>D160</f>
        <v/>
      </c>
      <c r="E31" s="310" t="s">
        <v>438</v>
      </c>
      <c r="F31" s="315">
        <v>0.06</v>
      </c>
    </row>
    <row r="32" spans="2:6">
      <c r="B32" s="1" t="s">
        <v>430</v>
      </c>
      <c r="C32" s="314">
        <f>C168</f>
        <v>23.632551844105855</v>
      </c>
      <c r="D32" s="314" t="str">
        <f>D168</f>
        <v/>
      </c>
      <c r="E32" s="310" t="s">
        <v>440</v>
      </c>
      <c r="F32" s="315">
        <v>8.6999999999999994E-2</v>
      </c>
    </row>
    <row r="33" spans="1:6">
      <c r="D33" s="5"/>
      <c r="E33" s="5"/>
    </row>
    <row r="34" spans="1:6" ht="13.9">
      <c r="A34" s="222"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10" t="s">
        <v>231</v>
      </c>
      <c r="C39" s="108">
        <f>scaling_factor</f>
        <v>1000000</v>
      </c>
    </row>
    <row r="40" spans="1:6" ht="24.5" customHeight="1">
      <c r="B40" s="350" t="s">
        <v>232</v>
      </c>
      <c r="C40" s="350"/>
      <c r="D40" s="350"/>
      <c r="E40" s="350"/>
      <c r="F40" s="350"/>
    </row>
    <row r="41" spans="1:6">
      <c r="B41" s="47" t="s">
        <v>233</v>
      </c>
      <c r="C41" s="341">
        <f>Normalized_FCF!C8</f>
        <v>6033.25</v>
      </c>
      <c r="D41" s="1" t="str">
        <f>Reporting_currency</f>
        <v>CNY</v>
      </c>
    </row>
    <row r="42" spans="1:6">
      <c r="B42" s="47"/>
      <c r="C42" s="76"/>
    </row>
    <row r="43" spans="1:6" ht="24.5" customHeight="1">
      <c r="B43" s="350" t="s">
        <v>234</v>
      </c>
      <c r="C43" s="350"/>
      <c r="D43" s="350"/>
      <c r="E43" s="350"/>
      <c r="F43" s="350"/>
    </row>
    <row r="44" spans="1:6">
      <c r="B44" s="47" t="s">
        <v>235</v>
      </c>
      <c r="C44" s="341">
        <f>Normalized_FCF!C9</f>
        <v>0</v>
      </c>
      <c r="D44" s="1" t="str">
        <f>Reporting_currency</f>
        <v>CNY</v>
      </c>
    </row>
    <row r="45" spans="1:6">
      <c r="B45" s="52" t="s">
        <v>236</v>
      </c>
      <c r="C45" s="341">
        <f>Normalized_FCF!C10</f>
        <v>0</v>
      </c>
      <c r="D45" s="1" t="str">
        <f>Reporting_currency</f>
        <v>CNY</v>
      </c>
    </row>
    <row r="47" spans="1:6">
      <c r="B47" s="350" t="s">
        <v>237</v>
      </c>
      <c r="C47" s="350"/>
      <c r="D47" s="350"/>
      <c r="E47" s="350"/>
      <c r="F47" s="350"/>
    </row>
    <row r="48" spans="1:6">
      <c r="B48" s="47" t="s">
        <v>238</v>
      </c>
      <c r="C48" s="341">
        <f>Normalized_FCF!C11</f>
        <v>0</v>
      </c>
      <c r="D48" s="1" t="str">
        <f>Reporting_currency</f>
        <v>CNY</v>
      </c>
    </row>
    <row r="50" spans="2:6">
      <c r="B50" s="350" t="s">
        <v>241</v>
      </c>
      <c r="C50" s="350"/>
      <c r="D50" s="350"/>
      <c r="E50" s="350"/>
      <c r="F50" s="350"/>
    </row>
    <row r="51" spans="2:6">
      <c r="B51" s="47" t="s">
        <v>341</v>
      </c>
      <c r="C51" s="346">
        <f>Normalized_FCF!C48</f>
        <v>343835</v>
      </c>
      <c r="D51" s="1" t="str">
        <f>Reporting_currency</f>
        <v>CNY</v>
      </c>
      <c r="E51" s="288"/>
      <c r="F51" s="288"/>
    </row>
    <row r="52" spans="2:6">
      <c r="B52" s="47" t="s">
        <v>342</v>
      </c>
      <c r="C52" s="346">
        <f>Normalized_FCF!C47</f>
        <v>-195728</v>
      </c>
      <c r="D52" s="1" t="str">
        <f>Reporting_currency</f>
        <v>CNY</v>
      </c>
      <c r="E52" s="288"/>
      <c r="F52" s="288"/>
    </row>
    <row r="53" spans="2:6">
      <c r="B53" s="47" t="s">
        <v>239</v>
      </c>
      <c r="C53" s="341">
        <f>Normalized_FCF!C12</f>
        <v>148107</v>
      </c>
      <c r="D53" s="1" t="str">
        <f>Reporting_currency</f>
        <v>CNY</v>
      </c>
    </row>
    <row r="55" spans="2:6">
      <c r="B55" s="1" t="s">
        <v>247</v>
      </c>
    </row>
    <row r="56" spans="2:6">
      <c r="B56" s="47" t="s">
        <v>266</v>
      </c>
      <c r="C56" s="341">
        <f>Normalized_FCF!C15</f>
        <v>-902.60509486250271</v>
      </c>
      <c r="D56" s="1" t="str">
        <f>Reporting_currency</f>
        <v>CNY</v>
      </c>
    </row>
    <row r="58" spans="2:6">
      <c r="B58" s="350" t="s">
        <v>242</v>
      </c>
      <c r="C58" s="350"/>
      <c r="D58" s="350"/>
      <c r="E58" s="350"/>
      <c r="F58" s="350"/>
    </row>
    <row r="59" spans="2:6">
      <c r="B59" s="47" t="s">
        <v>240</v>
      </c>
      <c r="C59" s="341">
        <f>Normalized_FCF!C14</f>
        <v>-38535.0625</v>
      </c>
      <c r="D59" s="1" t="str">
        <f>Reporting_currency</f>
        <v>CNY</v>
      </c>
    </row>
    <row r="61" spans="2:6">
      <c r="B61" s="350" t="s">
        <v>339</v>
      </c>
      <c r="C61" s="351"/>
      <c r="D61" s="351"/>
      <c r="E61" s="351"/>
      <c r="F61" s="351"/>
    </row>
    <row r="62" spans="2:6">
      <c r="B62" s="47" t="s">
        <v>243</v>
      </c>
      <c r="C62" s="341">
        <f>Normalized_FCF!C17</f>
        <v>0</v>
      </c>
      <c r="D62" s="1" t="str">
        <f>Reporting_currency</f>
        <v>CNY</v>
      </c>
    </row>
    <row r="64" spans="2:6" ht="24.5" customHeight="1">
      <c r="B64" s="349" t="s">
        <v>344</v>
      </c>
      <c r="C64" s="349"/>
      <c r="D64" s="349"/>
      <c r="E64" s="349"/>
      <c r="F64" s="349"/>
    </row>
    <row r="65" spans="1:6" ht="24.5" customHeight="1">
      <c r="B65" s="349" t="s">
        <v>362</v>
      </c>
      <c r="C65" s="349"/>
      <c r="D65" s="349"/>
      <c r="E65" s="349"/>
      <c r="F65" s="349"/>
    </row>
    <row r="67" spans="1:6">
      <c r="B67" s="47" t="s">
        <v>271</v>
      </c>
      <c r="C67" s="341">
        <f>Normalized_FCF!G19</f>
        <v>137471</v>
      </c>
      <c r="D67" s="1" t="str">
        <f>Reporting_currency</f>
        <v>CNY</v>
      </c>
    </row>
    <row r="68" spans="1:6">
      <c r="B68" s="47" t="s">
        <v>249</v>
      </c>
      <c r="C68" s="341">
        <f>Normalized_FCF!C19</f>
        <v>114702.58240513749</v>
      </c>
      <c r="D68" s="1" t="str">
        <f>Reporting_currency</f>
        <v>CNY</v>
      </c>
    </row>
    <row r="69" spans="1:6">
      <c r="B69" s="227" t="s">
        <v>391</v>
      </c>
      <c r="C69" s="92">
        <f>Normalized_FCF!C125</f>
        <v>0.24517612402255057</v>
      </c>
      <c r="F69" s="317"/>
    </row>
    <row r="70" spans="1:6">
      <c r="B70" s="227" t="s">
        <v>309</v>
      </c>
      <c r="C70" s="92">
        <f>Normalized_FCF!C93</f>
        <v>4.7069271758436948E-2</v>
      </c>
      <c r="E70" s="47" t="s">
        <v>454</v>
      </c>
      <c r="F70" s="318">
        <f>Normalized_FCF!C92</f>
        <v>0.19198146616473824</v>
      </c>
    </row>
    <row r="72" spans="1:6" ht="13.9">
      <c r="A72" s="222" t="s">
        <v>356</v>
      </c>
      <c r="B72" s="36"/>
      <c r="C72" s="36"/>
      <c r="D72" s="36"/>
      <c r="E72" s="36"/>
      <c r="F72" s="36"/>
    </row>
    <row r="73" spans="1:6">
      <c r="A73" s="209"/>
    </row>
    <row r="74" spans="1:6" ht="24.5" customHeight="1">
      <c r="A74" s="17"/>
      <c r="B74" s="349" t="s">
        <v>363</v>
      </c>
      <c r="C74" s="349"/>
      <c r="D74" s="349"/>
      <c r="E74" s="349"/>
      <c r="F74" s="349"/>
    </row>
    <row r="75" spans="1:6">
      <c r="B75" s="352" t="s">
        <v>253</v>
      </c>
      <c r="C75" s="352"/>
      <c r="D75" s="352"/>
      <c r="E75" s="352"/>
      <c r="F75" s="352"/>
    </row>
    <row r="77" spans="1:6">
      <c r="B77" s="210" t="s">
        <v>231</v>
      </c>
    </row>
    <row r="78" spans="1:6">
      <c r="B78" s="1" t="s">
        <v>433</v>
      </c>
      <c r="C78" s="92">
        <f>F31</f>
        <v>0.06</v>
      </c>
    </row>
    <row r="79" spans="1:6">
      <c r="B79" s="1" t="s">
        <v>432</v>
      </c>
      <c r="C79" s="92">
        <f>IF(C23="Y",1%,0)+IF(C24="Y",1%,0)</f>
        <v>0</v>
      </c>
    </row>
    <row r="80" spans="1:6">
      <c r="B80" s="80" t="s">
        <v>248</v>
      </c>
      <c r="C80" s="236">
        <f>F31+C79</f>
        <v>0.06</v>
      </c>
    </row>
    <row r="81" spans="1:6">
      <c r="C81" s="121"/>
    </row>
    <row r="82" spans="1:6">
      <c r="B82" s="295" t="s">
        <v>357</v>
      </c>
      <c r="C82" s="121"/>
    </row>
    <row r="83" spans="1:6" ht="24.5" customHeight="1">
      <c r="B83" s="349" t="s">
        <v>364</v>
      </c>
      <c r="C83" s="349"/>
      <c r="D83" s="349"/>
      <c r="E83" s="349"/>
      <c r="F83" s="349"/>
    </row>
    <row r="84" spans="1:6" ht="24.5" customHeight="1">
      <c r="B84" s="349" t="s">
        <v>365</v>
      </c>
      <c r="C84" s="349"/>
      <c r="D84" s="349"/>
      <c r="E84" s="349"/>
      <c r="F84" s="349"/>
    </row>
    <row r="86" spans="1:6">
      <c r="B86" s="47" t="s">
        <v>252</v>
      </c>
      <c r="C86" s="236">
        <v>0</v>
      </c>
    </row>
    <row r="87" spans="1:6">
      <c r="B87" s="47" t="s">
        <v>281</v>
      </c>
      <c r="C87" s="223">
        <f>DCF!C6*scaling_factor*Exchange_Rate/Common_Shares</f>
        <v>92.022771883130645</v>
      </c>
      <c r="D87" s="1" t="str">
        <f>Market_currency</f>
        <v>CNY</v>
      </c>
    </row>
    <row r="89" spans="1:6" ht="13.9">
      <c r="A89" s="222" t="s">
        <v>358</v>
      </c>
      <c r="B89" s="36"/>
      <c r="C89" s="36"/>
      <c r="D89" s="36"/>
      <c r="E89" s="36"/>
      <c r="F89" s="36"/>
    </row>
    <row r="90" spans="1:6">
      <c r="A90" s="209"/>
    </row>
    <row r="91" spans="1:6">
      <c r="B91" s="349" t="s">
        <v>366</v>
      </c>
      <c r="C91" s="349"/>
      <c r="D91" s="349"/>
      <c r="E91" s="349"/>
      <c r="F91" s="349"/>
    </row>
    <row r="92" spans="1:6">
      <c r="B92" s="1" t="s">
        <v>254</v>
      </c>
    </row>
    <row r="94" spans="1:6">
      <c r="B94" s="210" t="s">
        <v>231</v>
      </c>
    </row>
    <row r="95" spans="1:6" ht="24.5" customHeight="1">
      <c r="B95" s="349" t="s">
        <v>345</v>
      </c>
      <c r="C95" s="349"/>
      <c r="D95" s="349"/>
      <c r="E95" s="349"/>
      <c r="F95" s="349"/>
    </row>
    <row r="96" spans="1:6">
      <c r="B96" s="47" t="s">
        <v>256</v>
      </c>
      <c r="C96" s="341">
        <f>DCF!C7</f>
        <v>9516669</v>
      </c>
      <c r="D96" s="1" t="str">
        <f>Reporting_currency</f>
        <v>CNY</v>
      </c>
    </row>
    <row r="97" spans="2:6">
      <c r="B97" s="47" t="s">
        <v>282</v>
      </c>
      <c r="C97" s="223">
        <f>C96*scaling_factor*Exchange_Rate/Common_Shares</f>
        <v>458.09793054931413</v>
      </c>
      <c r="D97" s="1" t="str">
        <f>Market_currency</f>
        <v>CNY</v>
      </c>
    </row>
    <row r="98" spans="2:6">
      <c r="B98" s="298" t="s">
        <v>405</v>
      </c>
      <c r="C98" s="299">
        <f>BS!G30/BS!G27</f>
        <v>10.758917470801054</v>
      </c>
    </row>
    <row r="99" spans="2:6">
      <c r="B99" s="298" t="s">
        <v>406</v>
      </c>
      <c r="C99" s="299">
        <f>BS!G31/BS!G27</f>
        <v>10.649677544255834</v>
      </c>
    </row>
    <row r="100" spans="2:6">
      <c r="B100" s="298" t="s">
        <v>408</v>
      </c>
      <c r="C100" s="300">
        <f>BS!C50</f>
        <v>1577.3702399204408</v>
      </c>
    </row>
    <row r="102" spans="2:6">
      <c r="B102" s="1" t="s">
        <v>255</v>
      </c>
    </row>
    <row r="103" spans="2:6">
      <c r="B103" s="47" t="s">
        <v>265</v>
      </c>
      <c r="C103" s="341">
        <f>BS!C66</f>
        <v>6736706</v>
      </c>
      <c r="D103" s="1" t="str">
        <f>Reporting_currency</f>
        <v>CNY</v>
      </c>
    </row>
    <row r="104" spans="2:6">
      <c r="B104" s="47" t="s">
        <v>267</v>
      </c>
      <c r="C104" s="341">
        <f>DCF!C8</f>
        <v>0</v>
      </c>
      <c r="D104" s="1" t="str">
        <f>Reporting_currency</f>
        <v>CNY</v>
      </c>
    </row>
    <row r="105" spans="2:6">
      <c r="B105" s="47" t="s">
        <v>283</v>
      </c>
      <c r="C105" s="223">
        <f>C104*scaling_factor*Exchange_Rate/Common_Shares</f>
        <v>0</v>
      </c>
      <c r="D105" s="1" t="str">
        <f>Market_currency</f>
        <v>CNY</v>
      </c>
    </row>
    <row r="107" spans="2:6">
      <c r="B107" s="1" t="s">
        <v>257</v>
      </c>
    </row>
    <row r="108" spans="2:6">
      <c r="B108" s="47" t="s">
        <v>258</v>
      </c>
      <c r="C108" s="341">
        <f>DCF!C9</f>
        <v>2145886.1</v>
      </c>
      <c r="D108" s="1" t="str">
        <f>Reporting_currency</f>
        <v>CNY</v>
      </c>
    </row>
    <row r="109" spans="2:6">
      <c r="B109" s="47" t="s">
        <v>284</v>
      </c>
      <c r="C109" s="223">
        <f>C108*scaling_factor*Exchange_Rate/Common_Shares</f>
        <v>103.2951741417652</v>
      </c>
      <c r="D109" s="1" t="str">
        <f>Market_currency</f>
        <v>CNY</v>
      </c>
    </row>
    <row r="111" spans="2:6" ht="24.5" customHeight="1">
      <c r="B111" s="349" t="s">
        <v>367</v>
      </c>
      <c r="C111" s="349"/>
      <c r="D111" s="349"/>
      <c r="E111" s="349"/>
      <c r="F111" s="349"/>
    </row>
    <row r="113" spans="1:6">
      <c r="B113" s="47" t="s">
        <v>455</v>
      </c>
      <c r="C113" s="223">
        <f>IF(valuation_method="DCF",DCF!C12,DDM!C7)</f>
        <v>17.666666666666668</v>
      </c>
      <c r="D113" s="1" t="str">
        <f>Market_currency</f>
        <v>CNY</v>
      </c>
    </row>
    <row r="114" spans="1:6">
      <c r="B114" s="298" t="s">
        <v>407</v>
      </c>
      <c r="C114" s="223">
        <f>BS!D47</f>
        <v>-92.956751979911445</v>
      </c>
      <c r="D114" s="1" t="str">
        <f>Market_currency</f>
        <v>CNY</v>
      </c>
    </row>
    <row r="116" spans="1:6" ht="13.9">
      <c r="A116" s="222" t="s">
        <v>359</v>
      </c>
      <c r="B116" s="36"/>
      <c r="C116" s="36"/>
      <c r="D116" s="36"/>
      <c r="E116" s="36"/>
      <c r="F116" s="36"/>
    </row>
    <row r="118" spans="1:6" ht="24.5" customHeight="1">
      <c r="B118" s="350" t="s">
        <v>368</v>
      </c>
      <c r="C118" s="350"/>
      <c r="D118" s="350"/>
      <c r="E118" s="350"/>
      <c r="F118" s="350"/>
    </row>
    <row r="120" spans="1:6" ht="12.4">
      <c r="B120" s="233" t="s">
        <v>118</v>
      </c>
      <c r="C120" s="233" t="s">
        <v>133</v>
      </c>
      <c r="D120" s="233" t="s">
        <v>113</v>
      </c>
      <c r="E120" s="233" t="s">
        <v>260</v>
      </c>
      <c r="F120" s="233" t="s">
        <v>148</v>
      </c>
    </row>
    <row r="121" spans="1:6">
      <c r="B121" s="228" t="str">
        <f>DCF!B74</f>
        <v>Snowball Scenario</v>
      </c>
      <c r="C121" s="229">
        <f>DCF!C74</f>
        <v>0.06</v>
      </c>
      <c r="D121" s="230">
        <f>DCF!D74</f>
        <v>30</v>
      </c>
      <c r="E121" s="231" t="str">
        <f>ROUND(IF(valuation_method="DCF",DCF!E74,DDM!E69),2)&amp;" "&amp;Market_currency</f>
        <v>37.71 CNY</v>
      </c>
      <c r="F121" s="232">
        <f>DCF!F74</f>
        <v>0.01</v>
      </c>
    </row>
    <row r="122" spans="1:6">
      <c r="B122" s="218" t="str">
        <f>DCF!B75</f>
        <v>Optimistic</v>
      </c>
      <c r="C122" s="219">
        <f>DCF!C75</f>
        <v>0.04</v>
      </c>
      <c r="D122" s="220">
        <f>DCF!D75</f>
        <v>30</v>
      </c>
      <c r="E122" s="231" t="str">
        <f>ROUND(IF(valuation_method="DCF",DCF!E75,DDM!E70),2)&amp;" "&amp;Market_currency</f>
        <v>29.79 CNY</v>
      </c>
      <c r="F122" s="221">
        <f>DCF!F75</f>
        <v>0.19600000000000001</v>
      </c>
    </row>
    <row r="123" spans="1:6">
      <c r="B123" s="218" t="str">
        <f>DCF!B76</f>
        <v>Base</v>
      </c>
      <c r="C123" s="219">
        <f>DCF!C76</f>
        <v>0.03</v>
      </c>
      <c r="D123" s="220">
        <f>DCF!D76</f>
        <v>30</v>
      </c>
      <c r="E123" s="231" t="str">
        <f>ROUND(IF(valuation_method="DCF",DCF!E76,DDM!E71),2)&amp;" "&amp;Market_currency</f>
        <v>26.75 CNY</v>
      </c>
      <c r="F123" s="221">
        <f>DCF!F76</f>
        <v>0.58799999999999997</v>
      </c>
    </row>
    <row r="124" spans="1:6">
      <c r="B124" s="218" t="str">
        <f>DCF!B77</f>
        <v>Pessimistic</v>
      </c>
      <c r="C124" s="219">
        <f>DCF!C77</f>
        <v>0.02</v>
      </c>
      <c r="D124" s="220">
        <f>DCF!D77</f>
        <v>30</v>
      </c>
      <c r="E124" s="231" t="str">
        <f>ROUND(IF(valuation_method="DCF",DCF!E77,DDM!E72),2)&amp;" "&amp;Market_currency</f>
        <v>24.19 CNY</v>
      </c>
      <c r="F124" s="221">
        <f>DCF!F77</f>
        <v>0.19600000000000001</v>
      </c>
    </row>
    <row r="125" spans="1:6">
      <c r="B125" s="218" t="str">
        <f>DCF!B78</f>
        <v>Devil's advocate</v>
      </c>
      <c r="C125" s="219">
        <f>DCF!C78</f>
        <v>0</v>
      </c>
      <c r="D125" s="220">
        <f>DCF!D78</f>
        <v>30</v>
      </c>
      <c r="E125" s="231" t="str">
        <f>ROUND(IF(valuation_method="DCF",DCF!E78,DDM!E73),2)&amp;" "&amp;Market_currency</f>
        <v>20.16 CNY</v>
      </c>
      <c r="F125" s="221">
        <f>DCF!F78</f>
        <v>0.01</v>
      </c>
    </row>
    <row r="127" spans="1:6">
      <c r="B127" s="211" t="s">
        <v>259</v>
      </c>
      <c r="C127" s="217">
        <f>Scenarios!C60</f>
        <v>26.888151196428591</v>
      </c>
      <c r="D127" s="212" t="str">
        <f>Market_currency</f>
        <v>CNY</v>
      </c>
    </row>
    <row r="129" spans="1:6" ht="24.5" customHeight="1">
      <c r="B129" s="353" t="s">
        <v>371</v>
      </c>
      <c r="C129" s="353"/>
      <c r="D129" s="353"/>
      <c r="E129" s="353"/>
      <c r="F129" s="353"/>
    </row>
    <row r="131" spans="1:6" ht="13.9">
      <c r="A131" s="222"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10" t="s">
        <v>231</v>
      </c>
    </row>
    <row r="136" spans="1:6">
      <c r="B136" s="1" t="s">
        <v>264</v>
      </c>
      <c r="C136" s="225">
        <f>F28</f>
        <v>3</v>
      </c>
    </row>
    <row r="137" spans="1:6">
      <c r="B137" s="1" t="s">
        <v>277</v>
      </c>
      <c r="C137" s="224">
        <f>F29</f>
        <v>0.33700000000000002</v>
      </c>
    </row>
    <row r="138" spans="1:6">
      <c r="B138" s="212" t="s">
        <v>262</v>
      </c>
      <c r="C138" s="213">
        <f>Scenarios!C77</f>
        <v>1.06</v>
      </c>
      <c r="D138" s="212" t="str">
        <f>Market_currency</f>
        <v>CNY</v>
      </c>
    </row>
    <row r="140" spans="1:6">
      <c r="B140" s="210" t="s">
        <v>410</v>
      </c>
      <c r="C140" s="241" t="str">
        <f>C11</f>
        <v>601166.SS</v>
      </c>
      <c r="D140" s="241" t="str">
        <f>IF(D11="","",D11)</f>
        <v/>
      </c>
    </row>
    <row r="141" spans="1:6">
      <c r="B141" s="1" t="s">
        <v>409</v>
      </c>
      <c r="C141" s="299">
        <f>F29</f>
        <v>0.33700000000000002</v>
      </c>
    </row>
    <row r="142" spans="1:6">
      <c r="B142" s="212" t="str">
        <f>"PV("&amp;C136&amp;" yrs of Dividends)"</f>
        <v>PV(3 yrs of Dividends)</v>
      </c>
      <c r="C142" s="216">
        <f>Scenarios!C81</f>
        <v>1.8293222503295408</v>
      </c>
    </row>
    <row r="143" spans="1:6">
      <c r="B143" s="212" t="str">
        <f>"+ PV(Equity Value realized at year "&amp;C136&amp;")"</f>
        <v>+ PV(Equity Value realized at year 3)</v>
      </c>
      <c r="C143" s="216">
        <f>Scenarios!C82</f>
        <v>11.250367775156876</v>
      </c>
    </row>
    <row r="144" spans="1:6">
      <c r="B144" s="80" t="s">
        <v>261</v>
      </c>
      <c r="C144" s="215">
        <f>Scenarios!C83</f>
        <v>13.079690025486418</v>
      </c>
      <c r="D144" s="303" t="str">
        <f>IF($D$11="","",C144*$E$25)</f>
        <v/>
      </c>
    </row>
    <row r="145" spans="2:4">
      <c r="B145" s="259" t="s">
        <v>418</v>
      </c>
      <c r="C145" s="301" t="str">
        <f>Market_currency</f>
        <v>CNY</v>
      </c>
      <c r="D145" s="301" t="str">
        <f>IF($D$11="","",D$13)</f>
        <v/>
      </c>
    </row>
    <row r="146" spans="2:4">
      <c r="B146" s="214" t="s">
        <v>263</v>
      </c>
      <c r="C146" s="92">
        <f>Scenarios!F83</f>
        <v>0.51355190135855366</v>
      </c>
    </row>
    <row r="148" spans="2:4">
      <c r="B148" s="210" t="s">
        <v>413</v>
      </c>
    </row>
    <row r="149" spans="2:4">
      <c r="B149" s="1" t="s">
        <v>412</v>
      </c>
      <c r="C149" s="299">
        <f>Scenarios!C90</f>
        <v>0.187</v>
      </c>
    </row>
    <row r="150" spans="2:4">
      <c r="B150" s="212" t="str">
        <f>"PV("&amp;C136&amp;" yrs of Dividends)"</f>
        <v>PV(3 yrs of Dividends)</v>
      </c>
      <c r="C150" s="216">
        <f>Scenarios!C91</f>
        <v>2.279132885208865</v>
      </c>
    </row>
    <row r="151" spans="2:4">
      <c r="B151" s="212" t="str">
        <f>"+ PV(Equity Value realized at year "&amp;C136&amp;")"</f>
        <v>+ PV(Equity Value realized at year 3)</v>
      </c>
      <c r="C151" s="216">
        <f>Scenarios!C92</f>
        <v>16.07713967014136</v>
      </c>
    </row>
    <row r="152" spans="2:4">
      <c r="B152" s="80" t="s">
        <v>261</v>
      </c>
      <c r="C152" s="215">
        <f>Scenarios!C93</f>
        <v>18.356272555350223</v>
      </c>
      <c r="D152" s="303" t="str">
        <f>IF($D$11="","",C152*$E$25)</f>
        <v/>
      </c>
    </row>
    <row r="153" spans="2:4">
      <c r="B153" s="259" t="s">
        <v>418</v>
      </c>
      <c r="C153" s="301" t="str">
        <f>Market_currency</f>
        <v>CNY</v>
      </c>
      <c r="D153" s="301" t="str">
        <f>IF($D$11="","",D$13)</f>
        <v/>
      </c>
    </row>
    <row r="154" spans="2:4">
      <c r="B154" s="214" t="s">
        <v>263</v>
      </c>
      <c r="C154" s="92">
        <f>Scenarios!F93</f>
        <v>0.3173099771252258</v>
      </c>
    </row>
    <row r="156" spans="2:4">
      <c r="B156" s="210" t="s">
        <v>401</v>
      </c>
    </row>
    <row r="157" spans="2:4">
      <c r="B157" s="1" t="s">
        <v>411</v>
      </c>
      <c r="C157" s="92">
        <f>Scenarios!C96</f>
        <v>0.06</v>
      </c>
    </row>
    <row r="158" spans="2:4">
      <c r="B158" s="212" t="str">
        <f>"PV("&amp;C136&amp;" yrs of Dividends)"</f>
        <v>PV(3 yrs of Dividends)</v>
      </c>
      <c r="C158" s="216">
        <f>Scenarios!C97</f>
        <v>2.8333926664293383</v>
      </c>
    </row>
    <row r="159" spans="2:4">
      <c r="B159" s="212" t="str">
        <f>"+ PV(Equity Value realized at year "&amp;C136&amp;")"</f>
        <v>+ PV(Equity Value realized at year 3)</v>
      </c>
      <c r="C159" s="216">
        <f>Scenarios!C98</f>
        <v>22.575810229609498</v>
      </c>
    </row>
    <row r="160" spans="2:4">
      <c r="B160" s="80" t="s">
        <v>402</v>
      </c>
      <c r="C160" s="215">
        <f>Scenarios!C99</f>
        <v>25.409202896038835</v>
      </c>
      <c r="D160" s="303" t="str">
        <f>IF($D$11="","",C160*$E$25)</f>
        <v/>
      </c>
    </row>
    <row r="161" spans="1:6">
      <c r="B161" s="259" t="s">
        <v>418</v>
      </c>
      <c r="C161" s="301" t="str">
        <f>Market_currency</f>
        <v>CNY</v>
      </c>
      <c r="D161" s="301" t="str">
        <f>IF($D$11="","",D$13)</f>
        <v/>
      </c>
    </row>
    <row r="162" spans="1:6">
      <c r="B162" s="214" t="s">
        <v>263</v>
      </c>
      <c r="C162" s="92">
        <f>Scenarios!F99</f>
        <v>5.5003718537040891E-2</v>
      </c>
    </row>
    <row r="164" spans="1:6">
      <c r="B164" s="210" t="s">
        <v>434</v>
      </c>
    </row>
    <row r="165" spans="1:6">
      <c r="B165" s="1" t="s">
        <v>425</v>
      </c>
      <c r="C165" s="92">
        <f>F32</f>
        <v>8.6999999999999994E-2</v>
      </c>
    </row>
    <row r="166" spans="1:6">
      <c r="B166" s="212" t="str">
        <f>"PV("&amp;C136&amp;" yrs of Dividends)"</f>
        <v>PV(3 yrs of Dividends)</v>
      </c>
      <c r="C166" s="216">
        <f>Scenarios!C103</f>
        <v>2.6975834619563113</v>
      </c>
    </row>
    <row r="167" spans="1:6">
      <c r="B167" s="212" t="str">
        <f>"+ PV(Equity Value realized at year "&amp;C136&amp;")"</f>
        <v>+ PV(Equity Value realized at year 3)</v>
      </c>
      <c r="C167" s="216">
        <f>Scenarios!C104</f>
        <v>20.934968382149542</v>
      </c>
    </row>
    <row r="168" spans="1:6">
      <c r="B168" s="80" t="s">
        <v>402</v>
      </c>
      <c r="C168" s="215">
        <f>Scenarios!C105</f>
        <v>23.632551844105855</v>
      </c>
      <c r="D168" s="303" t="str">
        <f>IF($D$11="","",C168*$E$25)</f>
        <v/>
      </c>
    </row>
    <row r="169" spans="1:6">
      <c r="B169" s="259" t="s">
        <v>418</v>
      </c>
      <c r="C169" s="301" t="str">
        <f>Market_currency</f>
        <v>CNY</v>
      </c>
      <c r="D169" s="301" t="str">
        <f>IF($D$11="","",D$13)</f>
        <v/>
      </c>
    </row>
    <row r="170" spans="1:6">
      <c r="B170" s="214" t="s">
        <v>263</v>
      </c>
      <c r="C170" s="92">
        <f>Scenarios!F105</f>
        <v>0.1210155297728992</v>
      </c>
    </row>
    <row r="172" spans="1:6" ht="13.9">
      <c r="A172" s="222" t="s">
        <v>375</v>
      </c>
      <c r="B172" s="36"/>
      <c r="C172" s="36"/>
      <c r="D172" s="36"/>
      <c r="E172" s="36"/>
      <c r="F172" s="36"/>
    </row>
    <row r="174" spans="1:6">
      <c r="B174" s="348" t="s">
        <v>377</v>
      </c>
      <c r="C174" s="349"/>
      <c r="D174" s="349"/>
      <c r="E174" s="349"/>
      <c r="F174" s="349"/>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14" t="s">
        <v>387</v>
      </c>
    </row>
    <row r="191" spans="2:6">
      <c r="B191" s="214" t="s">
        <v>388</v>
      </c>
    </row>
    <row r="192" spans="2:6">
      <c r="B192" s="214"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7">
        <v>61890</v>
      </c>
      <c r="D4" s="337">
        <v>62009</v>
      </c>
      <c r="E4" s="337">
        <v>74823</v>
      </c>
      <c r="F4" s="337">
        <v>73350</v>
      </c>
      <c r="G4" s="337">
        <v>57536</v>
      </c>
      <c r="H4" s="337">
        <v>76564</v>
      </c>
      <c r="I4" s="337">
        <v>61222</v>
      </c>
      <c r="J4" s="337">
        <v>50549</v>
      </c>
      <c r="K4" s="337">
        <v>39074</v>
      </c>
      <c r="L4" s="337">
        <v>21559</v>
      </c>
      <c r="M4" s="337"/>
    </row>
    <row r="5" spans="2:13">
      <c r="B5" s="40" t="s">
        <v>43</v>
      </c>
      <c r="C5" s="337">
        <v>0</v>
      </c>
      <c r="D5" s="337">
        <v>0</v>
      </c>
      <c r="E5" s="337">
        <v>0</v>
      </c>
      <c r="F5" s="337">
        <v>0</v>
      </c>
      <c r="G5" s="337">
        <v>0</v>
      </c>
      <c r="H5" s="337">
        <v>0</v>
      </c>
      <c r="I5" s="337">
        <v>0</v>
      </c>
      <c r="J5" s="337">
        <v>0</v>
      </c>
      <c r="K5" s="337">
        <v>0</v>
      </c>
      <c r="L5" s="337">
        <v>0</v>
      </c>
      <c r="M5" s="337"/>
    </row>
    <row r="6" spans="2:13">
      <c r="B6" s="40" t="s">
        <v>54</v>
      </c>
      <c r="C6" s="337">
        <v>62611</v>
      </c>
      <c r="D6" s="337">
        <v>63194</v>
      </c>
      <c r="E6" s="337">
        <v>65314</v>
      </c>
      <c r="F6" s="337">
        <v>56820</v>
      </c>
      <c r="G6" s="337">
        <v>49077</v>
      </c>
      <c r="H6" s="337">
        <v>47190</v>
      </c>
      <c r="I6" s="337">
        <v>42561</v>
      </c>
      <c r="J6" s="337">
        <v>38680</v>
      </c>
      <c r="K6" s="337">
        <v>36735</v>
      </c>
      <c r="L6" s="337">
        <v>33323</v>
      </c>
      <c r="M6" s="337"/>
    </row>
    <row r="7" spans="2:13">
      <c r="B7" s="69" t="s">
        <v>61</v>
      </c>
      <c r="C7" s="338">
        <v>0</v>
      </c>
      <c r="D7" s="338">
        <v>0</v>
      </c>
      <c r="E7" s="338">
        <v>0</v>
      </c>
      <c r="F7" s="338">
        <v>0</v>
      </c>
      <c r="G7" s="338">
        <v>0</v>
      </c>
      <c r="H7" s="338">
        <v>0</v>
      </c>
      <c r="I7" s="338">
        <v>0</v>
      </c>
      <c r="J7" s="338">
        <v>0</v>
      </c>
      <c r="K7" s="338">
        <v>0</v>
      </c>
      <c r="L7" s="338">
        <v>0</v>
      </c>
      <c r="M7" s="338"/>
    </row>
    <row r="8" spans="2:13">
      <c r="B8" s="40" t="s">
        <v>49</v>
      </c>
      <c r="C8" s="337">
        <v>0</v>
      </c>
      <c r="D8" s="337">
        <v>0</v>
      </c>
      <c r="E8" s="337">
        <v>0</v>
      </c>
      <c r="F8" s="337">
        <v>0</v>
      </c>
      <c r="G8" s="337">
        <v>0</v>
      </c>
      <c r="H8" s="337">
        <v>0</v>
      </c>
      <c r="I8" s="337">
        <v>0</v>
      </c>
      <c r="J8" s="337">
        <v>0</v>
      </c>
      <c r="K8" s="337">
        <v>0</v>
      </c>
      <c r="L8" s="337">
        <v>0</v>
      </c>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195728</v>
      </c>
      <c r="D12" s="337">
        <v>202576</v>
      </c>
      <c r="E12" s="337">
        <v>183473</v>
      </c>
      <c r="F12" s="337">
        <v>169479</v>
      </c>
      <c r="G12" s="337">
        <v>159963</v>
      </c>
      <c r="H12" s="337">
        <v>166689</v>
      </c>
      <c r="I12" s="337">
        <v>174921</v>
      </c>
      <c r="J12" s="337">
        <v>164193</v>
      </c>
      <c r="K12" s="337">
        <v>123960</v>
      </c>
      <c r="L12" s="337">
        <v>136138</v>
      </c>
      <c r="M12" s="337"/>
    </row>
    <row r="13" spans="2:13">
      <c r="B13" s="40" t="s">
        <v>67</v>
      </c>
      <c r="C13" s="337">
        <v>343835</v>
      </c>
      <c r="D13" s="337">
        <v>349079</v>
      </c>
      <c r="E13" s="337">
        <v>328746</v>
      </c>
      <c r="F13" s="337">
        <v>315158</v>
      </c>
      <c r="G13" s="337">
        <v>303478</v>
      </c>
      <c r="H13" s="337">
        <v>269677</v>
      </c>
      <c r="I13" s="337">
        <v>270578</v>
      </c>
      <c r="J13" s="337">
        <v>252644</v>
      </c>
      <c r="K13" s="337">
        <v>236279</v>
      </c>
      <c r="L13" s="337">
        <v>255972</v>
      </c>
      <c r="M13" s="337"/>
    </row>
    <row r="14" spans="2:13">
      <c r="B14" s="40" t="s">
        <v>50</v>
      </c>
      <c r="C14" s="337">
        <v>9629</v>
      </c>
      <c r="D14" s="337">
        <v>6675</v>
      </c>
      <c r="E14" s="337">
        <v>13807</v>
      </c>
      <c r="F14" s="337">
        <v>11494</v>
      </c>
      <c r="G14" s="337">
        <v>8956</v>
      </c>
      <c r="H14" s="337">
        <v>7801</v>
      </c>
      <c r="I14" s="337">
        <v>6832</v>
      </c>
      <c r="J14" s="337">
        <v>7018</v>
      </c>
      <c r="K14" s="337">
        <v>9598</v>
      </c>
      <c r="L14" s="337">
        <v>12594</v>
      </c>
      <c r="M14" s="337"/>
    </row>
    <row r="15" spans="2:13">
      <c r="B15" s="43" t="s">
        <v>42</v>
      </c>
      <c r="C15" s="339">
        <v>77491</v>
      </c>
      <c r="D15" s="339">
        <v>77654</v>
      </c>
      <c r="E15" s="339">
        <v>92414</v>
      </c>
      <c r="F15" s="339">
        <v>83816</v>
      </c>
      <c r="G15" s="339">
        <v>67681</v>
      </c>
      <c r="H15" s="339">
        <v>66702</v>
      </c>
      <c r="I15" s="339">
        <v>61245</v>
      </c>
      <c r="J15" s="339">
        <v>57735</v>
      </c>
      <c r="K15" s="339">
        <v>54327</v>
      </c>
      <c r="L15" s="339">
        <v>50650</v>
      </c>
      <c r="M15" s="339"/>
    </row>
    <row r="16" spans="2:13">
      <c r="B16" s="28" t="s">
        <v>44</v>
      </c>
      <c r="C16" s="337">
        <v>286</v>
      </c>
      <c r="D16" s="337">
        <v>538</v>
      </c>
      <c r="E16" s="337">
        <v>1037</v>
      </c>
      <c r="F16" s="337">
        <v>1136</v>
      </c>
      <c r="G16" s="337">
        <v>1055</v>
      </c>
      <c r="H16" s="337">
        <v>834</v>
      </c>
      <c r="I16" s="337">
        <v>625</v>
      </c>
      <c r="J16" s="337">
        <v>535</v>
      </c>
      <c r="K16" s="337">
        <v>477</v>
      </c>
      <c r="L16" s="337">
        <v>443</v>
      </c>
      <c r="M16" s="337"/>
    </row>
    <row r="18" spans="2:13">
      <c r="B18" s="16" t="s">
        <v>51</v>
      </c>
      <c r="C18" s="9"/>
    </row>
    <row r="19" spans="2:13">
      <c r="B19" s="27" t="s">
        <v>47</v>
      </c>
      <c r="C19" s="337"/>
      <c r="D19" s="337"/>
      <c r="E19" s="337"/>
      <c r="F19" s="337"/>
      <c r="G19" s="337"/>
      <c r="H19" s="337"/>
      <c r="I19" s="337"/>
      <c r="J19" s="337"/>
      <c r="K19" s="337"/>
      <c r="L19" s="337"/>
      <c r="M19" s="337"/>
    </row>
    <row r="20" spans="2:13">
      <c r="B20" s="27" t="s">
        <v>53</v>
      </c>
      <c r="C20" s="337"/>
      <c r="D20" s="337"/>
      <c r="E20" s="337"/>
      <c r="F20" s="337"/>
      <c r="G20" s="337"/>
      <c r="H20" s="337"/>
      <c r="I20" s="337"/>
      <c r="J20" s="337"/>
      <c r="K20" s="337"/>
      <c r="L20" s="337"/>
      <c r="M20" s="337"/>
    </row>
    <row r="21" spans="2:13">
      <c r="B21" s="27" t="s">
        <v>52</v>
      </c>
      <c r="C21" s="337"/>
      <c r="D21" s="337"/>
      <c r="E21" s="337"/>
      <c r="F21" s="337"/>
      <c r="G21" s="337"/>
      <c r="H21" s="337"/>
      <c r="I21" s="337"/>
      <c r="J21" s="337"/>
      <c r="K21" s="337"/>
      <c r="L21" s="337"/>
      <c r="M21" s="337"/>
    </row>
    <row r="22" spans="2:13">
      <c r="B22" s="27" t="s">
        <v>372</v>
      </c>
      <c r="C22" s="337">
        <v>-237258</v>
      </c>
      <c r="D22" s="337">
        <v>433617</v>
      </c>
      <c r="E22" s="337">
        <v>-344587</v>
      </c>
      <c r="F22" s="337">
        <v>-389771</v>
      </c>
      <c r="G22" s="337">
        <v>-34228</v>
      </c>
      <c r="H22" s="337">
        <v>-588009</v>
      </c>
      <c r="I22" s="337">
        <v>-356099</v>
      </c>
      <c r="J22" s="337">
        <v>-162642</v>
      </c>
      <c r="K22" s="337">
        <v>203017</v>
      </c>
      <c r="L22" s="337">
        <v>818693</v>
      </c>
      <c r="M22" s="337"/>
    </row>
    <row r="23" spans="2:13">
      <c r="B23" s="27" t="s">
        <v>374</v>
      </c>
      <c r="C23" s="337">
        <v>23438</v>
      </c>
      <c r="D23" s="337">
        <v>-116901</v>
      </c>
      <c r="E23" s="337">
        <v>-2059</v>
      </c>
      <c r="F23" s="337">
        <v>79654</v>
      </c>
      <c r="G23" s="337">
        <v>234002</v>
      </c>
      <c r="H23" s="337">
        <v>602337</v>
      </c>
      <c r="I23" s="337">
        <v>422390</v>
      </c>
      <c r="J23" s="337">
        <v>268261</v>
      </c>
      <c r="K23" s="337">
        <v>-366131</v>
      </c>
      <c r="L23" s="337">
        <v>-1078507</v>
      </c>
      <c r="M23" s="337"/>
    </row>
    <row r="24" spans="2:13">
      <c r="B24" s="27" t="s">
        <v>373</v>
      </c>
      <c r="C24" s="337">
        <v>194894</v>
      </c>
      <c r="D24" s="337">
        <v>-190955</v>
      </c>
      <c r="E24" s="337">
        <v>-22248</v>
      </c>
      <c r="F24" s="337">
        <v>124588</v>
      </c>
      <c r="G24" s="337">
        <v>29636</v>
      </c>
      <c r="H24" s="337">
        <v>166667</v>
      </c>
      <c r="I24" s="337">
        <v>10436</v>
      </c>
      <c r="J24" s="337">
        <v>-67067</v>
      </c>
      <c r="K24" s="337">
        <v>282268</v>
      </c>
      <c r="L24" s="337">
        <v>213791</v>
      </c>
      <c r="M24" s="337"/>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459</v>
      </c>
    </row>
    <row r="28" spans="2:13">
      <c r="B28" s="26" t="s">
        <v>24</v>
      </c>
      <c r="C28" s="326">
        <f>BS!C4</f>
        <v>0</v>
      </c>
      <c r="D28" s="337"/>
      <c r="E28" s="337"/>
      <c r="F28" s="337"/>
      <c r="G28" s="337"/>
      <c r="H28" s="337"/>
      <c r="I28" s="337"/>
      <c r="J28" s="337"/>
      <c r="K28" s="337"/>
      <c r="L28" s="337"/>
      <c r="M28" s="337"/>
    </row>
    <row r="29" spans="2:13">
      <c r="B29" s="26" t="s">
        <v>32</v>
      </c>
      <c r="C29" s="326">
        <f>BS!C6</f>
        <v>0</v>
      </c>
      <c r="D29" s="337"/>
      <c r="E29" s="337"/>
      <c r="F29" s="337"/>
      <c r="G29" s="337"/>
      <c r="H29" s="337"/>
      <c r="I29" s="337"/>
      <c r="J29" s="337"/>
      <c r="K29" s="337"/>
      <c r="L29" s="337"/>
      <c r="M29" s="337"/>
    </row>
    <row r="30" spans="2:13">
      <c r="B30" s="29" t="s">
        <v>40</v>
      </c>
      <c r="C30" s="327">
        <f>BS!C33+BS!C42</f>
        <v>9614287</v>
      </c>
      <c r="D30" s="339">
        <v>9350607</v>
      </c>
      <c r="E30" s="339">
        <v>8509373</v>
      </c>
      <c r="F30" s="339">
        <v>7908726</v>
      </c>
      <c r="G30" s="339">
        <v>7269197</v>
      </c>
      <c r="H30" s="339">
        <v>6596029</v>
      </c>
      <c r="I30" s="339">
        <v>6239073</v>
      </c>
      <c r="J30" s="339">
        <v>5994090</v>
      </c>
      <c r="K30" s="339">
        <v>5731485</v>
      </c>
      <c r="L30" s="339">
        <v>4981503</v>
      </c>
      <c r="M30" s="339"/>
    </row>
    <row r="31" spans="2:13">
      <c r="B31" s="29" t="s">
        <v>30</v>
      </c>
      <c r="C31" s="327">
        <f>BS!G27</f>
        <v>893611</v>
      </c>
      <c r="D31" s="339">
        <v>807719</v>
      </c>
      <c r="E31" s="339">
        <v>757298</v>
      </c>
      <c r="F31" s="339">
        <v>694298</v>
      </c>
      <c r="G31" s="339">
        <v>624803</v>
      </c>
      <c r="H31" s="339">
        <v>549652</v>
      </c>
      <c r="I31" s="339">
        <v>472584</v>
      </c>
      <c r="J31" s="339">
        <v>422752</v>
      </c>
      <c r="K31" s="339">
        <v>354410</v>
      </c>
      <c r="L31" s="339">
        <v>317377</v>
      </c>
      <c r="M31" s="339"/>
    </row>
    <row r="32" spans="2:13">
      <c r="B32" s="26" t="s">
        <v>173</v>
      </c>
      <c r="C32" s="326">
        <f>BS!G28</f>
        <v>11703</v>
      </c>
      <c r="D32" s="337">
        <v>11495</v>
      </c>
      <c r="E32" s="337">
        <v>11111</v>
      </c>
      <c r="F32" s="337">
        <v>10187</v>
      </c>
      <c r="G32" s="339">
        <v>9217</v>
      </c>
      <c r="H32" s="339">
        <v>8292</v>
      </c>
      <c r="I32" s="339">
        <v>6631</v>
      </c>
      <c r="J32" s="339">
        <v>5857</v>
      </c>
      <c r="K32" s="339">
        <v>4281</v>
      </c>
      <c r="L32" s="339">
        <v>3729</v>
      </c>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61890</v>
      </c>
      <c r="D36" s="326">
        <f t="shared" si="1"/>
        <v>62009</v>
      </c>
      <c r="E36" s="326">
        <f t="shared" si="1"/>
        <v>74823</v>
      </c>
      <c r="F36" s="326">
        <f t="shared" si="1"/>
        <v>73350</v>
      </c>
      <c r="G36" s="326">
        <f t="shared" si="1"/>
        <v>57536</v>
      </c>
      <c r="H36" s="326">
        <f t="shared" si="1"/>
        <v>76564</v>
      </c>
      <c r="I36" s="326">
        <f t="shared" si="1"/>
        <v>61222</v>
      </c>
      <c r="J36" s="326">
        <f t="shared" si="1"/>
        <v>50549</v>
      </c>
      <c r="K36" s="326">
        <f t="shared" si="1"/>
        <v>39074</v>
      </c>
      <c r="L36" s="326">
        <f t="shared" si="1"/>
        <v>21559</v>
      </c>
      <c r="M36" s="326" t="str">
        <f t="shared" si="1"/>
        <v/>
      </c>
    </row>
    <row r="37" spans="2:13">
      <c r="B37" s="40" t="s">
        <v>43</v>
      </c>
      <c r="C37" s="326">
        <f t="shared" ref="C37:M37" si="2">IF(C$4="","",-C5)</f>
        <v>0</v>
      </c>
      <c r="D37" s="326">
        <f t="shared" si="2"/>
        <v>0</v>
      </c>
      <c r="E37" s="326">
        <f t="shared" si="2"/>
        <v>0</v>
      </c>
      <c r="F37" s="326">
        <f t="shared" si="2"/>
        <v>0</v>
      </c>
      <c r="G37" s="326">
        <f t="shared" si="2"/>
        <v>0</v>
      </c>
      <c r="H37" s="326">
        <f t="shared" si="2"/>
        <v>0</v>
      </c>
      <c r="I37" s="326">
        <f t="shared" si="2"/>
        <v>0</v>
      </c>
      <c r="J37" s="326">
        <f t="shared" si="2"/>
        <v>0</v>
      </c>
      <c r="K37" s="326">
        <f t="shared" si="2"/>
        <v>0</v>
      </c>
      <c r="L37" s="326">
        <f t="shared" si="2"/>
        <v>0</v>
      </c>
      <c r="M37" s="326" t="str">
        <f t="shared" si="2"/>
        <v/>
      </c>
    </row>
    <row r="38" spans="2:13">
      <c r="B38" s="31" t="s">
        <v>58</v>
      </c>
      <c r="C38" s="322">
        <f>IF(C36="","",C36+C37)</f>
        <v>61890</v>
      </c>
      <c r="D38" s="322">
        <f t="shared" ref="D38" si="3">IF(D36="","",D36+D37)</f>
        <v>62009</v>
      </c>
      <c r="E38" s="322">
        <f t="shared" ref="E38" si="4">IF(E36="","",E36+E37)</f>
        <v>74823</v>
      </c>
      <c r="F38" s="322">
        <f t="shared" ref="F38" si="5">IF(F36="","",F36+F37)</f>
        <v>73350</v>
      </c>
      <c r="G38" s="322">
        <f t="shared" ref="G38" si="6">IF(G36="","",G36+G37)</f>
        <v>57536</v>
      </c>
      <c r="H38" s="322">
        <f t="shared" ref="H38" si="7">IF(H36="","",H36+H37)</f>
        <v>76564</v>
      </c>
      <c r="I38" s="322">
        <f t="shared" ref="I38" si="8">IF(I36="","",I36+I37)</f>
        <v>61222</v>
      </c>
      <c r="J38" s="322">
        <f t="shared" ref="J38" si="9">IF(J36="","",J36+J37)</f>
        <v>50549</v>
      </c>
      <c r="K38" s="322">
        <f t="shared" ref="K38" si="10">IF(K36="","",K36+K37)</f>
        <v>39074</v>
      </c>
      <c r="L38" s="322">
        <f t="shared" ref="L38" si="11">IF(L36="","",L36+L37)</f>
        <v>21559</v>
      </c>
      <c r="M38" s="322" t="str">
        <f t="shared" ref="M38" si="12">IF(M36="","",M36+M37)</f>
        <v/>
      </c>
    </row>
    <row r="39" spans="2:13">
      <c r="B39" s="40" t="s">
        <v>54</v>
      </c>
      <c r="C39" s="326">
        <f t="shared" ref="C39:M39" si="13">IF(C$4="","",-C6)</f>
        <v>-62611</v>
      </c>
      <c r="D39" s="326">
        <f t="shared" si="13"/>
        <v>-63194</v>
      </c>
      <c r="E39" s="326">
        <f t="shared" si="13"/>
        <v>-65314</v>
      </c>
      <c r="F39" s="326">
        <f t="shared" si="13"/>
        <v>-56820</v>
      </c>
      <c r="G39" s="326">
        <f t="shared" si="13"/>
        <v>-49077</v>
      </c>
      <c r="H39" s="326">
        <f t="shared" si="13"/>
        <v>-47190</v>
      </c>
      <c r="I39" s="326">
        <f t="shared" si="13"/>
        <v>-42561</v>
      </c>
      <c r="J39" s="326">
        <f t="shared" si="13"/>
        <v>-38680</v>
      </c>
      <c r="K39" s="326">
        <f t="shared" si="13"/>
        <v>-36735</v>
      </c>
      <c r="L39" s="326">
        <f t="shared" si="13"/>
        <v>-33323</v>
      </c>
      <c r="M39" s="326" t="str">
        <f t="shared" si="13"/>
        <v/>
      </c>
    </row>
    <row r="40" spans="2:13">
      <c r="B40" s="69" t="s">
        <v>61</v>
      </c>
      <c r="C40" s="336">
        <f t="shared" ref="C40:M40" si="14">IF(C$4="","",-C7)</f>
        <v>0</v>
      </c>
      <c r="D40" s="336">
        <f t="shared" si="14"/>
        <v>0</v>
      </c>
      <c r="E40" s="336">
        <f t="shared" si="14"/>
        <v>0</v>
      </c>
      <c r="F40" s="336">
        <f t="shared" si="14"/>
        <v>0</v>
      </c>
      <c r="G40" s="336">
        <f t="shared" si="14"/>
        <v>0</v>
      </c>
      <c r="H40" s="336">
        <f t="shared" si="14"/>
        <v>0</v>
      </c>
      <c r="I40" s="336">
        <f t="shared" si="14"/>
        <v>0</v>
      </c>
      <c r="J40" s="336">
        <f t="shared" si="14"/>
        <v>0</v>
      </c>
      <c r="K40" s="336">
        <f t="shared" si="14"/>
        <v>0</v>
      </c>
      <c r="L40" s="336">
        <f t="shared" si="14"/>
        <v>0</v>
      </c>
      <c r="M40" s="336" t="str">
        <f t="shared" si="14"/>
        <v/>
      </c>
    </row>
    <row r="41" spans="2:13">
      <c r="B41" s="69" t="s">
        <v>64</v>
      </c>
      <c r="C41" s="336">
        <f>IF(C$4="","",C39-C40)</f>
        <v>-62611</v>
      </c>
      <c r="D41" s="336">
        <f t="shared" ref="D41:M41" si="15">IF(D$4="","",D39-D40)</f>
        <v>-63194</v>
      </c>
      <c r="E41" s="336">
        <f t="shared" si="15"/>
        <v>-65314</v>
      </c>
      <c r="F41" s="336">
        <f t="shared" si="15"/>
        <v>-56820</v>
      </c>
      <c r="G41" s="336">
        <f t="shared" si="15"/>
        <v>-49077</v>
      </c>
      <c r="H41" s="336">
        <f t="shared" si="15"/>
        <v>-47190</v>
      </c>
      <c r="I41" s="336">
        <f t="shared" si="15"/>
        <v>-42561</v>
      </c>
      <c r="J41" s="336">
        <f t="shared" si="15"/>
        <v>-38680</v>
      </c>
      <c r="K41" s="336">
        <f t="shared" si="15"/>
        <v>-36735</v>
      </c>
      <c r="L41" s="336">
        <f t="shared" si="15"/>
        <v>-33323</v>
      </c>
      <c r="M41" s="336" t="str">
        <f t="shared" si="15"/>
        <v/>
      </c>
    </row>
    <row r="42" spans="2:13">
      <c r="B42" s="40" t="s">
        <v>49</v>
      </c>
      <c r="C42" s="326">
        <f t="shared" ref="C42:M42" si="16">IF(C$4="","",-C8)</f>
        <v>0</v>
      </c>
      <c r="D42" s="326">
        <f t="shared" si="16"/>
        <v>0</v>
      </c>
      <c r="E42" s="326">
        <f t="shared" si="16"/>
        <v>0</v>
      </c>
      <c r="F42" s="326">
        <f t="shared" si="16"/>
        <v>0</v>
      </c>
      <c r="G42" s="326">
        <f t="shared" si="16"/>
        <v>0</v>
      </c>
      <c r="H42" s="326">
        <f t="shared" si="16"/>
        <v>0</v>
      </c>
      <c r="I42" s="326">
        <f t="shared" si="16"/>
        <v>0</v>
      </c>
      <c r="J42" s="326">
        <f t="shared" si="16"/>
        <v>0</v>
      </c>
      <c r="K42" s="326">
        <f t="shared" si="16"/>
        <v>0</v>
      </c>
      <c r="L42" s="326">
        <f t="shared" si="16"/>
        <v>0</v>
      </c>
      <c r="M42" s="326" t="str">
        <f t="shared" si="16"/>
        <v/>
      </c>
    </row>
    <row r="43" spans="2:13">
      <c r="B43" s="43" t="s">
        <v>153</v>
      </c>
      <c r="C43" s="327">
        <f>IF(C$4="","",C38+C39+C42)</f>
        <v>-721</v>
      </c>
      <c r="D43" s="327">
        <f t="shared" ref="D43:M43" si="17">IF(D$4="","",D38+D39+D42)</f>
        <v>-1185</v>
      </c>
      <c r="E43" s="327">
        <f t="shared" si="17"/>
        <v>9509</v>
      </c>
      <c r="F43" s="327">
        <f t="shared" si="17"/>
        <v>16530</v>
      </c>
      <c r="G43" s="327">
        <f t="shared" si="17"/>
        <v>8459</v>
      </c>
      <c r="H43" s="327">
        <f t="shared" si="17"/>
        <v>29374</v>
      </c>
      <c r="I43" s="327">
        <f t="shared" si="17"/>
        <v>18661</v>
      </c>
      <c r="J43" s="327">
        <f t="shared" si="17"/>
        <v>11869</v>
      </c>
      <c r="K43" s="327">
        <f t="shared" si="17"/>
        <v>2339</v>
      </c>
      <c r="L43" s="327">
        <f t="shared" si="17"/>
        <v>-11764</v>
      </c>
      <c r="M43" s="327" t="str">
        <f t="shared" si="17"/>
        <v/>
      </c>
    </row>
    <row r="44" spans="2:13">
      <c r="B44" s="43" t="s">
        <v>169</v>
      </c>
      <c r="C44" s="340">
        <f t="shared" ref="C44:M44" si="18">IF(C$4="","",C47-C46-C45-C43)</f>
        <v>-60266</v>
      </c>
      <c r="D44" s="340">
        <f t="shared" si="18"/>
        <v>-60989</v>
      </c>
      <c r="E44" s="340">
        <f t="shared" si="18"/>
        <v>-48561</v>
      </c>
      <c r="F44" s="340">
        <f t="shared" si="18"/>
        <v>-66899</v>
      </c>
      <c r="G44" s="340">
        <f t="shared" si="18"/>
        <v>-75337</v>
      </c>
      <c r="H44" s="340">
        <f t="shared" si="18"/>
        <v>-57859</v>
      </c>
      <c r="I44" s="340">
        <f t="shared" si="18"/>
        <v>-46241</v>
      </c>
      <c r="J44" s="340">
        <f t="shared" si="18"/>
        <v>-35567</v>
      </c>
      <c r="K44" s="340">
        <f t="shared" si="18"/>
        <v>-50733</v>
      </c>
      <c r="L44" s="340">
        <f t="shared" si="18"/>
        <v>-44826</v>
      </c>
      <c r="M44" s="340" t="str">
        <f t="shared" si="18"/>
        <v/>
      </c>
    </row>
    <row r="45" spans="2:13">
      <c r="B45" s="40" t="s">
        <v>68</v>
      </c>
      <c r="C45" s="341">
        <f t="shared" ref="C45:M45" si="19">IF(C$4="","",C51+C52)</f>
        <v>148107</v>
      </c>
      <c r="D45" s="341">
        <f t="shared" si="19"/>
        <v>146503</v>
      </c>
      <c r="E45" s="341">
        <f t="shared" si="19"/>
        <v>145273</v>
      </c>
      <c r="F45" s="341">
        <f t="shared" si="19"/>
        <v>145679</v>
      </c>
      <c r="G45" s="341">
        <f t="shared" si="19"/>
        <v>143515</v>
      </c>
      <c r="H45" s="341">
        <f t="shared" si="19"/>
        <v>102988</v>
      </c>
      <c r="I45" s="341">
        <f t="shared" si="19"/>
        <v>95657</v>
      </c>
      <c r="J45" s="341">
        <f t="shared" si="19"/>
        <v>88451</v>
      </c>
      <c r="K45" s="341">
        <f t="shared" si="19"/>
        <v>112319</v>
      </c>
      <c r="L45" s="341">
        <f t="shared" si="19"/>
        <v>119834</v>
      </c>
      <c r="M45" s="341" t="str">
        <f t="shared" si="19"/>
        <v/>
      </c>
    </row>
    <row r="46" spans="2:13">
      <c r="B46" s="40" t="s">
        <v>50</v>
      </c>
      <c r="C46" s="326">
        <f t="shared" ref="C46:M46" si="20">IF(C$4="","",-C14)</f>
        <v>-9629</v>
      </c>
      <c r="D46" s="326">
        <f t="shared" si="20"/>
        <v>-6675</v>
      </c>
      <c r="E46" s="326">
        <f t="shared" si="20"/>
        <v>-13807</v>
      </c>
      <c r="F46" s="326">
        <f t="shared" si="20"/>
        <v>-11494</v>
      </c>
      <c r="G46" s="326">
        <f t="shared" si="20"/>
        <v>-8956</v>
      </c>
      <c r="H46" s="326">
        <f t="shared" si="20"/>
        <v>-7801</v>
      </c>
      <c r="I46" s="326">
        <f t="shared" si="20"/>
        <v>-6832</v>
      </c>
      <c r="J46" s="326">
        <f t="shared" si="20"/>
        <v>-7018</v>
      </c>
      <c r="K46" s="326">
        <f t="shared" si="20"/>
        <v>-9598</v>
      </c>
      <c r="L46" s="326">
        <f t="shared" si="20"/>
        <v>-12594</v>
      </c>
      <c r="M46" s="326" t="str">
        <f t="shared" si="20"/>
        <v/>
      </c>
    </row>
    <row r="47" spans="2:13">
      <c r="B47" s="43" t="s">
        <v>42</v>
      </c>
      <c r="C47" s="327">
        <f t="shared" ref="C47:M47" si="21">IF(C$4="","",C15)</f>
        <v>77491</v>
      </c>
      <c r="D47" s="327">
        <f t="shared" si="21"/>
        <v>77654</v>
      </c>
      <c r="E47" s="327">
        <f t="shared" si="21"/>
        <v>92414</v>
      </c>
      <c r="F47" s="327">
        <f t="shared" si="21"/>
        <v>83816</v>
      </c>
      <c r="G47" s="327">
        <f t="shared" si="21"/>
        <v>67681</v>
      </c>
      <c r="H47" s="327">
        <f t="shared" si="21"/>
        <v>66702</v>
      </c>
      <c r="I47" s="327">
        <f t="shared" si="21"/>
        <v>61245</v>
      </c>
      <c r="J47" s="327">
        <f t="shared" si="21"/>
        <v>57735</v>
      </c>
      <c r="K47" s="327">
        <f t="shared" si="21"/>
        <v>54327</v>
      </c>
      <c r="L47" s="327">
        <f t="shared" si="21"/>
        <v>50650</v>
      </c>
      <c r="M47" s="327" t="str">
        <f t="shared" si="21"/>
        <v/>
      </c>
    </row>
    <row r="48" spans="2:13">
      <c r="B48" s="28" t="s">
        <v>44</v>
      </c>
      <c r="C48" s="326">
        <f t="shared" ref="C48:M48" si="22">IF(C$4="","",MIN(-C16,0))</f>
        <v>-286</v>
      </c>
      <c r="D48" s="326">
        <f t="shared" si="22"/>
        <v>-538</v>
      </c>
      <c r="E48" s="326">
        <f t="shared" si="22"/>
        <v>-1037</v>
      </c>
      <c r="F48" s="326">
        <f t="shared" si="22"/>
        <v>-1136</v>
      </c>
      <c r="G48" s="326">
        <f t="shared" si="22"/>
        <v>-1055</v>
      </c>
      <c r="H48" s="326">
        <f t="shared" si="22"/>
        <v>-834</v>
      </c>
      <c r="I48" s="326">
        <f t="shared" si="22"/>
        <v>-625</v>
      </c>
      <c r="J48" s="326">
        <f t="shared" si="22"/>
        <v>-535</v>
      </c>
      <c r="K48" s="326">
        <f t="shared" si="22"/>
        <v>-477</v>
      </c>
      <c r="L48" s="326">
        <f t="shared" si="22"/>
        <v>-443</v>
      </c>
      <c r="M48" s="326" t="str">
        <f t="shared" si="22"/>
        <v/>
      </c>
    </row>
    <row r="50" spans="2:13">
      <c r="B50" s="16" t="s">
        <v>68</v>
      </c>
    </row>
    <row r="51" spans="2:13">
      <c r="B51" s="40" t="s">
        <v>39</v>
      </c>
      <c r="C51" s="326">
        <f t="shared" ref="C51:M51" si="23">IF(C$4="","",-C12)</f>
        <v>-195728</v>
      </c>
      <c r="D51" s="326">
        <f t="shared" si="23"/>
        <v>-202576</v>
      </c>
      <c r="E51" s="326">
        <f t="shared" si="23"/>
        <v>-183473</v>
      </c>
      <c r="F51" s="326">
        <f t="shared" si="23"/>
        <v>-169479</v>
      </c>
      <c r="G51" s="326">
        <f t="shared" si="23"/>
        <v>-159963</v>
      </c>
      <c r="H51" s="326">
        <f t="shared" si="23"/>
        <v>-166689</v>
      </c>
      <c r="I51" s="326">
        <f t="shared" si="23"/>
        <v>-174921</v>
      </c>
      <c r="J51" s="326">
        <f t="shared" si="23"/>
        <v>-164193</v>
      </c>
      <c r="K51" s="326">
        <f t="shared" si="23"/>
        <v>-123960</v>
      </c>
      <c r="L51" s="326">
        <f t="shared" si="23"/>
        <v>-136138</v>
      </c>
      <c r="M51" s="326" t="str">
        <f t="shared" si="23"/>
        <v/>
      </c>
    </row>
    <row r="52" spans="2:13">
      <c r="B52" s="40" t="s">
        <v>67</v>
      </c>
      <c r="C52" s="326">
        <f t="shared" ref="C52:M52" si="24">IF(C$4="","",C13)</f>
        <v>343835</v>
      </c>
      <c r="D52" s="326">
        <f t="shared" si="24"/>
        <v>349079</v>
      </c>
      <c r="E52" s="326">
        <f t="shared" si="24"/>
        <v>328746</v>
      </c>
      <c r="F52" s="326">
        <f t="shared" si="24"/>
        <v>315158</v>
      </c>
      <c r="G52" s="326">
        <f t="shared" si="24"/>
        <v>303478</v>
      </c>
      <c r="H52" s="326">
        <f t="shared" si="24"/>
        <v>269677</v>
      </c>
      <c r="I52" s="326">
        <f t="shared" si="24"/>
        <v>270578</v>
      </c>
      <c r="J52" s="326">
        <f t="shared" si="24"/>
        <v>252644</v>
      </c>
      <c r="K52" s="326">
        <f t="shared" si="24"/>
        <v>236279</v>
      </c>
      <c r="L52" s="326">
        <f t="shared" si="24"/>
        <v>255972</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f t="shared" si="25"/>
        <v>0</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-60266</v>
      </c>
      <c r="D58" s="341">
        <f t="shared" ref="D58:M58" si="28">IF(D$4="","",D44-D55-D56-D57)</f>
        <v>-60989</v>
      </c>
      <c r="E58" s="341">
        <f t="shared" si="28"/>
        <v>-48561</v>
      </c>
      <c r="F58" s="341">
        <f t="shared" si="28"/>
        <v>-66899</v>
      </c>
      <c r="G58" s="341">
        <f t="shared" si="28"/>
        <v>-75337</v>
      </c>
      <c r="H58" s="341">
        <f t="shared" si="28"/>
        <v>-57859</v>
      </c>
      <c r="I58" s="341">
        <f t="shared" si="28"/>
        <v>-46241</v>
      </c>
      <c r="J58" s="341">
        <f t="shared" si="28"/>
        <v>-35567</v>
      </c>
      <c r="K58" s="341">
        <f t="shared" si="28"/>
        <v>-50733</v>
      </c>
      <c r="L58" s="341">
        <f t="shared" si="28"/>
        <v>-44826</v>
      </c>
      <c r="M58" s="341" t="str">
        <f t="shared" si="28"/>
        <v/>
      </c>
    </row>
    <row r="60" spans="2:13">
      <c r="B60" s="16" t="s">
        <v>51</v>
      </c>
      <c r="C60" s="9"/>
    </row>
    <row r="61" spans="2:13">
      <c r="B61" s="27" t="s">
        <v>47</v>
      </c>
      <c r="C61" s="326">
        <f>IF(C$4="","",-C19)</f>
        <v>0</v>
      </c>
      <c r="D61" s="326">
        <f t="shared" ref="D61:M61" si="29">IF(D$4="","",-D19)</f>
        <v>0</v>
      </c>
      <c r="E61" s="326">
        <f t="shared" si="29"/>
        <v>0</v>
      </c>
      <c r="F61" s="326">
        <f t="shared" si="29"/>
        <v>0</v>
      </c>
      <c r="G61" s="326">
        <f t="shared" si="29"/>
        <v>0</v>
      </c>
      <c r="H61" s="326">
        <f t="shared" si="29"/>
        <v>0</v>
      </c>
      <c r="I61" s="326">
        <f t="shared" si="29"/>
        <v>0</v>
      </c>
      <c r="J61" s="326">
        <f t="shared" si="29"/>
        <v>0</v>
      </c>
      <c r="K61" s="326">
        <f t="shared" si="29"/>
        <v>0</v>
      </c>
      <c r="L61" s="326">
        <f t="shared" si="29"/>
        <v>0</v>
      </c>
      <c r="M61" s="326" t="str">
        <f t="shared" si="29"/>
        <v/>
      </c>
    </row>
    <row r="62" spans="2:13">
      <c r="B62" s="27" t="s">
        <v>53</v>
      </c>
      <c r="C62" s="326">
        <f>IF(C$4="","",IF(C20=0,C61,-C20))</f>
        <v>0</v>
      </c>
      <c r="D62" s="326">
        <f t="shared" ref="D62:M62" si="30">IF(D$4="","",IF(D20=0,D61,-D20))</f>
        <v>0</v>
      </c>
      <c r="E62" s="326">
        <f t="shared" si="30"/>
        <v>0</v>
      </c>
      <c r="F62" s="326">
        <f t="shared" si="30"/>
        <v>0</v>
      </c>
      <c r="G62" s="326">
        <f t="shared" si="30"/>
        <v>0</v>
      </c>
      <c r="H62" s="326">
        <f t="shared" si="30"/>
        <v>0</v>
      </c>
      <c r="I62" s="326">
        <f t="shared" si="30"/>
        <v>0</v>
      </c>
      <c r="J62" s="326">
        <f t="shared" si="30"/>
        <v>0</v>
      </c>
      <c r="K62" s="326">
        <f t="shared" si="30"/>
        <v>0</v>
      </c>
      <c r="L62" s="326">
        <f t="shared" si="30"/>
        <v>0</v>
      </c>
      <c r="M62" s="326" t="str">
        <f t="shared" si="30"/>
        <v/>
      </c>
    </row>
    <row r="63" spans="2:13">
      <c r="B63" s="27" t="s">
        <v>52</v>
      </c>
      <c r="C63" s="326">
        <f>IF(C$4="","",-C21)</f>
        <v>0</v>
      </c>
      <c r="D63" s="326">
        <f t="shared" ref="D63:M63" si="31">IF(D$4="","",-D21)</f>
        <v>0</v>
      </c>
      <c r="E63" s="326">
        <f t="shared" si="31"/>
        <v>0</v>
      </c>
      <c r="F63" s="326">
        <f t="shared" si="31"/>
        <v>0</v>
      </c>
      <c r="G63" s="326">
        <f t="shared" si="31"/>
        <v>0</v>
      </c>
      <c r="H63" s="326">
        <f t="shared" si="31"/>
        <v>0</v>
      </c>
      <c r="I63" s="326">
        <f t="shared" si="31"/>
        <v>0</v>
      </c>
      <c r="J63" s="326">
        <f t="shared" si="31"/>
        <v>0</v>
      </c>
      <c r="K63" s="326">
        <f t="shared" si="31"/>
        <v>0</v>
      </c>
      <c r="L63" s="326">
        <f t="shared" si="31"/>
        <v>0</v>
      </c>
      <c r="M63" s="326" t="str">
        <f t="shared" si="31"/>
        <v/>
      </c>
    </row>
    <row r="64" spans="2:13">
      <c r="B64" s="27" t="s">
        <v>394</v>
      </c>
      <c r="C64" s="326">
        <f>IF(C$4="","",C22+C23+C24)</f>
        <v>-18926</v>
      </c>
      <c r="D64" s="326">
        <f t="shared" ref="D64:M64" si="32">IF(D$4="","",D22+D23+D24)</f>
        <v>125761</v>
      </c>
      <c r="E64" s="326">
        <f t="shared" si="32"/>
        <v>-368894</v>
      </c>
      <c r="F64" s="326">
        <f t="shared" si="32"/>
        <v>-185529</v>
      </c>
      <c r="G64" s="326">
        <f t="shared" si="32"/>
        <v>229410</v>
      </c>
      <c r="H64" s="326">
        <f t="shared" si="32"/>
        <v>180995</v>
      </c>
      <c r="I64" s="326">
        <f t="shared" si="32"/>
        <v>76727</v>
      </c>
      <c r="J64" s="326">
        <f t="shared" si="32"/>
        <v>38552</v>
      </c>
      <c r="K64" s="326">
        <f t="shared" si="32"/>
        <v>119154</v>
      </c>
      <c r="L64" s="326">
        <f t="shared" si="32"/>
        <v>-46023</v>
      </c>
      <c r="M64" s="326"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169</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10507898</v>
      </c>
      <c r="D76" s="341">
        <f t="shared" ref="D76:M76" si="39">IF(D$4="","",D79+D80)</f>
        <v>10158326</v>
      </c>
      <c r="E76" s="341">
        <f t="shared" si="39"/>
        <v>9266671</v>
      </c>
      <c r="F76" s="341">
        <f t="shared" si="39"/>
        <v>8603024</v>
      </c>
      <c r="G76" s="341">
        <f t="shared" si="39"/>
        <v>7894000</v>
      </c>
      <c r="H76" s="341">
        <f t="shared" si="39"/>
        <v>7145681</v>
      </c>
      <c r="I76" s="341">
        <f t="shared" si="39"/>
        <v>6711657</v>
      </c>
      <c r="J76" s="341">
        <f t="shared" si="39"/>
        <v>6416842</v>
      </c>
      <c r="K76" s="341">
        <f t="shared" si="39"/>
        <v>6085895</v>
      </c>
      <c r="L76" s="341">
        <f t="shared" si="39"/>
        <v>5298880</v>
      </c>
      <c r="M76" s="341" t="str">
        <f t="shared" si="39"/>
        <v/>
      </c>
    </row>
    <row r="77" spans="2:13">
      <c r="B77" s="93" t="s">
        <v>86</v>
      </c>
      <c r="C77" s="336">
        <f t="shared" ref="C77:H78" si="40">IF(C$4="","",C28)</f>
        <v>0</v>
      </c>
      <c r="D77" s="336">
        <f t="shared" si="40"/>
        <v>0</v>
      </c>
      <c r="E77" s="336">
        <f t="shared" si="40"/>
        <v>0</v>
      </c>
      <c r="F77" s="336">
        <f t="shared" si="40"/>
        <v>0</v>
      </c>
      <c r="G77" s="336">
        <f t="shared" si="40"/>
        <v>0</v>
      </c>
      <c r="H77" s="336">
        <f t="shared" si="40"/>
        <v>0</v>
      </c>
      <c r="I77" s="342"/>
      <c r="J77" s="342"/>
      <c r="K77" s="342"/>
      <c r="L77" s="342"/>
      <c r="M77" s="342"/>
    </row>
    <row r="78" spans="2:13">
      <c r="B78" s="93" t="s">
        <v>87</v>
      </c>
      <c r="C78" s="336">
        <f t="shared" si="40"/>
        <v>0</v>
      </c>
      <c r="D78" s="336">
        <f t="shared" si="40"/>
        <v>0</v>
      </c>
      <c r="E78" s="336">
        <f t="shared" si="40"/>
        <v>0</v>
      </c>
      <c r="F78" s="336">
        <f t="shared" si="40"/>
        <v>0</v>
      </c>
      <c r="G78" s="336">
        <f t="shared" si="40"/>
        <v>0</v>
      </c>
      <c r="H78" s="336">
        <f t="shared" si="40"/>
        <v>0</v>
      </c>
      <c r="I78" s="342"/>
      <c r="J78" s="342"/>
      <c r="K78" s="342"/>
      <c r="L78" s="342"/>
      <c r="M78" s="342"/>
    </row>
    <row r="79" spans="2:13">
      <c r="B79" s="26" t="s">
        <v>40</v>
      </c>
      <c r="C79" s="326">
        <f t="shared" ref="C79:M79" si="41">IF(C$4="","",C30)</f>
        <v>9614287</v>
      </c>
      <c r="D79" s="326">
        <f t="shared" si="41"/>
        <v>9350607</v>
      </c>
      <c r="E79" s="326">
        <f t="shared" si="41"/>
        <v>8509373</v>
      </c>
      <c r="F79" s="326">
        <f t="shared" si="41"/>
        <v>7908726</v>
      </c>
      <c r="G79" s="326">
        <f t="shared" si="41"/>
        <v>7269197</v>
      </c>
      <c r="H79" s="326">
        <f t="shared" si="41"/>
        <v>6596029</v>
      </c>
      <c r="I79" s="326">
        <f t="shared" si="41"/>
        <v>6239073</v>
      </c>
      <c r="J79" s="326">
        <f t="shared" si="41"/>
        <v>5994090</v>
      </c>
      <c r="K79" s="326">
        <f t="shared" si="41"/>
        <v>5731485</v>
      </c>
      <c r="L79" s="326">
        <f t="shared" si="41"/>
        <v>4981503</v>
      </c>
      <c r="M79" s="326" t="str">
        <f t="shared" si="41"/>
        <v/>
      </c>
    </row>
    <row r="80" spans="2:13">
      <c r="B80" s="26" t="s">
        <v>30</v>
      </c>
      <c r="C80" s="326">
        <f t="shared" ref="C80:M80" si="42">IF(C$4="","",C31)</f>
        <v>893611</v>
      </c>
      <c r="D80" s="326">
        <f t="shared" si="42"/>
        <v>807719</v>
      </c>
      <c r="E80" s="326">
        <f t="shared" si="42"/>
        <v>757298</v>
      </c>
      <c r="F80" s="326">
        <f t="shared" si="42"/>
        <v>694298</v>
      </c>
      <c r="G80" s="326">
        <f t="shared" si="42"/>
        <v>624803</v>
      </c>
      <c r="H80" s="326">
        <f t="shared" si="42"/>
        <v>549652</v>
      </c>
      <c r="I80" s="326">
        <f t="shared" si="42"/>
        <v>472584</v>
      </c>
      <c r="J80" s="326">
        <f t="shared" si="42"/>
        <v>422752</v>
      </c>
      <c r="K80" s="326">
        <f t="shared" si="42"/>
        <v>354410</v>
      </c>
      <c r="L80" s="326">
        <f t="shared" si="42"/>
        <v>317377</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0</v>
      </c>
      <c r="D4" s="263">
        <v>0.6</v>
      </c>
      <c r="E4" s="25"/>
      <c r="F4" s="4" t="s">
        <v>78</v>
      </c>
      <c r="G4" s="19">
        <f>394940+107117+70524+377748</f>
        <v>950329</v>
      </c>
      <c r="H4" s="263">
        <v>0.9</v>
      </c>
    </row>
    <row r="5" spans="2:8" ht="15" customHeight="1">
      <c r="B5" s="1" t="s">
        <v>33</v>
      </c>
      <c r="C5" s="19">
        <v>0</v>
      </c>
      <c r="D5" s="263">
        <v>0.6</v>
      </c>
      <c r="E5" s="25"/>
      <c r="F5" s="1" t="s">
        <v>29</v>
      </c>
      <c r="G5" s="19">
        <v>0</v>
      </c>
      <c r="H5" s="263">
        <v>0.7</v>
      </c>
    </row>
    <row r="6" spans="2:8" ht="15" customHeight="1">
      <c r="B6" s="4" t="s">
        <v>10</v>
      </c>
      <c r="C6" s="19">
        <v>0</v>
      </c>
      <c r="D6" s="263">
        <v>0.5</v>
      </c>
      <c r="E6" s="25"/>
      <c r="F6" s="4" t="s">
        <v>178</v>
      </c>
      <c r="G6" s="19">
        <v>0</v>
      </c>
      <c r="H6" s="263">
        <v>0.6</v>
      </c>
    </row>
    <row r="7" spans="2:8" ht="15" customHeight="1">
      <c r="B7" s="1" t="s">
        <v>69</v>
      </c>
      <c r="C7" s="19">
        <v>0</v>
      </c>
      <c r="D7" s="263">
        <v>0.6</v>
      </c>
      <c r="E7" s="25"/>
      <c r="F7" s="4" t="s">
        <v>179</v>
      </c>
      <c r="G7" s="19">
        <f>6731</f>
        <v>6731</v>
      </c>
      <c r="H7" s="263">
        <v>0.6</v>
      </c>
    </row>
    <row r="8" spans="2:8" ht="15" customHeight="1">
      <c r="B8" s="1" t="s">
        <v>174</v>
      </c>
      <c r="C8" s="19">
        <v>0</v>
      </c>
      <c r="D8" s="263">
        <v>0.6</v>
      </c>
      <c r="E8" s="25"/>
      <c r="F8" s="1" t="s">
        <v>180</v>
      </c>
      <c r="G8" s="19">
        <v>0</v>
      </c>
      <c r="H8" s="263">
        <v>0.6</v>
      </c>
    </row>
    <row r="9" spans="2:8" ht="15" customHeight="1">
      <c r="B9" s="4" t="s">
        <v>25</v>
      </c>
      <c r="C9" s="19">
        <v>0</v>
      </c>
      <c r="D9" s="263">
        <v>0.1</v>
      </c>
      <c r="E9" s="25"/>
      <c r="F9" s="4" t="s">
        <v>181</v>
      </c>
      <c r="G9" s="19">
        <v>0</v>
      </c>
      <c r="H9" s="263">
        <v>0.6</v>
      </c>
    </row>
    <row r="10" spans="2:8" ht="15" customHeight="1">
      <c r="B10" s="4" t="s">
        <v>11</v>
      </c>
      <c r="C10" s="19">
        <v>0</v>
      </c>
      <c r="D10" s="263">
        <v>0.9</v>
      </c>
      <c r="H10" s="264"/>
    </row>
    <row r="11" spans="2:8" ht="15" customHeight="1">
      <c r="B11" s="4" t="s">
        <v>12</v>
      </c>
      <c r="C11" s="19">
        <v>0</v>
      </c>
      <c r="D11" s="263">
        <v>0.05</v>
      </c>
      <c r="H11" s="264"/>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f>177518+5608859</f>
        <v>5786377</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f>923189+1896064+630916+4011+114913</f>
        <v>3569093</v>
      </c>
      <c r="H17" s="263">
        <v>0.6</v>
      </c>
    </row>
    <row r="18" spans="2:8" ht="15" customHeight="1">
      <c r="B18" s="4" t="s">
        <v>174</v>
      </c>
      <c r="C18" s="19">
        <v>0</v>
      </c>
      <c r="D18" s="263">
        <v>0.6</v>
      </c>
      <c r="F18" s="4" t="s">
        <v>182</v>
      </c>
      <c r="G18" s="19">
        <v>0</v>
      </c>
      <c r="H18" s="263">
        <v>0.1</v>
      </c>
    </row>
    <row r="19" spans="2:8" ht="15" customHeight="1">
      <c r="B19" s="4" t="s">
        <v>26</v>
      </c>
      <c r="C19" s="19">
        <f>28869+1862+9314</f>
        <v>40045</v>
      </c>
      <c r="D19" s="263">
        <v>0.1</v>
      </c>
      <c r="F19" s="4" t="s">
        <v>183</v>
      </c>
      <c r="G19" s="19">
        <v>3917</v>
      </c>
      <c r="H19" s="263">
        <v>0.1</v>
      </c>
    </row>
    <row r="20" spans="2:8" ht="15" customHeight="1">
      <c r="B20" s="4" t="s">
        <v>18</v>
      </c>
      <c r="C20" s="19">
        <v>0</v>
      </c>
      <c r="D20" s="263">
        <v>0.05</v>
      </c>
      <c r="F20" s="4" t="s">
        <v>180</v>
      </c>
      <c r="G20" s="19">
        <v>0</v>
      </c>
      <c r="H20" s="263">
        <v>0.2</v>
      </c>
    </row>
    <row r="21" spans="2:8" ht="15" customHeight="1">
      <c r="B21" s="4" t="s">
        <v>19</v>
      </c>
      <c r="C21" s="19">
        <v>1122</v>
      </c>
      <c r="D21" s="263">
        <v>0.05</v>
      </c>
      <c r="F21" s="1" t="s">
        <v>181</v>
      </c>
      <c r="G21" s="19">
        <v>0</v>
      </c>
      <c r="H21" s="263">
        <v>0.1</v>
      </c>
    </row>
    <row r="22" spans="2:8" ht="15" customHeight="1">
      <c r="B22" s="4" t="s">
        <v>20</v>
      </c>
      <c r="C22" s="19">
        <v>67259</v>
      </c>
      <c r="D22" s="263">
        <v>0.9</v>
      </c>
      <c r="H22" s="264"/>
    </row>
    <row r="23" spans="2:8" ht="15" customHeight="1">
      <c r="B23" s="4" t="s">
        <v>21</v>
      </c>
      <c r="C23" s="19">
        <f>532+82493</f>
        <v>83025</v>
      </c>
      <c r="D23" s="263">
        <v>0</v>
      </c>
      <c r="H23" s="264"/>
    </row>
    <row r="24" spans="2:8" ht="15" customHeight="1">
      <c r="B24" s="80" t="s">
        <v>74</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201</v>
      </c>
      <c r="C26" s="182" t="s">
        <v>137</v>
      </c>
      <c r="F26" s="184" t="s">
        <v>197</v>
      </c>
      <c r="G26" s="185" t="s">
        <v>137</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245</v>
      </c>
      <c r="G28" s="12">
        <v>11703</v>
      </c>
      <c r="H28" s="188"/>
    </row>
    <row r="29" spans="2:8" ht="15" customHeight="1">
      <c r="B29" s="4" t="s">
        <v>7</v>
      </c>
      <c r="C29" s="19">
        <v>0</v>
      </c>
      <c r="F29" s="190" t="s">
        <v>76</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204</v>
      </c>
      <c r="C31" s="81">
        <f>SUM(C27:C30)</f>
        <v>9516669</v>
      </c>
      <c r="F31" s="190" t="s">
        <v>77</v>
      </c>
      <c r="G31" s="191">
        <f>C31+C40</f>
        <v>9516669</v>
      </c>
      <c r="H31" s="188"/>
    </row>
    <row r="32" spans="2:8" ht="15" customHeight="1">
      <c r="B32" s="4" t="s">
        <v>9</v>
      </c>
      <c r="C32" s="21">
        <f>C33-C31</f>
        <v>97618</v>
      </c>
      <c r="F32" s="192" t="s">
        <v>75</v>
      </c>
      <c r="G32" s="193">
        <f>G35+G40</f>
        <v>10507898</v>
      </c>
      <c r="H32" s="188">
        <f>H35+H40</f>
        <v>7694877.5000000009</v>
      </c>
    </row>
    <row r="33" spans="2:8" ht="15" customHeight="1">
      <c r="B33" s="83" t="s">
        <v>4</v>
      </c>
      <c r="C33" s="84">
        <v>9614287</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191451</v>
      </c>
      <c r="H35" s="200">
        <f>D12+D24</f>
        <v>64593.7</v>
      </c>
    </row>
    <row r="36" spans="2:8" ht="15" customHeight="1">
      <c r="B36" s="4" t="s">
        <v>13</v>
      </c>
      <c r="C36" s="19">
        <v>0</v>
      </c>
      <c r="F36" s="190" t="s">
        <v>198</v>
      </c>
      <c r="G36" s="191">
        <f>C4+C15</f>
        <v>0</v>
      </c>
      <c r="H36" s="195"/>
    </row>
    <row r="37" spans="2:8" ht="15" customHeight="1">
      <c r="B37" s="4" t="s">
        <v>14</v>
      </c>
      <c r="C37" s="19">
        <v>0</v>
      </c>
      <c r="F37" s="190" t="s">
        <v>199</v>
      </c>
      <c r="G37" s="191">
        <f>C6</f>
        <v>0</v>
      </c>
      <c r="H37" s="195"/>
    </row>
    <row r="38" spans="2:8" ht="15" customHeight="1">
      <c r="B38" s="4" t="s">
        <v>15</v>
      </c>
      <c r="C38" s="19">
        <v>0</v>
      </c>
      <c r="F38" s="190" t="s">
        <v>200</v>
      </c>
      <c r="G38" s="191">
        <f>C7+C17</f>
        <v>0</v>
      </c>
      <c r="H38" s="195"/>
    </row>
    <row r="39" spans="2:8" ht="15" customHeight="1">
      <c r="B39" s="2" t="s">
        <v>16</v>
      </c>
      <c r="C39" s="19">
        <v>0</v>
      </c>
      <c r="F39" s="190" t="s">
        <v>80</v>
      </c>
      <c r="G39" s="191">
        <f>C7+C17+C19+C20</f>
        <v>40045</v>
      </c>
      <c r="H39" s="188">
        <f>C7*D7+C17*D17+C19*D19+C20*D20</f>
        <v>4004.5</v>
      </c>
    </row>
    <row r="40" spans="2:8" ht="15" customHeight="1">
      <c r="B40" s="80" t="s">
        <v>205</v>
      </c>
      <c r="C40" s="81">
        <f>SUM(C36:C39)</f>
        <v>0</v>
      </c>
      <c r="F40" s="199" t="s">
        <v>139</v>
      </c>
      <c r="G40" s="193">
        <f>G12+G24</f>
        <v>10316447</v>
      </c>
      <c r="H40" s="200">
        <f>H12+H24</f>
        <v>7630283.8000000007</v>
      </c>
    </row>
    <row r="41" spans="2:8" ht="15" customHeight="1">
      <c r="B41" s="4" t="s">
        <v>17</v>
      </c>
      <c r="C41" s="21">
        <f>C42-C40</f>
        <v>0</v>
      </c>
      <c r="F41" s="190" t="s">
        <v>192</v>
      </c>
      <c r="G41" s="191">
        <f>C70</f>
        <v>6736706</v>
      </c>
      <c r="H41" s="200">
        <f>H40-H42</f>
        <v>5484397.7000000011</v>
      </c>
    </row>
    <row r="42" spans="2:8" ht="15" customHeight="1">
      <c r="B42" s="83" t="s">
        <v>22</v>
      </c>
      <c r="C42" s="84">
        <v>0</v>
      </c>
      <c r="F42" s="201" t="s">
        <v>193</v>
      </c>
      <c r="G42" s="202">
        <f>C82</f>
        <v>3579741</v>
      </c>
      <c r="H42" s="203">
        <f>D82</f>
        <v>2145886.1</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1577.3702399204408</v>
      </c>
      <c r="D50" s="95">
        <f>G31/Normalized_FCF!G8</f>
        <v>-13199.263522884881</v>
      </c>
      <c r="F50" s="253"/>
    </row>
    <row r="51" spans="2:8" ht="15" customHeight="1">
      <c r="B51" s="1" t="s">
        <v>177</v>
      </c>
      <c r="C51" s="181"/>
      <c r="D51" s="92">
        <f>G29/G32</f>
        <v>8.3928108171586746E-2</v>
      </c>
      <c r="F51" s="253"/>
    </row>
    <row r="52" spans="2:8" ht="15" customHeight="1">
      <c r="F52" s="253"/>
    </row>
    <row r="53" spans="2:8" ht="15" customHeight="1">
      <c r="B53" s="157" t="s">
        <v>143</v>
      </c>
      <c r="C53" s="235" t="s">
        <v>57</v>
      </c>
      <c r="D53" s="197" t="s">
        <v>96</v>
      </c>
      <c r="F53" s="253"/>
    </row>
    <row r="54" spans="2:8" ht="15" customHeight="1">
      <c r="B54" s="1" t="s">
        <v>140</v>
      </c>
      <c r="C54" s="92">
        <f>Normalized_FCF!C8/G35</f>
        <v>3.1513285383727427E-2</v>
      </c>
      <c r="D54" s="92">
        <f>Normalized_FCF!G8/G35</f>
        <v>-3.7659766728823565E-3</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3.810942968803085E-3</v>
      </c>
      <c r="F59" s="253"/>
    </row>
    <row r="60" spans="2:8" ht="15" customHeight="1">
      <c r="F60" s="253"/>
    </row>
    <row r="61" spans="2:8" ht="15" customHeight="1">
      <c r="B61" s="157" t="s">
        <v>275</v>
      </c>
      <c r="C61" s="235" t="s">
        <v>138</v>
      </c>
      <c r="D61" s="197" t="s">
        <v>96</v>
      </c>
      <c r="F61" s="253"/>
    </row>
    <row r="62" spans="2:8" ht="15" customHeight="1">
      <c r="B62" s="1" t="s">
        <v>246</v>
      </c>
      <c r="C62" s="92">
        <f>IF(G28&lt;=0,0,G28/G29)</f>
        <v>1.3270091664890215E-2</v>
      </c>
      <c r="D62" s="92">
        <f>G28/G29</f>
        <v>1.3270091664890215E-2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6736706</v>
      </c>
      <c r="D66" s="76">
        <f>C66-D75</f>
        <v>0</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6736706</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-7052.6474952516664</v>
      </c>
      <c r="D73" s="76">
        <f>(Normalized_FCF!C25+Normalized_FCF!C35-Normalized_FCF!C91)/12</f>
        <v>-7000.4599952516664</v>
      </c>
      <c r="F73" s="1" t="s">
        <v>352</v>
      </c>
    </row>
    <row r="74" spans="2:6" ht="15" customHeight="1">
      <c r="B74" s="257" t="s">
        <v>322</v>
      </c>
      <c r="C74" s="258">
        <f>-$C$66/C73</f>
        <v>955.20242639882679</v>
      </c>
      <c r="D74" s="258">
        <f>-$C$66/D73</f>
        <v>962.32333369084779</v>
      </c>
      <c r="F74" s="253" t="s">
        <v>320</v>
      </c>
    </row>
    <row r="75" spans="2:6" ht="15" customHeight="1">
      <c r="B75" s="80" t="s">
        <v>321</v>
      </c>
      <c r="C75" s="262"/>
      <c r="D75" s="261">
        <f>MAX(-D73*D76,G5)</f>
        <v>6736706</v>
      </c>
      <c r="F75" s="253" t="s">
        <v>353</v>
      </c>
    </row>
    <row r="76" spans="2:6" ht="15" customHeight="1">
      <c r="B76" s="259" t="s">
        <v>323</v>
      </c>
      <c r="C76" s="260"/>
      <c r="D76" s="292">
        <f>IF(valuation_method="DCF",IF(D74&lt;=3,1,IF(D74&gt;18,6,2)),-C66/D73)</f>
        <v>962.32333369084779</v>
      </c>
      <c r="F76" s="253" t="s">
        <v>324</v>
      </c>
    </row>
    <row r="77" spans="2:6" ht="15" customHeight="1">
      <c r="F77" s="253"/>
    </row>
    <row r="78" spans="2:6" ht="15" customHeight="1">
      <c r="B78" s="16" t="s">
        <v>190</v>
      </c>
      <c r="C78" s="234" t="s">
        <v>137</v>
      </c>
      <c r="D78" s="183" t="s">
        <v>35</v>
      </c>
      <c r="F78" s="253"/>
    </row>
    <row r="79" spans="2:6" ht="15" customHeight="1">
      <c r="B79" s="105" t="s">
        <v>179</v>
      </c>
      <c r="C79" s="20">
        <f>G7+G17</f>
        <v>3575824</v>
      </c>
      <c r="D79" s="76">
        <f>G7*H7+G17*H17</f>
        <v>2145494.4</v>
      </c>
      <c r="F79" s="253"/>
    </row>
    <row r="80" spans="2:6" ht="15" customHeight="1">
      <c r="B80" s="105" t="s">
        <v>183</v>
      </c>
      <c r="C80" s="20">
        <f>G19</f>
        <v>3917</v>
      </c>
      <c r="D80" s="76">
        <f>G19*H19</f>
        <v>391.70000000000005</v>
      </c>
      <c r="F80" s="253"/>
    </row>
    <row r="81" spans="2:8" ht="15" customHeight="1">
      <c r="B81" s="105" t="s">
        <v>181</v>
      </c>
      <c r="C81" s="20">
        <f>G9+G21</f>
        <v>0</v>
      </c>
      <c r="D81" s="76">
        <f>G9*H9+G21*H21</f>
        <v>0</v>
      </c>
      <c r="F81" s="253"/>
    </row>
    <row r="82" spans="2:8" ht="15" customHeight="1">
      <c r="B82" s="80" t="s">
        <v>190</v>
      </c>
      <c r="C82" s="81">
        <f>SUM(C79:C81)</f>
        <v>3579741</v>
      </c>
      <c r="D82" s="81">
        <f>SUM(D79:D81)</f>
        <v>2145886.1</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-9516669</v>
      </c>
      <c r="D86" s="223">
        <f>C86*scaling_factor/Common_Shares</f>
        <v>-458.09793054931413</v>
      </c>
      <c r="E86" s="240" t="str">
        <f>Market_currency</f>
        <v>CNY</v>
      </c>
    </row>
    <row r="87" spans="2:8" ht="15" customHeight="1">
      <c r="B87" s="238" t="s">
        <v>288</v>
      </c>
      <c r="C87" s="76">
        <f>DCF!C8*Exchange_Rate</f>
        <v>0</v>
      </c>
      <c r="D87" s="223">
        <f>C87*scaling_factor/Common_Shares</f>
        <v>0</v>
      </c>
      <c r="E87" s="240" t="str">
        <f>Market_currency</f>
        <v>CNY</v>
      </c>
    </row>
    <row r="88" spans="2:8" ht="15" customHeight="1">
      <c r="B88" s="239" t="s">
        <v>190</v>
      </c>
      <c r="C88" s="76">
        <f>DCF!C9*Exchange_Rate</f>
        <v>2145886.1</v>
      </c>
      <c r="D88" s="223">
        <f>C88*scaling_factor/Common_Shares</f>
        <v>103.2951741417652</v>
      </c>
      <c r="E88" s="240" t="str">
        <f>Market_currency</f>
        <v>CNY</v>
      </c>
    </row>
    <row r="89" spans="2:8" ht="15" customHeight="1">
      <c r="B89" s="80" t="s">
        <v>292</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10" activePane="bottomRight" state="frozen"/>
      <selection pane="topRight" activeCell="C1" sqref="C1"/>
      <selection pane="bottomLeft" activeCell="A2" sqref="A2"/>
      <selection pane="bottomRight" activeCell="C119" sqref="C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70"/>
      <c r="F3" s="9"/>
      <c r="G3" s="9"/>
    </row>
    <row r="4" spans="1:17" ht="15.75" customHeight="1">
      <c r="A4" s="10"/>
      <c r="B4" s="26" t="s">
        <v>2</v>
      </c>
      <c r="C4" s="320">
        <f>AVERAGE(G4:J4)</f>
        <v>68018</v>
      </c>
      <c r="D4" s="57"/>
      <c r="E4" s="268"/>
      <c r="F4" s="57"/>
      <c r="G4" s="326">
        <f>Data!C36</f>
        <v>61890</v>
      </c>
      <c r="H4" s="326">
        <f>Data!D36</f>
        <v>62009</v>
      </c>
      <c r="I4" s="326">
        <f>Data!E36</f>
        <v>74823</v>
      </c>
      <c r="J4" s="326">
        <f>Data!F36</f>
        <v>73350</v>
      </c>
      <c r="K4" s="326">
        <f>Data!G36</f>
        <v>57536</v>
      </c>
      <c r="L4" s="326">
        <f>Data!H36</f>
        <v>76564</v>
      </c>
      <c r="M4" s="326">
        <f>Data!I36</f>
        <v>61222</v>
      </c>
      <c r="N4" s="326">
        <f>Data!J36</f>
        <v>50549</v>
      </c>
      <c r="O4" s="326">
        <f>Data!K36</f>
        <v>39074</v>
      </c>
      <c r="P4" s="326">
        <f>Data!L36</f>
        <v>21559</v>
      </c>
      <c r="Q4" s="326" t="str">
        <f>Data!M36</f>
        <v/>
      </c>
    </row>
    <row r="5" spans="1:17" ht="15.75" customHeight="1">
      <c r="A5" s="10"/>
      <c r="B5" s="2" t="s">
        <v>46</v>
      </c>
      <c r="C5" s="321">
        <f>C25</f>
        <v>0</v>
      </c>
      <c r="E5" s="270"/>
      <c r="G5" s="326">
        <f t="shared" ref="G5:Q5" si="1">G25</f>
        <v>0</v>
      </c>
      <c r="H5" s="326">
        <f t="shared" si="1"/>
        <v>0</v>
      </c>
      <c r="I5" s="326">
        <f t="shared" si="1"/>
        <v>0</v>
      </c>
      <c r="J5" s="326">
        <f t="shared" si="1"/>
        <v>0</v>
      </c>
      <c r="K5" s="326">
        <f t="shared" si="1"/>
        <v>0</v>
      </c>
      <c r="L5" s="326">
        <f t="shared" si="1"/>
        <v>0</v>
      </c>
      <c r="M5" s="326">
        <f t="shared" si="1"/>
        <v>0</v>
      </c>
      <c r="N5" s="326">
        <f t="shared" si="1"/>
        <v>0</v>
      </c>
      <c r="O5" s="326">
        <f t="shared" si="1"/>
        <v>0</v>
      </c>
      <c r="P5" s="326">
        <f t="shared" si="1"/>
        <v>0</v>
      </c>
      <c r="Q5" s="326" t="str">
        <f t="shared" si="1"/>
        <v/>
      </c>
    </row>
    <row r="6" spans="1:17" ht="15.75" customHeight="1">
      <c r="A6" s="10"/>
      <c r="B6" s="31" t="s">
        <v>48</v>
      </c>
      <c r="C6" s="322">
        <f>C4+C5</f>
        <v>68018</v>
      </c>
      <c r="E6" s="270"/>
      <c r="G6" s="322">
        <f>IF(G4="","",G4+G5)</f>
        <v>61890</v>
      </c>
      <c r="H6" s="322">
        <f t="shared" ref="H6:Q6" si="2">IF(H4="","",H4+H5)</f>
        <v>62009</v>
      </c>
      <c r="I6" s="322">
        <f t="shared" si="2"/>
        <v>74823</v>
      </c>
      <c r="J6" s="322">
        <f t="shared" si="2"/>
        <v>73350</v>
      </c>
      <c r="K6" s="322">
        <f t="shared" si="2"/>
        <v>57536</v>
      </c>
      <c r="L6" s="322">
        <f t="shared" si="2"/>
        <v>76564</v>
      </c>
      <c r="M6" s="322">
        <f t="shared" si="2"/>
        <v>61222</v>
      </c>
      <c r="N6" s="322">
        <f t="shared" si="2"/>
        <v>50549</v>
      </c>
      <c r="O6" s="322">
        <f t="shared" si="2"/>
        <v>39074</v>
      </c>
      <c r="P6" s="322">
        <f t="shared" si="2"/>
        <v>21559</v>
      </c>
      <c r="Q6" s="322" t="str">
        <f t="shared" si="2"/>
        <v/>
      </c>
    </row>
    <row r="7" spans="1:17" ht="15.75" customHeight="1">
      <c r="A7" s="10"/>
      <c r="B7" s="8" t="s">
        <v>45</v>
      </c>
      <c r="C7" s="321">
        <f>C35</f>
        <v>-61984.75</v>
      </c>
      <c r="E7" s="270"/>
      <c r="G7" s="321">
        <f t="shared" ref="G7:Q7" si="3">G35</f>
        <v>-62611</v>
      </c>
      <c r="H7" s="321">
        <f t="shared" si="3"/>
        <v>-63194</v>
      </c>
      <c r="I7" s="321">
        <f t="shared" si="3"/>
        <v>-65314</v>
      </c>
      <c r="J7" s="321">
        <f t="shared" si="3"/>
        <v>-56820</v>
      </c>
      <c r="K7" s="321">
        <f t="shared" si="3"/>
        <v>-49077</v>
      </c>
      <c r="L7" s="321">
        <f t="shared" si="3"/>
        <v>-47190</v>
      </c>
      <c r="M7" s="321">
        <f t="shared" si="3"/>
        <v>-42561</v>
      </c>
      <c r="N7" s="321">
        <f t="shared" si="3"/>
        <v>-38680</v>
      </c>
      <c r="O7" s="321">
        <f t="shared" si="3"/>
        <v>-36735</v>
      </c>
      <c r="P7" s="321">
        <f t="shared" si="3"/>
        <v>-33323</v>
      </c>
      <c r="Q7" s="321" t="str">
        <f t="shared" si="3"/>
        <v/>
      </c>
    </row>
    <row r="8" spans="1:17" ht="15.75" customHeight="1">
      <c r="A8" s="10"/>
      <c r="B8" s="29" t="s">
        <v>153</v>
      </c>
      <c r="C8" s="323">
        <f>C6+C7</f>
        <v>6033.25</v>
      </c>
      <c r="D8" s="59"/>
      <c r="E8" s="276"/>
      <c r="F8" s="59"/>
      <c r="G8" s="322">
        <f>IF(G$4="","",G6+G7)</f>
        <v>-721</v>
      </c>
      <c r="H8" s="322">
        <f t="shared" ref="H8:Q8" si="4">IF(H$4="","",H6+H7)</f>
        <v>-1185</v>
      </c>
      <c r="I8" s="322">
        <f t="shared" si="4"/>
        <v>9509</v>
      </c>
      <c r="J8" s="322">
        <f t="shared" si="4"/>
        <v>16530</v>
      </c>
      <c r="K8" s="322">
        <f t="shared" si="4"/>
        <v>8459</v>
      </c>
      <c r="L8" s="322">
        <f t="shared" si="4"/>
        <v>29374</v>
      </c>
      <c r="M8" s="322">
        <f t="shared" si="4"/>
        <v>18661</v>
      </c>
      <c r="N8" s="322">
        <f t="shared" si="4"/>
        <v>11869</v>
      </c>
      <c r="O8" s="322">
        <f t="shared" si="4"/>
        <v>2339</v>
      </c>
      <c r="P8" s="322">
        <f t="shared" si="4"/>
        <v>-11764</v>
      </c>
      <c r="Q8" s="322" t="str">
        <f t="shared" si="4"/>
        <v/>
      </c>
    </row>
    <row r="9" spans="1:17" ht="15.75" customHeight="1">
      <c r="A9" s="10"/>
      <c r="B9" s="2" t="s">
        <v>65</v>
      </c>
      <c r="C9" s="321">
        <f>BS!$G$39*BS!D58</f>
        <v>0</v>
      </c>
      <c r="E9" s="270"/>
      <c r="G9" s="321">
        <f>IF(Data!C61="","",-Data!C61)</f>
        <v>0</v>
      </c>
      <c r="H9" s="321">
        <f>IF(Data!D61="","",-Data!D61)</f>
        <v>0</v>
      </c>
      <c r="I9" s="321">
        <f>IF(Data!E61="","",-Data!E61)</f>
        <v>0</v>
      </c>
      <c r="J9" s="321">
        <f>IF(Data!F61="","",-Data!F61)</f>
        <v>0</v>
      </c>
      <c r="K9" s="321">
        <f>IF(Data!G61="","",-Data!G61)</f>
        <v>0</v>
      </c>
      <c r="L9" s="321">
        <f>IF(Data!H61="","",-Data!H61)</f>
        <v>0</v>
      </c>
      <c r="M9" s="321">
        <f>IF(Data!I61="","",-Data!I61)</f>
        <v>0</v>
      </c>
      <c r="N9" s="321">
        <f>IF(Data!J61="","",-Data!J61)</f>
        <v>0</v>
      </c>
      <c r="O9" s="321">
        <f>IF(Data!K61="","",-Data!K61)</f>
        <v>0</v>
      </c>
      <c r="P9" s="321">
        <f>IF(Data!L61="","",-Data!L61)</f>
        <v>0</v>
      </c>
      <c r="Q9" s="321" t="str">
        <f>IF(Data!M61="","",-Data!M61)</f>
        <v/>
      </c>
    </row>
    <row r="10" spans="1:17" ht="15.75" customHeight="1">
      <c r="A10" s="10"/>
      <c r="B10" s="2" t="s">
        <v>81</v>
      </c>
      <c r="C10" s="321">
        <f>-C4*C78</f>
        <v>0</v>
      </c>
      <c r="E10" s="270"/>
      <c r="G10" s="321">
        <f>Data!C62</f>
        <v>0</v>
      </c>
      <c r="H10" s="321">
        <f>Data!D62</f>
        <v>0</v>
      </c>
      <c r="I10" s="321">
        <f>Data!E62</f>
        <v>0</v>
      </c>
      <c r="J10" s="321">
        <f>Data!F62</f>
        <v>0</v>
      </c>
      <c r="K10" s="321">
        <f>Data!G62</f>
        <v>0</v>
      </c>
      <c r="L10" s="321">
        <f>Data!H62</f>
        <v>0</v>
      </c>
      <c r="M10" s="321">
        <f>Data!I62</f>
        <v>0</v>
      </c>
      <c r="N10" s="321">
        <f>Data!J62</f>
        <v>0</v>
      </c>
      <c r="O10" s="321">
        <f>Data!K62</f>
        <v>0</v>
      </c>
      <c r="P10" s="321">
        <f>Data!L62</f>
        <v>0</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f t="shared" si="5"/>
        <v>0</v>
      </c>
      <c r="M11" s="327">
        <f t="shared" si="5"/>
        <v>0</v>
      </c>
      <c r="N11" s="327">
        <f t="shared" si="5"/>
        <v>0</v>
      </c>
      <c r="O11" s="327">
        <f t="shared" si="5"/>
        <v>0</v>
      </c>
      <c r="P11" s="327">
        <f t="shared" si="5"/>
        <v>0</v>
      </c>
      <c r="Q11" s="327" t="str">
        <f t="shared" si="5"/>
        <v/>
      </c>
    </row>
    <row r="12" spans="1:17" ht="15.75" customHeight="1">
      <c r="A12" s="10"/>
      <c r="B12" s="2" t="s">
        <v>68</v>
      </c>
      <c r="C12" s="321">
        <f>C50</f>
        <v>148107</v>
      </c>
      <c r="E12" s="270"/>
      <c r="G12" s="321">
        <f>G50</f>
        <v>148107</v>
      </c>
      <c r="H12" s="321">
        <f t="shared" ref="H12:Q12" si="6">H50</f>
        <v>146503</v>
      </c>
      <c r="I12" s="321">
        <f t="shared" si="6"/>
        <v>145273</v>
      </c>
      <c r="J12" s="321">
        <f t="shared" si="6"/>
        <v>145679</v>
      </c>
      <c r="K12" s="321">
        <f t="shared" si="6"/>
        <v>143515</v>
      </c>
      <c r="L12" s="321">
        <f t="shared" si="6"/>
        <v>102988</v>
      </c>
      <c r="M12" s="321">
        <f t="shared" si="6"/>
        <v>95657</v>
      </c>
      <c r="N12" s="321">
        <f t="shared" si="6"/>
        <v>88451</v>
      </c>
      <c r="O12" s="321">
        <f t="shared" si="6"/>
        <v>112319</v>
      </c>
      <c r="P12" s="321">
        <f t="shared" si="6"/>
        <v>119834</v>
      </c>
      <c r="Q12" s="321" t="str">
        <f t="shared" si="6"/>
        <v/>
      </c>
    </row>
    <row r="13" spans="1:17" ht="15.75" customHeight="1">
      <c r="A13" s="10"/>
      <c r="B13" s="70" t="s">
        <v>165</v>
      </c>
      <c r="C13" s="322">
        <f>SUM(C8:C12)</f>
        <v>154140.25</v>
      </c>
      <c r="E13" s="270"/>
      <c r="G13" s="322">
        <f>IF(G$4="","",SUM(G8:G12))</f>
        <v>147386</v>
      </c>
      <c r="H13" s="322">
        <f t="shared" ref="H13:Q13" si="7">IF(H$4="","",SUM(H8:H12))</f>
        <v>145318</v>
      </c>
      <c r="I13" s="322">
        <f t="shared" si="7"/>
        <v>154782</v>
      </c>
      <c r="J13" s="322">
        <f t="shared" si="7"/>
        <v>162209</v>
      </c>
      <c r="K13" s="322">
        <f t="shared" si="7"/>
        <v>151974</v>
      </c>
      <c r="L13" s="322">
        <f t="shared" si="7"/>
        <v>132362</v>
      </c>
      <c r="M13" s="322">
        <f t="shared" si="7"/>
        <v>114318</v>
      </c>
      <c r="N13" s="322">
        <f t="shared" si="7"/>
        <v>100320</v>
      </c>
      <c r="O13" s="322">
        <f t="shared" si="7"/>
        <v>114658</v>
      </c>
      <c r="P13" s="322">
        <f t="shared" si="7"/>
        <v>108070</v>
      </c>
      <c r="Q13" s="322" t="str">
        <f t="shared" si="7"/>
        <v/>
      </c>
    </row>
    <row r="14" spans="1:17" ht="15.75" customHeight="1">
      <c r="A14" s="10"/>
      <c r="B14" s="2" t="s">
        <v>63</v>
      </c>
      <c r="C14" s="321">
        <f>-SUM(C8+C11,C12)*C43</f>
        <v>-38535.0625</v>
      </c>
      <c r="E14" s="270"/>
      <c r="G14" s="321">
        <f>Data!C46</f>
        <v>-9629</v>
      </c>
      <c r="H14" s="321">
        <f>Data!D46</f>
        <v>-6675</v>
      </c>
      <c r="I14" s="321">
        <f>Data!E46</f>
        <v>-13807</v>
      </c>
      <c r="J14" s="321">
        <f>Data!F46</f>
        <v>-11494</v>
      </c>
      <c r="K14" s="321">
        <f>Data!G46</f>
        <v>-8956</v>
      </c>
      <c r="L14" s="321">
        <f>Data!H46</f>
        <v>-7801</v>
      </c>
      <c r="M14" s="321">
        <f>Data!I46</f>
        <v>-6832</v>
      </c>
      <c r="N14" s="321">
        <f>Data!J46</f>
        <v>-7018</v>
      </c>
      <c r="O14" s="321">
        <f>Data!K46</f>
        <v>-9598</v>
      </c>
      <c r="P14" s="321">
        <f>Data!L46</f>
        <v>-12594</v>
      </c>
      <c r="Q14" s="321" t="str">
        <f>Data!M46</f>
        <v/>
      </c>
    </row>
    <row r="15" spans="1:17" ht="15.75" customHeight="1">
      <c r="A15" s="10"/>
      <c r="B15" s="40" t="s">
        <v>244</v>
      </c>
      <c r="C15" s="321">
        <f>-C4*C83</f>
        <v>-902.60509486250271</v>
      </c>
      <c r="D15" s="60"/>
      <c r="E15" s="277"/>
      <c r="F15" s="60"/>
      <c r="G15" s="326">
        <f>Data!C48</f>
        <v>-286</v>
      </c>
      <c r="H15" s="326">
        <f>Data!D48</f>
        <v>-538</v>
      </c>
      <c r="I15" s="326">
        <f>Data!E48</f>
        <v>-1037</v>
      </c>
      <c r="J15" s="326">
        <f>Data!F48</f>
        <v>-1136</v>
      </c>
      <c r="K15" s="326">
        <f>Data!G48</f>
        <v>-1055</v>
      </c>
      <c r="L15" s="326">
        <f>Data!H48</f>
        <v>-834</v>
      </c>
      <c r="M15" s="326">
        <f>Data!I48</f>
        <v>-625</v>
      </c>
      <c r="N15" s="326">
        <f>Data!J48</f>
        <v>-535</v>
      </c>
      <c r="O15" s="326">
        <f>Data!K48</f>
        <v>-477</v>
      </c>
      <c r="P15" s="326">
        <f>Data!L48</f>
        <v>-443</v>
      </c>
      <c r="Q15" s="326" t="str">
        <f>Data!M48</f>
        <v/>
      </c>
    </row>
    <row r="16" spans="1:17" ht="15.75" customHeight="1">
      <c r="A16" s="10"/>
      <c r="B16" s="41" t="s">
        <v>155</v>
      </c>
      <c r="C16" s="325">
        <f>SUM(C13:C15)</f>
        <v>114702.58240513749</v>
      </c>
      <c r="D16" s="61"/>
      <c r="E16" s="278"/>
      <c r="F16" s="61"/>
      <c r="G16" s="322">
        <f>IF(G$4="","",SUM(G13:G15))</f>
        <v>137471</v>
      </c>
      <c r="H16" s="322">
        <f t="shared" ref="H16:Q16" si="8">IF(H$4="","",SUM(H13:H15))</f>
        <v>138105</v>
      </c>
      <c r="I16" s="322">
        <f t="shared" si="8"/>
        <v>139938</v>
      </c>
      <c r="J16" s="322">
        <f t="shared" si="8"/>
        <v>149579</v>
      </c>
      <c r="K16" s="322">
        <f t="shared" si="8"/>
        <v>141963</v>
      </c>
      <c r="L16" s="322">
        <f t="shared" si="8"/>
        <v>123727</v>
      </c>
      <c r="M16" s="322">
        <f t="shared" si="8"/>
        <v>106861</v>
      </c>
      <c r="N16" s="322">
        <f t="shared" si="8"/>
        <v>92767</v>
      </c>
      <c r="O16" s="322">
        <f t="shared" si="8"/>
        <v>104583</v>
      </c>
      <c r="P16" s="322">
        <f t="shared" si="8"/>
        <v>95033</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114702.58240513749</v>
      </c>
      <c r="D19" s="27"/>
      <c r="E19" s="267"/>
      <c r="F19" s="27"/>
      <c r="G19" s="327">
        <f>IF(G$4="","",G16+G17)</f>
        <v>137471</v>
      </c>
      <c r="H19" s="327">
        <f t="shared" ref="H19:Q19" si="9">IF(H$4="","",H16+H17)</f>
        <v>138105</v>
      </c>
      <c r="I19" s="327">
        <f t="shared" si="9"/>
        <v>139938</v>
      </c>
      <c r="J19" s="327">
        <f t="shared" si="9"/>
        <v>149579</v>
      </c>
      <c r="K19" s="327">
        <f t="shared" si="9"/>
        <v>141963</v>
      </c>
      <c r="L19" s="327">
        <f t="shared" si="9"/>
        <v>123727</v>
      </c>
      <c r="M19" s="327">
        <f t="shared" si="9"/>
        <v>106861</v>
      </c>
      <c r="N19" s="327">
        <f t="shared" si="9"/>
        <v>92767</v>
      </c>
      <c r="O19" s="327">
        <f t="shared" si="9"/>
        <v>104583</v>
      </c>
      <c r="P19" s="327">
        <f t="shared" si="9"/>
        <v>95033</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0</v>
      </c>
      <c r="D23" s="58"/>
      <c r="E23" s="269"/>
      <c r="F23" s="58"/>
      <c r="G23" s="326">
        <f>Data!C37</f>
        <v>0</v>
      </c>
      <c r="H23" s="326">
        <f>Data!D37</f>
        <v>0</v>
      </c>
      <c r="I23" s="326">
        <f>Data!E37</f>
        <v>0</v>
      </c>
      <c r="J23" s="326">
        <f>Data!F37</f>
        <v>0</v>
      </c>
      <c r="K23" s="326">
        <f>Data!G37</f>
        <v>0</v>
      </c>
      <c r="L23" s="326">
        <f>Data!H37</f>
        <v>0</v>
      </c>
      <c r="M23" s="326">
        <f>Data!I37</f>
        <v>0</v>
      </c>
      <c r="N23" s="326">
        <f>Data!J37</f>
        <v>0</v>
      </c>
      <c r="O23" s="326">
        <f>Data!K37</f>
        <v>0</v>
      </c>
      <c r="P23" s="326">
        <f>Data!L37</f>
        <v>0</v>
      </c>
      <c r="Q23" s="326" t="str">
        <f>Data!M37</f>
        <v/>
      </c>
    </row>
    <row r="24" spans="1:17" ht="15.75" customHeight="1">
      <c r="A24" s="10"/>
      <c r="B24" s="68" t="s">
        <v>62</v>
      </c>
      <c r="C24" s="321">
        <f>-C4*C29</f>
        <v>0</v>
      </c>
      <c r="D24" s="27"/>
      <c r="E24" s="267"/>
      <c r="F24" s="27"/>
      <c r="G24" s="326">
        <f>Data!C40</f>
        <v>0</v>
      </c>
      <c r="H24" s="326">
        <f>Data!D40</f>
        <v>0</v>
      </c>
      <c r="I24" s="326">
        <f>Data!E40</f>
        <v>0</v>
      </c>
      <c r="J24" s="326">
        <f>Data!F40</f>
        <v>0</v>
      </c>
      <c r="K24" s="326">
        <f>Data!G40</f>
        <v>0</v>
      </c>
      <c r="L24" s="326">
        <f>Data!H40</f>
        <v>0</v>
      </c>
      <c r="M24" s="326">
        <f>Data!I40</f>
        <v>0</v>
      </c>
      <c r="N24" s="326">
        <f>Data!J40</f>
        <v>0</v>
      </c>
      <c r="O24" s="326">
        <f>Data!K40</f>
        <v>0</v>
      </c>
      <c r="P24" s="326">
        <f>Data!L40</f>
        <v>0</v>
      </c>
      <c r="Q24" s="326" t="str">
        <f>Data!M40</f>
        <v/>
      </c>
    </row>
    <row r="25" spans="1:17" ht="15.75" customHeight="1">
      <c r="A25" s="10"/>
      <c r="B25" s="70" t="s">
        <v>46</v>
      </c>
      <c r="C25" s="322">
        <f>C23+C24</f>
        <v>0</v>
      </c>
      <c r="D25" s="9"/>
      <c r="E25" s="275"/>
      <c r="F25" s="9"/>
      <c r="G25" s="322">
        <f t="shared" ref="G25:Q25" si="10">IF(G$4="","",G23+G24)</f>
        <v>0</v>
      </c>
      <c r="H25" s="322">
        <f t="shared" si="10"/>
        <v>0</v>
      </c>
      <c r="I25" s="322">
        <f t="shared" si="10"/>
        <v>0</v>
      </c>
      <c r="J25" s="322">
        <f t="shared" si="10"/>
        <v>0</v>
      </c>
      <c r="K25" s="322">
        <f t="shared" si="10"/>
        <v>0</v>
      </c>
      <c r="L25" s="322">
        <f t="shared" si="10"/>
        <v>0</v>
      </c>
      <c r="M25" s="322">
        <f t="shared" si="10"/>
        <v>0</v>
      </c>
      <c r="N25" s="322">
        <f t="shared" si="10"/>
        <v>0</v>
      </c>
      <c r="O25" s="322">
        <f t="shared" si="10"/>
        <v>0</v>
      </c>
      <c r="P25" s="322">
        <f t="shared" si="10"/>
        <v>0</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v>
      </c>
      <c r="D28" s="26"/>
      <c r="E28" s="268" t="s">
        <v>334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8" t="s">
        <v>334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70"/>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-61984.75</v>
      </c>
      <c r="E33" s="268" t="s">
        <v>334</v>
      </c>
      <c r="G33" s="321">
        <f>Data!C41</f>
        <v>-62611</v>
      </c>
      <c r="H33" s="321">
        <f>Data!D41</f>
        <v>-63194</v>
      </c>
      <c r="I33" s="321">
        <f>Data!E41</f>
        <v>-65314</v>
      </c>
      <c r="J33" s="321">
        <f>Data!F41</f>
        <v>-56820</v>
      </c>
      <c r="K33" s="321">
        <f>Data!G41</f>
        <v>-49077</v>
      </c>
      <c r="L33" s="321">
        <f>Data!H41</f>
        <v>-47190</v>
      </c>
      <c r="M33" s="321">
        <f>Data!I41</f>
        <v>-42561</v>
      </c>
      <c r="N33" s="321">
        <f>Data!J41</f>
        <v>-38680</v>
      </c>
      <c r="O33" s="321">
        <f>Data!K41</f>
        <v>-36735</v>
      </c>
      <c r="P33" s="321">
        <f>Data!L41</f>
        <v>-33323</v>
      </c>
      <c r="Q33" s="321" t="str">
        <f>Data!M41</f>
        <v/>
      </c>
    </row>
    <row r="34" spans="1:17" ht="15.75" customHeight="1">
      <c r="A34" s="10"/>
      <c r="B34" s="27" t="s">
        <v>49</v>
      </c>
      <c r="C34" s="331">
        <f>AVERAGE(G34:J34)</f>
        <v>0</v>
      </c>
      <c r="D34" s="58"/>
      <c r="E34" s="268" t="s">
        <v>334</v>
      </c>
      <c r="F34" s="58"/>
      <c r="G34" s="326">
        <f>Data!C42</f>
        <v>0</v>
      </c>
      <c r="H34" s="326">
        <f>Data!D42</f>
        <v>0</v>
      </c>
      <c r="I34" s="326">
        <f>Data!E42</f>
        <v>0</v>
      </c>
      <c r="J34" s="326">
        <f>Data!F42</f>
        <v>0</v>
      </c>
      <c r="K34" s="326">
        <f>Data!G42</f>
        <v>0</v>
      </c>
      <c r="L34" s="326">
        <f>Data!H42</f>
        <v>0</v>
      </c>
      <c r="M34" s="326">
        <f>Data!I42</f>
        <v>0</v>
      </c>
      <c r="N34" s="326">
        <f>Data!J42</f>
        <v>0</v>
      </c>
      <c r="O34" s="326">
        <f>Data!K42</f>
        <v>0</v>
      </c>
      <c r="P34" s="326">
        <f>Data!L42</f>
        <v>0</v>
      </c>
      <c r="Q34" s="326" t="str">
        <f>Data!M42</f>
        <v/>
      </c>
    </row>
    <row r="35" spans="1:17" ht="15.75" customHeight="1">
      <c r="A35" s="10"/>
      <c r="B35" s="70" t="s">
        <v>45</v>
      </c>
      <c r="C35" s="322">
        <f>C33+C34</f>
        <v>-61984.75</v>
      </c>
      <c r="D35" s="58"/>
      <c r="E35" s="269"/>
      <c r="F35" s="58"/>
      <c r="G35" s="322">
        <f t="shared" ref="G35:Q35" si="14">IF(G4="","",G33+G34)</f>
        <v>-62611</v>
      </c>
      <c r="H35" s="322">
        <f t="shared" si="14"/>
        <v>-63194</v>
      </c>
      <c r="I35" s="322">
        <f t="shared" si="14"/>
        <v>-65314</v>
      </c>
      <c r="J35" s="322">
        <f t="shared" si="14"/>
        <v>-56820</v>
      </c>
      <c r="K35" s="322">
        <f t="shared" si="14"/>
        <v>-49077</v>
      </c>
      <c r="L35" s="322">
        <f t="shared" si="14"/>
        <v>-47190</v>
      </c>
      <c r="M35" s="322">
        <f t="shared" si="14"/>
        <v>-42561</v>
      </c>
      <c r="N35" s="322">
        <f t="shared" si="14"/>
        <v>-38680</v>
      </c>
      <c r="O35" s="322">
        <f t="shared" si="14"/>
        <v>-36735</v>
      </c>
      <c r="P35" s="322">
        <f t="shared" si="14"/>
        <v>-33323</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0.91129921491369936</v>
      </c>
      <c r="D38" s="27"/>
      <c r="E38" s="267"/>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7"/>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70"/>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-195728</v>
      </c>
      <c r="E47" s="270"/>
      <c r="G47" s="321">
        <f>Data!C51</f>
        <v>-195728</v>
      </c>
      <c r="H47" s="321">
        <f>Data!D51</f>
        <v>-202576</v>
      </c>
      <c r="I47" s="321">
        <f>Data!E51</f>
        <v>-183473</v>
      </c>
      <c r="J47" s="321">
        <f>Data!F51</f>
        <v>-169479</v>
      </c>
      <c r="K47" s="321">
        <f>Data!G51</f>
        <v>-159963</v>
      </c>
      <c r="L47" s="321">
        <f>Data!H51</f>
        <v>-166689</v>
      </c>
      <c r="M47" s="321">
        <f>Data!I51</f>
        <v>-174921</v>
      </c>
      <c r="N47" s="321">
        <f>Data!J51</f>
        <v>-164193</v>
      </c>
      <c r="O47" s="321">
        <f>Data!K51</f>
        <v>-123960</v>
      </c>
      <c r="P47" s="321">
        <f>Data!L51</f>
        <v>-136138</v>
      </c>
      <c r="Q47" s="321" t="str">
        <f>Data!M51</f>
        <v/>
      </c>
    </row>
    <row r="48" spans="1:17" ht="15.75" customHeight="1">
      <c r="A48" s="10"/>
      <c r="B48" s="2" t="s">
        <v>346</v>
      </c>
      <c r="C48" s="321">
        <f>BS!D75*C53</f>
        <v>343835</v>
      </c>
      <c r="E48" s="270"/>
      <c r="G48" s="330">
        <f>IFERROR(IF(G$4="","",($C$48/$C$49)*G49),0)</f>
        <v>343835</v>
      </c>
      <c r="H48" s="330">
        <f t="shared" ref="H48:Q48" si="19">IFERROR(IF(H$4="","",($C$48/$C$49)*H49),0)</f>
        <v>349079</v>
      </c>
      <c r="I48" s="330">
        <f t="shared" si="19"/>
        <v>328746</v>
      </c>
      <c r="J48" s="330">
        <f t="shared" si="19"/>
        <v>315158</v>
      </c>
      <c r="K48" s="330">
        <f t="shared" si="19"/>
        <v>303478</v>
      </c>
      <c r="L48" s="330">
        <f t="shared" si="19"/>
        <v>269677</v>
      </c>
      <c r="M48" s="330">
        <f t="shared" si="19"/>
        <v>270578</v>
      </c>
      <c r="N48" s="330">
        <f t="shared" si="19"/>
        <v>252644</v>
      </c>
      <c r="O48" s="330">
        <f t="shared" si="19"/>
        <v>236279</v>
      </c>
      <c r="P48" s="330">
        <f t="shared" si="19"/>
        <v>255972</v>
      </c>
      <c r="Q48" s="330" t="str">
        <f t="shared" si="19"/>
        <v/>
      </c>
    </row>
    <row r="49" spans="1:17" ht="15.75" customHeight="1">
      <c r="A49" s="10"/>
      <c r="B49" s="289" t="s">
        <v>343</v>
      </c>
      <c r="C49" s="332">
        <f>BS!$C$66*C53</f>
        <v>343835</v>
      </c>
      <c r="D49" s="290"/>
      <c r="E49" s="291"/>
      <c r="F49" s="290"/>
      <c r="G49" s="332">
        <f>Data!C52</f>
        <v>343835</v>
      </c>
      <c r="H49" s="332">
        <f>Data!D52</f>
        <v>349079</v>
      </c>
      <c r="I49" s="332">
        <f>Data!E52</f>
        <v>328746</v>
      </c>
      <c r="J49" s="332">
        <f>Data!F52</f>
        <v>315158</v>
      </c>
      <c r="K49" s="332">
        <f>Data!G52</f>
        <v>303478</v>
      </c>
      <c r="L49" s="332">
        <f>Data!H52</f>
        <v>269677</v>
      </c>
      <c r="M49" s="332">
        <f>Data!I52</f>
        <v>270578</v>
      </c>
      <c r="N49" s="332">
        <f>Data!J52</f>
        <v>252644</v>
      </c>
      <c r="O49" s="332">
        <f>Data!K52</f>
        <v>236279</v>
      </c>
      <c r="P49" s="332">
        <f>Data!L52</f>
        <v>255972</v>
      </c>
      <c r="Q49" s="332" t="str">
        <f>Data!M52</f>
        <v/>
      </c>
    </row>
    <row r="50" spans="1:17" ht="15.75" customHeight="1">
      <c r="A50" s="10"/>
      <c r="B50" s="70" t="s">
        <v>68</v>
      </c>
      <c r="C50" s="322">
        <f>C47+C48</f>
        <v>148107</v>
      </c>
      <c r="E50" s="270"/>
      <c r="G50" s="322">
        <f>IF(G$4="","",(G47+G48))</f>
        <v>148107</v>
      </c>
      <c r="H50" s="322">
        <f t="shared" ref="H50:Q50" si="20">IF(H$4="","",(H47+H48))</f>
        <v>146503</v>
      </c>
      <c r="I50" s="322">
        <f t="shared" si="20"/>
        <v>145273</v>
      </c>
      <c r="J50" s="322">
        <f t="shared" si="20"/>
        <v>145679</v>
      </c>
      <c r="K50" s="322">
        <f t="shared" si="20"/>
        <v>143515</v>
      </c>
      <c r="L50" s="322">
        <f t="shared" si="20"/>
        <v>102988</v>
      </c>
      <c r="M50" s="322">
        <f t="shared" si="20"/>
        <v>95657</v>
      </c>
      <c r="N50" s="322">
        <f t="shared" si="20"/>
        <v>88451</v>
      </c>
      <c r="O50" s="322">
        <f t="shared" si="20"/>
        <v>112319</v>
      </c>
      <c r="P50" s="322">
        <f t="shared" si="20"/>
        <v>119834</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5.1039038960584003E-2</v>
      </c>
      <c r="E53" s="267" t="s">
        <v>336</v>
      </c>
      <c r="G53" s="6">
        <f>IF(Normalized_FCF!G4="","",Normalized_FCF!G49/BS!$C$66)</f>
        <v>5.1039038960584003E-2</v>
      </c>
      <c r="H53" s="169"/>
      <c r="I53" s="169"/>
      <c r="J53" s="169"/>
      <c r="K53" s="169"/>
      <c r="L53" s="169"/>
      <c r="M53" s="169"/>
      <c r="N53" s="169"/>
      <c r="O53" s="169"/>
      <c r="P53" s="169"/>
      <c r="Q53" s="169"/>
    </row>
    <row r="54" spans="1:17" ht="15.75" customHeight="1">
      <c r="A54" s="10"/>
      <c r="B54" s="8" t="s">
        <v>88</v>
      </c>
      <c r="C54" s="82">
        <f>G54</f>
        <v>2.0566860106198924E-2</v>
      </c>
      <c r="E54" s="267" t="s">
        <v>337</v>
      </c>
      <c r="G54" s="23">
        <f>IFERROR(ABS(Normalized_FCF!G47/BS!$G$31),0)</f>
        <v>2.0566860106198924E-2</v>
      </c>
      <c r="H54" s="169"/>
      <c r="I54" s="169"/>
      <c r="J54" s="169"/>
      <c r="K54" s="169"/>
      <c r="L54" s="169"/>
      <c r="M54" s="169"/>
      <c r="N54" s="169"/>
      <c r="O54" s="169"/>
      <c r="P54" s="169"/>
      <c r="Q54" s="169"/>
    </row>
    <row r="55" spans="1:17" ht="15.75" customHeight="1">
      <c r="A55" s="10"/>
      <c r="B55" s="26" t="s">
        <v>91</v>
      </c>
      <c r="C55" s="42">
        <f>-C8/C47</f>
        <v>3.0824664841003841E-2</v>
      </c>
      <c r="E55" s="270"/>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f>Data!L55</f>
        <v>0</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f t="shared" si="22"/>
        <v>0</v>
      </c>
      <c r="M61" s="322">
        <f t="shared" si="22"/>
        <v>0</v>
      </c>
      <c r="N61" s="322">
        <f t="shared" si="22"/>
        <v>0</v>
      </c>
      <c r="O61" s="322">
        <f t="shared" si="22"/>
        <v>0</v>
      </c>
      <c r="P61" s="322">
        <f t="shared" si="22"/>
        <v>0</v>
      </c>
      <c r="Q61" s="322" t="str">
        <f t="shared" si="22"/>
        <v/>
      </c>
    </row>
    <row r="62" spans="1:17" ht="15.75" customHeight="1">
      <c r="A62" s="10"/>
      <c r="B62" s="40" t="s">
        <v>161</v>
      </c>
      <c r="C62" s="333">
        <v>0</v>
      </c>
      <c r="E62" s="268" t="s">
        <v>338</v>
      </c>
      <c r="G62" s="321">
        <f>Data!C58</f>
        <v>-60266</v>
      </c>
      <c r="H62" s="321">
        <f>Data!D58</f>
        <v>-60989</v>
      </c>
      <c r="I62" s="321">
        <f>Data!E58</f>
        <v>-48561</v>
      </c>
      <c r="J62" s="321">
        <f>Data!F58</f>
        <v>-66899</v>
      </c>
      <c r="K62" s="321">
        <f>Data!G58</f>
        <v>-75337</v>
      </c>
      <c r="L62" s="321">
        <f>Data!H58</f>
        <v>-57859</v>
      </c>
      <c r="M62" s="321">
        <f>Data!I58</f>
        <v>-46241</v>
      </c>
      <c r="N62" s="321">
        <f>Data!J58</f>
        <v>-35567</v>
      </c>
      <c r="O62" s="321">
        <f>Data!K58</f>
        <v>-50733</v>
      </c>
      <c r="P62" s="321">
        <f>Data!L58</f>
        <v>-44826</v>
      </c>
      <c r="Q62" s="321" t="str">
        <f>Data!M58</f>
        <v/>
      </c>
    </row>
    <row r="63" spans="1:17" ht="15.75" customHeight="1">
      <c r="A63" s="10"/>
      <c r="B63" s="31" t="s">
        <v>196</v>
      </c>
      <c r="C63" s="322">
        <f>C61+C62</f>
        <v>0</v>
      </c>
      <c r="E63" s="270"/>
      <c r="G63" s="322">
        <f t="shared" ref="G63:Q63" si="23">IF(G4="","",G61+G62)</f>
        <v>-60266</v>
      </c>
      <c r="H63" s="322">
        <f t="shared" si="23"/>
        <v>-60989</v>
      </c>
      <c r="I63" s="322">
        <f t="shared" si="23"/>
        <v>-48561</v>
      </c>
      <c r="J63" s="322">
        <f t="shared" si="23"/>
        <v>-66899</v>
      </c>
      <c r="K63" s="322">
        <f t="shared" si="23"/>
        <v>-75337</v>
      </c>
      <c r="L63" s="322">
        <f t="shared" si="23"/>
        <v>-57859</v>
      </c>
      <c r="M63" s="322">
        <f t="shared" si="23"/>
        <v>-46241</v>
      </c>
      <c r="N63" s="322">
        <f t="shared" si="23"/>
        <v>-35567</v>
      </c>
      <c r="O63" s="322">
        <f t="shared" si="23"/>
        <v>-50733</v>
      </c>
      <c r="P63" s="322">
        <f t="shared" si="23"/>
        <v>-44826</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v>
      </c>
      <c r="D73" s="27"/>
      <c r="E73" s="267"/>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7"/>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7"/>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153</v>
      </c>
      <c r="C76" s="78">
        <f>ABS(C8/C$4)</f>
        <v>8.8700785086300679E-2</v>
      </c>
      <c r="D76" s="27"/>
      <c r="E76" s="267"/>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7"/>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8" t="s">
        <v>461</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7"/>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165</v>
      </c>
      <c r="C81" s="78">
        <f>C13/C4</f>
        <v>2.2661685142168251</v>
      </c>
      <c r="D81" s="27"/>
      <c r="E81" s="267"/>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7"/>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6">
        <f>MIN(BS!C62,MAX(G83:K83))</f>
        <v>1.3270091664890215E-2</v>
      </c>
      <c r="D83" s="27"/>
      <c r="E83" s="267"/>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155</v>
      </c>
      <c r="C84" s="78">
        <f>ABS(C16/C$4)</f>
        <v>1.6863562939977286</v>
      </c>
      <c r="D84" s="27"/>
      <c r="E84" s="267"/>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1.6863562939977286</v>
      </c>
      <c r="D87" s="75"/>
      <c r="E87" s="267"/>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(CNY)</v>
      </c>
      <c r="C90" s="113">
        <f>G90</f>
        <v>1.06</v>
      </c>
      <c r="E90" s="270"/>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70"/>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0.19198146616473824</v>
      </c>
      <c r="E92" s="270"/>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4.7069271758436948E-2</v>
      </c>
      <c r="E93" s="270"/>
      <c r="G93" s="23">
        <f t="shared" ref="G93:Q93" si="39">IF(G$4="","",G90/Market_Price)</f>
        <v>4.7069271758436948E-2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9.9014380352237863E-2</v>
      </c>
      <c r="D96" s="27"/>
      <c r="E96" s="267"/>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c r="A97" s="10"/>
      <c r="B97" s="70" t="s">
        <v>165</v>
      </c>
      <c r="C97" s="77">
        <f>C13/G13-1</f>
        <v>4.5826944214511611E-2</v>
      </c>
      <c r="D97" s="27"/>
      <c r="E97" s="267"/>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10507898</v>
      </c>
      <c r="D101" s="26"/>
      <c r="E101" s="271"/>
      <c r="F101" s="26"/>
      <c r="G101" s="326">
        <f t="shared" ref="G101:Q101" si="42">IF(G$4="","",G105+G104)</f>
        <v>10507898</v>
      </c>
      <c r="H101" s="326">
        <f t="shared" si="42"/>
        <v>10158326</v>
      </c>
      <c r="I101" s="326">
        <f t="shared" si="42"/>
        <v>9266671</v>
      </c>
      <c r="J101" s="326">
        <f t="shared" si="42"/>
        <v>8603024</v>
      </c>
      <c r="K101" s="326">
        <f t="shared" si="42"/>
        <v>7894000</v>
      </c>
      <c r="L101" s="326">
        <f t="shared" si="42"/>
        <v>7145681</v>
      </c>
      <c r="M101" s="326">
        <f t="shared" si="42"/>
        <v>6711657</v>
      </c>
      <c r="N101" s="326">
        <f t="shared" si="42"/>
        <v>6416842</v>
      </c>
      <c r="O101" s="326">
        <f t="shared" si="42"/>
        <v>6085895</v>
      </c>
      <c r="P101" s="326">
        <f t="shared" si="42"/>
        <v>5298880</v>
      </c>
      <c r="Q101" s="326" t="str">
        <f t="shared" si="42"/>
        <v/>
      </c>
    </row>
    <row r="102" spans="1:17" ht="15.75" customHeight="1">
      <c r="A102" s="10"/>
      <c r="B102" s="93" t="s">
        <v>211</v>
      </c>
      <c r="C102" s="335">
        <f>BS!C4</f>
        <v>0</v>
      </c>
      <c r="D102" s="89"/>
      <c r="E102" s="272"/>
      <c r="F102" s="89"/>
      <c r="G102" s="336">
        <f>IF(G$4="","",Data!D77)</f>
        <v>0</v>
      </c>
      <c r="H102" s="336">
        <f>IF(H$4="","",Data!E77)</f>
        <v>0</v>
      </c>
      <c r="I102" s="336">
        <f>IF(I$4="","",Data!F77)</f>
        <v>0</v>
      </c>
      <c r="J102" s="336">
        <f>IF(J$4="","",Data!G77)</f>
        <v>0</v>
      </c>
      <c r="K102" s="336">
        <f>IF(K$4="","",Data!H77)</f>
        <v>0</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0</v>
      </c>
      <c r="D103" s="89"/>
      <c r="E103" s="272"/>
      <c r="F103" s="89"/>
      <c r="G103" s="336">
        <f>IF(G$4="","",Data!D78)</f>
        <v>0</v>
      </c>
      <c r="H103" s="336">
        <f>IF(H$4="","",Data!E78)</f>
        <v>0</v>
      </c>
      <c r="I103" s="336">
        <f>IF(I$4="","",Data!F78)</f>
        <v>0</v>
      </c>
      <c r="J103" s="336">
        <f>IF(J$4="","",Data!G78)</f>
        <v>0</v>
      </c>
      <c r="K103" s="336">
        <f>IF(K$4="","",Data!H78)</f>
        <v>0</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9614287</v>
      </c>
      <c r="D104" s="26"/>
      <c r="E104" s="271"/>
      <c r="F104" s="26"/>
      <c r="G104" s="326">
        <f>Data!C79</f>
        <v>9614287</v>
      </c>
      <c r="H104" s="326">
        <f>Data!D79</f>
        <v>9350607</v>
      </c>
      <c r="I104" s="326">
        <f>Data!E79</f>
        <v>8509373</v>
      </c>
      <c r="J104" s="326">
        <f>Data!F79</f>
        <v>7908726</v>
      </c>
      <c r="K104" s="326">
        <f>Data!G79</f>
        <v>7269197</v>
      </c>
      <c r="L104" s="326">
        <f>Data!H79</f>
        <v>6596029</v>
      </c>
      <c r="M104" s="326">
        <f>Data!I79</f>
        <v>6239073</v>
      </c>
      <c r="N104" s="326">
        <f>Data!J79</f>
        <v>5994090</v>
      </c>
      <c r="O104" s="326">
        <f>Data!K79</f>
        <v>5731485</v>
      </c>
      <c r="P104" s="326">
        <f>Data!L79</f>
        <v>4981503</v>
      </c>
      <c r="Q104" s="326" t="str">
        <f>Data!M79</f>
        <v/>
      </c>
    </row>
    <row r="105" spans="1:17" ht="15.75" customHeight="1">
      <c r="A105" s="10"/>
      <c r="B105" s="26" t="s">
        <v>30</v>
      </c>
      <c r="C105" s="334">
        <f>BS!G27</f>
        <v>893611</v>
      </c>
      <c r="D105" s="26"/>
      <c r="E105" s="271"/>
      <c r="F105" s="26"/>
      <c r="G105" s="326">
        <f>Data!C80</f>
        <v>893611</v>
      </c>
      <c r="H105" s="326">
        <f>Data!D80</f>
        <v>807719</v>
      </c>
      <c r="I105" s="326">
        <f>Data!E80</f>
        <v>757298</v>
      </c>
      <c r="J105" s="326">
        <f>Data!F80</f>
        <v>694298</v>
      </c>
      <c r="K105" s="326">
        <f>Data!G80</f>
        <v>624803</v>
      </c>
      <c r="L105" s="326">
        <f>Data!H80</f>
        <v>549652</v>
      </c>
      <c r="M105" s="326">
        <f>Data!I80</f>
        <v>472584</v>
      </c>
      <c r="N105" s="326">
        <f>Data!J80</f>
        <v>422752</v>
      </c>
      <c r="O105" s="326">
        <f>Data!K80</f>
        <v>354410</v>
      </c>
      <c r="P105" s="326">
        <f>Data!L80</f>
        <v>317377</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0</v>
      </c>
      <c r="D108" s="26"/>
      <c r="E108" s="271"/>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71"/>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-3.0617491063478339</v>
      </c>
      <c r="H113" s="297">
        <f>IF(H$4="","",Data!D$22/Data!D15)</f>
        <v>5.5839621912586601</v>
      </c>
      <c r="I113" s="297">
        <f>IF(I$4="","",Data!E$22/Data!E15)</f>
        <v>-3.7287315774666174</v>
      </c>
      <c r="J113" s="297">
        <f>IF(J$4="","",Data!F$22/Data!F15)</f>
        <v>-4.6503173618402212</v>
      </c>
      <c r="K113" s="297">
        <f>IF(K$4="","",Data!G$22/Data!G15)</f>
        <v>-0.50572538821825919</v>
      </c>
      <c r="L113" s="297">
        <f>IF(L$4="","",Data!H$22/Data!H15)</f>
        <v>-8.8154628047135013</v>
      </c>
      <c r="M113" s="297">
        <f>IF(M$4="","",Data!I$22/Data!I15)</f>
        <v>-5.8143358641521754</v>
      </c>
      <c r="N113" s="297">
        <f>IF(N$4="","",Data!J$22/Data!J15)</f>
        <v>-2.817043387892959</v>
      </c>
      <c r="O113" s="297">
        <f>IF(O$4="","",Data!K$22/Data!K15)</f>
        <v>3.7369447972463048</v>
      </c>
      <c r="P113" s="297">
        <f>IF(P$4="","",Data!L$22/Data!L15)</f>
        <v>16.163731490621917</v>
      </c>
      <c r="Q113" s="297" t="str">
        <f>IF(Q$4="","",Data!M$22/Data!M15)</f>
        <v/>
      </c>
    </row>
    <row r="114" spans="1:17" ht="15.75" customHeight="1">
      <c r="A114" s="10"/>
      <c r="B114" s="2" t="s">
        <v>393</v>
      </c>
      <c r="C114" s="169"/>
      <c r="E114" s="270"/>
      <c r="G114" s="297">
        <f>IF(G$4="","",Data!C$22/G19)</f>
        <v>-1.7258767303649496</v>
      </c>
      <c r="H114" s="297">
        <f>IF(H$4="","",Data!D$22/H19)</f>
        <v>3.1397632236341915</v>
      </c>
      <c r="I114" s="297">
        <f>IF(I$4="","",Data!E$22/I19)</f>
        <v>-2.4624262173248153</v>
      </c>
      <c r="J114" s="297">
        <f>IF(J$4="","",Data!F$22/J19)</f>
        <v>-2.6057869085901095</v>
      </c>
      <c r="K114" s="297">
        <f>IF(K$4="","",Data!G$22/K19)</f>
        <v>-0.24110507667490824</v>
      </c>
      <c r="L114" s="297">
        <f>IF(L$4="","",Data!H$22/L19)</f>
        <v>-4.752471166358192</v>
      </c>
      <c r="M114" s="297">
        <f>IF(M$4="","",Data!I$22/M19)</f>
        <v>-3.3323569871141014</v>
      </c>
      <c r="N114" s="297">
        <f>IF(N$4="","",Data!J$22/N19)</f>
        <v>-1.7532312136859012</v>
      </c>
      <c r="O114" s="297">
        <f>IF(O$4="","",Data!K$22/O19)</f>
        <v>1.941204593480776</v>
      </c>
      <c r="P114" s="297">
        <f>IF(P$4="","",Data!L$22/P19)</f>
        <v>8.6148285332463459</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2.2661685142168251</v>
      </c>
      <c r="E117" s="270"/>
      <c r="G117" s="23">
        <f t="shared" ref="G117:Q117" si="45">G81</f>
        <v>2.3814186459848119</v>
      </c>
      <c r="H117" s="23">
        <f t="shared" si="45"/>
        <v>2.3434985244077473</v>
      </c>
      <c r="I117" s="23">
        <f t="shared" si="45"/>
        <v>2.068641995108456</v>
      </c>
      <c r="J117" s="23">
        <f t="shared" si="45"/>
        <v>2.2114383094751191</v>
      </c>
      <c r="K117" s="23">
        <f t="shared" si="45"/>
        <v>2.6413723581757509</v>
      </c>
      <c r="L117" s="23">
        <f t="shared" si="45"/>
        <v>1.7287759260226738</v>
      </c>
      <c r="M117" s="23">
        <f t="shared" si="45"/>
        <v>1.8672699356440494</v>
      </c>
      <c r="N117" s="23">
        <f t="shared" si="45"/>
        <v>1.9846089932540703</v>
      </c>
      <c r="O117" s="23">
        <f t="shared" si="45"/>
        <v>2.934380918257665</v>
      </c>
      <c r="P117" s="23">
        <f t="shared" si="45"/>
        <v>5.0127556936778142</v>
      </c>
      <c r="Q117" s="23" t="str">
        <f t="shared" si="45"/>
        <v/>
      </c>
    </row>
    <row r="118" spans="1:17" ht="15.75" customHeight="1">
      <c r="B118" s="7" t="s">
        <v>84</v>
      </c>
      <c r="C118" s="42">
        <f>C4/C101</f>
        <v>6.4730358060194337E-3</v>
      </c>
      <c r="E118" s="270"/>
      <c r="G118" s="42">
        <f t="shared" ref="G118:Q118" si="46">IF(G4="","",G4/G101)</f>
        <v>5.8898554211317998E-3</v>
      </c>
      <c r="H118" s="42">
        <f t="shared" si="46"/>
        <v>6.1042537914219328E-3</v>
      </c>
      <c r="I118" s="42">
        <f t="shared" si="46"/>
        <v>8.074420684623421E-3</v>
      </c>
      <c r="J118" s="42">
        <f t="shared" si="46"/>
        <v>8.5260717626732176E-3</v>
      </c>
      <c r="K118" s="42">
        <f t="shared" si="46"/>
        <v>7.2885736002026857E-3</v>
      </c>
      <c r="L118" s="42">
        <f t="shared" si="46"/>
        <v>1.0714724040997632E-2</v>
      </c>
      <c r="M118" s="42">
        <f t="shared" si="46"/>
        <v>9.121741471591888E-3</v>
      </c>
      <c r="N118" s="42">
        <f t="shared" si="46"/>
        <v>7.8775509822432907E-3</v>
      </c>
      <c r="O118" s="42">
        <f t="shared" si="46"/>
        <v>6.4204196753312372E-3</v>
      </c>
      <c r="P118" s="42">
        <f t="shared" si="46"/>
        <v>4.0685956277552995E-3</v>
      </c>
      <c r="Q118" s="42" t="str">
        <f t="shared" si="46"/>
        <v/>
      </c>
    </row>
    <row r="119" spans="1:17" ht="15.75" customHeight="1">
      <c r="B119" s="7" t="s">
        <v>92</v>
      </c>
      <c r="C119" s="15">
        <f>C101/C105</f>
        <v>11.758917470801054</v>
      </c>
      <c r="D119" s="11"/>
      <c r="E119" s="274"/>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c r="A120" s="10"/>
      <c r="B120" s="70" t="s">
        <v>223</v>
      </c>
      <c r="C120" s="102">
        <f>C13/C105</f>
        <v>0.17249144202566888</v>
      </c>
      <c r="D120" s="103"/>
      <c r="E120" s="273"/>
      <c r="F120" s="103"/>
      <c r="G120" s="102">
        <f>IF(G$4="","",G13/G105)</f>
        <v>0.16493306371564362</v>
      </c>
      <c r="H120" s="102">
        <f t="shared" ref="H120:Q120" si="48">IF(H$4="","",H13/H105)</f>
        <v>0.17991157816022652</v>
      </c>
      <c r="I120" s="102">
        <f t="shared" si="48"/>
        <v>0.20438717651439725</v>
      </c>
      <c r="J120" s="102">
        <f t="shared" si="48"/>
        <v>0.23363022794246852</v>
      </c>
      <c r="K120" s="102">
        <f t="shared" si="48"/>
        <v>0.24323506769333694</v>
      </c>
      <c r="L120" s="102">
        <f t="shared" si="48"/>
        <v>0.2408105492202339</v>
      </c>
      <c r="M120" s="102">
        <f t="shared" si="48"/>
        <v>0.24189985272459499</v>
      </c>
      <c r="N120" s="102">
        <f t="shared" si="48"/>
        <v>0.2373022481265612</v>
      </c>
      <c r="O120" s="102">
        <f t="shared" si="48"/>
        <v>0.32351795942552414</v>
      </c>
      <c r="P120" s="102">
        <f t="shared" si="48"/>
        <v>0.34050986681454548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5.5213663129878379</v>
      </c>
      <c r="D124" s="27"/>
      <c r="E124" s="267"/>
      <c r="F124" s="27"/>
      <c r="G124" s="177">
        <f t="shared" ref="G124:Q124" si="49">IF(G$4="","",G16*$C$3/Common_Shares*Exchange_Rate)</f>
        <v>6.6173553593746677</v>
      </c>
      <c r="H124" s="177">
        <f t="shared" si="49"/>
        <v>6.6478738199797665</v>
      </c>
      <c r="I124" s="177">
        <f t="shared" si="49"/>
        <v>6.7361077920446659</v>
      </c>
      <c r="J124" s="177">
        <f t="shared" si="49"/>
        <v>7.2001905660095833</v>
      </c>
      <c r="K124" s="177">
        <f t="shared" si="49"/>
        <v>6.8335839477628442</v>
      </c>
      <c r="L124" s="177">
        <f t="shared" si="49"/>
        <v>5.9557690461941029</v>
      </c>
      <c r="M124" s="177">
        <f t="shared" si="49"/>
        <v>5.1439009759013636</v>
      </c>
      <c r="N124" s="177">
        <f t="shared" si="49"/>
        <v>4.4654669321028422</v>
      </c>
      <c r="O124" s="177">
        <f t="shared" si="49"/>
        <v>5.0342463177650627</v>
      </c>
      <c r="P124" s="177">
        <f t="shared" si="49"/>
        <v>4.5745439537608137</v>
      </c>
      <c r="Q124" s="177" t="str">
        <f t="shared" si="49"/>
        <v/>
      </c>
    </row>
    <row r="125" spans="1:17" ht="15.75" customHeight="1">
      <c r="A125" s="10"/>
      <c r="B125" s="27" t="s">
        <v>270</v>
      </c>
      <c r="C125" s="77">
        <f>C19*Exchange_Rate*$C$3/(Market_Price*Common_Shares)</f>
        <v>0.24517612402255057</v>
      </c>
      <c r="D125" s="27"/>
      <c r="E125" s="267"/>
      <c r="F125" s="27"/>
      <c r="G125" s="77">
        <f t="shared" ref="G125" si="50">IF(G$4="","",G124/Market_Price)</f>
        <v>0.29384348842693908</v>
      </c>
      <c r="H125" s="77">
        <f t="shared" ref="H125" si="51">IF(H$4="","",H124/Market_Price)</f>
        <v>0.29519865985700561</v>
      </c>
      <c r="I125" s="77">
        <f t="shared" ref="I125" si="52">IF(I$4="","",I124/Market_Price)</f>
        <v>0.29911668703573119</v>
      </c>
      <c r="J125" s="77">
        <f t="shared" ref="J125" si="53">IF(J$4="","",J124/Market_Price)</f>
        <v>0.31972427024909339</v>
      </c>
      <c r="K125" s="77">
        <f t="shared" ref="K125" si="54">IF(K$4="","",K124/Market_Price)</f>
        <v>0.30344511313334122</v>
      </c>
      <c r="L125" s="77">
        <f t="shared" ref="L125" si="55">IF(L$4="","",L124/Market_Price)</f>
        <v>0.26446576581678966</v>
      </c>
      <c r="M125" s="77">
        <f t="shared" ref="M125" si="56">IF(M$4="","",M124/Market_Price)</f>
        <v>0.22841478578602858</v>
      </c>
      <c r="N125" s="77">
        <f t="shared" ref="N125" si="57">IF(N$4="","",N124/Market_Price)</f>
        <v>0.19828894014666262</v>
      </c>
      <c r="O125" s="77">
        <f t="shared" ref="O125" si="58">IF(O$4="","",O124/Market_Price)</f>
        <v>0.22354557361301344</v>
      </c>
      <c r="P125" s="77">
        <f t="shared" ref="P125" si="59">IF(P$4="","",P124/Market_Price)</f>
        <v>0.2031325023872475</v>
      </c>
      <c r="Q125" s="77" t="str">
        <f t="shared" ref="Q125" si="60">IF(Q$4="","",Q124/Market_Price)</f>
        <v/>
      </c>
    </row>
    <row r="126" spans="1:17" ht="15.75" customHeight="1">
      <c r="B126" s="2" t="s">
        <v>395</v>
      </c>
      <c r="C126" s="169"/>
      <c r="G126" s="23">
        <f>IF(G$4="","",(Data!C47*$C$3)/(Market_Price*Common_Shares))</f>
        <v>0.16563657616291391</v>
      </c>
      <c r="H126" s="23">
        <f>IF(H$4="","",(Data!D47*$C$3)/(Market_Price*Common_Shares))</f>
        <v>0.16598498774509191</v>
      </c>
      <c r="I126" s="23">
        <f>IF(I$4="","",(Data!E47*$C$3)/(Market_Price*Common_Shares))</f>
        <v>0.19753440463433852</v>
      </c>
      <c r="J126" s="23">
        <f>IF(J$4="","",(Data!F47*$C$3)/(Market_Price*Common_Shares))</f>
        <v>0.1791562280480416</v>
      </c>
      <c r="K126" s="23">
        <f>IF(K$4="","",(Data!G47*$C$3)/(Market_Price*Common_Shares))</f>
        <v>0.14466775640115853</v>
      </c>
      <c r="L126" s="23">
        <f>IF(L$4="","",(Data!H47*$C$3)/(Market_Price*Common_Shares))</f>
        <v>0.14257514941372137</v>
      </c>
      <c r="M126" s="23">
        <f>IF(M$4="","",(Data!I47*$C$3)/(Market_Price*Common_Shares))</f>
        <v>0.13091084264105074</v>
      </c>
      <c r="N126" s="23">
        <f>IF(N$4="","",(Data!J47*$C$3)/(Market_Price*Common_Shares))</f>
        <v>0.1234082374051933</v>
      </c>
      <c r="O126" s="23">
        <f>IF(O$4="","",(Data!K47*$C$3)/(Market_Price*Common_Shares))</f>
        <v>0.11612365659499327</v>
      </c>
      <c r="P126" s="23">
        <f>IF(P$4="","",(Data!L47*$C$3)/(Market_Price*Common_Shares))</f>
        <v>0.10826408979948109</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3">
        <f>Normalized_FCF!C19</f>
        <v>114702.58240513749</v>
      </c>
      <c r="D4" t="str">
        <f>Reporting_currency</f>
        <v>CNY</v>
      </c>
      <c r="E4" s="100" t="s">
        <v>251</v>
      </c>
      <c r="F4" s="134">
        <f>Terminal_Growth</f>
        <v>0</v>
      </c>
      <c r="H4" s="120"/>
    </row>
    <row r="5" spans="2:8">
      <c r="B5" s="205" t="s">
        <v>124</v>
      </c>
      <c r="C5" s="206">
        <f>Equity_Cost</f>
        <v>0.06</v>
      </c>
      <c r="E5" s="148"/>
      <c r="H5" s="120"/>
    </row>
    <row r="6" spans="2:8" ht="13.25" customHeight="1">
      <c r="B6" s="149" t="s">
        <v>229</v>
      </c>
      <c r="C6" s="344">
        <f>(C4*(1+Terminal_Growth))/(Equity_Cost-Terminal_Growth)</f>
        <v>1911709.7067522916</v>
      </c>
      <c r="D6" t="str">
        <f>Reporting_currency</f>
        <v>CNY</v>
      </c>
      <c r="E6" s="355" t="s">
        <v>250</v>
      </c>
      <c r="F6" s="355"/>
      <c r="H6" s="120"/>
    </row>
    <row r="7" spans="2:8">
      <c r="B7" s="148" t="s">
        <v>225</v>
      </c>
      <c r="C7" s="343">
        <f>BS!G31</f>
        <v>9516669</v>
      </c>
      <c r="D7" t="str">
        <f>Reporting_currency</f>
        <v>CNY</v>
      </c>
      <c r="E7" s="355"/>
      <c r="F7" s="355"/>
      <c r="H7" s="120"/>
    </row>
    <row r="8" spans="2:8">
      <c r="B8" s="148" t="s">
        <v>226</v>
      </c>
      <c r="C8" s="343">
        <f>BS!D66</f>
        <v>0</v>
      </c>
      <c r="D8" t="str">
        <f>Reporting_currency</f>
        <v>CNY</v>
      </c>
      <c r="E8" s="355"/>
      <c r="F8" s="355"/>
      <c r="H8" s="120"/>
    </row>
    <row r="9" spans="2:8">
      <c r="B9" s="205" t="s">
        <v>191</v>
      </c>
      <c r="C9" s="345">
        <f>BS!H42</f>
        <v>2145886.1</v>
      </c>
      <c r="D9" t="str">
        <f>Reporting_currency</f>
        <v>CNY</v>
      </c>
      <c r="E9" s="355"/>
      <c r="F9" s="355"/>
      <c r="H9" s="120"/>
    </row>
    <row r="10" spans="2:8" ht="13.15">
      <c r="B10" s="149" t="s">
        <v>228</v>
      </c>
      <c r="C10" s="344">
        <f>C6-C7+C8+C9</f>
        <v>-5459073.1932477076</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-262.77998452441824</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3.0480331534493699E-2</v>
      </c>
      <c r="H16" s="120"/>
    </row>
    <row r="17" spans="2:8" ht="13.25" customHeight="1">
      <c r="B17" s="118" t="s">
        <v>135</v>
      </c>
      <c r="C17" s="162">
        <f>Scenarios!C64</f>
        <v>30</v>
      </c>
      <c r="H17" s="120"/>
    </row>
    <row r="18" spans="2:8" ht="13.25" customHeight="1">
      <c r="B18" s="153" t="s">
        <v>107</v>
      </c>
      <c r="C18" s="140">
        <f>(F52-C7+C8+C9)*Exchange_Rate/Common_Shares*scaling_factor</f>
        <v>-228.15289802637383</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8">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8">
      <c r="B23" s="122">
        <v>3</v>
      </c>
      <c r="C23" s="123">
        <f t="shared" si="2"/>
        <v>125514.04225788094</v>
      </c>
      <c r="D23" s="138">
        <f>IF($C$17&lt;B23,0,DCF!$C$16)</f>
        <v>3.0480331534493699E-2</v>
      </c>
      <c r="E23" s="124">
        <f t="shared" si="0"/>
        <v>0.8396192830323016</v>
      </c>
      <c r="F23" s="125">
        <f t="shared" si="1"/>
        <v>105384.01017104799</v>
      </c>
      <c r="H23" s="120"/>
    </row>
    <row r="24" spans="2:8">
      <c r="B24" s="122">
        <v>4</v>
      </c>
      <c r="C24" s="123">
        <f t="shared" si="2"/>
        <v>129339.75187813559</v>
      </c>
      <c r="D24" s="138">
        <f>IF($C$17&lt;B24,0,DCF!$C$16)</f>
        <v>3.0480331534493699E-2</v>
      </c>
      <c r="E24" s="124">
        <f t="shared" si="0"/>
        <v>0.79209366323802044</v>
      </c>
      <c r="F24" s="125">
        <f t="shared" si="1"/>
        <v>102449.19786744905</v>
      </c>
      <c r="H24" s="120"/>
    </row>
    <row r="25" spans="2:8">
      <c r="B25" s="122">
        <v>5</v>
      </c>
      <c r="C25" s="123">
        <f t="shared" si="2"/>
        <v>133282.07039597034</v>
      </c>
      <c r="D25" s="138">
        <f>IF($C$17&lt;B25,0,DCF!$C$16)</f>
        <v>3.0480331534493699E-2</v>
      </c>
      <c r="E25" s="124">
        <f t="shared" si="0"/>
        <v>0.74725817286605689</v>
      </c>
      <c r="F25" s="125">
        <f t="shared" si="1"/>
        <v>99596.116399897961</v>
      </c>
      <c r="H25" s="120"/>
    </row>
    <row r="26" spans="2:8">
      <c r="B26" s="122">
        <v>6</v>
      </c>
      <c r="C26" s="123">
        <f t="shared" si="2"/>
        <v>137344.55208924323</v>
      </c>
      <c r="D26" s="138">
        <f>IF($C$17&lt;B26,0,DCF!$C$16)</f>
        <v>3.0480331534493699E-2</v>
      </c>
      <c r="E26" s="124">
        <f t="shared" si="0"/>
        <v>0.70496054043967626</v>
      </c>
      <c r="F26" s="125">
        <f t="shared" si="1"/>
        <v>96822.489667278176</v>
      </c>
      <c r="H26" s="120"/>
    </row>
    <row r="27" spans="2:8">
      <c r="B27" s="122">
        <v>7</v>
      </c>
      <c r="C27" s="123">
        <f t="shared" si="2"/>
        <v>141530.8595713799</v>
      </c>
      <c r="D27" s="138">
        <f>IF($C$17&lt;B27,0,DCF!$C$16)</f>
        <v>3.0480331534493699E-2</v>
      </c>
      <c r="E27" s="124">
        <f t="shared" si="0"/>
        <v>0.66505711362233599</v>
      </c>
      <c r="F27" s="125">
        <f t="shared" si="1"/>
        <v>94126.104955030081</v>
      </c>
      <c r="H27" s="120"/>
    </row>
    <row r="28" spans="2:8">
      <c r="B28" s="122">
        <v>8</v>
      </c>
      <c r="C28" s="123">
        <f t="shared" si="2"/>
        <v>145844.76709347745</v>
      </c>
      <c r="D28" s="138">
        <f>IF($C$17&lt;B28,0,DCF!$C$16)</f>
        <v>3.0480331534493699E-2</v>
      </c>
      <c r="E28" s="124">
        <f t="shared" si="0"/>
        <v>0.62741237134182648</v>
      </c>
      <c r="F28" s="125">
        <f t="shared" si="1"/>
        <v>91504.811169915076</v>
      </c>
      <c r="H28" s="120"/>
    </row>
    <row r="29" spans="2:8">
      <c r="B29" s="122">
        <v>9</v>
      </c>
      <c r="C29" s="123">
        <f t="shared" si="2"/>
        <v>150290.16394705765</v>
      </c>
      <c r="D29" s="138">
        <f>IF($C$17&lt;B29,0,DCF!$C$16)</f>
        <v>3.0480331534493699E-2</v>
      </c>
      <c r="E29" s="124">
        <f t="shared" si="0"/>
        <v>0.59189846353002495</v>
      </c>
      <c r="F29" s="125">
        <f t="shared" si="1"/>
        <v>88956.517123938975</v>
      </c>
      <c r="H29" s="120"/>
    </row>
    <row r="30" spans="2:8">
      <c r="B30" s="122">
        <v>10</v>
      </c>
      <c r="C30" s="123">
        <f t="shared" si="2"/>
        <v>154871.0579705374</v>
      </c>
      <c r="D30" s="138">
        <f>IF($C$17&lt;B30,0,DCF!$C$16)</f>
        <v>3.0480331534493699E-2</v>
      </c>
      <c r="E30" s="124">
        <f t="shared" si="0"/>
        <v>0.55839477691511785</v>
      </c>
      <c r="F30" s="125">
        <f t="shared" si="1"/>
        <v>86479.189866066517</v>
      </c>
      <c r="H30" s="120"/>
    </row>
    <row r="31" spans="2:8">
      <c r="B31" s="122">
        <v>11</v>
      </c>
      <c r="C31" s="123">
        <f t="shared" si="2"/>
        <v>159591.57916257714</v>
      </c>
      <c r="D31" s="138">
        <f>IF($C$17&lt;B31,0,DCF!$C$16)</f>
        <v>3.0480331534493699E-2</v>
      </c>
      <c r="E31" s="124">
        <f t="shared" si="0"/>
        <v>0.52678752539162055</v>
      </c>
      <c r="F31" s="125">
        <f t="shared" si="1"/>
        <v>84070.853060394918</v>
      </c>
      <c r="H31" s="120"/>
    </row>
    <row r="32" spans="2:8">
      <c r="B32" s="122">
        <v>12</v>
      </c>
      <c r="C32" s="123">
        <f t="shared" si="2"/>
        <v>164455.9834055659</v>
      </c>
      <c r="D32" s="138">
        <f>IF($C$17&lt;B32,0,DCF!$C$16)</f>
        <v>3.0480331534493699E-2</v>
      </c>
      <c r="E32" s="124">
        <f t="shared" si="0"/>
        <v>0.4969693635770005</v>
      </c>
      <c r="F32" s="125">
        <f t="shared" si="1"/>
        <v>81729.58540949384</v>
      </c>
      <c r="H32" s="120"/>
    </row>
    <row r="33" spans="2:8">
      <c r="B33" s="122">
        <v>13</v>
      </c>
      <c r="C33" s="123">
        <f t="shared" si="2"/>
        <v>169468.65630259874</v>
      </c>
      <c r="D33" s="138">
        <f>IF($C$17&lt;B33,0,DCF!$C$16)</f>
        <v>3.0480331534493699E-2</v>
      </c>
      <c r="E33" s="124">
        <f t="shared" si="0"/>
        <v>0.46883902224245327</v>
      </c>
      <c r="F33" s="125">
        <f t="shared" si="1"/>
        <v>79453.51912165276</v>
      </c>
      <c r="H33" s="120"/>
    </row>
    <row r="34" spans="2:8">
      <c r="B34" s="122">
        <v>14</v>
      </c>
      <c r="C34" s="123">
        <f t="shared" si="2"/>
        <v>174634.11713140711</v>
      </c>
      <c r="D34" s="138">
        <f>IF($C$17&lt;B34,0,DCF!$C$16)</f>
        <v>3.0480331534493699E-2</v>
      </c>
      <c r="E34" s="124">
        <f t="shared" si="0"/>
        <v>0.44230096437967292</v>
      </c>
      <c r="F34" s="125">
        <f t="shared" si="1"/>
        <v>77240.838420814121</v>
      </c>
      <c r="H34" s="120"/>
    </row>
    <row r="35" spans="2:8">
      <c r="B35" s="122">
        <v>15</v>
      </c>
      <c r="C35" s="123">
        <f t="shared" si="2"/>
        <v>179957.02291880603</v>
      </c>
      <c r="D35" s="138">
        <f>IF($C$17&lt;B35,0,DCF!$C$16)</f>
        <v>3.0480331534493699E-2</v>
      </c>
      <c r="E35" s="124">
        <f t="shared" si="0"/>
        <v>0.41726506073554037</v>
      </c>
      <c r="F35" s="125">
        <f t="shared" si="1"/>
        <v>75089.778098002629</v>
      </c>
      <c r="H35" s="120"/>
    </row>
    <row r="36" spans="2:8">
      <c r="B36" s="122">
        <v>16</v>
      </c>
      <c r="C36" s="123">
        <f t="shared" si="2"/>
        <v>185442.17263933172</v>
      </c>
      <c r="D36" s="138">
        <f>IF($C$17&lt;B36,0,DCF!$C$16)</f>
        <v>3.0480331534493699E-2</v>
      </c>
      <c r="E36" s="124">
        <f t="shared" si="0"/>
        <v>0.39364628371277405</v>
      </c>
      <c r="F36" s="125">
        <f t="shared" si="1"/>
        <v>72998.622103095593</v>
      </c>
      <c r="H36" s="120"/>
    </row>
    <row r="37" spans="2:8">
      <c r="B37" s="122">
        <v>17</v>
      </c>
      <c r="C37" s="123">
        <f t="shared" si="2"/>
        <v>191094.51154185535</v>
      </c>
      <c r="D37" s="138">
        <f>IF($C$17&lt;B37,0,DCF!$C$16)</f>
        <v>3.0480331534493699E-2</v>
      </c>
      <c r="E37" s="124">
        <f t="shared" si="0"/>
        <v>0.37136441859695657</v>
      </c>
      <c r="F37" s="125">
        <f t="shared" si="1"/>
        <v>70965.702175810511</v>
      </c>
      <c r="H37" s="120"/>
    </row>
    <row r="38" spans="2:8">
      <c r="B38" s="122">
        <v>18</v>
      </c>
      <c r="C38" s="123">
        <f t="shared" si="2"/>
        <v>196919.13560807324</v>
      </c>
      <c r="D38" s="138">
        <f>IF($C$17&lt;B38,0,DCF!$C$16)</f>
        <v>3.0480331534493699E-2</v>
      </c>
      <c r="E38" s="124">
        <f t="shared" si="0"/>
        <v>0.35034379112920433</v>
      </c>
      <c r="F38" s="125">
        <f t="shared" si="1"/>
        <v>68989.396514818276</v>
      </c>
      <c r="H38" s="120"/>
    </row>
    <row r="39" spans="2:8">
      <c r="B39" s="122">
        <v>19</v>
      </c>
      <c r="C39" s="123">
        <f t="shared" si="2"/>
        <v>202921.29614689323</v>
      </c>
      <c r="D39" s="138">
        <f>IF($C$17&lt;B39,0,DCF!$C$16)</f>
        <v>3.0480331534493699E-2</v>
      </c>
      <c r="E39" s="124">
        <f t="shared" si="0"/>
        <v>0.3305130104992493</v>
      </c>
      <c r="F39" s="125">
        <f t="shared" si="1"/>
        <v>67068.128483919398</v>
      </c>
      <c r="H39" s="120"/>
    </row>
    <row r="40" spans="2:8">
      <c r="B40" s="122">
        <v>20</v>
      </c>
      <c r="C40" s="123">
        <f t="shared" si="2"/>
        <v>209106.40452885974</v>
      </c>
      <c r="D40" s="138">
        <f>IF($C$17&lt;B40,0,DCF!$C$16)</f>
        <v>3.0480331534493699E-2</v>
      </c>
      <c r="E40" s="124">
        <f t="shared" si="0"/>
        <v>0.31180472688608429</v>
      </c>
      <c r="F40" s="125">
        <f t="shared" si="1"/>
        <v>65200.365354252172</v>
      </c>
      <c r="H40" s="120"/>
    </row>
    <row r="41" spans="2:8">
      <c r="B41" s="122">
        <v>21</v>
      </c>
      <c r="C41" s="123">
        <f t="shared" si="2"/>
        <v>215480.03706488534</v>
      </c>
      <c r="D41" s="138">
        <f>IF($C$17&lt;B41,0,DCF!$C$16)</f>
        <v>3.0480331534493699E-2</v>
      </c>
      <c r="E41" s="124">
        <f t="shared" si="0"/>
        <v>0.29415540272272095</v>
      </c>
      <c r="F41" s="125">
        <f t="shared" si="1"/>
        <v>63384.617081528188</v>
      </c>
      <c r="H41" s="120"/>
    </row>
    <row r="42" spans="2:8">
      <c r="B42" s="122">
        <v>22</v>
      </c>
      <c r="C42" s="123">
        <f t="shared" si="2"/>
        <v>222047.94003368801</v>
      </c>
      <c r="D42" s="138">
        <f>IF($C$17&lt;B42,0,DCF!$C$16)</f>
        <v>3.0480331534493699E-2</v>
      </c>
      <c r="E42" s="124">
        <f t="shared" si="0"/>
        <v>0.27750509690822728</v>
      </c>
      <c r="F42" s="125">
        <f t="shared" si="1"/>
        <v>61619.435117320827</v>
      </c>
      <c r="H42" s="120"/>
    </row>
    <row r="43" spans="2:8">
      <c r="B43" s="122">
        <v>23</v>
      </c>
      <c r="C43" s="123">
        <f t="shared" si="2"/>
        <v>228816.03486246624</v>
      </c>
      <c r="D43" s="138">
        <f>IF($C$17&lt;B43,0,DCF!$C$16)</f>
        <v>3.0480331534493699E-2</v>
      </c>
      <c r="E43" s="124">
        <f t="shared" si="0"/>
        <v>0.26179726123417668</v>
      </c>
      <c r="F43" s="125">
        <f t="shared" si="1"/>
        <v>59903.411253457554</v>
      </c>
      <c r="H43" s="120"/>
    </row>
    <row r="44" spans="2:8">
      <c r="B44" s="122">
        <v>24</v>
      </c>
      <c r="C44" s="123">
        <f t="shared" si="2"/>
        <v>235790.42346548248</v>
      </c>
      <c r="D44" s="138">
        <f>IF($C$17&lt;B44,0,DCF!$C$16)</f>
        <v>3.0480331534493699E-2</v>
      </c>
      <c r="E44" s="124">
        <f t="shared" si="0"/>
        <v>0.24697854833412897</v>
      </c>
      <c r="F44" s="125">
        <f t="shared" si="1"/>
        <v>58235.176498594403</v>
      </c>
      <c r="H44" s="120"/>
    </row>
    <row r="45" spans="2:8">
      <c r="B45" s="122">
        <v>25</v>
      </c>
      <c r="C45" s="123">
        <f t="shared" si="2"/>
        <v>242977.39374536905</v>
      </c>
      <c r="D45" s="138">
        <f>IF($C$17&lt;B45,0,DCF!$C$16)</f>
        <v>3.0480331534493699E-2</v>
      </c>
      <c r="E45" s="124">
        <f t="shared" si="0"/>
        <v>0.23299863050389524</v>
      </c>
      <c r="F45" s="125">
        <f t="shared" si="1"/>
        <v>56613.399986076707</v>
      </c>
      <c r="H45" s="120"/>
    </row>
    <row r="46" spans="2:8">
      <c r="B46" s="122">
        <v>26</v>
      </c>
      <c r="C46" s="123">
        <f t="shared" si="2"/>
        <v>250383.42526211514</v>
      </c>
      <c r="D46" s="138">
        <f>IF($C$17&lt;B46,0,DCF!$C$16)</f>
        <v>3.0480331534493699E-2</v>
      </c>
      <c r="E46" s="124">
        <f t="shared" si="0"/>
        <v>0.21981002877725966</v>
      </c>
      <c r="F46" s="125">
        <f t="shared" si="1"/>
        <v>55036.787912214371</v>
      </c>
      <c r="H46" s="120"/>
    </row>
    <row r="47" spans="2:8">
      <c r="B47" s="122">
        <v>27</v>
      </c>
      <c r="C47" s="123">
        <f t="shared" si="2"/>
        <v>258015.19507484647</v>
      </c>
      <c r="D47" s="138">
        <f>IF($C$17&lt;B47,0,DCF!$C$16)</f>
        <v>3.0480331534493699E-2</v>
      </c>
      <c r="E47" s="124">
        <f t="shared" si="0"/>
        <v>0.20736795167666003</v>
      </c>
      <c r="F47" s="125">
        <f t="shared" si="1"/>
        <v>53504.082504124774</v>
      </c>
      <c r="H47" s="120"/>
    </row>
    <row r="48" spans="2:8">
      <c r="B48" s="122">
        <v>28</v>
      </c>
      <c r="C48" s="123">
        <f t="shared" si="2"/>
        <v>265879.58376166486</v>
      </c>
      <c r="D48" s="138">
        <f>IF($C$17&lt;B48,0,DCF!$C$16)</f>
        <v>3.0480331534493699E-2</v>
      </c>
      <c r="E48" s="124">
        <f t="shared" si="0"/>
        <v>0.1956301430911887</v>
      </c>
      <c r="F48" s="125">
        <f t="shared" si="1"/>
        <v>52014.061016320193</v>
      </c>
      <c r="H48" s="120"/>
    </row>
    <row r="49" spans="1:8">
      <c r="B49" s="122">
        <v>29</v>
      </c>
      <c r="C49" s="123">
        <f t="shared" si="2"/>
        <v>273983.68162297359</v>
      </c>
      <c r="D49" s="138">
        <f>IF($C$17&lt;B49,0,DCF!$C$16)</f>
        <v>3.0480331534493699E-2</v>
      </c>
      <c r="E49" s="124">
        <f t="shared" si="0"/>
        <v>0.18455673876527234</v>
      </c>
      <c r="F49" s="125">
        <f t="shared" si="1"/>
        <v>50565.534755238688</v>
      </c>
      <c r="H49" s="120"/>
    </row>
    <row r="50" spans="1:8">
      <c r="B50" s="122">
        <v>30</v>
      </c>
      <c r="C50" s="123">
        <f t="shared" si="2"/>
        <v>282334.79507388303</v>
      </c>
      <c r="D50" s="138">
        <f>IF($C$17&lt;B50,0,DCF!$C$16)</f>
        <v>3.0480331534493699E-2</v>
      </c>
      <c r="E50" s="124">
        <f t="shared" si="0"/>
        <v>0.17411013091063426</v>
      </c>
      <c r="F50" s="125">
        <f t="shared" si="1"/>
        <v>49157.348130940874</v>
      </c>
      <c r="H50" s="120"/>
    </row>
    <row r="51" spans="1:8">
      <c r="B51" s="126" t="s">
        <v>132</v>
      </c>
      <c r="C51" s="123">
        <f>C$21*(1+Terminal_Growth)^$C$17/Equity_Cost</f>
        <v>1969979.2524118114</v>
      </c>
      <c r="D51" s="139">
        <f>Terminal_Growth</f>
        <v>0</v>
      </c>
      <c r="E51" s="124">
        <f>1/(1+Equity_Cost)^C17</f>
        <v>0.17411013091063426</v>
      </c>
      <c r="F51" s="125">
        <f t="shared" si="1"/>
        <v>342993.34552865388</v>
      </c>
      <c r="H51" s="120"/>
    </row>
    <row r="52" spans="1:8">
      <c r="C52" s="114"/>
      <c r="E52" s="127" t="s">
        <v>101</v>
      </c>
      <c r="F52" s="137">
        <f>SUM(F21:F51)</f>
        <v>2631063.579932001</v>
      </c>
      <c r="H52" s="120"/>
    </row>
    <row r="53" spans="1:8">
      <c r="C53" s="114"/>
      <c r="H53" s="120"/>
    </row>
    <row r="54" spans="1:8" ht="13.15">
      <c r="B54" s="119" t="s">
        <v>130</v>
      </c>
      <c r="C54" s="136"/>
      <c r="D54" s="136"/>
      <c r="E54" s="117"/>
      <c r="F54" s="117"/>
      <c r="H54" s="120"/>
    </row>
    <row r="55" spans="1:8" ht="13.15">
      <c r="A55" s="133">
        <f>F52</f>
        <v>2631063.579932001</v>
      </c>
      <c r="B55" s="131">
        <f>C78</f>
        <v>0</v>
      </c>
      <c r="C55" s="131">
        <f>C77</f>
        <v>0.02</v>
      </c>
      <c r="D55" s="131">
        <f>C76</f>
        <v>0.03</v>
      </c>
      <c r="E55" s="131">
        <f>C75</f>
        <v>0.04</v>
      </c>
      <c r="F55" s="131">
        <f>C74</f>
        <v>0.06</v>
      </c>
      <c r="H55" s="120"/>
    </row>
    <row r="56" spans="1:8" ht="13.15">
      <c r="A56" s="143">
        <v>5</v>
      </c>
      <c r="B56" s="123">
        <f t="dataTable" ref="B56:F61" dt2D="1" dtr="1" r1="C16" r2="C17"/>
        <v>1911709.7067522909</v>
      </c>
      <c r="C56" s="123">
        <v>1968874.0875522024</v>
      </c>
      <c r="D56" s="123">
        <v>1998014.3064496904</v>
      </c>
      <c r="E56" s="123">
        <v>2027537.4569108186</v>
      </c>
      <c r="F56" s="123">
        <v>2087766.0566947917</v>
      </c>
      <c r="H56" s="120"/>
    </row>
    <row r="57" spans="1:8" ht="13.15">
      <c r="A57" s="143">
        <v>10</v>
      </c>
      <c r="B57" s="123">
        <v>1911709.7067522909</v>
      </c>
      <c r="C57" s="123">
        <v>2022822.2763396518</v>
      </c>
      <c r="D57" s="123">
        <v>2082327.300124404</v>
      </c>
      <c r="E57" s="123">
        <v>2144673.0507178493</v>
      </c>
      <c r="F57" s="123">
        <v>2278563.8621934908</v>
      </c>
      <c r="H57" s="120"/>
    </row>
    <row r="58" spans="1:8" ht="13.15">
      <c r="A58" s="143">
        <v>15</v>
      </c>
      <c r="B58" s="123">
        <v>1911709.7067522905</v>
      </c>
      <c r="C58" s="123">
        <v>2095973.8538441975</v>
      </c>
      <c r="D58" s="123">
        <v>2199626.863069878</v>
      </c>
      <c r="E58" s="123">
        <v>2311958.1806159643</v>
      </c>
      <c r="F58" s="123">
        <v>2566089.782987583</v>
      </c>
      <c r="H58" s="120"/>
    </row>
    <row r="59" spans="1:8" ht="13.15">
      <c r="A59" s="144">
        <v>20</v>
      </c>
      <c r="B59" s="123">
        <v>1911709.7067522905</v>
      </c>
      <c r="C59" s="123">
        <v>2177729.7057453385</v>
      </c>
      <c r="D59" s="123">
        <v>2334315.2883597421</v>
      </c>
      <c r="E59" s="123">
        <v>2509472.5608553481</v>
      </c>
      <c r="F59" s="123">
        <v>2925896.5784820877</v>
      </c>
      <c r="H59" s="120"/>
    </row>
    <row r="60" spans="1:8" ht="13.15">
      <c r="A60" s="144">
        <v>25</v>
      </c>
      <c r="B60" s="123">
        <v>1911709.7067522905</v>
      </c>
      <c r="C60" s="123">
        <v>2261174.8479017401</v>
      </c>
      <c r="D60" s="123">
        <v>2475707.9738625088</v>
      </c>
      <c r="E60" s="123">
        <v>2722988.8120144377</v>
      </c>
      <c r="F60" s="123">
        <v>3339715.8483383819</v>
      </c>
      <c r="H60" s="120"/>
    </row>
    <row r="61" spans="1:8" ht="13.15">
      <c r="A61" s="144">
        <v>30</v>
      </c>
      <c r="B61" s="123">
        <v>1911709.70675229</v>
      </c>
      <c r="C61" s="123">
        <v>2341971.4002733147</v>
      </c>
      <c r="D61" s="123">
        <v>2616661.8419397096</v>
      </c>
      <c r="E61" s="123">
        <v>2942473.8289640578</v>
      </c>
      <c r="F61" s="123">
        <v>3793896.3810982425</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449</v>
      </c>
      <c r="C2" s="37"/>
      <c r="D2" s="37"/>
      <c r="E2" s="37"/>
      <c r="F2" s="37"/>
      <c r="H2" s="130" t="s">
        <v>59</v>
      </c>
    </row>
    <row r="3" spans="2:8" ht="13.15">
      <c r="B3" s="109" t="s">
        <v>448</v>
      </c>
      <c r="C3" s="107">
        <f>scaling_factor</f>
        <v>1000000</v>
      </c>
      <c r="E3" s="109" t="s">
        <v>125</v>
      </c>
      <c r="H3" s="120"/>
    </row>
    <row r="4" spans="2:8">
      <c r="B4" s="100" t="s">
        <v>446</v>
      </c>
      <c r="C4" s="343">
        <f>Normalized_FCF!C91</f>
        <v>22020.769943020001</v>
      </c>
      <c r="D4" t="str">
        <f>Market_currency</f>
        <v>CNY</v>
      </c>
      <c r="E4" s="100" t="s">
        <v>251</v>
      </c>
      <c r="F4" s="134">
        <f>Thesis!E22</f>
        <v>0.02</v>
      </c>
      <c r="H4" s="120"/>
    </row>
    <row r="5" spans="2:8">
      <c r="B5" s="205" t="s">
        <v>124</v>
      </c>
      <c r="C5" s="206">
        <f>Equity_Cost</f>
        <v>0.06</v>
      </c>
      <c r="E5" s="148"/>
      <c r="H5" s="120"/>
    </row>
    <row r="6" spans="2:8" ht="13.25" customHeight="1">
      <c r="B6" s="149" t="s">
        <v>447</v>
      </c>
      <c r="C6" s="344">
        <f>(C4*(1+Terminal_Growth))/(Equity_Cost-Terminal_Growth)</f>
        <v>367012.83238366671</v>
      </c>
      <c r="D6" t="str">
        <f>Reporting_currency</f>
        <v>CNY</v>
      </c>
      <c r="E6" s="355"/>
      <c r="F6" s="355"/>
      <c r="H6" s="120"/>
    </row>
    <row r="7" spans="2:8" ht="13.15">
      <c r="B7" s="149" t="s">
        <v>450</v>
      </c>
      <c r="C7" s="111">
        <f>(C6*scaling_factor)/Common_Shares*Exchange_Rate</f>
        <v>17.666666666666668</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3.0480331534493699E-2</v>
      </c>
      <c r="H11" s="120"/>
    </row>
    <row r="12" spans="2:8" ht="13.25" customHeight="1">
      <c r="B12" s="118" t="s">
        <v>135</v>
      </c>
      <c r="C12" s="162">
        <f>Scenarios!C64</f>
        <v>30</v>
      </c>
      <c r="H12" s="120"/>
    </row>
    <row r="13" spans="2:8" ht="13.25" customHeight="1">
      <c r="B13" s="153" t="s">
        <v>107</v>
      </c>
      <c r="C13" s="140">
        <f>F47/Common_Shares*scaling_factor</f>
        <v>26.886199522956279</v>
      </c>
      <c r="D13" t="str">
        <f>Market_currency</f>
        <v>CNY</v>
      </c>
      <c r="H13" s="120"/>
    </row>
    <row r="14" spans="2:8">
      <c r="H14" s="120"/>
    </row>
    <row r="15" spans="2:8" ht="13.15">
      <c r="B15" s="128" t="s">
        <v>108</v>
      </c>
      <c r="C15" s="128" t="s">
        <v>452</v>
      </c>
      <c r="D15" s="128" t="s">
        <v>119</v>
      </c>
      <c r="E15" s="128" t="s">
        <v>110</v>
      </c>
      <c r="F15" s="129" t="s">
        <v>451</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132</v>
      </c>
      <c r="C46" s="123">
        <f>C$16*(1+F4)^$C$12/Equity_Cost</f>
        <v>685056.05483192916</v>
      </c>
      <c r="D46" s="139">
        <f>Terminal_Growth</f>
        <v>0</v>
      </c>
      <c r="E46" s="124">
        <f>1/(1+Equity_Cost)^C12</f>
        <v>0.17411013091063426</v>
      </c>
      <c r="F46" s="125">
        <f t="shared" si="1"/>
        <v>119275.19938790983</v>
      </c>
      <c r="H46" s="120"/>
    </row>
    <row r="47" spans="2:8">
      <c r="C47" s="114"/>
      <c r="E47" s="127" t="s">
        <v>101</v>
      </c>
      <c r="F47" s="137">
        <f>SUM(F16:F46)</f>
        <v>558542.27767656068</v>
      </c>
      <c r="H47" s="120"/>
    </row>
    <row r="48" spans="2:8">
      <c r="C48" s="114"/>
      <c r="H48" s="120"/>
    </row>
    <row r="49" spans="1:8" ht="13.15">
      <c r="B49" s="119" t="s">
        <v>130</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-22.52</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1000000</v>
      </c>
      <c r="E6" s="100" t="s">
        <v>280</v>
      </c>
      <c r="F6" s="100"/>
      <c r="H6" s="247">
        <v>3</v>
      </c>
      <c r="I6" s="124">
        <f t="shared" si="0"/>
        <v>27.94815119642859</v>
      </c>
    </row>
    <row r="7" spans="2:9" ht="12.75" customHeight="1">
      <c r="B7" s="100" t="s">
        <v>276</v>
      </c>
      <c r="C7" s="343">
        <f>Normalized_FCF!G8</f>
        <v>-721</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57"/>
      <c r="H7" s="247">
        <v>4</v>
      </c>
      <c r="I7" s="124" t="str">
        <f t="shared" si="0"/>
        <v/>
      </c>
    </row>
    <row r="8" spans="2:9">
      <c r="B8" s="100" t="s">
        <v>66</v>
      </c>
      <c r="C8" s="343">
        <f>Normalized_FCF!G19</f>
        <v>137471</v>
      </c>
      <c r="D8" t="str">
        <f>Reporting_currency</f>
        <v>CNY</v>
      </c>
      <c r="E8" s="357"/>
      <c r="F8" s="357"/>
      <c r="H8" s="247">
        <v>5</v>
      </c>
      <c r="I8" s="124" t="str">
        <f t="shared" si="0"/>
        <v/>
      </c>
    </row>
    <row r="9" spans="2:9">
      <c r="B9" s="100" t="s">
        <v>57</v>
      </c>
      <c r="C9" s="343">
        <f>Normalized_FCF!C19</f>
        <v>114702.58240513749</v>
      </c>
      <c r="D9" t="str">
        <f>Reporting_currency</f>
        <v>CNY</v>
      </c>
      <c r="E9" s="357"/>
      <c r="F9" s="357"/>
      <c r="H9" s="247">
        <v>6</v>
      </c>
      <c r="I9" s="124" t="str">
        <f t="shared" si="0"/>
        <v/>
      </c>
    </row>
    <row r="10" spans="2:9">
      <c r="E10" s="357"/>
      <c r="F10" s="357"/>
      <c r="H10" s="247">
        <v>7</v>
      </c>
      <c r="I10" s="124" t="str">
        <f t="shared" si="0"/>
        <v/>
      </c>
    </row>
    <row r="11" spans="2:9" ht="13.15">
      <c r="B11" s="159" t="s">
        <v>453</v>
      </c>
      <c r="E11" s="357"/>
      <c r="F11" s="357"/>
      <c r="H11" s="247">
        <v>8</v>
      </c>
      <c r="I11" s="124" t="str">
        <f t="shared" si="0"/>
        <v/>
      </c>
    </row>
    <row r="12" spans="2:9">
      <c r="B12" s="118" t="s">
        <v>145</v>
      </c>
      <c r="C12" s="158">
        <f ca="1">(Normalized_FCF!G4/OFFSET(Normalized_FCF!G4, 0, $C$4))^(1/$C$4) - 1</f>
        <v>-5.5054441259114184E-2</v>
      </c>
      <c r="D12" s="158"/>
      <c r="E12" s="357"/>
      <c r="F12" s="357"/>
      <c r="H12" s="247">
        <v>9</v>
      </c>
      <c r="I12" s="124" t="str">
        <f t="shared" si="0"/>
        <v/>
      </c>
    </row>
    <row r="13" spans="2:9">
      <c r="B13" s="148" t="s">
        <v>153</v>
      </c>
      <c r="C13" s="158">
        <f ca="1">(Normalized_FCF!G8/OFFSET(Normalized_FCF!G8, 0, $C$4))^(1/$C$4) - 1</f>
        <v>-1.3520092995664894</v>
      </c>
      <c r="E13" s="357"/>
      <c r="F13" s="357"/>
      <c r="H13" s="247">
        <v>10</v>
      </c>
      <c r="I13" s="124" t="str">
        <f t="shared" si="0"/>
        <v/>
      </c>
    </row>
    <row r="14" spans="2:9">
      <c r="B14" s="100" t="s">
        <v>66</v>
      </c>
      <c r="C14" s="158">
        <f ca="1">(Normalized_FCF!G19/OFFSET(Normalized_FCF!G19, 0, $C$4))^(1/$C$4) - 1</f>
        <v>-2.7745066708446342E-2</v>
      </c>
      <c r="E14" s="357"/>
      <c r="F14" s="357"/>
    </row>
    <row r="16" spans="2:9" ht="13.9">
      <c r="B16" s="36" t="s">
        <v>163</v>
      </c>
      <c r="C16" s="37"/>
      <c r="D16" s="37"/>
      <c r="E16" s="37"/>
      <c r="F16" s="37"/>
    </row>
    <row r="17" spans="2:6" ht="13.15">
      <c r="B17" s="109" t="s">
        <v>152</v>
      </c>
      <c r="E17" s="159" t="s">
        <v>330</v>
      </c>
    </row>
    <row r="18" spans="2:6">
      <c r="B18" s="152" t="s">
        <v>134</v>
      </c>
      <c r="C18" s="150">
        <v>30</v>
      </c>
      <c r="E18" s="357" t="s">
        <v>331</v>
      </c>
      <c r="F18" s="358"/>
    </row>
    <row r="19" spans="2:6">
      <c r="E19" s="358"/>
      <c r="F19" s="358"/>
    </row>
    <row r="20" spans="2:6" ht="13.15">
      <c r="B20" s="159" t="s">
        <v>304</v>
      </c>
      <c r="E20" s="358"/>
      <c r="F20" s="358"/>
    </row>
    <row r="21" spans="2:6">
      <c r="B21" s="100" t="s">
        <v>278</v>
      </c>
      <c r="C21" s="160">
        <f>Market_Price</f>
        <v>22.52</v>
      </c>
      <c r="D21" t="str">
        <f>Market_currency</f>
        <v>CNY</v>
      </c>
      <c r="E21" s="358"/>
      <c r="F21" s="358"/>
    </row>
    <row r="22" spans="2:6">
      <c r="B22" s="100" t="s">
        <v>279</v>
      </c>
      <c r="C22" s="160">
        <f>IF(valuation_method="DCF",DCF!C12,DDM!C7)</f>
        <v>17.666666666666668</v>
      </c>
      <c r="D22" t="str">
        <f>Market_currency</f>
        <v>CNY</v>
      </c>
      <c r="E22" s="358"/>
      <c r="F22" s="358"/>
    </row>
    <row r="24" spans="2:6" ht="13.15">
      <c r="B24" s="159" t="s">
        <v>116</v>
      </c>
      <c r="E24" s="159" t="s">
        <v>150</v>
      </c>
      <c r="F24" s="159"/>
    </row>
    <row r="25" spans="2:6">
      <c r="B25" s="152" t="s">
        <v>134</v>
      </c>
      <c r="C25" s="166">
        <f>C18</f>
        <v>30</v>
      </c>
      <c r="D25" s="163"/>
      <c r="E25" s="356"/>
      <c r="F25" s="356"/>
    </row>
    <row r="26" spans="2:6">
      <c r="B26" s="118" t="s">
        <v>135</v>
      </c>
      <c r="C26" s="164">
        <v>0.03</v>
      </c>
      <c r="D26" s="164"/>
      <c r="E26" s="356"/>
      <c r="F26" s="356"/>
    </row>
    <row r="27" spans="2:6">
      <c r="B27" s="100" t="s">
        <v>114</v>
      </c>
      <c r="C27" s="160">
        <f>IF(valuation_method="DCF",DCF!E76,DDM!E71)</f>
        <v>26.751910098643489</v>
      </c>
      <c r="D27" s="160" t="str">
        <f>Market_currency</f>
        <v>CNY</v>
      </c>
      <c r="E27" s="356"/>
      <c r="F27" s="356"/>
    </row>
    <row r="28" spans="2:6">
      <c r="B28" s="100" t="s">
        <v>148</v>
      </c>
      <c r="C28" s="165">
        <v>0.6</v>
      </c>
      <c r="D28" s="165"/>
      <c r="E28" s="356"/>
      <c r="F28" s="356"/>
    </row>
    <row r="30" spans="2:6" ht="13.15">
      <c r="B30" s="159" t="s">
        <v>117</v>
      </c>
      <c r="E30" s="159" t="s">
        <v>150</v>
      </c>
      <c r="F30" s="159"/>
    </row>
    <row r="31" spans="2:6">
      <c r="B31" s="152" t="s">
        <v>134</v>
      </c>
      <c r="C31" s="166">
        <f>C18</f>
        <v>30</v>
      </c>
      <c r="D31" s="163"/>
      <c r="E31" s="356"/>
      <c r="F31" s="356"/>
    </row>
    <row r="32" spans="2:6">
      <c r="B32" s="118" t="s">
        <v>135</v>
      </c>
      <c r="C32" s="164">
        <v>0.02</v>
      </c>
      <c r="D32" s="164"/>
      <c r="E32" s="356"/>
      <c r="F32" s="356"/>
    </row>
    <row r="33" spans="2:6">
      <c r="B33" s="100" t="s">
        <v>114</v>
      </c>
      <c r="C33" s="160">
        <f>IF(valuation_method="DCF",DCF!E77,DDM!E72)</f>
        <v>24.188458613162062</v>
      </c>
      <c r="D33" t="str">
        <f>Market_currency</f>
        <v>CNY</v>
      </c>
      <c r="E33" s="356"/>
      <c r="F33" s="356"/>
    </row>
    <row r="34" spans="2:6">
      <c r="B34" s="100" t="s">
        <v>148</v>
      </c>
      <c r="C34" s="165">
        <v>0.2</v>
      </c>
      <c r="D34" s="165"/>
      <c r="E34" s="356"/>
      <c r="F34" s="356"/>
    </row>
    <row r="36" spans="2:6" ht="13.15">
      <c r="B36" s="159" t="s">
        <v>115</v>
      </c>
      <c r="E36" s="159" t="s">
        <v>150</v>
      </c>
      <c r="F36" s="159"/>
    </row>
    <row r="37" spans="2:6">
      <c r="B37" s="152" t="s">
        <v>134</v>
      </c>
      <c r="C37" s="166">
        <f>C18</f>
        <v>30</v>
      </c>
      <c r="D37" s="163"/>
      <c r="E37" s="356"/>
      <c r="F37" s="356"/>
    </row>
    <row r="38" spans="2:6">
      <c r="B38" s="118" t="s">
        <v>135</v>
      </c>
      <c r="C38" s="164">
        <v>0.04</v>
      </c>
      <c r="D38" s="164"/>
      <c r="E38" s="356"/>
      <c r="F38" s="356"/>
    </row>
    <row r="39" spans="2:6">
      <c r="B39" s="100" t="s">
        <v>114</v>
      </c>
      <c r="C39" s="160">
        <f>IF(valuation_method="DCF",DCF!E75,DDM!E70)</f>
        <v>29.787790686793507</v>
      </c>
      <c r="D39" t="str">
        <f>Market_currency</f>
        <v>CNY</v>
      </c>
      <c r="E39" s="356"/>
      <c r="F39" s="356"/>
    </row>
    <row r="40" spans="2:6">
      <c r="B40" s="100" t="s">
        <v>148</v>
      </c>
      <c r="C40" s="167">
        <f>1-C28-C34</f>
        <v>0.2</v>
      </c>
      <c r="D40" s="165"/>
      <c r="E40" s="356"/>
      <c r="F40" s="356"/>
    </row>
    <row r="42" spans="2:6" ht="13.15">
      <c r="B42" s="100" t="s">
        <v>121</v>
      </c>
      <c r="C42" s="154">
        <f>C27*C28+C33*C34+C39*C40</f>
        <v>26.846395919177208</v>
      </c>
      <c r="D42" t="str">
        <f>Market_currency</f>
        <v>CNY</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56"/>
      <c r="F49" s="356"/>
    </row>
    <row r="50" spans="2:6">
      <c r="B50" s="118" t="s">
        <v>135</v>
      </c>
      <c r="C50" s="164">
        <v>0</v>
      </c>
      <c r="D50" s="164"/>
      <c r="E50" s="356"/>
      <c r="F50" s="356"/>
    </row>
    <row r="51" spans="2:6">
      <c r="B51" s="100" t="s">
        <v>114</v>
      </c>
      <c r="C51" s="160">
        <f>IF(valuation_method="DCF",DCF!E78,DDM!E73)</f>
        <v>20.162370798692315</v>
      </c>
      <c r="D51" t="str">
        <f>Market_currency</f>
        <v>CNY</v>
      </c>
      <c r="E51" s="356"/>
      <c r="F51" s="356"/>
    </row>
    <row r="52" spans="2:6">
      <c r="B52" s="100" t="s">
        <v>148</v>
      </c>
      <c r="C52" s="165">
        <v>0.01</v>
      </c>
      <c r="D52" s="165"/>
      <c r="E52" s="356"/>
      <c r="F52" s="356"/>
    </row>
    <row r="54" spans="2:6" ht="13.15">
      <c r="B54" s="159" t="s">
        <v>317</v>
      </c>
      <c r="E54" s="159" t="s">
        <v>150</v>
      </c>
      <c r="F54" s="159"/>
    </row>
    <row r="55" spans="2:6">
      <c r="B55" s="152" t="s">
        <v>134</v>
      </c>
      <c r="C55" s="166">
        <f>C46</f>
        <v>30</v>
      </c>
      <c r="D55" s="163"/>
      <c r="E55" s="356"/>
      <c r="F55" s="356"/>
    </row>
    <row r="56" spans="2:6">
      <c r="B56" s="118" t="s">
        <v>135</v>
      </c>
      <c r="C56" s="164">
        <v>0.06</v>
      </c>
      <c r="D56" s="164"/>
      <c r="E56" s="356"/>
      <c r="F56" s="356"/>
    </row>
    <row r="57" spans="2:6">
      <c r="B57" s="100" t="s">
        <v>114</v>
      </c>
      <c r="C57" s="160">
        <f>IF(valuation_method="DCF",DCF!E74,DDM!E69)</f>
        <v>37.705948764800347</v>
      </c>
      <c r="D57" t="str">
        <f>Market_currency</f>
        <v>CNY</v>
      </c>
      <c r="E57" s="356"/>
      <c r="F57" s="356"/>
    </row>
    <row r="58" spans="2:6">
      <c r="B58" s="100" t="s">
        <v>148</v>
      </c>
      <c r="C58" s="165">
        <v>0.01</v>
      </c>
      <c r="D58" s="165"/>
      <c r="E58" s="356"/>
      <c r="F58" s="356"/>
    </row>
    <row r="60" spans="2:6" ht="13.15">
      <c r="B60" s="100" t="s">
        <v>121</v>
      </c>
      <c r="C60" s="154">
        <f>C51*C52+C57*C58+C42*(1-C52-C58)</f>
        <v>26.888151196428591</v>
      </c>
      <c r="D60" t="str">
        <f>Market_currency</f>
        <v>CNY</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30</v>
      </c>
      <c r="D64" s="150"/>
      <c r="E64" s="251" t="s">
        <v>396</v>
      </c>
    </row>
    <row r="65" spans="2:6">
      <c r="B65" s="118" t="s">
        <v>135</v>
      </c>
      <c r="C65" s="151">
        <v>3.0480331534493699E-2</v>
      </c>
      <c r="D65" s="151"/>
      <c r="E65" s="251" t="s">
        <v>313</v>
      </c>
    </row>
    <row r="66" spans="2:6">
      <c r="B66" s="100" t="s">
        <v>103</v>
      </c>
      <c r="C66" s="160">
        <f>IF(valuation_method="DCF",DCF!C18,DDM!C13)</f>
        <v>26.886199522956279</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-13.19550584997735</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1.06</v>
      </c>
      <c r="D77" t="str">
        <f>Market_currency</f>
        <v>CNY</v>
      </c>
    </row>
    <row r="79" spans="2:6" ht="13.15">
      <c r="B79" s="109" t="s">
        <v>302</v>
      </c>
    </row>
    <row r="80" spans="2:6">
      <c r="B80" s="148" t="s">
        <v>300</v>
      </c>
      <c r="C80" s="167">
        <f>Thesis!F29</f>
        <v>0.33700000000000002</v>
      </c>
    </row>
    <row r="81" spans="2:8">
      <c r="B81" s="100" t="s">
        <v>122</v>
      </c>
      <c r="C81" s="116">
        <f>PV(C80, C76, -C77, 0)</f>
        <v>1.8293222503295408</v>
      </c>
      <c r="D81" s="116"/>
      <c r="E81" s="100"/>
      <c r="F81" s="100"/>
    </row>
    <row r="82" spans="2:8">
      <c r="B82" s="100" t="s">
        <v>123</v>
      </c>
      <c r="C82" s="116">
        <f>C60/(1+C80)^C76</f>
        <v>11.250367775156876</v>
      </c>
      <c r="D82" s="116"/>
    </row>
    <row r="83" spans="2:8" ht="13.15">
      <c r="B83" s="110" t="s">
        <v>102</v>
      </c>
      <c r="C83" s="111">
        <f>C81+C82</f>
        <v>13.079690025486418</v>
      </c>
      <c r="D83" t="str">
        <f>Market_currency</f>
        <v>CNY</v>
      </c>
      <c r="E83" s="146" t="s">
        <v>127</v>
      </c>
      <c r="F83" s="293">
        <f>(1-C83/C60)</f>
        <v>0.51355190135855366</v>
      </c>
    </row>
    <row r="84" spans="2:8">
      <c r="E84" s="120"/>
    </row>
    <row r="85" spans="2:8" ht="13.15">
      <c r="B85" s="109" t="s">
        <v>303</v>
      </c>
    </row>
    <row r="86" spans="2:8">
      <c r="B86" s="148" t="s">
        <v>301</v>
      </c>
      <c r="C86" s="116">
        <f>Market_Price</f>
        <v>22.52</v>
      </c>
      <c r="D86" t="str">
        <f>Market_currency</f>
        <v>CNY</v>
      </c>
    </row>
    <row r="87" spans="2:8" ht="13.15">
      <c r="B87" s="100" t="s">
        <v>299</v>
      </c>
      <c r="C87" s="237">
        <f ca="1">IRR(OFFSET($I$3, 0, 0, $C$76 + 1, 1))</f>
        <v>0.10536678638212904</v>
      </c>
    </row>
    <row r="88" spans="2:8">
      <c r="B88" s="100"/>
    </row>
    <row r="89" spans="2:8" ht="13.15">
      <c r="B89" s="109" t="s">
        <v>414</v>
      </c>
    </row>
    <row r="90" spans="2:8">
      <c r="B90" s="148" t="s">
        <v>415</v>
      </c>
      <c r="C90" s="167">
        <f>Thesis!F30</f>
        <v>0.187</v>
      </c>
    </row>
    <row r="91" spans="2:8">
      <c r="B91" s="100" t="s">
        <v>122</v>
      </c>
      <c r="C91" s="116">
        <f>PV(C90, C76, -C77, 0)</f>
        <v>2.279132885208865</v>
      </c>
      <c r="D91" s="116"/>
      <c r="E91" s="100"/>
      <c r="F91" s="100"/>
    </row>
    <row r="92" spans="2:8">
      <c r="B92" s="100" t="s">
        <v>123</v>
      </c>
      <c r="C92" s="116">
        <f>C60/(1+C90)^C76</f>
        <v>16.07713967014136</v>
      </c>
      <c r="D92" s="116"/>
    </row>
    <row r="93" spans="2:8" ht="13.15">
      <c r="B93" s="110" t="s">
        <v>102</v>
      </c>
      <c r="C93" s="111">
        <f>C91+C92</f>
        <v>18.356272555350223</v>
      </c>
      <c r="D93" t="str">
        <f>Market_currency</f>
        <v>CNY</v>
      </c>
      <c r="E93" s="146" t="s">
        <v>127</v>
      </c>
      <c r="F93" s="293">
        <f>(1-C93/C60)</f>
        <v>0.3173099771252258</v>
      </c>
    </row>
    <row r="95" spans="2:8" ht="13.15">
      <c r="B95" s="109" t="s">
        <v>398</v>
      </c>
      <c r="G95" s="2"/>
      <c r="H95" s="283"/>
    </row>
    <row r="96" spans="2:8">
      <c r="B96" s="148" t="s">
        <v>404</v>
      </c>
      <c r="C96" s="134">
        <f>Thesis!F31</f>
        <v>0.06</v>
      </c>
      <c r="G96" s="2"/>
      <c r="H96" s="283"/>
    </row>
    <row r="97" spans="2:8">
      <c r="B97" s="100" t="s">
        <v>122</v>
      </c>
      <c r="C97" s="116">
        <f>PV(C96, C76, -C77, 0)</f>
        <v>2.8333926664293383</v>
      </c>
      <c r="D97" s="116"/>
      <c r="G97" s="2"/>
      <c r="H97" s="283"/>
    </row>
    <row r="98" spans="2:8">
      <c r="B98" s="100" t="s">
        <v>123</v>
      </c>
      <c r="C98" s="116">
        <f>C60/(1+C96)^C76</f>
        <v>22.575810229609498</v>
      </c>
      <c r="D98" s="116"/>
      <c r="G98" s="2"/>
      <c r="H98" s="283"/>
    </row>
    <row r="99" spans="2:8" ht="13.15">
      <c r="B99" s="110" t="s">
        <v>399</v>
      </c>
      <c r="C99" s="111">
        <f>C97+C98</f>
        <v>25.409202896038835</v>
      </c>
      <c r="D99" t="s">
        <v>397</v>
      </c>
      <c r="E99" s="146" t="s">
        <v>127</v>
      </c>
      <c r="F99" s="293">
        <f>(1-C99/C60)</f>
        <v>5.5003718537040891E-2</v>
      </c>
    </row>
    <row r="100" spans="2:8">
      <c r="B100" s="100"/>
    </row>
    <row r="101" spans="2:8" ht="13.15">
      <c r="B101" s="109" t="s">
        <v>424</v>
      </c>
    </row>
    <row r="102" spans="2:8">
      <c r="B102" s="148" t="s">
        <v>423</v>
      </c>
      <c r="C102" s="134">
        <f>Thesis!F32</f>
        <v>8.6999999999999994E-2</v>
      </c>
    </row>
    <row r="103" spans="2:8">
      <c r="B103" s="100" t="s">
        <v>122</v>
      </c>
      <c r="C103" s="116">
        <f>PV(C102, C76, -C77, 0)</f>
        <v>2.6975834619563113</v>
      </c>
      <c r="D103" s="116"/>
    </row>
    <row r="104" spans="2:8">
      <c r="B104" s="100" t="s">
        <v>123</v>
      </c>
      <c r="C104" s="116">
        <f>C60/(1+C102)^C76</f>
        <v>20.934968382149542</v>
      </c>
      <c r="D104" s="116"/>
    </row>
    <row r="105" spans="2:8" ht="13.15">
      <c r="B105" s="110" t="s">
        <v>399</v>
      </c>
      <c r="C105" s="111">
        <f>C103+C104</f>
        <v>23.632551844105855</v>
      </c>
      <c r="D105" t="s">
        <v>397</v>
      </c>
      <c r="E105" s="146" t="s">
        <v>127</v>
      </c>
      <c r="F105" s="293">
        <f>(1-C105/C66)</f>
        <v>0.1210155297728992</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2025-05-20T12:56:25Z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