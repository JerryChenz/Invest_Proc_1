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opportunities\financial_companies\"/>
    </mc:Choice>
  </mc:AlternateContent>
  <xr:revisionPtr revIDLastSave="0" documentId="13_ncr:1_{7A578BC9-35DF-4618-82E6-5907F5E87C59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Thesis" sheetId="6" r:id="rId1"/>
    <sheet name="Data" sheetId="4" r:id="rId2"/>
    <sheet name="Past_EBITDA" sheetId="2" r:id="rId3"/>
    <sheet name="DDM" sheetId="8" r:id="rId4"/>
    <sheet name="Scenarios" sheetId="9" r:id="rId5"/>
  </sheets>
  <definedNames>
    <definedName name="_xlnm._FilterDatabase" localSheetId="3" hidden="1">DDM!$B$82:$U$82</definedName>
    <definedName name="Common_Shares">Thesis!$C$9</definedName>
    <definedName name="dividend_tax_rate">Thesis!$C$16</definedName>
    <definedName name="Equity_Cost">Thesis!$C$18</definedName>
    <definedName name="Exchange_Rate">Thesis!$E$16</definedName>
    <definedName name="Holding_Period">Thesis!$E$21</definedName>
    <definedName name="Income_Tax_rate">DDM!$F$10</definedName>
    <definedName name="Market_currency">Thesis!$C$7</definedName>
    <definedName name="Market_Price">Thesis!$C$8</definedName>
    <definedName name="Reporting_currency">Thesis!$E$17</definedName>
    <definedName name="scaling_factor">Data!$C$3</definedName>
    <definedName name="Terminal_Growth">Thesis!$C$17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10" roundtripDataSignature="AMtx7mi73Cg0ax9bLfpeUuF69nNRn7idDQ=="/>
    </ext>
  </extLst>
</workbook>
</file>

<file path=xl/calcChain.xml><?xml version="1.0" encoding="utf-8"?>
<calcChain xmlns="http://schemas.openxmlformats.org/spreadsheetml/2006/main">
  <c r="H81" i="2" l="1"/>
  <c r="I81" i="2"/>
  <c r="J81" i="2"/>
  <c r="K81" i="2"/>
  <c r="L81" i="2"/>
  <c r="M81" i="2"/>
  <c r="N81" i="2"/>
  <c r="O81" i="2"/>
  <c r="P81" i="2"/>
  <c r="Q81" i="2"/>
  <c r="G81" i="2"/>
  <c r="C81" i="2"/>
  <c r="E34" i="6"/>
  <c r="D40" i="6"/>
  <c r="D41" i="6"/>
  <c r="D42" i="6"/>
  <c r="D43" i="6"/>
  <c r="D44" i="6"/>
  <c r="C41" i="6"/>
  <c r="C42" i="6"/>
  <c r="C43" i="6"/>
  <c r="C44" i="6"/>
  <c r="C40" i="6"/>
  <c r="E24" i="6"/>
  <c r="F64" i="9"/>
  <c r="B65" i="2"/>
  <c r="C71" i="8"/>
  <c r="D71" i="8"/>
  <c r="E71" i="8"/>
  <c r="F71" i="8"/>
  <c r="C72" i="8"/>
  <c r="D72" i="8"/>
  <c r="E72" i="8"/>
  <c r="F72" i="8"/>
  <c r="C73" i="8"/>
  <c r="D73" i="8"/>
  <c r="E73" i="8"/>
  <c r="F73" i="8"/>
  <c r="C74" i="8"/>
  <c r="D74" i="8"/>
  <c r="E74" i="8"/>
  <c r="F74" i="8"/>
  <c r="C75" i="8"/>
  <c r="D75" i="8"/>
  <c r="E75" i="8"/>
  <c r="F75" i="8"/>
  <c r="C76" i="8"/>
  <c r="D76" i="8"/>
  <c r="E76" i="8"/>
  <c r="F76" i="8"/>
  <c r="C77" i="8"/>
  <c r="D77" i="8"/>
  <c r="E77" i="8"/>
  <c r="F77" i="8"/>
  <c r="C78" i="8"/>
  <c r="D78" i="8"/>
  <c r="E78" i="8"/>
  <c r="F78" i="8"/>
  <c r="C79" i="8"/>
  <c r="D79" i="8"/>
  <c r="E79" i="8"/>
  <c r="F79" i="8"/>
  <c r="C80" i="8"/>
  <c r="D80" i="8"/>
  <c r="E80" i="8"/>
  <c r="F80" i="8"/>
  <c r="B72" i="8"/>
  <c r="B73" i="8"/>
  <c r="B74" i="8"/>
  <c r="B75" i="8"/>
  <c r="B76" i="8"/>
  <c r="B77" i="8"/>
  <c r="B78" i="8"/>
  <c r="B79" i="8"/>
  <c r="B80" i="8"/>
  <c r="B71" i="8"/>
  <c r="C64" i="2"/>
  <c r="F17" i="8" l="1"/>
  <c r="B40" i="9"/>
  <c r="I15" i="8"/>
  <c r="C19" i="8"/>
  <c r="C44" i="9" s="1"/>
  <c r="F19" i="8" s="1"/>
  <c r="I52" i="8" s="1"/>
  <c r="L17" i="8"/>
  <c r="C8" i="8"/>
  <c r="D7" i="8"/>
  <c r="F10" i="8"/>
  <c r="F8" i="8"/>
  <c r="H23" i="2" l="1"/>
  <c r="I23" i="2"/>
  <c r="J23" i="2"/>
  <c r="K23" i="2"/>
  <c r="L23" i="2"/>
  <c r="M23" i="2"/>
  <c r="N23" i="2"/>
  <c r="O23" i="2"/>
  <c r="P23" i="2"/>
  <c r="Q23" i="2"/>
  <c r="G23" i="2"/>
  <c r="C23" i="2" s="1"/>
  <c r="B85" i="2"/>
  <c r="H27" i="2"/>
  <c r="P27" i="2"/>
  <c r="D69" i="4"/>
  <c r="E69" i="4"/>
  <c r="I25" i="2" s="1"/>
  <c r="F69" i="4"/>
  <c r="G69" i="4"/>
  <c r="H69" i="4"/>
  <c r="I69" i="4"/>
  <c r="M25" i="2" s="1"/>
  <c r="J69" i="4"/>
  <c r="N25" i="2" s="1"/>
  <c r="K69" i="4"/>
  <c r="O25" i="2" s="1"/>
  <c r="L69" i="4"/>
  <c r="P25" i="2" s="1"/>
  <c r="M69" i="4"/>
  <c r="Q25" i="2" s="1"/>
  <c r="D72" i="4"/>
  <c r="E72" i="4"/>
  <c r="I27" i="2" s="1"/>
  <c r="F72" i="4"/>
  <c r="J27" i="2" s="1"/>
  <c r="G72" i="4"/>
  <c r="K27" i="2" s="1"/>
  <c r="H72" i="4"/>
  <c r="L27" i="2" s="1"/>
  <c r="I72" i="4"/>
  <c r="M27" i="2" s="1"/>
  <c r="J72" i="4"/>
  <c r="N27" i="2" s="1"/>
  <c r="K72" i="4"/>
  <c r="O27" i="2" s="1"/>
  <c r="L72" i="4"/>
  <c r="M72" i="4"/>
  <c r="Q27" i="2" s="1"/>
  <c r="C72" i="4"/>
  <c r="G27" i="2" s="1"/>
  <c r="C27" i="2" s="1"/>
  <c r="M64" i="4"/>
  <c r="D68" i="4"/>
  <c r="E68" i="4"/>
  <c r="F68" i="4"/>
  <c r="G68" i="4"/>
  <c r="G70" i="4" s="1"/>
  <c r="H68" i="4"/>
  <c r="I68" i="4"/>
  <c r="J68" i="4"/>
  <c r="K68" i="4"/>
  <c r="L68" i="4"/>
  <c r="M68" i="4"/>
  <c r="C68" i="4"/>
  <c r="H25" i="2"/>
  <c r="J25" i="2"/>
  <c r="K25" i="2"/>
  <c r="K70" i="4"/>
  <c r="M70" i="4"/>
  <c r="H5" i="2"/>
  <c r="I5" i="2"/>
  <c r="J5" i="2"/>
  <c r="K5" i="2"/>
  <c r="L5" i="2"/>
  <c r="M5" i="2"/>
  <c r="N5" i="2"/>
  <c r="O5" i="2"/>
  <c r="P5" i="2"/>
  <c r="Q5" i="2"/>
  <c r="G5" i="2"/>
  <c r="H4" i="2"/>
  <c r="I4" i="2"/>
  <c r="J4" i="2"/>
  <c r="K4" i="2"/>
  <c r="L4" i="2"/>
  <c r="M4" i="2"/>
  <c r="N4" i="2"/>
  <c r="O4" i="2"/>
  <c r="P4" i="2"/>
  <c r="Q4" i="2"/>
  <c r="G4" i="2"/>
  <c r="M67" i="4"/>
  <c r="M66" i="4"/>
  <c r="Q22" i="2" s="1"/>
  <c r="Q31" i="2" s="1"/>
  <c r="I65" i="4"/>
  <c r="J65" i="4"/>
  <c r="K65" i="4"/>
  <c r="L65" i="4"/>
  <c r="M65" i="4"/>
  <c r="D65" i="4"/>
  <c r="E65" i="4"/>
  <c r="F65" i="4"/>
  <c r="G65" i="4"/>
  <c r="H65" i="4"/>
  <c r="C65" i="4"/>
  <c r="Q79" i="2" l="1"/>
  <c r="Q65" i="2"/>
  <c r="C10" i="2"/>
  <c r="I6" i="8"/>
  <c r="Q45" i="2"/>
  <c r="Q49" i="2"/>
  <c r="Q53" i="2"/>
  <c r="Q57" i="2"/>
  <c r="Q28" i="2"/>
  <c r="Q46" i="2"/>
  <c r="Q50" i="2"/>
  <c r="Q54" i="2"/>
  <c r="Q58" i="2"/>
  <c r="Q48" i="2"/>
  <c r="Q47" i="2"/>
  <c r="Q51" i="2"/>
  <c r="Q55" i="2"/>
  <c r="Q52" i="2"/>
  <c r="Q56" i="2"/>
  <c r="Q9" i="2"/>
  <c r="Q34" i="2"/>
  <c r="Q85" i="2"/>
  <c r="Q37" i="2"/>
  <c r="Q38" i="2"/>
  <c r="Q17" i="2"/>
  <c r="L70" i="4"/>
  <c r="J70" i="4"/>
  <c r="F70" i="4"/>
  <c r="I70" i="4"/>
  <c r="H70" i="4"/>
  <c r="D70" i="4"/>
  <c r="Q26" i="2"/>
  <c r="E70" i="4"/>
  <c r="L25" i="2"/>
  <c r="Q32" i="2"/>
  <c r="Q33" i="2"/>
  <c r="C27" i="4"/>
  <c r="C69" i="4" s="1"/>
  <c r="G25" i="2" s="1"/>
  <c r="C25" i="2" s="1"/>
  <c r="C24" i="4"/>
  <c r="C23" i="4"/>
  <c r="D30" i="4"/>
  <c r="E30" i="4"/>
  <c r="F30" i="4"/>
  <c r="G30" i="4"/>
  <c r="H30" i="4"/>
  <c r="I30" i="4"/>
  <c r="J30" i="4"/>
  <c r="K30" i="4"/>
  <c r="L30" i="4"/>
  <c r="M30" i="4"/>
  <c r="C30" i="4"/>
  <c r="C20" i="4"/>
  <c r="E19" i="6"/>
  <c r="H52" i="8" l="1"/>
  <c r="H22" i="8"/>
  <c r="I8" i="8"/>
  <c r="C11" i="2"/>
  <c r="C70" i="4"/>
  <c r="D4" i="9"/>
  <c r="D41" i="4"/>
  <c r="H11" i="2" s="1"/>
  <c r="E41" i="4"/>
  <c r="I11" i="2" s="1"/>
  <c r="F41" i="4"/>
  <c r="J11" i="2" s="1"/>
  <c r="G41" i="4"/>
  <c r="K11" i="2" s="1"/>
  <c r="H41" i="4"/>
  <c r="L11" i="2" s="1"/>
  <c r="I41" i="4"/>
  <c r="M11" i="2" s="1"/>
  <c r="J41" i="4"/>
  <c r="N11" i="2" s="1"/>
  <c r="K41" i="4"/>
  <c r="O11" i="2" s="1"/>
  <c r="L41" i="4"/>
  <c r="P11" i="2" s="1"/>
  <c r="M41" i="4"/>
  <c r="Q11" i="2" s="1"/>
  <c r="C41" i="4"/>
  <c r="G11" i="2" s="1"/>
  <c r="A73" i="8"/>
  <c r="A75" i="8"/>
  <c r="C52" i="8"/>
  <c r="L37" i="2" l="1"/>
  <c r="H37" i="2"/>
  <c r="N37" i="2"/>
  <c r="K37" i="2"/>
  <c r="J37" i="2"/>
  <c r="I37" i="2"/>
  <c r="P37" i="2"/>
  <c r="O37" i="2"/>
  <c r="M37" i="2"/>
  <c r="G37" i="2"/>
  <c r="C34" i="6" s="1"/>
  <c r="G23" i="9"/>
  <c r="G24" i="9"/>
  <c r="G30" i="9"/>
  <c r="G29" i="9"/>
  <c r="C54" i="9"/>
  <c r="F33" i="9"/>
  <c r="E62" i="9"/>
  <c r="E58" i="9"/>
  <c r="D33" i="9"/>
  <c r="D25" i="9"/>
  <c r="B87" i="8"/>
  <c r="B83" i="8"/>
  <c r="E28" i="9"/>
  <c r="B85" i="8"/>
  <c r="B86" i="8"/>
  <c r="B84" i="8"/>
  <c r="D30" i="9"/>
  <c r="D29" i="9"/>
  <c r="E21" i="9"/>
  <c r="D10" i="8"/>
  <c r="H3" i="2"/>
  <c r="C16" i="8" l="1"/>
  <c r="C41" i="9" s="1"/>
  <c r="F16" i="8" s="1"/>
  <c r="B62" i="2"/>
  <c r="B61" i="2"/>
  <c r="D34" i="4" l="1"/>
  <c r="E34" i="4"/>
  <c r="F34" i="4"/>
  <c r="D35" i="4"/>
  <c r="E35" i="4"/>
  <c r="F35" i="4"/>
  <c r="F36" i="4" l="1"/>
  <c r="E36" i="4"/>
  <c r="D36" i="4"/>
  <c r="B19" i="6"/>
  <c r="F59" i="9"/>
  <c r="F63" i="9"/>
  <c r="C10" i="6"/>
  <c r="F60" i="9" l="1"/>
  <c r="C3" i="2" l="1"/>
  <c r="C3" i="8"/>
  <c r="C6" i="9" s="1"/>
  <c r="C48" i="9"/>
  <c r="M57" i="4"/>
  <c r="M58" i="4"/>
  <c r="M59" i="4"/>
  <c r="M60" i="4"/>
  <c r="D52" i="4"/>
  <c r="E52" i="4"/>
  <c r="F52" i="4"/>
  <c r="G52" i="4"/>
  <c r="H52" i="4"/>
  <c r="I52" i="4"/>
  <c r="J52" i="4"/>
  <c r="K52" i="4"/>
  <c r="L52" i="4"/>
  <c r="M52" i="4"/>
  <c r="C52" i="4"/>
  <c r="D50" i="9" l="1"/>
  <c r="D35" i="9"/>
  <c r="D34" i="9"/>
  <c r="C34" i="9" l="1"/>
  <c r="F87" i="8"/>
  <c r="F83" i="8"/>
  <c r="B55" i="2"/>
  <c r="F85" i="8" l="1"/>
  <c r="F86" i="8"/>
  <c r="Q70" i="2" l="1"/>
  <c r="D22" i="9" l="1"/>
  <c r="M40" i="4"/>
  <c r="B20" i="4"/>
  <c r="D55" i="9" l="1"/>
  <c r="D36" i="9"/>
  <c r="D11" i="8"/>
  <c r="D9" i="8"/>
  <c r="C83" i="8"/>
  <c r="F22" i="9"/>
  <c r="G22" i="9" s="1"/>
  <c r="E47" i="4"/>
  <c r="F47" i="4"/>
  <c r="G47" i="4"/>
  <c r="H47" i="4"/>
  <c r="I47" i="4"/>
  <c r="J47" i="4"/>
  <c r="K47" i="4"/>
  <c r="L47" i="4"/>
  <c r="M47" i="4"/>
  <c r="D47" i="4"/>
  <c r="C47" i="4"/>
  <c r="H10" i="2" l="1"/>
  <c r="P10" i="2"/>
  <c r="M10" i="2"/>
  <c r="Q10" i="2"/>
  <c r="L10" i="2"/>
  <c r="J10" i="2"/>
  <c r="I10" i="2"/>
  <c r="O10" i="2"/>
  <c r="N10" i="2"/>
  <c r="G10" i="2"/>
  <c r="K10" i="2"/>
  <c r="F84" i="8"/>
  <c r="D83" i="8"/>
  <c r="F56" i="8"/>
  <c r="F69" i="8" s="1"/>
  <c r="C86" i="8" l="1"/>
  <c r="D24" i="9"/>
  <c r="D87" i="8"/>
  <c r="D23" i="9"/>
  <c r="C85" i="8"/>
  <c r="C87" i="8"/>
  <c r="D84" i="8"/>
  <c r="C84" i="8"/>
  <c r="C15" i="8"/>
  <c r="Q69" i="2"/>
  <c r="A80" i="8"/>
  <c r="A79" i="8"/>
  <c r="N29" i="8" l="1"/>
  <c r="N37" i="8"/>
  <c r="N45" i="8"/>
  <c r="N42" i="8"/>
  <c r="N51" i="8"/>
  <c r="N28" i="8"/>
  <c r="N22" i="8"/>
  <c r="N30" i="8"/>
  <c r="N38" i="8"/>
  <c r="N46" i="8"/>
  <c r="N50" i="8"/>
  <c r="N27" i="8"/>
  <c r="N52" i="8"/>
  <c r="N23" i="8"/>
  <c r="N31" i="8"/>
  <c r="N39" i="8"/>
  <c r="N47" i="8"/>
  <c r="N26" i="8"/>
  <c r="N35" i="8"/>
  <c r="N44" i="8"/>
  <c r="N24" i="8"/>
  <c r="N32" i="8"/>
  <c r="N40" i="8"/>
  <c r="N48" i="8"/>
  <c r="N25" i="8"/>
  <c r="N33" i="8"/>
  <c r="N41" i="8"/>
  <c r="N49" i="8"/>
  <c r="N34" i="8"/>
  <c r="N43" i="8"/>
  <c r="N36" i="8"/>
  <c r="B52" i="8"/>
  <c r="D86" i="8"/>
  <c r="D85" i="8"/>
  <c r="D56" i="8"/>
  <c r="B56" i="8"/>
  <c r="B69" i="8" s="1"/>
  <c r="C56" i="8"/>
  <c r="E56" i="8"/>
  <c r="D69" i="8" l="1"/>
  <c r="E69" i="8"/>
  <c r="A76" i="8"/>
  <c r="A77" i="8"/>
  <c r="A78" i="8"/>
  <c r="A71" i="8"/>
  <c r="D4" i="8"/>
  <c r="I53" i="4" l="1"/>
  <c r="M61" i="2" s="1"/>
  <c r="J53" i="4"/>
  <c r="N61" i="2" s="1"/>
  <c r="K53" i="4"/>
  <c r="O61" i="2" s="1"/>
  <c r="L53" i="4"/>
  <c r="P61" i="2" s="1"/>
  <c r="M53" i="4"/>
  <c r="Q61" i="2" s="1"/>
  <c r="Q21" i="2" l="1"/>
  <c r="I24" i="2"/>
  <c r="J24" i="2"/>
  <c r="K24" i="2"/>
  <c r="L24" i="2"/>
  <c r="M24" i="2"/>
  <c r="N24" i="2"/>
  <c r="O24" i="2"/>
  <c r="P24" i="2"/>
  <c r="Q24" i="2"/>
  <c r="E71" i="4"/>
  <c r="E64" i="4" s="1"/>
  <c r="F71" i="4"/>
  <c r="F64" i="4" s="1"/>
  <c r="G71" i="4"/>
  <c r="G64" i="4" s="1"/>
  <c r="H71" i="4"/>
  <c r="H64" i="4" s="1"/>
  <c r="I71" i="4"/>
  <c r="I64" i="4" s="1"/>
  <c r="J71" i="4"/>
  <c r="J64" i="4" s="1"/>
  <c r="K71" i="4"/>
  <c r="K64" i="4" s="1"/>
  <c r="L71" i="4"/>
  <c r="L64" i="4" s="1"/>
  <c r="M71" i="4"/>
  <c r="H24" i="2"/>
  <c r="M56" i="4"/>
  <c r="B60" i="4"/>
  <c r="B58" i="4"/>
  <c r="B56" i="4"/>
  <c r="E15" i="6"/>
  <c r="D1" i="4"/>
  <c r="I66" i="4" l="1"/>
  <c r="M21" i="2"/>
  <c r="M26" i="2" s="1"/>
  <c r="F66" i="4"/>
  <c r="J21" i="2"/>
  <c r="J26" i="2" s="1"/>
  <c r="H66" i="4"/>
  <c r="L21" i="2"/>
  <c r="L26" i="2" s="1"/>
  <c r="J66" i="4"/>
  <c r="N21" i="2"/>
  <c r="N26" i="2" s="1"/>
  <c r="L66" i="4"/>
  <c r="P21" i="2"/>
  <c r="P26" i="2" s="1"/>
  <c r="K66" i="4"/>
  <c r="O21" i="2"/>
  <c r="O26" i="2" s="1"/>
  <c r="G66" i="4"/>
  <c r="K21" i="2"/>
  <c r="K26" i="2" s="1"/>
  <c r="E66" i="4"/>
  <c r="I21" i="2"/>
  <c r="I26" i="2" s="1"/>
  <c r="C42" i="4"/>
  <c r="G13" i="2" s="1"/>
  <c r="C43" i="4"/>
  <c r="C44" i="4"/>
  <c r="G14" i="2" s="1"/>
  <c r="D42" i="4"/>
  <c r="H13" i="2" s="1"/>
  <c r="E42" i="4"/>
  <c r="I13" i="2" s="1"/>
  <c r="F42" i="4"/>
  <c r="J13" i="2" s="1"/>
  <c r="G42" i="4"/>
  <c r="K13" i="2" s="1"/>
  <c r="H42" i="4"/>
  <c r="L13" i="2" s="1"/>
  <c r="I42" i="4"/>
  <c r="M13" i="2" s="1"/>
  <c r="J42" i="4"/>
  <c r="N13" i="2" s="1"/>
  <c r="K42" i="4"/>
  <c r="O13" i="2" s="1"/>
  <c r="L42" i="4"/>
  <c r="P13" i="2" s="1"/>
  <c r="M42" i="4"/>
  <c r="Q13" i="2" s="1"/>
  <c r="D51" i="4"/>
  <c r="E51" i="4"/>
  <c r="F51" i="4"/>
  <c r="G51" i="4"/>
  <c r="H51" i="4"/>
  <c r="I51" i="4"/>
  <c r="J51" i="4"/>
  <c r="K51" i="4"/>
  <c r="L51" i="4"/>
  <c r="M51" i="4"/>
  <c r="C51" i="4"/>
  <c r="D50" i="4"/>
  <c r="E50" i="4"/>
  <c r="F50" i="4"/>
  <c r="G50" i="4"/>
  <c r="H50" i="4"/>
  <c r="I50" i="4"/>
  <c r="J50" i="4"/>
  <c r="K50" i="4"/>
  <c r="L50" i="4"/>
  <c r="M50" i="4"/>
  <c r="Q16" i="2" s="1"/>
  <c r="C50" i="4"/>
  <c r="D43" i="4"/>
  <c r="E43" i="4"/>
  <c r="F43" i="4"/>
  <c r="G43" i="4"/>
  <c r="H43" i="4"/>
  <c r="I43" i="4"/>
  <c r="J43" i="4"/>
  <c r="K43" i="4"/>
  <c r="L43" i="4"/>
  <c r="M43" i="4"/>
  <c r="D44" i="4"/>
  <c r="H14" i="2" s="1"/>
  <c r="E44" i="4"/>
  <c r="I14" i="2" s="1"/>
  <c r="F44" i="4"/>
  <c r="J14" i="2" s="1"/>
  <c r="G44" i="4"/>
  <c r="K14" i="2" s="1"/>
  <c r="H44" i="4"/>
  <c r="L14" i="2" s="1"/>
  <c r="I44" i="4"/>
  <c r="M14" i="2" s="1"/>
  <c r="J44" i="4"/>
  <c r="N14" i="2" s="1"/>
  <c r="K44" i="4"/>
  <c r="O14" i="2" s="1"/>
  <c r="L44" i="4"/>
  <c r="P14" i="2" s="1"/>
  <c r="M44" i="4"/>
  <c r="Q14" i="2" s="1"/>
  <c r="D38" i="4"/>
  <c r="H8" i="2" s="1"/>
  <c r="E38" i="4"/>
  <c r="I8" i="2" s="1"/>
  <c r="F38" i="4"/>
  <c r="J8" i="2" s="1"/>
  <c r="G38" i="4"/>
  <c r="K8" i="2" s="1"/>
  <c r="H38" i="4"/>
  <c r="L8" i="2" s="1"/>
  <c r="I38" i="4"/>
  <c r="M8" i="2" s="1"/>
  <c r="J38" i="4"/>
  <c r="N8" i="2" s="1"/>
  <c r="K38" i="4"/>
  <c r="O8" i="2" s="1"/>
  <c r="L38" i="4"/>
  <c r="P8" i="2" s="1"/>
  <c r="M38" i="4"/>
  <c r="Q8" i="2" s="1"/>
  <c r="C38" i="4"/>
  <c r="G8" i="2" s="1"/>
  <c r="D37" i="4"/>
  <c r="H7" i="2" s="1"/>
  <c r="E37" i="4"/>
  <c r="I7" i="2" s="1"/>
  <c r="F37" i="4"/>
  <c r="J7" i="2" s="1"/>
  <c r="G37" i="4"/>
  <c r="K7" i="2" s="1"/>
  <c r="H37" i="4"/>
  <c r="L7" i="2" s="1"/>
  <c r="I37" i="4"/>
  <c r="M7" i="2" s="1"/>
  <c r="J37" i="4"/>
  <c r="N7" i="2" s="1"/>
  <c r="K37" i="4"/>
  <c r="O7" i="2" s="1"/>
  <c r="L37" i="4"/>
  <c r="P7" i="2" s="1"/>
  <c r="M37" i="4"/>
  <c r="Q7" i="2" s="1"/>
  <c r="C37" i="4"/>
  <c r="G7" i="2" s="1"/>
  <c r="G35" i="4"/>
  <c r="H35" i="4"/>
  <c r="I35" i="4"/>
  <c r="J35" i="4"/>
  <c r="K35" i="4"/>
  <c r="L35" i="4"/>
  <c r="M35" i="4"/>
  <c r="C35" i="4"/>
  <c r="M39" i="4"/>
  <c r="D53" i="4"/>
  <c r="H61" i="2" s="1"/>
  <c r="E53" i="4"/>
  <c r="I61" i="2" s="1"/>
  <c r="F53" i="4"/>
  <c r="J61" i="2" s="1"/>
  <c r="G53" i="4"/>
  <c r="K61" i="2" s="1"/>
  <c r="H53" i="4"/>
  <c r="L61" i="2" s="1"/>
  <c r="C53" i="4"/>
  <c r="G61" i="2" s="1"/>
  <c r="G24" i="2"/>
  <c r="D71" i="4"/>
  <c r="D64" i="4" s="1"/>
  <c r="L28" i="2" l="1"/>
  <c r="L79" i="2"/>
  <c r="J28" i="2"/>
  <c r="J79" i="2"/>
  <c r="I28" i="2"/>
  <c r="I79" i="2"/>
  <c r="P28" i="2"/>
  <c r="P79" i="2"/>
  <c r="M28" i="2"/>
  <c r="M79" i="2"/>
  <c r="N28" i="2"/>
  <c r="N79" i="2"/>
  <c r="K28" i="2"/>
  <c r="K79" i="2"/>
  <c r="C61" i="2"/>
  <c r="E30" i="6" s="1"/>
  <c r="E31" i="6" s="1"/>
  <c r="C30" i="6"/>
  <c r="C31" i="6" s="1"/>
  <c r="O28" i="2"/>
  <c r="O79" i="2"/>
  <c r="C24" i="2"/>
  <c r="I7" i="8"/>
  <c r="I9" i="8" s="1"/>
  <c r="C7" i="2"/>
  <c r="F6" i="8" s="1"/>
  <c r="L67" i="4"/>
  <c r="P22" i="2"/>
  <c r="P34" i="2" s="1"/>
  <c r="E67" i="4"/>
  <c r="I22" i="2"/>
  <c r="I34" i="2" s="1"/>
  <c r="J67" i="4"/>
  <c r="N22" i="2"/>
  <c r="N34" i="2" s="1"/>
  <c r="M22" i="2"/>
  <c r="M34" i="2" s="1"/>
  <c r="I67" i="4"/>
  <c r="L22" i="2"/>
  <c r="L34" i="2" s="1"/>
  <c r="H67" i="4"/>
  <c r="K67" i="4"/>
  <c r="O22" i="2"/>
  <c r="O34" i="2" s="1"/>
  <c r="J22" i="2"/>
  <c r="J34" i="2" s="1"/>
  <c r="F67" i="4"/>
  <c r="K22" i="2"/>
  <c r="K34" i="2" s="1"/>
  <c r="G67" i="4"/>
  <c r="C66" i="2"/>
  <c r="P16" i="2"/>
  <c r="P57" i="2" s="1"/>
  <c r="N16" i="2"/>
  <c r="N57" i="2" s="1"/>
  <c r="M16" i="2"/>
  <c r="M57" i="2" s="1"/>
  <c r="L16" i="2"/>
  <c r="L57" i="2" s="1"/>
  <c r="K16" i="2"/>
  <c r="K57" i="2" s="1"/>
  <c r="I16" i="2"/>
  <c r="I57" i="2" s="1"/>
  <c r="H16" i="2"/>
  <c r="H57" i="2" s="1"/>
  <c r="O16" i="2"/>
  <c r="O57" i="2" s="1"/>
  <c r="G16" i="2"/>
  <c r="J16" i="2"/>
  <c r="J57" i="2" s="1"/>
  <c r="G34" i="4"/>
  <c r="H34" i="4"/>
  <c r="I34" i="4"/>
  <c r="J34" i="4"/>
  <c r="K34" i="4"/>
  <c r="L34" i="4"/>
  <c r="M34" i="4"/>
  <c r="C34" i="4"/>
  <c r="C62" i="2" l="1"/>
  <c r="C65" i="2" s="1"/>
  <c r="C33" i="9"/>
  <c r="C55" i="9" s="1"/>
  <c r="K32" i="2"/>
  <c r="K31" i="2"/>
  <c r="M31" i="2"/>
  <c r="M32" i="2"/>
  <c r="N31" i="2"/>
  <c r="N32" i="2"/>
  <c r="J32" i="2"/>
  <c r="J31" i="2"/>
  <c r="D66" i="4"/>
  <c r="H21" i="2"/>
  <c r="H26" i="2" s="1"/>
  <c r="O32" i="2"/>
  <c r="O31" i="2"/>
  <c r="I31" i="2"/>
  <c r="I32" i="2"/>
  <c r="P32" i="2"/>
  <c r="P31" i="2"/>
  <c r="L32" i="2"/>
  <c r="L31" i="2"/>
  <c r="G60" i="4"/>
  <c r="I60" i="4"/>
  <c r="F60" i="4"/>
  <c r="E60" i="4"/>
  <c r="D60" i="4"/>
  <c r="J60" i="4"/>
  <c r="H60" i="4"/>
  <c r="L57" i="4"/>
  <c r="L58" i="4"/>
  <c r="L60" i="4"/>
  <c r="L59" i="4"/>
  <c r="K60" i="4"/>
  <c r="C60" i="4"/>
  <c r="L56" i="4"/>
  <c r="D56" i="4"/>
  <c r="K56" i="4"/>
  <c r="C56" i="4"/>
  <c r="J56" i="4"/>
  <c r="I56" i="4"/>
  <c r="E56" i="4"/>
  <c r="H56" i="4"/>
  <c r="G56" i="4"/>
  <c r="F56" i="4"/>
  <c r="Q6" i="2"/>
  <c r="K36" i="4"/>
  <c r="K39" i="4" s="1"/>
  <c r="K40" i="4" s="1"/>
  <c r="J36" i="4"/>
  <c r="J39" i="4" s="1"/>
  <c r="J40" i="4" s="1"/>
  <c r="I36" i="4"/>
  <c r="I39" i="4" s="1"/>
  <c r="I40" i="4" s="1"/>
  <c r="G36" i="4"/>
  <c r="G39" i="4" s="1"/>
  <c r="G40" i="4" s="1"/>
  <c r="H36" i="4"/>
  <c r="H39" i="4" s="1"/>
  <c r="C36" i="4"/>
  <c r="C39" i="4" s="1"/>
  <c r="D39" i="4"/>
  <c r="D40" i="4" s="1"/>
  <c r="F39" i="4"/>
  <c r="F40" i="4" s="1"/>
  <c r="L36" i="4"/>
  <c r="L39" i="4" s="1"/>
  <c r="L40" i="4" s="1"/>
  <c r="E39" i="4"/>
  <c r="M36" i="4"/>
  <c r="C60" i="9" l="1"/>
  <c r="C64" i="9"/>
  <c r="C63" i="9"/>
  <c r="C59" i="9"/>
  <c r="H28" i="2"/>
  <c r="H79" i="2"/>
  <c r="D67" i="4"/>
  <c r="H22" i="2"/>
  <c r="H34" i="2" s="1"/>
  <c r="Q78" i="2"/>
  <c r="Q77" i="2"/>
  <c r="N6" i="2"/>
  <c r="P6" i="2"/>
  <c r="O6" i="2"/>
  <c r="M6" i="2"/>
  <c r="Q63" i="2"/>
  <c r="Q66" i="2"/>
  <c r="G66" i="2"/>
  <c r="F59" i="4"/>
  <c r="M66" i="2"/>
  <c r="N66" i="2"/>
  <c r="P66" i="2"/>
  <c r="O66" i="2"/>
  <c r="L66" i="2"/>
  <c r="J66" i="2"/>
  <c r="I66" i="2"/>
  <c r="K66" i="2"/>
  <c r="H66" i="2"/>
  <c r="Q80" i="2"/>
  <c r="G62" i="2"/>
  <c r="G65" i="2" s="1"/>
  <c r="Q87" i="2"/>
  <c r="Q62" i="2"/>
  <c r="E58" i="4"/>
  <c r="J59" i="4"/>
  <c r="K58" i="4"/>
  <c r="K59" i="4"/>
  <c r="G58" i="4"/>
  <c r="F58" i="4"/>
  <c r="M87" i="2"/>
  <c r="M62" i="2"/>
  <c r="M65" i="2" s="1"/>
  <c r="I59" i="4"/>
  <c r="N87" i="2"/>
  <c r="N62" i="2"/>
  <c r="N65" i="2" s="1"/>
  <c r="P87" i="2"/>
  <c r="P62" i="2"/>
  <c r="P65" i="2" s="1"/>
  <c r="J57" i="4"/>
  <c r="F57" i="4"/>
  <c r="G57" i="4"/>
  <c r="O87" i="2"/>
  <c r="O62" i="2"/>
  <c r="O65" i="2" s="1"/>
  <c r="I57" i="4"/>
  <c r="H58" i="4"/>
  <c r="J58" i="4"/>
  <c r="L87" i="2"/>
  <c r="L62" i="2"/>
  <c r="L65" i="2" s="1"/>
  <c r="K57" i="4"/>
  <c r="H57" i="4"/>
  <c r="I58" i="4"/>
  <c r="D58" i="4"/>
  <c r="C58" i="4"/>
  <c r="D57" i="4"/>
  <c r="I62" i="2"/>
  <c r="I65" i="2" s="1"/>
  <c r="K87" i="2"/>
  <c r="K62" i="2"/>
  <c r="K65" i="2" s="1"/>
  <c r="J62" i="2"/>
  <c r="J65" i="2" s="1"/>
  <c r="H62" i="2"/>
  <c r="H65" i="2" s="1"/>
  <c r="E57" i="4"/>
  <c r="C57" i="4"/>
  <c r="C71" i="4"/>
  <c r="C64" i="4" s="1"/>
  <c r="G73" i="2"/>
  <c r="G87" i="2"/>
  <c r="H73" i="2"/>
  <c r="H87" i="2"/>
  <c r="J73" i="2"/>
  <c r="J87" i="2"/>
  <c r="I73" i="2"/>
  <c r="I87" i="2"/>
  <c r="K73" i="2"/>
  <c r="M73" i="2"/>
  <c r="L73" i="2"/>
  <c r="N73" i="2"/>
  <c r="P73" i="2"/>
  <c r="O73" i="2"/>
  <c r="Q73" i="2"/>
  <c r="Q74" i="2"/>
  <c r="Q41" i="2"/>
  <c r="C11" i="9"/>
  <c r="H78" i="2"/>
  <c r="M78" i="2"/>
  <c r="N78" i="2"/>
  <c r="Q86" i="2"/>
  <c r="K78" i="2"/>
  <c r="I78" i="2"/>
  <c r="J78" i="2"/>
  <c r="L78" i="2"/>
  <c r="H40" i="4"/>
  <c r="E40" i="4"/>
  <c r="C40" i="4"/>
  <c r="Q12" i="2"/>
  <c r="Q15" i="2"/>
  <c r="M69" i="2"/>
  <c r="O69" i="2"/>
  <c r="P69" i="2"/>
  <c r="N69" i="2"/>
  <c r="L69" i="2"/>
  <c r="G69" i="2"/>
  <c r="I69" i="2"/>
  <c r="K69" i="2"/>
  <c r="H69" i="2"/>
  <c r="J69" i="2"/>
  <c r="G57" i="2"/>
  <c r="C57" i="2" s="1"/>
  <c r="F11" i="8" s="1"/>
  <c r="B1" i="4"/>
  <c r="O46" i="2" l="1"/>
  <c r="O45" i="2"/>
  <c r="O47" i="2"/>
  <c r="O52" i="2"/>
  <c r="O51" i="2"/>
  <c r="O49" i="2"/>
  <c r="O54" i="2"/>
  <c r="O48" i="2"/>
  <c r="O55" i="2"/>
  <c r="P45" i="2"/>
  <c r="P47" i="2"/>
  <c r="P46" i="2"/>
  <c r="P52" i="2"/>
  <c r="P51" i="2"/>
  <c r="P49" i="2"/>
  <c r="P54" i="2"/>
  <c r="P48" i="2"/>
  <c r="P55" i="2"/>
  <c r="N47" i="2"/>
  <c r="N45" i="2"/>
  <c r="N46" i="2"/>
  <c r="N52" i="2"/>
  <c r="N51" i="2"/>
  <c r="N54" i="2"/>
  <c r="N49" i="2"/>
  <c r="N48" i="2"/>
  <c r="N55" i="2"/>
  <c r="M47" i="2"/>
  <c r="M45" i="2"/>
  <c r="M46" i="2"/>
  <c r="M52" i="2"/>
  <c r="M51" i="2"/>
  <c r="M48" i="2"/>
  <c r="M54" i="2"/>
  <c r="M55" i="2"/>
  <c r="M49" i="2"/>
  <c r="O33" i="2"/>
  <c r="O9" i="2"/>
  <c r="P33" i="2"/>
  <c r="P9" i="2"/>
  <c r="N33" i="2"/>
  <c r="N9" i="2"/>
  <c r="C66" i="4"/>
  <c r="G21" i="2"/>
  <c r="G26" i="2" s="1"/>
  <c r="M33" i="2"/>
  <c r="M9" i="2"/>
  <c r="H31" i="2"/>
  <c r="H32" i="2"/>
  <c r="O78" i="2"/>
  <c r="P78" i="2"/>
  <c r="G59" i="4"/>
  <c r="H59" i="4"/>
  <c r="C59" i="4"/>
  <c r="E59" i="4"/>
  <c r="D59" i="4"/>
  <c r="H6" i="2"/>
  <c r="I6" i="2"/>
  <c r="K6" i="2"/>
  <c r="L6" i="2"/>
  <c r="J6" i="2"/>
  <c r="G6" i="2"/>
  <c r="C7" i="9" s="1"/>
  <c r="G28" i="2" l="1"/>
  <c r="G79" i="2"/>
  <c r="C35" i="6" s="1"/>
  <c r="P38" i="2"/>
  <c r="P50" i="2"/>
  <c r="M38" i="2"/>
  <c r="M50" i="2"/>
  <c r="H46" i="2"/>
  <c r="H45" i="2"/>
  <c r="H47" i="2"/>
  <c r="H52" i="2"/>
  <c r="H51" i="2"/>
  <c r="H48" i="2"/>
  <c r="H49" i="2"/>
  <c r="H54" i="2"/>
  <c r="H55" i="2"/>
  <c r="O38" i="2"/>
  <c r="O50" i="2"/>
  <c r="J47" i="2"/>
  <c r="J46" i="2"/>
  <c r="J45" i="2"/>
  <c r="J52" i="2"/>
  <c r="J51" i="2"/>
  <c r="J55" i="2"/>
  <c r="J48" i="2"/>
  <c r="J49" i="2"/>
  <c r="J54" i="2"/>
  <c r="G45" i="2"/>
  <c r="G47" i="2"/>
  <c r="G46" i="2"/>
  <c r="G52" i="2"/>
  <c r="G51" i="2"/>
  <c r="G54" i="2"/>
  <c r="G48" i="2"/>
  <c r="G55" i="2"/>
  <c r="G49" i="2"/>
  <c r="N38" i="2"/>
  <c r="N50" i="2"/>
  <c r="I47" i="2"/>
  <c r="I46" i="2"/>
  <c r="I45" i="2"/>
  <c r="I52" i="2"/>
  <c r="I51" i="2"/>
  <c r="I55" i="2"/>
  <c r="I54" i="2"/>
  <c r="I48" i="2"/>
  <c r="I49" i="2"/>
  <c r="L47" i="2"/>
  <c r="L45" i="2"/>
  <c r="L46" i="2"/>
  <c r="L52" i="2"/>
  <c r="L51" i="2"/>
  <c r="L54" i="2"/>
  <c r="L48" i="2"/>
  <c r="L55" i="2"/>
  <c r="L49" i="2"/>
  <c r="K47" i="2"/>
  <c r="K46" i="2"/>
  <c r="K45" i="2"/>
  <c r="K52" i="2"/>
  <c r="K51" i="2"/>
  <c r="K54" i="2"/>
  <c r="K49" i="2"/>
  <c r="K48" i="2"/>
  <c r="K55" i="2"/>
  <c r="C26" i="2"/>
  <c r="C21" i="2"/>
  <c r="I4" i="8" s="1"/>
  <c r="I10" i="8" s="1"/>
  <c r="I11" i="8" s="1"/>
  <c r="L15" i="8" s="1"/>
  <c r="G22" i="2"/>
  <c r="C67" i="4"/>
  <c r="G9" i="2"/>
  <c r="K33" i="2"/>
  <c r="K9" i="2"/>
  <c r="I33" i="2"/>
  <c r="I9" i="2"/>
  <c r="J33" i="2"/>
  <c r="J9" i="2"/>
  <c r="H33" i="2"/>
  <c r="H9" i="2"/>
  <c r="L33" i="2"/>
  <c r="L9" i="2"/>
  <c r="G78" i="2"/>
  <c r="C28" i="2" l="1"/>
  <c r="C55" i="2" s="1"/>
  <c r="F9" i="8" s="1"/>
  <c r="C79" i="2"/>
  <c r="G34" i="2"/>
  <c r="G31" i="2"/>
  <c r="I38" i="2"/>
  <c r="I50" i="2"/>
  <c r="K38" i="2"/>
  <c r="K50" i="2"/>
  <c r="L38" i="2"/>
  <c r="L50" i="2"/>
  <c r="G38" i="2"/>
  <c r="G50" i="2"/>
  <c r="H38" i="2"/>
  <c r="H50" i="2"/>
  <c r="J38" i="2"/>
  <c r="J50" i="2"/>
  <c r="G33" i="2"/>
  <c r="C22" i="2"/>
  <c r="I5" i="8" s="1"/>
  <c r="G32" i="2"/>
  <c r="C32" i="2" l="1"/>
  <c r="C33" i="6"/>
  <c r="C32" i="6"/>
  <c r="C31" i="2"/>
  <c r="C5" i="2"/>
  <c r="F5" i="8" s="1"/>
  <c r="C4" i="2"/>
  <c r="F4" i="8" s="1"/>
  <c r="E32" i="6" l="1"/>
  <c r="C17" i="8"/>
  <c r="F14" i="8" s="1"/>
  <c r="E33" i="6"/>
  <c r="C18" i="8"/>
  <c r="C43" i="9" s="1"/>
  <c r="F18" i="8" s="1"/>
  <c r="Q52" i="8" s="1"/>
  <c r="C6" i="2"/>
  <c r="C69" i="2"/>
  <c r="C78" i="2"/>
  <c r="G1" i="2"/>
  <c r="C8" i="9" l="1"/>
  <c r="C14" i="2"/>
  <c r="C47" i="2"/>
  <c r="C51" i="2"/>
  <c r="C52" i="2"/>
  <c r="C48" i="2"/>
  <c r="C46" i="2"/>
  <c r="C45" i="2"/>
  <c r="C33" i="2"/>
  <c r="H1" i="2"/>
  <c r="E1" i="4"/>
  <c r="F1" i="4" s="1"/>
  <c r="G1" i="4" s="1"/>
  <c r="H1" i="4" s="1"/>
  <c r="I1" i="4" s="1"/>
  <c r="J1" i="4" s="1"/>
  <c r="K1" i="4" s="1"/>
  <c r="L1" i="4" s="1"/>
  <c r="M1" i="4" s="1"/>
  <c r="Q76" i="2" l="1"/>
  <c r="B1" i="2" l="1"/>
  <c r="P70" i="2" l="1"/>
  <c r="I1" i="2" l="1"/>
  <c r="J1" i="2" l="1"/>
  <c r="K1" i="2" s="1"/>
  <c r="L1" i="2" s="1"/>
  <c r="M1" i="2" s="1"/>
  <c r="N1" i="2" s="1"/>
  <c r="O1" i="2" s="1"/>
  <c r="P1" i="2" s="1"/>
  <c r="Q1" i="2" s="1"/>
  <c r="C69" i="8" l="1"/>
  <c r="B39" i="9" l="1"/>
  <c r="B14" i="6" s="1"/>
  <c r="K12" i="2"/>
  <c r="K53" i="2" s="1"/>
  <c r="F15" i="8"/>
  <c r="E15" i="8"/>
  <c r="E86" i="8"/>
  <c r="E85" i="8"/>
  <c r="E84" i="8"/>
  <c r="E87" i="8"/>
  <c r="E83" i="8"/>
  <c r="E30" i="9" l="1"/>
  <c r="E44" i="6"/>
  <c r="E22" i="9"/>
  <c r="E41" i="6"/>
  <c r="E23" i="9"/>
  <c r="E42" i="6"/>
  <c r="E24" i="9"/>
  <c r="E43" i="6"/>
  <c r="E29" i="9"/>
  <c r="E40" i="6"/>
  <c r="C40" i="9"/>
  <c r="A46" i="8"/>
  <c r="A50" i="8"/>
  <c r="A36" i="8"/>
  <c r="A40" i="8"/>
  <c r="A27" i="8"/>
  <c r="A34" i="8"/>
  <c r="A45" i="8"/>
  <c r="A37" i="8"/>
  <c r="A33" i="8"/>
  <c r="A39" i="8"/>
  <c r="A47" i="8"/>
  <c r="A28" i="8"/>
  <c r="A48" i="8"/>
  <c r="A32" i="8"/>
  <c r="A29" i="8"/>
  <c r="A42" i="8"/>
  <c r="A49" i="8"/>
  <c r="A41" i="8"/>
  <c r="A30" i="8"/>
  <c r="A38" i="8"/>
  <c r="A31" i="8"/>
  <c r="A51" i="8"/>
  <c r="A44" i="8"/>
  <c r="A43" i="8"/>
  <c r="A35" i="8"/>
  <c r="P12" i="2"/>
  <c r="P53" i="2" s="1"/>
  <c r="P41" i="2"/>
  <c r="H41" i="2"/>
  <c r="H12" i="2"/>
  <c r="H53" i="2" s="1"/>
  <c r="J41" i="2"/>
  <c r="J12" i="2"/>
  <c r="J53" i="2" s="1"/>
  <c r="O12" i="2"/>
  <c r="O53" i="2" s="1"/>
  <c r="O41" i="2"/>
  <c r="M41" i="2"/>
  <c r="M12" i="2"/>
  <c r="M53" i="2" s="1"/>
  <c r="K77" i="2"/>
  <c r="K80" i="2"/>
  <c r="K76" i="2" s="1"/>
  <c r="K15" i="2"/>
  <c r="K56" i="2" s="1"/>
  <c r="I41" i="2"/>
  <c r="I12" i="2"/>
  <c r="I53" i="2" s="1"/>
  <c r="L41" i="2"/>
  <c r="L12" i="2"/>
  <c r="L53" i="2" s="1"/>
  <c r="N41" i="2"/>
  <c r="N12" i="2"/>
  <c r="N53" i="2" s="1"/>
  <c r="K41" i="2"/>
  <c r="A24" i="8"/>
  <c r="A26" i="8"/>
  <c r="Q26" i="8" s="1"/>
  <c r="A23" i="8"/>
  <c r="A25" i="8"/>
  <c r="Q25" i="8" s="1"/>
  <c r="A22" i="8"/>
  <c r="C36" i="9" l="1"/>
  <c r="C19" i="6" s="1"/>
  <c r="F42" i="6" s="1"/>
  <c r="C25" i="9"/>
  <c r="Q24" i="8"/>
  <c r="Q23" i="8"/>
  <c r="Q44" i="8"/>
  <c r="I44" i="8"/>
  <c r="H44" i="8"/>
  <c r="C44" i="8"/>
  <c r="C29" i="8"/>
  <c r="I29" i="8"/>
  <c r="H29" i="8"/>
  <c r="Q29" i="8"/>
  <c r="Q45" i="8"/>
  <c r="H45" i="8"/>
  <c r="C45" i="8"/>
  <c r="I45" i="8"/>
  <c r="I51" i="8"/>
  <c r="H51" i="8"/>
  <c r="Q51" i="8"/>
  <c r="C51" i="8"/>
  <c r="Q32" i="8"/>
  <c r="H32" i="8"/>
  <c r="C32" i="8"/>
  <c r="I32" i="8"/>
  <c r="I34" i="8"/>
  <c r="H34" i="8"/>
  <c r="Q34" i="8"/>
  <c r="C34" i="8"/>
  <c r="I31" i="8"/>
  <c r="H31" i="8"/>
  <c r="Q31" i="8"/>
  <c r="C31" i="8"/>
  <c r="I48" i="8"/>
  <c r="H48" i="8"/>
  <c r="C48" i="8"/>
  <c r="Q48" i="8"/>
  <c r="I27" i="8"/>
  <c r="H27" i="8"/>
  <c r="C27" i="8"/>
  <c r="Q27" i="8"/>
  <c r="H38" i="8"/>
  <c r="C38" i="8"/>
  <c r="Q38" i="8"/>
  <c r="I38" i="8"/>
  <c r="I28" i="8"/>
  <c r="H28" i="8"/>
  <c r="Q28" i="8"/>
  <c r="C28" i="8"/>
  <c r="C40" i="8"/>
  <c r="Q40" i="8"/>
  <c r="H40" i="8"/>
  <c r="I40" i="8"/>
  <c r="H30" i="8"/>
  <c r="C30" i="8"/>
  <c r="I30" i="8"/>
  <c r="Q30" i="8"/>
  <c r="Q47" i="8"/>
  <c r="I47" i="8"/>
  <c r="C47" i="8"/>
  <c r="H47" i="8"/>
  <c r="I36" i="8"/>
  <c r="C36" i="8"/>
  <c r="Q36" i="8"/>
  <c r="H36" i="8"/>
  <c r="Q41" i="8"/>
  <c r="H41" i="8"/>
  <c r="I41" i="8"/>
  <c r="C41" i="8"/>
  <c r="Q39" i="8"/>
  <c r="I39" i="8"/>
  <c r="C39" i="8"/>
  <c r="H39" i="8"/>
  <c r="I50" i="8"/>
  <c r="C50" i="8"/>
  <c r="Q50" i="8"/>
  <c r="H50" i="8"/>
  <c r="I35" i="8"/>
  <c r="Q35" i="8"/>
  <c r="C35" i="8"/>
  <c r="H35" i="8"/>
  <c r="H49" i="8"/>
  <c r="Q49" i="8"/>
  <c r="C49" i="8"/>
  <c r="I49" i="8"/>
  <c r="Q33" i="8"/>
  <c r="I33" i="8"/>
  <c r="H33" i="8"/>
  <c r="C33" i="8"/>
  <c r="Q46" i="8"/>
  <c r="H46" i="8"/>
  <c r="C46" i="8"/>
  <c r="I46" i="8"/>
  <c r="Q43" i="8"/>
  <c r="C43" i="8"/>
  <c r="H43" i="8"/>
  <c r="I43" i="8"/>
  <c r="Q42" i="8"/>
  <c r="I42" i="8"/>
  <c r="C42" i="8"/>
  <c r="H42" i="8"/>
  <c r="C37" i="8"/>
  <c r="H37" i="8"/>
  <c r="I37" i="8"/>
  <c r="Q37" i="8"/>
  <c r="I22" i="8"/>
  <c r="Q22" i="8"/>
  <c r="I24" i="8"/>
  <c r="I25" i="8"/>
  <c r="I26" i="8"/>
  <c r="I23" i="8"/>
  <c r="H24" i="8"/>
  <c r="H26" i="8"/>
  <c r="H25" i="8"/>
  <c r="H23" i="8"/>
  <c r="K17" i="2"/>
  <c r="K58" i="2" s="1"/>
  <c r="K85" i="2"/>
  <c r="K86" i="2" s="1"/>
  <c r="M80" i="2"/>
  <c r="M76" i="2" s="1"/>
  <c r="M77" i="2"/>
  <c r="M70" i="2"/>
  <c r="M15" i="2"/>
  <c r="M56" i="2" s="1"/>
  <c r="I77" i="2"/>
  <c r="I70" i="2"/>
  <c r="I80" i="2"/>
  <c r="I76" i="2" s="1"/>
  <c r="I15" i="2"/>
  <c r="I56" i="2" s="1"/>
  <c r="H80" i="2"/>
  <c r="H76" i="2" s="1"/>
  <c r="H77" i="2"/>
  <c r="H15" i="2"/>
  <c r="H56" i="2" s="1"/>
  <c r="H70" i="2"/>
  <c r="N15" i="2"/>
  <c r="N56" i="2" s="1"/>
  <c r="N70" i="2"/>
  <c r="N77" i="2"/>
  <c r="N80" i="2"/>
  <c r="N76" i="2" s="1"/>
  <c r="L80" i="2"/>
  <c r="L76" i="2" s="1"/>
  <c r="L70" i="2"/>
  <c r="L15" i="2"/>
  <c r="L56" i="2" s="1"/>
  <c r="L77" i="2"/>
  <c r="O80" i="2"/>
  <c r="O76" i="2" s="1"/>
  <c r="O70" i="2"/>
  <c r="O77" i="2"/>
  <c r="O15" i="2"/>
  <c r="O56" i="2" s="1"/>
  <c r="P80" i="2"/>
  <c r="P76" i="2" s="1"/>
  <c r="P77" i="2"/>
  <c r="P15" i="2"/>
  <c r="P56" i="2" s="1"/>
  <c r="K70" i="2"/>
  <c r="J70" i="2"/>
  <c r="J15" i="2"/>
  <c r="J56" i="2" s="1"/>
  <c r="J77" i="2"/>
  <c r="J80" i="2"/>
  <c r="J76" i="2" s="1"/>
  <c r="C22" i="8"/>
  <c r="F22" i="8" s="1"/>
  <c r="D60" i="9"/>
  <c r="E60" i="9" s="1"/>
  <c r="D63" i="9"/>
  <c r="E63" i="9" s="1"/>
  <c r="D59" i="9"/>
  <c r="E59" i="9" s="1"/>
  <c r="D64" i="9"/>
  <c r="E64" i="9" s="1"/>
  <c r="G64" i="9" s="1"/>
  <c r="F34" i="9"/>
  <c r="E10" i="6" s="1"/>
  <c r="C25" i="8"/>
  <c r="C24" i="8"/>
  <c r="C23" i="8"/>
  <c r="C26" i="8"/>
  <c r="F44" i="6" l="1"/>
  <c r="C24" i="6"/>
  <c r="F24" i="6" s="1"/>
  <c r="G63" i="9"/>
  <c r="F40" i="6"/>
  <c r="F43" i="6"/>
  <c r="F41" i="6"/>
  <c r="G59" i="9"/>
  <c r="C22" i="6"/>
  <c r="F22" i="6" s="1"/>
  <c r="G60" i="9"/>
  <c r="C23" i="6"/>
  <c r="F23" i="6" s="1"/>
  <c r="C25" i="6"/>
  <c r="F25" i="6" s="1"/>
  <c r="F23" i="8"/>
  <c r="F24" i="8" s="1"/>
  <c r="F25" i="8" s="1"/>
  <c r="F26" i="8" s="1"/>
  <c r="E22" i="8"/>
  <c r="D22" i="8"/>
  <c r="P17" i="2"/>
  <c r="P58" i="2" s="1"/>
  <c r="P85" i="2"/>
  <c r="P86" i="2" s="1"/>
  <c r="N17" i="2"/>
  <c r="N58" i="2" s="1"/>
  <c r="N85" i="2"/>
  <c r="N86" i="2" s="1"/>
  <c r="M17" i="2"/>
  <c r="M58" i="2" s="1"/>
  <c r="M85" i="2"/>
  <c r="M86" i="2" s="1"/>
  <c r="L17" i="2"/>
  <c r="L58" i="2" s="1"/>
  <c r="L85" i="2"/>
  <c r="L86" i="2" s="1"/>
  <c r="H17" i="2"/>
  <c r="H58" i="2" s="1"/>
  <c r="H85" i="2"/>
  <c r="H86" i="2" s="1"/>
  <c r="O17" i="2"/>
  <c r="O58" i="2" s="1"/>
  <c r="O85" i="2"/>
  <c r="O86" i="2" s="1"/>
  <c r="I17" i="2"/>
  <c r="I58" i="2" s="1"/>
  <c r="I85" i="2"/>
  <c r="I86" i="2" s="1"/>
  <c r="J17" i="2"/>
  <c r="J58" i="2" s="1"/>
  <c r="J85" i="2"/>
  <c r="J86" i="2" s="1"/>
  <c r="K63" i="2"/>
  <c r="K74" i="2"/>
  <c r="F27" i="8" l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E23" i="8"/>
  <c r="E24" i="8" s="1"/>
  <c r="E25" i="8" s="1"/>
  <c r="E26" i="8" s="1"/>
  <c r="R22" i="8"/>
  <c r="T22" i="8" s="1"/>
  <c r="V22" i="8" s="1"/>
  <c r="U22" i="8"/>
  <c r="P63" i="2"/>
  <c r="P74" i="2"/>
  <c r="H63" i="2"/>
  <c r="H74" i="2"/>
  <c r="L63" i="2"/>
  <c r="L74" i="2"/>
  <c r="M63" i="2"/>
  <c r="M74" i="2"/>
  <c r="N63" i="2"/>
  <c r="N74" i="2"/>
  <c r="J63" i="2"/>
  <c r="J74" i="2"/>
  <c r="O63" i="2"/>
  <c r="O74" i="2"/>
  <c r="I63" i="2"/>
  <c r="I74" i="2"/>
  <c r="D23" i="8"/>
  <c r="E27" i="8" l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R23" i="8"/>
  <c r="T23" i="8" s="1"/>
  <c r="U23" i="8"/>
  <c r="S22" i="8"/>
  <c r="J22" i="8" s="1"/>
  <c r="D24" i="8"/>
  <c r="R24" i="8" l="1"/>
  <c r="T24" i="8" s="1"/>
  <c r="S23" i="8"/>
  <c r="J23" i="8" s="1"/>
  <c r="U24" i="8"/>
  <c r="D25" i="8"/>
  <c r="R25" i="8" l="1"/>
  <c r="T25" i="8" s="1"/>
  <c r="U25" i="8"/>
  <c r="S24" i="8"/>
  <c r="J24" i="8" s="1"/>
  <c r="D26" i="8"/>
  <c r="D27" i="8" s="1"/>
  <c r="D28" i="8" l="1"/>
  <c r="R27" i="8"/>
  <c r="U27" i="8"/>
  <c r="R26" i="8"/>
  <c r="T26" i="8" s="1"/>
  <c r="U26" i="8"/>
  <c r="S25" i="8"/>
  <c r="J25" i="8" s="1"/>
  <c r="T27" i="8" l="1"/>
  <c r="S27" i="8"/>
  <c r="J27" i="8" s="1"/>
  <c r="D29" i="8"/>
  <c r="R28" i="8"/>
  <c r="U28" i="8"/>
  <c r="S26" i="8"/>
  <c r="J26" i="8" s="1"/>
  <c r="C12" i="9"/>
  <c r="S28" i="8" l="1"/>
  <c r="J28" i="8" s="1"/>
  <c r="T28" i="8"/>
  <c r="U29" i="8"/>
  <c r="R29" i="8"/>
  <c r="D30" i="8"/>
  <c r="G12" i="2"/>
  <c r="G41" i="2"/>
  <c r="D31" i="8" l="1"/>
  <c r="R30" i="8"/>
  <c r="U30" i="8"/>
  <c r="T29" i="8"/>
  <c r="S29" i="8"/>
  <c r="J29" i="8" s="1"/>
  <c r="G70" i="2"/>
  <c r="G53" i="2"/>
  <c r="G77" i="2" s="1"/>
  <c r="G15" i="2"/>
  <c r="G56" i="2" s="1"/>
  <c r="G80" i="2"/>
  <c r="G76" i="2" s="1"/>
  <c r="T30" i="8" l="1"/>
  <c r="S30" i="8"/>
  <c r="J30" i="8" s="1"/>
  <c r="R31" i="8"/>
  <c r="D32" i="8"/>
  <c r="U31" i="8"/>
  <c r="G17" i="2"/>
  <c r="G58" i="2" s="1"/>
  <c r="G85" i="2"/>
  <c r="G86" i="2" s="1"/>
  <c r="T31" i="8" l="1"/>
  <c r="S31" i="8"/>
  <c r="J31" i="8" s="1"/>
  <c r="R32" i="8"/>
  <c r="U32" i="8"/>
  <c r="D33" i="8"/>
  <c r="G74" i="2"/>
  <c r="G63" i="2"/>
  <c r="T32" i="8" l="1"/>
  <c r="S32" i="8"/>
  <c r="J32" i="8" s="1"/>
  <c r="U33" i="8"/>
  <c r="R33" i="8"/>
  <c r="D34" i="8"/>
  <c r="G33" i="8"/>
  <c r="C16" i="2"/>
  <c r="C8" i="2"/>
  <c r="C9" i="2" s="1"/>
  <c r="F7" i="8"/>
  <c r="G25" i="8" l="1"/>
  <c r="K25" i="8" s="1"/>
  <c r="G27" i="8"/>
  <c r="K27" i="8" s="1"/>
  <c r="G28" i="8"/>
  <c r="K28" i="8" s="1"/>
  <c r="G29" i="8"/>
  <c r="K29" i="8" s="1"/>
  <c r="G30" i="8"/>
  <c r="K30" i="8" s="1"/>
  <c r="G31" i="8"/>
  <c r="K31" i="8" s="1"/>
  <c r="G32" i="8"/>
  <c r="K32" i="8" s="1"/>
  <c r="R34" i="8"/>
  <c r="U34" i="8"/>
  <c r="D35" i="8"/>
  <c r="G34" i="8"/>
  <c r="T33" i="8"/>
  <c r="S33" i="8"/>
  <c r="J33" i="8" s="1"/>
  <c r="K33" i="8" s="1"/>
  <c r="G22" i="8"/>
  <c r="K22" i="8" s="1"/>
  <c r="G23" i="8"/>
  <c r="K23" i="8" s="1"/>
  <c r="G24" i="8"/>
  <c r="K24" i="8" s="1"/>
  <c r="G26" i="8"/>
  <c r="K26" i="8" s="1"/>
  <c r="C12" i="2"/>
  <c r="C50" i="2"/>
  <c r="C38" i="2"/>
  <c r="W22" i="8" l="1"/>
  <c r="S34" i="8"/>
  <c r="J34" i="8" s="1"/>
  <c r="K34" i="8" s="1"/>
  <c r="T34" i="8"/>
  <c r="G35" i="8"/>
  <c r="D36" i="8"/>
  <c r="U35" i="8"/>
  <c r="R35" i="8"/>
  <c r="C13" i="2"/>
  <c r="C54" i="2" s="1"/>
  <c r="C70" i="2"/>
  <c r="C80" i="2"/>
  <c r="C53" i="2"/>
  <c r="C77" i="2" s="1"/>
  <c r="S35" i="8" l="1"/>
  <c r="J35" i="8" s="1"/>
  <c r="K35" i="8" s="1"/>
  <c r="T35" i="8"/>
  <c r="R36" i="8"/>
  <c r="D37" i="8"/>
  <c r="U36" i="8"/>
  <c r="G36" i="8"/>
  <c r="C15" i="2"/>
  <c r="C4" i="8" s="1"/>
  <c r="G37" i="8" l="1"/>
  <c r="R37" i="8"/>
  <c r="D38" i="8"/>
  <c r="U37" i="8"/>
  <c r="T36" i="8"/>
  <c r="S36" i="8"/>
  <c r="J36" i="8" s="1"/>
  <c r="K36" i="8" s="1"/>
  <c r="C85" i="2"/>
  <c r="C86" i="2" s="1"/>
  <c r="C56" i="2"/>
  <c r="C17" i="2"/>
  <c r="C63" i="2" s="1"/>
  <c r="L16" i="8" s="1"/>
  <c r="C6" i="8" l="1"/>
  <c r="C7" i="8" s="1"/>
  <c r="C9" i="8" s="1"/>
  <c r="C10" i="8" s="1"/>
  <c r="C11" i="8" s="1"/>
  <c r="L22" i="8"/>
  <c r="X22" i="8" s="1"/>
  <c r="V23" i="8" s="1"/>
  <c r="C58" i="2"/>
  <c r="U38" i="8"/>
  <c r="R38" i="8"/>
  <c r="D39" i="8"/>
  <c r="G38" i="8"/>
  <c r="S37" i="8"/>
  <c r="J37" i="8" s="1"/>
  <c r="K37" i="8" s="1"/>
  <c r="T37" i="8"/>
  <c r="E70" i="8" l="1"/>
  <c r="F70" i="8"/>
  <c r="C35" i="9"/>
  <c r="F35" i="9" s="1"/>
  <c r="C70" i="8"/>
  <c r="B70" i="8"/>
  <c r="D70" i="8"/>
  <c r="R39" i="8"/>
  <c r="U39" i="8"/>
  <c r="G39" i="8"/>
  <c r="D40" i="8"/>
  <c r="T38" i="8"/>
  <c r="S38" i="8"/>
  <c r="J38" i="8" s="1"/>
  <c r="K38" i="8" s="1"/>
  <c r="U40" i="8" l="1"/>
  <c r="G40" i="8"/>
  <c r="R40" i="8"/>
  <c r="D41" i="8"/>
  <c r="T39" i="8"/>
  <c r="S39" i="8"/>
  <c r="J39" i="8" s="1"/>
  <c r="K39" i="8" s="1"/>
  <c r="R41" i="8" l="1"/>
  <c r="U41" i="8"/>
  <c r="G41" i="8"/>
  <c r="D42" i="8"/>
  <c r="T40" i="8"/>
  <c r="S40" i="8"/>
  <c r="J40" i="8" s="1"/>
  <c r="K40" i="8" s="1"/>
  <c r="D43" i="8" l="1"/>
  <c r="R42" i="8"/>
  <c r="G42" i="8"/>
  <c r="U42" i="8"/>
  <c r="S41" i="8"/>
  <c r="J41" i="8" s="1"/>
  <c r="K41" i="8" s="1"/>
  <c r="T41" i="8"/>
  <c r="S42" i="8" l="1"/>
  <c r="J42" i="8" s="1"/>
  <c r="K42" i="8" s="1"/>
  <c r="T42" i="8"/>
  <c r="U43" i="8"/>
  <c r="D44" i="8"/>
  <c r="G43" i="8"/>
  <c r="R43" i="8"/>
  <c r="D45" i="8" l="1"/>
  <c r="R44" i="8"/>
  <c r="G44" i="8"/>
  <c r="U44" i="8"/>
  <c r="T43" i="8"/>
  <c r="S43" i="8"/>
  <c r="J43" i="8" s="1"/>
  <c r="K43" i="8" s="1"/>
  <c r="S44" i="8" l="1"/>
  <c r="J44" i="8" s="1"/>
  <c r="K44" i="8" s="1"/>
  <c r="T44" i="8"/>
  <c r="U45" i="8"/>
  <c r="D46" i="8"/>
  <c r="R45" i="8"/>
  <c r="G45" i="8"/>
  <c r="T45" i="8" l="1"/>
  <c r="S45" i="8"/>
  <c r="J45" i="8" s="1"/>
  <c r="K45" i="8" s="1"/>
  <c r="R46" i="8"/>
  <c r="U46" i="8"/>
  <c r="D47" i="8"/>
  <c r="G46" i="8"/>
  <c r="S46" i="8" l="1"/>
  <c r="J46" i="8" s="1"/>
  <c r="K46" i="8" s="1"/>
  <c r="T46" i="8"/>
  <c r="G47" i="8"/>
  <c r="U47" i="8"/>
  <c r="D48" i="8"/>
  <c r="R47" i="8"/>
  <c r="G48" i="8" l="1"/>
  <c r="R48" i="8"/>
  <c r="U48" i="8"/>
  <c r="D49" i="8"/>
  <c r="S47" i="8"/>
  <c r="J47" i="8" s="1"/>
  <c r="K47" i="8" s="1"/>
  <c r="T47" i="8"/>
  <c r="T48" i="8" l="1"/>
  <c r="S48" i="8"/>
  <c r="J48" i="8" s="1"/>
  <c r="K48" i="8" s="1"/>
  <c r="G49" i="8"/>
  <c r="D50" i="8"/>
  <c r="U49" i="8"/>
  <c r="R49" i="8"/>
  <c r="U50" i="8" l="1"/>
  <c r="D51" i="8"/>
  <c r="G50" i="8"/>
  <c r="R50" i="8"/>
  <c r="S49" i="8"/>
  <c r="J49" i="8" s="1"/>
  <c r="K49" i="8" s="1"/>
  <c r="T49" i="8"/>
  <c r="R51" i="8" l="1"/>
  <c r="G51" i="8"/>
  <c r="U51" i="8"/>
  <c r="D52" i="8"/>
  <c r="T50" i="8"/>
  <c r="S50" i="8"/>
  <c r="J50" i="8" s="1"/>
  <c r="K50" i="8" s="1"/>
  <c r="S51" i="8" l="1"/>
  <c r="J51" i="8" s="1"/>
  <c r="K51" i="8" s="1"/>
  <c r="T51" i="8"/>
  <c r="R52" i="8"/>
  <c r="U52" i="8"/>
  <c r="G52" i="8"/>
  <c r="S52" i="8" l="1"/>
  <c r="J52" i="8" s="1"/>
  <c r="K52" i="8" s="1"/>
  <c r="T52" i="8"/>
  <c r="M22" i="8" l="1"/>
  <c r="O22" i="8" s="1"/>
  <c r="W23" i="8"/>
  <c r="L23" i="8" s="1"/>
  <c r="X23" i="8" l="1"/>
  <c r="V24" i="8" s="1"/>
  <c r="M23" i="8" l="1"/>
  <c r="O23" i="8" s="1"/>
  <c r="W24" i="8"/>
  <c r="L24" i="8" s="1"/>
  <c r="X24" i="8" l="1"/>
  <c r="M24" i="8" l="1"/>
  <c r="O24" i="8" s="1"/>
  <c r="V25" i="8"/>
  <c r="W25" i="8" s="1"/>
  <c r="L25" i="8" s="1"/>
  <c r="X25" i="8" l="1"/>
  <c r="M25" i="8" l="1"/>
  <c r="O25" i="8" s="1"/>
  <c r="V26" i="8"/>
  <c r="W26" i="8" s="1"/>
  <c r="L26" i="8" s="1"/>
  <c r="X26" i="8" l="1"/>
  <c r="M26" i="8" l="1"/>
  <c r="O26" i="8" s="1"/>
  <c r="V27" i="8"/>
  <c r="W27" i="8" s="1"/>
  <c r="L27" i="8" s="1"/>
  <c r="X27" i="8" l="1"/>
  <c r="M27" i="8"/>
  <c r="O27" i="8" s="1"/>
  <c r="V28" i="8" l="1"/>
  <c r="W28" i="8" s="1"/>
  <c r="L28" i="8" s="1"/>
  <c r="X28" i="8" l="1"/>
  <c r="M28" i="8" l="1"/>
  <c r="O28" i="8" s="1"/>
  <c r="V29" i="8"/>
  <c r="W29" i="8" s="1"/>
  <c r="L29" i="8" s="1"/>
  <c r="X29" i="8" l="1"/>
  <c r="M29" i="8" l="1"/>
  <c r="O29" i="8" s="1"/>
  <c r="V30" i="8"/>
  <c r="W30" i="8" s="1"/>
  <c r="L30" i="8" s="1"/>
  <c r="X30" i="8" l="1"/>
  <c r="M30" i="8" l="1"/>
  <c r="O30" i="8" s="1"/>
  <c r="V31" i="8"/>
  <c r="W31" i="8" s="1"/>
  <c r="L31" i="8" s="1"/>
  <c r="X31" i="8" l="1"/>
  <c r="M31" i="8"/>
  <c r="O31" i="8" s="1"/>
  <c r="V32" i="8" l="1"/>
  <c r="W32" i="8" s="1"/>
  <c r="L32" i="8" s="1"/>
  <c r="X32" i="8" l="1"/>
  <c r="M32" i="8" l="1"/>
  <c r="O32" i="8" s="1"/>
  <c r="V33" i="8"/>
  <c r="W33" i="8" s="1"/>
  <c r="L33" i="8" s="1"/>
  <c r="X33" i="8" l="1"/>
  <c r="M33" i="8" l="1"/>
  <c r="O33" i="8" s="1"/>
  <c r="V34" i="8"/>
  <c r="W34" i="8" s="1"/>
  <c r="L34" i="8" s="1"/>
  <c r="X34" i="8" l="1"/>
  <c r="M34" i="8"/>
  <c r="O34" i="8" s="1"/>
  <c r="V35" i="8" l="1"/>
  <c r="W35" i="8" s="1"/>
  <c r="L35" i="8" s="1"/>
  <c r="X35" i="8" l="1"/>
  <c r="M35" i="8"/>
  <c r="O35" i="8" s="1"/>
  <c r="V36" i="8" l="1"/>
  <c r="W36" i="8" s="1"/>
  <c r="L36" i="8" s="1"/>
  <c r="X36" i="8" l="1"/>
  <c r="M36" i="8" l="1"/>
  <c r="O36" i="8" s="1"/>
  <c r="V37" i="8"/>
  <c r="W37" i="8" s="1"/>
  <c r="L37" i="8" s="1"/>
  <c r="X37" i="8" l="1"/>
  <c r="M37" i="8"/>
  <c r="O37" i="8" s="1"/>
  <c r="V38" i="8" l="1"/>
  <c r="W38" i="8" s="1"/>
  <c r="L38" i="8" s="1"/>
  <c r="X38" i="8" l="1"/>
  <c r="M38" i="8" l="1"/>
  <c r="O38" i="8" s="1"/>
  <c r="V39" i="8"/>
  <c r="W39" i="8" s="1"/>
  <c r="L39" i="8" s="1"/>
  <c r="X39" i="8" l="1"/>
  <c r="M39" i="8" l="1"/>
  <c r="O39" i="8" s="1"/>
  <c r="V40" i="8"/>
  <c r="W40" i="8" s="1"/>
  <c r="L40" i="8" s="1"/>
  <c r="X40" i="8" l="1"/>
  <c r="M40" i="8" l="1"/>
  <c r="O40" i="8" s="1"/>
  <c r="V41" i="8"/>
  <c r="W41" i="8" s="1"/>
  <c r="L41" i="8" s="1"/>
  <c r="X41" i="8" l="1"/>
  <c r="M41" i="8"/>
  <c r="O41" i="8" s="1"/>
  <c r="V42" i="8" l="1"/>
  <c r="W42" i="8" s="1"/>
  <c r="L42" i="8" s="1"/>
  <c r="X42" i="8" l="1"/>
  <c r="M42" i="8" l="1"/>
  <c r="O42" i="8" s="1"/>
  <c r="V43" i="8"/>
  <c r="W43" i="8" s="1"/>
  <c r="L43" i="8" s="1"/>
  <c r="X43" i="8" l="1"/>
  <c r="M43" i="8" l="1"/>
  <c r="O43" i="8" s="1"/>
  <c r="V44" i="8"/>
  <c r="W44" i="8" s="1"/>
  <c r="L44" i="8" s="1"/>
  <c r="X44" i="8" l="1"/>
  <c r="M44" i="8"/>
  <c r="O44" i="8" s="1"/>
  <c r="V45" i="8" l="1"/>
  <c r="W45" i="8" s="1"/>
  <c r="L45" i="8" s="1"/>
  <c r="X45" i="8" l="1"/>
  <c r="M45" i="8"/>
  <c r="O45" i="8" s="1"/>
  <c r="V46" i="8" l="1"/>
  <c r="W46" i="8" s="1"/>
  <c r="L46" i="8" s="1"/>
  <c r="X46" i="8" l="1"/>
  <c r="M46" i="8"/>
  <c r="O46" i="8" s="1"/>
  <c r="V47" i="8" l="1"/>
  <c r="W47" i="8" s="1"/>
  <c r="L47" i="8" s="1"/>
  <c r="X47" i="8" l="1"/>
  <c r="M47" i="8"/>
  <c r="O47" i="8" s="1"/>
  <c r="V48" i="8" l="1"/>
  <c r="W48" i="8" s="1"/>
  <c r="L48" i="8" s="1"/>
  <c r="X48" i="8" l="1"/>
  <c r="M48" i="8"/>
  <c r="O48" i="8" s="1"/>
  <c r="V49" i="8" l="1"/>
  <c r="W49" i="8" s="1"/>
  <c r="L49" i="8" s="1"/>
  <c r="X49" i="8" l="1"/>
  <c r="M49" i="8"/>
  <c r="O49" i="8" s="1"/>
  <c r="V50" i="8" l="1"/>
  <c r="W50" i="8" s="1"/>
  <c r="L50" i="8" s="1"/>
  <c r="X50" i="8" l="1"/>
  <c r="M50" i="8"/>
  <c r="O50" i="8" s="1"/>
  <c r="V51" i="8" l="1"/>
  <c r="W51" i="8" s="1"/>
  <c r="L51" i="8" s="1"/>
  <c r="X51" i="8" l="1"/>
  <c r="V52" i="8" s="1"/>
  <c r="M51" i="8" l="1"/>
  <c r="O51" i="8" s="1"/>
  <c r="W52" i="8"/>
  <c r="L52" i="8" s="1"/>
  <c r="X52" i="8" l="1"/>
  <c r="M52" i="8"/>
  <c r="O52" i="8" s="1"/>
  <c r="O53" i="8" s="1"/>
  <c r="I19" i="8" l="1"/>
  <c r="C50" i="9" s="1"/>
  <c r="A56" i="8"/>
</calcChain>
</file>

<file path=xl/sharedStrings.xml><?xml version="1.0" encoding="utf-8"?>
<sst xmlns="http://schemas.openxmlformats.org/spreadsheetml/2006/main" count="374" uniqueCount="262">
  <si>
    <t>Sales</t>
  </si>
  <si>
    <t>Total Assets</t>
  </si>
  <si>
    <t>Income Statement</t>
    <phoneticPr fontId="2" type="noConversion"/>
  </si>
  <si>
    <t>Balance Sheet</t>
    <phoneticPr fontId="2" type="noConversion"/>
  </si>
  <si>
    <t>Total Equity</t>
    <phoneticPr fontId="2" type="noConversion"/>
  </si>
  <si>
    <t>Dividend per share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</si>
  <si>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</si>
  <si>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</si>
  <si>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</si>
  <si>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</si>
  <si>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</si>
  <si>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</si>
  <si>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D&amp;A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</si>
  <si>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</si>
  <si>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</si>
  <si>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</si>
  <si>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</si>
  <si>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OPEX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</si>
  <si>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</si>
  <si>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</si>
  <si>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</si>
  <si>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</si>
  <si>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Income Tax</t>
    <phoneticPr fontId="2" type="noConversion"/>
  </si>
  <si>
    <t>Add Back D&amp;A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</si>
  <si>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</si>
  <si>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</si>
  <si>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</si>
  <si>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</si>
  <si>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Latest</t>
    <phoneticPr fontId="2" type="noConversion"/>
  </si>
  <si>
    <t>Data (Dirty)</t>
    <phoneticPr fontId="2" type="noConversion"/>
  </si>
  <si>
    <t>FCFE Analysis</t>
    <phoneticPr fontId="2" type="noConversion"/>
  </si>
  <si>
    <t>Equity Value per share</t>
    <phoneticPr fontId="2" type="noConversion"/>
  </si>
  <si>
    <t>Value Per Share</t>
    <phoneticPr fontId="2" type="noConversion"/>
  </si>
  <si>
    <t>Year</t>
    <phoneticPr fontId="24" type="noConversion"/>
  </si>
  <si>
    <t>HGP</t>
    <phoneticPr fontId="2" type="noConversion"/>
  </si>
  <si>
    <t>Value per share</t>
    <phoneticPr fontId="2" type="noConversion"/>
  </si>
  <si>
    <t>Scenarios</t>
    <phoneticPr fontId="24" type="noConversion"/>
  </si>
  <si>
    <t>PV(Dividends)</t>
    <phoneticPr fontId="2" type="noConversion"/>
  </si>
  <si>
    <t>PV(Equity Value)</t>
    <phoneticPr fontId="2" type="noConversion"/>
  </si>
  <si>
    <t>Inputs</t>
    <phoneticPr fontId="24" type="noConversion"/>
  </si>
  <si>
    <t>Margin of Safety (MOS)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</si>
  <si>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</si>
  <si>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</si>
  <si>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</si>
  <si>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</si>
  <si>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</si>
  <si>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</si>
  <si>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</si>
  <si>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</si>
  <si>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Selection</t>
    <phoneticPr fontId="2" type="noConversion"/>
  </si>
  <si>
    <t>Assumption</t>
    <phoneticPr fontId="2" type="noConversion"/>
  </si>
  <si>
    <t>Operating EBIT</t>
    <phoneticPr fontId="2" type="noConversion"/>
  </si>
  <si>
    <t>After-tax Profit</t>
    <phoneticPr fontId="2" type="noConversion"/>
  </si>
  <si>
    <t>% Interest</t>
    <phoneticPr fontId="2" type="noConversion"/>
  </si>
  <si>
    <t>Share of JV or associate Results</t>
    <phoneticPr fontId="2" type="noConversion"/>
  </si>
  <si>
    <t>Pre-tax Profit</t>
    <phoneticPr fontId="2" type="noConversion"/>
  </si>
  <si>
    <t>Non-operating EBIT</t>
    <phoneticPr fontId="2" type="noConversion"/>
  </si>
  <si>
    <t>Per Share Indicators</t>
    <phoneticPr fontId="2" type="noConversion"/>
  </si>
  <si>
    <t>Income Tax Rate</t>
    <phoneticPr fontId="2" type="noConversion"/>
  </si>
  <si>
    <t>Operating Cost Structure</t>
    <phoneticPr fontId="2" type="noConversion"/>
  </si>
  <si>
    <t>Tax % of  Pre-tax Profit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</si>
  <si>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</si>
  <si>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</si>
  <si>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</si>
  <si>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</si>
  <si>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</si>
  <si>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</si>
  <si>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Executive Summary</t>
    <phoneticPr fontId="2" type="noConversion"/>
  </si>
  <si>
    <t>EBIT</t>
    <phoneticPr fontId="2" type="noConversion"/>
  </si>
  <si>
    <t>Market Price</t>
    <phoneticPr fontId="2" type="noConversion"/>
  </si>
  <si>
    <t>Expected Holding Period</t>
    <phoneticPr fontId="2" type="noConversion"/>
  </si>
  <si>
    <t>Equity Value Driving Factors</t>
    <phoneticPr fontId="2" type="noConversion"/>
  </si>
  <si>
    <t>Note on Manual Adjustments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</si>
  <si>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</si>
  <si>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</si>
  <si>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Reporting Currency:</t>
    <phoneticPr fontId="2" type="noConversion"/>
  </si>
  <si>
    <t>Growth Classification</t>
    <phoneticPr fontId="2" type="noConversion"/>
  </si>
  <si>
    <t>CFO</t>
    <phoneticPr fontId="2" type="noConversion"/>
  </si>
  <si>
    <t>CFF</t>
    <phoneticPr fontId="2" type="noConversion"/>
  </si>
  <si>
    <t>CFI</t>
    <phoneticPr fontId="2" type="noConversion"/>
  </si>
  <si>
    <t>CFO/Net Income</t>
    <phoneticPr fontId="2" type="noConversion"/>
  </si>
  <si>
    <t>CFO/FCFE</t>
    <phoneticPr fontId="2" type="noConversion"/>
  </si>
  <si>
    <t>Net Change in Cash</t>
    <phoneticPr fontId="2" type="noConversion"/>
  </si>
  <si>
    <t>Net Income/Market Cap</t>
    <phoneticPr fontId="2" type="noConversion"/>
  </si>
  <si>
    <t xml:space="preserve">Use general Scenarios' HGP assumption </t>
    <phoneticPr fontId="2" type="noConversion"/>
  </si>
  <si>
    <t>Target Price</t>
  </si>
  <si>
    <t>Entry Price</t>
  </si>
  <si>
    <t>Sell Price</t>
  </si>
  <si>
    <t>Exit Price</t>
  </si>
  <si>
    <t>Holding Period</t>
  </si>
  <si>
    <t>YoY CAGR</t>
  </si>
  <si>
    <t>Dividend after tax Yield</t>
  </si>
  <si>
    <t>Dividend tax rate</t>
  </si>
  <si>
    <t>After-tax Dividend per share</t>
  </si>
  <si>
    <t>Number of Shares:</t>
  </si>
  <si>
    <t>Report Interval:</t>
  </si>
  <si>
    <t>Update Required After:</t>
  </si>
  <si>
    <t>Symbol:</t>
  </si>
  <si>
    <t>Market Price:</t>
  </si>
  <si>
    <t>Market Currency:</t>
  </si>
  <si>
    <t>Market Capitalization:</t>
  </si>
  <si>
    <t>Forex Symbol:</t>
  </si>
  <si>
    <t>Exchange Rate:</t>
  </si>
  <si>
    <t>HGR</t>
  </si>
  <si>
    <t>Stage</t>
  </si>
  <si>
    <t>High Growth Rate_II</t>
  </si>
  <si>
    <t>Try obtain this number by reverse engineering.</t>
  </si>
  <si>
    <t>Use the marginal tax rate</t>
  </si>
  <si>
    <t>Price Targets</t>
  </si>
  <si>
    <t>I</t>
  </si>
  <si>
    <t>@Target return</t>
  </si>
  <si>
    <t>@Entry yield</t>
  </si>
  <si>
    <t>@Base equity cost</t>
  </si>
  <si>
    <t>Stage II Normalized Values</t>
  </si>
  <si>
    <t>Output</t>
  </si>
  <si>
    <t>Terminal Stage</t>
  </si>
  <si>
    <t>T</t>
  </si>
  <si>
    <t>High g Period (HGP)</t>
  </si>
  <si>
    <t>High g Rate (HGR)</t>
  </si>
  <si>
    <t>Value per share</t>
  </si>
  <si>
    <t>Equity Value</t>
  </si>
  <si>
    <t>Terminal g Rate:</t>
  </si>
  <si>
    <t>No-g Model Value per share</t>
  </si>
  <si>
    <t>g Model Value per share</t>
  </si>
  <si>
    <t>Scenarios</t>
  </si>
  <si>
    <t>Base</t>
  </si>
  <si>
    <t>Snowball Scenario</t>
  </si>
  <si>
    <t>Optimistic</t>
  </si>
  <si>
    <t>Pessimistic</t>
  </si>
  <si>
    <t>Devil's advocate</t>
  </si>
  <si>
    <t>HGP</t>
  </si>
  <si>
    <t>Probabilities</t>
  </si>
  <si>
    <t>General Scenarios</t>
  </si>
  <si>
    <t>Under General Scenario</t>
  </si>
  <si>
    <t>Extreme Scenarios</t>
  </si>
  <si>
    <t>Scenarios Analysis</t>
  </si>
  <si>
    <t>Implied Annual Return</t>
  </si>
  <si>
    <t>With a holding period of</t>
  </si>
  <si>
    <t>Conclusion</t>
  </si>
  <si>
    <t>Adj. Probabilities</t>
  </si>
  <si>
    <t>Annual Dividend per share</t>
  </si>
  <si>
    <t>Expected Value</t>
  </si>
  <si>
    <t>is assumed to be the</t>
  </si>
  <si>
    <t>MOS below Value</t>
  </si>
  <si>
    <t>Buy Price Outputs</t>
  </si>
  <si>
    <t>Sell Price Outputs</t>
  </si>
  <si>
    <t>Results</t>
  </si>
  <si>
    <t>Y</t>
  </si>
  <si>
    <t>Implied Annual Return:</t>
  </si>
  <si>
    <t>Disc. Factor</t>
  </si>
  <si>
    <t>Terminal Growth Rate (g)</t>
  </si>
  <si>
    <t>Company:</t>
  </si>
  <si>
    <t>Portfolio:</t>
  </si>
  <si>
    <t>Last Updated:</t>
  </si>
  <si>
    <t>Selected:</t>
  </si>
  <si>
    <t>CNY</t>
  </si>
  <si>
    <t>Prompt for fundamental Analysis</t>
  </si>
  <si>
    <t>accepts 5-10, 15, 20, 25, or 30</t>
  </si>
  <si>
    <t>兴业银行</t>
  </si>
  <si>
    <t>601166.SS</t>
  </si>
  <si>
    <t>Payout Ratio</t>
  </si>
  <si>
    <t>Interest Expense</t>
  </si>
  <si>
    <t>Net Revenue from AUM</t>
  </si>
  <si>
    <t>Net Revenue from Services</t>
  </si>
  <si>
    <t>Total Revenue</t>
  </si>
  <si>
    <t>Return on Assets</t>
  </si>
  <si>
    <t>Cash</t>
  </si>
  <si>
    <t>Securities</t>
  </si>
  <si>
    <t>Interest bearing debt</t>
  </si>
  <si>
    <t>Share of JV or associate Results</t>
  </si>
  <si>
    <t>After-tax Profit</t>
  </si>
  <si>
    <t>*Payout Ratio</t>
  </si>
  <si>
    <t>Growth DDM Valuation</t>
  </si>
  <si>
    <t>Rev. Growth Rate</t>
  </si>
  <si>
    <t>FCFE</t>
  </si>
  <si>
    <t>PV of Dividend/TV</t>
  </si>
  <si>
    <t>PV of DDM =</t>
  </si>
  <si>
    <t>JV or associate</t>
  </si>
  <si>
    <t>Incl.: Est. AUM</t>
  </si>
  <si>
    <t>Incl. est. AUM</t>
  </si>
  <si>
    <t>Incl. JV or associate</t>
  </si>
  <si>
    <t>Cash+Securities % of AUM</t>
  </si>
  <si>
    <t>OPEX</t>
  </si>
  <si>
    <t>R&amp;D</t>
  </si>
  <si>
    <t>Incl.: Interest-bearing Debt</t>
  </si>
  <si>
    <t>Incl. interest-bearing Debt</t>
  </si>
  <si>
    <t>Debt % of Liabilities</t>
  </si>
  <si>
    <t>Non-common Interest</t>
  </si>
  <si>
    <t>Incl. Non-common Interest</t>
  </si>
  <si>
    <t>Incl.: Non-common Interest</t>
  </si>
  <si>
    <t>NCI’s Share of Profits</t>
  </si>
  <si>
    <t>EBITDA</t>
  </si>
  <si>
    <t>EBITDA/Interest Expense</t>
  </si>
  <si>
    <t>After-tax Profit/Market Cap</t>
  </si>
  <si>
    <t>Incl.: JV or associate</t>
  </si>
  <si>
    <t>Normalized EBITDA</t>
  </si>
  <si>
    <t>Historical EBITDA</t>
  </si>
  <si>
    <t>P&amp;L % Total Revenue</t>
  </si>
  <si>
    <t>Required Equity/Asset Ratio</t>
  </si>
  <si>
    <t>Asset Mgmt. Yield</t>
  </si>
  <si>
    <t>Service Yield</t>
  </si>
  <si>
    <t>JV or associate Yield</t>
  </si>
  <si>
    <t>Asset Mgmt. Revenue</t>
  </si>
  <si>
    <t>Service Revenue</t>
  </si>
  <si>
    <t>Total Liabilities</t>
  </si>
  <si>
    <t>Operating EBIT</t>
  </si>
  <si>
    <t>JV or associate Results</t>
  </si>
  <si>
    <t>Add Back D&amp;A</t>
  </si>
  <si>
    <t>D&amp;A</t>
  </si>
  <si>
    <t>of Total Revenue</t>
  </si>
  <si>
    <t>Interest Rate/Debt</t>
  </si>
  <si>
    <t>Interest rate on Debt</t>
  </si>
  <si>
    <t>Add back D&amp;A</t>
  </si>
  <si>
    <t>Equity/Asset Ratio</t>
  </si>
  <si>
    <t>Assumptions</t>
  </si>
  <si>
    <t>Normalized P&amp;L Values</t>
  </si>
  <si>
    <t>Normalized BS Values</t>
  </si>
  <si>
    <t>Profit attribute to NCI</t>
  </si>
  <si>
    <t>of the investment</t>
  </si>
  <si>
    <t>of Pre-tax Profit</t>
  </si>
  <si>
    <t>Total Equity</t>
  </si>
  <si>
    <t>Req. Equity/Asset Ratio</t>
  </si>
  <si>
    <t>Exp. Total Assets</t>
  </si>
  <si>
    <t>Total Additional Equity</t>
  </si>
  <si>
    <t>Exp. Total Liabilities</t>
  </si>
  <si>
    <t>Exp. Equity</t>
  </si>
  <si>
    <t>Adj. Dividend</t>
  </si>
  <si>
    <t>Total Yield</t>
  </si>
  <si>
    <t>/Equity Cost - g</t>
  </si>
  <si>
    <t>Income Tax rate</t>
  </si>
  <si>
    <t>after tax Dividend</t>
  </si>
  <si>
    <t>After-tax Dividend</t>
  </si>
  <si>
    <t>of Dividend</t>
  </si>
  <si>
    <t>Incl.:Debt</t>
  </si>
  <si>
    <t>Debt/Liabilities</t>
  </si>
  <si>
    <t>Banks' Funding Cost</t>
  </si>
  <si>
    <t>Banks' Income</t>
  </si>
  <si>
    <t>EBIT</t>
  </si>
  <si>
    <t>Retained FCFE</t>
  </si>
  <si>
    <t>Equity/Total Assets</t>
  </si>
  <si>
    <t>Base Equity Cost</t>
  </si>
  <si>
    <t>@Cash Yield</t>
  </si>
  <si>
    <t>CN</t>
  </si>
  <si>
    <t>FIN_01</t>
  </si>
  <si>
    <t>Implied MOS</t>
  </si>
  <si>
    <t>Scenario Analysis</t>
  </si>
  <si>
    <t>Implied Return</t>
  </si>
  <si>
    <t>Key Indicators</t>
  </si>
  <si>
    <t>Dividend Yield</t>
  </si>
  <si>
    <t>Market Dividend Yield</t>
  </si>
  <si>
    <t>Last Annual Equity/Asset Ratio</t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</si>
  <si>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model focuses on sustainable Dividends within the FCFE capacity, adjusts for financial structure, incorporates growth scenarios, and calculates expected returns based on the derived intrinsic value.</t>
    </r>
  </si>
  <si>
    <t>No-growth DDM Valuation</t>
  </si>
  <si>
    <t>No-growth DDM</t>
  </si>
  <si>
    <t>*(1+0%)</t>
  </si>
  <si>
    <t>Last Annual Indicators</t>
  </si>
  <si>
    <t>Pre-tax Dividend</t>
  </si>
  <si>
    <t>Normalized Annual Indicators</t>
  </si>
  <si>
    <t>stage-1</t>
  </si>
  <si>
    <t>stage-2</t>
  </si>
  <si>
    <t>Instruction</t>
  </si>
  <si>
    <t>Pre-tax Profit ROA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</si>
</sst>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&quot;$&quot;#,##0.00;[Red]\-&quot;$&quot;#,##0.00"/>
    <numFmt numFmtId="164" formatCode="yyyy\-mm\-dd"/>
    <numFmt numFmtId="165" formatCode="#,##0&quot;mm&quot;"/>
    <numFmt numFmtId="166" formatCode="0.00\x"/>
    <numFmt numFmtId="167" formatCode="yyyy\-mm\-dd;@"/>
    <numFmt numFmtId="168" formatCode="#,##0.0000"/>
    <numFmt numFmtId="169" formatCode="#,##0_ "/>
    <numFmt numFmtId="170" formatCode="#,##0.0000_);\(#,##0.0000\)"/>
    <numFmt numFmtId="171" formatCode="#,##0.0000_ "/>
    <numFmt numFmtId="172" formatCode="&quot;in &quot;#,##0&quot;s&quot;"/>
    <numFmt numFmtId="173" formatCode="#,##0.00_ "/>
    <numFmt numFmtId="174" formatCode="0&quot; yrs&quot;"/>
    <numFmt numFmtId="175" formatCode="0.000_ "/>
    <numFmt numFmtId="176" formatCode="&quot;every&quot;\ 0\ &quot;Months&quot;"/>
    <numFmt numFmtId="177" formatCode="#,##0_);\(#,##0\);0;@"/>
    <numFmt numFmtId="178" formatCode="0.0%"/>
    <numFmt numFmtId="179" formatCode="0.000000000000000%"/>
  </numFmts>
  <fonts count="45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b/>
      <sz val="10"/>
      <name val="Microsoft YaHei"/>
      <family val="2"/>
      <charset val="134"/>
    </font>
    <font>
      <u/>
      <sz val="9"/>
      <color rgb="FF000000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10"/>
      <color theme="0"/>
      <name val="Arial"/>
      <family val="2"/>
      <scheme val="major"/>
    </font>
    <font>
      <i/>
      <u/>
      <sz val="10"/>
      <color rgb="FF000000"/>
      <name val="Arial"/>
      <family val="2"/>
      <scheme val="minor"/>
    </font>
    <font>
      <sz val="9"/>
      <color rgb="FF00B050"/>
      <name val="Arial"/>
      <family val="2"/>
      <scheme val="major"/>
    </font>
    <font>
      <sz val="9"/>
      <color rgb="FF7030A0"/>
      <name val="Arial"/>
      <family val="2"/>
      <scheme val="major"/>
    </font>
    <font>
      <b/>
      <sz val="9"/>
      <color rgb="FF7030A0"/>
      <name val="Arial"/>
      <family val="2"/>
      <scheme val="major"/>
    </font>
    <font>
      <sz val="9"/>
      <color rgb="FF7030A0"/>
      <name val="Arial"/>
      <family val="2"/>
      <scheme val="minor"/>
    </font>
    <font>
      <sz val="12"/>
      <color theme="1"/>
      <name val="Arial"/>
      <family val="3"/>
      <charset val="134"/>
      <scheme val="minor"/>
    </font>
    <font>
      <b/>
      <u/>
      <sz val="10"/>
      <name val="Arial"/>
      <family val="2"/>
      <scheme val="minor"/>
    </font>
    <font>
      <b/>
      <sz val="9"/>
      <color rgb="FF0000FF"/>
      <name val="Microsoft YaHei"/>
      <family val="2"/>
    </font>
    <font>
      <i/>
      <sz val="9"/>
      <color rgb="FFFF0000"/>
      <name val="Arial"/>
      <family val="2"/>
      <scheme val="major"/>
    </font>
    <font>
      <sz val="10"/>
      <name val="Arial"/>
      <family val="2"/>
      <scheme val="major"/>
    </font>
    <font>
      <i/>
      <sz val="10"/>
      <name val="Arial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rgb="FF0047AB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9" fillId="0" borderId="1"/>
  </cellStyleXfs>
  <cellXfs count="264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10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9" fillId="0" borderId="1" xfId="0" applyFont="1" applyBorder="1"/>
    <xf numFmtId="0" fontId="5" fillId="2" borderId="1" xfId="0" applyFont="1" applyFill="1" applyBorder="1"/>
    <xf numFmtId="0" fontId="5" fillId="0" borderId="1" xfId="0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9" fillId="0" borderId="2" xfId="0" applyFont="1" applyBorder="1"/>
    <xf numFmtId="0" fontId="8" fillId="0" borderId="0" xfId="0" applyFont="1"/>
    <xf numFmtId="10" fontId="3" fillId="0" borderId="1" xfId="0" applyNumberFormat="1" applyFont="1" applyBorder="1"/>
    <xf numFmtId="0" fontId="5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7" fillId="0" borderId="0" xfId="0" quotePrefix="1" applyFont="1" applyAlignment="1">
      <alignment horizontal="left"/>
    </xf>
    <xf numFmtId="0" fontId="10" fillId="0" borderId="1" xfId="0" applyFont="1" applyBorder="1" applyAlignment="1">
      <alignment horizontal="left" wrapText="1" indent="1"/>
    </xf>
    <xf numFmtId="10" fontId="4" fillId="0" borderId="1" xfId="0" applyNumberFormat="1" applyFont="1" applyBorder="1" applyAlignment="1">
      <alignment horizontal="right"/>
    </xf>
    <xf numFmtId="0" fontId="10" fillId="0" borderId="1" xfId="0" quotePrefix="1" applyFont="1" applyBorder="1" applyAlignment="1">
      <alignment horizontal="left" wrapText="1" indent="1"/>
    </xf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165" fontId="7" fillId="0" borderId="1" xfId="0" applyNumberFormat="1" applyFont="1" applyBorder="1" applyAlignment="1">
      <alignment horizontal="left"/>
    </xf>
    <xf numFmtId="0" fontId="15" fillId="3" borderId="0" xfId="0" applyFont="1" applyFill="1"/>
    <xf numFmtId="167" fontId="8" fillId="4" borderId="1" xfId="0" applyNumberFormat="1" applyFont="1" applyFill="1" applyBorder="1" applyAlignment="1">
      <alignment horizontal="center"/>
    </xf>
    <xf numFmtId="167" fontId="10" fillId="0" borderId="1" xfId="0" applyNumberFormat="1" applyFont="1" applyBorder="1" applyAlignment="1">
      <alignment horizontal="center"/>
    </xf>
    <xf numFmtId="168" fontId="6" fillId="0" borderId="1" xfId="0" applyNumberFormat="1" applyFont="1" applyBorder="1" applyAlignment="1">
      <alignment horizontal="right"/>
    </xf>
    <xf numFmtId="0" fontId="7" fillId="0" borderId="1" xfId="0" quotePrefix="1" applyFont="1" applyBorder="1" applyAlignment="1">
      <alignment horizontal="left"/>
    </xf>
    <xf numFmtId="0" fontId="10" fillId="0" borderId="1" xfId="0" applyFont="1" applyBorder="1" applyAlignment="1">
      <alignment horizontal="left" indent="1"/>
    </xf>
    <xf numFmtId="166" fontId="3" fillId="0" borderId="1" xfId="0" applyNumberFormat="1" applyFont="1" applyBorder="1" applyAlignment="1">
      <alignment horizontal="right"/>
    </xf>
    <xf numFmtId="0" fontId="10" fillId="0" borderId="1" xfId="0" quotePrefix="1" applyFont="1" applyBorder="1" applyAlignment="1">
      <alignment horizontal="left" indent="1"/>
    </xf>
    <xf numFmtId="0" fontId="10" fillId="0" borderId="2" xfId="0" applyFont="1" applyBorder="1"/>
    <xf numFmtId="0" fontId="7" fillId="0" borderId="2" xfId="0" applyFont="1" applyBorder="1"/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4" fontId="6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center" wrapText="1"/>
    </xf>
    <xf numFmtId="0" fontId="15" fillId="3" borderId="1" xfId="0" applyFont="1" applyFill="1" applyBorder="1"/>
    <xf numFmtId="0" fontId="10" fillId="0" borderId="1" xfId="0" applyFont="1" applyBorder="1" applyAlignment="1">
      <alignment horizontal="left"/>
    </xf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 wrapText="1"/>
    </xf>
    <xf numFmtId="37" fontId="10" fillId="0" borderId="1" xfId="0" applyNumberFormat="1" applyFont="1" applyBorder="1" applyAlignment="1">
      <alignment horizontal="left" wrapText="1" indent="1"/>
    </xf>
    <xf numFmtId="37" fontId="7" fillId="0" borderId="1" xfId="0" quotePrefix="1" applyNumberFormat="1" applyFont="1" applyBorder="1" applyAlignment="1">
      <alignment horizontal="left"/>
    </xf>
    <xf numFmtId="37" fontId="10" fillId="0" borderId="1" xfId="0" applyNumberFormat="1" applyFont="1" applyBorder="1" applyAlignment="1">
      <alignment horizontal="left" indent="1"/>
    </xf>
    <xf numFmtId="0" fontId="7" fillId="0" borderId="1" xfId="0" quotePrefix="1" applyFont="1" applyBorder="1" applyAlignment="1">
      <alignment wrapText="1"/>
    </xf>
    <xf numFmtId="0" fontId="10" fillId="0" borderId="2" xfId="0" quotePrefix="1" applyFont="1" applyBorder="1" applyAlignment="1">
      <alignment horizontal="left" wrapText="1"/>
    </xf>
    <xf numFmtId="10" fontId="10" fillId="0" borderId="1" xfId="0" applyNumberFormat="1" applyFont="1" applyBorder="1" applyAlignment="1">
      <alignment horizontal="right"/>
    </xf>
    <xf numFmtId="0" fontId="18" fillId="0" borderId="1" xfId="0" applyFont="1" applyBorder="1"/>
    <xf numFmtId="0" fontId="6" fillId="0" borderId="1" xfId="0" quotePrefix="1" applyFont="1" applyBorder="1" applyAlignment="1">
      <alignment horizontal="left" wrapText="1"/>
    </xf>
    <xf numFmtId="0" fontId="9" fillId="0" borderId="1" xfId="0" applyFont="1" applyBorder="1" applyAlignment="1">
      <alignment horizontal="left" indent="1"/>
    </xf>
    <xf numFmtId="10" fontId="9" fillId="0" borderId="1" xfId="0" applyNumberFormat="1" applyFont="1" applyBorder="1"/>
    <xf numFmtId="0" fontId="17" fillId="0" borderId="1" xfId="0" quotePrefix="1" applyFont="1" applyBorder="1"/>
    <xf numFmtId="170" fontId="7" fillId="0" borderId="1" xfId="0" applyNumberFormat="1" applyFont="1" applyBorder="1" applyAlignment="1">
      <alignment horizontal="right"/>
    </xf>
    <xf numFmtId="169" fontId="3" fillId="0" borderId="1" xfId="0" applyNumberFormat="1" applyFont="1" applyBorder="1"/>
    <xf numFmtId="0" fontId="10" fillId="0" borderId="1" xfId="0" quotePrefix="1" applyFont="1" applyBorder="1" applyAlignment="1">
      <alignment horizontal="left" wrapText="1"/>
    </xf>
    <xf numFmtId="10" fontId="7" fillId="0" borderId="1" xfId="0" quotePrefix="1" applyNumberFormat="1" applyFont="1" applyBorder="1" applyAlignment="1">
      <alignment wrapText="1"/>
    </xf>
    <xf numFmtId="10" fontId="10" fillId="0" borderId="1" xfId="0" quotePrefix="1" applyNumberFormat="1" applyFont="1" applyBorder="1" applyAlignment="1">
      <alignment wrapText="1"/>
    </xf>
    <xf numFmtId="0" fontId="9" fillId="0" borderId="0" xfId="0" applyFont="1" applyAlignment="1">
      <alignment horizontal="left" indent="1"/>
    </xf>
    <xf numFmtId="10" fontId="12" fillId="0" borderId="1" xfId="0" applyNumberFormat="1" applyFont="1" applyBorder="1" applyAlignment="1">
      <alignment horizontal="right"/>
    </xf>
    <xf numFmtId="10" fontId="12" fillId="0" borderId="1" xfId="0" quotePrefix="1" applyNumberFormat="1" applyFont="1" applyBorder="1" applyAlignment="1">
      <alignment wrapText="1"/>
    </xf>
    <xf numFmtId="0" fontId="11" fillId="0" borderId="2" xfId="0" applyFont="1" applyBorder="1" applyAlignment="1">
      <alignment horizontal="left"/>
    </xf>
    <xf numFmtId="0" fontId="17" fillId="0" borderId="1" xfId="0" applyFont="1" applyBorder="1"/>
    <xf numFmtId="10" fontId="3" fillId="0" borderId="0" xfId="0" applyNumberFormat="1" applyFont="1"/>
    <xf numFmtId="0" fontId="13" fillId="0" borderId="1" xfId="0" applyFont="1" applyBorder="1" applyAlignment="1">
      <alignment horizontal="left" wrapText="1" indent="1"/>
    </xf>
    <xf numFmtId="10" fontId="7" fillId="0" borderId="1" xfId="0" applyNumberFormat="1" applyFont="1" applyBorder="1" applyAlignment="1">
      <alignment horizontal="right" wrapText="1"/>
    </xf>
    <xf numFmtId="0" fontId="19" fillId="0" borderId="1" xfId="0" applyFont="1" applyBorder="1" applyAlignment="1">
      <alignment horizontal="right"/>
    </xf>
    <xf numFmtId="0" fontId="1" fillId="0" borderId="0" xfId="0" applyFont="1"/>
    <xf numFmtId="10" fontId="9" fillId="0" borderId="0" xfId="0" applyNumberFormat="1" applyFont="1"/>
    <xf numFmtId="10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167" fontId="14" fillId="0" borderId="1" xfId="0" applyNumberFormat="1" applyFont="1" applyBorder="1" applyAlignment="1">
      <alignment horizontal="center"/>
    </xf>
    <xf numFmtId="172" fontId="16" fillId="0" borderId="2" xfId="0" applyNumberFormat="1" applyFont="1" applyBorder="1" applyAlignment="1">
      <alignment horizontal="right"/>
    </xf>
    <xf numFmtId="172" fontId="13" fillId="0" borderId="2" xfId="0" applyNumberFormat="1" applyFont="1" applyBorder="1" applyAlignment="1">
      <alignment horizontal="right"/>
    </xf>
    <xf numFmtId="0" fontId="20" fillId="0" borderId="2" xfId="0" applyFont="1" applyBorder="1"/>
    <xf numFmtId="39" fontId="20" fillId="0" borderId="0" xfId="0" applyNumberFormat="1" applyFont="1"/>
    <xf numFmtId="171" fontId="3" fillId="0" borderId="1" xfId="0" applyNumberFormat="1" applyFont="1" applyBorder="1"/>
    <xf numFmtId="171" fontId="12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0" fillId="0" borderId="2" xfId="0" applyFont="1" applyBorder="1" applyAlignment="1">
      <alignment vertical="center"/>
    </xf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0" fontId="1" fillId="0" borderId="3" xfId="0" applyFont="1" applyBorder="1"/>
    <xf numFmtId="0" fontId="23" fillId="5" borderId="3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9" fontId="26" fillId="0" borderId="0" xfId="0" applyNumberFormat="1" applyFont="1"/>
    <xf numFmtId="9" fontId="20" fillId="0" borderId="0" xfId="0" applyNumberFormat="1" applyFont="1"/>
    <xf numFmtId="169" fontId="27" fillId="0" borderId="0" xfId="0" applyNumberFormat="1" applyFont="1"/>
    <xf numFmtId="10" fontId="21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73" fontId="20" fillId="0" borderId="1" xfId="0" applyNumberFormat="1" applyFont="1" applyBorder="1" applyAlignment="1">
      <alignment horizontal="right"/>
    </xf>
    <xf numFmtId="10" fontId="21" fillId="0" borderId="3" xfId="0" applyNumberFormat="1" applyFont="1" applyBorder="1" applyAlignment="1">
      <alignment horizontal="center"/>
    </xf>
    <xf numFmtId="174" fontId="26" fillId="0" borderId="0" xfId="0" applyNumberFormat="1" applyFont="1"/>
    <xf numFmtId="174" fontId="20" fillId="0" borderId="0" xfId="0" applyNumberFormat="1" applyFont="1"/>
    <xf numFmtId="174" fontId="21" fillId="0" borderId="3" xfId="0" applyNumberFormat="1" applyFont="1" applyBorder="1" applyAlignment="1">
      <alignment horizontal="center"/>
    </xf>
    <xf numFmtId="0" fontId="1" fillId="0" borderId="0" xfId="0" quotePrefix="1" applyFont="1"/>
    <xf numFmtId="0" fontId="20" fillId="0" borderId="0" xfId="0" quotePrefix="1" applyFont="1" applyAlignment="1">
      <alignment horizontal="left" indent="1"/>
    </xf>
    <xf numFmtId="174" fontId="22" fillId="0" borderId="0" xfId="0" applyNumberFormat="1" applyFont="1"/>
    <xf numFmtId="10" fontId="22" fillId="0" borderId="0" xfId="0" applyNumberFormat="1" applyFont="1"/>
    <xf numFmtId="0" fontId="1" fillId="0" borderId="0" xfId="0" applyFont="1" applyAlignment="1">
      <alignment vertical="center"/>
    </xf>
    <xf numFmtId="0" fontId="20" fillId="0" borderId="1" xfId="0" applyFont="1" applyBorder="1" applyAlignment="1">
      <alignment horizontal="left" indent="1"/>
    </xf>
    <xf numFmtId="0" fontId="28" fillId="0" borderId="0" xfId="0" applyFont="1"/>
    <xf numFmtId="10" fontId="28" fillId="0" borderId="0" xfId="0" applyNumberFormat="1" applyFont="1" applyAlignment="1">
      <alignment horizontal="center"/>
    </xf>
    <xf numFmtId="0" fontId="29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0" fillId="0" borderId="0" xfId="0" applyFont="1"/>
    <xf numFmtId="173" fontId="0" fillId="0" borderId="0" xfId="0" applyNumberFormat="1"/>
    <xf numFmtId="10" fontId="21" fillId="0" borderId="0" xfId="0" applyNumberFormat="1" applyFont="1" applyAlignment="1">
      <alignment vertical="center"/>
    </xf>
    <xf numFmtId="174" fontId="21" fillId="0" borderId="0" xfId="0" applyNumberFormat="1" applyFont="1" applyAlignment="1">
      <alignment vertical="center"/>
    </xf>
    <xf numFmtId="9" fontId="25" fillId="0" borderId="0" xfId="0" applyNumberFormat="1" applyFont="1"/>
    <xf numFmtId="174" fontId="21" fillId="0" borderId="0" xfId="0" applyNumberFormat="1" applyFont="1"/>
    <xf numFmtId="0" fontId="3" fillId="6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3" fillId="5" borderId="4" xfId="0" applyFont="1" applyFill="1" applyBorder="1" applyAlignment="1">
      <alignment horizontal="center"/>
    </xf>
    <xf numFmtId="0" fontId="23" fillId="5" borderId="1" xfId="0" applyFont="1" applyFill="1" applyBorder="1" applyAlignment="1">
      <alignment horizontal="center"/>
    </xf>
    <xf numFmtId="175" fontId="0" fillId="0" borderId="0" xfId="0" applyNumberFormat="1"/>
    <xf numFmtId="0" fontId="9" fillId="0" borderId="2" xfId="0" quotePrefix="1" applyFont="1" applyBorder="1"/>
    <xf numFmtId="10" fontId="12" fillId="0" borderId="1" xfId="0" applyNumberFormat="1" applyFont="1" applyBorder="1"/>
    <xf numFmtId="173" fontId="7" fillId="0" borderId="1" xfId="0" quotePrefix="1" applyNumberFormat="1" applyFont="1" applyBorder="1" applyAlignment="1">
      <alignment wrapText="1"/>
    </xf>
    <xf numFmtId="0" fontId="31" fillId="0" borderId="2" xfId="0" quotePrefix="1" applyFont="1" applyBorder="1" applyAlignment="1">
      <alignment horizontal="left" wrapText="1"/>
    </xf>
    <xf numFmtId="0" fontId="7" fillId="0" borderId="1" xfId="0" quotePrefix="1" applyFont="1" applyBorder="1" applyAlignment="1">
      <alignment horizontal="right" wrapText="1"/>
    </xf>
    <xf numFmtId="0" fontId="1" fillId="0" borderId="2" xfId="0" quotePrefix="1" applyFont="1" applyBorder="1"/>
    <xf numFmtId="10" fontId="21" fillId="0" borderId="2" xfId="0" applyNumberFormat="1" applyFont="1" applyBorder="1"/>
    <xf numFmtId="0" fontId="33" fillId="3" borderId="0" xfId="0" applyFont="1" applyFill="1"/>
    <xf numFmtId="174" fontId="2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21" fillId="0" borderId="0" xfId="0" applyFont="1"/>
    <xf numFmtId="0" fontId="34" fillId="0" borderId="0" xfId="0" applyFont="1"/>
    <xf numFmtId="0" fontId="6" fillId="0" borderId="1" xfId="0" applyFont="1" applyBorder="1" applyAlignment="1">
      <alignment horizontal="right"/>
    </xf>
    <xf numFmtId="10" fontId="35" fillId="0" borderId="1" xfId="0" applyNumberFormat="1" applyFont="1" applyBorder="1" applyAlignment="1">
      <alignment wrapText="1"/>
    </xf>
    <xf numFmtId="10" fontId="35" fillId="0" borderId="1" xfId="0" quotePrefix="1" applyNumberFormat="1" applyFont="1" applyBorder="1" applyAlignment="1">
      <alignment wrapText="1"/>
    </xf>
    <xf numFmtId="0" fontId="36" fillId="0" borderId="1" xfId="0" quotePrefix="1" applyFont="1" applyBorder="1" applyAlignment="1">
      <alignment horizontal="left" wrapText="1"/>
    </xf>
    <xf numFmtId="37" fontId="36" fillId="0" borderId="1" xfId="0" applyNumberFormat="1" applyFont="1" applyBorder="1" applyAlignment="1">
      <alignment horizontal="left" wrapText="1"/>
    </xf>
    <xf numFmtId="37" fontId="36" fillId="0" borderId="1" xfId="0" quotePrefix="1" applyNumberFormat="1" applyFont="1" applyBorder="1" applyAlignment="1">
      <alignment horizontal="left" wrapText="1"/>
    </xf>
    <xf numFmtId="0" fontId="36" fillId="0" borderId="1" xfId="0" applyFont="1" applyBorder="1"/>
    <xf numFmtId="0" fontId="36" fillId="0" borderId="1" xfId="0" applyFont="1" applyBorder="1" applyAlignment="1">
      <alignment horizontal="left" wrapText="1"/>
    </xf>
    <xf numFmtId="0" fontId="37" fillId="0" borderId="1" xfId="0" applyFont="1" applyBorder="1" applyAlignment="1">
      <alignment horizontal="left"/>
    </xf>
    <xf numFmtId="0" fontId="36" fillId="0" borderId="1" xfId="0" applyFont="1" applyBorder="1" applyAlignment="1">
      <alignment horizontal="right"/>
    </xf>
    <xf numFmtId="37" fontId="36" fillId="0" borderId="1" xfId="0" applyNumberFormat="1" applyFont="1" applyBorder="1" applyAlignment="1">
      <alignment horizontal="left" wrapText="1" indent="1"/>
    </xf>
    <xf numFmtId="37" fontId="36" fillId="0" borderId="1" xfId="0" quotePrefix="1" applyNumberFormat="1" applyFont="1" applyBorder="1" applyAlignment="1">
      <alignment horizontal="left"/>
    </xf>
    <xf numFmtId="37" fontId="36" fillId="0" borderId="1" xfId="0" applyNumberFormat="1" applyFont="1" applyBorder="1" applyAlignment="1">
      <alignment horizontal="left" indent="1"/>
    </xf>
    <xf numFmtId="10" fontId="0" fillId="0" borderId="0" xfId="0" applyNumberFormat="1" applyAlignment="1">
      <alignment horizontal="left"/>
    </xf>
    <xf numFmtId="9" fontId="3" fillId="0" borderId="1" xfId="0" applyNumberFormat="1" applyFont="1" applyBorder="1"/>
    <xf numFmtId="40" fontId="3" fillId="0" borderId="0" xfId="0" applyNumberFormat="1" applyFont="1" applyAlignment="1">
      <alignment horizontal="left"/>
    </xf>
    <xf numFmtId="0" fontId="7" fillId="0" borderId="1" xfId="0" applyFont="1" applyBorder="1" applyAlignment="1">
      <alignment horizontal="right"/>
    </xf>
    <xf numFmtId="173" fontId="7" fillId="0" borderId="1" xfId="0" applyNumberFormat="1" applyFont="1" applyBorder="1" applyAlignment="1">
      <alignment horizontal="left"/>
    </xf>
    <xf numFmtId="173" fontId="3" fillId="0" borderId="0" xfId="0" applyNumberFormat="1" applyFont="1" applyAlignment="1">
      <alignment horizontal="left"/>
    </xf>
    <xf numFmtId="177" fontId="12" fillId="0" borderId="1" xfId="0" applyNumberFormat="1" applyFont="1" applyBorder="1" applyAlignment="1">
      <alignment wrapText="1"/>
    </xf>
    <xf numFmtId="177" fontId="3" fillId="0" borderId="1" xfId="0" applyNumberFormat="1" applyFont="1" applyBorder="1"/>
    <xf numFmtId="177" fontId="9" fillId="0" borderId="1" xfId="0" applyNumberFormat="1" applyFont="1" applyBorder="1"/>
    <xf numFmtId="177" fontId="10" fillId="0" borderId="1" xfId="0" applyNumberFormat="1" applyFont="1" applyBorder="1" applyAlignment="1">
      <alignment wrapText="1"/>
    </xf>
    <xf numFmtId="177" fontId="10" fillId="0" borderId="1" xfId="0" applyNumberFormat="1" applyFont="1" applyBorder="1"/>
    <xf numFmtId="177" fontId="7" fillId="0" borderId="1" xfId="0" applyNumberFormat="1" applyFont="1" applyBorder="1" applyAlignment="1">
      <alignment horizontal="right"/>
    </xf>
    <xf numFmtId="177" fontId="10" fillId="0" borderId="1" xfId="0" applyNumberFormat="1" applyFont="1" applyBorder="1" applyAlignment="1">
      <alignment horizontal="right"/>
    </xf>
    <xf numFmtId="177" fontId="0" fillId="0" borderId="0" xfId="0" applyNumberFormat="1"/>
    <xf numFmtId="177" fontId="0" fillId="0" borderId="3" xfId="0" applyNumberFormat="1" applyBorder="1"/>
    <xf numFmtId="177" fontId="7" fillId="0" borderId="1" xfId="0" applyNumberFormat="1" applyFont="1" applyBorder="1" applyAlignment="1">
      <alignment horizontal="right" wrapText="1"/>
    </xf>
    <xf numFmtId="177" fontId="20" fillId="0" borderId="0" xfId="0" applyNumberFormat="1" applyFont="1"/>
    <xf numFmtId="177" fontId="3" fillId="0" borderId="0" xfId="0" applyNumberFormat="1" applyFont="1"/>
    <xf numFmtId="177" fontId="6" fillId="0" borderId="1" xfId="0" applyNumberFormat="1" applyFont="1" applyBorder="1" applyAlignment="1">
      <alignment horizontal="right"/>
    </xf>
    <xf numFmtId="177" fontId="14" fillId="0" borderId="1" xfId="0" applyNumberFormat="1" applyFont="1" applyBorder="1" applyAlignment="1">
      <alignment horizontal="right"/>
    </xf>
    <xf numFmtId="177" fontId="9" fillId="0" borderId="0" xfId="0" applyNumberFormat="1" applyFont="1"/>
    <xf numFmtId="10" fontId="3" fillId="6" borderId="1" xfId="0" applyNumberFormat="1" applyFont="1" applyFill="1" applyBorder="1" applyAlignment="1">
      <alignment horizontal="right"/>
    </xf>
    <xf numFmtId="37" fontId="0" fillId="0" borderId="1" xfId="0" applyNumberFormat="1" applyBorder="1"/>
    <xf numFmtId="39" fontId="0" fillId="0" borderId="1" xfId="0" applyNumberFormat="1" applyBorder="1"/>
    <xf numFmtId="10" fontId="21" fillId="0" borderId="1" xfId="0" applyNumberFormat="1" applyFont="1" applyBorder="1" applyAlignment="1">
      <alignment horizontal="center"/>
    </xf>
    <xf numFmtId="10" fontId="0" fillId="0" borderId="3" xfId="0" applyNumberFormat="1" applyBorder="1"/>
    <xf numFmtId="10" fontId="21" fillId="0" borderId="3" xfId="0" applyNumberFormat="1" applyFont="1" applyBorder="1"/>
    <xf numFmtId="0" fontId="0" fillId="0" borderId="3" xfId="0" applyBorder="1" applyAlignment="1">
      <alignment horizontal="center"/>
    </xf>
    <xf numFmtId="10" fontId="3" fillId="0" borderId="0" xfId="0" applyNumberFormat="1" applyFont="1" applyAlignment="1">
      <alignment horizontal="right"/>
    </xf>
    <xf numFmtId="0" fontId="1" fillId="0" borderId="0" xfId="0" quotePrefix="1" applyFont="1" applyAlignment="1">
      <alignment wrapText="1"/>
    </xf>
    <xf numFmtId="177" fontId="0" fillId="0" borderId="1" xfId="0" applyNumberFormat="1" applyBorder="1"/>
    <xf numFmtId="10" fontId="0" fillId="0" borderId="1" xfId="0" applyNumberFormat="1" applyBorder="1"/>
    <xf numFmtId="0" fontId="1" fillId="0" borderId="1" xfId="0" applyFont="1" applyBorder="1"/>
    <xf numFmtId="0" fontId="20" fillId="0" borderId="2" xfId="0" applyFont="1" applyBorder="1" applyAlignment="1">
      <alignment horizontal="right"/>
    </xf>
    <xf numFmtId="174" fontId="21" fillId="0" borderId="1" xfId="0" applyNumberFormat="1" applyFont="1" applyBorder="1" applyAlignment="1">
      <alignment vertical="center"/>
    </xf>
    <xf numFmtId="10" fontId="21" fillId="0" borderId="1" xfId="0" applyNumberFormat="1" applyFont="1" applyBorder="1"/>
    <xf numFmtId="0" fontId="28" fillId="0" borderId="1" xfId="0" quotePrefix="1" applyFont="1" applyBorder="1" applyAlignment="1">
      <alignment horizontal="left" indent="1"/>
    </xf>
    <xf numFmtId="177" fontId="28" fillId="0" borderId="1" xfId="0" applyNumberFormat="1" applyFont="1" applyBorder="1"/>
    <xf numFmtId="0" fontId="28" fillId="0" borderId="0" xfId="0" applyFont="1" applyAlignment="1">
      <alignment horizontal="left" indent="1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right"/>
    </xf>
    <xf numFmtId="177" fontId="20" fillId="0" borderId="3" xfId="0" applyNumberFormat="1" applyFont="1" applyBorder="1" applyAlignment="1">
      <alignment horizontal="right"/>
    </xf>
    <xf numFmtId="0" fontId="0" fillId="0" borderId="1" xfId="0" applyBorder="1" applyAlignment="1">
      <alignment vertical="center" wrapText="1"/>
    </xf>
    <xf numFmtId="173" fontId="1" fillId="0" borderId="0" xfId="0" applyNumberFormat="1" applyFont="1"/>
    <xf numFmtId="40" fontId="1" fillId="0" borderId="0" xfId="0" applyNumberFormat="1" applyFont="1" applyAlignment="1">
      <alignment horizontal="right"/>
    </xf>
    <xf numFmtId="0" fontId="23" fillId="0" borderId="1" xfId="0" applyFont="1" applyBorder="1" applyAlignment="1">
      <alignment horizontal="center"/>
    </xf>
    <xf numFmtId="10" fontId="25" fillId="0" borderId="3" xfId="0" applyNumberFormat="1" applyFont="1" applyBorder="1"/>
    <xf numFmtId="174" fontId="21" fillId="0" borderId="3" xfId="0" applyNumberFormat="1" applyFont="1" applyBorder="1"/>
    <xf numFmtId="173" fontId="0" fillId="0" borderId="3" xfId="0" applyNumberFormat="1" applyBorder="1"/>
    <xf numFmtId="9" fontId="25" fillId="0" borderId="3" xfId="0" applyNumberFormat="1" applyFont="1" applyBorder="1"/>
    <xf numFmtId="9" fontId="21" fillId="0" borderId="3" xfId="0" applyNumberFormat="1" applyFont="1" applyBorder="1"/>
    <xf numFmtId="0" fontId="38" fillId="0" borderId="1" xfId="0" applyFont="1" applyBorder="1" applyAlignment="1">
      <alignment vertical="center" wrapText="1"/>
    </xf>
    <xf numFmtId="10" fontId="1" fillId="0" borderId="0" xfId="0" applyNumberFormat="1" applyFont="1"/>
    <xf numFmtId="10" fontId="1" fillId="0" borderId="0" xfId="0" applyNumberFormat="1" applyFont="1" applyAlignment="1">
      <alignment horizontal="right"/>
    </xf>
    <xf numFmtId="39" fontId="20" fillId="0" borderId="3" xfId="0" applyNumberFormat="1" applyFont="1" applyBorder="1"/>
    <xf numFmtId="8" fontId="0" fillId="0" borderId="0" xfId="0" applyNumberFormat="1"/>
    <xf numFmtId="0" fontId="40" fillId="0" borderId="0" xfId="0" applyFont="1"/>
    <xf numFmtId="4" fontId="6" fillId="0" borderId="1" xfId="0" applyNumberFormat="1" applyFont="1" applyBorder="1" applyAlignment="1">
      <alignment horizontal="right"/>
    </xf>
    <xf numFmtId="176" fontId="6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0" fontId="41" fillId="0" borderId="2" xfId="0" applyFont="1" applyBorder="1" applyAlignment="1">
      <alignment horizontal="left"/>
    </xf>
    <xf numFmtId="0" fontId="4" fillId="0" borderId="2" xfId="0" applyFont="1" applyBorder="1"/>
    <xf numFmtId="0" fontId="3" fillId="0" borderId="5" xfId="0" applyFont="1" applyBorder="1" applyAlignment="1">
      <alignment horizontal="right"/>
    </xf>
    <xf numFmtId="164" fontId="6" fillId="0" borderId="6" xfId="0" applyNumberFormat="1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6" fillId="0" borderId="8" xfId="0" applyFont="1" applyBorder="1" applyAlignment="1">
      <alignment horizontal="right"/>
    </xf>
    <xf numFmtId="0" fontId="6" fillId="0" borderId="10" xfId="0" applyFont="1" applyBorder="1" applyAlignment="1">
      <alignment horizontal="right"/>
    </xf>
    <xf numFmtId="0" fontId="7" fillId="0" borderId="9" xfId="0" applyFon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40" fontId="28" fillId="0" borderId="0" xfId="0" applyNumberFormat="1" applyFont="1" applyAlignment="1">
      <alignment horizontal="right"/>
    </xf>
    <xf numFmtId="174" fontId="42" fillId="0" borderId="1" xfId="0" applyNumberFormat="1" applyFont="1" applyBorder="1" applyAlignment="1">
      <alignment horizontal="right"/>
    </xf>
    <xf numFmtId="10" fontId="12" fillId="0" borderId="0" xfId="0" applyNumberFormat="1" applyFont="1"/>
    <xf numFmtId="0" fontId="0" fillId="0" borderId="0" xfId="0" applyAlignment="1">
      <alignment horizontal="center"/>
    </xf>
    <xf numFmtId="172" fontId="13" fillId="0" borderId="2" xfId="0" applyNumberFormat="1" applyFont="1" applyBorder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2" fillId="0" borderId="0" xfId="0" applyFont="1" applyAlignment="1">
      <alignment horizontal="left"/>
    </xf>
    <xf numFmtId="0" fontId="1" fillId="0" borderId="1" xfId="0" applyFont="1" applyBorder="1" applyAlignment="1">
      <alignment vertical="center"/>
    </xf>
    <xf numFmtId="0" fontId="20" fillId="0" borderId="3" xfId="0" applyFont="1" applyBorder="1" applyAlignment="1">
      <alignment horizontal="center"/>
    </xf>
    <xf numFmtId="0" fontId="20" fillId="0" borderId="1" xfId="0" applyFont="1" applyBorder="1"/>
    <xf numFmtId="10" fontId="12" fillId="0" borderId="0" xfId="0" applyNumberFormat="1" applyFont="1" applyAlignment="1">
      <alignment horizontal="left"/>
    </xf>
    <xf numFmtId="0" fontId="13" fillId="0" borderId="1" xfId="0" applyFont="1" applyBorder="1" applyAlignment="1">
      <alignment horizontal="left" wrapText="1" indent="2"/>
    </xf>
    <xf numFmtId="178" fontId="13" fillId="0" borderId="1" xfId="0" applyNumberFormat="1" applyFont="1" applyBorder="1" applyAlignment="1">
      <alignment horizontal="right"/>
    </xf>
    <xf numFmtId="177" fontId="10" fillId="0" borderId="1" xfId="0" applyNumberFormat="1" applyFont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37" fillId="0" borderId="1" xfId="0" applyFont="1" applyBorder="1" applyAlignment="1">
      <alignment horizontal="left" wrapText="1"/>
    </xf>
    <xf numFmtId="178" fontId="7" fillId="0" borderId="1" xfId="0" applyNumberFormat="1" applyFont="1" applyBorder="1" applyAlignment="1">
      <alignment horizontal="right"/>
    </xf>
    <xf numFmtId="0" fontId="4" fillId="2" borderId="1" xfId="0" applyFont="1" applyFill="1" applyBorder="1"/>
    <xf numFmtId="0" fontId="7" fillId="0" borderId="1" xfId="0" quotePrefix="1" applyFont="1" applyBorder="1" applyAlignment="1">
      <alignment horizontal="left" wrapText="1" indent="2"/>
    </xf>
    <xf numFmtId="177" fontId="7" fillId="0" borderId="1" xfId="0" applyNumberFormat="1" applyFont="1" applyBorder="1" applyAlignment="1">
      <alignment wrapText="1"/>
    </xf>
    <xf numFmtId="0" fontId="23" fillId="5" borderId="3" xfId="0" quotePrefix="1" applyFont="1" applyFill="1" applyBorder="1" applyAlignment="1">
      <alignment horizontal="center"/>
    </xf>
    <xf numFmtId="10" fontId="1" fillId="0" borderId="1" xfId="0" applyNumberFormat="1" applyFont="1" applyBorder="1"/>
    <xf numFmtId="0" fontId="0" fillId="0" borderId="2" xfId="0" applyBorder="1"/>
    <xf numFmtId="0" fontId="1" fillId="0" borderId="2" xfId="0" applyFont="1" applyBorder="1"/>
    <xf numFmtId="10" fontId="0" fillId="0" borderId="2" xfId="0" applyNumberFormat="1" applyBorder="1"/>
    <xf numFmtId="4" fontId="0" fillId="0" borderId="0" xfId="0" applyNumberFormat="1"/>
    <xf numFmtId="10" fontId="25" fillId="0" borderId="1" xfId="0" applyNumberFormat="1" applyFont="1" applyBorder="1"/>
    <xf numFmtId="177" fontId="43" fillId="0" borderId="1" xfId="0" applyNumberFormat="1" applyFont="1" applyBorder="1" applyAlignment="1">
      <alignment horizontal="right"/>
    </xf>
    <xf numFmtId="177" fontId="44" fillId="0" borderId="1" xfId="0" applyNumberFormat="1" applyFont="1" applyBorder="1" applyAlignment="1">
      <alignment horizontal="right"/>
    </xf>
    <xf numFmtId="0" fontId="28" fillId="0" borderId="1" xfId="0" applyFont="1" applyBorder="1" applyAlignment="1">
      <alignment horizontal="left" indent="1"/>
    </xf>
    <xf numFmtId="0" fontId="28" fillId="0" borderId="1" xfId="0" applyFont="1" applyBorder="1" applyAlignment="1">
      <alignment horizontal="left" indent="2"/>
    </xf>
    <xf numFmtId="178" fontId="28" fillId="0" borderId="0" xfId="0" applyNumberFormat="1" applyFont="1"/>
    <xf numFmtId="10" fontId="6" fillId="0" borderId="0" xfId="0" applyNumberFormat="1" applyFont="1" applyAlignment="1">
      <alignment horizontal="left"/>
    </xf>
    <xf numFmtId="10" fontId="7" fillId="0" borderId="1" xfId="0" applyNumberFormat="1" applyFont="1" applyBorder="1"/>
    <xf numFmtId="10" fontId="44" fillId="0" borderId="1" xfId="0" applyNumberFormat="1" applyFont="1" applyBorder="1" applyAlignment="1">
      <alignment horizontal="right"/>
    </xf>
    <xf numFmtId="10" fontId="3" fillId="0" borderId="0" xfId="0" applyNumberFormat="1" applyFont="1" applyAlignment="1">
      <alignment horizontal="left"/>
    </xf>
    <xf numFmtId="10" fontId="5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7" fillId="0" borderId="2" xfId="0" applyFont="1" applyBorder="1" applyAlignment="1">
      <alignment horizontal="right"/>
    </xf>
    <xf numFmtId="0" fontId="11" fillId="0" borderId="0" xfId="0" applyFont="1" applyAlignment="1">
      <alignment horizontal="left" wrapText="1"/>
    </xf>
    <xf numFmtId="0" fontId="1" fillId="0" borderId="3" xfId="0" applyFont="1" applyBorder="1" applyAlignment="1">
      <alignment horizontal="left" vertical="center" wrapText="1"/>
    </xf>
    <xf numFmtId="179" fontId="9" fillId="0" borderId="1" xfId="0" applyNumberFormat="1" applyFont="1" applyBorder="1" applyAlignment="1">
      <alignment horizontal="left"/>
    </xf>
  </cellXfs>
  <cellStyles count="2">
    <cellStyle name="常规" xfId="0" builtinId="0"/>
    <cellStyle name="常规 2 2" xfId="1" xr:uid="{A35F4541-DCCE-4554-A311-39480A36979A}"/>
  </cellStyles>
  <dxfs count="9"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FF00FF"/>
      <color rgb="FF003871"/>
      <color rgb="FF005078"/>
      <color rgb="FF002850"/>
      <color rgb="FF00283C"/>
      <color rgb="FF999999"/>
      <color rgb="FF0087CC"/>
      <color rgb="FFADB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2:I46"/>
  <sheetViews>
    <sheetView showGridLines="0" zoomScaleNormal="100" workbookViewId="0">
      <selection activeCell="B13" sqref="B13"/>
    </sheetView>
  </sheetViews>
  <sheetFormatPr defaultColWidth="9" defaultRowHeight="11.65"/>
  <cols>
    <col min="1" max="1" width="2.6640625" style="1" customWidth="1"/>
    <col min="2" max="2" width="30.59765625" style="1" customWidth="1"/>
    <col min="3" max="3" width="15.6640625" style="1" customWidth="1"/>
    <col min="4" max="4" width="30.59765625" style="1" customWidth="1"/>
    <col min="5" max="6" width="15.6640625" style="1" customWidth="1"/>
    <col min="7" max="16384" width="9" style="1"/>
  </cols>
  <sheetData>
    <row r="2" spans="1:9" ht="13.9">
      <c r="A2" s="132" t="s">
        <v>67</v>
      </c>
      <c r="B2" s="26"/>
      <c r="C2" s="26"/>
      <c r="D2" s="26"/>
      <c r="E2" s="26"/>
      <c r="F2" s="26"/>
      <c r="G2" s="14"/>
      <c r="H2" s="14"/>
      <c r="I2" s="14"/>
    </row>
    <row r="3" spans="1:9">
      <c r="E3" s="212" t="s">
        <v>153</v>
      </c>
      <c r="F3" s="213">
        <v>45930</v>
      </c>
    </row>
    <row r="4" spans="1:9" ht="12.4">
      <c r="B4" s="211" t="s">
        <v>151</v>
      </c>
      <c r="C4" s="210" t="s">
        <v>158</v>
      </c>
      <c r="E4" s="214" t="s">
        <v>152</v>
      </c>
      <c r="F4" s="215" t="s">
        <v>242</v>
      </c>
    </row>
    <row r="5" spans="1:9">
      <c r="B5" s="1" t="s">
        <v>97</v>
      </c>
      <c r="C5" s="37" t="s">
        <v>159</v>
      </c>
      <c r="E5" s="217" t="s">
        <v>154</v>
      </c>
      <c r="F5" s="216" t="s">
        <v>147</v>
      </c>
    </row>
    <row r="6" spans="1:9">
      <c r="B6" s="2" t="s">
        <v>18</v>
      </c>
      <c r="C6" s="36" t="s">
        <v>243</v>
      </c>
      <c r="D6" s="36"/>
      <c r="E6" s="36"/>
    </row>
    <row r="7" spans="1:9">
      <c r="B7" s="1" t="s">
        <v>99</v>
      </c>
      <c r="C7" s="36" t="s">
        <v>155</v>
      </c>
      <c r="D7" s="36"/>
      <c r="E7" s="36"/>
    </row>
    <row r="8" spans="1:9">
      <c r="B8" s="4" t="s">
        <v>98</v>
      </c>
      <c r="C8" s="38">
        <v>21.35</v>
      </c>
      <c r="E8" s="24"/>
    </row>
    <row r="9" spans="1:9">
      <c r="B9" s="4" t="s">
        <v>94</v>
      </c>
      <c r="C9" s="39">
        <v>20774311267</v>
      </c>
    </row>
    <row r="10" spans="1:9">
      <c r="B10" s="4" t="s">
        <v>100</v>
      </c>
      <c r="C10" s="25">
        <f>Thesis!C8*Common_Shares/1000000</f>
        <v>443531.54555044998</v>
      </c>
      <c r="D10" s="1" t="s">
        <v>148</v>
      </c>
      <c r="E10" s="178">
        <f>Scenarios!F34</f>
        <v>2.0811421492158939E-2</v>
      </c>
    </row>
    <row r="11" spans="1:9">
      <c r="D11" s="5"/>
      <c r="E11" s="5"/>
    </row>
    <row r="12" spans="1:9" ht="24.5" customHeight="1">
      <c r="B12" s="261" t="s">
        <v>251</v>
      </c>
      <c r="C12" s="261"/>
      <c r="D12" s="261"/>
      <c r="E12" s="261"/>
      <c r="F12" s="261"/>
    </row>
    <row r="14" spans="1:9">
      <c r="B14" s="34" t="str">
        <f>Scenarios!B39&amp;" Valuation Conclusion"</f>
        <v>2-stage DDM Valuation Conclusion</v>
      </c>
      <c r="C14" s="35"/>
    </row>
    <row r="15" spans="1:9">
      <c r="B15" s="1" t="s">
        <v>198</v>
      </c>
      <c r="C15" s="252">
        <v>8.5000000000000006E-2</v>
      </c>
      <c r="D15" s="4" t="s">
        <v>101</v>
      </c>
      <c r="E15" s="153" t="str">
        <f>IF(E17=C7,C7,E17&amp;"/"&amp;C7)</f>
        <v>CNY</v>
      </c>
    </row>
    <row r="16" spans="1:9">
      <c r="B16" s="1" t="s">
        <v>92</v>
      </c>
      <c r="C16" s="252">
        <v>0.1</v>
      </c>
      <c r="D16" s="4" t="s">
        <v>102</v>
      </c>
      <c r="E16" s="207">
        <v>1</v>
      </c>
    </row>
    <row r="17" spans="1:6">
      <c r="B17" s="1" t="s">
        <v>150</v>
      </c>
      <c r="C17" s="230">
        <v>0.02</v>
      </c>
      <c r="D17" s="4" t="s">
        <v>75</v>
      </c>
      <c r="E17" s="137" t="s">
        <v>155</v>
      </c>
    </row>
    <row r="18" spans="1:6">
      <c r="B18" s="1" t="s">
        <v>240</v>
      </c>
      <c r="C18" s="230">
        <v>7.2499999999999995E-2</v>
      </c>
      <c r="D18" s="2" t="s">
        <v>95</v>
      </c>
      <c r="E18" s="208">
        <v>12</v>
      </c>
    </row>
    <row r="19" spans="1:6">
      <c r="B19" s="1" t="str">
        <f>"Expected Equity Value ("&amp;C7&amp;") :"</f>
        <v>Expected Equity Value (CNY) :</v>
      </c>
      <c r="C19" s="152">
        <f>Scenarios!C36</f>
        <v>19.788929542433792</v>
      </c>
      <c r="D19" s="1" t="s">
        <v>96</v>
      </c>
      <c r="E19" s="209">
        <f>EOMONTH(EDATE(Data!C1,E18+2),0)</f>
        <v>46081</v>
      </c>
    </row>
    <row r="20" spans="1:6">
      <c r="D20" s="5"/>
      <c r="E20" s="5"/>
    </row>
    <row r="21" spans="1:6">
      <c r="B21" s="34" t="s">
        <v>108</v>
      </c>
      <c r="C21" s="35"/>
      <c r="D21" s="23" t="s">
        <v>89</v>
      </c>
      <c r="E21" s="220">
        <v>3</v>
      </c>
      <c r="F21" s="258" t="s">
        <v>244</v>
      </c>
    </row>
    <row r="22" spans="1:6">
      <c r="B22" s="1" t="s">
        <v>85</v>
      </c>
      <c r="C22" s="154">
        <f>Scenarios!E59</f>
        <v>14.225142092353359</v>
      </c>
      <c r="D22" s="30" t="s">
        <v>110</v>
      </c>
      <c r="E22" s="63">
        <v>0.1768719218995578</v>
      </c>
      <c r="F22" s="67">
        <f>(1-C22/C$19)</f>
        <v>0.2811565647424179</v>
      </c>
    </row>
    <row r="23" spans="1:6">
      <c r="B23" s="1" t="s">
        <v>86</v>
      </c>
      <c r="C23" s="154">
        <f>Scenarios!E60</f>
        <v>16.501460040248951</v>
      </c>
      <c r="D23" s="30" t="s">
        <v>111</v>
      </c>
      <c r="E23" s="221">
        <v>0.11702174297595547</v>
      </c>
      <c r="F23" s="67">
        <f>(1-C23/C$19)</f>
        <v>0.16612669700680149</v>
      </c>
    </row>
    <row r="24" spans="1:6">
      <c r="B24" s="1" t="s">
        <v>88</v>
      </c>
      <c r="C24" s="155">
        <f>Scenarios!E63</f>
        <v>18.533167584259694</v>
      </c>
      <c r="D24" s="30" t="s">
        <v>112</v>
      </c>
      <c r="E24" s="221">
        <f>Equity_Cost</f>
        <v>7.2499999999999995E-2</v>
      </c>
      <c r="F24" s="67">
        <f>(1-C24/C$19)</f>
        <v>6.3457801266174729E-2</v>
      </c>
    </row>
    <row r="25" spans="1:6">
      <c r="B25" s="1" t="s">
        <v>87</v>
      </c>
      <c r="C25" s="155">
        <f>Scenarios!E64</f>
        <v>21.459096071379875</v>
      </c>
      <c r="D25" s="30" t="s">
        <v>241</v>
      </c>
      <c r="E25" s="221">
        <v>1.9E-2</v>
      </c>
      <c r="F25" s="67">
        <f>(1-C25/C$19)</f>
        <v>-8.439903357908829E-2</v>
      </c>
    </row>
    <row r="26" spans="1:6">
      <c r="D26" s="5"/>
      <c r="E26" s="5"/>
    </row>
    <row r="27" spans="1:6" ht="13.9">
      <c r="A27" s="132" t="s">
        <v>247</v>
      </c>
      <c r="B27" s="26"/>
      <c r="C27" s="26"/>
      <c r="D27" s="26"/>
      <c r="E27" s="26"/>
      <c r="F27" s="26"/>
    </row>
    <row r="28" spans="1:6">
      <c r="D28" s="5"/>
      <c r="E28" s="5"/>
    </row>
    <row r="29" spans="1:6">
      <c r="B29" s="34" t="s">
        <v>255</v>
      </c>
      <c r="C29" s="35"/>
      <c r="D29" s="34" t="s">
        <v>257</v>
      </c>
      <c r="E29" s="260" t="s">
        <v>258</v>
      </c>
      <c r="F29" s="260" t="s">
        <v>259</v>
      </c>
    </row>
    <row r="30" spans="1:6">
      <c r="B30" s="1" t="s">
        <v>256</v>
      </c>
      <c r="C30" s="259">
        <f>Past_EBITDA!G61</f>
        <v>1.06</v>
      </c>
      <c r="D30" s="1" t="s">
        <v>256</v>
      </c>
      <c r="E30" s="257">
        <f>Past_EBITDA!C61</f>
        <v>1.06</v>
      </c>
    </row>
    <row r="31" spans="1:6">
      <c r="B31" s="1" t="s">
        <v>249</v>
      </c>
      <c r="C31" s="255">
        <f>C30/Market_Price</f>
        <v>4.9648711943793909E-2</v>
      </c>
      <c r="D31" s="1" t="s">
        <v>248</v>
      </c>
      <c r="E31" s="178">
        <f>E30/Market_Price</f>
        <v>4.9648711943793909E-2</v>
      </c>
    </row>
    <row r="32" spans="1:6">
      <c r="B32" s="1" t="s">
        <v>199</v>
      </c>
      <c r="C32" s="255">
        <f>Past_EBITDA!G31</f>
        <v>3.2733779697430909E-2</v>
      </c>
      <c r="D32" s="1" t="s">
        <v>199</v>
      </c>
      <c r="E32" s="253">
        <f>Past_EBITDA!C31</f>
        <v>3.2733779697430909E-2</v>
      </c>
    </row>
    <row r="33" spans="1:6">
      <c r="B33" s="1" t="s">
        <v>200</v>
      </c>
      <c r="C33" s="255">
        <f>Past_EBITDA!G32</f>
        <v>5.8920517849375392E-3</v>
      </c>
      <c r="D33" s="1" t="s">
        <v>200</v>
      </c>
      <c r="E33" s="253">
        <f>Past_EBITDA!C32</f>
        <v>5.8920517849375392E-3</v>
      </c>
    </row>
    <row r="34" spans="1:6">
      <c r="B34" s="1" t="s">
        <v>211</v>
      </c>
      <c r="C34" s="255">
        <f>Past_EBITDA!G37</f>
        <v>2.0566860106198924E-2</v>
      </c>
      <c r="D34" s="1" t="s">
        <v>211</v>
      </c>
      <c r="E34" s="253">
        <f>Past_EBITDA!C37</f>
        <v>0.02</v>
      </c>
    </row>
    <row r="35" spans="1:6">
      <c r="B35" s="1" t="s">
        <v>250</v>
      </c>
      <c r="C35" s="255">
        <f>Past_EBITDA!G79</f>
        <v>8.5041841860284517E-2</v>
      </c>
      <c r="D35" s="5"/>
      <c r="E35" s="5"/>
    </row>
    <row r="36" spans="1:6">
      <c r="D36" s="5"/>
      <c r="E36" s="5"/>
    </row>
    <row r="37" spans="1:6" ht="13.9">
      <c r="A37" s="132" t="s">
        <v>245</v>
      </c>
      <c r="B37" s="26"/>
      <c r="C37" s="26"/>
      <c r="D37" s="26"/>
      <c r="E37" s="26"/>
      <c r="F37" s="26"/>
    </row>
    <row r="39" spans="1:6" ht="12.4">
      <c r="B39" s="122" t="s">
        <v>124</v>
      </c>
      <c r="C39" s="122" t="s">
        <v>103</v>
      </c>
      <c r="D39" s="122" t="s">
        <v>130</v>
      </c>
      <c r="E39" s="123" t="s">
        <v>119</v>
      </c>
      <c r="F39" s="123" t="s">
        <v>246</v>
      </c>
    </row>
    <row r="40" spans="1:6" ht="12.75">
      <c r="B40" s="90" t="s">
        <v>126</v>
      </c>
      <c r="C40" s="100">
        <f>DDM!C83</f>
        <v>0.06</v>
      </c>
      <c r="D40" s="103">
        <f>DDM!D83</f>
        <v>30</v>
      </c>
      <c r="E40" s="97">
        <f>DDM!E83</f>
        <v>34.967067622606031</v>
      </c>
      <c r="F40" s="100">
        <f>RATE(Holding_Period,Scenarios!$C$33,-E40,$C$19)</f>
        <v>-0.1396276519141304</v>
      </c>
    </row>
    <row r="41" spans="1:6" ht="12.75">
      <c r="B41" s="90" t="s">
        <v>127</v>
      </c>
      <c r="C41" s="100">
        <f>DDM!C84</f>
        <v>0.05</v>
      </c>
      <c r="D41" s="103">
        <f>DDM!D84</f>
        <v>30</v>
      </c>
      <c r="E41" s="97">
        <f>DDM!E84</f>
        <v>28.924149911288289</v>
      </c>
      <c r="F41" s="100">
        <f>RATE(Holding_Period,Scenarios!$C$33,-E41,$C$19)</f>
        <v>-8.1342413063184155E-2</v>
      </c>
    </row>
    <row r="42" spans="1:6" ht="12.75">
      <c r="B42" s="90" t="s">
        <v>125</v>
      </c>
      <c r="C42" s="100">
        <f>DDM!C85</f>
        <v>0.03</v>
      </c>
      <c r="D42" s="103">
        <f>DDM!D85</f>
        <v>30</v>
      </c>
      <c r="E42" s="97">
        <f>DDM!E85</f>
        <v>20.244158385425507</v>
      </c>
      <c r="F42" s="100">
        <f>RATE(Holding_Period,Scenarios!$C$33,-E42,$C$19)</f>
        <v>3.9920487093723284E-2</v>
      </c>
    </row>
    <row r="43" spans="1:6" ht="12.75">
      <c r="B43" s="90" t="s">
        <v>128</v>
      </c>
      <c r="C43" s="100">
        <f>DDM!C86</f>
        <v>0.01</v>
      </c>
      <c r="D43" s="103">
        <f>DDM!D86</f>
        <v>30</v>
      </c>
      <c r="E43" s="97">
        <f>DDM!E86</f>
        <v>14.639564963717255</v>
      </c>
      <c r="F43" s="100">
        <f>RATE(Holding_Period,Scenarios!$C$33,-E43,$C$19)</f>
        <v>0.16502717155019972</v>
      </c>
    </row>
    <row r="44" spans="1:6" ht="12.75">
      <c r="B44" s="90" t="s">
        <v>129</v>
      </c>
      <c r="C44" s="100">
        <f>DDM!C87</f>
        <v>0</v>
      </c>
      <c r="D44" s="103">
        <f>DDM!D87</f>
        <v>30</v>
      </c>
      <c r="E44" s="97">
        <f>DDM!E87</f>
        <v>12.607966635404161</v>
      </c>
      <c r="F44" s="100">
        <f>RATE(Holding_Period,Scenarios!$C$33,-E44,$C$19)</f>
        <v>0.22810365128653981</v>
      </c>
    </row>
    <row r="46" spans="1:6" ht="13.9">
      <c r="A46" s="132" t="s">
        <v>260</v>
      </c>
      <c r="B46" s="26"/>
      <c r="C46" s="26"/>
      <c r="D46" s="26"/>
      <c r="E46" s="26"/>
      <c r="F46" s="26"/>
    </row>
  </sheetData>
  <mergeCells count="1">
    <mergeCell ref="B12:F12"/>
  </mergeCells>
  <phoneticPr fontId="2" type="noConversion"/>
  <dataValidations disablePrompts="1" count="3">
    <dataValidation type="list" allowBlank="1" showInputMessage="1" showErrorMessage="1" sqref="F5" xr:uid="{45F807FD-9E0F-415A-9BBD-D5FB6470B56D}">
      <formula1>"Y, N"</formula1>
    </dataValidation>
    <dataValidation type="list" allowBlank="1" sqref="E17" xr:uid="{00000000-0002-0000-0000-000001000000}">
      <formula1>"HKD,USD,CNY,EUR"</formula1>
    </dataValidation>
    <dataValidation type="list" allowBlank="1" showInputMessage="1" showErrorMessage="1" sqref="F4" xr:uid="{43680096-2F0B-9A4B-87F6-C27180C3206F}">
      <formula1>"INT,CN"</formula1>
    </dataValidation>
  </dataValidations>
  <pageMargins left="0.25" right="0.25" top="0.75" bottom="0.75" header="0.3" footer="0.3"/>
  <pageSetup paperSize="9" scale="85" fitToHeight="0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2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56" sqref="C56"/>
    </sheetView>
  </sheetViews>
  <sheetFormatPr defaultColWidth="8.796875" defaultRowHeight="11.6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>
      <c r="B1" s="65" t="str">
        <f>Thesis!E17</f>
        <v>CNY</v>
      </c>
      <c r="C1" s="75">
        <v>45657</v>
      </c>
      <c r="D1" s="28">
        <f>EOMONTH(EDATE(C1,-12),0)</f>
        <v>45291</v>
      </c>
      <c r="E1" s="28">
        <f t="shared" ref="E1:M1" si="0">EOMONTH(EDATE(D1,-12),0)</f>
        <v>44926</v>
      </c>
      <c r="F1" s="28">
        <f t="shared" si="0"/>
        <v>44561</v>
      </c>
      <c r="G1" s="28">
        <f t="shared" si="0"/>
        <v>44196</v>
      </c>
      <c r="H1" s="28">
        <f t="shared" si="0"/>
        <v>43830</v>
      </c>
      <c r="I1" s="28">
        <f t="shared" si="0"/>
        <v>43465</v>
      </c>
      <c r="J1" s="28">
        <f t="shared" si="0"/>
        <v>43100</v>
      </c>
      <c r="K1" s="28">
        <f t="shared" si="0"/>
        <v>42735</v>
      </c>
      <c r="L1" s="28">
        <f t="shared" si="0"/>
        <v>42369</v>
      </c>
      <c r="M1" s="28">
        <f t="shared" si="0"/>
        <v>42004</v>
      </c>
    </row>
    <row r="2" spans="2:13" ht="13.9">
      <c r="B2" s="26" t="s">
        <v>29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2:13">
      <c r="B3" s="13" t="s">
        <v>2</v>
      </c>
      <c r="C3" s="76">
        <v>1000000</v>
      </c>
    </row>
    <row r="4" spans="2:13">
      <c r="B4" s="23" t="s">
        <v>162</v>
      </c>
      <c r="C4" s="168">
        <v>343835</v>
      </c>
      <c r="D4" s="168">
        <v>349079</v>
      </c>
      <c r="E4" s="168">
        <v>328746</v>
      </c>
      <c r="F4" s="168">
        <v>315158</v>
      </c>
      <c r="G4" s="168">
        <v>303478</v>
      </c>
      <c r="H4" s="168">
        <v>269677</v>
      </c>
      <c r="I4" s="168">
        <v>270578</v>
      </c>
      <c r="J4" s="168">
        <v>252644</v>
      </c>
      <c r="K4" s="168">
        <v>236279</v>
      </c>
      <c r="L4" s="168">
        <v>255972</v>
      </c>
      <c r="M4" s="168"/>
    </row>
    <row r="5" spans="2:13">
      <c r="B5" s="30" t="s">
        <v>163</v>
      </c>
      <c r="C5" s="168">
        <v>61890</v>
      </c>
      <c r="D5" s="168">
        <v>62009</v>
      </c>
      <c r="E5" s="168">
        <v>74823</v>
      </c>
      <c r="F5" s="168">
        <v>73350</v>
      </c>
      <c r="G5" s="168">
        <v>57536</v>
      </c>
      <c r="H5" s="168">
        <v>76564</v>
      </c>
      <c r="I5" s="168">
        <v>61222</v>
      </c>
      <c r="J5" s="168">
        <v>50549</v>
      </c>
      <c r="K5" s="168">
        <v>39074</v>
      </c>
      <c r="L5" s="168">
        <v>21559</v>
      </c>
      <c r="M5" s="168"/>
    </row>
    <row r="6" spans="2:13">
      <c r="B6" s="30" t="s">
        <v>17</v>
      </c>
      <c r="C6" s="168">
        <v>62611</v>
      </c>
      <c r="D6" s="168">
        <v>63194</v>
      </c>
      <c r="E6" s="168">
        <v>65314</v>
      </c>
      <c r="F6" s="168">
        <v>56820</v>
      </c>
      <c r="G6" s="168">
        <v>49077</v>
      </c>
      <c r="H6" s="168">
        <v>47190</v>
      </c>
      <c r="I6" s="168">
        <v>42561</v>
      </c>
      <c r="J6" s="168">
        <v>38680</v>
      </c>
      <c r="K6" s="168">
        <v>36735</v>
      </c>
      <c r="L6" s="168">
        <v>33323</v>
      </c>
      <c r="M6" s="168"/>
    </row>
    <row r="7" spans="2:13">
      <c r="B7" s="30" t="s">
        <v>13</v>
      </c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</row>
    <row r="8" spans="2:13">
      <c r="B8" s="30" t="s">
        <v>169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</row>
    <row r="9" spans="2:13">
      <c r="B9" s="30" t="s">
        <v>161</v>
      </c>
      <c r="C9" s="168">
        <v>195728</v>
      </c>
      <c r="D9" s="168">
        <v>202576</v>
      </c>
      <c r="E9" s="168">
        <v>183473</v>
      </c>
      <c r="F9" s="168">
        <v>169479</v>
      </c>
      <c r="G9" s="168">
        <v>159963</v>
      </c>
      <c r="H9" s="168">
        <v>166689</v>
      </c>
      <c r="I9" s="168">
        <v>174921</v>
      </c>
      <c r="J9" s="168">
        <v>164193</v>
      </c>
      <c r="K9" s="168">
        <v>123960</v>
      </c>
      <c r="L9" s="168">
        <v>136138</v>
      </c>
      <c r="M9" s="168"/>
    </row>
    <row r="10" spans="2:13">
      <c r="B10" s="30" t="s">
        <v>14</v>
      </c>
      <c r="C10" s="168">
        <v>9629</v>
      </c>
      <c r="D10" s="168">
        <v>6675</v>
      </c>
      <c r="E10" s="168">
        <v>13807</v>
      </c>
      <c r="F10" s="168">
        <v>11494</v>
      </c>
      <c r="G10" s="168">
        <v>8956</v>
      </c>
      <c r="H10" s="168">
        <v>7801</v>
      </c>
      <c r="I10" s="168">
        <v>6832</v>
      </c>
      <c r="J10" s="168">
        <v>7018</v>
      </c>
      <c r="K10" s="168">
        <v>9598</v>
      </c>
      <c r="L10" s="168">
        <v>12594</v>
      </c>
      <c r="M10" s="168"/>
    </row>
    <row r="11" spans="2:13">
      <c r="B11" s="33" t="s">
        <v>9</v>
      </c>
      <c r="C11" s="169">
        <v>77491</v>
      </c>
      <c r="D11" s="169">
        <v>77654</v>
      </c>
      <c r="E11" s="169">
        <v>92414</v>
      </c>
      <c r="F11" s="169">
        <v>83816</v>
      </c>
      <c r="G11" s="169">
        <v>67681</v>
      </c>
      <c r="H11" s="169">
        <v>66702</v>
      </c>
      <c r="I11" s="169">
        <v>61245</v>
      </c>
      <c r="J11" s="169">
        <v>57735</v>
      </c>
      <c r="K11" s="169">
        <v>54327</v>
      </c>
      <c r="L11" s="169">
        <v>50650</v>
      </c>
      <c r="M11" s="169"/>
    </row>
    <row r="12" spans="2:13">
      <c r="B12" s="19" t="s">
        <v>11</v>
      </c>
      <c r="C12" s="168">
        <v>286</v>
      </c>
      <c r="D12" s="168">
        <v>538</v>
      </c>
      <c r="E12" s="168">
        <v>1037</v>
      </c>
      <c r="F12" s="168">
        <v>1136</v>
      </c>
      <c r="G12" s="168">
        <v>1055</v>
      </c>
      <c r="H12" s="168">
        <v>834</v>
      </c>
      <c r="I12" s="168">
        <v>625</v>
      </c>
      <c r="J12" s="168">
        <v>535</v>
      </c>
      <c r="K12" s="168">
        <v>477</v>
      </c>
      <c r="L12" s="168">
        <v>443</v>
      </c>
      <c r="M12" s="168"/>
    </row>
    <row r="14" spans="2:13">
      <c r="B14" s="13" t="s">
        <v>15</v>
      </c>
      <c r="C14" s="9"/>
    </row>
    <row r="15" spans="2:13">
      <c r="B15" s="18" t="s">
        <v>12</v>
      </c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</row>
    <row r="16" spans="2:13">
      <c r="B16" s="18" t="s">
        <v>16</v>
      </c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</row>
    <row r="17" spans="2:13">
      <c r="B17" s="18" t="s">
        <v>77</v>
      </c>
      <c r="C17" s="168">
        <v>-237258</v>
      </c>
      <c r="D17" s="168">
        <v>433617</v>
      </c>
      <c r="E17" s="168">
        <v>-344587</v>
      </c>
      <c r="F17" s="168">
        <v>-389771</v>
      </c>
      <c r="G17" s="168">
        <v>-34228</v>
      </c>
      <c r="H17" s="168">
        <v>-588009</v>
      </c>
      <c r="I17" s="168">
        <v>-356099</v>
      </c>
      <c r="J17" s="168">
        <v>-162642</v>
      </c>
      <c r="K17" s="168">
        <v>203017</v>
      </c>
      <c r="L17" s="168">
        <v>818693</v>
      </c>
      <c r="M17" s="168"/>
    </row>
    <row r="18" spans="2:13">
      <c r="B18" s="18" t="s">
        <v>79</v>
      </c>
      <c r="C18" s="168">
        <v>23438</v>
      </c>
      <c r="D18" s="168">
        <v>-116901</v>
      </c>
      <c r="E18" s="168">
        <v>-2059</v>
      </c>
      <c r="F18" s="168">
        <v>79654</v>
      </c>
      <c r="G18" s="168">
        <v>234002</v>
      </c>
      <c r="H18" s="168">
        <v>602337</v>
      </c>
      <c r="I18" s="168">
        <v>422390</v>
      </c>
      <c r="J18" s="168">
        <v>268261</v>
      </c>
      <c r="K18" s="168">
        <v>-366131</v>
      </c>
      <c r="L18" s="168">
        <v>-1078507</v>
      </c>
      <c r="M18" s="168"/>
    </row>
    <row r="19" spans="2:13">
      <c r="B19" s="18" t="s">
        <v>78</v>
      </c>
      <c r="C19" s="168">
        <v>194894</v>
      </c>
      <c r="D19" s="168">
        <v>-190955</v>
      </c>
      <c r="E19" s="168">
        <v>-22248</v>
      </c>
      <c r="F19" s="168">
        <v>124588</v>
      </c>
      <c r="G19" s="168">
        <v>29636</v>
      </c>
      <c r="H19" s="168">
        <v>166667</v>
      </c>
      <c r="I19" s="168">
        <v>10436</v>
      </c>
      <c r="J19" s="168">
        <v>-67067</v>
      </c>
      <c r="K19" s="168">
        <v>282268</v>
      </c>
      <c r="L19" s="168">
        <v>213791</v>
      </c>
      <c r="M19" s="168"/>
    </row>
    <row r="20" spans="2:13">
      <c r="B20" s="16" t="str">
        <f>"Dividend per share ("&amp;Market_currency&amp;")"</f>
        <v>Dividend per share (CNY)</v>
      </c>
      <c r="C20" s="29">
        <f>10.6/10</f>
        <v>1.06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</row>
    <row r="22" spans="2:13">
      <c r="B22" s="13" t="s">
        <v>3</v>
      </c>
      <c r="C22" s="70"/>
    </row>
    <row r="23" spans="2:13">
      <c r="B23" s="17" t="s">
        <v>166</v>
      </c>
      <c r="C23" s="168">
        <f>394940+107117+70524+377748+177518+5608859</f>
        <v>6736706</v>
      </c>
      <c r="D23" s="168"/>
      <c r="E23" s="168"/>
      <c r="F23" s="168"/>
      <c r="G23" s="168"/>
      <c r="H23" s="168"/>
      <c r="I23" s="168"/>
      <c r="J23" s="168"/>
      <c r="K23" s="168"/>
      <c r="L23" s="168"/>
      <c r="M23" s="168"/>
    </row>
    <row r="24" spans="2:13">
      <c r="B24" s="17" t="s">
        <v>167</v>
      </c>
      <c r="C24" s="168">
        <f>6731+923189+1896064+630916+4011+114913</f>
        <v>3575824</v>
      </c>
      <c r="D24" s="168"/>
      <c r="E24" s="168"/>
      <c r="F24" s="168"/>
      <c r="G24" s="168"/>
      <c r="H24" s="168"/>
      <c r="I24" s="168"/>
      <c r="J24" s="168"/>
      <c r="K24" s="168"/>
      <c r="L24" s="168"/>
      <c r="M24" s="168"/>
    </row>
    <row r="25" spans="2:13">
      <c r="B25" s="17" t="s">
        <v>177</v>
      </c>
      <c r="C25" s="168">
        <v>3917</v>
      </c>
      <c r="D25" s="168"/>
      <c r="E25" s="168"/>
      <c r="F25" s="168"/>
      <c r="G25" s="168"/>
      <c r="H25" s="168"/>
      <c r="I25" s="168"/>
      <c r="J25" s="168"/>
      <c r="K25" s="168"/>
      <c r="L25" s="168"/>
      <c r="M25" s="168"/>
    </row>
    <row r="26" spans="2:13">
      <c r="B26" s="20" t="s">
        <v>1</v>
      </c>
      <c r="C26" s="169">
        <v>10507898</v>
      </c>
      <c r="D26" s="169">
        <v>10158326</v>
      </c>
      <c r="E26" s="169">
        <v>9266671</v>
      </c>
      <c r="F26" s="169">
        <v>8603024</v>
      </c>
      <c r="G26" s="169">
        <v>7894000</v>
      </c>
      <c r="H26" s="169">
        <v>7145681</v>
      </c>
      <c r="I26" s="169">
        <v>6711657</v>
      </c>
      <c r="J26" s="169">
        <v>6416842</v>
      </c>
      <c r="K26" s="169">
        <v>6085895</v>
      </c>
      <c r="L26" s="169">
        <v>5298880</v>
      </c>
      <c r="M26" s="169"/>
    </row>
    <row r="27" spans="2:13">
      <c r="B27" s="17" t="s">
        <v>168</v>
      </c>
      <c r="C27" s="168">
        <f>91419+1832111+336862+5630360+9304+26740+74890+261996+1252987</f>
        <v>9516669</v>
      </c>
      <c r="D27" s="168"/>
      <c r="E27" s="168"/>
      <c r="F27" s="168"/>
      <c r="G27" s="168"/>
      <c r="H27" s="168"/>
      <c r="I27" s="168"/>
      <c r="J27" s="168"/>
      <c r="K27" s="168"/>
      <c r="L27" s="168"/>
      <c r="M27" s="168"/>
    </row>
    <row r="28" spans="2:13">
      <c r="B28" s="20" t="s">
        <v>8</v>
      </c>
      <c r="C28" s="169">
        <v>9614287</v>
      </c>
      <c r="D28" s="169">
        <v>9350607</v>
      </c>
      <c r="E28" s="169">
        <v>8509373</v>
      </c>
      <c r="F28" s="169">
        <v>7908726</v>
      </c>
      <c r="G28" s="169">
        <v>7269197</v>
      </c>
      <c r="H28" s="169">
        <v>6596029</v>
      </c>
      <c r="I28" s="169">
        <v>6239073</v>
      </c>
      <c r="J28" s="169">
        <v>5994090</v>
      </c>
      <c r="K28" s="169">
        <v>5731485</v>
      </c>
      <c r="L28" s="169">
        <v>4981503</v>
      </c>
      <c r="M28" s="169"/>
    </row>
    <row r="29" spans="2:13">
      <c r="B29" s="17" t="s">
        <v>187</v>
      </c>
      <c r="C29" s="168">
        <v>11703</v>
      </c>
      <c r="D29" s="168">
        <v>11495</v>
      </c>
      <c r="E29" s="168">
        <v>11111</v>
      </c>
      <c r="F29" s="168">
        <v>10187</v>
      </c>
      <c r="G29" s="168">
        <v>9217</v>
      </c>
      <c r="H29" s="168">
        <v>8292</v>
      </c>
      <c r="I29" s="168">
        <v>6631</v>
      </c>
      <c r="J29" s="168">
        <v>5857</v>
      </c>
      <c r="K29" s="168">
        <v>4281</v>
      </c>
      <c r="L29" s="168">
        <v>3729</v>
      </c>
      <c r="M29" s="168"/>
    </row>
    <row r="30" spans="2:13">
      <c r="B30" s="20" t="s">
        <v>4</v>
      </c>
      <c r="C30" s="162">
        <f>IF(C26="","",C26-C28)</f>
        <v>893611</v>
      </c>
      <c r="D30" s="162">
        <f t="shared" ref="D30:M30" si="1">IF(D26="","",D26-D28)</f>
        <v>807719</v>
      </c>
      <c r="E30" s="162">
        <f t="shared" si="1"/>
        <v>757298</v>
      </c>
      <c r="F30" s="162">
        <f t="shared" si="1"/>
        <v>694298</v>
      </c>
      <c r="G30" s="162">
        <f t="shared" si="1"/>
        <v>624803</v>
      </c>
      <c r="H30" s="162">
        <f t="shared" si="1"/>
        <v>549652</v>
      </c>
      <c r="I30" s="162">
        <f t="shared" si="1"/>
        <v>472584</v>
      </c>
      <c r="J30" s="162">
        <f t="shared" si="1"/>
        <v>422752</v>
      </c>
      <c r="K30" s="162">
        <f t="shared" si="1"/>
        <v>354410</v>
      </c>
      <c r="L30" s="162">
        <f t="shared" si="1"/>
        <v>317377</v>
      </c>
      <c r="M30" s="162" t="str">
        <f t="shared" si="1"/>
        <v/>
      </c>
    </row>
    <row r="32" spans="2:13" ht="13.9">
      <c r="B32" s="26" t="s">
        <v>24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</row>
    <row r="33" spans="2:13">
      <c r="B33" s="13" t="s">
        <v>2</v>
      </c>
    </row>
    <row r="34" spans="2:13">
      <c r="B34" s="23" t="s">
        <v>0</v>
      </c>
      <c r="C34" s="161">
        <f t="shared" ref="C34:M34" si="2">IF(C$4="","",C4)</f>
        <v>343835</v>
      </c>
      <c r="D34" s="161">
        <f t="shared" si="2"/>
        <v>349079</v>
      </c>
      <c r="E34" s="161">
        <f t="shared" si="2"/>
        <v>328746</v>
      </c>
      <c r="F34" s="161">
        <f t="shared" si="2"/>
        <v>315158</v>
      </c>
      <c r="G34" s="161">
        <f t="shared" si="2"/>
        <v>303478</v>
      </c>
      <c r="H34" s="161">
        <f t="shared" si="2"/>
        <v>269677</v>
      </c>
      <c r="I34" s="161">
        <f t="shared" si="2"/>
        <v>270578</v>
      </c>
      <c r="J34" s="161">
        <f t="shared" si="2"/>
        <v>252644</v>
      </c>
      <c r="K34" s="161">
        <f t="shared" si="2"/>
        <v>236279</v>
      </c>
      <c r="L34" s="161">
        <f t="shared" si="2"/>
        <v>255972</v>
      </c>
      <c r="M34" s="161" t="str">
        <f t="shared" si="2"/>
        <v/>
      </c>
    </row>
    <row r="35" spans="2:13">
      <c r="B35" s="30" t="s">
        <v>10</v>
      </c>
      <c r="C35" s="161">
        <f t="shared" ref="C35:M35" si="3">IF(C$4="","",-C5)</f>
        <v>-61890</v>
      </c>
      <c r="D35" s="161">
        <f t="shared" si="3"/>
        <v>-62009</v>
      </c>
      <c r="E35" s="161">
        <f t="shared" si="3"/>
        <v>-74823</v>
      </c>
      <c r="F35" s="161">
        <f t="shared" si="3"/>
        <v>-73350</v>
      </c>
      <c r="G35" s="161">
        <f t="shared" si="3"/>
        <v>-57536</v>
      </c>
      <c r="H35" s="161">
        <f t="shared" si="3"/>
        <v>-76564</v>
      </c>
      <c r="I35" s="161">
        <f t="shared" si="3"/>
        <v>-61222</v>
      </c>
      <c r="J35" s="161">
        <f t="shared" si="3"/>
        <v>-50549</v>
      </c>
      <c r="K35" s="161">
        <f t="shared" si="3"/>
        <v>-39074</v>
      </c>
      <c r="L35" s="161">
        <f t="shared" si="3"/>
        <v>-21559</v>
      </c>
      <c r="M35" s="161" t="str">
        <f t="shared" si="3"/>
        <v/>
      </c>
    </row>
    <row r="36" spans="2:13">
      <c r="B36" s="22" t="s">
        <v>20</v>
      </c>
      <c r="C36" s="158">
        <f>IF(C34="","",C34+C35)</f>
        <v>281945</v>
      </c>
      <c r="D36" s="158">
        <f t="shared" ref="D36" si="4">IF(D34="","",D34+D35)</f>
        <v>287070</v>
      </c>
      <c r="E36" s="158">
        <f t="shared" ref="E36" si="5">IF(E34="","",E34+E35)</f>
        <v>253923</v>
      </c>
      <c r="F36" s="158">
        <f t="shared" ref="F36" si="6">IF(F34="","",F34+F35)</f>
        <v>241808</v>
      </c>
      <c r="G36" s="158">
        <f t="shared" ref="G36" si="7">IF(G34="","",G34+G35)</f>
        <v>245942</v>
      </c>
      <c r="H36" s="158">
        <f t="shared" ref="H36" si="8">IF(H34="","",H34+H35)</f>
        <v>193113</v>
      </c>
      <c r="I36" s="158">
        <f t="shared" ref="I36" si="9">IF(I34="","",I34+I35)</f>
        <v>209356</v>
      </c>
      <c r="J36" s="158">
        <f t="shared" ref="J36" si="10">IF(J34="","",J34+J35)</f>
        <v>202095</v>
      </c>
      <c r="K36" s="158">
        <f t="shared" ref="K36" si="11">IF(K34="","",K34+K35)</f>
        <v>197205</v>
      </c>
      <c r="L36" s="158">
        <f t="shared" ref="L36" si="12">IF(L34="","",L34+L35)</f>
        <v>234413</v>
      </c>
      <c r="M36" s="158" t="str">
        <f t="shared" ref="M36" si="13">IF(M34="","",M34+M35)</f>
        <v/>
      </c>
    </row>
    <row r="37" spans="2:13">
      <c r="B37" s="30" t="s">
        <v>17</v>
      </c>
      <c r="C37" s="161">
        <f t="shared" ref="C37:M37" si="14">IF(C$4="","",-C6)</f>
        <v>-62611</v>
      </c>
      <c r="D37" s="161">
        <f t="shared" si="14"/>
        <v>-63194</v>
      </c>
      <c r="E37" s="161">
        <f t="shared" si="14"/>
        <v>-65314</v>
      </c>
      <c r="F37" s="161">
        <f t="shared" si="14"/>
        <v>-56820</v>
      </c>
      <c r="G37" s="161">
        <f t="shared" si="14"/>
        <v>-49077</v>
      </c>
      <c r="H37" s="161">
        <f t="shared" si="14"/>
        <v>-47190</v>
      </c>
      <c r="I37" s="161">
        <f t="shared" si="14"/>
        <v>-42561</v>
      </c>
      <c r="J37" s="161">
        <f t="shared" si="14"/>
        <v>-38680</v>
      </c>
      <c r="K37" s="161">
        <f t="shared" si="14"/>
        <v>-36735</v>
      </c>
      <c r="L37" s="161">
        <f t="shared" si="14"/>
        <v>-33323</v>
      </c>
      <c r="M37" s="161" t="str">
        <f t="shared" si="14"/>
        <v/>
      </c>
    </row>
    <row r="38" spans="2:13">
      <c r="B38" s="30" t="s">
        <v>13</v>
      </c>
      <c r="C38" s="161">
        <f t="shared" ref="C38:M38" si="15">IF(C$4="","",-C7)</f>
        <v>0</v>
      </c>
      <c r="D38" s="161">
        <f t="shared" si="15"/>
        <v>0</v>
      </c>
      <c r="E38" s="161">
        <f t="shared" si="15"/>
        <v>0</v>
      </c>
      <c r="F38" s="161">
        <f t="shared" si="15"/>
        <v>0</v>
      </c>
      <c r="G38" s="161">
        <f t="shared" si="15"/>
        <v>0</v>
      </c>
      <c r="H38" s="161">
        <f t="shared" si="15"/>
        <v>0</v>
      </c>
      <c r="I38" s="161">
        <f t="shared" si="15"/>
        <v>0</v>
      </c>
      <c r="J38" s="161">
        <f t="shared" si="15"/>
        <v>0</v>
      </c>
      <c r="K38" s="161">
        <f t="shared" si="15"/>
        <v>0</v>
      </c>
      <c r="L38" s="161">
        <f t="shared" si="15"/>
        <v>0</v>
      </c>
      <c r="M38" s="161" t="str">
        <f t="shared" si="15"/>
        <v/>
      </c>
    </row>
    <row r="39" spans="2:13">
      <c r="B39" s="33" t="s">
        <v>51</v>
      </c>
      <c r="C39" s="162">
        <f t="shared" ref="C39:M39" si="16">IF(C$4="","",C36+C37+C38)</f>
        <v>219334</v>
      </c>
      <c r="D39" s="162">
        <f t="shared" si="16"/>
        <v>223876</v>
      </c>
      <c r="E39" s="162">
        <f t="shared" si="16"/>
        <v>188609</v>
      </c>
      <c r="F39" s="162">
        <f t="shared" si="16"/>
        <v>184988</v>
      </c>
      <c r="G39" s="162">
        <f t="shared" si="16"/>
        <v>196865</v>
      </c>
      <c r="H39" s="162">
        <f t="shared" si="16"/>
        <v>145923</v>
      </c>
      <c r="I39" s="162">
        <f t="shared" si="16"/>
        <v>166795</v>
      </c>
      <c r="J39" s="162">
        <f t="shared" si="16"/>
        <v>163415</v>
      </c>
      <c r="K39" s="162">
        <f t="shared" si="16"/>
        <v>160470</v>
      </c>
      <c r="L39" s="162">
        <f t="shared" si="16"/>
        <v>201090</v>
      </c>
      <c r="M39" s="162" t="str">
        <f t="shared" si="16"/>
        <v/>
      </c>
    </row>
    <row r="40" spans="2:13">
      <c r="B40" s="33" t="s">
        <v>56</v>
      </c>
      <c r="C40" s="170">
        <f t="shared" ref="C40:M40" si="17">IF(C$4="","",C43-C42-C41-C39)</f>
        <v>63514</v>
      </c>
      <c r="D40" s="170">
        <f t="shared" si="17"/>
        <v>63029</v>
      </c>
      <c r="E40" s="170">
        <f t="shared" si="17"/>
        <v>101085</v>
      </c>
      <c r="F40" s="170">
        <f t="shared" si="17"/>
        <v>79801</v>
      </c>
      <c r="G40" s="170">
        <f t="shared" si="17"/>
        <v>39735</v>
      </c>
      <c r="H40" s="170">
        <f t="shared" si="17"/>
        <v>95269</v>
      </c>
      <c r="I40" s="170">
        <f t="shared" si="17"/>
        <v>76203</v>
      </c>
      <c r="J40" s="170">
        <f t="shared" si="17"/>
        <v>65531</v>
      </c>
      <c r="K40" s="170">
        <f t="shared" si="17"/>
        <v>27415</v>
      </c>
      <c r="L40" s="170">
        <f t="shared" si="17"/>
        <v>-1708</v>
      </c>
      <c r="M40" s="170" t="str">
        <f t="shared" si="17"/>
        <v/>
      </c>
    </row>
    <row r="41" spans="2:13">
      <c r="B41" s="30" t="s">
        <v>7</v>
      </c>
      <c r="C41" s="167">
        <f t="shared" ref="C41:M41" si="18">IF(C$4="","",-C9)</f>
        <v>-195728</v>
      </c>
      <c r="D41" s="167">
        <f t="shared" si="18"/>
        <v>-202576</v>
      </c>
      <c r="E41" s="167">
        <f t="shared" si="18"/>
        <v>-183473</v>
      </c>
      <c r="F41" s="167">
        <f t="shared" si="18"/>
        <v>-169479</v>
      </c>
      <c r="G41" s="167">
        <f t="shared" si="18"/>
        <v>-159963</v>
      </c>
      <c r="H41" s="167">
        <f t="shared" si="18"/>
        <v>-166689</v>
      </c>
      <c r="I41" s="167">
        <f t="shared" si="18"/>
        <v>-174921</v>
      </c>
      <c r="J41" s="167">
        <f t="shared" si="18"/>
        <v>-164193</v>
      </c>
      <c r="K41" s="167">
        <f t="shared" si="18"/>
        <v>-123960</v>
      </c>
      <c r="L41" s="167">
        <f t="shared" si="18"/>
        <v>-136138</v>
      </c>
      <c r="M41" s="167" t="str">
        <f t="shared" si="18"/>
        <v/>
      </c>
    </row>
    <row r="42" spans="2:13">
      <c r="B42" s="30" t="s">
        <v>14</v>
      </c>
      <c r="C42" s="161">
        <f t="shared" ref="C42:M42" si="19">IF(C$4="","",-C10)</f>
        <v>-9629</v>
      </c>
      <c r="D42" s="161">
        <f t="shared" si="19"/>
        <v>-6675</v>
      </c>
      <c r="E42" s="161">
        <f t="shared" si="19"/>
        <v>-13807</v>
      </c>
      <c r="F42" s="161">
        <f t="shared" si="19"/>
        <v>-11494</v>
      </c>
      <c r="G42" s="161">
        <f t="shared" si="19"/>
        <v>-8956</v>
      </c>
      <c r="H42" s="161">
        <f t="shared" si="19"/>
        <v>-7801</v>
      </c>
      <c r="I42" s="161">
        <f t="shared" si="19"/>
        <v>-6832</v>
      </c>
      <c r="J42" s="161">
        <f t="shared" si="19"/>
        <v>-7018</v>
      </c>
      <c r="K42" s="161">
        <f t="shared" si="19"/>
        <v>-9598</v>
      </c>
      <c r="L42" s="161">
        <f t="shared" si="19"/>
        <v>-12594</v>
      </c>
      <c r="M42" s="161" t="str">
        <f t="shared" si="19"/>
        <v/>
      </c>
    </row>
    <row r="43" spans="2:13">
      <c r="B43" s="33" t="s">
        <v>9</v>
      </c>
      <c r="C43" s="162">
        <f t="shared" ref="C43:M43" si="20">IF(C$4="","",C11)</f>
        <v>77491</v>
      </c>
      <c r="D43" s="162">
        <f t="shared" si="20"/>
        <v>77654</v>
      </c>
      <c r="E43" s="162">
        <f t="shared" si="20"/>
        <v>92414</v>
      </c>
      <c r="F43" s="162">
        <f t="shared" si="20"/>
        <v>83816</v>
      </c>
      <c r="G43" s="162">
        <f t="shared" si="20"/>
        <v>67681</v>
      </c>
      <c r="H43" s="162">
        <f t="shared" si="20"/>
        <v>66702</v>
      </c>
      <c r="I43" s="162">
        <f t="shared" si="20"/>
        <v>61245</v>
      </c>
      <c r="J43" s="162">
        <f t="shared" si="20"/>
        <v>57735</v>
      </c>
      <c r="K43" s="162">
        <f t="shared" si="20"/>
        <v>54327</v>
      </c>
      <c r="L43" s="162">
        <f t="shared" si="20"/>
        <v>50650</v>
      </c>
      <c r="M43" s="162" t="str">
        <f t="shared" si="20"/>
        <v/>
      </c>
    </row>
    <row r="44" spans="2:13">
      <c r="B44" s="19" t="s">
        <v>11</v>
      </c>
      <c r="C44" s="161">
        <f t="shared" ref="C44:M44" si="21">IF(C$4="","",MIN(-C12,0))</f>
        <v>-286</v>
      </c>
      <c r="D44" s="161">
        <f t="shared" si="21"/>
        <v>-538</v>
      </c>
      <c r="E44" s="161">
        <f t="shared" si="21"/>
        <v>-1037</v>
      </c>
      <c r="F44" s="161">
        <f t="shared" si="21"/>
        <v>-1136</v>
      </c>
      <c r="G44" s="161">
        <f t="shared" si="21"/>
        <v>-1055</v>
      </c>
      <c r="H44" s="161">
        <f t="shared" si="21"/>
        <v>-834</v>
      </c>
      <c r="I44" s="161">
        <f t="shared" si="21"/>
        <v>-625</v>
      </c>
      <c r="J44" s="161">
        <f t="shared" si="21"/>
        <v>-535</v>
      </c>
      <c r="K44" s="161">
        <f t="shared" si="21"/>
        <v>-477</v>
      </c>
      <c r="L44" s="161">
        <f t="shared" si="21"/>
        <v>-443</v>
      </c>
      <c r="M44" s="161" t="str">
        <f t="shared" si="21"/>
        <v/>
      </c>
    </row>
    <row r="46" spans="2:13">
      <c r="B46" s="125" t="s">
        <v>56</v>
      </c>
    </row>
    <row r="47" spans="2:13">
      <c r="B47" s="30" t="s">
        <v>54</v>
      </c>
      <c r="C47" s="167">
        <f t="shared" ref="C47:M47" si="22">IF(C$4="","",C8)</f>
        <v>0</v>
      </c>
      <c r="D47" s="167">
        <f t="shared" si="22"/>
        <v>0</v>
      </c>
      <c r="E47" s="167">
        <f t="shared" si="22"/>
        <v>0</v>
      </c>
      <c r="F47" s="167">
        <f t="shared" si="22"/>
        <v>0</v>
      </c>
      <c r="G47" s="167">
        <f t="shared" si="22"/>
        <v>0</v>
      </c>
      <c r="H47" s="167">
        <f t="shared" si="22"/>
        <v>0</v>
      </c>
      <c r="I47" s="167">
        <f t="shared" si="22"/>
        <v>0</v>
      </c>
      <c r="J47" s="167">
        <f t="shared" si="22"/>
        <v>0</v>
      </c>
      <c r="K47" s="167">
        <f t="shared" si="22"/>
        <v>0</v>
      </c>
      <c r="L47" s="167">
        <f t="shared" si="22"/>
        <v>0</v>
      </c>
      <c r="M47" s="167" t="str">
        <f t="shared" si="22"/>
        <v/>
      </c>
    </row>
    <row r="49" spans="2:13">
      <c r="B49" s="13" t="s">
        <v>15</v>
      </c>
      <c r="C49" s="9"/>
    </row>
    <row r="50" spans="2:13">
      <c r="B50" s="18" t="s">
        <v>12</v>
      </c>
      <c r="C50" s="161">
        <f t="shared" ref="C50:M50" si="23">IF(C$4="","",-C15)</f>
        <v>0</v>
      </c>
      <c r="D50" s="161">
        <f t="shared" si="23"/>
        <v>0</v>
      </c>
      <c r="E50" s="161">
        <f t="shared" si="23"/>
        <v>0</v>
      </c>
      <c r="F50" s="161">
        <f t="shared" si="23"/>
        <v>0</v>
      </c>
      <c r="G50" s="161">
        <f t="shared" si="23"/>
        <v>0</v>
      </c>
      <c r="H50" s="161">
        <f t="shared" si="23"/>
        <v>0</v>
      </c>
      <c r="I50" s="161">
        <f t="shared" si="23"/>
        <v>0</v>
      </c>
      <c r="J50" s="161">
        <f t="shared" si="23"/>
        <v>0</v>
      </c>
      <c r="K50" s="161">
        <f t="shared" si="23"/>
        <v>0</v>
      </c>
      <c r="L50" s="161">
        <f t="shared" si="23"/>
        <v>0</v>
      </c>
      <c r="M50" s="161" t="str">
        <f t="shared" si="23"/>
        <v/>
      </c>
    </row>
    <row r="51" spans="2:13">
      <c r="B51" s="18" t="s">
        <v>16</v>
      </c>
      <c r="C51" s="161">
        <f t="shared" ref="C51:M51" si="24">IF(C$4="","",-C16)</f>
        <v>0</v>
      </c>
      <c r="D51" s="161">
        <f t="shared" si="24"/>
        <v>0</v>
      </c>
      <c r="E51" s="161">
        <f t="shared" si="24"/>
        <v>0</v>
      </c>
      <c r="F51" s="161">
        <f t="shared" si="24"/>
        <v>0</v>
      </c>
      <c r="G51" s="161">
        <f t="shared" si="24"/>
        <v>0</v>
      </c>
      <c r="H51" s="161">
        <f t="shared" si="24"/>
        <v>0</v>
      </c>
      <c r="I51" s="161">
        <f t="shared" si="24"/>
        <v>0</v>
      </c>
      <c r="J51" s="161">
        <f t="shared" si="24"/>
        <v>0</v>
      </c>
      <c r="K51" s="161">
        <f t="shared" si="24"/>
        <v>0</v>
      </c>
      <c r="L51" s="161">
        <f t="shared" si="24"/>
        <v>0</v>
      </c>
      <c r="M51" s="161" t="str">
        <f t="shared" si="24"/>
        <v/>
      </c>
    </row>
    <row r="52" spans="2:13">
      <c r="B52" s="18" t="s">
        <v>82</v>
      </c>
      <c r="C52" s="161">
        <f t="shared" ref="C52:M52" si="25">IF(C$4="","",C17+C18+C19)</f>
        <v>-18926</v>
      </c>
      <c r="D52" s="161">
        <f t="shared" si="25"/>
        <v>125761</v>
      </c>
      <c r="E52" s="161">
        <f t="shared" si="25"/>
        <v>-368894</v>
      </c>
      <c r="F52" s="161">
        <f t="shared" si="25"/>
        <v>-185529</v>
      </c>
      <c r="G52" s="161">
        <f t="shared" si="25"/>
        <v>229410</v>
      </c>
      <c r="H52" s="161">
        <f t="shared" si="25"/>
        <v>180995</v>
      </c>
      <c r="I52" s="161">
        <f t="shared" si="25"/>
        <v>76727</v>
      </c>
      <c r="J52" s="161">
        <f t="shared" si="25"/>
        <v>38552</v>
      </c>
      <c r="K52" s="161">
        <f t="shared" si="25"/>
        <v>119154</v>
      </c>
      <c r="L52" s="161">
        <f t="shared" si="25"/>
        <v>-46023</v>
      </c>
      <c r="M52" s="161" t="str">
        <f t="shared" si="25"/>
        <v/>
      </c>
    </row>
    <row r="53" spans="2:13">
      <c r="B53" s="16" t="s">
        <v>5</v>
      </c>
      <c r="C53" s="57">
        <f t="shared" ref="C53:M53" si="26">IF(C$4="","",C20)</f>
        <v>1.06</v>
      </c>
      <c r="D53" s="57">
        <f t="shared" si="26"/>
        <v>0</v>
      </c>
      <c r="E53" s="57">
        <f t="shared" si="26"/>
        <v>0</v>
      </c>
      <c r="F53" s="57">
        <f t="shared" si="26"/>
        <v>0</v>
      </c>
      <c r="G53" s="57">
        <f t="shared" si="26"/>
        <v>0</v>
      </c>
      <c r="H53" s="57">
        <f t="shared" si="26"/>
        <v>0</v>
      </c>
      <c r="I53" s="57">
        <f t="shared" si="26"/>
        <v>0</v>
      </c>
      <c r="J53" s="57">
        <f t="shared" si="26"/>
        <v>0</v>
      </c>
      <c r="K53" s="57">
        <f t="shared" si="26"/>
        <v>0</v>
      </c>
      <c r="L53" s="57">
        <f t="shared" si="26"/>
        <v>0</v>
      </c>
      <c r="M53" s="57" t="str">
        <f t="shared" si="26"/>
        <v/>
      </c>
    </row>
    <row r="55" spans="2:13">
      <c r="B55" s="66" t="s">
        <v>27</v>
      </c>
    </row>
    <row r="56" spans="2:13">
      <c r="B56" s="1" t="str">
        <f>B34</f>
        <v>Sales</v>
      </c>
      <c r="C56" s="67">
        <f t="shared" ref="C56:M56" si="27">IF(D$34="","",C34/D34-1)</f>
        <v>-1.502238748248963E-2</v>
      </c>
      <c r="D56" s="67">
        <f t="shared" si="27"/>
        <v>6.1850182207540128E-2</v>
      </c>
      <c r="E56" s="67">
        <f t="shared" si="27"/>
        <v>4.3114882059157589E-2</v>
      </c>
      <c r="F56" s="67">
        <f t="shared" si="27"/>
        <v>3.848713910069268E-2</v>
      </c>
      <c r="G56" s="67">
        <f t="shared" si="27"/>
        <v>0.12533883126851753</v>
      </c>
      <c r="H56" s="67">
        <f t="shared" si="27"/>
        <v>-3.3299085661065986E-3</v>
      </c>
      <c r="I56" s="67">
        <f t="shared" si="27"/>
        <v>7.0985259891388708E-2</v>
      </c>
      <c r="J56" s="67">
        <f t="shared" si="27"/>
        <v>6.9261339348820616E-2</v>
      </c>
      <c r="K56" s="67">
        <f t="shared" si="27"/>
        <v>-7.6934195927679583E-2</v>
      </c>
      <c r="L56" s="67" t="str">
        <f t="shared" si="27"/>
        <v/>
      </c>
      <c r="M56" s="67" t="str">
        <f t="shared" si="27"/>
        <v/>
      </c>
    </row>
    <row r="57" spans="2:13">
      <c r="B57" s="22" t="s">
        <v>20</v>
      </c>
      <c r="C57" s="67">
        <f t="shared" ref="C57:M57" si="28">IF(D$34="","",C36/D36-1)</f>
        <v>-1.7852788518479823E-2</v>
      </c>
      <c r="D57" s="67">
        <f t="shared" si="28"/>
        <v>0.1305395730201675</v>
      </c>
      <c r="E57" s="67">
        <f t="shared" si="28"/>
        <v>5.0101733606828569E-2</v>
      </c>
      <c r="F57" s="67">
        <f t="shared" si="28"/>
        <v>-1.6808841108879369E-2</v>
      </c>
      <c r="G57" s="67">
        <f t="shared" si="28"/>
        <v>0.27356521829188085</v>
      </c>
      <c r="H57" s="67">
        <f t="shared" si="28"/>
        <v>-7.7585548061674836E-2</v>
      </c>
      <c r="I57" s="67">
        <f t="shared" si="28"/>
        <v>3.592864741829338E-2</v>
      </c>
      <c r="J57" s="67">
        <f t="shared" si="28"/>
        <v>2.4796531528105348E-2</v>
      </c>
      <c r="K57" s="67">
        <f t="shared" si="28"/>
        <v>-0.15872839816904349</v>
      </c>
      <c r="L57" s="67" t="str">
        <f t="shared" si="28"/>
        <v/>
      </c>
      <c r="M57" s="67" t="str">
        <f t="shared" si="28"/>
        <v/>
      </c>
    </row>
    <row r="58" spans="2:13">
      <c r="B58" s="62" t="str">
        <f>B39</f>
        <v>Operating EBIT</v>
      </c>
      <c r="C58" s="72">
        <f t="shared" ref="C58:M58" si="29">IF(D$34="","",C39/D39-1)</f>
        <v>-2.0288016580607082E-2</v>
      </c>
      <c r="D58" s="72">
        <f t="shared" si="29"/>
        <v>0.18698471440917452</v>
      </c>
      <c r="E58" s="72">
        <f t="shared" si="29"/>
        <v>1.9574242653577434E-2</v>
      </c>
      <c r="F58" s="72">
        <f t="shared" si="29"/>
        <v>-6.0330683463287071E-2</v>
      </c>
      <c r="G58" s="72">
        <f t="shared" si="29"/>
        <v>0.34910192361725012</v>
      </c>
      <c r="H58" s="72">
        <f t="shared" si="29"/>
        <v>-0.12513564555292422</v>
      </c>
      <c r="I58" s="72">
        <f t="shared" si="29"/>
        <v>2.0683535783128759E-2</v>
      </c>
      <c r="J58" s="72">
        <f t="shared" si="29"/>
        <v>1.8352340001246414E-2</v>
      </c>
      <c r="K58" s="72">
        <f t="shared" si="29"/>
        <v>-0.20199910487841266</v>
      </c>
      <c r="L58" s="72" t="str">
        <f t="shared" si="29"/>
        <v/>
      </c>
      <c r="M58" s="72" t="str">
        <f t="shared" si="29"/>
        <v/>
      </c>
    </row>
    <row r="59" spans="2:13">
      <c r="B59" s="33" t="s">
        <v>56</v>
      </c>
      <c r="C59" s="72">
        <f t="shared" ref="C59:M59" si="30">IF(D$34="","",C40/D40-1)</f>
        <v>7.694870615113647E-3</v>
      </c>
      <c r="D59" s="72">
        <f t="shared" si="30"/>
        <v>-0.37647524360686546</v>
      </c>
      <c r="E59" s="72">
        <f t="shared" si="30"/>
        <v>0.26671344970614408</v>
      </c>
      <c r="F59" s="72">
        <f t="shared" si="30"/>
        <v>1.0083301874921355</v>
      </c>
      <c r="G59" s="72">
        <f t="shared" si="30"/>
        <v>-0.58291784315989459</v>
      </c>
      <c r="H59" s="72">
        <f t="shared" si="30"/>
        <v>0.25020012335472352</v>
      </c>
      <c r="I59" s="72">
        <f t="shared" si="30"/>
        <v>0.16285422166608177</v>
      </c>
      <c r="J59" s="72">
        <f t="shared" si="30"/>
        <v>1.390333758891118</v>
      </c>
      <c r="K59" s="72">
        <f t="shared" si="30"/>
        <v>-17.050936768149882</v>
      </c>
      <c r="L59" s="72" t="str">
        <f t="shared" si="30"/>
        <v/>
      </c>
      <c r="M59" s="72" t="str">
        <f t="shared" si="30"/>
        <v/>
      </c>
    </row>
    <row r="60" spans="2:13">
      <c r="B60" s="62" t="str">
        <f>B43</f>
        <v>Reported Net Income</v>
      </c>
      <c r="C60" s="72">
        <f t="shared" ref="C60:M60" si="31">IF(D$34="","",C43/D43-1)</f>
        <v>-2.0990547814665472E-3</v>
      </c>
      <c r="D60" s="72">
        <f t="shared" si="31"/>
        <v>-0.15971606033717833</v>
      </c>
      <c r="E60" s="72">
        <f t="shared" si="31"/>
        <v>0.10258184594826769</v>
      </c>
      <c r="F60" s="72">
        <f t="shared" si="31"/>
        <v>0.23839777781061144</v>
      </c>
      <c r="G60" s="72">
        <f t="shared" si="31"/>
        <v>1.4677221072831426E-2</v>
      </c>
      <c r="H60" s="72">
        <f t="shared" si="31"/>
        <v>8.9101151114376664E-2</v>
      </c>
      <c r="I60" s="72">
        <f t="shared" si="31"/>
        <v>6.0795011691348488E-2</v>
      </c>
      <c r="J60" s="72">
        <f t="shared" si="31"/>
        <v>6.2731238610635565E-2</v>
      </c>
      <c r="K60" s="72">
        <f t="shared" si="31"/>
        <v>7.2596248766041427E-2</v>
      </c>
      <c r="L60" s="72" t="str">
        <f t="shared" si="31"/>
        <v/>
      </c>
      <c r="M60" s="72" t="str">
        <f t="shared" si="31"/>
        <v/>
      </c>
    </row>
    <row r="62" spans="2:13" ht="13.9">
      <c r="B62" s="26" t="s">
        <v>25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</row>
    <row r="63" spans="2:13">
      <c r="B63" s="13" t="s">
        <v>3</v>
      </c>
      <c r="C63" s="9"/>
    </row>
    <row r="64" spans="2:13">
      <c r="B64" s="17" t="s">
        <v>1</v>
      </c>
      <c r="C64" s="161">
        <f>IF(C$4="","",C71-C68)</f>
        <v>10507898</v>
      </c>
      <c r="D64" s="161">
        <f t="shared" ref="D64:M64" si="32">IF(D$4="","",D71-D68)</f>
        <v>10158326</v>
      </c>
      <c r="E64" s="161">
        <f t="shared" si="32"/>
        <v>9266671</v>
      </c>
      <c r="F64" s="161">
        <f t="shared" si="32"/>
        <v>8603024</v>
      </c>
      <c r="G64" s="161">
        <f t="shared" si="32"/>
        <v>7894000</v>
      </c>
      <c r="H64" s="161">
        <f t="shared" si="32"/>
        <v>7145681</v>
      </c>
      <c r="I64" s="161">
        <f t="shared" si="32"/>
        <v>6711657</v>
      </c>
      <c r="J64" s="161">
        <f t="shared" si="32"/>
        <v>6416842</v>
      </c>
      <c r="K64" s="161">
        <f t="shared" si="32"/>
        <v>6085895</v>
      </c>
      <c r="L64" s="161">
        <f t="shared" si="32"/>
        <v>5298880</v>
      </c>
      <c r="M64" s="161" t="str">
        <f t="shared" si="32"/>
        <v/>
      </c>
    </row>
    <row r="65" spans="2:13">
      <c r="B65" s="68" t="s">
        <v>180</v>
      </c>
      <c r="C65" s="161">
        <f>IF(C$4="","",C25)</f>
        <v>3917</v>
      </c>
      <c r="D65" s="161">
        <f t="shared" ref="D65:M65" si="33">IF(D$4="","",D25)</f>
        <v>0</v>
      </c>
      <c r="E65" s="161">
        <f t="shared" si="33"/>
        <v>0</v>
      </c>
      <c r="F65" s="161">
        <f t="shared" si="33"/>
        <v>0</v>
      </c>
      <c r="G65" s="161">
        <f t="shared" si="33"/>
        <v>0</v>
      </c>
      <c r="H65" s="161">
        <f t="shared" si="33"/>
        <v>0</v>
      </c>
      <c r="I65" s="161">
        <f t="shared" si="33"/>
        <v>0</v>
      </c>
      <c r="J65" s="161">
        <f t="shared" si="33"/>
        <v>0</v>
      </c>
      <c r="K65" s="161">
        <f t="shared" si="33"/>
        <v>0</v>
      </c>
      <c r="L65" s="161">
        <f t="shared" si="33"/>
        <v>0</v>
      </c>
      <c r="M65" s="161" t="str">
        <f t="shared" si="33"/>
        <v/>
      </c>
    </row>
    <row r="66" spans="2:13">
      <c r="B66" s="68" t="s">
        <v>179</v>
      </c>
      <c r="C66" s="161">
        <f>IF(C$4="","",C64-C65)</f>
        <v>10503981</v>
      </c>
      <c r="D66" s="161">
        <f t="shared" ref="D66:M66" si="34">IF(D$4="","",D64-D65)</f>
        <v>10158326</v>
      </c>
      <c r="E66" s="161">
        <f t="shared" si="34"/>
        <v>9266671</v>
      </c>
      <c r="F66" s="161">
        <f t="shared" si="34"/>
        <v>8603024</v>
      </c>
      <c r="G66" s="161">
        <f t="shared" si="34"/>
        <v>7894000</v>
      </c>
      <c r="H66" s="161">
        <f t="shared" si="34"/>
        <v>7145681</v>
      </c>
      <c r="I66" s="161">
        <f t="shared" si="34"/>
        <v>6711657</v>
      </c>
      <c r="J66" s="161">
        <f t="shared" si="34"/>
        <v>6416842</v>
      </c>
      <c r="K66" s="161">
        <f t="shared" si="34"/>
        <v>6085895</v>
      </c>
      <c r="L66" s="161">
        <f t="shared" si="34"/>
        <v>5298880</v>
      </c>
      <c r="M66" s="161" t="str">
        <f t="shared" si="34"/>
        <v/>
      </c>
    </row>
    <row r="67" spans="2:13">
      <c r="B67" s="231" t="s">
        <v>181</v>
      </c>
      <c r="C67" s="232">
        <f t="shared" ref="C67:M67" si="35">IF(C$4="","",(C23+C24)/C66)</f>
        <v>0.98177348188272617</v>
      </c>
      <c r="D67" s="232">
        <f t="shared" si="35"/>
        <v>0</v>
      </c>
      <c r="E67" s="232">
        <f t="shared" si="35"/>
        <v>0</v>
      </c>
      <c r="F67" s="232">
        <f t="shared" si="35"/>
        <v>0</v>
      </c>
      <c r="G67" s="232">
        <f t="shared" si="35"/>
        <v>0</v>
      </c>
      <c r="H67" s="232">
        <f t="shared" si="35"/>
        <v>0</v>
      </c>
      <c r="I67" s="232">
        <f t="shared" si="35"/>
        <v>0</v>
      </c>
      <c r="J67" s="232">
        <f t="shared" si="35"/>
        <v>0</v>
      </c>
      <c r="K67" s="232">
        <f t="shared" si="35"/>
        <v>0</v>
      </c>
      <c r="L67" s="232">
        <f t="shared" si="35"/>
        <v>0</v>
      </c>
      <c r="M67" s="232" t="str">
        <f t="shared" si="35"/>
        <v/>
      </c>
    </row>
    <row r="68" spans="2:13">
      <c r="B68" s="17" t="s">
        <v>8</v>
      </c>
      <c r="C68" s="161">
        <f>IF(C$4="","",-C28)</f>
        <v>-9614287</v>
      </c>
      <c r="D68" s="161">
        <f t="shared" ref="D68:M68" si="36">IF(D$4="","",-D28)</f>
        <v>-9350607</v>
      </c>
      <c r="E68" s="161">
        <f t="shared" si="36"/>
        <v>-8509373</v>
      </c>
      <c r="F68" s="161">
        <f t="shared" si="36"/>
        <v>-7908726</v>
      </c>
      <c r="G68" s="161">
        <f t="shared" si="36"/>
        <v>-7269197</v>
      </c>
      <c r="H68" s="161">
        <f t="shared" si="36"/>
        <v>-6596029</v>
      </c>
      <c r="I68" s="161">
        <f t="shared" si="36"/>
        <v>-6239073</v>
      </c>
      <c r="J68" s="161">
        <f t="shared" si="36"/>
        <v>-5994090</v>
      </c>
      <c r="K68" s="161">
        <f t="shared" si="36"/>
        <v>-5731485</v>
      </c>
      <c r="L68" s="161">
        <f t="shared" si="36"/>
        <v>-4981503</v>
      </c>
      <c r="M68" s="161" t="str">
        <f t="shared" si="36"/>
        <v/>
      </c>
    </row>
    <row r="69" spans="2:13">
      <c r="B69" s="68" t="s">
        <v>185</v>
      </c>
      <c r="C69" s="161">
        <f>IF(C4="","",-C27)</f>
        <v>-9516669</v>
      </c>
      <c r="D69" s="161">
        <f t="shared" ref="D69:M69" si="37">IF(D4="","",-D27)</f>
        <v>0</v>
      </c>
      <c r="E69" s="161">
        <f t="shared" si="37"/>
        <v>0</v>
      </c>
      <c r="F69" s="161">
        <f t="shared" si="37"/>
        <v>0</v>
      </c>
      <c r="G69" s="161">
        <f t="shared" si="37"/>
        <v>0</v>
      </c>
      <c r="H69" s="161">
        <f t="shared" si="37"/>
        <v>0</v>
      </c>
      <c r="I69" s="161">
        <f t="shared" si="37"/>
        <v>0</v>
      </c>
      <c r="J69" s="161">
        <f t="shared" si="37"/>
        <v>0</v>
      </c>
      <c r="K69" s="161">
        <f t="shared" si="37"/>
        <v>0</v>
      </c>
      <c r="L69" s="161">
        <f t="shared" si="37"/>
        <v>0</v>
      </c>
      <c r="M69" s="161" t="str">
        <f t="shared" si="37"/>
        <v/>
      </c>
    </row>
    <row r="70" spans="2:13">
      <c r="B70" s="231" t="s">
        <v>186</v>
      </c>
      <c r="C70" s="236">
        <f>IF(C$4="","",C69/C68)</f>
        <v>0.98984656896554057</v>
      </c>
      <c r="D70" s="236">
        <f t="shared" ref="D70:M70" si="38">IF(D$4="","",D69/D68)</f>
        <v>0</v>
      </c>
      <c r="E70" s="236">
        <f t="shared" si="38"/>
        <v>0</v>
      </c>
      <c r="F70" s="236">
        <f t="shared" si="38"/>
        <v>0</v>
      </c>
      <c r="G70" s="236">
        <f t="shared" si="38"/>
        <v>0</v>
      </c>
      <c r="H70" s="236">
        <f t="shared" si="38"/>
        <v>0</v>
      </c>
      <c r="I70" s="236">
        <f t="shared" si="38"/>
        <v>0</v>
      </c>
      <c r="J70" s="236">
        <f t="shared" si="38"/>
        <v>0</v>
      </c>
      <c r="K70" s="236">
        <f t="shared" si="38"/>
        <v>0</v>
      </c>
      <c r="L70" s="236">
        <f t="shared" si="38"/>
        <v>0</v>
      </c>
      <c r="M70" s="236" t="str">
        <f t="shared" si="38"/>
        <v/>
      </c>
    </row>
    <row r="71" spans="2:13">
      <c r="B71" s="17" t="s">
        <v>4</v>
      </c>
      <c r="C71" s="161">
        <f t="shared" ref="C71:M71" si="39">IF(C$4="","",C30)</f>
        <v>893611</v>
      </c>
      <c r="D71" s="161">
        <f t="shared" si="39"/>
        <v>807719</v>
      </c>
      <c r="E71" s="161">
        <f t="shared" si="39"/>
        <v>757298</v>
      </c>
      <c r="F71" s="161">
        <f t="shared" si="39"/>
        <v>694298</v>
      </c>
      <c r="G71" s="161">
        <f t="shared" si="39"/>
        <v>624803</v>
      </c>
      <c r="H71" s="161">
        <f t="shared" si="39"/>
        <v>549652</v>
      </c>
      <c r="I71" s="161">
        <f t="shared" si="39"/>
        <v>472584</v>
      </c>
      <c r="J71" s="161">
        <f t="shared" si="39"/>
        <v>422752</v>
      </c>
      <c r="K71" s="161">
        <f t="shared" si="39"/>
        <v>354410</v>
      </c>
      <c r="L71" s="161">
        <f t="shared" si="39"/>
        <v>317377</v>
      </c>
      <c r="M71" s="161" t="str">
        <f t="shared" si="39"/>
        <v/>
      </c>
    </row>
    <row r="72" spans="2:13">
      <c r="B72" s="68" t="s">
        <v>188</v>
      </c>
      <c r="C72" s="161">
        <f>IF(C4="","",-C29)</f>
        <v>-11703</v>
      </c>
      <c r="D72" s="161">
        <f t="shared" ref="D72:M72" si="40">IF(D4="","",-D29)</f>
        <v>-11495</v>
      </c>
      <c r="E72" s="161">
        <f t="shared" si="40"/>
        <v>-11111</v>
      </c>
      <c r="F72" s="161">
        <f t="shared" si="40"/>
        <v>-10187</v>
      </c>
      <c r="G72" s="161">
        <f t="shared" si="40"/>
        <v>-9217</v>
      </c>
      <c r="H72" s="161">
        <f t="shared" si="40"/>
        <v>-8292</v>
      </c>
      <c r="I72" s="161">
        <f t="shared" si="40"/>
        <v>-6631</v>
      </c>
      <c r="J72" s="161">
        <f t="shared" si="40"/>
        <v>-5857</v>
      </c>
      <c r="K72" s="161">
        <f t="shared" si="40"/>
        <v>-4281</v>
      </c>
      <c r="L72" s="161">
        <f t="shared" si="40"/>
        <v>-3729</v>
      </c>
      <c r="M72" s="161" t="str">
        <f t="shared" si="40"/>
        <v/>
      </c>
    </row>
  </sheetData>
  <phoneticPr fontId="2" type="noConversion"/>
  <conditionalFormatting sqref="C4:M12 C15:M20 C23:M30 C37:M39 C41:M44 C47:M47 C50:M53">
    <cfRule type="expression" dxfId="8" priority="7">
      <formula>ISBLANK(C4)</formula>
    </cfRule>
  </conditionalFormatting>
  <conditionalFormatting sqref="C34:M35">
    <cfRule type="expression" dxfId="7" priority="5">
      <formula>ISBLANK(C34)</formula>
    </cfRule>
  </conditionalFormatting>
  <conditionalFormatting sqref="C64:M72">
    <cfRule type="expression" dxfId="6" priority="1">
      <formula>ISBLANK(C64)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69"/>
  <sheetViews>
    <sheetView showGridLines="0" tabSelected="1" zoomScale="90" zoomScaleNormal="90" workbookViewId="0">
      <pane xSplit="2" ySplit="1" topLeftCell="C29" activePane="bottomRight" state="frozen"/>
      <selection activeCell="C17" sqref="C17"/>
      <selection pane="topRight" activeCell="C17" sqref="C17"/>
      <selection pane="bottomLeft" activeCell="C17" sqref="C17"/>
      <selection pane="bottomRight" activeCell="G13" sqref="G13"/>
    </sheetView>
  </sheetViews>
  <sheetFormatPr defaultColWidth="12.33203125" defaultRowHeight="15" customHeight="1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>
      <c r="A1" s="3"/>
      <c r="B1" s="65" t="str">
        <f>Thesis!E17</f>
        <v>CNY</v>
      </c>
      <c r="C1" s="40" t="s">
        <v>19</v>
      </c>
      <c r="D1" s="40"/>
      <c r="E1" s="40"/>
      <c r="F1" s="40"/>
      <c r="G1" s="28">
        <f>Data!C1</f>
        <v>45657</v>
      </c>
      <c r="H1" s="28">
        <f>EOMONTH(EDATE(G1,-12),0)</f>
        <v>45291</v>
      </c>
      <c r="I1" s="28">
        <f t="shared" ref="I1:Q1" si="0">EOMONTH(EDATE(H1,-12),0)</f>
        <v>44926</v>
      </c>
      <c r="J1" s="28">
        <f t="shared" si="0"/>
        <v>44561</v>
      </c>
      <c r="K1" s="28">
        <f t="shared" si="0"/>
        <v>44196</v>
      </c>
      <c r="L1" s="28">
        <f t="shared" si="0"/>
        <v>43830</v>
      </c>
      <c r="M1" s="28">
        <f t="shared" si="0"/>
        <v>43465</v>
      </c>
      <c r="N1" s="28">
        <f t="shared" si="0"/>
        <v>43100</v>
      </c>
      <c r="O1" s="28">
        <f t="shared" si="0"/>
        <v>42735</v>
      </c>
      <c r="P1" s="28">
        <f t="shared" si="0"/>
        <v>42369</v>
      </c>
      <c r="Q1" s="28">
        <f t="shared" si="0"/>
        <v>42004</v>
      </c>
    </row>
    <row r="2" spans="1:17" ht="15.75" customHeight="1">
      <c r="A2" s="3"/>
      <c r="B2" s="41" t="s">
        <v>30</v>
      </c>
      <c r="C2" s="41"/>
      <c r="D2" s="43"/>
      <c r="E2" s="52" t="s">
        <v>21</v>
      </c>
      <c r="F2" s="43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3" spans="1:17" ht="15.75" customHeight="1">
      <c r="A3" s="10"/>
      <c r="B3" s="13" t="s">
        <v>195</v>
      </c>
      <c r="C3" s="77">
        <f>scaling_factor</f>
        <v>1000000</v>
      </c>
      <c r="D3" s="9"/>
      <c r="E3" s="143"/>
      <c r="F3" s="9"/>
      <c r="G3" s="13" t="s">
        <v>196</v>
      </c>
      <c r="H3" s="77">
        <f>scaling_factor</f>
        <v>1000000</v>
      </c>
    </row>
    <row r="4" spans="1:17" ht="15.75" customHeight="1">
      <c r="A4" s="10"/>
      <c r="B4" s="17" t="s">
        <v>162</v>
      </c>
      <c r="C4" s="239">
        <f>C31*C$22</f>
        <v>343835</v>
      </c>
      <c r="D4" s="44"/>
      <c r="E4" s="141"/>
      <c r="F4" s="44"/>
      <c r="G4" s="161">
        <f>IF(Data!C4="","",Data!C4)</f>
        <v>343835</v>
      </c>
      <c r="H4" s="161">
        <f>IF(Data!D4="","",Data!D4)</f>
        <v>349079</v>
      </c>
      <c r="I4" s="161">
        <f>IF(Data!E4="","",Data!E4)</f>
        <v>328746</v>
      </c>
      <c r="J4" s="161">
        <f>IF(Data!F4="","",Data!F4)</f>
        <v>315158</v>
      </c>
      <c r="K4" s="161">
        <f>IF(Data!G4="","",Data!G4)</f>
        <v>303478</v>
      </c>
      <c r="L4" s="161">
        <f>IF(Data!H4="","",Data!H4)</f>
        <v>269677</v>
      </c>
      <c r="M4" s="161">
        <f>IF(Data!I4="","",Data!I4)</f>
        <v>270578</v>
      </c>
      <c r="N4" s="161">
        <f>IF(Data!J4="","",Data!J4)</f>
        <v>252644</v>
      </c>
      <c r="O4" s="161">
        <f>IF(Data!K4="","",Data!K4)</f>
        <v>236279</v>
      </c>
      <c r="P4" s="161">
        <f>IF(Data!L4="","",Data!L4)</f>
        <v>255972</v>
      </c>
      <c r="Q4" s="161" t="str">
        <f>IF(Data!M4="","",Data!M4)</f>
        <v/>
      </c>
    </row>
    <row r="5" spans="1:17" ht="15.75" customHeight="1">
      <c r="A5" s="10"/>
      <c r="B5" s="2" t="s">
        <v>163</v>
      </c>
      <c r="C5" s="239">
        <f>C32*C$22</f>
        <v>61890</v>
      </c>
      <c r="E5" s="143"/>
      <c r="G5" s="161">
        <f>IF(Data!C5="","",Data!C5)</f>
        <v>61890</v>
      </c>
      <c r="H5" s="161">
        <f>IF(Data!D5="","",Data!D5)</f>
        <v>62009</v>
      </c>
      <c r="I5" s="161">
        <f>IF(Data!E5="","",Data!E5)</f>
        <v>74823</v>
      </c>
      <c r="J5" s="161">
        <f>IF(Data!F5="","",Data!F5)</f>
        <v>73350</v>
      </c>
      <c r="K5" s="161">
        <f>IF(Data!G5="","",Data!G5)</f>
        <v>57536</v>
      </c>
      <c r="L5" s="161">
        <f>IF(Data!H5="","",Data!H5)</f>
        <v>76564</v>
      </c>
      <c r="M5" s="161">
        <f>IF(Data!I5="","",Data!I5)</f>
        <v>61222</v>
      </c>
      <c r="N5" s="161">
        <f>IF(Data!J5="","",Data!J5)</f>
        <v>50549</v>
      </c>
      <c r="O5" s="161">
        <f>IF(Data!K5="","",Data!K5)</f>
        <v>39074</v>
      </c>
      <c r="P5" s="161">
        <f>IF(Data!L5="","",Data!L5)</f>
        <v>21559</v>
      </c>
      <c r="Q5" s="161" t="str">
        <f>IF(Data!M5="","",Data!M5)</f>
        <v/>
      </c>
    </row>
    <row r="6" spans="1:17" ht="15.75" customHeight="1">
      <c r="A6" s="10"/>
      <c r="B6" s="22" t="s">
        <v>164</v>
      </c>
      <c r="C6" s="158">
        <f>C4+C5</f>
        <v>405725</v>
      </c>
      <c r="E6" s="143"/>
      <c r="G6" s="158">
        <f>IF(G4="","",SUM(G4+G5))</f>
        <v>405725</v>
      </c>
      <c r="H6" s="158">
        <f t="shared" ref="H6:Q6" si="1">IF(H4="","",SUM(H4+H5))</f>
        <v>411088</v>
      </c>
      <c r="I6" s="158">
        <f t="shared" si="1"/>
        <v>403569</v>
      </c>
      <c r="J6" s="158">
        <f t="shared" si="1"/>
        <v>388508</v>
      </c>
      <c r="K6" s="158">
        <f t="shared" si="1"/>
        <v>361014</v>
      </c>
      <c r="L6" s="158">
        <f t="shared" si="1"/>
        <v>346241</v>
      </c>
      <c r="M6" s="158">
        <f t="shared" si="1"/>
        <v>331800</v>
      </c>
      <c r="N6" s="158">
        <f t="shared" si="1"/>
        <v>303193</v>
      </c>
      <c r="O6" s="158">
        <f t="shared" si="1"/>
        <v>275353</v>
      </c>
      <c r="P6" s="158">
        <f t="shared" si="1"/>
        <v>277531</v>
      </c>
      <c r="Q6" s="158" t="str">
        <f t="shared" si="1"/>
        <v/>
      </c>
    </row>
    <row r="7" spans="1:17" ht="15.75" customHeight="1">
      <c r="A7" s="10"/>
      <c r="B7" s="8" t="s">
        <v>182</v>
      </c>
      <c r="C7" s="156">
        <f>G7</f>
        <v>-62611</v>
      </c>
      <c r="E7" s="143"/>
      <c r="G7" s="157">
        <f>Data!C37</f>
        <v>-62611</v>
      </c>
      <c r="H7" s="157">
        <f>Data!D37</f>
        <v>-63194</v>
      </c>
      <c r="I7" s="157">
        <f>Data!E37</f>
        <v>-65314</v>
      </c>
      <c r="J7" s="157">
        <f>Data!F37</f>
        <v>-56820</v>
      </c>
      <c r="K7" s="157">
        <f>Data!G37</f>
        <v>-49077</v>
      </c>
      <c r="L7" s="157">
        <f>Data!H37</f>
        <v>-47190</v>
      </c>
      <c r="M7" s="157">
        <f>Data!I37</f>
        <v>-42561</v>
      </c>
      <c r="N7" s="157">
        <f>Data!J37</f>
        <v>-38680</v>
      </c>
      <c r="O7" s="157">
        <f>Data!K37</f>
        <v>-36735</v>
      </c>
      <c r="P7" s="157">
        <f>Data!L37</f>
        <v>-33323</v>
      </c>
      <c r="Q7" s="157" t="str">
        <f>Data!M37</f>
        <v/>
      </c>
    </row>
    <row r="8" spans="1:17" ht="15.75" customHeight="1">
      <c r="A8" s="10"/>
      <c r="B8" s="8" t="s">
        <v>183</v>
      </c>
      <c r="C8" s="239">
        <f>C6*C49</f>
        <v>0</v>
      </c>
      <c r="E8" s="143"/>
      <c r="G8" s="157">
        <f>Data!C38</f>
        <v>0</v>
      </c>
      <c r="H8" s="157">
        <f>Data!D38</f>
        <v>0</v>
      </c>
      <c r="I8" s="157">
        <f>Data!E38</f>
        <v>0</v>
      </c>
      <c r="J8" s="157">
        <f>Data!F38</f>
        <v>0</v>
      </c>
      <c r="K8" s="157">
        <f>Data!G38</f>
        <v>0</v>
      </c>
      <c r="L8" s="157">
        <f>Data!H38</f>
        <v>0</v>
      </c>
      <c r="M8" s="157">
        <f>Data!I38</f>
        <v>0</v>
      </c>
      <c r="N8" s="157">
        <f>Data!J38</f>
        <v>0</v>
      </c>
      <c r="O8" s="157">
        <f>Data!K38</f>
        <v>0</v>
      </c>
      <c r="P8" s="157">
        <f>Data!L38</f>
        <v>0</v>
      </c>
      <c r="Q8" s="157" t="str">
        <f>Data!M38</f>
        <v/>
      </c>
    </row>
    <row r="9" spans="1:17" ht="15.75" customHeight="1">
      <c r="A9" s="10"/>
      <c r="B9" s="20" t="s">
        <v>205</v>
      </c>
      <c r="C9" s="159">
        <f>SUM(C6:C8)</f>
        <v>343114</v>
      </c>
      <c r="D9" s="46"/>
      <c r="E9" s="147"/>
      <c r="F9" s="46"/>
      <c r="G9" s="158">
        <f>IF(G$4="","",SUM(G6:G8))</f>
        <v>343114</v>
      </c>
      <c r="H9" s="158">
        <f t="shared" ref="H9:Q9" si="2">IF(H$4="","",SUM(H6:H8))</f>
        <v>347894</v>
      </c>
      <c r="I9" s="158">
        <f t="shared" si="2"/>
        <v>338255</v>
      </c>
      <c r="J9" s="158">
        <f t="shared" si="2"/>
        <v>331688</v>
      </c>
      <c r="K9" s="158">
        <f t="shared" si="2"/>
        <v>311937</v>
      </c>
      <c r="L9" s="158">
        <f t="shared" si="2"/>
        <v>299051</v>
      </c>
      <c r="M9" s="158">
        <f t="shared" si="2"/>
        <v>289239</v>
      </c>
      <c r="N9" s="158">
        <f t="shared" si="2"/>
        <v>264513</v>
      </c>
      <c r="O9" s="158">
        <f t="shared" si="2"/>
        <v>238618</v>
      </c>
      <c r="P9" s="158">
        <f t="shared" si="2"/>
        <v>244208</v>
      </c>
      <c r="Q9" s="158" t="str">
        <f t="shared" si="2"/>
        <v/>
      </c>
    </row>
    <row r="10" spans="1:17" ht="15.75" customHeight="1">
      <c r="A10" s="10"/>
      <c r="B10" s="18" t="s">
        <v>169</v>
      </c>
      <c r="C10" s="239">
        <f>C23*C34</f>
        <v>0</v>
      </c>
      <c r="D10" s="45"/>
      <c r="E10" s="142"/>
      <c r="F10" s="45"/>
      <c r="G10" s="161">
        <f>Data!C47</f>
        <v>0</v>
      </c>
      <c r="H10" s="161">
        <f>Data!D47</f>
        <v>0</v>
      </c>
      <c r="I10" s="161">
        <f>Data!E47</f>
        <v>0</v>
      </c>
      <c r="J10" s="161">
        <f>Data!F47</f>
        <v>0</v>
      </c>
      <c r="K10" s="161">
        <f>Data!G47</f>
        <v>0</v>
      </c>
      <c r="L10" s="161">
        <f>Data!H47</f>
        <v>0</v>
      </c>
      <c r="M10" s="161">
        <f>Data!I47</f>
        <v>0</v>
      </c>
      <c r="N10" s="161">
        <f>Data!J47</f>
        <v>0</v>
      </c>
      <c r="O10" s="161">
        <f>Data!K47</f>
        <v>0</v>
      </c>
      <c r="P10" s="161">
        <f>Data!L47</f>
        <v>0</v>
      </c>
      <c r="Q10" s="161" t="str">
        <f>Data!M47</f>
        <v/>
      </c>
    </row>
    <row r="11" spans="1:17" ht="15.75" customHeight="1">
      <c r="A11" s="10"/>
      <c r="B11" s="2" t="s">
        <v>161</v>
      </c>
      <c r="C11" s="156">
        <f>C25*C37</f>
        <v>-190333.38</v>
      </c>
      <c r="E11" s="143"/>
      <c r="G11" s="157">
        <f>Data!C41</f>
        <v>-195728</v>
      </c>
      <c r="H11" s="157">
        <f>Data!D41</f>
        <v>-202576</v>
      </c>
      <c r="I11" s="157">
        <f>Data!E41</f>
        <v>-183473</v>
      </c>
      <c r="J11" s="157">
        <f>Data!F41</f>
        <v>-169479</v>
      </c>
      <c r="K11" s="157">
        <f>Data!G41</f>
        <v>-159963</v>
      </c>
      <c r="L11" s="157">
        <f>Data!H41</f>
        <v>-166689</v>
      </c>
      <c r="M11" s="157">
        <f>Data!I41</f>
        <v>-174921</v>
      </c>
      <c r="N11" s="157">
        <f>Data!J41</f>
        <v>-164193</v>
      </c>
      <c r="O11" s="157">
        <f>Data!K41</f>
        <v>-123960</v>
      </c>
      <c r="P11" s="157">
        <f>Data!L41</f>
        <v>-136138</v>
      </c>
      <c r="Q11" s="157" t="str">
        <f>Data!M41</f>
        <v/>
      </c>
    </row>
    <row r="12" spans="1:17" ht="15.75" customHeight="1">
      <c r="A12" s="10"/>
      <c r="B12" s="54" t="s">
        <v>55</v>
      </c>
      <c r="C12" s="158">
        <f>SUM(C9:C11)</f>
        <v>152780.62</v>
      </c>
      <c r="E12" s="143"/>
      <c r="G12" s="158">
        <f t="shared" ref="G12:Q12" si="3">IF(G$4="","",SUM(G9:G11))</f>
        <v>147386</v>
      </c>
      <c r="H12" s="158">
        <f t="shared" si="3"/>
        <v>145318</v>
      </c>
      <c r="I12" s="158">
        <f t="shared" si="3"/>
        <v>154782</v>
      </c>
      <c r="J12" s="158">
        <f t="shared" si="3"/>
        <v>162209</v>
      </c>
      <c r="K12" s="158">
        <f t="shared" si="3"/>
        <v>151974</v>
      </c>
      <c r="L12" s="158">
        <f t="shared" si="3"/>
        <v>132362</v>
      </c>
      <c r="M12" s="158">
        <f t="shared" si="3"/>
        <v>114318</v>
      </c>
      <c r="N12" s="158">
        <f t="shared" si="3"/>
        <v>100320</v>
      </c>
      <c r="O12" s="158">
        <f t="shared" si="3"/>
        <v>114658</v>
      </c>
      <c r="P12" s="158">
        <f t="shared" si="3"/>
        <v>108070</v>
      </c>
      <c r="Q12" s="158" t="str">
        <f t="shared" si="3"/>
        <v/>
      </c>
    </row>
    <row r="13" spans="1:17" ht="15.75" customHeight="1">
      <c r="A13" s="10"/>
      <c r="B13" s="2" t="s">
        <v>22</v>
      </c>
      <c r="C13" s="157">
        <f>-C12*C41</f>
        <v>-38195.154999999999</v>
      </c>
      <c r="E13" s="143"/>
      <c r="G13" s="157">
        <f>Data!C42</f>
        <v>-9629</v>
      </c>
      <c r="H13" s="157">
        <f>Data!D42</f>
        <v>-6675</v>
      </c>
      <c r="I13" s="157">
        <f>Data!E42</f>
        <v>-13807</v>
      </c>
      <c r="J13" s="157">
        <f>Data!F42</f>
        <v>-11494</v>
      </c>
      <c r="K13" s="157">
        <f>Data!G42</f>
        <v>-8956</v>
      </c>
      <c r="L13" s="157">
        <f>Data!H42</f>
        <v>-7801</v>
      </c>
      <c r="M13" s="157">
        <f>Data!I42</f>
        <v>-6832</v>
      </c>
      <c r="N13" s="157">
        <f>Data!J42</f>
        <v>-7018</v>
      </c>
      <c r="O13" s="157">
        <f>Data!K42</f>
        <v>-9598</v>
      </c>
      <c r="P13" s="157">
        <f>Data!L42</f>
        <v>-12594</v>
      </c>
      <c r="Q13" s="157" t="str">
        <f>Data!M42</f>
        <v/>
      </c>
    </row>
    <row r="14" spans="1:17" ht="15.75" customHeight="1">
      <c r="A14" s="10"/>
      <c r="B14" s="30" t="s">
        <v>190</v>
      </c>
      <c r="C14" s="157">
        <f>C6*C55</f>
        <v>-1186.3426235753191</v>
      </c>
      <c r="D14" s="47"/>
      <c r="E14" s="148"/>
      <c r="F14" s="47"/>
      <c r="G14" s="161">
        <f>Data!C44</f>
        <v>-286</v>
      </c>
      <c r="H14" s="161">
        <f>Data!D44</f>
        <v>-538</v>
      </c>
      <c r="I14" s="161">
        <f>Data!E44</f>
        <v>-1037</v>
      </c>
      <c r="J14" s="161">
        <f>Data!F44</f>
        <v>-1136</v>
      </c>
      <c r="K14" s="161">
        <f>Data!G44</f>
        <v>-1055</v>
      </c>
      <c r="L14" s="161">
        <f>Data!H44</f>
        <v>-834</v>
      </c>
      <c r="M14" s="161">
        <f>Data!I44</f>
        <v>-625</v>
      </c>
      <c r="N14" s="161">
        <f>Data!J44</f>
        <v>-535</v>
      </c>
      <c r="O14" s="161">
        <f>Data!K44</f>
        <v>-477</v>
      </c>
      <c r="P14" s="161">
        <f>Data!L44</f>
        <v>-443</v>
      </c>
      <c r="Q14" s="161" t="str">
        <f>Data!M44</f>
        <v/>
      </c>
    </row>
    <row r="15" spans="1:17" ht="15.75" customHeight="1">
      <c r="A15" s="10"/>
      <c r="B15" s="31" t="s">
        <v>170</v>
      </c>
      <c r="C15" s="160">
        <f>SUM(C12:C14)</f>
        <v>113399.12237642468</v>
      </c>
      <c r="D15" s="48"/>
      <c r="E15" s="149"/>
      <c r="F15" s="48"/>
      <c r="G15" s="158">
        <f t="shared" ref="G15:Q15" si="4">IF(G$4="","",SUM(G12:G14))</f>
        <v>137471</v>
      </c>
      <c r="H15" s="158">
        <f t="shared" si="4"/>
        <v>138105</v>
      </c>
      <c r="I15" s="158">
        <f t="shared" si="4"/>
        <v>139938</v>
      </c>
      <c r="J15" s="158">
        <f t="shared" si="4"/>
        <v>149579</v>
      </c>
      <c r="K15" s="158">
        <f t="shared" si="4"/>
        <v>141963</v>
      </c>
      <c r="L15" s="158">
        <f t="shared" si="4"/>
        <v>123727</v>
      </c>
      <c r="M15" s="158">
        <f t="shared" si="4"/>
        <v>106861</v>
      </c>
      <c r="N15" s="158">
        <f t="shared" si="4"/>
        <v>92767</v>
      </c>
      <c r="O15" s="158">
        <f t="shared" si="4"/>
        <v>104583</v>
      </c>
      <c r="P15" s="158">
        <f t="shared" si="4"/>
        <v>95033</v>
      </c>
      <c r="Q15" s="158" t="str">
        <f t="shared" si="4"/>
        <v/>
      </c>
    </row>
    <row r="16" spans="1:17" ht="15.75" customHeight="1">
      <c r="A16" s="10"/>
      <c r="B16" s="2" t="s">
        <v>207</v>
      </c>
      <c r="C16" s="157">
        <f>C4*C57</f>
        <v>0</v>
      </c>
      <c r="E16" s="143"/>
      <c r="G16" s="157">
        <f>IF(Data!C50="","",-Data!C50)</f>
        <v>0</v>
      </c>
      <c r="H16" s="157">
        <f>IF(Data!D50="","",-Data!D50)</f>
        <v>0</v>
      </c>
      <c r="I16" s="157">
        <f>IF(Data!E50="","",-Data!E50)</f>
        <v>0</v>
      </c>
      <c r="J16" s="157">
        <f>IF(Data!F50="","",-Data!F50)</f>
        <v>0</v>
      </c>
      <c r="K16" s="157">
        <f>IF(Data!G50="","",-Data!G50)</f>
        <v>0</v>
      </c>
      <c r="L16" s="157">
        <f>IF(Data!H50="","",-Data!H50)</f>
        <v>0</v>
      </c>
      <c r="M16" s="157">
        <f>IF(Data!I50="","",-Data!I50)</f>
        <v>0</v>
      </c>
      <c r="N16" s="157">
        <f>IF(Data!J50="","",-Data!J50)</f>
        <v>0</v>
      </c>
      <c r="O16" s="157">
        <f>IF(Data!K50="","",-Data!K50)</f>
        <v>0</v>
      </c>
      <c r="P16" s="157">
        <f>IF(Data!L50="","",-Data!L50)</f>
        <v>0</v>
      </c>
      <c r="Q16" s="157" t="str">
        <f>IF(Data!M50="","",-Data!M50)</f>
        <v/>
      </c>
    </row>
    <row r="17" spans="1:17" ht="15.75" customHeight="1">
      <c r="A17" s="10"/>
      <c r="B17" s="22" t="s">
        <v>191</v>
      </c>
      <c r="C17" s="158">
        <f>C15+C16</f>
        <v>113399.12237642468</v>
      </c>
      <c r="D17" s="18"/>
      <c r="E17" s="140"/>
      <c r="F17" s="18"/>
      <c r="G17" s="162">
        <f>IF(G$4="","",G15+G16)</f>
        <v>137471</v>
      </c>
      <c r="H17" s="162">
        <f t="shared" ref="H17:Q17" si="5">IF(H$4="","",H15+H16)</f>
        <v>138105</v>
      </c>
      <c r="I17" s="162">
        <f t="shared" si="5"/>
        <v>139938</v>
      </c>
      <c r="J17" s="162">
        <f t="shared" si="5"/>
        <v>149579</v>
      </c>
      <c r="K17" s="162">
        <f t="shared" si="5"/>
        <v>141963</v>
      </c>
      <c r="L17" s="162">
        <f t="shared" si="5"/>
        <v>123727</v>
      </c>
      <c r="M17" s="162">
        <f t="shared" si="5"/>
        <v>106861</v>
      </c>
      <c r="N17" s="162">
        <f t="shared" si="5"/>
        <v>92767</v>
      </c>
      <c r="O17" s="162">
        <f t="shared" si="5"/>
        <v>104583</v>
      </c>
      <c r="P17" s="162">
        <f t="shared" si="5"/>
        <v>95033</v>
      </c>
      <c r="Q17" s="162" t="str">
        <f t="shared" si="5"/>
        <v/>
      </c>
    </row>
    <row r="18" spans="1:17" ht="15.75" customHeight="1">
      <c r="A18" s="10"/>
      <c r="B18" s="18"/>
      <c r="C18" s="49"/>
      <c r="D18" s="18"/>
      <c r="E18" s="53"/>
      <c r="F18" s="18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</row>
    <row r="19" spans="1:17" ht="15.75" customHeight="1">
      <c r="A19" s="10"/>
      <c r="B19" s="41" t="s">
        <v>59</v>
      </c>
      <c r="C19" s="41"/>
      <c r="D19" s="43"/>
      <c r="E19" s="52" t="s">
        <v>21</v>
      </c>
      <c r="F19" s="43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</row>
    <row r="20" spans="1:17" ht="15.75" customHeight="1">
      <c r="A20" s="10"/>
      <c r="B20" s="50" t="s">
        <v>3</v>
      </c>
      <c r="E20" s="143"/>
      <c r="G20" s="70"/>
    </row>
    <row r="21" spans="1:17" ht="15.75" customHeight="1">
      <c r="A21" s="10"/>
      <c r="B21" s="17" t="s">
        <v>1</v>
      </c>
      <c r="C21" s="165">
        <f t="shared" ref="C21:C27" si="6">G21</f>
        <v>10507898</v>
      </c>
      <c r="D21" s="17"/>
      <c r="E21" s="144"/>
      <c r="F21" s="17"/>
      <c r="G21" s="161">
        <f>Data!C64</f>
        <v>10507898</v>
      </c>
      <c r="H21" s="161">
        <f>Data!D64</f>
        <v>10158326</v>
      </c>
      <c r="I21" s="161">
        <f>Data!E64</f>
        <v>9266671</v>
      </c>
      <c r="J21" s="161">
        <f>Data!F64</f>
        <v>8603024</v>
      </c>
      <c r="K21" s="161">
        <f>Data!G64</f>
        <v>7894000</v>
      </c>
      <c r="L21" s="161">
        <f>Data!H64</f>
        <v>7145681</v>
      </c>
      <c r="M21" s="161">
        <f>Data!I64</f>
        <v>6711657</v>
      </c>
      <c r="N21" s="161">
        <f>Data!J64</f>
        <v>6416842</v>
      </c>
      <c r="O21" s="161">
        <f>Data!K64</f>
        <v>6085895</v>
      </c>
      <c r="P21" s="161">
        <f>Data!L64</f>
        <v>5298880</v>
      </c>
      <c r="Q21" s="161" t="str">
        <f>Data!M64</f>
        <v/>
      </c>
    </row>
    <row r="22" spans="1:17" ht="15.75" customHeight="1">
      <c r="A22" s="10"/>
      <c r="B22" s="20" t="s">
        <v>178</v>
      </c>
      <c r="C22" s="233">
        <f t="shared" si="6"/>
        <v>10503981</v>
      </c>
      <c r="D22" s="234"/>
      <c r="E22" s="235"/>
      <c r="F22" s="234"/>
      <c r="G22" s="162">
        <f>Data!C66</f>
        <v>10503981</v>
      </c>
      <c r="H22" s="162">
        <f>Data!D66</f>
        <v>10158326</v>
      </c>
      <c r="I22" s="162">
        <f>Data!E66</f>
        <v>9266671</v>
      </c>
      <c r="J22" s="162">
        <f>Data!F66</f>
        <v>8603024</v>
      </c>
      <c r="K22" s="162">
        <f>Data!G66</f>
        <v>7894000</v>
      </c>
      <c r="L22" s="162">
        <f>Data!H66</f>
        <v>7145681</v>
      </c>
      <c r="M22" s="162">
        <f>Data!I66</f>
        <v>6711657</v>
      </c>
      <c r="N22" s="162">
        <f>Data!J66</f>
        <v>6416842</v>
      </c>
      <c r="O22" s="162">
        <f>Data!K66</f>
        <v>6085895</v>
      </c>
      <c r="P22" s="162">
        <f>Data!L66</f>
        <v>5298880</v>
      </c>
      <c r="Q22" s="162" t="str">
        <f>Data!M66</f>
        <v/>
      </c>
    </row>
    <row r="23" spans="1:17" ht="15.75" customHeight="1">
      <c r="A23" s="10"/>
      <c r="B23" s="20" t="s">
        <v>194</v>
      </c>
      <c r="C23" s="233">
        <f t="shared" si="6"/>
        <v>3917</v>
      </c>
      <c r="D23" s="234"/>
      <c r="E23" s="235"/>
      <c r="F23" s="234"/>
      <c r="G23" s="162">
        <f>Data!C65</f>
        <v>3917</v>
      </c>
      <c r="H23" s="162">
        <f>Data!D65</f>
        <v>0</v>
      </c>
      <c r="I23" s="162">
        <f>Data!E65</f>
        <v>0</v>
      </c>
      <c r="J23" s="162">
        <f>Data!F65</f>
        <v>0</v>
      </c>
      <c r="K23" s="162">
        <f>Data!G65</f>
        <v>0</v>
      </c>
      <c r="L23" s="162">
        <f>Data!H65</f>
        <v>0</v>
      </c>
      <c r="M23" s="162">
        <f>Data!I65</f>
        <v>0</v>
      </c>
      <c r="N23" s="162">
        <f>Data!J65</f>
        <v>0</v>
      </c>
      <c r="O23" s="162">
        <f>Data!K65</f>
        <v>0</v>
      </c>
      <c r="P23" s="162">
        <f>Data!L65</f>
        <v>0</v>
      </c>
      <c r="Q23" s="162" t="str">
        <f>Data!M65</f>
        <v/>
      </c>
    </row>
    <row r="24" spans="1:17" ht="15.75" customHeight="1">
      <c r="A24" s="10"/>
      <c r="B24" s="17" t="s">
        <v>8</v>
      </c>
      <c r="C24" s="165">
        <f t="shared" si="6"/>
        <v>-9614287</v>
      </c>
      <c r="D24" s="17"/>
      <c r="E24" s="144"/>
      <c r="F24" s="17"/>
      <c r="G24" s="161">
        <f>Data!C68</f>
        <v>-9614287</v>
      </c>
      <c r="H24" s="161">
        <f>Data!D68</f>
        <v>-9350607</v>
      </c>
      <c r="I24" s="161">
        <f>Data!E68</f>
        <v>-8509373</v>
      </c>
      <c r="J24" s="161">
        <f>Data!F68</f>
        <v>-7908726</v>
      </c>
      <c r="K24" s="161">
        <f>Data!G68</f>
        <v>-7269197</v>
      </c>
      <c r="L24" s="161">
        <f>Data!H68</f>
        <v>-6596029</v>
      </c>
      <c r="M24" s="161">
        <f>Data!I68</f>
        <v>-6239073</v>
      </c>
      <c r="N24" s="161">
        <f>Data!J68</f>
        <v>-5994090</v>
      </c>
      <c r="O24" s="161">
        <f>Data!K68</f>
        <v>-5731485</v>
      </c>
      <c r="P24" s="161">
        <f>Data!L68</f>
        <v>-4981503</v>
      </c>
      <c r="Q24" s="161" t="str">
        <f>Data!M68</f>
        <v/>
      </c>
    </row>
    <row r="25" spans="1:17" s="9" customFormat="1" ht="15.75" customHeight="1">
      <c r="A25" s="237"/>
      <c r="B25" s="20" t="s">
        <v>184</v>
      </c>
      <c r="C25" s="233">
        <f t="shared" si="6"/>
        <v>-9516669</v>
      </c>
      <c r="D25" s="234"/>
      <c r="E25" s="235"/>
      <c r="F25" s="234"/>
      <c r="G25" s="162">
        <f>Data!C69</f>
        <v>-9516669</v>
      </c>
      <c r="H25" s="162">
        <f>Data!D69</f>
        <v>0</v>
      </c>
      <c r="I25" s="162">
        <f>Data!E69</f>
        <v>0</v>
      </c>
      <c r="J25" s="162">
        <f>Data!F69</f>
        <v>0</v>
      </c>
      <c r="K25" s="162">
        <f>Data!G69</f>
        <v>0</v>
      </c>
      <c r="L25" s="162">
        <f>Data!H69</f>
        <v>0</v>
      </c>
      <c r="M25" s="162">
        <f>Data!I69</f>
        <v>0</v>
      </c>
      <c r="N25" s="162">
        <f>Data!J69</f>
        <v>0</v>
      </c>
      <c r="O25" s="162">
        <f>Data!K69</f>
        <v>0</v>
      </c>
      <c r="P25" s="162">
        <f>Data!L69</f>
        <v>0</v>
      </c>
      <c r="Q25" s="162" t="str">
        <f>Data!M69</f>
        <v/>
      </c>
    </row>
    <row r="26" spans="1:17" ht="15.75" customHeight="1">
      <c r="A26" s="10"/>
      <c r="B26" s="17" t="s">
        <v>4</v>
      </c>
      <c r="C26" s="165">
        <f t="shared" si="6"/>
        <v>893611</v>
      </c>
      <c r="D26" s="17"/>
      <c r="E26" s="144"/>
      <c r="F26" s="17"/>
      <c r="G26" s="161">
        <f>IF(G$4="","",G21+G24)</f>
        <v>893611</v>
      </c>
      <c r="H26" s="161">
        <f t="shared" ref="H26:Q26" si="7">IF(H$4="","",H21+H24)</f>
        <v>807719</v>
      </c>
      <c r="I26" s="161">
        <f t="shared" si="7"/>
        <v>757298</v>
      </c>
      <c r="J26" s="161">
        <f t="shared" si="7"/>
        <v>694298</v>
      </c>
      <c r="K26" s="161">
        <f t="shared" si="7"/>
        <v>624803</v>
      </c>
      <c r="L26" s="161">
        <f t="shared" si="7"/>
        <v>549652</v>
      </c>
      <c r="M26" s="161">
        <f t="shared" si="7"/>
        <v>472584</v>
      </c>
      <c r="N26" s="161">
        <f t="shared" si="7"/>
        <v>422752</v>
      </c>
      <c r="O26" s="161">
        <f t="shared" si="7"/>
        <v>354410</v>
      </c>
      <c r="P26" s="161">
        <f t="shared" si="7"/>
        <v>317377</v>
      </c>
      <c r="Q26" s="161" t="str">
        <f t="shared" si="7"/>
        <v/>
      </c>
    </row>
    <row r="27" spans="1:17" s="9" customFormat="1" ht="15.75" customHeight="1">
      <c r="A27" s="237"/>
      <c r="B27" s="20" t="s">
        <v>189</v>
      </c>
      <c r="C27" s="233">
        <f t="shared" si="6"/>
        <v>-11703</v>
      </c>
      <c r="D27" s="234"/>
      <c r="E27" s="235"/>
      <c r="F27" s="234"/>
      <c r="G27" s="162">
        <f>Data!C72</f>
        <v>-11703</v>
      </c>
      <c r="H27" s="162">
        <f>Data!D72</f>
        <v>-11495</v>
      </c>
      <c r="I27" s="162">
        <f>Data!E72</f>
        <v>-11111</v>
      </c>
      <c r="J27" s="162">
        <f>Data!F72</f>
        <v>-10187</v>
      </c>
      <c r="K27" s="162">
        <f>Data!G72</f>
        <v>-9217</v>
      </c>
      <c r="L27" s="162">
        <f>Data!H72</f>
        <v>-8292</v>
      </c>
      <c r="M27" s="162">
        <f>Data!I72</f>
        <v>-6631</v>
      </c>
      <c r="N27" s="162">
        <f>Data!J72</f>
        <v>-5857</v>
      </c>
      <c r="O27" s="162">
        <f>Data!K72</f>
        <v>-4281</v>
      </c>
      <c r="P27" s="162">
        <f>Data!L72</f>
        <v>-3729</v>
      </c>
      <c r="Q27" s="162" t="str">
        <f>Data!M72</f>
        <v/>
      </c>
    </row>
    <row r="28" spans="1:17" ht="15.75" customHeight="1">
      <c r="A28" s="10"/>
      <c r="B28" s="238" t="s">
        <v>190</v>
      </c>
      <c r="C28" s="69">
        <f>C27/C26</f>
        <v>-1.3096302529847999E-2</v>
      </c>
      <c r="D28" s="17"/>
      <c r="E28" s="144"/>
      <c r="F28" s="17"/>
      <c r="G28" s="6">
        <f>IF(G$4="","",G27/G26)</f>
        <v>-1.3096302529847999E-2</v>
      </c>
      <c r="H28" s="6">
        <f t="shared" ref="H28:Q28" si="8">IF(H$4="","",H27/H26)</f>
        <v>-1.423143444688066E-2</v>
      </c>
      <c r="I28" s="6">
        <f t="shared" si="8"/>
        <v>-1.4671899305161244E-2</v>
      </c>
      <c r="J28" s="6">
        <f t="shared" si="8"/>
        <v>-1.467237411025237E-2</v>
      </c>
      <c r="K28" s="6">
        <f t="shared" si="8"/>
        <v>-1.4751849783051618E-2</v>
      </c>
      <c r="L28" s="6">
        <f t="shared" si="8"/>
        <v>-1.5085908902360039E-2</v>
      </c>
      <c r="M28" s="6">
        <f t="shared" si="8"/>
        <v>-1.4031367968445821E-2</v>
      </c>
      <c r="N28" s="6">
        <f t="shared" si="8"/>
        <v>-1.3854458405873894E-2</v>
      </c>
      <c r="O28" s="6">
        <f t="shared" si="8"/>
        <v>-1.2079230270026241E-2</v>
      </c>
      <c r="P28" s="6">
        <f t="shared" si="8"/>
        <v>-1.1749433638858518E-2</v>
      </c>
      <c r="Q28" s="6" t="str">
        <f t="shared" si="8"/>
        <v/>
      </c>
    </row>
    <row r="29" spans="1:17" ht="15.75" customHeight="1">
      <c r="A29" s="10"/>
      <c r="B29" s="54"/>
      <c r="C29" s="55"/>
      <c r="E29" s="143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 ht="15.75" customHeight="1">
      <c r="A30" s="10"/>
      <c r="B30" s="50" t="s">
        <v>165</v>
      </c>
      <c r="E30" s="143"/>
    </row>
    <row r="31" spans="1:17" ht="15.75" customHeight="1">
      <c r="A31" s="10"/>
      <c r="B31" s="18" t="s">
        <v>162</v>
      </c>
      <c r="C31" s="126">
        <f>G31</f>
        <v>3.2733779697430909E-2</v>
      </c>
      <c r="E31" s="143"/>
      <c r="G31" s="15">
        <f t="shared" ref="G31:Q31" si="9">IF(G$22="","",G4/G$22)</f>
        <v>3.2733779697430909E-2</v>
      </c>
      <c r="H31" s="15">
        <f t="shared" si="9"/>
        <v>3.4363831206047135E-2</v>
      </c>
      <c r="I31" s="15">
        <f t="shared" si="9"/>
        <v>3.54761704607836E-2</v>
      </c>
      <c r="J31" s="15">
        <f t="shared" si="9"/>
        <v>3.6633397744792996E-2</v>
      </c>
      <c r="K31" s="15">
        <f t="shared" si="9"/>
        <v>3.8444134785913353E-2</v>
      </c>
      <c r="L31" s="15">
        <f t="shared" si="9"/>
        <v>3.7739859923777735E-2</v>
      </c>
      <c r="M31" s="15">
        <f t="shared" si="9"/>
        <v>4.031463467218304E-2</v>
      </c>
      <c r="N31" s="15">
        <f t="shared" si="9"/>
        <v>3.9372015081561927E-2</v>
      </c>
      <c r="O31" s="15">
        <f t="shared" si="9"/>
        <v>3.8824034920089817E-2</v>
      </c>
      <c r="P31" s="15">
        <f t="shared" si="9"/>
        <v>4.8306812005555894E-2</v>
      </c>
      <c r="Q31" s="15" t="str">
        <f t="shared" si="9"/>
        <v/>
      </c>
    </row>
    <row r="32" spans="1:17" ht="15.75" customHeight="1">
      <c r="A32" s="10"/>
      <c r="B32" s="18" t="s">
        <v>163</v>
      </c>
      <c r="C32" s="126">
        <f>G32</f>
        <v>5.8920517849375392E-3</v>
      </c>
      <c r="E32" s="143"/>
      <c r="G32" s="15">
        <f t="shared" ref="G32:Q32" si="10">IF(G$22="","",G5/G$22)</f>
        <v>5.8920517849375392E-3</v>
      </c>
      <c r="H32" s="15">
        <f t="shared" si="10"/>
        <v>6.1042537914219328E-3</v>
      </c>
      <c r="I32" s="15">
        <f t="shared" si="10"/>
        <v>8.074420684623421E-3</v>
      </c>
      <c r="J32" s="15">
        <f t="shared" si="10"/>
        <v>8.5260717626732176E-3</v>
      </c>
      <c r="K32" s="15">
        <f t="shared" si="10"/>
        <v>7.2885736002026857E-3</v>
      </c>
      <c r="L32" s="15">
        <f t="shared" si="10"/>
        <v>1.0714724040997632E-2</v>
      </c>
      <c r="M32" s="15">
        <f t="shared" si="10"/>
        <v>9.121741471591888E-3</v>
      </c>
      <c r="N32" s="15">
        <f t="shared" si="10"/>
        <v>7.8775509822432907E-3</v>
      </c>
      <c r="O32" s="15">
        <f t="shared" si="10"/>
        <v>6.4204196753312372E-3</v>
      </c>
      <c r="P32" s="15">
        <f t="shared" si="10"/>
        <v>4.0685956277552995E-3</v>
      </c>
      <c r="Q32" s="15" t="str">
        <f t="shared" si="10"/>
        <v/>
      </c>
    </row>
    <row r="33" spans="1:17" ht="15.75" customHeight="1">
      <c r="A33" s="10"/>
      <c r="B33" s="54" t="s">
        <v>164</v>
      </c>
      <c r="C33" s="55">
        <f>C6/C$22</f>
        <v>3.862583148236845E-2</v>
      </c>
      <c r="E33" s="143"/>
      <c r="G33" s="55">
        <f t="shared" ref="G33:Q33" si="11">IF(G$22="","",G6/G$22)</f>
        <v>3.862583148236845E-2</v>
      </c>
      <c r="H33" s="55">
        <f t="shared" si="11"/>
        <v>4.0468084997469074E-2</v>
      </c>
      <c r="I33" s="55">
        <f t="shared" si="11"/>
        <v>4.3550591145407019E-2</v>
      </c>
      <c r="J33" s="55">
        <f t="shared" si="11"/>
        <v>4.5159469507466209E-2</v>
      </c>
      <c r="K33" s="55">
        <f t="shared" si="11"/>
        <v>4.5732708386116039E-2</v>
      </c>
      <c r="L33" s="55">
        <f t="shared" si="11"/>
        <v>4.8454583964775366E-2</v>
      </c>
      <c r="M33" s="55">
        <f t="shared" si="11"/>
        <v>4.9436376143774927E-2</v>
      </c>
      <c r="N33" s="55">
        <f t="shared" si="11"/>
        <v>4.7249566063805218E-2</v>
      </c>
      <c r="O33" s="55">
        <f t="shared" si="11"/>
        <v>4.5244454595421049E-2</v>
      </c>
      <c r="P33" s="55">
        <f t="shared" si="11"/>
        <v>5.2375407633311187E-2</v>
      </c>
      <c r="Q33" s="55" t="str">
        <f t="shared" si="11"/>
        <v/>
      </c>
    </row>
    <row r="34" spans="1:17" ht="15.75" customHeight="1">
      <c r="A34" s="10"/>
      <c r="B34" s="18" t="s">
        <v>169</v>
      </c>
      <c r="C34" s="126">
        <v>0</v>
      </c>
      <c r="E34" s="143"/>
      <c r="G34" s="15">
        <f>IF(G$22="","",G10/G$22)</f>
        <v>0</v>
      </c>
      <c r="H34" s="15">
        <f t="shared" ref="H34:Q34" si="12">IF(H$22="","",H10/H$22)</f>
        <v>0</v>
      </c>
      <c r="I34" s="15">
        <f t="shared" si="12"/>
        <v>0</v>
      </c>
      <c r="J34" s="15">
        <f t="shared" si="12"/>
        <v>0</v>
      </c>
      <c r="K34" s="15">
        <f t="shared" si="12"/>
        <v>0</v>
      </c>
      <c r="L34" s="15">
        <f t="shared" si="12"/>
        <v>0</v>
      </c>
      <c r="M34" s="15">
        <f t="shared" si="12"/>
        <v>0</v>
      </c>
      <c r="N34" s="15">
        <f t="shared" si="12"/>
        <v>0</v>
      </c>
      <c r="O34" s="15">
        <f t="shared" si="12"/>
        <v>0</v>
      </c>
      <c r="P34" s="15">
        <f t="shared" si="12"/>
        <v>0</v>
      </c>
      <c r="Q34" s="15" t="str">
        <f t="shared" si="12"/>
        <v/>
      </c>
    </row>
    <row r="35" spans="1:17" ht="15.75" customHeight="1">
      <c r="A35" s="10"/>
      <c r="E35" s="143"/>
    </row>
    <row r="36" spans="1:17" ht="15.75" customHeight="1">
      <c r="A36" s="10"/>
      <c r="B36" s="56" t="s">
        <v>53</v>
      </c>
      <c r="E36" s="143"/>
      <c r="G36" s="70"/>
    </row>
    <row r="37" spans="1:17" ht="15.75" customHeight="1">
      <c r="A37" s="10"/>
      <c r="B37" s="8" t="s">
        <v>210</v>
      </c>
      <c r="C37" s="63">
        <v>0.02</v>
      </c>
      <c r="E37" s="140"/>
      <c r="G37" s="15">
        <f>IF(G4="","",IFERROR(ABS(G11/G25),0))</f>
        <v>2.0566860106198924E-2</v>
      </c>
      <c r="H37" s="15">
        <f t="shared" ref="H37:Q37" si="13">IF(H4="","",IFERROR(ABS(H11/H25),0))</f>
        <v>0</v>
      </c>
      <c r="I37" s="15">
        <f t="shared" si="13"/>
        <v>0</v>
      </c>
      <c r="J37" s="15">
        <f t="shared" si="13"/>
        <v>0</v>
      </c>
      <c r="K37" s="15">
        <f t="shared" si="13"/>
        <v>0</v>
      </c>
      <c r="L37" s="15">
        <f t="shared" si="13"/>
        <v>0</v>
      </c>
      <c r="M37" s="15">
        <f t="shared" si="13"/>
        <v>0</v>
      </c>
      <c r="N37" s="15">
        <f t="shared" si="13"/>
        <v>0</v>
      </c>
      <c r="O37" s="15">
        <f t="shared" si="13"/>
        <v>0</v>
      </c>
      <c r="P37" s="15">
        <f t="shared" si="13"/>
        <v>0</v>
      </c>
      <c r="Q37" s="15" t="str">
        <f t="shared" si="13"/>
        <v/>
      </c>
    </row>
    <row r="38" spans="1:17" ht="15.75" customHeight="1">
      <c r="A38" s="10"/>
      <c r="B38" s="17" t="s">
        <v>192</v>
      </c>
      <c r="C38" s="32">
        <f>-C9/C11</f>
        <v>1.8027000834010303</v>
      </c>
      <c r="E38" s="143"/>
      <c r="G38" s="32">
        <f>IF(G4="","",-G9/G11)</f>
        <v>1.7530143873130057</v>
      </c>
      <c r="H38" s="32">
        <f t="shared" ref="H38:Q38" si="14">IF(H4="","",-H9/H11)</f>
        <v>1.7173505252349734</v>
      </c>
      <c r="I38" s="32">
        <f t="shared" si="14"/>
        <v>1.8436227673826666</v>
      </c>
      <c r="J38" s="32">
        <f t="shared" si="14"/>
        <v>1.957103829973035</v>
      </c>
      <c r="K38" s="32">
        <f t="shared" si="14"/>
        <v>1.9500572007276682</v>
      </c>
      <c r="L38" s="32">
        <f t="shared" si="14"/>
        <v>1.7940655952102418</v>
      </c>
      <c r="M38" s="32">
        <f t="shared" si="14"/>
        <v>1.6535407412489067</v>
      </c>
      <c r="N38" s="32">
        <f t="shared" si="14"/>
        <v>1.6109882881730646</v>
      </c>
      <c r="O38" s="32">
        <f t="shared" si="14"/>
        <v>1.9249596644078735</v>
      </c>
      <c r="P38" s="32">
        <f t="shared" si="14"/>
        <v>1.7938268521647152</v>
      </c>
      <c r="Q38" s="32" t="str">
        <f t="shared" si="14"/>
        <v/>
      </c>
    </row>
    <row r="39" spans="1:17" ht="15.75" customHeight="1">
      <c r="A39" s="10"/>
      <c r="E39" s="143"/>
    </row>
    <row r="40" spans="1:17" ht="15.75" customHeight="1">
      <c r="A40" s="10"/>
      <c r="B40" s="50" t="s">
        <v>60</v>
      </c>
      <c r="E40" s="143"/>
    </row>
    <row r="41" spans="1:17" ht="15.75" customHeight="1">
      <c r="A41" s="10"/>
      <c r="B41" s="18" t="s">
        <v>58</v>
      </c>
      <c r="C41" s="138">
        <v>0.25</v>
      </c>
      <c r="D41" s="18"/>
      <c r="E41" s="140" t="s">
        <v>107</v>
      </c>
      <c r="F41" s="18"/>
      <c r="G41" s="6">
        <f t="shared" ref="G41:Q41" si="15">IF(G$4="","",-G13/SUM(G9+G10,G11))</f>
        <v>6.5331849700785691E-2</v>
      </c>
      <c r="H41" s="6">
        <f t="shared" si="15"/>
        <v>4.5933745303403571E-2</v>
      </c>
      <c r="I41" s="6">
        <f t="shared" si="15"/>
        <v>8.9202878887725962E-2</v>
      </c>
      <c r="J41" s="6">
        <f t="shared" si="15"/>
        <v>7.0859200167684905E-2</v>
      </c>
      <c r="K41" s="6">
        <f t="shared" si="15"/>
        <v>5.893113295695316E-2</v>
      </c>
      <c r="L41" s="6">
        <f t="shared" si="15"/>
        <v>5.8936854988591893E-2</v>
      </c>
      <c r="M41" s="6">
        <f t="shared" si="15"/>
        <v>5.9763116919470248E-2</v>
      </c>
      <c r="N41" s="6">
        <f t="shared" si="15"/>
        <v>6.9956140350877188E-2</v>
      </c>
      <c r="O41" s="6">
        <f t="shared" si="15"/>
        <v>8.370981527673603E-2</v>
      </c>
      <c r="P41" s="6">
        <f t="shared" si="15"/>
        <v>0.11653557879152401</v>
      </c>
      <c r="Q41" s="6" t="str">
        <f t="shared" si="15"/>
        <v/>
      </c>
    </row>
    <row r="42" spans="1:17" ht="15.75" customHeight="1">
      <c r="A42" s="10"/>
    </row>
    <row r="43" spans="1:17" ht="15.75" customHeight="1">
      <c r="A43" s="10"/>
      <c r="B43" s="41" t="s">
        <v>61</v>
      </c>
      <c r="C43" s="41"/>
      <c r="D43" s="43"/>
      <c r="E43" s="52" t="s">
        <v>21</v>
      </c>
      <c r="F43" s="43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</row>
    <row r="44" spans="1:17" ht="15.75" customHeight="1">
      <c r="A44" s="10"/>
      <c r="B44" s="56" t="s">
        <v>197</v>
      </c>
      <c r="C44" s="49"/>
      <c r="D44" s="18"/>
      <c r="E44" s="140"/>
      <c r="F44" s="18"/>
      <c r="G44" s="70"/>
      <c r="H44" s="12"/>
      <c r="I44" s="12"/>
      <c r="J44" s="12"/>
      <c r="K44" s="12"/>
      <c r="L44" s="12"/>
      <c r="M44" s="12"/>
      <c r="N44" s="12"/>
      <c r="O44" s="12"/>
      <c r="P44" s="12"/>
      <c r="Q44" s="12"/>
    </row>
    <row r="45" spans="1:17" ht="15.75" customHeight="1">
      <c r="A45" s="10"/>
      <c r="B45" s="18" t="s">
        <v>162</v>
      </c>
      <c r="C45" s="60">
        <f>C4/C$6</f>
        <v>0.84745825374329908</v>
      </c>
      <c r="D45" s="18"/>
      <c r="E45" s="140"/>
      <c r="F45" s="18"/>
      <c r="G45" s="6">
        <f t="shared" ref="G45:G55" si="16">IF(G$4="","",G4/G$6)</f>
        <v>0.84745825374329908</v>
      </c>
      <c r="H45" s="6">
        <f t="shared" ref="H45:Q45" si="17">IF(H$4="","",H4/H$6)</f>
        <v>0.84915881757677192</v>
      </c>
      <c r="I45" s="6">
        <f t="shared" si="17"/>
        <v>0.81459676040528384</v>
      </c>
      <c r="J45" s="6">
        <f t="shared" si="17"/>
        <v>0.81120079895394692</v>
      </c>
      <c r="K45" s="6">
        <f t="shared" si="17"/>
        <v>0.84062667929775581</v>
      </c>
      <c r="L45" s="6">
        <f t="shared" si="17"/>
        <v>0.77887078653307951</v>
      </c>
      <c r="M45" s="6">
        <f t="shared" si="17"/>
        <v>0.81548523206751056</v>
      </c>
      <c r="N45" s="6">
        <f t="shared" si="17"/>
        <v>0.83327781314212401</v>
      </c>
      <c r="O45" s="6">
        <f t="shared" si="17"/>
        <v>0.8580948818425802</v>
      </c>
      <c r="P45" s="6">
        <f t="shared" si="17"/>
        <v>0.92231858783343124</v>
      </c>
      <c r="Q45" s="6" t="str">
        <f t="shared" si="17"/>
        <v/>
      </c>
    </row>
    <row r="46" spans="1:17" ht="15.75" customHeight="1">
      <c r="A46" s="10"/>
      <c r="B46" s="18" t="s">
        <v>163</v>
      </c>
      <c r="C46" s="60">
        <f>C5/C$6</f>
        <v>0.15254174625670097</v>
      </c>
      <c r="D46" s="18"/>
      <c r="E46" s="140"/>
      <c r="F46" s="18"/>
      <c r="G46" s="6">
        <f t="shared" si="16"/>
        <v>0.15254174625670097</v>
      </c>
      <c r="H46" s="6">
        <f t="shared" ref="H46:Q46" si="18">IF(H$4="","",H5/H$6)</f>
        <v>0.15084118242322811</v>
      </c>
      <c r="I46" s="6">
        <f t="shared" si="18"/>
        <v>0.18540323959471613</v>
      </c>
      <c r="J46" s="6">
        <f t="shared" si="18"/>
        <v>0.18879920104605311</v>
      </c>
      <c r="K46" s="6">
        <f t="shared" si="18"/>
        <v>0.15937332070224425</v>
      </c>
      <c r="L46" s="6">
        <f t="shared" si="18"/>
        <v>0.22112921346692044</v>
      </c>
      <c r="M46" s="6">
        <f t="shared" si="18"/>
        <v>0.18451476793248944</v>
      </c>
      <c r="N46" s="6">
        <f t="shared" si="18"/>
        <v>0.16672218685787601</v>
      </c>
      <c r="O46" s="6">
        <f t="shared" si="18"/>
        <v>0.14190511815741974</v>
      </c>
      <c r="P46" s="6">
        <f t="shared" si="18"/>
        <v>7.7681412166568778E-2</v>
      </c>
      <c r="Q46" s="6" t="str">
        <f t="shared" si="18"/>
        <v/>
      </c>
    </row>
    <row r="47" spans="1:17" ht="15.75" customHeight="1">
      <c r="A47" s="10"/>
      <c r="B47" s="22" t="s">
        <v>164</v>
      </c>
      <c r="C47" s="61">
        <f t="shared" ref="C47:C54" si="19">C6/C$6</f>
        <v>1</v>
      </c>
      <c r="D47" s="18"/>
      <c r="E47" s="140"/>
      <c r="F47" s="18"/>
      <c r="G47" s="51">
        <f t="shared" si="16"/>
        <v>1</v>
      </c>
      <c r="H47" s="51">
        <f t="shared" ref="H47:Q47" si="20">IF(H$4="","",H6/H$6)</f>
        <v>1</v>
      </c>
      <c r="I47" s="51">
        <f t="shared" si="20"/>
        <v>1</v>
      </c>
      <c r="J47" s="51">
        <f t="shared" si="20"/>
        <v>1</v>
      </c>
      <c r="K47" s="51">
        <f t="shared" si="20"/>
        <v>1</v>
      </c>
      <c r="L47" s="51">
        <f t="shared" si="20"/>
        <v>1</v>
      </c>
      <c r="M47" s="51">
        <f t="shared" si="20"/>
        <v>1</v>
      </c>
      <c r="N47" s="51">
        <f t="shared" si="20"/>
        <v>1</v>
      </c>
      <c r="O47" s="51">
        <f t="shared" si="20"/>
        <v>1</v>
      </c>
      <c r="P47" s="51">
        <f t="shared" si="20"/>
        <v>1</v>
      </c>
      <c r="Q47" s="51" t="str">
        <f t="shared" si="20"/>
        <v/>
      </c>
    </row>
    <row r="48" spans="1:17" ht="15.75" customHeight="1">
      <c r="A48" s="10"/>
      <c r="B48" s="8" t="s">
        <v>182</v>
      </c>
      <c r="C48" s="60">
        <f t="shared" si="19"/>
        <v>-0.15431881200320413</v>
      </c>
      <c r="D48" s="18"/>
      <c r="E48" s="140"/>
      <c r="F48" s="18"/>
      <c r="G48" s="6">
        <f t="shared" si="16"/>
        <v>-0.15431881200320413</v>
      </c>
      <c r="H48" s="6">
        <f t="shared" ref="H48:Q48" si="21">IF(H$4="","",H7/H$6)</f>
        <v>-0.15372377690421515</v>
      </c>
      <c r="I48" s="6">
        <f t="shared" si="21"/>
        <v>-0.16184097391028548</v>
      </c>
      <c r="J48" s="6">
        <f t="shared" si="21"/>
        <v>-0.14625181463444767</v>
      </c>
      <c r="K48" s="6">
        <f t="shared" si="21"/>
        <v>-0.13594209642839336</v>
      </c>
      <c r="L48" s="6">
        <f t="shared" si="21"/>
        <v>-0.13629235128133294</v>
      </c>
      <c r="M48" s="6">
        <f t="shared" si="21"/>
        <v>-0.12827305605786618</v>
      </c>
      <c r="N48" s="6">
        <f t="shared" si="21"/>
        <v>-0.12757550471152038</v>
      </c>
      <c r="O48" s="6">
        <f t="shared" si="21"/>
        <v>-0.13341056752604838</v>
      </c>
      <c r="P48" s="6">
        <f t="shared" si="21"/>
        <v>-0.12006946971689648</v>
      </c>
      <c r="Q48" s="6" t="str">
        <f t="shared" si="21"/>
        <v/>
      </c>
    </row>
    <row r="49" spans="1:17" ht="15.75" customHeight="1">
      <c r="A49" s="10"/>
      <c r="B49" s="8" t="s">
        <v>183</v>
      </c>
      <c r="C49" s="64">
        <v>0</v>
      </c>
      <c r="D49" s="18"/>
      <c r="E49" s="140"/>
      <c r="F49" s="18"/>
      <c r="G49" s="6">
        <f t="shared" si="16"/>
        <v>0</v>
      </c>
      <c r="H49" s="6">
        <f t="shared" ref="H49:Q49" si="22">IF(H$4="","",H8/H$6)</f>
        <v>0</v>
      </c>
      <c r="I49" s="6">
        <f t="shared" si="22"/>
        <v>0</v>
      </c>
      <c r="J49" s="6">
        <f t="shared" si="22"/>
        <v>0</v>
      </c>
      <c r="K49" s="6">
        <f t="shared" si="22"/>
        <v>0</v>
      </c>
      <c r="L49" s="6">
        <f t="shared" si="22"/>
        <v>0</v>
      </c>
      <c r="M49" s="6">
        <f t="shared" si="22"/>
        <v>0</v>
      </c>
      <c r="N49" s="6">
        <f t="shared" si="22"/>
        <v>0</v>
      </c>
      <c r="O49" s="6">
        <f t="shared" si="22"/>
        <v>0</v>
      </c>
      <c r="P49" s="6">
        <f t="shared" si="22"/>
        <v>0</v>
      </c>
      <c r="Q49" s="6" t="str">
        <f t="shared" si="22"/>
        <v/>
      </c>
    </row>
    <row r="50" spans="1:17" ht="15.75" customHeight="1">
      <c r="A50" s="10"/>
      <c r="B50" s="20" t="s">
        <v>51</v>
      </c>
      <c r="C50" s="61">
        <f t="shared" si="19"/>
        <v>0.84568118799679581</v>
      </c>
      <c r="D50" s="18"/>
      <c r="E50" s="140"/>
      <c r="F50" s="18"/>
      <c r="G50" s="51">
        <f t="shared" si="16"/>
        <v>0.84568118799679581</v>
      </c>
      <c r="H50" s="51">
        <f t="shared" ref="H50:Q50" si="23">IF(H$4="","",H9/H$6)</f>
        <v>0.84627622309578487</v>
      </c>
      <c r="I50" s="51">
        <f t="shared" si="23"/>
        <v>0.83815902608971449</v>
      </c>
      <c r="J50" s="51">
        <f t="shared" si="23"/>
        <v>0.8537481853655523</v>
      </c>
      <c r="K50" s="51">
        <f t="shared" si="23"/>
        <v>0.86405790357160661</v>
      </c>
      <c r="L50" s="51">
        <f t="shared" si="23"/>
        <v>0.86370764871866701</v>
      </c>
      <c r="M50" s="51">
        <f t="shared" si="23"/>
        <v>0.87172694394213379</v>
      </c>
      <c r="N50" s="51">
        <f t="shared" si="23"/>
        <v>0.87242449528847965</v>
      </c>
      <c r="O50" s="51">
        <f t="shared" si="23"/>
        <v>0.86658943247395159</v>
      </c>
      <c r="P50" s="51">
        <f t="shared" si="23"/>
        <v>0.87993053028310353</v>
      </c>
      <c r="Q50" s="51" t="str">
        <f t="shared" si="23"/>
        <v/>
      </c>
    </row>
    <row r="51" spans="1:17" ht="15.75" customHeight="1">
      <c r="A51" s="10"/>
      <c r="B51" s="18" t="s">
        <v>169</v>
      </c>
      <c r="C51" s="60">
        <f t="shared" si="19"/>
        <v>0</v>
      </c>
      <c r="D51" s="18"/>
      <c r="E51" s="140"/>
      <c r="F51" s="18"/>
      <c r="G51" s="6">
        <f t="shared" si="16"/>
        <v>0</v>
      </c>
      <c r="H51" s="6">
        <f t="shared" ref="H51:Q51" si="24">IF(H$4="","",H10/H$6)</f>
        <v>0</v>
      </c>
      <c r="I51" s="6">
        <f t="shared" si="24"/>
        <v>0</v>
      </c>
      <c r="J51" s="6">
        <f t="shared" si="24"/>
        <v>0</v>
      </c>
      <c r="K51" s="6">
        <f t="shared" si="24"/>
        <v>0</v>
      </c>
      <c r="L51" s="6">
        <f t="shared" si="24"/>
        <v>0</v>
      </c>
      <c r="M51" s="6">
        <f t="shared" si="24"/>
        <v>0</v>
      </c>
      <c r="N51" s="6">
        <f t="shared" si="24"/>
        <v>0</v>
      </c>
      <c r="O51" s="6">
        <f t="shared" si="24"/>
        <v>0</v>
      </c>
      <c r="P51" s="6">
        <f t="shared" si="24"/>
        <v>0</v>
      </c>
      <c r="Q51" s="6" t="str">
        <f t="shared" si="24"/>
        <v/>
      </c>
    </row>
    <row r="52" spans="1:17" ht="15.75" customHeight="1">
      <c r="A52" s="10"/>
      <c r="B52" s="2" t="s">
        <v>161</v>
      </c>
      <c r="C52" s="60">
        <f t="shared" si="19"/>
        <v>-0.4691191817117506</v>
      </c>
      <c r="D52" s="18"/>
      <c r="E52" s="140"/>
      <c r="F52" s="18"/>
      <c r="G52" s="6">
        <f t="shared" si="16"/>
        <v>-0.4824154291700043</v>
      </c>
      <c r="H52" s="6">
        <f t="shared" ref="H52:Q52" si="25">IF(H$4="","",H11/H$6)</f>
        <v>-0.49278013466702991</v>
      </c>
      <c r="I52" s="6">
        <f t="shared" si="25"/>
        <v>-0.45462609863492986</v>
      </c>
      <c r="J52" s="6">
        <f t="shared" si="25"/>
        <v>-0.43623039937401548</v>
      </c>
      <c r="K52" s="6">
        <f t="shared" si="25"/>
        <v>-0.44309361963801958</v>
      </c>
      <c r="L52" s="6">
        <f t="shared" si="25"/>
        <v>-0.48142478793672616</v>
      </c>
      <c r="M52" s="6">
        <f t="shared" si="25"/>
        <v>-0.52718806509945748</v>
      </c>
      <c r="N52" s="6">
        <f t="shared" si="25"/>
        <v>-0.54154614387535327</v>
      </c>
      <c r="O52" s="6">
        <f t="shared" si="25"/>
        <v>-0.45018576154971979</v>
      </c>
      <c r="P52" s="6">
        <f t="shared" si="25"/>
        <v>-0.49053258915220282</v>
      </c>
      <c r="Q52" s="6" t="str">
        <f t="shared" si="25"/>
        <v/>
      </c>
    </row>
    <row r="53" spans="1:17" ht="15.75" customHeight="1">
      <c r="A53" s="10"/>
      <c r="B53" s="54" t="s">
        <v>55</v>
      </c>
      <c r="C53" s="61">
        <f t="shared" si="19"/>
        <v>0.37656200628504527</v>
      </c>
      <c r="D53" s="18"/>
      <c r="E53" s="140"/>
      <c r="F53" s="18"/>
      <c r="G53" s="51">
        <f t="shared" si="16"/>
        <v>0.36326575882679152</v>
      </c>
      <c r="H53" s="51">
        <f t="shared" ref="H53:Q53" si="26">IF(H$4="","",H12/H$6)</f>
        <v>0.35349608842875491</v>
      </c>
      <c r="I53" s="51">
        <f t="shared" si="26"/>
        <v>0.38353292745478468</v>
      </c>
      <c r="J53" s="51">
        <f t="shared" si="26"/>
        <v>0.41751778599153683</v>
      </c>
      <c r="K53" s="51">
        <f t="shared" si="26"/>
        <v>0.42096428393358704</v>
      </c>
      <c r="L53" s="51">
        <f t="shared" si="26"/>
        <v>0.3822828607819409</v>
      </c>
      <c r="M53" s="51">
        <f t="shared" si="26"/>
        <v>0.34453887884267631</v>
      </c>
      <c r="N53" s="51">
        <f t="shared" si="26"/>
        <v>0.33087835141312627</v>
      </c>
      <c r="O53" s="51">
        <f t="shared" si="26"/>
        <v>0.41640367092423181</v>
      </c>
      <c r="P53" s="51">
        <f t="shared" si="26"/>
        <v>0.3893979411309007</v>
      </c>
      <c r="Q53" s="51" t="str">
        <f t="shared" si="26"/>
        <v/>
      </c>
    </row>
    <row r="54" spans="1:17" ht="15.75" customHeight="1">
      <c r="A54" s="10"/>
      <c r="B54" s="2" t="s">
        <v>22</v>
      </c>
      <c r="C54" s="60">
        <f t="shared" si="19"/>
        <v>-9.4140501571261317E-2</v>
      </c>
      <c r="D54" s="18"/>
      <c r="E54" s="140"/>
      <c r="F54" s="18"/>
      <c r="G54" s="6">
        <f t="shared" si="16"/>
        <v>-2.3732823957113808E-2</v>
      </c>
      <c r="H54" s="6">
        <f t="shared" ref="H54:Q54" si="27">IF(H$4="","",H13/H$6)</f>
        <v>-1.6237399291635854E-2</v>
      </c>
      <c r="I54" s="6">
        <f t="shared" si="27"/>
        <v>-3.4212241277204146E-2</v>
      </c>
      <c r="J54" s="6">
        <f t="shared" si="27"/>
        <v>-2.9584976371142938E-2</v>
      </c>
      <c r="K54" s="6">
        <f t="shared" si="27"/>
        <v>-2.48079021866188E-2</v>
      </c>
      <c r="L54" s="6">
        <f t="shared" si="27"/>
        <v>-2.2530549530529312E-2</v>
      </c>
      <c r="M54" s="6">
        <f t="shared" si="27"/>
        <v>-2.0590717299578058E-2</v>
      </c>
      <c r="N54" s="6">
        <f t="shared" si="27"/>
        <v>-2.3146972390523528E-2</v>
      </c>
      <c r="O54" s="6">
        <f t="shared" si="27"/>
        <v>-3.4857074373622225E-2</v>
      </c>
      <c r="P54" s="6">
        <f t="shared" si="27"/>
        <v>-4.5378714449917305E-2</v>
      </c>
      <c r="Q54" s="6" t="str">
        <f t="shared" si="27"/>
        <v/>
      </c>
    </row>
    <row r="55" spans="1:17" ht="15.75" customHeight="1">
      <c r="A55" s="10"/>
      <c r="B55" s="30" t="str">
        <f>B14</f>
        <v>NCI’s Share of Profits</v>
      </c>
      <c r="C55" s="139">
        <f>MAX(C28,MIN(G55:K55))</f>
        <v>-2.9240067128604818E-3</v>
      </c>
      <c r="D55" s="18"/>
      <c r="E55" s="140"/>
      <c r="F55" s="18"/>
      <c r="G55" s="6">
        <f t="shared" si="16"/>
        <v>-7.0491096185840163E-4</v>
      </c>
      <c r="H55" s="6">
        <f t="shared" ref="H55:Q55" si="28">IF(H$4="","",H14/H$6)</f>
        <v>-1.3087222200599386E-3</v>
      </c>
      <c r="I55" s="6">
        <f t="shared" si="28"/>
        <v>-2.569572985040972E-3</v>
      </c>
      <c r="J55" s="6">
        <f t="shared" si="28"/>
        <v>-2.9240067128604818E-3</v>
      </c>
      <c r="K55" s="6">
        <f t="shared" si="28"/>
        <v>-2.9223243419922774E-3</v>
      </c>
      <c r="L55" s="6">
        <f t="shared" si="28"/>
        <v>-2.4087268694348734E-3</v>
      </c>
      <c r="M55" s="6">
        <f t="shared" si="28"/>
        <v>-1.8836648583484027E-3</v>
      </c>
      <c r="N55" s="6">
        <f t="shared" si="28"/>
        <v>-1.7645526117027767E-3</v>
      </c>
      <c r="O55" s="6">
        <f t="shared" si="28"/>
        <v>-1.7323217833108773E-3</v>
      </c>
      <c r="P55" s="6">
        <f t="shared" si="28"/>
        <v>-1.5962180801423985E-3</v>
      </c>
      <c r="Q55" s="6" t="str">
        <f t="shared" si="28"/>
        <v/>
      </c>
    </row>
    <row r="56" spans="1:17" ht="15.75" customHeight="1">
      <c r="A56" s="10"/>
      <c r="B56" s="31" t="s">
        <v>52</v>
      </c>
      <c r="C56" s="61">
        <f>C15/C$6</f>
        <v>0.27949749800092349</v>
      </c>
      <c r="D56" s="18"/>
      <c r="E56" s="140"/>
      <c r="F56" s="18"/>
      <c r="G56" s="51">
        <f>IF(G$4="","",G15/G$4)</f>
        <v>0.39981677257987114</v>
      </c>
      <c r="H56" s="51">
        <f t="shared" ref="H56:Q56" si="29">IF(H$4="","",H15/H$4)</f>
        <v>0.3956267778926833</v>
      </c>
      <c r="I56" s="51">
        <f t="shared" si="29"/>
        <v>0.42567209943238854</v>
      </c>
      <c r="J56" s="51">
        <f t="shared" si="29"/>
        <v>0.47461590694191486</v>
      </c>
      <c r="K56" s="51">
        <f t="shared" si="29"/>
        <v>0.46778679179380384</v>
      </c>
      <c r="L56" s="51">
        <f t="shared" si="29"/>
        <v>0.45879700530634798</v>
      </c>
      <c r="M56" s="51">
        <f t="shared" si="29"/>
        <v>0.39493602584097748</v>
      </c>
      <c r="N56" s="51">
        <f t="shared" si="29"/>
        <v>0.36718465508779152</v>
      </c>
      <c r="O56" s="51">
        <f t="shared" si="29"/>
        <v>0.44262503227117095</v>
      </c>
      <c r="P56" s="51">
        <f t="shared" si="29"/>
        <v>0.37126326316940916</v>
      </c>
      <c r="Q56" s="51" t="str">
        <f t="shared" si="29"/>
        <v/>
      </c>
    </row>
    <row r="57" spans="1:17" ht="15.75" customHeight="1">
      <c r="A57" s="10"/>
      <c r="B57" s="2" t="s">
        <v>23</v>
      </c>
      <c r="C57" s="64">
        <f>AVERAGE(G57:I57)</f>
        <v>0</v>
      </c>
      <c r="D57" s="18"/>
      <c r="E57" s="140"/>
      <c r="F57" s="18"/>
      <c r="G57" s="6">
        <f>IF(G$4="","",G16/G$4)</f>
        <v>0</v>
      </c>
      <c r="H57" s="6">
        <f t="shared" ref="H57:Q57" si="30">IF(H$4="","",H16/H$4)</f>
        <v>0</v>
      </c>
      <c r="I57" s="6">
        <f t="shared" si="30"/>
        <v>0</v>
      </c>
      <c r="J57" s="6">
        <f t="shared" si="30"/>
        <v>0</v>
      </c>
      <c r="K57" s="6">
        <f t="shared" si="30"/>
        <v>0</v>
      </c>
      <c r="L57" s="6">
        <f t="shared" si="30"/>
        <v>0</v>
      </c>
      <c r="M57" s="6">
        <f t="shared" si="30"/>
        <v>0</v>
      </c>
      <c r="N57" s="6">
        <f t="shared" si="30"/>
        <v>0</v>
      </c>
      <c r="O57" s="6">
        <f t="shared" si="30"/>
        <v>0</v>
      </c>
      <c r="P57" s="6">
        <f t="shared" si="30"/>
        <v>0</v>
      </c>
      <c r="Q57" s="6" t="str">
        <f t="shared" si="30"/>
        <v/>
      </c>
    </row>
    <row r="58" spans="1:17" ht="15.75" customHeight="1">
      <c r="A58" s="10"/>
      <c r="B58" s="22" t="s">
        <v>191</v>
      </c>
      <c r="C58" s="61">
        <f>C17/C$6</f>
        <v>0.27949749800092349</v>
      </c>
      <c r="D58" s="59"/>
      <c r="E58" s="140"/>
      <c r="F58" s="59"/>
      <c r="G58" s="51">
        <f>IF(G$4="","",G17/G$4)</f>
        <v>0.39981677257987114</v>
      </c>
      <c r="H58" s="51">
        <f t="shared" ref="H58:Q58" si="31">IF(H$4="","",H17/H$4)</f>
        <v>0.3956267778926833</v>
      </c>
      <c r="I58" s="51">
        <f t="shared" si="31"/>
        <v>0.42567209943238854</v>
      </c>
      <c r="J58" s="51">
        <f t="shared" si="31"/>
        <v>0.47461590694191486</v>
      </c>
      <c r="K58" s="51">
        <f t="shared" si="31"/>
        <v>0.46778679179380384</v>
      </c>
      <c r="L58" s="51">
        <f t="shared" si="31"/>
        <v>0.45879700530634798</v>
      </c>
      <c r="M58" s="51">
        <f t="shared" si="31"/>
        <v>0.39493602584097748</v>
      </c>
      <c r="N58" s="51">
        <f t="shared" si="31"/>
        <v>0.36718465508779152</v>
      </c>
      <c r="O58" s="51">
        <f t="shared" si="31"/>
        <v>0.44262503227117095</v>
      </c>
      <c r="P58" s="51">
        <f t="shared" si="31"/>
        <v>0.37126326316940916</v>
      </c>
      <c r="Q58" s="51" t="str">
        <f t="shared" si="31"/>
        <v/>
      </c>
    </row>
    <row r="59" spans="1:17" ht="15.75" customHeight="1">
      <c r="A59" s="10"/>
      <c r="E59" s="143"/>
    </row>
    <row r="60" spans="1:17" ht="15.75" customHeight="1">
      <c r="A60" s="10"/>
      <c r="B60" s="50" t="s">
        <v>63</v>
      </c>
      <c r="E60" s="143"/>
    </row>
    <row r="61" spans="1:17" ht="15.75" customHeight="1">
      <c r="A61" s="10"/>
      <c r="B61" s="2" t="str">
        <f>"Dividend per share ("&amp;Market_currency&amp;")"</f>
        <v>Dividend per share (CNY)</v>
      </c>
      <c r="C61" s="81">
        <f>G61</f>
        <v>1.06</v>
      </c>
      <c r="E61" s="143"/>
      <c r="G61" s="80">
        <f>Data!C53</f>
        <v>1.06</v>
      </c>
      <c r="H61" s="80">
        <f>Data!D53</f>
        <v>0</v>
      </c>
      <c r="I61" s="80">
        <f>Data!E53</f>
        <v>0</v>
      </c>
      <c r="J61" s="80">
        <f>Data!F53</f>
        <v>0</v>
      </c>
      <c r="K61" s="80">
        <f>Data!G53</f>
        <v>0</v>
      </c>
      <c r="L61" s="80">
        <f>Data!H53</f>
        <v>0</v>
      </c>
      <c r="M61" s="80">
        <f>Data!I53</f>
        <v>0</v>
      </c>
      <c r="N61" s="80">
        <f>Data!J53</f>
        <v>0</v>
      </c>
      <c r="O61" s="80">
        <f>Data!K53</f>
        <v>0</v>
      </c>
      <c r="P61" s="80">
        <f>Data!L53</f>
        <v>0</v>
      </c>
      <c r="Q61" s="80" t="str">
        <f>Data!M53</f>
        <v/>
      </c>
    </row>
    <row r="62" spans="1:17" ht="15.75" customHeight="1">
      <c r="A62" s="10"/>
      <c r="B62" s="2" t="str">
        <f>"Dividend ("&amp;Market_currency&amp;")"</f>
        <v>Dividend (CNY)</v>
      </c>
      <c r="C62" s="58">
        <f>C61*Common_Shares/scaling_factor</f>
        <v>22020.769943020001</v>
      </c>
      <c r="E62" s="143"/>
      <c r="G62" s="58">
        <f t="shared" ref="G62:Q62" si="32">IF(G$4="","",G61*Common_Shares/scaling_factor)</f>
        <v>22020.769943020001</v>
      </c>
      <c r="H62" s="58">
        <f t="shared" si="32"/>
        <v>0</v>
      </c>
      <c r="I62" s="58">
        <f t="shared" si="32"/>
        <v>0</v>
      </c>
      <c r="J62" s="58">
        <f t="shared" si="32"/>
        <v>0</v>
      </c>
      <c r="K62" s="58">
        <f t="shared" si="32"/>
        <v>0</v>
      </c>
      <c r="L62" s="58">
        <f t="shared" si="32"/>
        <v>0</v>
      </c>
      <c r="M62" s="58">
        <f t="shared" si="32"/>
        <v>0</v>
      </c>
      <c r="N62" s="58">
        <f t="shared" si="32"/>
        <v>0</v>
      </c>
      <c r="O62" s="58">
        <f t="shared" si="32"/>
        <v>0</v>
      </c>
      <c r="P62" s="58">
        <f t="shared" si="32"/>
        <v>0</v>
      </c>
      <c r="Q62" s="58" t="str">
        <f t="shared" si="32"/>
        <v/>
      </c>
    </row>
    <row r="63" spans="1:17" ht="15.75" customHeight="1">
      <c r="A63" s="10"/>
      <c r="B63" s="2" t="s">
        <v>62</v>
      </c>
      <c r="C63" s="253">
        <f>C61/(C17*scaling_factor/Common_Shares)</f>
        <v>0.19418818665917692</v>
      </c>
      <c r="E63" s="143"/>
      <c r="G63" s="121">
        <f t="shared" ref="G63:Q63" si="33">IF(G$4="","",G61/(G17*scaling_factor/Common_Shares))</f>
        <v>0.16018483856973473</v>
      </c>
      <c r="H63" s="121">
        <f t="shared" si="33"/>
        <v>0</v>
      </c>
      <c r="I63" s="121">
        <f t="shared" si="33"/>
        <v>0</v>
      </c>
      <c r="J63" s="121">
        <f t="shared" si="33"/>
        <v>0</v>
      </c>
      <c r="K63" s="121">
        <f t="shared" si="33"/>
        <v>0</v>
      </c>
      <c r="L63" s="121">
        <f t="shared" si="33"/>
        <v>0</v>
      </c>
      <c r="M63" s="121">
        <f t="shared" si="33"/>
        <v>0</v>
      </c>
      <c r="N63" s="121">
        <f t="shared" si="33"/>
        <v>0</v>
      </c>
      <c r="O63" s="121">
        <f t="shared" si="33"/>
        <v>0</v>
      </c>
      <c r="P63" s="121">
        <f t="shared" si="33"/>
        <v>0</v>
      </c>
      <c r="Q63" s="121" t="str">
        <f t="shared" si="33"/>
        <v/>
      </c>
    </row>
    <row r="64" spans="1:17" ht="15.75" customHeight="1">
      <c r="A64" s="10"/>
      <c r="B64" s="2" t="s">
        <v>92</v>
      </c>
      <c r="C64" s="253">
        <f>Thesis!C16</f>
        <v>0.1</v>
      </c>
      <c r="E64" s="143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</row>
    <row r="65" spans="1:17" ht="15.75" customHeight="1">
      <c r="A65" s="10"/>
      <c r="B65" s="2" t="str">
        <f>"After-tax Dividend ("&amp;Market_currency&amp;")"</f>
        <v>After-tax Dividend (CNY)</v>
      </c>
      <c r="C65" s="58">
        <f>C62*(1-C64)</f>
        <v>19818.692948718002</v>
      </c>
      <c r="E65" s="143"/>
      <c r="G65" s="58">
        <f>IF(G$4="","",G62*(1-C64))</f>
        <v>19818.692948718002</v>
      </c>
      <c r="H65" s="58">
        <f t="shared" ref="H65:Q65" si="34">IF(H$4="","",H62*(1-D64))</f>
        <v>0</v>
      </c>
      <c r="I65" s="58">
        <f t="shared" si="34"/>
        <v>0</v>
      </c>
      <c r="J65" s="58">
        <f t="shared" si="34"/>
        <v>0</v>
      </c>
      <c r="K65" s="58">
        <f t="shared" si="34"/>
        <v>0</v>
      </c>
      <c r="L65" s="58">
        <f t="shared" si="34"/>
        <v>0</v>
      </c>
      <c r="M65" s="58">
        <f t="shared" si="34"/>
        <v>0</v>
      </c>
      <c r="N65" s="58">
        <f t="shared" si="34"/>
        <v>0</v>
      </c>
      <c r="O65" s="58">
        <f t="shared" si="34"/>
        <v>0</v>
      </c>
      <c r="P65" s="58">
        <f t="shared" si="34"/>
        <v>0</v>
      </c>
      <c r="Q65" s="58" t="str">
        <f t="shared" si="34"/>
        <v/>
      </c>
    </row>
    <row r="66" spans="1:17" ht="15.75" customHeight="1">
      <c r="A66" s="10"/>
      <c r="B66" s="2" t="s">
        <v>91</v>
      </c>
      <c r="C66" s="15">
        <f>(C61*(1-dividend_tax_rate))/Market_Price</f>
        <v>4.4683840749414519E-2</v>
      </c>
      <c r="E66" s="143"/>
      <c r="G66" s="15">
        <f t="shared" ref="G66:Q66" si="35">IF(G$4="","",(G61*(1-dividend_tax_rate))/Market_Price)</f>
        <v>4.4683840749414519E-2</v>
      </c>
      <c r="H66" s="15">
        <f t="shared" si="35"/>
        <v>0</v>
      </c>
      <c r="I66" s="15">
        <f t="shared" si="35"/>
        <v>0</v>
      </c>
      <c r="J66" s="15">
        <f t="shared" si="35"/>
        <v>0</v>
      </c>
      <c r="K66" s="15">
        <f t="shared" si="35"/>
        <v>0</v>
      </c>
      <c r="L66" s="15">
        <f t="shared" si="35"/>
        <v>0</v>
      </c>
      <c r="M66" s="15">
        <f t="shared" si="35"/>
        <v>0</v>
      </c>
      <c r="N66" s="15">
        <f t="shared" si="35"/>
        <v>0</v>
      </c>
      <c r="O66" s="15">
        <f t="shared" si="35"/>
        <v>0</v>
      </c>
      <c r="P66" s="15">
        <f t="shared" si="35"/>
        <v>0</v>
      </c>
      <c r="Q66" s="15" t="str">
        <f t="shared" si="35"/>
        <v/>
      </c>
    </row>
    <row r="67" spans="1:17" ht="15.75" customHeight="1">
      <c r="A67" s="10"/>
      <c r="E67" s="143"/>
    </row>
    <row r="68" spans="1:17" ht="15.75" customHeight="1">
      <c r="A68" s="10"/>
      <c r="B68" s="112" t="s">
        <v>27</v>
      </c>
      <c r="C68" s="49"/>
      <c r="D68" s="18"/>
      <c r="E68" s="140"/>
      <c r="F68" s="18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</row>
    <row r="69" spans="1:17" ht="15.75" customHeight="1">
      <c r="A69" s="10"/>
      <c r="B69" s="18" t="s">
        <v>164</v>
      </c>
      <c r="C69" s="60">
        <f>C4/G4-1</f>
        <v>0</v>
      </c>
      <c r="D69" s="18"/>
      <c r="E69" s="140"/>
      <c r="F69" s="18"/>
      <c r="G69" s="6">
        <f t="shared" ref="G69:Q69" si="36">IF(H4="","",G4/H4-1)</f>
        <v>-1.502238748248963E-2</v>
      </c>
      <c r="H69" s="6">
        <f t="shared" si="36"/>
        <v>6.1850182207540128E-2</v>
      </c>
      <c r="I69" s="6">
        <f t="shared" si="36"/>
        <v>4.3114882059157589E-2</v>
      </c>
      <c r="J69" s="6">
        <f t="shared" si="36"/>
        <v>3.848713910069268E-2</v>
      </c>
      <c r="K69" s="6">
        <f t="shared" si="36"/>
        <v>0.12533883126851753</v>
      </c>
      <c r="L69" s="6">
        <f t="shared" si="36"/>
        <v>-3.3299085661065986E-3</v>
      </c>
      <c r="M69" s="6">
        <f t="shared" si="36"/>
        <v>7.0985259891388708E-2</v>
      </c>
      <c r="N69" s="6">
        <f t="shared" si="36"/>
        <v>6.9261339348820616E-2</v>
      </c>
      <c r="O69" s="6">
        <f t="shared" si="36"/>
        <v>-7.6934195927679583E-2</v>
      </c>
      <c r="P69" s="6" t="str">
        <f t="shared" si="36"/>
        <v/>
      </c>
      <c r="Q69" s="6" t="str">
        <f t="shared" si="36"/>
        <v/>
      </c>
    </row>
    <row r="70" spans="1:17" ht="15.75" customHeight="1">
      <c r="A70" s="10"/>
      <c r="B70" s="54" t="s">
        <v>55</v>
      </c>
      <c r="C70" s="60">
        <f>C12/G12-1</f>
        <v>3.6601983906205504E-2</v>
      </c>
      <c r="D70" s="18"/>
      <c r="E70" s="140"/>
      <c r="F70" s="18"/>
      <c r="G70" s="6">
        <f t="shared" ref="G70:Q70" si="37">IF(H5="","",G12/H12-1)</f>
        <v>1.423085921909184E-2</v>
      </c>
      <c r="H70" s="6">
        <f t="shared" si="37"/>
        <v>-6.1144060678890333E-2</v>
      </c>
      <c r="I70" s="6">
        <f t="shared" si="37"/>
        <v>-4.5786608634539427E-2</v>
      </c>
      <c r="J70" s="6">
        <f t="shared" si="37"/>
        <v>6.7347046205271877E-2</v>
      </c>
      <c r="K70" s="6">
        <f t="shared" si="37"/>
        <v>0.14816941418231822</v>
      </c>
      <c r="L70" s="6">
        <f t="shared" si="37"/>
        <v>0.15784041008415128</v>
      </c>
      <c r="M70" s="6">
        <f t="shared" si="37"/>
        <v>0.13953349282296656</v>
      </c>
      <c r="N70" s="6">
        <f t="shared" si="37"/>
        <v>-0.12505014913917911</v>
      </c>
      <c r="O70" s="6">
        <f t="shared" si="37"/>
        <v>6.0960488572221694E-2</v>
      </c>
      <c r="P70" s="6" t="str">
        <f t="shared" si="37"/>
        <v/>
      </c>
      <c r="Q70" s="6" t="str">
        <f t="shared" si="37"/>
        <v/>
      </c>
    </row>
    <row r="71" spans="1:17" ht="15.75" customHeight="1">
      <c r="A71" s="10"/>
      <c r="E71" s="143"/>
    </row>
    <row r="72" spans="1:17" ht="15.75" customHeight="1">
      <c r="A72" s="10"/>
      <c r="B72" s="50" t="s">
        <v>15</v>
      </c>
      <c r="E72" s="143"/>
    </row>
    <row r="73" spans="1:17" ht="15.75" customHeight="1">
      <c r="A73" s="10"/>
      <c r="B73" s="2" t="s">
        <v>80</v>
      </c>
      <c r="C73" s="120"/>
      <c r="E73" s="143"/>
      <c r="G73" s="151">
        <f>IF(G$4="","",Data!C$17/Data!C11)</f>
        <v>-3.0617491063478339</v>
      </c>
      <c r="H73" s="151">
        <f>IF(H$4="","",Data!D$17/Data!D11)</f>
        <v>5.5839621912586601</v>
      </c>
      <c r="I73" s="151">
        <f>IF(I$4="","",Data!E$17/Data!E11)</f>
        <v>-3.7287315774666174</v>
      </c>
      <c r="J73" s="151">
        <f>IF(J$4="","",Data!F$17/Data!F11)</f>
        <v>-4.6503173618402212</v>
      </c>
      <c r="K73" s="151">
        <f>IF(K$4="","",Data!G$17/Data!G11)</f>
        <v>-0.50572538821825919</v>
      </c>
      <c r="L73" s="151">
        <f>IF(L$4="","",Data!H$17/Data!H11)</f>
        <v>-8.8154628047135013</v>
      </c>
      <c r="M73" s="151">
        <f>IF(M$4="","",Data!I$17/Data!I11)</f>
        <v>-5.8143358641521754</v>
      </c>
      <c r="N73" s="151">
        <f>IF(N$4="","",Data!J$17/Data!J11)</f>
        <v>-2.817043387892959</v>
      </c>
      <c r="O73" s="151">
        <f>IF(O$4="","",Data!K$17/Data!K11)</f>
        <v>3.7369447972463048</v>
      </c>
      <c r="P73" s="151">
        <f>IF(P$4="","",Data!L$17/Data!L11)</f>
        <v>16.163731490621917</v>
      </c>
      <c r="Q73" s="151" t="str">
        <f>IF(Q$4="","",Data!M$17/Data!M11)</f>
        <v/>
      </c>
    </row>
    <row r="74" spans="1:17" ht="15.75" customHeight="1">
      <c r="A74" s="10"/>
      <c r="B74" s="2" t="s">
        <v>81</v>
      </c>
      <c r="C74" s="120"/>
      <c r="E74" s="143"/>
      <c r="G74" s="151">
        <f>IF(G$4="","",Data!C$17/G17)</f>
        <v>-1.7258767303649496</v>
      </c>
      <c r="H74" s="151">
        <f>IF(H$4="","",Data!D$17/H17)</f>
        <v>3.1397632236341915</v>
      </c>
      <c r="I74" s="151">
        <f>IF(I$4="","",Data!E$17/I17)</f>
        <v>-2.4624262173248153</v>
      </c>
      <c r="J74" s="151">
        <f>IF(J$4="","",Data!F$17/J17)</f>
        <v>-2.6057869085901095</v>
      </c>
      <c r="K74" s="151">
        <f>IF(K$4="","",Data!G$17/K17)</f>
        <v>-0.24110507667490824</v>
      </c>
      <c r="L74" s="151">
        <f>IF(L$4="","",Data!H$17/L17)</f>
        <v>-4.752471166358192</v>
      </c>
      <c r="M74" s="151">
        <f>IF(M$4="","",Data!I$17/M17)</f>
        <v>-3.3323569871141014</v>
      </c>
      <c r="N74" s="151">
        <f>IF(N$4="","",Data!J$17/N17)</f>
        <v>-1.7532312136859012</v>
      </c>
      <c r="O74" s="151">
        <f>IF(O$4="","",Data!K$17/O17)</f>
        <v>1.941204593480776</v>
      </c>
      <c r="P74" s="151">
        <f>IF(P$4="","",Data!L$17/P17)</f>
        <v>8.6148285332463459</v>
      </c>
      <c r="Q74" s="151" t="str">
        <f>IF(Q$4="","",Data!M$17/Q17)</f>
        <v/>
      </c>
    </row>
    <row r="75" spans="1:17" ht="15.75" customHeight="1">
      <c r="A75" s="10"/>
      <c r="E75" s="143"/>
    </row>
    <row r="76" spans="1:17" ht="15.75" customHeight="1">
      <c r="A76" s="10"/>
      <c r="B76" s="66" t="s">
        <v>6</v>
      </c>
      <c r="C76" s="42"/>
      <c r="D76" s="42"/>
      <c r="E76" s="145"/>
      <c r="F76" s="42"/>
      <c r="G76" s="15" t="str">
        <f>IFERROR(IF(#REF!*G78*(1/#REF!)=G80,"","Error"),"")</f>
        <v/>
      </c>
      <c r="H76" s="15" t="str">
        <f>IFERROR(IF(#REF!*H78*(1/#REF!)=H80,"","Error"),"")</f>
        <v/>
      </c>
      <c r="I76" s="15" t="str">
        <f>IFERROR(IF(#REF!*I78*(1/#REF!)=I80,"","Error"),"")</f>
        <v/>
      </c>
      <c r="J76" s="15" t="str">
        <f>IFERROR(IF(#REF!*J78*(1/#REF!)=J80,"","Error"),"")</f>
        <v/>
      </c>
      <c r="K76" s="15" t="str">
        <f>IFERROR(IF(#REF!*K78*(1/#REF!)=K80,"","Error"),"")</f>
        <v/>
      </c>
      <c r="L76" s="15" t="str">
        <f>IFERROR(IF(#REF!*L78*(1/#REF!)=L80,"","Error"),"")</f>
        <v/>
      </c>
      <c r="M76" s="15" t="str">
        <f>IFERROR(IF(#REF!*M78*(1/#REF!)=M80,"","Error"),"")</f>
        <v/>
      </c>
      <c r="N76" s="15" t="str">
        <f>IFERROR(IF(#REF!*N78*(1/#REF!)=N80,"","Error"),"")</f>
        <v/>
      </c>
      <c r="O76" s="15" t="str">
        <f>IFERROR(IF(#REF!*O78*(1/#REF!)=O80,"","Error"),"")</f>
        <v/>
      </c>
      <c r="P76" s="15" t="str">
        <f>IFERROR(IF(#REF!*P78*(1/#REF!)=P80,"","Error"),"")</f>
        <v/>
      </c>
      <c r="Q76" s="15" t="str">
        <f>IFERROR(IF(#REF!*Q78*(1/#REF!)=Q80,"","Error"),"")</f>
        <v/>
      </c>
    </row>
    <row r="77" spans="1:17" ht="15.75" customHeight="1">
      <c r="A77" s="10"/>
      <c r="B77" s="7" t="s">
        <v>64</v>
      </c>
      <c r="C77" s="15">
        <f>C53</f>
        <v>0.37656200628504527</v>
      </c>
      <c r="E77" s="143"/>
      <c r="G77" s="15">
        <f t="shared" ref="G77:Q77" si="38">IF(G4="","",G53)</f>
        <v>0.36326575882679152</v>
      </c>
      <c r="H77" s="15">
        <f t="shared" si="38"/>
        <v>0.35349608842875491</v>
      </c>
      <c r="I77" s="15">
        <f t="shared" si="38"/>
        <v>0.38353292745478468</v>
      </c>
      <c r="J77" s="15">
        <f t="shared" si="38"/>
        <v>0.41751778599153683</v>
      </c>
      <c r="K77" s="15">
        <f t="shared" si="38"/>
        <v>0.42096428393358704</v>
      </c>
      <c r="L77" s="15">
        <f t="shared" si="38"/>
        <v>0.3822828607819409</v>
      </c>
      <c r="M77" s="15">
        <f t="shared" si="38"/>
        <v>0.34453887884267631</v>
      </c>
      <c r="N77" s="15">
        <f t="shared" si="38"/>
        <v>0.33087835141312627</v>
      </c>
      <c r="O77" s="15">
        <f t="shared" si="38"/>
        <v>0.41640367092423181</v>
      </c>
      <c r="P77" s="15">
        <f t="shared" si="38"/>
        <v>0.3893979411309007</v>
      </c>
      <c r="Q77" s="15" t="str">
        <f t="shared" si="38"/>
        <v/>
      </c>
    </row>
    <row r="78" spans="1:17" ht="15.75" customHeight="1">
      <c r="B78" s="7" t="s">
        <v>26</v>
      </c>
      <c r="C78" s="32">
        <f>C4/C21</f>
        <v>3.2721577617140937E-2</v>
      </c>
      <c r="E78" s="143"/>
      <c r="G78" s="32">
        <f t="shared" ref="G78:Q78" si="39">IF(G4="","",G4/G21)</f>
        <v>3.2721577617140937E-2</v>
      </c>
      <c r="H78" s="32">
        <f t="shared" si="39"/>
        <v>3.4363831206047135E-2</v>
      </c>
      <c r="I78" s="32">
        <f t="shared" si="39"/>
        <v>3.54761704607836E-2</v>
      </c>
      <c r="J78" s="32">
        <f t="shared" si="39"/>
        <v>3.6633397744792996E-2</v>
      </c>
      <c r="K78" s="32">
        <f t="shared" si="39"/>
        <v>3.8444134785913353E-2</v>
      </c>
      <c r="L78" s="32">
        <f t="shared" si="39"/>
        <v>3.7739859923777735E-2</v>
      </c>
      <c r="M78" s="32">
        <f t="shared" si="39"/>
        <v>4.031463467218304E-2</v>
      </c>
      <c r="N78" s="32">
        <f t="shared" si="39"/>
        <v>3.9372015081561927E-2</v>
      </c>
      <c r="O78" s="32">
        <f t="shared" si="39"/>
        <v>3.8824034920089817E-2</v>
      </c>
      <c r="P78" s="32">
        <f t="shared" si="39"/>
        <v>4.8306812005555894E-2</v>
      </c>
      <c r="Q78" s="32" t="str">
        <f t="shared" si="39"/>
        <v/>
      </c>
    </row>
    <row r="79" spans="1:17" ht="15.75" customHeight="1">
      <c r="B79" s="7" t="s">
        <v>239</v>
      </c>
      <c r="C79" s="256">
        <f>C26/C21</f>
        <v>8.5041841860284517E-2</v>
      </c>
      <c r="D79" s="11"/>
      <c r="E79" s="146"/>
      <c r="F79" s="11"/>
      <c r="G79" s="256">
        <f>IF(G$4="","",G26/G21)</f>
        <v>8.5041841860284517E-2</v>
      </c>
      <c r="H79" s="256">
        <f t="shared" ref="H79:Q79" si="40">IF(H$4="","",H26/H21)</f>
        <v>7.9513002437606353E-2</v>
      </c>
      <c r="I79" s="256">
        <f t="shared" si="40"/>
        <v>8.1722767539713026E-2</v>
      </c>
      <c r="J79" s="256">
        <f t="shared" si="40"/>
        <v>8.0703947821138239E-2</v>
      </c>
      <c r="K79" s="256">
        <f t="shared" si="40"/>
        <v>7.9149100582721052E-2</v>
      </c>
      <c r="L79" s="256">
        <f t="shared" si="40"/>
        <v>7.6920870103213398E-2</v>
      </c>
      <c r="M79" s="256">
        <f t="shared" si="40"/>
        <v>7.0412418274652597E-2</v>
      </c>
      <c r="N79" s="256">
        <f t="shared" si="40"/>
        <v>6.5881628377323295E-2</v>
      </c>
      <c r="O79" s="256">
        <f t="shared" si="40"/>
        <v>5.8234655707993646E-2</v>
      </c>
      <c r="P79" s="256">
        <f t="shared" si="40"/>
        <v>5.9895109910018722E-2</v>
      </c>
      <c r="Q79" s="256" t="str">
        <f t="shared" si="40"/>
        <v/>
      </c>
    </row>
    <row r="80" spans="1:17" ht="15.75" customHeight="1">
      <c r="A80" s="10"/>
      <c r="B80" s="54" t="s">
        <v>65</v>
      </c>
      <c r="C80" s="73">
        <f>C12/C26</f>
        <v>0.17096994105936475</v>
      </c>
      <c r="D80" s="74"/>
      <c r="E80" s="145"/>
      <c r="F80" s="74"/>
      <c r="G80" s="73">
        <f t="shared" ref="G80:Q80" si="41">IF(G$4="","",G12/G26)</f>
        <v>0.16493306371564362</v>
      </c>
      <c r="H80" s="73">
        <f t="shared" si="41"/>
        <v>0.17991157816022652</v>
      </c>
      <c r="I80" s="73">
        <f t="shared" si="41"/>
        <v>0.20438717651439725</v>
      </c>
      <c r="J80" s="73">
        <f t="shared" si="41"/>
        <v>0.23363022794246852</v>
      </c>
      <c r="K80" s="73">
        <f t="shared" si="41"/>
        <v>0.24323506769333694</v>
      </c>
      <c r="L80" s="73">
        <f t="shared" si="41"/>
        <v>0.2408105492202339</v>
      </c>
      <c r="M80" s="73">
        <f t="shared" si="41"/>
        <v>0.24189985272459499</v>
      </c>
      <c r="N80" s="73">
        <f t="shared" si="41"/>
        <v>0.2373022481265612</v>
      </c>
      <c r="O80" s="73">
        <f t="shared" si="41"/>
        <v>0.32351795942552414</v>
      </c>
      <c r="P80" s="73">
        <f t="shared" si="41"/>
        <v>0.34050986681454548</v>
      </c>
      <c r="Q80" s="73" t="str">
        <f t="shared" si="41"/>
        <v/>
      </c>
    </row>
    <row r="81" spans="1:17" ht="15.75" customHeight="1">
      <c r="A81" s="10"/>
      <c r="B81" s="54" t="s">
        <v>261</v>
      </c>
      <c r="C81" s="73">
        <f>C12/C21</f>
        <v>1.4539598690432663E-2</v>
      </c>
      <c r="D81" s="263"/>
      <c r="E81" s="145"/>
      <c r="F81" s="74"/>
      <c r="G81" s="73">
        <f>IF(G$4="","",G12/G21)</f>
        <v>1.4026211522037995E-2</v>
      </c>
      <c r="H81" s="73">
        <f t="shared" ref="H81:Q81" si="42">IF(H$4="","",H12/H21)</f>
        <v>1.4305309752807697E-2</v>
      </c>
      <c r="I81" s="73">
        <f t="shared" si="42"/>
        <v>1.6703085714384378E-2</v>
      </c>
      <c r="J81" s="73">
        <f t="shared" si="42"/>
        <v>1.8854881725309611E-2</v>
      </c>
      <c r="K81" s="73">
        <f t="shared" si="42"/>
        <v>1.9251836838104889E-2</v>
      </c>
      <c r="L81" s="73">
        <f t="shared" si="42"/>
        <v>1.8523356976053087E-2</v>
      </c>
      <c r="M81" s="73">
        <f t="shared" si="42"/>
        <v>1.7032753610621044E-2</v>
      </c>
      <c r="N81" s="73">
        <f t="shared" si="42"/>
        <v>1.5633858524177469E-2</v>
      </c>
      <c r="O81" s="73">
        <f t="shared" si="42"/>
        <v>1.8839956982498057E-2</v>
      </c>
      <c r="P81" s="73">
        <f t="shared" si="42"/>
        <v>2.0394875898303036E-2</v>
      </c>
      <c r="Q81" s="73" t="str">
        <f t="shared" si="42"/>
        <v/>
      </c>
    </row>
    <row r="82" spans="1:17" ht="15.75" customHeight="1">
      <c r="A82" s="10"/>
      <c r="B82" s="18"/>
      <c r="C82" s="49"/>
      <c r="D82" s="18"/>
      <c r="E82" s="53"/>
      <c r="F82" s="18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</row>
    <row r="83" spans="1:17" ht="15.75" customHeight="1">
      <c r="A83" s="10"/>
      <c r="B83" s="41" t="s">
        <v>66</v>
      </c>
      <c r="C83" s="41"/>
      <c r="D83" s="43"/>
      <c r="E83" s="52" t="s">
        <v>21</v>
      </c>
      <c r="F83" s="43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</row>
    <row r="84" spans="1:17" ht="15.75" customHeight="1">
      <c r="A84" s="10"/>
      <c r="B84" s="128" t="s">
        <v>57</v>
      </c>
      <c r="C84" s="129"/>
      <c r="D84" s="18"/>
      <c r="E84" s="140"/>
      <c r="F84" s="18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</row>
    <row r="85" spans="1:17" ht="15.75" customHeight="1">
      <c r="A85" s="10"/>
      <c r="B85" s="18" t="str">
        <f>"After-tax Profit per share ("&amp;Market_currency&amp;")"</f>
        <v>After-tax Profit per share (CNY)</v>
      </c>
      <c r="C85" s="127">
        <f>C15*scaling_factor/Common_Shares*Exchange_Rate</f>
        <v>5.4586224746020449</v>
      </c>
      <c r="D85" s="18"/>
      <c r="E85" s="140"/>
      <c r="F85" s="18"/>
      <c r="G85" s="127">
        <f t="shared" ref="G85:Q85" si="43">IF(G$4="","",G15*scaling_factor/Common_Shares*Exchange_Rate)</f>
        <v>6.6173553593746677</v>
      </c>
      <c r="H85" s="127">
        <f t="shared" si="43"/>
        <v>6.6478738199797665</v>
      </c>
      <c r="I85" s="127">
        <f t="shared" si="43"/>
        <v>6.7361077920446659</v>
      </c>
      <c r="J85" s="127">
        <f t="shared" si="43"/>
        <v>7.2001905660095833</v>
      </c>
      <c r="K85" s="127">
        <f t="shared" si="43"/>
        <v>6.8335839477628442</v>
      </c>
      <c r="L85" s="127">
        <f t="shared" si="43"/>
        <v>5.9557690461941029</v>
      </c>
      <c r="M85" s="127">
        <f t="shared" si="43"/>
        <v>5.1439009759013636</v>
      </c>
      <c r="N85" s="127">
        <f t="shared" si="43"/>
        <v>4.4654669321028422</v>
      </c>
      <c r="O85" s="127">
        <f t="shared" si="43"/>
        <v>5.0342463177650627</v>
      </c>
      <c r="P85" s="127">
        <f t="shared" si="43"/>
        <v>4.5745439537608137</v>
      </c>
      <c r="Q85" s="127" t="str">
        <f t="shared" si="43"/>
        <v/>
      </c>
    </row>
    <row r="86" spans="1:17" ht="15.75" customHeight="1">
      <c r="A86" s="10"/>
      <c r="B86" s="18" t="s">
        <v>193</v>
      </c>
      <c r="C86" s="60">
        <f>C85/Market_Price</f>
        <v>0.2556731838221098</v>
      </c>
      <c r="D86" s="18"/>
      <c r="E86" s="140"/>
      <c r="F86" s="18"/>
      <c r="G86" s="60">
        <f t="shared" ref="G86" si="44">IF(G$4="","",G85/Market_Price)</f>
        <v>0.30994638685595632</v>
      </c>
      <c r="H86" s="60">
        <f t="shared" ref="H86" si="45">IF(H$4="","",H85/Market_Price)</f>
        <v>0.31137582294987193</v>
      </c>
      <c r="I86" s="60">
        <f t="shared" ref="I86" si="46">IF(I$4="","",I85/Market_Price)</f>
        <v>0.31550856168827474</v>
      </c>
      <c r="J86" s="60">
        <f t="shared" ref="J86" si="47">IF(J$4="","",J85/Market_Price)</f>
        <v>0.33724545976625681</v>
      </c>
      <c r="K86" s="60">
        <f t="shared" ref="K86" si="48">IF(K$4="","",K85/Market_Price)</f>
        <v>0.3200741895907655</v>
      </c>
      <c r="L86" s="60">
        <f t="shared" ref="L86" si="49">IF(L$4="","",L85/Market_Price)</f>
        <v>0.27895873752665584</v>
      </c>
      <c r="M86" s="60">
        <f t="shared" ref="M86" si="50">IF(M$4="","",M85/Market_Price)</f>
        <v>0.24093213001879921</v>
      </c>
      <c r="N86" s="60">
        <f t="shared" ref="N86" si="51">IF(N$4="","",N85/Market_Price)</f>
        <v>0.20915535981746333</v>
      </c>
      <c r="O86" s="60">
        <f t="shared" ref="O86" si="52">IF(O$4="","",O85/Market_Price)</f>
        <v>0.23579608045737996</v>
      </c>
      <c r="P86" s="60">
        <f t="shared" ref="P86" si="53">IF(P$4="","",P85/Market_Price)</f>
        <v>0.2142643538061271</v>
      </c>
      <c r="Q86" s="60" t="str">
        <f t="shared" ref="Q86" si="54">IF(Q$4="","",Q85/Market_Price)</f>
        <v/>
      </c>
    </row>
    <row r="87" spans="1:17" ht="15.75" customHeight="1">
      <c r="B87" s="2" t="s">
        <v>83</v>
      </c>
      <c r="C87" s="120"/>
      <c r="G87" s="15">
        <f>IF(G$4="","",(Data!C43*$C$3)/(Market_Price*Common_Shares))</f>
        <v>0.17471361569971058</v>
      </c>
      <c r="H87" s="15">
        <f>IF(H$4="","",(Data!D43*$C$3)/(Market_Price*Common_Shares))</f>
        <v>0.17508112056297279</v>
      </c>
      <c r="I87" s="15">
        <f>IF(I$4="","",(Data!E43*$C$3)/(Market_Price*Common_Shares))</f>
        <v>0.20835947505223901</v>
      </c>
      <c r="J87" s="15">
        <f>IF(J$4="","",(Data!F43*$C$3)/(Market_Price*Common_Shares))</f>
        <v>0.18897415717292254</v>
      </c>
      <c r="K87" s="15">
        <f>IF(K$4="","",(Data!G43*$C$3)/(Market_Price*Common_Shares))</f>
        <v>0.15259568497208853</v>
      </c>
      <c r="L87" s="15">
        <f>IF(L$4="","",(Data!H43*$C$3)/(Market_Price*Common_Shares))</f>
        <v>0.15038840116145225</v>
      </c>
      <c r="M87" s="15">
        <f>IF(M$4="","",(Data!I43*$C$3)/(Market_Price*Common_Shares))</f>
        <v>0.13808487945088815</v>
      </c>
      <c r="N87" s="15">
        <f>IF(N$4="","",(Data!J43*$C$3)/(Market_Price*Common_Shares))</f>
        <v>0.13017112441990411</v>
      </c>
      <c r="O87" s="15">
        <f>IF(O$4="","",(Data!K43*$C$3)/(Market_Price*Common_Shares))</f>
        <v>0.12248734175734184</v>
      </c>
      <c r="P87" s="15">
        <f>IF(P$4="","",(Data!L43*$C$3)/(Market_Price*Common_Shares))</f>
        <v>0.11419706333884375</v>
      </c>
      <c r="Q87" s="15" t="str">
        <f>IF(Q$4="","",(Data!M43*$C$3)/(Market_Price*Common_Shares))</f>
        <v/>
      </c>
    </row>
    <row r="88" spans="1:17" ht="15.75" customHeight="1"/>
    <row r="89" spans="1:17" ht="15.75" customHeight="1"/>
    <row r="90" spans="1:17" ht="15.75" customHeight="1"/>
    <row r="91" spans="1:17" ht="15.75" customHeight="1"/>
    <row r="92" spans="1:17" ht="15.75" customHeight="1"/>
    <row r="93" spans="1:17" ht="15.75" customHeight="1"/>
    <row r="94" spans="1:17" ht="15.75" customHeight="1"/>
    <row r="95" spans="1:17" ht="15.75" customHeight="1"/>
    <row r="96" spans="1:1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</sheetData>
  <phoneticPr fontId="2" type="noConversion"/>
  <conditionalFormatting sqref="G4:Q12 G14:Q16">
    <cfRule type="expression" dxfId="5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AD111"/>
  <sheetViews>
    <sheetView showGridLines="0" topLeftCell="I1" zoomScale="39" zoomScaleNormal="70" workbookViewId="0">
      <selection activeCell="A2" sqref="A2:X53"/>
    </sheetView>
  </sheetViews>
  <sheetFormatPr defaultColWidth="8.796875" defaultRowHeight="12.75"/>
  <cols>
    <col min="1" max="1" width="6.1328125" customWidth="1"/>
    <col min="2" max="15" width="20.6640625" customWidth="1"/>
    <col min="16" max="16" width="2.59765625" customWidth="1"/>
    <col min="17" max="24" width="21.33203125" customWidth="1"/>
  </cols>
  <sheetData>
    <row r="2" spans="2:24" ht="13.9">
      <c r="B2" s="26" t="s">
        <v>252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</row>
    <row r="3" spans="2:24" ht="13.15">
      <c r="B3" s="78" t="s">
        <v>253</v>
      </c>
      <c r="C3" s="77">
        <f>scaling_factor</f>
        <v>1000000</v>
      </c>
      <c r="E3" s="78" t="s">
        <v>215</v>
      </c>
      <c r="F3" s="78"/>
      <c r="G3" s="229"/>
      <c r="H3" s="78" t="s">
        <v>216</v>
      </c>
      <c r="I3" s="242"/>
    </row>
    <row r="4" spans="2:24">
      <c r="B4" s="71" t="s">
        <v>170</v>
      </c>
      <c r="C4" s="163">
        <f>Past_EBITDA!C15</f>
        <v>113399.12237642468</v>
      </c>
      <c r="D4" t="str">
        <f>Reporting_currency</f>
        <v>CNY</v>
      </c>
      <c r="E4" s="182" t="s">
        <v>202</v>
      </c>
      <c r="F4" s="247">
        <f>Past_EBITDA!C4</f>
        <v>343835</v>
      </c>
      <c r="G4" s="182"/>
      <c r="H4" s="71" t="s">
        <v>1</v>
      </c>
      <c r="I4" s="247">
        <f>Past_EBITDA!C21</f>
        <v>10507898</v>
      </c>
      <c r="R4" s="180"/>
      <c r="S4" s="180"/>
      <c r="T4" s="180"/>
    </row>
    <row r="5" spans="2:24">
      <c r="B5" s="71" t="s">
        <v>254</v>
      </c>
      <c r="C5" s="245">
        <v>1</v>
      </c>
      <c r="E5" s="182" t="s">
        <v>203</v>
      </c>
      <c r="F5" s="247">
        <f>Past_EBITDA!C5</f>
        <v>61890</v>
      </c>
      <c r="G5" s="182"/>
      <c r="H5" s="188" t="s">
        <v>178</v>
      </c>
      <c r="I5" s="248">
        <f>Past_EBITDA!C22</f>
        <v>10503981</v>
      </c>
      <c r="R5" s="180"/>
      <c r="S5" s="180"/>
      <c r="T5" s="180"/>
    </row>
    <row r="6" spans="2:24">
      <c r="B6" s="243" t="s">
        <v>171</v>
      </c>
      <c r="C6" s="244">
        <f>L16</f>
        <v>0.19418818665917692</v>
      </c>
      <c r="E6" s="182" t="s">
        <v>182</v>
      </c>
      <c r="F6" s="247">
        <f>Past_EBITDA!C7</f>
        <v>-62611</v>
      </c>
      <c r="G6" s="182"/>
      <c r="H6" s="249" t="s">
        <v>180</v>
      </c>
      <c r="I6" s="248">
        <f>Past_EBITDA!C$23</f>
        <v>3917</v>
      </c>
      <c r="O6" s="182"/>
      <c r="R6" s="180"/>
      <c r="S6" s="180"/>
      <c r="T6" s="180"/>
    </row>
    <row r="7" spans="2:24" ht="13.15">
      <c r="B7" s="229" t="s">
        <v>230</v>
      </c>
      <c r="C7" s="166">
        <f>C4*C5*C6*(1-dividend_tax_rate)</f>
        <v>19818.692948718002</v>
      </c>
      <c r="D7" t="str">
        <f>Reporting_currency</f>
        <v>CNY</v>
      </c>
      <c r="E7" s="182" t="s">
        <v>183</v>
      </c>
      <c r="F7" s="241">
        <f>Past_EBITDA!C49</f>
        <v>0</v>
      </c>
      <c r="G7" s="182" t="s">
        <v>209</v>
      </c>
      <c r="H7" s="182" t="s">
        <v>204</v>
      </c>
      <c r="I7" s="247">
        <f>Past_EBITDA!G24</f>
        <v>-9614287</v>
      </c>
      <c r="L7" s="182"/>
      <c r="M7" s="182"/>
      <c r="N7" s="182"/>
      <c r="O7" s="182"/>
      <c r="R7" s="180"/>
      <c r="S7" s="180"/>
      <c r="T7" s="180"/>
    </row>
    <row r="8" spans="2:24" ht="13.25" customHeight="1">
      <c r="B8" s="130" t="s">
        <v>228</v>
      </c>
      <c r="C8" s="131">
        <f>Equity_Cost-Terminal_Growth</f>
        <v>5.2499999999999991E-2</v>
      </c>
      <c r="E8" s="182" t="s">
        <v>201</v>
      </c>
      <c r="F8" s="113">
        <f>Past_EBITDA!C34</f>
        <v>0</v>
      </c>
      <c r="G8" s="71" t="s">
        <v>218</v>
      </c>
      <c r="H8" s="249" t="s">
        <v>233</v>
      </c>
      <c r="I8" s="248">
        <f>Past_EBITDA!C25</f>
        <v>-9516669</v>
      </c>
      <c r="L8" s="182"/>
      <c r="M8" s="182"/>
      <c r="N8" s="182"/>
      <c r="O8" s="182"/>
      <c r="R8" s="180"/>
      <c r="S8" s="180"/>
      <c r="T8" s="180"/>
      <c r="W8" s="104"/>
    </row>
    <row r="9" spans="2:24" ht="12.75" customHeight="1">
      <c r="B9" s="105" t="s">
        <v>120</v>
      </c>
      <c r="C9" s="166">
        <f>C7/C8</f>
        <v>377498.9133089144</v>
      </c>
      <c r="D9" t="str">
        <f>Reporting_currency</f>
        <v>CNY</v>
      </c>
      <c r="E9" s="182" t="s">
        <v>217</v>
      </c>
      <c r="F9" s="241">
        <f>Past_EBITDA!C55</f>
        <v>-2.9240067128604818E-3</v>
      </c>
      <c r="G9" s="182" t="s">
        <v>209</v>
      </c>
      <c r="H9" s="250" t="s">
        <v>234</v>
      </c>
      <c r="I9" s="251">
        <f>I8/I7</f>
        <v>0.98984656896554057</v>
      </c>
      <c r="L9" s="186"/>
      <c r="M9" s="186"/>
      <c r="N9" s="186"/>
      <c r="O9" s="186"/>
      <c r="R9" s="187"/>
      <c r="S9" s="187"/>
      <c r="T9" s="187"/>
      <c r="W9" s="179"/>
      <c r="X9" s="179"/>
    </row>
    <row r="10" spans="2:24" ht="13.15">
      <c r="B10" s="105" t="s">
        <v>120</v>
      </c>
      <c r="C10" s="166">
        <f>C9*Exchange_Rate</f>
        <v>377498.9133089144</v>
      </c>
      <c r="D10" t="str">
        <f>Market_currency</f>
        <v>CNY</v>
      </c>
      <c r="E10" s="182" t="s">
        <v>229</v>
      </c>
      <c r="F10" s="241">
        <f>Past_EBITDA!C41</f>
        <v>0.25</v>
      </c>
      <c r="G10" s="182" t="s">
        <v>219</v>
      </c>
      <c r="H10" s="71" t="s">
        <v>220</v>
      </c>
      <c r="I10" s="247">
        <f>I4+I7</f>
        <v>893611</v>
      </c>
      <c r="L10" s="188"/>
      <c r="M10" s="188"/>
      <c r="N10" s="188"/>
      <c r="O10" s="188"/>
      <c r="R10" s="187"/>
      <c r="S10" s="187"/>
      <c r="T10" s="187"/>
      <c r="W10" s="179"/>
      <c r="X10" s="179"/>
    </row>
    <row r="11" spans="2:24" ht="13.15">
      <c r="B11" s="105" t="s">
        <v>119</v>
      </c>
      <c r="C11" s="79">
        <f>(C10*scaling_factor)/Common_Shares</f>
        <v>18.171428571428578</v>
      </c>
      <c r="D11" t="str">
        <f>Market_currency</f>
        <v>CNY</v>
      </c>
      <c r="E11" s="182" t="s">
        <v>208</v>
      </c>
      <c r="F11" s="113">
        <f>Past_EBITDA!C57</f>
        <v>0</v>
      </c>
      <c r="G11" s="182" t="s">
        <v>209</v>
      </c>
      <c r="H11" s="188" t="s">
        <v>213</v>
      </c>
      <c r="I11" s="254">
        <f>I10/I4</f>
        <v>8.5041841860284517E-2</v>
      </c>
      <c r="L11" s="182"/>
      <c r="M11" s="182"/>
      <c r="N11" s="182"/>
      <c r="O11" s="182"/>
      <c r="R11" s="113"/>
      <c r="S11" s="113"/>
      <c r="T11" s="113"/>
      <c r="W11" s="179"/>
      <c r="X11" s="179"/>
    </row>
    <row r="12" spans="2:24">
      <c r="G12" s="182"/>
      <c r="L12" s="182"/>
      <c r="M12" s="182"/>
      <c r="N12" s="182"/>
      <c r="O12" s="182"/>
      <c r="R12" s="181"/>
      <c r="S12" s="181"/>
      <c r="T12" s="181"/>
      <c r="W12" s="179"/>
      <c r="X12" s="179"/>
    </row>
    <row r="13" spans="2:24" ht="13.9">
      <c r="B13" s="26" t="s">
        <v>172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</row>
    <row r="14" spans="2:24" ht="13.15">
      <c r="B14" s="78" t="s">
        <v>104</v>
      </c>
      <c r="C14" s="183" t="s">
        <v>109</v>
      </c>
      <c r="E14" s="78" t="s">
        <v>104</v>
      </c>
      <c r="F14" s="183" t="str">
        <f>IF(AND(F16=C16,F17=C17,C18=F18,C19=F19),"I","II")</f>
        <v>II</v>
      </c>
      <c r="H14" s="78" t="s">
        <v>115</v>
      </c>
      <c r="K14" s="78" t="s">
        <v>214</v>
      </c>
      <c r="L14" s="229"/>
    </row>
    <row r="15" spans="2:24">
      <c r="B15" s="108" t="s">
        <v>117</v>
      </c>
      <c r="C15" s="117">
        <f>Scenarios!C48</f>
        <v>30</v>
      </c>
      <c r="E15" s="182" t="str">
        <f>IF(F14="II","Change year","Terminal Year")</f>
        <v>Change year</v>
      </c>
      <c r="F15" s="184">
        <f>IF(F14="II",_xlfn.CEILING.MATH(C15/2),C15+1)</f>
        <v>15</v>
      </c>
      <c r="H15" s="71" t="s">
        <v>121</v>
      </c>
      <c r="I15" s="96">
        <f>Terminal_Growth</f>
        <v>0.02</v>
      </c>
      <c r="K15" s="71" t="s">
        <v>221</v>
      </c>
      <c r="L15" s="113">
        <f>Thesis!C15</f>
        <v>8.5000000000000006E-2</v>
      </c>
    </row>
    <row r="16" spans="2:24" ht="13.25" customHeight="1">
      <c r="B16" s="85" t="s">
        <v>118</v>
      </c>
      <c r="C16" s="116">
        <f>Scenarios!C49</f>
        <v>3.0136697904554147E-2</v>
      </c>
      <c r="E16" s="182" t="s">
        <v>105</v>
      </c>
      <c r="F16" s="185">
        <f>Scenarios!C41</f>
        <v>3.0136697904554147E-2</v>
      </c>
      <c r="K16" s="71" t="s">
        <v>160</v>
      </c>
      <c r="L16" s="113">
        <f>Past_EBITDA!C63</f>
        <v>0.19418818665917692</v>
      </c>
    </row>
    <row r="17" spans="1:30" ht="13.25" customHeight="1">
      <c r="B17" s="182" t="s">
        <v>199</v>
      </c>
      <c r="C17" s="181">
        <f>Past_EBITDA!C31</f>
        <v>3.2733779697430909E-2</v>
      </c>
      <c r="E17" s="182" t="s">
        <v>199</v>
      </c>
      <c r="F17" s="185">
        <f>Scenarios!C42</f>
        <v>0.03</v>
      </c>
      <c r="K17" s="182" t="s">
        <v>92</v>
      </c>
      <c r="L17" s="113">
        <f>dividend_tax_rate</f>
        <v>0.1</v>
      </c>
      <c r="M17" s="182" t="s">
        <v>232</v>
      </c>
      <c r="N17" s="229"/>
      <c r="O17" s="229"/>
    </row>
    <row r="18" spans="1:30" ht="13.25" customHeight="1">
      <c r="B18" s="182" t="s">
        <v>200</v>
      </c>
      <c r="C18" s="181">
        <f>Past_EBITDA!C32</f>
        <v>5.8920517849375392E-3</v>
      </c>
      <c r="E18" s="182" t="s">
        <v>200</v>
      </c>
      <c r="F18" s="185">
        <f>Scenarios!C43</f>
        <v>5.8920517849375392E-3</v>
      </c>
      <c r="H18" s="78" t="s">
        <v>114</v>
      </c>
      <c r="I18" s="229"/>
      <c r="L18" s="109"/>
      <c r="M18" s="109"/>
      <c r="N18" s="109"/>
      <c r="O18" s="109"/>
    </row>
    <row r="19" spans="1:30" ht="13.25" customHeight="1">
      <c r="B19" s="182" t="s">
        <v>211</v>
      </c>
      <c r="C19" s="181">
        <f>Past_EBITDA!C37</f>
        <v>0.02</v>
      </c>
      <c r="E19" s="182" t="s">
        <v>211</v>
      </c>
      <c r="F19" s="185">
        <f>Scenarios!C44</f>
        <v>0.02</v>
      </c>
      <c r="H19" s="109" t="s">
        <v>32</v>
      </c>
      <c r="I19" s="99">
        <f>O53*Exchange_Rate/Common_Shares*scaling_factor</f>
        <v>20.291390075945532</v>
      </c>
      <c r="K19" s="99"/>
      <c r="L19" s="109"/>
      <c r="M19" s="109"/>
      <c r="N19" s="109"/>
      <c r="O19" s="109"/>
      <c r="S19" s="99"/>
      <c r="T19" s="99"/>
    </row>
    <row r="20" spans="1:30">
      <c r="U20" s="163"/>
      <c r="V20" s="163"/>
    </row>
    <row r="21" spans="1:30" ht="13.15">
      <c r="A21" s="91" t="s">
        <v>104</v>
      </c>
      <c r="B21" s="91" t="s">
        <v>33</v>
      </c>
      <c r="C21" s="91" t="s">
        <v>173</v>
      </c>
      <c r="D21" s="91" t="s">
        <v>202</v>
      </c>
      <c r="E21" s="91" t="s">
        <v>203</v>
      </c>
      <c r="F21" s="91" t="s">
        <v>182</v>
      </c>
      <c r="G21" s="91" t="s">
        <v>183</v>
      </c>
      <c r="H21" s="240" t="s">
        <v>206</v>
      </c>
      <c r="I21" s="240" t="s">
        <v>211</v>
      </c>
      <c r="J21" s="91" t="s">
        <v>161</v>
      </c>
      <c r="K21" s="91" t="s">
        <v>170</v>
      </c>
      <c r="L21" s="91" t="s">
        <v>226</v>
      </c>
      <c r="M21" s="91" t="s">
        <v>231</v>
      </c>
      <c r="N21" s="91" t="s">
        <v>149</v>
      </c>
      <c r="O21" s="92" t="s">
        <v>175</v>
      </c>
      <c r="Q21" s="91" t="s">
        <v>227</v>
      </c>
      <c r="R21" s="91" t="s">
        <v>222</v>
      </c>
      <c r="S21" s="91" t="s">
        <v>224</v>
      </c>
      <c r="T21" s="91" t="s">
        <v>225</v>
      </c>
      <c r="U21" s="91" t="s">
        <v>212</v>
      </c>
      <c r="V21" s="91" t="s">
        <v>223</v>
      </c>
      <c r="W21" s="91" t="s">
        <v>174</v>
      </c>
      <c r="X21" s="91" t="s">
        <v>238</v>
      </c>
    </row>
    <row r="22" spans="1:30">
      <c r="A22" s="177" t="str">
        <f t="shared" ref="A22:A51" si="0">IF($C$15&lt;B22,"",IF(B22&gt;=$F$15,"II","I"))</f>
        <v>I</v>
      </c>
      <c r="B22" s="87">
        <v>1</v>
      </c>
      <c r="C22" s="175">
        <f t="shared" ref="C22:C51" si="1">IF(A22="",0,IF(A22="I",$C$16,$F$16))</f>
        <v>3.0136697904554147E-2</v>
      </c>
      <c r="D22" s="164">
        <f>F4*(1+C22)</f>
        <v>354197.05152401235</v>
      </c>
      <c r="E22" s="164">
        <f>F5*(1+C22)</f>
        <v>63755.160233312854</v>
      </c>
      <c r="F22" s="164">
        <f>F$6*(1+C22)</f>
        <v>-64497.888792502039</v>
      </c>
      <c r="G22" s="164">
        <f>-(D22+E22)*F$7</f>
        <v>0</v>
      </c>
      <c r="H22" s="164">
        <f>I$6*F$8</f>
        <v>0</v>
      </c>
      <c r="I22" s="175">
        <f>IF(A22="",0,IF(A22="I",$C$19,$F$19))</f>
        <v>0.02</v>
      </c>
      <c r="J22" s="164">
        <f>S22*I$9*I22</f>
        <v>-196076.22770647836</v>
      </c>
      <c r="K22" s="164">
        <f t="shared" ref="K22:K52" si="2">SUM(D22:J22)*(1-Income_Tax_rate)+(D22+E22)*F$9</f>
        <v>116811.49137092533</v>
      </c>
      <c r="L22" s="164">
        <f>MIN(MIN(K22*L$16,W22),0)</f>
        <v>0</v>
      </c>
      <c r="M22" s="164">
        <f t="shared" ref="M22:M51" si="3">IF(L22&gt;0,L22*(1-dividend_tax_rate),L22)</f>
        <v>0</v>
      </c>
      <c r="N22" s="89">
        <f t="shared" ref="N22:N51" si="4">IF($C$15&lt;B22,0,1/(1+Equity_Cost)^B22)</f>
        <v>0.93240093240093236</v>
      </c>
      <c r="O22" s="164">
        <f>M22*N22</f>
        <v>0</v>
      </c>
      <c r="Q22" s="175">
        <f>IF(A22="I",C$17+C$18,F$17+F$18)</f>
        <v>3.862583148236845E-2</v>
      </c>
      <c r="R22" s="164">
        <f>(D22+E22)/Q22+I$6</f>
        <v>10824453.302192176</v>
      </c>
      <c r="S22" s="164">
        <f>-R22*(1-L$15)</f>
        <v>-9904374.771505842</v>
      </c>
      <c r="T22" s="164">
        <f>R22*L$15</f>
        <v>920078.53068633506</v>
      </c>
      <c r="U22" s="164">
        <f>(D22+E22)*F$11</f>
        <v>0</v>
      </c>
      <c r="V22" s="164">
        <f>T22-I$10</f>
        <v>26467.530686335056</v>
      </c>
      <c r="W22" s="164">
        <f>K22+U22-V22</f>
        <v>90343.960684590274</v>
      </c>
      <c r="X22" s="164">
        <f>MAX(0,IF(W22&lt;=0,W22,W22-L22))</f>
        <v>90343.960684590274</v>
      </c>
    </row>
    <row r="23" spans="1:30">
      <c r="A23" s="177" t="str">
        <f t="shared" si="0"/>
        <v>I</v>
      </c>
      <c r="B23" s="87">
        <v>2</v>
      </c>
      <c r="C23" s="175">
        <f t="shared" si="1"/>
        <v>3.0136697904554147E-2</v>
      </c>
      <c r="D23" s="164">
        <f t="shared" ref="D23:D51" si="5">IF(A23="",0,D22*(1+C23))</f>
        <v>364871.38106447528</v>
      </c>
      <c r="E23" s="164">
        <f t="shared" ref="E23:E51" si="6">IF(A23="",0,E22*(1+C23))</f>
        <v>65676.530237120649</v>
      </c>
      <c r="F23" s="164">
        <f t="shared" ref="F23:F51" si="7">IF(A23="",0,F22*(1+C23))</f>
        <v>-66441.642182523196</v>
      </c>
      <c r="G23" s="164">
        <f t="shared" ref="G23:G51" si="8">IF(A23="",0,-(D23+E23)*F$7)</f>
        <v>0</v>
      </c>
      <c r="H23" s="164">
        <f t="shared" ref="H23:H51" si="9">IF(A23="",0,I$6*F$8)</f>
        <v>0</v>
      </c>
      <c r="I23" s="175">
        <f t="shared" ref="I23:I51" si="10">IF(A23="",0,IF(A23="I",$C$19,$F$19))</f>
        <v>0.02</v>
      </c>
      <c r="J23" s="164">
        <f t="shared" ref="J23:J51" si="11">S23*I$9*I23</f>
        <v>-201983.17944923998</v>
      </c>
      <c r="K23" s="164">
        <f t="shared" si="2"/>
        <v>120333.40726952063</v>
      </c>
      <c r="L23" s="164">
        <f t="shared" ref="L23:L51" si="12">IF(A23="",0,MIN(K23*L$16,W23))</f>
        <v>23367.326152188427</v>
      </c>
      <c r="M23" s="164">
        <f t="shared" si="3"/>
        <v>21030.593536969584</v>
      </c>
      <c r="N23" s="89">
        <f t="shared" si="4"/>
        <v>0.86937149874212816</v>
      </c>
      <c r="O23" s="164">
        <f t="shared" ref="O23:O51" si="13">M23*N23</f>
        <v>18283.398622671761</v>
      </c>
      <c r="Q23" s="175">
        <f t="shared" ref="Q23:Q51" si="14">IF(A23="",0,IF(A23="I",C$17+C$18,F$17+F$18))</f>
        <v>3.862583148236845E-2</v>
      </c>
      <c r="R23" s="164">
        <f t="shared" ref="R23:R51" si="15">IF(A23="",0,(D23+E23)/Q23+I$6)</f>
        <v>11150548.535896601</v>
      </c>
      <c r="S23" s="164">
        <f t="shared" ref="S23:S51" si="16">IF(A23="",0,-R23*(1-L$15))</f>
        <v>-10202751.91034539</v>
      </c>
      <c r="T23" s="164">
        <f t="shared" ref="T23:T51" si="17">IF(A23="",0,R23*L$15)</f>
        <v>947796.62555121118</v>
      </c>
      <c r="U23" s="164">
        <f>IF(A23="",0,(D23+E23)*F$11)</f>
        <v>0</v>
      </c>
      <c r="V23" s="164">
        <f>IF(A23="",0,MAX(T23-(T22+X22),0))</f>
        <v>0</v>
      </c>
      <c r="W23" s="164">
        <f t="shared" ref="W23:W51" si="18">K23+U23-V23</f>
        <v>120333.40726952063</v>
      </c>
      <c r="X23" s="164">
        <f t="shared" ref="X23:X52" si="19">MAX(0,IF(W23&lt;=0,W23,W23-L23))</f>
        <v>96966.0811173322</v>
      </c>
    </row>
    <row r="24" spans="1:30">
      <c r="A24" s="177" t="str">
        <f t="shared" si="0"/>
        <v>I</v>
      </c>
      <c r="B24" s="87">
        <v>3</v>
      </c>
      <c r="C24" s="175">
        <f t="shared" si="1"/>
        <v>3.0136697904554147E-2</v>
      </c>
      <c r="D24" s="164">
        <f t="shared" si="5"/>
        <v>375867.3996496328</v>
      </c>
      <c r="E24" s="164">
        <f t="shared" si="6"/>
        <v>67655.803988296073</v>
      </c>
      <c r="F24" s="164">
        <f t="shared" si="7"/>
        <v>-68443.973881260375</v>
      </c>
      <c r="G24" s="164">
        <f t="shared" si="8"/>
        <v>0</v>
      </c>
      <c r="H24" s="164">
        <f t="shared" si="9"/>
        <v>0</v>
      </c>
      <c r="I24" s="175">
        <f t="shared" si="10"/>
        <v>0.02</v>
      </c>
      <c r="J24" s="164">
        <f t="shared" si="11"/>
        <v>-208068.14721221005</v>
      </c>
      <c r="K24" s="164">
        <f t="shared" si="2"/>
        <v>123961.46208359716</v>
      </c>
      <c r="L24" s="164">
        <f t="shared" si="12"/>
        <v>24071.851537634047</v>
      </c>
      <c r="M24" s="164">
        <f t="shared" si="3"/>
        <v>21664.666383870644</v>
      </c>
      <c r="N24" s="89">
        <f t="shared" si="4"/>
        <v>0.81060279602995633</v>
      </c>
      <c r="O24" s="164">
        <f t="shared" si="13"/>
        <v>17561.439145821747</v>
      </c>
      <c r="Q24" s="175">
        <f t="shared" si="14"/>
        <v>3.862583148236845E-2</v>
      </c>
      <c r="R24" s="164">
        <f t="shared" si="15"/>
        <v>11486471.203147292</v>
      </c>
      <c r="S24" s="164">
        <f t="shared" si="16"/>
        <v>-10510121.150879772</v>
      </c>
      <c r="T24" s="164">
        <f t="shared" si="17"/>
        <v>976350.05226751987</v>
      </c>
      <c r="U24" s="164">
        <f t="shared" ref="U24:U51" si="20">IF(A24="",0,(D24+E24)*F$11)</f>
        <v>0</v>
      </c>
      <c r="V24" s="164">
        <f t="shared" ref="V24:V51" si="21">IF(A24="",0,MAX(T24-(T23+X23),0))</f>
        <v>0</v>
      </c>
      <c r="W24" s="164">
        <f t="shared" si="18"/>
        <v>123961.46208359716</v>
      </c>
      <c r="X24" s="164">
        <f t="shared" si="19"/>
        <v>99889.610545963107</v>
      </c>
      <c r="Z24" s="163"/>
      <c r="AA24" s="163"/>
      <c r="AB24" s="163"/>
      <c r="AC24" s="163"/>
      <c r="AD24" s="163"/>
    </row>
    <row r="25" spans="1:30">
      <c r="A25" s="177" t="str">
        <f t="shared" si="0"/>
        <v>I</v>
      </c>
      <c r="B25" s="87">
        <v>4</v>
      </c>
      <c r="C25" s="175">
        <f t="shared" si="1"/>
        <v>3.0136697904554147E-2</v>
      </c>
      <c r="D25" s="164">
        <f t="shared" si="5"/>
        <v>387194.8019250441</v>
      </c>
      <c r="E25" s="164">
        <f t="shared" si="6"/>
        <v>69694.726514581082</v>
      </c>
      <c r="F25" s="164">
        <f t="shared" si="7"/>
        <v>-70506.649245507113</v>
      </c>
      <c r="G25" s="164">
        <f t="shared" si="8"/>
        <v>0</v>
      </c>
      <c r="H25" s="164">
        <f t="shared" si="9"/>
        <v>0</v>
      </c>
      <c r="I25" s="175">
        <f t="shared" si="10"/>
        <v>0.02</v>
      </c>
      <c r="J25" s="164">
        <f t="shared" si="11"/>
        <v>-214336.4958104117</v>
      </c>
      <c r="K25" s="164">
        <f t="shared" si="2"/>
        <v>127698.85448958668</v>
      </c>
      <c r="L25" s="164">
        <f t="shared" si="12"/>
        <v>24797.608991786932</v>
      </c>
      <c r="M25" s="164">
        <f t="shared" si="3"/>
        <v>22317.848092608241</v>
      </c>
      <c r="N25" s="89">
        <f t="shared" si="4"/>
        <v>0.75580680282513402</v>
      </c>
      <c r="O25" s="164">
        <f t="shared" si="13"/>
        <v>16867.981412811248</v>
      </c>
      <c r="Q25" s="175">
        <f t="shared" si="14"/>
        <v>3.862583148236845E-2</v>
      </c>
      <c r="R25" s="164">
        <f t="shared" si="15"/>
        <v>11832517.470340211</v>
      </c>
      <c r="S25" s="164">
        <f t="shared" si="16"/>
        <v>-10826753.485361293</v>
      </c>
      <c r="T25" s="164">
        <f t="shared" si="17"/>
        <v>1005763.984978918</v>
      </c>
      <c r="U25" s="164">
        <f t="shared" si="20"/>
        <v>0</v>
      </c>
      <c r="V25" s="164">
        <f t="shared" si="21"/>
        <v>0</v>
      </c>
      <c r="W25" s="164">
        <f t="shared" si="18"/>
        <v>127698.85448958668</v>
      </c>
      <c r="X25" s="164">
        <f t="shared" si="19"/>
        <v>102901.24549779974</v>
      </c>
      <c r="Z25" s="163"/>
      <c r="AA25" s="163"/>
      <c r="AB25" s="163"/>
      <c r="AC25" s="163"/>
      <c r="AD25" s="163"/>
    </row>
    <row r="26" spans="1:30">
      <c r="A26" s="177" t="str">
        <f t="shared" si="0"/>
        <v>I</v>
      </c>
      <c r="B26" s="87">
        <v>5</v>
      </c>
      <c r="C26" s="175">
        <f t="shared" si="1"/>
        <v>3.0136697904554147E-2</v>
      </c>
      <c r="D26" s="164">
        <f t="shared" si="5"/>
        <v>398863.57470087282</v>
      </c>
      <c r="E26" s="164">
        <f t="shared" si="6"/>
        <v>71795.095433091527</v>
      </c>
      <c r="F26" s="164">
        <f t="shared" si="7"/>
        <v>-72631.486834081312</v>
      </c>
      <c r="G26" s="164">
        <f t="shared" si="8"/>
        <v>0</v>
      </c>
      <c r="H26" s="164">
        <f t="shared" si="9"/>
        <v>0</v>
      </c>
      <c r="I26" s="175">
        <f t="shared" si="10"/>
        <v>0.02</v>
      </c>
      <c r="J26" s="164">
        <f t="shared" si="11"/>
        <v>-220793.75173667778</v>
      </c>
      <c r="K26" s="164">
        <f t="shared" si="2"/>
        <v>131548.87956146625</v>
      </c>
      <c r="L26" s="164">
        <f t="shared" si="12"/>
        <v>25545.238379087594</v>
      </c>
      <c r="M26" s="164">
        <f t="shared" si="3"/>
        <v>22990.714541178833</v>
      </c>
      <c r="N26" s="89">
        <f t="shared" si="4"/>
        <v>0.70471496766912267</v>
      </c>
      <c r="O26" s="164">
        <f t="shared" si="13"/>
        <v>16201.90065457687</v>
      </c>
      <c r="Q26" s="175">
        <f t="shared" si="14"/>
        <v>3.862583148236845E-2</v>
      </c>
      <c r="R26" s="164">
        <f t="shared" si="15"/>
        <v>12188992.429348521</v>
      </c>
      <c r="S26" s="164">
        <f t="shared" si="16"/>
        <v>-11152928.072853897</v>
      </c>
      <c r="T26" s="164">
        <f t="shared" si="17"/>
        <v>1036064.3564946244</v>
      </c>
      <c r="U26" s="164">
        <f t="shared" si="20"/>
        <v>0</v>
      </c>
      <c r="V26" s="164">
        <f t="shared" si="21"/>
        <v>0</v>
      </c>
      <c r="W26" s="164">
        <f t="shared" si="18"/>
        <v>131548.87956146625</v>
      </c>
      <c r="X26" s="164">
        <f t="shared" si="19"/>
        <v>106003.64118237866</v>
      </c>
      <c r="Z26" s="163"/>
      <c r="AA26" s="163"/>
      <c r="AB26" s="163"/>
      <c r="AC26" s="163"/>
      <c r="AD26" s="163"/>
    </row>
    <row r="27" spans="1:30">
      <c r="A27" s="177" t="str">
        <f t="shared" si="0"/>
        <v>I</v>
      </c>
      <c r="B27" s="87">
        <v>6</v>
      </c>
      <c r="C27" s="175">
        <f t="shared" si="1"/>
        <v>3.0136697904554147E-2</v>
      </c>
      <c r="D27" s="164">
        <f t="shared" si="5"/>
        <v>410884.00575676357</v>
      </c>
      <c r="E27" s="164">
        <f t="shared" si="6"/>
        <v>73958.762535187241</v>
      </c>
      <c r="F27" s="164">
        <f t="shared" si="7"/>
        <v>-74820.360011158613</v>
      </c>
      <c r="G27" s="164">
        <f t="shared" si="8"/>
        <v>0</v>
      </c>
      <c r="H27" s="164">
        <f t="shared" si="9"/>
        <v>0</v>
      </c>
      <c r="I27" s="175">
        <f t="shared" si="10"/>
        <v>0.02</v>
      </c>
      <c r="J27" s="164">
        <f t="shared" si="11"/>
        <v>-227445.60803408609</v>
      </c>
      <c r="K27" s="164">
        <f t="shared" si="2"/>
        <v>135514.93167586206</v>
      </c>
      <c r="L27" s="164">
        <f t="shared" si="12"/>
        <v>26315.398847377906</v>
      </c>
      <c r="M27" s="164">
        <f t="shared" si="3"/>
        <v>23683.858962640115</v>
      </c>
      <c r="N27" s="89">
        <f t="shared" si="4"/>
        <v>0.65707689293158289</v>
      </c>
      <c r="O27" s="164">
        <f t="shared" si="13"/>
        <v>15562.116459801389</v>
      </c>
      <c r="Q27" s="175">
        <f t="shared" si="14"/>
        <v>3.862583148236845E-2</v>
      </c>
      <c r="R27" s="164">
        <f t="shared" si="15"/>
        <v>12556210.366507001</v>
      </c>
      <c r="S27" s="164">
        <f t="shared" si="16"/>
        <v>-11488932.485353906</v>
      </c>
      <c r="T27" s="164">
        <f t="shared" si="17"/>
        <v>1067277.8811530953</v>
      </c>
      <c r="U27" s="164">
        <f t="shared" si="20"/>
        <v>0</v>
      </c>
      <c r="V27" s="164">
        <f t="shared" si="21"/>
        <v>0</v>
      </c>
      <c r="W27" s="164">
        <f t="shared" si="18"/>
        <v>135514.93167586206</v>
      </c>
      <c r="X27" s="164">
        <f t="shared" si="19"/>
        <v>109199.53282848415</v>
      </c>
    </row>
    <row r="28" spans="1:30">
      <c r="A28" s="177" t="str">
        <f t="shared" si="0"/>
        <v>I</v>
      </c>
      <c r="B28" s="87">
        <v>7</v>
      </c>
      <c r="C28" s="175">
        <f t="shared" si="1"/>
        <v>3.0136697904554147E-2</v>
      </c>
      <c r="D28" s="164">
        <f t="shared" si="5"/>
        <v>423266.69291206822</v>
      </c>
      <c r="E28" s="164">
        <f t="shared" si="6"/>
        <v>76187.63541910483</v>
      </c>
      <c r="F28" s="164">
        <f t="shared" si="7"/>
        <v>-77075.198597924886</v>
      </c>
      <c r="G28" s="164">
        <f t="shared" si="8"/>
        <v>0</v>
      </c>
      <c r="H28" s="164">
        <f t="shared" si="9"/>
        <v>0</v>
      </c>
      <c r="I28" s="175">
        <f t="shared" si="10"/>
        <v>0.02</v>
      </c>
      <c r="J28" s="164">
        <f t="shared" si="11"/>
        <v>-234297.92931523398</v>
      </c>
      <c r="K28" s="164">
        <f t="shared" si="2"/>
        <v>139600.50750470307</v>
      </c>
      <c r="L28" s="164">
        <f t="shared" si="12"/>
        <v>27108.769409039109</v>
      </c>
      <c r="M28" s="164">
        <f t="shared" si="3"/>
        <v>24397.8924681352</v>
      </c>
      <c r="N28" s="89">
        <f t="shared" si="4"/>
        <v>0.61265910762851561</v>
      </c>
      <c r="O28" s="164">
        <f t="shared" si="13"/>
        <v>14947.591027544195</v>
      </c>
      <c r="Q28" s="175">
        <f t="shared" si="14"/>
        <v>3.862583148236845E-2</v>
      </c>
      <c r="R28" s="164">
        <f t="shared" si="15"/>
        <v>12934495.039702762</v>
      </c>
      <c r="S28" s="164">
        <f t="shared" si="16"/>
        <v>-11835062.961328028</v>
      </c>
      <c r="T28" s="164">
        <f t="shared" si="17"/>
        <v>1099432.0783747348</v>
      </c>
      <c r="U28" s="164">
        <f t="shared" si="20"/>
        <v>0</v>
      </c>
      <c r="V28" s="164">
        <f t="shared" si="21"/>
        <v>0</v>
      </c>
      <c r="W28" s="164">
        <f t="shared" si="18"/>
        <v>139600.50750470307</v>
      </c>
      <c r="X28" s="164">
        <f t="shared" si="19"/>
        <v>112491.73809566395</v>
      </c>
    </row>
    <row r="29" spans="1:30">
      <c r="A29" s="177" t="str">
        <f t="shared" si="0"/>
        <v>I</v>
      </c>
      <c r="B29" s="87">
        <v>8</v>
      </c>
      <c r="C29" s="175">
        <f t="shared" si="1"/>
        <v>3.0136697904554147E-2</v>
      </c>
      <c r="D29" s="164">
        <f t="shared" si="5"/>
        <v>436022.55336941889</v>
      </c>
      <c r="E29" s="164">
        <f t="shared" si="6"/>
        <v>78483.679171792697</v>
      </c>
      <c r="F29" s="164">
        <f t="shared" si="7"/>
        <v>-79397.990574004056</v>
      </c>
      <c r="G29" s="164">
        <f t="shared" si="8"/>
        <v>0</v>
      </c>
      <c r="H29" s="164">
        <f t="shared" si="9"/>
        <v>0</v>
      </c>
      <c r="I29" s="175">
        <f t="shared" si="10"/>
        <v>0.02</v>
      </c>
      <c r="J29" s="164">
        <f t="shared" si="11"/>
        <v>-241356.75693277671</v>
      </c>
      <c r="K29" s="164">
        <f t="shared" si="2"/>
        <v>143809.20909806405</v>
      </c>
      <c r="L29" s="164">
        <f t="shared" si="12"/>
        <v>27926.049539643467</v>
      </c>
      <c r="M29" s="164">
        <f t="shared" si="3"/>
        <v>25133.444585679121</v>
      </c>
      <c r="N29" s="89">
        <f t="shared" si="4"/>
        <v>0.5712439231967511</v>
      </c>
      <c r="O29" s="164">
        <f t="shared" si="13"/>
        <v>14357.327488571484</v>
      </c>
      <c r="Q29" s="175">
        <f t="shared" si="14"/>
        <v>3.862583148236845E-2</v>
      </c>
      <c r="R29" s="164">
        <f t="shared" si="15"/>
        <v>13324179.963816546</v>
      </c>
      <c r="S29" s="164">
        <f t="shared" si="16"/>
        <v>-12191624.666892139</v>
      </c>
      <c r="T29" s="164">
        <f t="shared" si="17"/>
        <v>1132555.2969244064</v>
      </c>
      <c r="U29" s="164">
        <f t="shared" si="20"/>
        <v>0</v>
      </c>
      <c r="V29" s="164">
        <f t="shared" si="21"/>
        <v>0</v>
      </c>
      <c r="W29" s="164">
        <f t="shared" si="18"/>
        <v>143809.20909806405</v>
      </c>
      <c r="X29" s="164">
        <f t="shared" si="19"/>
        <v>115883.15955842058</v>
      </c>
    </row>
    <row r="30" spans="1:30">
      <c r="A30" s="177" t="str">
        <f t="shared" si="0"/>
        <v>I</v>
      </c>
      <c r="B30" s="87">
        <v>9</v>
      </c>
      <c r="C30" s="175">
        <f t="shared" si="1"/>
        <v>3.0136697904554147E-2</v>
      </c>
      <c r="D30" s="164">
        <f t="shared" si="5"/>
        <v>449162.8333398854</v>
      </c>
      <c r="E30" s="164">
        <f t="shared" si="6"/>
        <v>80848.918101430958</v>
      </c>
      <c r="F30" s="164">
        <f t="shared" si="7"/>
        <v>-81790.783830161454</v>
      </c>
      <c r="G30" s="164">
        <f t="shared" si="8"/>
        <v>0</v>
      </c>
      <c r="H30" s="164">
        <f t="shared" si="9"/>
        <v>0</v>
      </c>
      <c r="I30" s="175">
        <f t="shared" si="10"/>
        <v>0.02</v>
      </c>
      <c r="J30" s="164">
        <f t="shared" si="11"/>
        <v>-248628.31430578965</v>
      </c>
      <c r="K30" s="164">
        <f t="shared" si="2"/>
        <v>148144.7470599146</v>
      </c>
      <c r="L30" s="164">
        <f t="shared" si="12"/>
        <v>28767.95979464725</v>
      </c>
      <c r="M30" s="164">
        <f t="shared" si="3"/>
        <v>25891.163815182525</v>
      </c>
      <c r="N30" s="89">
        <f t="shared" si="4"/>
        <v>0.53262836661701729</v>
      </c>
      <c r="O30" s="164">
        <f t="shared" si="13"/>
        <v>13790.368292694289</v>
      </c>
      <c r="Q30" s="175">
        <f t="shared" si="14"/>
        <v>3.862583148236845E-2</v>
      </c>
      <c r="R30" s="164">
        <f t="shared" si="15"/>
        <v>13725608.704766305</v>
      </c>
      <c r="S30" s="164">
        <f t="shared" si="16"/>
        <v>-12558931.964861169</v>
      </c>
      <c r="T30" s="164">
        <f t="shared" si="17"/>
        <v>1166676.7399051359</v>
      </c>
      <c r="U30" s="164">
        <f t="shared" si="20"/>
        <v>0</v>
      </c>
      <c r="V30" s="164">
        <f t="shared" si="21"/>
        <v>0</v>
      </c>
      <c r="W30" s="164">
        <f t="shared" si="18"/>
        <v>148144.7470599146</v>
      </c>
      <c r="X30" s="164">
        <f t="shared" si="19"/>
        <v>119376.78726526735</v>
      </c>
    </row>
    <row r="31" spans="1:30">
      <c r="A31" s="177" t="str">
        <f t="shared" si="0"/>
        <v>I</v>
      </c>
      <c r="B31" s="87">
        <v>10</v>
      </c>
      <c r="C31" s="175">
        <f t="shared" si="1"/>
        <v>3.0136697904554147E-2</v>
      </c>
      <c r="D31" s="164">
        <f t="shared" si="5"/>
        <v>462699.11795820307</v>
      </c>
      <c r="E31" s="164">
        <f t="shared" si="6"/>
        <v>83285.437522163818</v>
      </c>
      <c r="F31" s="164">
        <f t="shared" si="7"/>
        <v>-84255.68797382772</v>
      </c>
      <c r="G31" s="164">
        <f t="shared" si="8"/>
        <v>0</v>
      </c>
      <c r="H31" s="164">
        <f t="shared" si="9"/>
        <v>0</v>
      </c>
      <c r="I31" s="175">
        <f t="shared" si="10"/>
        <v>0.02</v>
      </c>
      <c r="J31" s="164">
        <f t="shared" si="11"/>
        <v>-256119.01240664875</v>
      </c>
      <c r="K31" s="164">
        <f t="shared" si="2"/>
        <v>152610.94381957513</v>
      </c>
      <c r="L31" s="164">
        <f t="shared" si="12"/>
        <v>29635.242444668816</v>
      </c>
      <c r="M31" s="164">
        <f t="shared" si="3"/>
        <v>26671.718200201936</v>
      </c>
      <c r="N31" s="89">
        <f t="shared" si="4"/>
        <v>0.49662318565689262</v>
      </c>
      <c r="O31" s="164">
        <f t="shared" si="13"/>
        <v>13245.793659527208</v>
      </c>
      <c r="Q31" s="175">
        <f t="shared" si="14"/>
        <v>3.862583148236845E-2</v>
      </c>
      <c r="R31" s="164">
        <f t="shared" si="15"/>
        <v>14139135.182412272</v>
      </c>
      <c r="S31" s="164">
        <f t="shared" si="16"/>
        <v>-12937308.691907229</v>
      </c>
      <c r="T31" s="164">
        <f t="shared" si="17"/>
        <v>1201826.4905050432</v>
      </c>
      <c r="U31" s="164">
        <f t="shared" si="20"/>
        <v>0</v>
      </c>
      <c r="V31" s="164">
        <f t="shared" si="21"/>
        <v>0</v>
      </c>
      <c r="W31" s="164">
        <f t="shared" si="18"/>
        <v>152610.94381957513</v>
      </c>
      <c r="X31" s="164">
        <f t="shared" si="19"/>
        <v>122975.70137490632</v>
      </c>
    </row>
    <row r="32" spans="1:30">
      <c r="A32" s="177" t="str">
        <f t="shared" si="0"/>
        <v>I</v>
      </c>
      <c r="B32" s="87">
        <v>11</v>
      </c>
      <c r="C32" s="175">
        <f t="shared" si="1"/>
        <v>3.0136697904554147E-2</v>
      </c>
      <c r="D32" s="164">
        <f t="shared" si="5"/>
        <v>476643.34149681305</v>
      </c>
      <c r="E32" s="164">
        <f t="shared" si="6"/>
        <v>85795.38559261788</v>
      </c>
      <c r="F32" s="164">
        <f t="shared" si="7"/>
        <v>-86794.876189035334</v>
      </c>
      <c r="G32" s="164">
        <f t="shared" si="8"/>
        <v>0</v>
      </c>
      <c r="H32" s="164">
        <f t="shared" si="9"/>
        <v>0</v>
      </c>
      <c r="I32" s="175">
        <f t="shared" si="10"/>
        <v>0.02</v>
      </c>
      <c r="J32" s="164">
        <f t="shared" si="11"/>
        <v>-263835.4554132676</v>
      </c>
      <c r="K32" s="164">
        <f t="shared" si="2"/>
        <v>157211.73700176377</v>
      </c>
      <c r="L32" s="164">
        <f t="shared" si="12"/>
        <v>30528.662129911936</v>
      </c>
      <c r="M32" s="164">
        <f t="shared" si="3"/>
        <v>27475.795916920742</v>
      </c>
      <c r="N32" s="89">
        <f t="shared" si="4"/>
        <v>0.46305192135840806</v>
      </c>
      <c r="O32" s="164">
        <f t="shared" si="13"/>
        <v>12722.720090181652</v>
      </c>
      <c r="Q32" s="175">
        <f t="shared" si="14"/>
        <v>3.862583148236845E-2</v>
      </c>
      <c r="R32" s="164">
        <f t="shared" si="15"/>
        <v>14565123.98259059</v>
      </c>
      <c r="S32" s="164">
        <f t="shared" si="16"/>
        <v>-13327088.444070389</v>
      </c>
      <c r="T32" s="164">
        <f t="shared" si="17"/>
        <v>1238035.5385202002</v>
      </c>
      <c r="U32" s="164">
        <f t="shared" si="20"/>
        <v>0</v>
      </c>
      <c r="V32" s="164">
        <f t="shared" si="21"/>
        <v>0</v>
      </c>
      <c r="W32" s="164">
        <f t="shared" si="18"/>
        <v>157211.73700176377</v>
      </c>
      <c r="X32" s="164">
        <f t="shared" si="19"/>
        <v>126683.07487185183</v>
      </c>
    </row>
    <row r="33" spans="1:30">
      <c r="A33" s="177" t="str">
        <f t="shared" si="0"/>
        <v>I</v>
      </c>
      <c r="B33" s="87">
        <v>12</v>
      </c>
      <c r="C33" s="175">
        <f t="shared" si="1"/>
        <v>3.0136697904554147E-2</v>
      </c>
      <c r="D33" s="164">
        <f t="shared" si="5"/>
        <v>491007.7978877197</v>
      </c>
      <c r="E33" s="164">
        <f t="shared" si="6"/>
        <v>88380.975209827331</v>
      </c>
      <c r="F33" s="164">
        <f t="shared" si="7"/>
        <v>-89410.587152407461</v>
      </c>
      <c r="G33" s="164">
        <f t="shared" si="8"/>
        <v>0</v>
      </c>
      <c r="H33" s="164">
        <f t="shared" si="9"/>
        <v>0</v>
      </c>
      <c r="I33" s="175">
        <f t="shared" si="10"/>
        <v>0.02</v>
      </c>
      <c r="J33" s="164">
        <f t="shared" si="11"/>
        <v>-271784.44653167465</v>
      </c>
      <c r="K33" s="164">
        <f t="shared" si="2"/>
        <v>161951.18289820547</v>
      </c>
      <c r="L33" s="164">
        <f t="shared" si="12"/>
        <v>31449.006534311226</v>
      </c>
      <c r="M33" s="164">
        <f t="shared" si="3"/>
        <v>28304.105880880103</v>
      </c>
      <c r="N33" s="89">
        <f t="shared" si="4"/>
        <v>0.43175004322462285</v>
      </c>
      <c r="O33" s="164">
        <f t="shared" si="13"/>
        <v>12220.298937504285</v>
      </c>
      <c r="Q33" s="175">
        <f t="shared" si="14"/>
        <v>3.862583148236845E-2</v>
      </c>
      <c r="R33" s="164">
        <f t="shared" si="15"/>
        <v>15003950.678550605</v>
      </c>
      <c r="S33" s="164">
        <f t="shared" si="16"/>
        <v>-13728614.870873803</v>
      </c>
      <c r="T33" s="164">
        <f t="shared" si="17"/>
        <v>1275335.8076768015</v>
      </c>
      <c r="U33" s="164">
        <f t="shared" si="20"/>
        <v>0</v>
      </c>
      <c r="V33" s="164">
        <f t="shared" si="21"/>
        <v>0</v>
      </c>
      <c r="W33" s="164">
        <f t="shared" si="18"/>
        <v>161951.18289820547</v>
      </c>
      <c r="X33" s="164">
        <f t="shared" si="19"/>
        <v>130502.17636389425</v>
      </c>
    </row>
    <row r="34" spans="1:30">
      <c r="A34" s="177" t="str">
        <f t="shared" si="0"/>
        <v>I</v>
      </c>
      <c r="B34" s="87">
        <v>13</v>
      </c>
      <c r="C34" s="175">
        <f t="shared" si="1"/>
        <v>3.0136697904554147E-2</v>
      </c>
      <c r="D34" s="164">
        <f t="shared" si="5"/>
        <v>505805.15156144224</v>
      </c>
      <c r="E34" s="164">
        <f t="shared" si="6"/>
        <v>91044.485960235776</v>
      </c>
      <c r="F34" s="164">
        <f t="shared" si="7"/>
        <v>-92105.127006888375</v>
      </c>
      <c r="G34" s="164">
        <f t="shared" si="8"/>
        <v>0</v>
      </c>
      <c r="H34" s="164">
        <f t="shared" si="9"/>
        <v>0</v>
      </c>
      <c r="I34" s="175">
        <f t="shared" si="10"/>
        <v>0.02</v>
      </c>
      <c r="J34" s="164">
        <f t="shared" si="11"/>
        <v>-279972.99399406317</v>
      </c>
      <c r="K34" s="164">
        <f t="shared" si="2"/>
        <v>166833.4600438631</v>
      </c>
      <c r="L34" s="164">
        <f t="shared" si="12"/>
        <v>32397.087079994024</v>
      </c>
      <c r="M34" s="164">
        <f t="shared" si="3"/>
        <v>29157.378371994622</v>
      </c>
      <c r="N34" s="89">
        <f t="shared" si="4"/>
        <v>0.40256414286678116</v>
      </c>
      <c r="O34" s="164">
        <f t="shared" si="13"/>
        <v>11737.715032564438</v>
      </c>
      <c r="Q34" s="175">
        <f t="shared" si="14"/>
        <v>3.862583148236845E-2</v>
      </c>
      <c r="R34" s="164">
        <f t="shared" si="15"/>
        <v>15456002.162079223</v>
      </c>
      <c r="S34" s="164">
        <f t="shared" si="16"/>
        <v>-14142241.97830249</v>
      </c>
      <c r="T34" s="164">
        <f t="shared" si="17"/>
        <v>1313760.1837767339</v>
      </c>
      <c r="U34" s="164">
        <f t="shared" si="20"/>
        <v>0</v>
      </c>
      <c r="V34" s="164">
        <f t="shared" si="21"/>
        <v>0</v>
      </c>
      <c r="W34" s="164">
        <f t="shared" si="18"/>
        <v>166833.4600438631</v>
      </c>
      <c r="X34" s="164">
        <f t="shared" si="19"/>
        <v>134436.37296386907</v>
      </c>
      <c r="Z34" s="163"/>
      <c r="AA34" s="163"/>
      <c r="AB34" s="163"/>
      <c r="AC34" s="163"/>
      <c r="AD34" s="163"/>
    </row>
    <row r="35" spans="1:30">
      <c r="A35" s="177" t="str">
        <f t="shared" si="0"/>
        <v>I</v>
      </c>
      <c r="B35" s="87">
        <v>14</v>
      </c>
      <c r="C35" s="175">
        <f t="shared" si="1"/>
        <v>3.0136697904554147E-2</v>
      </c>
      <c r="D35" s="164">
        <f t="shared" si="5"/>
        <v>521048.44861261663</v>
      </c>
      <c r="E35" s="164">
        <f t="shared" si="6"/>
        <v>93788.266129494819</v>
      </c>
      <c r="F35" s="164">
        <f t="shared" si="7"/>
        <v>-94880.871394955553</v>
      </c>
      <c r="G35" s="164">
        <f t="shared" si="8"/>
        <v>0</v>
      </c>
      <c r="H35" s="164">
        <f t="shared" si="9"/>
        <v>0</v>
      </c>
      <c r="I35" s="175">
        <f t="shared" si="10"/>
        <v>0.02</v>
      </c>
      <c r="J35" s="164">
        <f t="shared" si="11"/>
        <v>-288408.31723760278</v>
      </c>
      <c r="K35" s="164">
        <f t="shared" si="2"/>
        <v>171862.87290094586</v>
      </c>
      <c r="L35" s="164">
        <f t="shared" si="12"/>
        <v>33373.739642671273</v>
      </c>
      <c r="M35" s="164">
        <f t="shared" si="3"/>
        <v>30036.365678404145</v>
      </c>
      <c r="N35" s="89">
        <f t="shared" si="4"/>
        <v>0.37535118216016894</v>
      </c>
      <c r="O35" s="164">
        <f t="shared" si="13"/>
        <v>11274.185365184121</v>
      </c>
      <c r="Q35" s="175">
        <f t="shared" si="14"/>
        <v>3.862583148236845E-2</v>
      </c>
      <c r="R35" s="164">
        <f t="shared" si="15"/>
        <v>15921676.984604249</v>
      </c>
      <c r="S35" s="164">
        <f t="shared" si="16"/>
        <v>-14568334.440912887</v>
      </c>
      <c r="T35" s="164">
        <f t="shared" si="17"/>
        <v>1353342.5436913613</v>
      </c>
      <c r="U35" s="164">
        <f t="shared" si="20"/>
        <v>0</v>
      </c>
      <c r="V35" s="164">
        <f t="shared" si="21"/>
        <v>0</v>
      </c>
      <c r="W35" s="164">
        <f t="shared" si="18"/>
        <v>171862.87290094586</v>
      </c>
      <c r="X35" s="164">
        <f t="shared" si="19"/>
        <v>138489.13325827458</v>
      </c>
      <c r="Z35" s="163"/>
      <c r="AA35" s="163"/>
      <c r="AB35" s="163"/>
      <c r="AC35" s="163"/>
      <c r="AD35" s="163"/>
    </row>
    <row r="36" spans="1:30">
      <c r="A36" s="177" t="str">
        <f t="shared" si="0"/>
        <v>II</v>
      </c>
      <c r="B36" s="87">
        <v>15</v>
      </c>
      <c r="C36" s="175">
        <f t="shared" si="1"/>
        <v>3.0136697904554147E-2</v>
      </c>
      <c r="D36" s="164">
        <f t="shared" si="5"/>
        <v>536751.12830209162</v>
      </c>
      <c r="E36" s="164">
        <f t="shared" si="6"/>
        <v>96614.734772831333</v>
      </c>
      <c r="F36" s="164">
        <f t="shared" si="7"/>
        <v>-97740.267553106183</v>
      </c>
      <c r="G36" s="164">
        <f t="shared" si="8"/>
        <v>0</v>
      </c>
      <c r="H36" s="164">
        <f t="shared" si="9"/>
        <v>0</v>
      </c>
      <c r="I36" s="175">
        <f t="shared" si="10"/>
        <v>0.02</v>
      </c>
      <c r="J36" s="164">
        <f t="shared" si="11"/>
        <v>-319721.41665941972</v>
      </c>
      <c r="K36" s="164">
        <f t="shared" si="2"/>
        <v>160076.18311147002</v>
      </c>
      <c r="L36" s="164">
        <f t="shared" si="12"/>
        <v>31084.903725738724</v>
      </c>
      <c r="M36" s="164">
        <f t="shared" si="3"/>
        <v>27976.413353164851</v>
      </c>
      <c r="N36" s="89">
        <f t="shared" si="4"/>
        <v>0.34997779222393377</v>
      </c>
      <c r="O36" s="164">
        <f t="shared" si="13"/>
        <v>9791.1233796848137</v>
      </c>
      <c r="Q36" s="175">
        <f t="shared" si="14"/>
        <v>3.589205178493754E-2</v>
      </c>
      <c r="R36" s="164">
        <f t="shared" si="15"/>
        <v>17650327.042814028</v>
      </c>
      <c r="S36" s="164">
        <f t="shared" si="16"/>
        <v>-16150049.244174836</v>
      </c>
      <c r="T36" s="164">
        <f t="shared" si="17"/>
        <v>1500277.7986391925</v>
      </c>
      <c r="U36" s="164">
        <f t="shared" si="20"/>
        <v>0</v>
      </c>
      <c r="V36" s="164">
        <f t="shared" si="21"/>
        <v>8446.1216895566322</v>
      </c>
      <c r="W36" s="164">
        <f t="shared" si="18"/>
        <v>151630.06142191339</v>
      </c>
      <c r="X36" s="164">
        <f t="shared" si="19"/>
        <v>120545.15769617466</v>
      </c>
      <c r="Z36" s="163"/>
      <c r="AA36" s="163"/>
      <c r="AB36" s="163"/>
      <c r="AC36" s="163"/>
      <c r="AD36" s="163"/>
    </row>
    <row r="37" spans="1:30">
      <c r="A37" s="177" t="str">
        <f t="shared" si="0"/>
        <v>II</v>
      </c>
      <c r="B37" s="87">
        <v>16</v>
      </c>
      <c r="C37" s="175">
        <f t="shared" si="1"/>
        <v>3.0136697904554147E-2</v>
      </c>
      <c r="D37" s="164">
        <f t="shared" si="5"/>
        <v>552927.03490566032</v>
      </c>
      <c r="E37" s="164">
        <f t="shared" si="6"/>
        <v>99526.383847808771</v>
      </c>
      <c r="F37" s="164">
        <f t="shared" si="7"/>
        <v>-100685.83646946444</v>
      </c>
      <c r="G37" s="164">
        <f t="shared" si="8"/>
        <v>0</v>
      </c>
      <c r="H37" s="164">
        <f t="shared" si="9"/>
        <v>0</v>
      </c>
      <c r="I37" s="175">
        <f t="shared" si="10"/>
        <v>0.02</v>
      </c>
      <c r="J37" s="164">
        <f t="shared" si="11"/>
        <v>-329354.62610900763</v>
      </c>
      <c r="K37" s="164">
        <f t="shared" si="2"/>
        <v>164901.95395498388</v>
      </c>
      <c r="L37" s="164">
        <f t="shared" si="12"/>
        <v>32022.011415073408</v>
      </c>
      <c r="M37" s="164">
        <f t="shared" si="3"/>
        <v>28819.810273566069</v>
      </c>
      <c r="N37" s="89">
        <f t="shared" si="4"/>
        <v>0.32631961978921564</v>
      </c>
      <c r="O37" s="164">
        <f t="shared" si="13"/>
        <v>9404.4695308674109</v>
      </c>
      <c r="Q37" s="175">
        <f t="shared" si="14"/>
        <v>3.589205178493754E-2</v>
      </c>
      <c r="R37" s="164">
        <f t="shared" si="15"/>
        <v>18182131.571374204</v>
      </c>
      <c r="S37" s="164">
        <f t="shared" si="16"/>
        <v>-16636650.387807397</v>
      </c>
      <c r="T37" s="164">
        <f t="shared" si="17"/>
        <v>1545481.1835668075</v>
      </c>
      <c r="U37" s="164">
        <f t="shared" si="20"/>
        <v>0</v>
      </c>
      <c r="V37" s="164">
        <f t="shared" si="21"/>
        <v>0</v>
      </c>
      <c r="W37" s="164">
        <f t="shared" si="18"/>
        <v>164901.95395498388</v>
      </c>
      <c r="X37" s="164">
        <f t="shared" si="19"/>
        <v>132879.94253991047</v>
      </c>
    </row>
    <row r="38" spans="1:30">
      <c r="A38" s="177" t="str">
        <f t="shared" si="0"/>
        <v>II</v>
      </c>
      <c r="B38" s="87">
        <v>17</v>
      </c>
      <c r="C38" s="175">
        <f t="shared" si="1"/>
        <v>3.0136697904554147E-2</v>
      </c>
      <c r="D38" s="164">
        <f t="shared" si="5"/>
        <v>569590.42991987302</v>
      </c>
      <c r="E38" s="164">
        <f t="shared" si="6"/>
        <v>102525.78041136288</v>
      </c>
      <c r="F38" s="164">
        <f t="shared" si="7"/>
        <v>-103720.17510641202</v>
      </c>
      <c r="G38" s="164">
        <f t="shared" si="8"/>
        <v>0</v>
      </c>
      <c r="H38" s="164">
        <f t="shared" si="9"/>
        <v>0</v>
      </c>
      <c r="I38" s="175">
        <f t="shared" si="10"/>
        <v>0.02</v>
      </c>
      <c r="J38" s="164">
        <f t="shared" si="11"/>
        <v>-339278.1486816291</v>
      </c>
      <c r="K38" s="164">
        <f t="shared" si="2"/>
        <v>169873.1575965652</v>
      </c>
      <c r="L38" s="164">
        <f t="shared" si="12"/>
        <v>32987.360435745584</v>
      </c>
      <c r="M38" s="164">
        <f t="shared" si="3"/>
        <v>29688.624392171027</v>
      </c>
      <c r="N38" s="89">
        <f t="shared" si="4"/>
        <v>0.30426071775218239</v>
      </c>
      <c r="O38" s="164">
        <f t="shared" si="13"/>
        <v>9033.0821666369065</v>
      </c>
      <c r="Q38" s="175">
        <f t="shared" si="14"/>
        <v>3.589205178493754E-2</v>
      </c>
      <c r="R38" s="164">
        <f t="shared" si="15"/>
        <v>18729962.93235587</v>
      </c>
      <c r="S38" s="164">
        <f t="shared" si="16"/>
        <v>-17137916.08310562</v>
      </c>
      <c r="T38" s="164">
        <f t="shared" si="17"/>
        <v>1592046.8492502491</v>
      </c>
      <c r="U38" s="164">
        <f t="shared" si="20"/>
        <v>0</v>
      </c>
      <c r="V38" s="164">
        <f t="shared" si="21"/>
        <v>0</v>
      </c>
      <c r="W38" s="164">
        <f t="shared" si="18"/>
        <v>169873.1575965652</v>
      </c>
      <c r="X38" s="164">
        <f t="shared" si="19"/>
        <v>136885.79716081961</v>
      </c>
    </row>
    <row r="39" spans="1:30">
      <c r="A39" s="177" t="str">
        <f t="shared" si="0"/>
        <v>II</v>
      </c>
      <c r="B39" s="87">
        <v>18</v>
      </c>
      <c r="C39" s="175">
        <f t="shared" si="1"/>
        <v>3.0136697904554147E-2</v>
      </c>
      <c r="D39" s="164">
        <f t="shared" si="5"/>
        <v>586756.00463569327</v>
      </c>
      <c r="E39" s="164">
        <f t="shared" si="6"/>
        <v>105615.56888304878</v>
      </c>
      <c r="F39" s="164">
        <f t="shared" si="7"/>
        <v>-106845.95869020141</v>
      </c>
      <c r="G39" s="164">
        <f t="shared" si="8"/>
        <v>0</v>
      </c>
      <c r="H39" s="164">
        <f t="shared" si="9"/>
        <v>0</v>
      </c>
      <c r="I39" s="175">
        <f t="shared" si="10"/>
        <v>0.02</v>
      </c>
      <c r="J39" s="164">
        <f t="shared" si="11"/>
        <v>-349500.73345617071</v>
      </c>
      <c r="K39" s="164">
        <f t="shared" si="2"/>
        <v>174994.17690051493</v>
      </c>
      <c r="L39" s="164">
        <f t="shared" si="12"/>
        <v>33981.801888226219</v>
      </c>
      <c r="M39" s="164">
        <f t="shared" si="3"/>
        <v>30583.621699403597</v>
      </c>
      <c r="N39" s="89">
        <f t="shared" si="4"/>
        <v>0.28369297692511181</v>
      </c>
      <c r="O39" s="164">
        <f t="shared" si="13"/>
        <v>8676.3586850552529</v>
      </c>
      <c r="Q39" s="175">
        <f t="shared" si="14"/>
        <v>3.589205178493754E-2</v>
      </c>
      <c r="R39" s="164">
        <f t="shared" si="15"/>
        <v>19294304.121566083</v>
      </c>
      <c r="S39" s="164">
        <f t="shared" si="16"/>
        <v>-17654288.271232966</v>
      </c>
      <c r="T39" s="164">
        <f t="shared" si="17"/>
        <v>1640015.8503331172</v>
      </c>
      <c r="U39" s="164">
        <f t="shared" si="20"/>
        <v>0</v>
      </c>
      <c r="V39" s="164">
        <f t="shared" si="21"/>
        <v>0</v>
      </c>
      <c r="W39" s="164">
        <f t="shared" si="18"/>
        <v>174994.17690051493</v>
      </c>
      <c r="X39" s="164">
        <f t="shared" si="19"/>
        <v>141012.37501228871</v>
      </c>
    </row>
    <row r="40" spans="1:30">
      <c r="A40" s="177" t="str">
        <f t="shared" si="0"/>
        <v>II</v>
      </c>
      <c r="B40" s="87">
        <v>19</v>
      </c>
      <c r="C40" s="175">
        <f t="shared" si="1"/>
        <v>3.0136697904554147E-2</v>
      </c>
      <c r="D40" s="164">
        <f t="shared" si="5"/>
        <v>604438.89309108234</v>
      </c>
      <c r="E40" s="164">
        <f t="shared" si="6"/>
        <v>108798.47337649485</v>
      </c>
      <c r="F40" s="164">
        <f t="shared" si="7"/>
        <v>-110065.94306957048</v>
      </c>
      <c r="G40" s="164">
        <f t="shared" si="8"/>
        <v>0</v>
      </c>
      <c r="H40" s="164">
        <f t="shared" si="9"/>
        <v>0</v>
      </c>
      <c r="I40" s="175">
        <f t="shared" si="10"/>
        <v>0.02</v>
      </c>
      <c r="J40" s="164">
        <f t="shared" si="11"/>
        <v>-360031.39317986643</v>
      </c>
      <c r="K40" s="164">
        <f t="shared" si="2"/>
        <v>180269.52681619112</v>
      </c>
      <c r="L40" s="164">
        <f t="shared" si="12"/>
        <v>35006.212522344023</v>
      </c>
      <c r="M40" s="164">
        <f t="shared" si="3"/>
        <v>31505.59127010962</v>
      </c>
      <c r="N40" s="89">
        <f t="shared" si="4"/>
        <v>0.26451559620057047</v>
      </c>
      <c r="O40" s="164">
        <f t="shared" si="13"/>
        <v>8333.7202584645347</v>
      </c>
      <c r="Q40" s="175">
        <f t="shared" si="14"/>
        <v>3.589205178493754E-2</v>
      </c>
      <c r="R40" s="164">
        <f t="shared" si="15"/>
        <v>19875652.690710623</v>
      </c>
      <c r="S40" s="164">
        <f t="shared" si="16"/>
        <v>-18186222.212000221</v>
      </c>
      <c r="T40" s="164">
        <f t="shared" si="17"/>
        <v>1689430.478710403</v>
      </c>
      <c r="U40" s="164">
        <f t="shared" si="20"/>
        <v>0</v>
      </c>
      <c r="V40" s="164">
        <f t="shared" si="21"/>
        <v>0</v>
      </c>
      <c r="W40" s="164">
        <f t="shared" si="18"/>
        <v>180269.52681619112</v>
      </c>
      <c r="X40" s="164">
        <f t="shared" si="19"/>
        <v>145263.3142938471</v>
      </c>
    </row>
    <row r="41" spans="1:30">
      <c r="A41" s="177" t="str">
        <f t="shared" si="0"/>
        <v>II</v>
      </c>
      <c r="B41" s="87">
        <v>20</v>
      </c>
      <c r="C41" s="175">
        <f t="shared" si="1"/>
        <v>3.0136697904554147E-2</v>
      </c>
      <c r="D41" s="164">
        <f t="shared" si="5"/>
        <v>622654.68541393138</v>
      </c>
      <c r="E41" s="164">
        <f t="shared" si="6"/>
        <v>112077.30010111895</v>
      </c>
      <c r="F41" s="164">
        <f t="shared" si="7"/>
        <v>-113382.96714543797</v>
      </c>
      <c r="G41" s="164">
        <f t="shared" si="8"/>
        <v>0</v>
      </c>
      <c r="H41" s="164">
        <f t="shared" si="9"/>
        <v>0</v>
      </c>
      <c r="I41" s="175">
        <f t="shared" si="10"/>
        <v>0.02</v>
      </c>
      <c r="J41" s="164">
        <f t="shared" si="11"/>
        <v>-370879.41221439082</v>
      </c>
      <c r="K41" s="164">
        <f t="shared" si="2"/>
        <v>185703.85835861688</v>
      </c>
      <c r="L41" s="164">
        <f t="shared" si="12"/>
        <v>36061.495510272449</v>
      </c>
      <c r="M41" s="164">
        <f t="shared" si="3"/>
        <v>32455.345959245205</v>
      </c>
      <c r="N41" s="89">
        <f t="shared" si="4"/>
        <v>0.2466345885320004</v>
      </c>
      <c r="O41" s="164">
        <f t="shared" si="13"/>
        <v>8004.6108963221632</v>
      </c>
      <c r="Q41" s="175">
        <f t="shared" si="14"/>
        <v>3.589205178493754E-2</v>
      </c>
      <c r="R41" s="164">
        <f t="shared" si="15"/>
        <v>20474521.186060715</v>
      </c>
      <c r="S41" s="164">
        <f t="shared" si="16"/>
        <v>-18734186.885245554</v>
      </c>
      <c r="T41" s="164">
        <f t="shared" si="17"/>
        <v>1740334.3008151609</v>
      </c>
      <c r="U41" s="164">
        <f t="shared" si="20"/>
        <v>0</v>
      </c>
      <c r="V41" s="164">
        <f t="shared" si="21"/>
        <v>0</v>
      </c>
      <c r="W41" s="164">
        <f t="shared" si="18"/>
        <v>185703.85835861688</v>
      </c>
      <c r="X41" s="164">
        <f t="shared" si="19"/>
        <v>149642.36284834443</v>
      </c>
    </row>
    <row r="42" spans="1:30">
      <c r="A42" s="177" t="str">
        <f t="shared" si="0"/>
        <v>II</v>
      </c>
      <c r="B42" s="87">
        <v>21</v>
      </c>
      <c r="C42" s="175">
        <f t="shared" si="1"/>
        <v>3.0136697904554147E-2</v>
      </c>
      <c r="D42" s="164">
        <f t="shared" si="5"/>
        <v>641419.44156710617</v>
      </c>
      <c r="E42" s="164">
        <f t="shared" si="6"/>
        <v>115454.93983622442</v>
      </c>
      <c r="F42" s="164">
        <f t="shared" si="7"/>
        <v>-116799.95537382201</v>
      </c>
      <c r="G42" s="164">
        <f t="shared" si="8"/>
        <v>0</v>
      </c>
      <c r="H42" s="164">
        <f t="shared" si="9"/>
        <v>0</v>
      </c>
      <c r="I42" s="175">
        <f t="shared" si="10"/>
        <v>0.02</v>
      </c>
      <c r="J42" s="164">
        <f t="shared" si="11"/>
        <v>-382054.35472142138</v>
      </c>
      <c r="K42" s="164">
        <f t="shared" si="2"/>
        <v>191301.96270904996</v>
      </c>
      <c r="L42" s="164">
        <f t="shared" si="12"/>
        <v>37148.581242811895</v>
      </c>
      <c r="M42" s="164">
        <f t="shared" si="3"/>
        <v>33433.72311853071</v>
      </c>
      <c r="N42" s="89">
        <f t="shared" si="4"/>
        <v>0.22996232030955746</v>
      </c>
      <c r="O42" s="164">
        <f t="shared" si="13"/>
        <v>7688.4965449246156</v>
      </c>
      <c r="Q42" s="175">
        <f t="shared" si="14"/>
        <v>3.589205178493754E-2</v>
      </c>
      <c r="R42" s="164">
        <f t="shared" si="15"/>
        <v>21091437.600339726</v>
      </c>
      <c r="S42" s="164">
        <f t="shared" si="16"/>
        <v>-19298665.404310849</v>
      </c>
      <c r="T42" s="164">
        <f t="shared" si="17"/>
        <v>1792772.1960288768</v>
      </c>
      <c r="U42" s="164">
        <f t="shared" si="20"/>
        <v>0</v>
      </c>
      <c r="V42" s="164">
        <f t="shared" si="21"/>
        <v>0</v>
      </c>
      <c r="W42" s="164">
        <f t="shared" si="18"/>
        <v>191301.96270904996</v>
      </c>
      <c r="X42" s="164">
        <f t="shared" si="19"/>
        <v>154153.38146623806</v>
      </c>
    </row>
    <row r="43" spans="1:30">
      <c r="A43" s="177" t="str">
        <f t="shared" si="0"/>
        <v>II</v>
      </c>
      <c r="B43" s="87">
        <v>22</v>
      </c>
      <c r="C43" s="175">
        <f t="shared" si="1"/>
        <v>3.0136697904554147E-2</v>
      </c>
      <c r="D43" s="164">
        <f t="shared" si="5"/>
        <v>660749.70550772187</v>
      </c>
      <c r="E43" s="164">
        <f t="shared" si="6"/>
        <v>118934.37047965718</v>
      </c>
      <c r="F43" s="164">
        <f t="shared" si="7"/>
        <v>-120319.92034418829</v>
      </c>
      <c r="G43" s="164">
        <f t="shared" si="8"/>
        <v>0</v>
      </c>
      <c r="H43" s="164">
        <f t="shared" si="9"/>
        <v>0</v>
      </c>
      <c r="I43" s="175">
        <f t="shared" si="10"/>
        <v>0.02</v>
      </c>
      <c r="J43" s="164">
        <f t="shared" si="11"/>
        <v>-393566.07309488719</v>
      </c>
      <c r="K43" s="164">
        <f t="shared" si="2"/>
        <v>197068.77543913014</v>
      </c>
      <c r="L43" s="164">
        <f t="shared" si="12"/>
        <v>38268.428149669227</v>
      </c>
      <c r="M43" s="164">
        <f t="shared" si="3"/>
        <v>34441.585334702308</v>
      </c>
      <c r="N43" s="89">
        <f t="shared" si="4"/>
        <v>0.21441708187371325</v>
      </c>
      <c r="O43" s="164">
        <f t="shared" si="13"/>
        <v>7384.8642225713465</v>
      </c>
      <c r="Q43" s="175">
        <f t="shared" si="14"/>
        <v>3.589205178493754E-2</v>
      </c>
      <c r="R43" s="164">
        <f t="shared" si="15"/>
        <v>21726945.838228226</v>
      </c>
      <c r="S43" s="164">
        <f t="shared" si="16"/>
        <v>-19880155.441978827</v>
      </c>
      <c r="T43" s="164">
        <f t="shared" si="17"/>
        <v>1846790.3962493993</v>
      </c>
      <c r="U43" s="164">
        <f t="shared" si="20"/>
        <v>0</v>
      </c>
      <c r="V43" s="164">
        <f t="shared" si="21"/>
        <v>0</v>
      </c>
      <c r="W43" s="164">
        <f t="shared" si="18"/>
        <v>197068.77543913014</v>
      </c>
      <c r="X43" s="164">
        <f t="shared" si="19"/>
        <v>158800.34728946091</v>
      </c>
    </row>
    <row r="44" spans="1:30">
      <c r="A44" s="177" t="str">
        <f t="shared" si="0"/>
        <v>II</v>
      </c>
      <c r="B44" s="87">
        <v>23</v>
      </c>
      <c r="C44" s="175">
        <f t="shared" si="1"/>
        <v>3.0136697904554147E-2</v>
      </c>
      <c r="D44" s="164">
        <f t="shared" si="5"/>
        <v>680662.51977313112</v>
      </c>
      <c r="E44" s="164">
        <f t="shared" si="6"/>
        <v>122518.65967327093</v>
      </c>
      <c r="F44" s="164">
        <f t="shared" si="7"/>
        <v>-123945.9654355011</v>
      </c>
      <c r="G44" s="164">
        <f t="shared" si="8"/>
        <v>0</v>
      </c>
      <c r="H44" s="164">
        <f t="shared" si="9"/>
        <v>0</v>
      </c>
      <c r="I44" s="175">
        <f t="shared" si="10"/>
        <v>0.02</v>
      </c>
      <c r="J44" s="164">
        <f t="shared" si="11"/>
        <v>-405424.71664733643</v>
      </c>
      <c r="K44" s="164">
        <f t="shared" si="2"/>
        <v>203009.38086232889</v>
      </c>
      <c r="L44" s="164">
        <f t="shared" si="12"/>
        <v>39422.023544457865</v>
      </c>
      <c r="M44" s="164">
        <f t="shared" si="3"/>
        <v>35479.82119001208</v>
      </c>
      <c r="N44" s="89">
        <f t="shared" si="4"/>
        <v>0.19992268706173733</v>
      </c>
      <c r="O44" s="164">
        <f t="shared" si="13"/>
        <v>7093.2211887771819</v>
      </c>
      <c r="Q44" s="175">
        <f t="shared" si="14"/>
        <v>3.589205178493754E-2</v>
      </c>
      <c r="R44" s="164">
        <f t="shared" si="15"/>
        <v>22381606.195897825</v>
      </c>
      <c r="S44" s="164">
        <f t="shared" si="16"/>
        <v>-20479169.66924651</v>
      </c>
      <c r="T44" s="164">
        <f t="shared" si="17"/>
        <v>1902436.5266513152</v>
      </c>
      <c r="U44" s="164">
        <f t="shared" si="20"/>
        <v>0</v>
      </c>
      <c r="V44" s="164">
        <f t="shared" si="21"/>
        <v>0</v>
      </c>
      <c r="W44" s="164">
        <f t="shared" si="18"/>
        <v>203009.38086232889</v>
      </c>
      <c r="X44" s="164">
        <f t="shared" si="19"/>
        <v>163587.35731787104</v>
      </c>
    </row>
    <row r="45" spans="1:30">
      <c r="A45" s="177" t="str">
        <f t="shared" si="0"/>
        <v>II</v>
      </c>
      <c r="B45" s="87">
        <v>24</v>
      </c>
      <c r="C45" s="175">
        <f t="shared" si="1"/>
        <v>3.0136697904554147E-2</v>
      </c>
      <c r="D45" s="164">
        <f t="shared" si="5"/>
        <v>701175.44050648657</v>
      </c>
      <c r="E45" s="164">
        <f t="shared" si="6"/>
        <v>126210.96750751518</v>
      </c>
      <c r="F45" s="164">
        <f t="shared" si="7"/>
        <v>-127681.2875523191</v>
      </c>
      <c r="G45" s="164">
        <f t="shared" si="8"/>
        <v>0</v>
      </c>
      <c r="H45" s="164">
        <f t="shared" si="9"/>
        <v>0</v>
      </c>
      <c r="I45" s="175">
        <f t="shared" si="10"/>
        <v>0.02</v>
      </c>
      <c r="J45" s="164">
        <f t="shared" si="11"/>
        <v>-417640.74055808375</v>
      </c>
      <c r="K45" s="164">
        <f t="shared" si="2"/>
        <v>209129.01651653674</v>
      </c>
      <c r="L45" s="164">
        <f t="shared" si="12"/>
        <v>40610.384495163329</v>
      </c>
      <c r="M45" s="164">
        <f t="shared" si="3"/>
        <v>36549.346045646998</v>
      </c>
      <c r="N45" s="89">
        <f t="shared" si="4"/>
        <v>0.18640809982446369</v>
      </c>
      <c r="O45" s="164">
        <f t="shared" si="13"/>
        <v>6813.0941461958328</v>
      </c>
      <c r="Q45" s="175">
        <f t="shared" si="14"/>
        <v>3.589205178493754E-2</v>
      </c>
      <c r="R45" s="164">
        <f t="shared" si="15"/>
        <v>23055995.854996603</v>
      </c>
      <c r="S45" s="164">
        <f t="shared" si="16"/>
        <v>-21096236.207321893</v>
      </c>
      <c r="T45" s="164">
        <f t="shared" si="17"/>
        <v>1959759.6476747114</v>
      </c>
      <c r="U45" s="164">
        <f t="shared" si="20"/>
        <v>0</v>
      </c>
      <c r="V45" s="164">
        <f t="shared" si="21"/>
        <v>0</v>
      </c>
      <c r="W45" s="164">
        <f t="shared" si="18"/>
        <v>209129.01651653674</v>
      </c>
      <c r="X45" s="164">
        <f t="shared" si="19"/>
        <v>168518.6320213734</v>
      </c>
    </row>
    <row r="46" spans="1:30">
      <c r="A46" s="177" t="str">
        <f t="shared" si="0"/>
        <v>II</v>
      </c>
      <c r="B46" s="87">
        <v>25</v>
      </c>
      <c r="C46" s="175">
        <f t="shared" si="1"/>
        <v>3.0136697904554147E-2</v>
      </c>
      <c r="D46" s="164">
        <f t="shared" si="5"/>
        <v>722306.55293512321</v>
      </c>
      <c r="E46" s="164">
        <f t="shared" si="6"/>
        <v>130014.54930753066</v>
      </c>
      <c r="F46" s="164">
        <f t="shared" si="7"/>
        <v>-131529.17994334784</v>
      </c>
      <c r="G46" s="164">
        <f t="shared" si="8"/>
        <v>0</v>
      </c>
      <c r="H46" s="164">
        <f t="shared" si="9"/>
        <v>0</v>
      </c>
      <c r="I46" s="175">
        <f t="shared" si="10"/>
        <v>0.02</v>
      </c>
      <c r="J46" s="164">
        <f t="shared" si="11"/>
        <v>-430224.9150910239</v>
      </c>
      <c r="K46" s="164">
        <f t="shared" si="2"/>
        <v>215433.07778174145</v>
      </c>
      <c r="L46" s="164">
        <f t="shared" si="12"/>
        <v>41834.558720841786</v>
      </c>
      <c r="M46" s="164">
        <f t="shared" si="3"/>
        <v>37651.102848757611</v>
      </c>
      <c r="N46" s="89">
        <f t="shared" si="4"/>
        <v>0.17380708608341602</v>
      </c>
      <c r="O46" s="164">
        <f t="shared" si="13"/>
        <v>6544.0284739695644</v>
      </c>
      <c r="Q46" s="175">
        <f t="shared" si="14"/>
        <v>3.589205178493754E-2</v>
      </c>
      <c r="R46" s="164">
        <f t="shared" si="15"/>
        <v>23750709.391521595</v>
      </c>
      <c r="S46" s="164">
        <f t="shared" si="16"/>
        <v>-21731899.093242262</v>
      </c>
      <c r="T46" s="164">
        <f t="shared" si="17"/>
        <v>2018810.2982793357</v>
      </c>
      <c r="U46" s="164">
        <f t="shared" si="20"/>
        <v>0</v>
      </c>
      <c r="V46" s="164">
        <f t="shared" si="21"/>
        <v>0</v>
      </c>
      <c r="W46" s="164">
        <f t="shared" si="18"/>
        <v>215433.07778174145</v>
      </c>
      <c r="X46" s="164">
        <f t="shared" si="19"/>
        <v>173598.51906089968</v>
      </c>
    </row>
    <row r="47" spans="1:30">
      <c r="A47" s="177" t="str">
        <f t="shared" si="0"/>
        <v>II</v>
      </c>
      <c r="B47" s="87">
        <v>26</v>
      </c>
      <c r="C47" s="175">
        <f t="shared" si="1"/>
        <v>3.0136697904554147E-2</v>
      </c>
      <c r="D47" s="164">
        <f t="shared" si="5"/>
        <v>744074.48731540877</v>
      </c>
      <c r="E47" s="164">
        <f t="shared" si="6"/>
        <v>133932.75850320846</v>
      </c>
      <c r="F47" s="164">
        <f t="shared" si="7"/>
        <v>-135493.03510493424</v>
      </c>
      <c r="G47" s="164">
        <f t="shared" si="8"/>
        <v>0</v>
      </c>
      <c r="H47" s="164">
        <f t="shared" si="9"/>
        <v>0</v>
      </c>
      <c r="I47" s="175">
        <f t="shared" si="10"/>
        <v>0.02</v>
      </c>
      <c r="J47" s="164">
        <f t="shared" si="11"/>
        <v>-443188.33509024151</v>
      </c>
      <c r="K47" s="164">
        <f t="shared" si="2"/>
        <v>221927.1226368674</v>
      </c>
      <c r="L47" s="164">
        <f t="shared" si="12"/>
        <v>43095.625515342057</v>
      </c>
      <c r="M47" s="164">
        <f t="shared" si="3"/>
        <v>38786.062963807854</v>
      </c>
      <c r="N47" s="89">
        <f t="shared" si="4"/>
        <v>0.16205788912206626</v>
      </c>
      <c r="O47" s="164">
        <f t="shared" si="13"/>
        <v>6285.5874912702538</v>
      </c>
      <c r="Q47" s="175">
        <f t="shared" si="14"/>
        <v>3.589205178493754E-2</v>
      </c>
      <c r="R47" s="164">
        <f t="shared" si="15"/>
        <v>24466359.300027046</v>
      </c>
      <c r="S47" s="164">
        <f t="shared" si="16"/>
        <v>-22386718.759524748</v>
      </c>
      <c r="T47" s="164">
        <f t="shared" si="17"/>
        <v>2079640.5405022991</v>
      </c>
      <c r="U47" s="164">
        <f t="shared" si="20"/>
        <v>0</v>
      </c>
      <c r="V47" s="164">
        <f t="shared" si="21"/>
        <v>0</v>
      </c>
      <c r="W47" s="164">
        <f t="shared" si="18"/>
        <v>221927.1226368674</v>
      </c>
      <c r="X47" s="164">
        <f t="shared" si="19"/>
        <v>178831.49712152535</v>
      </c>
    </row>
    <row r="48" spans="1:30">
      <c r="A48" s="177" t="str">
        <f t="shared" si="0"/>
        <v>II</v>
      </c>
      <c r="B48" s="87">
        <v>27</v>
      </c>
      <c r="C48" s="175">
        <f t="shared" si="1"/>
        <v>3.0136697904554147E-2</v>
      </c>
      <c r="D48" s="164">
        <f t="shared" si="5"/>
        <v>766498.4353581192</v>
      </c>
      <c r="E48" s="164">
        <f t="shared" si="6"/>
        <v>137969.04958574325</v>
      </c>
      <c r="F48" s="164">
        <f t="shared" si="7"/>
        <v>-139576.34777206279</v>
      </c>
      <c r="G48" s="164">
        <f t="shared" si="8"/>
        <v>0</v>
      </c>
      <c r="H48" s="164">
        <f t="shared" si="9"/>
        <v>0</v>
      </c>
      <c r="I48" s="175">
        <f t="shared" si="10"/>
        <v>0.02</v>
      </c>
      <c r="J48" s="164">
        <f t="shared" si="11"/>
        <v>-456542.42976178526</v>
      </c>
      <c r="K48" s="164">
        <f t="shared" si="2"/>
        <v>228616.87655997093</v>
      </c>
      <c r="L48" s="164">
        <f t="shared" si="12"/>
        <v>44394.696698865642</v>
      </c>
      <c r="M48" s="164">
        <f t="shared" si="3"/>
        <v>39955.227028979076</v>
      </c>
      <c r="N48" s="89">
        <f t="shared" si="4"/>
        <v>0.15110292692034147</v>
      </c>
      <c r="O48" s="164">
        <f t="shared" si="13"/>
        <v>6037.3517498454776</v>
      </c>
      <c r="Q48" s="175">
        <f t="shared" si="14"/>
        <v>3.589205178493754E-2</v>
      </c>
      <c r="R48" s="164">
        <f t="shared" si="15"/>
        <v>25203576.533630542</v>
      </c>
      <c r="S48" s="164">
        <f t="shared" si="16"/>
        <v>-23061272.528271947</v>
      </c>
      <c r="T48" s="164">
        <f t="shared" si="17"/>
        <v>2142304.0053585963</v>
      </c>
      <c r="U48" s="164">
        <f t="shared" si="20"/>
        <v>0</v>
      </c>
      <c r="V48" s="164">
        <f t="shared" si="21"/>
        <v>0</v>
      </c>
      <c r="W48" s="164">
        <f t="shared" si="18"/>
        <v>228616.87655997093</v>
      </c>
      <c r="X48" s="164">
        <f t="shared" si="19"/>
        <v>184222.17986110528</v>
      </c>
      <c r="Z48" s="163"/>
      <c r="AA48" s="163"/>
      <c r="AB48" s="163"/>
      <c r="AC48" s="163"/>
      <c r="AD48" s="163"/>
    </row>
    <row r="49" spans="1:30">
      <c r="A49" s="177" t="str">
        <f t="shared" si="0"/>
        <v>II</v>
      </c>
      <c r="B49" s="87">
        <v>28</v>
      </c>
      <c r="C49" s="175">
        <f t="shared" si="1"/>
        <v>3.0136697904554147E-2</v>
      </c>
      <c r="D49" s="164">
        <f t="shared" si="5"/>
        <v>789598.16714882024</v>
      </c>
      <c r="E49" s="164">
        <f t="shared" si="6"/>
        <v>142126.98115328726</v>
      </c>
      <c r="F49" s="164">
        <f t="shared" si="7"/>
        <v>-143782.71799949041</v>
      </c>
      <c r="G49" s="164">
        <f t="shared" si="8"/>
        <v>0</v>
      </c>
      <c r="H49" s="164">
        <f t="shared" si="9"/>
        <v>0</v>
      </c>
      <c r="I49" s="175">
        <f t="shared" si="10"/>
        <v>0.02</v>
      </c>
      <c r="J49" s="164">
        <f t="shared" si="11"/>
        <v>-470298.9727502343</v>
      </c>
      <c r="K49" s="164">
        <f t="shared" si="2"/>
        <v>235508.23757611075</v>
      </c>
      <c r="L49" s="164">
        <f t="shared" si="12"/>
        <v>45732.917598203581</v>
      </c>
      <c r="M49" s="164">
        <f t="shared" si="3"/>
        <v>41159.625838383225</v>
      </c>
      <c r="N49" s="89">
        <f t="shared" si="4"/>
        <v>0.14088850994903634</v>
      </c>
      <c r="O49" s="164">
        <f t="shared" si="13"/>
        <v>5798.9183544296684</v>
      </c>
      <c r="Q49" s="175">
        <f t="shared" si="14"/>
        <v>3.589205178493754E-2</v>
      </c>
      <c r="R49" s="164">
        <f t="shared" si="15"/>
        <v>25963011.060293183</v>
      </c>
      <c r="S49" s="164">
        <f t="shared" si="16"/>
        <v>-23756155.120168265</v>
      </c>
      <c r="T49" s="164">
        <f t="shared" si="17"/>
        <v>2206855.9401249206</v>
      </c>
      <c r="U49" s="164">
        <f t="shared" si="20"/>
        <v>0</v>
      </c>
      <c r="V49" s="164">
        <f t="shared" si="21"/>
        <v>0</v>
      </c>
      <c r="W49" s="164">
        <f t="shared" si="18"/>
        <v>235508.23757611075</v>
      </c>
      <c r="X49" s="164">
        <f t="shared" si="19"/>
        <v>189775.31997790717</v>
      </c>
      <c r="Z49" s="163"/>
      <c r="AA49" s="163"/>
      <c r="AB49" s="163"/>
      <c r="AC49" s="163"/>
      <c r="AD49" s="163"/>
    </row>
    <row r="50" spans="1:30">
      <c r="A50" s="177" t="str">
        <f t="shared" si="0"/>
        <v>II</v>
      </c>
      <c r="B50" s="87">
        <v>29</v>
      </c>
      <c r="C50" s="175">
        <f t="shared" si="1"/>
        <v>3.0136697904554147E-2</v>
      </c>
      <c r="D50" s="164">
        <f t="shared" si="5"/>
        <v>813394.04857817385</v>
      </c>
      <c r="E50" s="164">
        <f t="shared" si="6"/>
        <v>146410.21904839014</v>
      </c>
      <c r="F50" s="164">
        <f t="shared" si="7"/>
        <v>-148115.85433573675</v>
      </c>
      <c r="G50" s="164">
        <f t="shared" si="8"/>
        <v>0</v>
      </c>
      <c r="H50" s="164">
        <f t="shared" si="9"/>
        <v>0</v>
      </c>
      <c r="I50" s="175">
        <f t="shared" si="10"/>
        <v>0.02</v>
      </c>
      <c r="J50" s="164">
        <f t="shared" si="11"/>
        <v>-484470.09251893731</v>
      </c>
      <c r="K50" s="164">
        <f t="shared" si="2"/>
        <v>242607.28145734529</v>
      </c>
      <c r="L50" s="164">
        <f t="shared" si="12"/>
        <v>47111.468056514437</v>
      </c>
      <c r="M50" s="164">
        <f t="shared" si="3"/>
        <v>42400.321250862995</v>
      </c>
      <c r="N50" s="89">
        <f t="shared" si="4"/>
        <v>0.1313645780410595</v>
      </c>
      <c r="O50" s="164">
        <f t="shared" si="13"/>
        <v>5569.9003099249858</v>
      </c>
      <c r="Q50" s="175">
        <f t="shared" si="14"/>
        <v>3.589205178493754E-2</v>
      </c>
      <c r="R50" s="164">
        <f t="shared" si="15"/>
        <v>26745332.435864147</v>
      </c>
      <c r="S50" s="164">
        <f t="shared" si="16"/>
        <v>-24471979.178815696</v>
      </c>
      <c r="T50" s="164">
        <f t="shared" si="17"/>
        <v>2273353.2570484527</v>
      </c>
      <c r="U50" s="164">
        <f t="shared" si="20"/>
        <v>0</v>
      </c>
      <c r="V50" s="164">
        <f t="shared" si="21"/>
        <v>0</v>
      </c>
      <c r="W50" s="164">
        <f t="shared" si="18"/>
        <v>242607.28145734529</v>
      </c>
      <c r="X50" s="164">
        <f t="shared" si="19"/>
        <v>195495.81340083084</v>
      </c>
      <c r="Z50" s="163"/>
      <c r="AA50" s="163"/>
      <c r="AB50" s="163"/>
      <c r="AC50" s="163"/>
      <c r="AD50" s="163"/>
    </row>
    <row r="51" spans="1:30">
      <c r="A51" s="177" t="str">
        <f t="shared" si="0"/>
        <v>II</v>
      </c>
      <c r="B51" s="87">
        <v>30</v>
      </c>
      <c r="C51" s="175">
        <f t="shared" si="1"/>
        <v>3.0136697904554147E-2</v>
      </c>
      <c r="D51" s="164">
        <f t="shared" si="5"/>
        <v>837907.0592975365</v>
      </c>
      <c r="E51" s="164">
        <f t="shared" si="6"/>
        <v>150822.53958999107</v>
      </c>
      <c r="F51" s="164">
        <f t="shared" si="7"/>
        <v>-152579.57709272779</v>
      </c>
      <c r="G51" s="164">
        <f t="shared" si="8"/>
        <v>0</v>
      </c>
      <c r="H51" s="164">
        <f t="shared" si="9"/>
        <v>0</v>
      </c>
      <c r="I51" s="175">
        <f t="shared" si="10"/>
        <v>0.02</v>
      </c>
      <c r="J51" s="164">
        <f t="shared" si="11"/>
        <v>-499068.28304307879</v>
      </c>
      <c r="K51" s="164">
        <f t="shared" si="2"/>
        <v>249920.2670794398</v>
      </c>
      <c r="L51" s="164">
        <f t="shared" si="12"/>
        <v>48531.563473533606</v>
      </c>
      <c r="M51" s="164">
        <f t="shared" si="3"/>
        <v>43678.407126180246</v>
      </c>
      <c r="N51" s="89">
        <f t="shared" si="4"/>
        <v>0.12248445504993893</v>
      </c>
      <c r="O51" s="164">
        <f t="shared" si="13"/>
        <v>5349.9258942995566</v>
      </c>
      <c r="Q51" s="175">
        <f t="shared" si="14"/>
        <v>3.589205178493754E-2</v>
      </c>
      <c r="R51" s="164">
        <f t="shared" si="15"/>
        <v>27551230.394394964</v>
      </c>
      <c r="S51" s="164">
        <f t="shared" si="16"/>
        <v>-25209375.810871392</v>
      </c>
      <c r="T51" s="164">
        <f t="shared" si="17"/>
        <v>2341854.583523572</v>
      </c>
      <c r="U51" s="164">
        <f t="shared" si="20"/>
        <v>0</v>
      </c>
      <c r="V51" s="164">
        <f t="shared" si="21"/>
        <v>0</v>
      </c>
      <c r="W51" s="164">
        <f t="shared" si="18"/>
        <v>249920.2670794398</v>
      </c>
      <c r="X51" s="164">
        <f t="shared" si="19"/>
        <v>201388.70360590619</v>
      </c>
      <c r="Z51" s="163"/>
      <c r="AA51" s="163"/>
      <c r="AB51" s="163"/>
      <c r="AC51" s="163"/>
      <c r="AD51" s="163"/>
    </row>
    <row r="52" spans="1:30">
      <c r="A52" s="189" t="s">
        <v>116</v>
      </c>
      <c r="B52" s="190">
        <f>C15+1</f>
        <v>31</v>
      </c>
      <c r="C52" s="176">
        <f>Terminal_Growth</f>
        <v>0.02</v>
      </c>
      <c r="D52" s="164">
        <f>VLOOKUP(C15,B22:D51,3,FALSE)*(1+Terminal_Growth)</f>
        <v>854665.20048348722</v>
      </c>
      <c r="E52" s="164">
        <f>VLOOKUP(C15,B22:E51,4,FALSE)*(1+Terminal_Growth)</f>
        <v>153838.99038179088</v>
      </c>
      <c r="F52" s="164">
        <f>VLOOKUP(C15,B22:F51,5,FALSE)*(1+Terminal_Growth)</f>
        <v>-155631.16863458234</v>
      </c>
      <c r="G52" s="164">
        <f>-(D52+E52)*F7</f>
        <v>0</v>
      </c>
      <c r="H52" s="164">
        <f>I$6*F$8</f>
        <v>0</v>
      </c>
      <c r="I52" s="175">
        <f>IF(A52="",0,IF(A52="I",$C$19,$F$19))</f>
        <v>0.02</v>
      </c>
      <c r="J52" s="164">
        <f>S52*I$9*I52</f>
        <v>-473024.88227880734</v>
      </c>
      <c r="K52" s="164">
        <f t="shared" si="2"/>
        <v>281937.24693987839</v>
      </c>
      <c r="L52" s="164">
        <f>MIN(K52*L$16,W52)</f>
        <v>54748.882734935563</v>
      </c>
      <c r="M52" s="164">
        <f>IF(L52&gt;0,L52*(1-dividend_tax_rate),L52)/(Equity_Cost-Terminal_Growth)</f>
        <v>938552.27545603842</v>
      </c>
      <c r="N52" s="89">
        <f>1/(1+Equity_Cost)^C15</f>
        <v>0.12248445504993893</v>
      </c>
      <c r="O52" s="164">
        <f>M52*N52</f>
        <v>114958.06399511304</v>
      </c>
      <c r="Q52" s="175">
        <f>IF(A52="I",C$17+C$18,F$17+F$18)</f>
        <v>3.589205178493754E-2</v>
      </c>
      <c r="R52" s="164">
        <f>(D52+E52)/(C$17+C$18)+I$6</f>
        <v>26113495.801575586</v>
      </c>
      <c r="S52" s="164">
        <f>-R52*(1-L$15)</f>
        <v>-23893848.658441663</v>
      </c>
      <c r="T52" s="164">
        <f>R52*L$15</f>
        <v>2219647.1431339248</v>
      </c>
      <c r="U52" s="164">
        <f>(D52+E52)*F$11</f>
        <v>0</v>
      </c>
      <c r="V52" s="164">
        <f>MAX(T52-(VLOOKUP(C15,B22:T51,19,FALSE)+X51),0)</f>
        <v>0</v>
      </c>
      <c r="W52" s="164">
        <f>K52+U52-V52</f>
        <v>281937.24693987839</v>
      </c>
      <c r="X52" s="164">
        <f t="shared" si="19"/>
        <v>227188.36420494283</v>
      </c>
    </row>
    <row r="53" spans="1:30" ht="13.15">
      <c r="H53" s="82"/>
      <c r="I53" s="82"/>
      <c r="J53" s="82"/>
      <c r="K53" s="82"/>
      <c r="L53" s="82"/>
      <c r="M53" s="82"/>
      <c r="N53" s="228" t="s">
        <v>176</v>
      </c>
      <c r="O53" s="191">
        <f>SUM(O22:O52)</f>
        <v>421539.6534778073</v>
      </c>
      <c r="R53" s="82"/>
      <c r="S53" s="82"/>
      <c r="T53" s="82"/>
    </row>
    <row r="54" spans="1:30">
      <c r="C54" s="82"/>
    </row>
    <row r="55" spans="1:30" ht="13.15">
      <c r="B55" s="86" t="s">
        <v>41</v>
      </c>
      <c r="C55" s="98"/>
      <c r="D55" s="98"/>
      <c r="E55" s="98"/>
      <c r="F55" s="84"/>
      <c r="G55" s="84"/>
      <c r="H55" s="84"/>
      <c r="I55" s="84"/>
      <c r="J55" s="84"/>
      <c r="K55" s="84"/>
      <c r="L55" s="84"/>
      <c r="M55" s="84"/>
      <c r="N55" s="84"/>
      <c r="O55" s="84"/>
      <c r="R55" s="84"/>
      <c r="S55" s="84"/>
      <c r="T55" s="84"/>
      <c r="U55" s="84"/>
      <c r="V55" s="84"/>
    </row>
    <row r="56" spans="1:30" ht="13.15">
      <c r="A56" s="95">
        <f>O53</f>
        <v>421539.6534778073</v>
      </c>
      <c r="B56" s="93">
        <f>C87</f>
        <v>0</v>
      </c>
      <c r="C56" s="93">
        <f>C86</f>
        <v>0.01</v>
      </c>
      <c r="D56" s="93">
        <f>C85</f>
        <v>0.03</v>
      </c>
      <c r="E56" s="93">
        <f>C84</f>
        <v>0.05</v>
      </c>
      <c r="F56" s="93">
        <f>C83</f>
        <v>0.06</v>
      </c>
      <c r="H56" s="93"/>
      <c r="I56" s="93"/>
      <c r="J56" s="93"/>
      <c r="K56" s="93"/>
      <c r="L56" s="93"/>
      <c r="M56" s="93"/>
      <c r="N56" s="93"/>
      <c r="O56" s="93"/>
      <c r="R56" s="93"/>
      <c r="S56" s="93"/>
      <c r="T56" s="93"/>
      <c r="U56" s="93"/>
      <c r="V56" s="93"/>
    </row>
    <row r="57" spans="1:30" ht="13.15">
      <c r="A57" s="101">
        <v>5</v>
      </c>
      <c r="B57" s="88">
        <f t="dataTable" ref="B57:F66" dt2D="1" dtr="1" r1="C16" r2="C15"/>
        <v>329259.32719760342</v>
      </c>
      <c r="C57" s="88">
        <v>345087.98605450941</v>
      </c>
      <c r="D57" s="88">
        <v>378606.10944252845</v>
      </c>
      <c r="E57" s="88">
        <v>414726.92267278681</v>
      </c>
      <c r="F57" s="88">
        <v>433810.27280752524</v>
      </c>
      <c r="H57" s="172"/>
      <c r="I57" s="172"/>
      <c r="J57" s="172"/>
      <c r="K57" s="172"/>
      <c r="L57" s="172"/>
      <c r="M57" s="172"/>
      <c r="N57" s="172"/>
      <c r="O57" s="172"/>
      <c r="R57" s="172"/>
      <c r="S57" s="172"/>
      <c r="T57" s="172"/>
      <c r="U57" s="172"/>
      <c r="V57" s="172"/>
    </row>
    <row r="58" spans="1:30" ht="13.15">
      <c r="A58" s="101">
        <v>6</v>
      </c>
      <c r="B58" s="88">
        <v>322690.69078002294</v>
      </c>
      <c r="C58" s="88">
        <v>340968.18989830249</v>
      </c>
      <c r="D58" s="88">
        <v>380203.3084556153</v>
      </c>
      <c r="E58" s="88">
        <v>423246.59121063584</v>
      </c>
      <c r="F58" s="88">
        <v>446288.16043829726</v>
      </c>
      <c r="H58" s="172"/>
      <c r="I58" s="172"/>
      <c r="J58" s="172"/>
      <c r="K58" s="172"/>
      <c r="L58" s="172"/>
      <c r="M58" s="172"/>
      <c r="N58" s="172"/>
      <c r="O58" s="172"/>
      <c r="R58" s="172"/>
      <c r="S58" s="172"/>
      <c r="T58" s="172"/>
      <c r="U58" s="172"/>
      <c r="V58" s="172"/>
    </row>
    <row r="59" spans="1:30" ht="13.15">
      <c r="A59" s="101">
        <v>7</v>
      </c>
      <c r="B59" s="88">
        <v>318105.91815700766</v>
      </c>
      <c r="C59" s="88">
        <v>338674.94189197203</v>
      </c>
      <c r="D59" s="88">
        <v>383419.76402191317</v>
      </c>
      <c r="E59" s="88">
        <v>433369.9627582939</v>
      </c>
      <c r="F59" s="88">
        <v>460454.45022455452</v>
      </c>
      <c r="H59" s="172"/>
      <c r="I59" s="172"/>
      <c r="J59" s="172"/>
      <c r="K59" s="172"/>
      <c r="L59" s="172"/>
      <c r="M59" s="172"/>
      <c r="N59" s="172"/>
      <c r="O59" s="172"/>
      <c r="R59" s="172"/>
      <c r="S59" s="172"/>
      <c r="T59" s="172"/>
      <c r="U59" s="172"/>
      <c r="V59" s="172"/>
    </row>
    <row r="60" spans="1:30" ht="13.15">
      <c r="A60" s="101">
        <v>8</v>
      </c>
      <c r="B60" s="88">
        <v>312395.3328699636</v>
      </c>
      <c r="C60" s="88">
        <v>335021.27703348175</v>
      </c>
      <c r="D60" s="88">
        <v>384892.76336163125</v>
      </c>
      <c r="E60" s="88">
        <v>441535.70496449678</v>
      </c>
      <c r="F60" s="88">
        <v>472642.922906388</v>
      </c>
      <c r="H60" s="172"/>
      <c r="I60" s="172"/>
      <c r="J60" s="172"/>
      <c r="K60" s="172"/>
      <c r="L60" s="172"/>
      <c r="M60" s="172"/>
      <c r="N60" s="172"/>
      <c r="O60" s="172"/>
      <c r="R60" s="172"/>
      <c r="S60" s="172"/>
      <c r="T60" s="172"/>
      <c r="U60" s="172"/>
      <c r="V60" s="172"/>
    </row>
    <row r="61" spans="1:30" ht="13.15">
      <c r="A61" s="101">
        <v>9</v>
      </c>
      <c r="B61" s="88">
        <v>308506.51684226701</v>
      </c>
      <c r="C61" s="88">
        <v>333074.54662185465</v>
      </c>
      <c r="D61" s="88">
        <v>387923.27241538744</v>
      </c>
      <c r="E61" s="88">
        <v>451275.19331577176</v>
      </c>
      <c r="F61" s="88">
        <v>486501.81303461106</v>
      </c>
      <c r="H61" s="172"/>
      <c r="I61" s="172"/>
      <c r="J61" s="172"/>
      <c r="K61" s="172"/>
      <c r="L61" s="172"/>
      <c r="M61" s="172"/>
      <c r="N61" s="172"/>
      <c r="O61" s="172"/>
      <c r="R61" s="172"/>
      <c r="S61" s="172"/>
      <c r="T61" s="172"/>
      <c r="U61" s="172"/>
      <c r="V61" s="172"/>
    </row>
    <row r="62" spans="1:30" ht="13.15">
      <c r="A62" s="101">
        <v>10</v>
      </c>
      <c r="B62" s="88">
        <v>303541.89675257477</v>
      </c>
      <c r="C62" s="88">
        <v>329834.27369024511</v>
      </c>
      <c r="D62" s="88">
        <v>389281.73647769599</v>
      </c>
      <c r="E62" s="88">
        <v>459101.73056774301</v>
      </c>
      <c r="F62" s="88">
        <v>498407.61039100244</v>
      </c>
      <c r="H62" s="172"/>
      <c r="I62" s="172"/>
      <c r="J62" s="172"/>
      <c r="K62" s="172"/>
      <c r="L62" s="172"/>
      <c r="M62" s="172"/>
      <c r="N62" s="172"/>
      <c r="O62" s="172"/>
      <c r="R62" s="172"/>
      <c r="S62" s="172"/>
      <c r="T62" s="172"/>
      <c r="U62" s="172"/>
      <c r="V62" s="172"/>
    </row>
    <row r="63" spans="1:30" ht="13.15">
      <c r="A63" s="101">
        <v>15</v>
      </c>
      <c r="B63" s="88">
        <v>287072.19953931932</v>
      </c>
      <c r="C63" s="164">
        <v>320234.14286073297</v>
      </c>
      <c r="D63" s="88">
        <v>399781.00670997275</v>
      </c>
      <c r="E63" s="88">
        <v>500857.08151976916</v>
      </c>
      <c r="F63" s="88">
        <v>561197.89006776246</v>
      </c>
      <c r="H63" s="172"/>
      <c r="I63" s="172"/>
      <c r="J63" s="172"/>
      <c r="K63" s="172"/>
      <c r="L63" s="172"/>
      <c r="M63" s="172"/>
      <c r="N63" s="172"/>
      <c r="O63" s="172"/>
      <c r="R63" s="172"/>
      <c r="S63" s="172"/>
      <c r="T63" s="172"/>
      <c r="U63" s="172"/>
      <c r="V63" s="172"/>
      <c r="W63" s="163"/>
      <c r="X63" s="163"/>
      <c r="Y63" s="163"/>
      <c r="Z63" s="163"/>
      <c r="AA63" s="163"/>
      <c r="AB63" s="163"/>
      <c r="AC63" s="163"/>
      <c r="AD63" s="163"/>
    </row>
    <row r="64" spans="1:30" ht="13.15">
      <c r="A64" s="102">
        <v>20</v>
      </c>
      <c r="B64" s="88">
        <v>274919.51878461486</v>
      </c>
      <c r="C64" s="164">
        <v>312457.43037625629</v>
      </c>
      <c r="D64" s="88">
        <v>407397.65558415116</v>
      </c>
      <c r="E64" s="88">
        <v>537069.91004018707</v>
      </c>
      <c r="F64" s="88">
        <v>618841.03773602832</v>
      </c>
      <c r="H64" s="172"/>
      <c r="I64" s="172"/>
      <c r="J64" s="172"/>
      <c r="K64" s="172"/>
      <c r="L64" s="172"/>
      <c r="M64" s="172"/>
      <c r="N64" s="172"/>
      <c r="O64" s="172"/>
      <c r="R64" s="172"/>
      <c r="S64" s="172"/>
      <c r="T64" s="172"/>
      <c r="U64" s="172"/>
      <c r="V64" s="172"/>
      <c r="W64" s="163"/>
      <c r="X64" s="163"/>
      <c r="Y64" s="163"/>
      <c r="Z64" s="163"/>
      <c r="AA64" s="163"/>
      <c r="AB64" s="163"/>
      <c r="AC64" s="163"/>
      <c r="AD64" s="163"/>
    </row>
    <row r="65" spans="1:30" ht="13.15">
      <c r="A65" s="102">
        <v>25</v>
      </c>
      <c r="B65" s="88">
        <v>267520.77285483031</v>
      </c>
      <c r="C65" s="164">
        <v>307955.03927145194</v>
      </c>
      <c r="D65" s="88">
        <v>415072.83503258461</v>
      </c>
      <c r="E65" s="88">
        <v>571299.57506966812</v>
      </c>
      <c r="F65" s="88">
        <v>674967.62895011296</v>
      </c>
      <c r="H65" s="172"/>
      <c r="I65" s="172"/>
      <c r="J65" s="172"/>
      <c r="K65" s="172"/>
      <c r="L65" s="172"/>
      <c r="M65" s="172"/>
      <c r="N65" s="172"/>
      <c r="O65" s="172"/>
      <c r="R65" s="172"/>
      <c r="S65" s="172"/>
      <c r="T65" s="172"/>
      <c r="U65" s="172"/>
      <c r="V65" s="172"/>
      <c r="W65" s="163"/>
      <c r="X65" s="163"/>
      <c r="Y65" s="163"/>
      <c r="Z65" s="163"/>
      <c r="AA65" s="163"/>
      <c r="AB65" s="163"/>
      <c r="AC65" s="163"/>
      <c r="AD65" s="163"/>
    </row>
    <row r="66" spans="1:30" ht="13.15">
      <c r="A66" s="102">
        <v>30</v>
      </c>
      <c r="B66" s="88">
        <v>261921.82332783676</v>
      </c>
      <c r="C66" s="164">
        <v>304126.87936972984</v>
      </c>
      <c r="D66" s="88">
        <v>420558.44763727766</v>
      </c>
      <c r="E66" s="88">
        <v>600879.29339047335</v>
      </c>
      <c r="F66" s="88">
        <v>726416.74688625545</v>
      </c>
      <c r="H66" s="172"/>
      <c r="I66" s="172"/>
      <c r="J66" s="172"/>
      <c r="K66" s="172"/>
      <c r="L66" s="172"/>
      <c r="M66" s="172"/>
      <c r="N66" s="172"/>
      <c r="O66" s="172"/>
      <c r="R66" s="172"/>
      <c r="S66" s="172"/>
      <c r="T66" s="172"/>
      <c r="U66" s="172"/>
      <c r="V66" s="172"/>
      <c r="W66" s="163"/>
      <c r="X66" s="163"/>
      <c r="Y66" s="163"/>
      <c r="Z66" s="163"/>
      <c r="AA66" s="163"/>
      <c r="AB66" s="163"/>
      <c r="AC66" s="163"/>
      <c r="AD66" s="163"/>
    </row>
    <row r="67" spans="1:30">
      <c r="C67" s="163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R67" s="82"/>
      <c r="S67" s="82"/>
      <c r="T67" s="82"/>
      <c r="U67" s="82"/>
      <c r="V67" s="82"/>
      <c r="W67" s="163"/>
      <c r="X67" s="163"/>
      <c r="Y67" s="163"/>
      <c r="Z67" s="163"/>
      <c r="AA67" s="163"/>
      <c r="AB67" s="163"/>
      <c r="AC67" s="163"/>
      <c r="AD67" s="163"/>
    </row>
    <row r="68" spans="1:30" ht="13.15">
      <c r="B68" s="86" t="s">
        <v>42</v>
      </c>
      <c r="C68" s="163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R68" s="82"/>
      <c r="S68" s="82"/>
      <c r="T68" s="82"/>
      <c r="U68" s="82"/>
      <c r="V68" s="82"/>
      <c r="W68" s="163"/>
      <c r="X68" s="163"/>
      <c r="Y68" s="163"/>
      <c r="Z68" s="163"/>
      <c r="AA68" s="163"/>
      <c r="AB68" s="163"/>
      <c r="AC68" s="163"/>
      <c r="AD68" s="163"/>
    </row>
    <row r="69" spans="1:30" ht="13.15">
      <c r="B69" s="94">
        <f>B56</f>
        <v>0</v>
      </c>
      <c r="C69" s="94">
        <f>C56</f>
        <v>0.01</v>
      </c>
      <c r="D69" s="94">
        <f>D56</f>
        <v>0.03</v>
      </c>
      <c r="E69" s="94">
        <f>E56</f>
        <v>0.05</v>
      </c>
      <c r="F69" s="94">
        <f>F56</f>
        <v>0.06</v>
      </c>
      <c r="H69" s="94"/>
      <c r="I69" s="94"/>
      <c r="J69" s="94"/>
      <c r="K69" s="94"/>
      <c r="L69" s="94"/>
      <c r="M69" s="94"/>
      <c r="N69" s="94"/>
      <c r="O69" s="94"/>
      <c r="R69" s="94"/>
      <c r="S69" s="94"/>
      <c r="T69" s="94"/>
      <c r="U69" s="94"/>
      <c r="V69" s="94"/>
    </row>
    <row r="70" spans="1:30" ht="13.15">
      <c r="A70" s="101">
        <v>0</v>
      </c>
      <c r="B70" s="89">
        <f>C11</f>
        <v>18.171428571428578</v>
      </c>
      <c r="C70" s="89">
        <f>C11</f>
        <v>18.171428571428578</v>
      </c>
      <c r="D70" s="89">
        <f>C11</f>
        <v>18.171428571428578</v>
      </c>
      <c r="E70" s="89">
        <f>C11</f>
        <v>18.171428571428578</v>
      </c>
      <c r="F70" s="89">
        <f>C11</f>
        <v>18.171428571428578</v>
      </c>
      <c r="H70" s="173"/>
      <c r="I70" s="173"/>
      <c r="J70" s="173"/>
      <c r="K70" s="173"/>
      <c r="L70" s="173"/>
      <c r="M70" s="173"/>
      <c r="N70" s="173"/>
      <c r="O70" s="173"/>
      <c r="R70" s="173"/>
      <c r="S70" s="173"/>
      <c r="T70" s="173"/>
      <c r="U70" s="173"/>
      <c r="V70" s="173"/>
    </row>
    <row r="71" spans="1:30" ht="13.15">
      <c r="A71" s="101">
        <f>A57</f>
        <v>5</v>
      </c>
      <c r="B71" s="89">
        <f t="shared" ref="B71:F80" si="22">B57/Common_Shares*scaling_factor*Exchange_Rate</f>
        <v>15.849349851642589</v>
      </c>
      <c r="C71" s="89">
        <f t="shared" si="22"/>
        <v>16.611284081541697</v>
      </c>
      <c r="D71" s="89">
        <f t="shared" si="22"/>
        <v>18.224724977715358</v>
      </c>
      <c r="E71" s="89">
        <f t="shared" si="22"/>
        <v>19.963449923443704</v>
      </c>
      <c r="F71" s="89">
        <f t="shared" si="22"/>
        <v>20.882053187324338</v>
      </c>
      <c r="H71" s="173"/>
      <c r="I71" s="173"/>
      <c r="J71" s="173"/>
      <c r="K71" s="173"/>
      <c r="L71" s="173"/>
      <c r="M71" s="173"/>
      <c r="N71" s="173"/>
      <c r="O71" s="173"/>
      <c r="R71" s="173"/>
      <c r="S71" s="173"/>
      <c r="T71" s="173"/>
      <c r="U71" s="173"/>
      <c r="V71" s="173"/>
    </row>
    <row r="72" spans="1:30" ht="13.15">
      <c r="A72" s="101">
        <v>6</v>
      </c>
      <c r="B72" s="89">
        <f t="shared" si="22"/>
        <v>15.533159517669169</v>
      </c>
      <c r="C72" s="89">
        <f t="shared" si="22"/>
        <v>16.412972036282646</v>
      </c>
      <c r="D72" s="89">
        <f t="shared" si="22"/>
        <v>18.301608345474651</v>
      </c>
      <c r="E72" s="89">
        <f t="shared" si="22"/>
        <v>20.373555867672167</v>
      </c>
      <c r="F72" s="89">
        <f t="shared" si="22"/>
        <v>21.482693442994002</v>
      </c>
      <c r="H72" s="173"/>
      <c r="I72" s="173"/>
      <c r="J72" s="173"/>
      <c r="K72" s="173"/>
      <c r="L72" s="173"/>
      <c r="M72" s="173"/>
      <c r="N72" s="173"/>
      <c r="O72" s="173"/>
      <c r="R72" s="173"/>
      <c r="S72" s="173"/>
      <c r="T72" s="173"/>
      <c r="U72" s="173"/>
      <c r="V72" s="173"/>
    </row>
    <row r="73" spans="1:30" ht="13.15">
      <c r="A73" s="101">
        <f t="shared" ref="A73" si="23">A59</f>
        <v>7</v>
      </c>
      <c r="B73" s="89">
        <f t="shared" si="22"/>
        <v>15.31246519167733</v>
      </c>
      <c r="C73" s="89">
        <f t="shared" si="22"/>
        <v>16.302583394423156</v>
      </c>
      <c r="D73" s="89">
        <f t="shared" si="22"/>
        <v>18.456436850976406</v>
      </c>
      <c r="E73" s="89">
        <f t="shared" si="22"/>
        <v>20.860858258473399</v>
      </c>
      <c r="F73" s="89">
        <f t="shared" si="22"/>
        <v>22.164607254921926</v>
      </c>
      <c r="H73" s="173"/>
      <c r="I73" s="173"/>
      <c r="J73" s="173"/>
      <c r="K73" s="173"/>
      <c r="L73" s="173"/>
      <c r="M73" s="173"/>
      <c r="N73" s="173"/>
      <c r="O73" s="173"/>
      <c r="R73" s="173"/>
      <c r="S73" s="173"/>
      <c r="T73" s="173"/>
      <c r="U73" s="173"/>
      <c r="V73" s="173"/>
    </row>
    <row r="74" spans="1:30" ht="13.15">
      <c r="A74" s="101">
        <v>8</v>
      </c>
      <c r="B74" s="89">
        <f t="shared" si="22"/>
        <v>15.037578327143086</v>
      </c>
      <c r="C74" s="89">
        <f t="shared" si="22"/>
        <v>16.12670921926847</v>
      </c>
      <c r="D74" s="89">
        <f t="shared" si="22"/>
        <v>18.527341696907829</v>
      </c>
      <c r="E74" s="89">
        <f t="shared" si="22"/>
        <v>21.253927472718502</v>
      </c>
      <c r="F74" s="89">
        <f t="shared" si="22"/>
        <v>22.751316124601516</v>
      </c>
      <c r="H74" s="173"/>
      <c r="I74" s="173"/>
      <c r="J74" s="173"/>
      <c r="K74" s="173"/>
      <c r="L74" s="173"/>
      <c r="M74" s="173"/>
      <c r="N74" s="173"/>
      <c r="O74" s="173"/>
      <c r="R74" s="173"/>
      <c r="S74" s="173"/>
      <c r="T74" s="173"/>
      <c r="U74" s="173"/>
      <c r="V74" s="173"/>
    </row>
    <row r="75" spans="1:30" ht="13.15">
      <c r="A75" s="101">
        <f t="shared" ref="A75" si="24">A61</f>
        <v>9</v>
      </c>
      <c r="B75" s="89">
        <f t="shared" si="22"/>
        <v>14.850384827550442</v>
      </c>
      <c r="C75" s="89">
        <f t="shared" si="22"/>
        <v>16.033000677665964</v>
      </c>
      <c r="D75" s="89">
        <f t="shared" si="22"/>
        <v>18.673219411687729</v>
      </c>
      <c r="E75" s="89">
        <f t="shared" si="22"/>
        <v>21.722751118715671</v>
      </c>
      <c r="F75" s="89">
        <f t="shared" si="22"/>
        <v>23.41843283187055</v>
      </c>
      <c r="H75" s="173"/>
      <c r="I75" s="173"/>
      <c r="J75" s="173"/>
      <c r="K75" s="173"/>
      <c r="L75" s="173"/>
      <c r="M75" s="173"/>
      <c r="N75" s="173"/>
      <c r="O75" s="173"/>
      <c r="R75" s="173"/>
      <c r="S75" s="173"/>
      <c r="T75" s="173"/>
      <c r="U75" s="173"/>
      <c r="V75" s="173"/>
    </row>
    <row r="76" spans="1:30" ht="13.15">
      <c r="A76" s="101">
        <f t="shared" ref="A76:A80" si="25">A62</f>
        <v>10</v>
      </c>
      <c r="B76" s="89">
        <f t="shared" si="22"/>
        <v>14.611406022145781</v>
      </c>
      <c r="C76" s="89">
        <f t="shared" si="22"/>
        <v>15.877025690579066</v>
      </c>
      <c r="D76" s="89">
        <f t="shared" si="22"/>
        <v>18.73861094476187</v>
      </c>
      <c r="E76" s="89">
        <f t="shared" si="22"/>
        <v>22.099492236694566</v>
      </c>
      <c r="F76" s="89">
        <f t="shared" si="22"/>
        <v>23.991534736591873</v>
      </c>
      <c r="H76" s="173"/>
      <c r="I76" s="173"/>
      <c r="J76" s="173"/>
      <c r="K76" s="173"/>
      <c r="L76" s="173"/>
      <c r="M76" s="173"/>
      <c r="N76" s="173"/>
      <c r="O76" s="173"/>
      <c r="R76" s="173"/>
      <c r="S76" s="173"/>
      <c r="T76" s="173"/>
      <c r="U76" s="173"/>
      <c r="V76" s="173"/>
    </row>
    <row r="77" spans="1:30" ht="13.15">
      <c r="A77" s="101">
        <f t="shared" si="25"/>
        <v>15</v>
      </c>
      <c r="B77" s="89">
        <f t="shared" si="22"/>
        <v>13.818614530693665</v>
      </c>
      <c r="C77" s="89">
        <f t="shared" si="22"/>
        <v>15.414910210256886</v>
      </c>
      <c r="D77" s="89">
        <f t="shared" si="22"/>
        <v>19.244007734929099</v>
      </c>
      <c r="E77" s="89">
        <f t="shared" si="22"/>
        <v>24.109443392974512</v>
      </c>
      <c r="F77" s="89">
        <f t="shared" si="22"/>
        <v>27.014031072078211</v>
      </c>
      <c r="H77" s="173"/>
      <c r="I77" s="173"/>
      <c r="J77" s="173"/>
      <c r="K77" s="173"/>
      <c r="L77" s="173"/>
      <c r="M77" s="173"/>
      <c r="N77" s="173"/>
      <c r="O77" s="173"/>
      <c r="R77" s="173"/>
      <c r="S77" s="173"/>
      <c r="T77" s="173"/>
      <c r="U77" s="173"/>
      <c r="V77" s="173"/>
    </row>
    <row r="78" spans="1:30" ht="13.15">
      <c r="A78" s="102">
        <f t="shared" si="25"/>
        <v>20</v>
      </c>
      <c r="B78" s="89">
        <f t="shared" si="22"/>
        <v>13.233628554575699</v>
      </c>
      <c r="C78" s="89">
        <f t="shared" si="22"/>
        <v>15.040567475880417</v>
      </c>
      <c r="D78" s="89">
        <f t="shared" si="22"/>
        <v>19.610645587625445</v>
      </c>
      <c r="E78" s="89">
        <f t="shared" si="22"/>
        <v>25.852597621049551</v>
      </c>
      <c r="F78" s="89">
        <f t="shared" si="22"/>
        <v>29.788763140324058</v>
      </c>
      <c r="H78" s="173"/>
      <c r="I78" s="173"/>
      <c r="J78" s="173"/>
      <c r="K78" s="173"/>
      <c r="L78" s="173"/>
      <c r="M78" s="173"/>
      <c r="N78" s="173"/>
      <c r="O78" s="173"/>
      <c r="R78" s="173"/>
      <c r="S78" s="173"/>
      <c r="T78" s="173"/>
      <c r="U78" s="173"/>
      <c r="V78" s="173"/>
    </row>
    <row r="79" spans="1:30" ht="13.15">
      <c r="A79" s="102">
        <f t="shared" si="25"/>
        <v>25</v>
      </c>
      <c r="B79" s="89">
        <f t="shared" si="22"/>
        <v>12.8774797593308</v>
      </c>
      <c r="C79" s="89">
        <f t="shared" si="22"/>
        <v>14.823838697393478</v>
      </c>
      <c r="D79" s="89">
        <f t="shared" si="22"/>
        <v>19.980100889887403</v>
      </c>
      <c r="E79" s="89">
        <f t="shared" si="22"/>
        <v>27.500289551219812</v>
      </c>
      <c r="F79" s="89">
        <f t="shared" si="22"/>
        <v>32.490493681121414</v>
      </c>
      <c r="H79" s="173"/>
      <c r="I79" s="173"/>
      <c r="J79" s="173"/>
      <c r="K79" s="173"/>
      <c r="L79" s="173"/>
      <c r="M79" s="173"/>
      <c r="N79" s="173"/>
      <c r="O79" s="173"/>
      <c r="R79" s="173"/>
      <c r="S79" s="173"/>
      <c r="T79" s="173"/>
      <c r="U79" s="173"/>
      <c r="V79" s="173"/>
    </row>
    <row r="80" spans="1:30" ht="13.15">
      <c r="A80" s="102">
        <f t="shared" si="25"/>
        <v>30</v>
      </c>
      <c r="B80" s="89">
        <f t="shared" si="22"/>
        <v>12.607966635404161</v>
      </c>
      <c r="C80" s="89">
        <f t="shared" si="22"/>
        <v>14.639564963717255</v>
      </c>
      <c r="D80" s="89">
        <f t="shared" si="22"/>
        <v>20.244158385425507</v>
      </c>
      <c r="E80" s="89">
        <f t="shared" si="22"/>
        <v>28.924149911288289</v>
      </c>
      <c r="F80" s="89">
        <f t="shared" si="22"/>
        <v>34.967067622606031</v>
      </c>
      <c r="H80" s="173"/>
      <c r="I80" s="173"/>
      <c r="J80" s="173"/>
      <c r="K80" s="173"/>
      <c r="L80" s="173"/>
      <c r="M80" s="173"/>
      <c r="N80" s="173"/>
      <c r="O80" s="173"/>
      <c r="R80" s="173"/>
      <c r="S80" s="173"/>
      <c r="T80" s="173"/>
      <c r="U80" s="173"/>
      <c r="V80" s="173"/>
    </row>
    <row r="82" spans="2:22" ht="13.15">
      <c r="B82" s="122" t="s">
        <v>36</v>
      </c>
      <c r="C82" s="122" t="s">
        <v>43</v>
      </c>
      <c r="D82" s="122" t="s">
        <v>34</v>
      </c>
      <c r="E82" s="123" t="s">
        <v>35</v>
      </c>
      <c r="F82" s="123" t="s">
        <v>139</v>
      </c>
      <c r="H82" s="195"/>
      <c r="I82" s="195"/>
      <c r="J82" s="195"/>
      <c r="K82" s="195"/>
      <c r="L82" s="195"/>
      <c r="M82" s="195"/>
      <c r="N82" s="195"/>
      <c r="O82" s="195"/>
      <c r="R82" s="195"/>
      <c r="S82" s="195"/>
      <c r="T82" s="195"/>
      <c r="U82" s="195"/>
      <c r="V82" s="195"/>
    </row>
    <row r="83" spans="2:22">
      <c r="B83" s="90" t="str">
        <f>Scenarios!B29</f>
        <v>Snowball Scenario</v>
      </c>
      <c r="C83" s="100">
        <f>Scenarios!C29</f>
        <v>0.06</v>
      </c>
      <c r="D83" s="103">
        <f>Scenarios!D29</f>
        <v>30</v>
      </c>
      <c r="E83" s="97">
        <f>INDEX(B$70:F$80, MATCH(D83, A$70:A$80, 0), MATCH(C83, B$69:F$69, 0))</f>
        <v>34.967067622606031</v>
      </c>
      <c r="F83" s="100">
        <f>Scenarios!F29</f>
        <v>0.01</v>
      </c>
      <c r="H83" s="174"/>
      <c r="I83" s="174"/>
      <c r="J83" s="174"/>
      <c r="K83" s="174"/>
      <c r="L83" s="174"/>
      <c r="M83" s="174"/>
      <c r="N83" s="174"/>
      <c r="O83" s="174"/>
      <c r="R83" s="174"/>
      <c r="S83" s="174"/>
      <c r="T83" s="174"/>
      <c r="U83" s="174"/>
      <c r="V83" s="174"/>
    </row>
    <row r="84" spans="2:22">
      <c r="B84" s="90" t="str">
        <f>Scenarios!B22</f>
        <v>Optimistic</v>
      </c>
      <c r="C84" s="100">
        <f>Scenarios!C22</f>
        <v>0.05</v>
      </c>
      <c r="D84" s="103">
        <f>Scenarios!D22</f>
        <v>30</v>
      </c>
      <c r="E84" s="97">
        <f>INDEX(B$70:F$80, MATCH(D84, A$70:A$80, 0), MATCH(C84, B$69:F$69, 0))</f>
        <v>28.924149911288289</v>
      </c>
      <c r="F84" s="100">
        <f>Scenarios!F22*(1-F$83-F$87)</f>
        <v>0.13349999999999998</v>
      </c>
      <c r="H84" s="174"/>
      <c r="I84" s="174"/>
      <c r="J84" s="174"/>
      <c r="K84" s="174"/>
      <c r="L84" s="174"/>
      <c r="M84" s="174"/>
      <c r="N84" s="174"/>
      <c r="O84" s="174"/>
      <c r="R84" s="174"/>
      <c r="S84" s="174"/>
      <c r="T84" s="174"/>
      <c r="U84" s="174"/>
      <c r="V84" s="174"/>
    </row>
    <row r="85" spans="2:22">
      <c r="B85" s="90" t="str">
        <f>Scenarios!B23</f>
        <v>Base</v>
      </c>
      <c r="C85" s="100">
        <f>Scenarios!C23</f>
        <v>0.03</v>
      </c>
      <c r="D85" s="103">
        <f>Scenarios!D23</f>
        <v>30</v>
      </c>
      <c r="E85" s="97">
        <f>INDEX(B$70:F$80, MATCH(D85, A$70:A$80, 0), MATCH(C85, B$69:F$69, 0))</f>
        <v>20.244158385425507</v>
      </c>
      <c r="F85" s="100">
        <f>Scenarios!F23*(1-F$83-F$87)</f>
        <v>0.57850000000000001</v>
      </c>
      <c r="H85" s="174"/>
      <c r="I85" s="174"/>
      <c r="J85" s="174"/>
      <c r="K85" s="174"/>
      <c r="L85" s="174"/>
      <c r="M85" s="174"/>
      <c r="N85" s="174"/>
      <c r="O85" s="174"/>
      <c r="R85" s="174"/>
      <c r="S85" s="174"/>
      <c r="T85" s="174"/>
      <c r="U85" s="174"/>
      <c r="V85" s="174"/>
    </row>
    <row r="86" spans="2:22">
      <c r="B86" s="90" t="str">
        <f>Scenarios!B24</f>
        <v>Pessimistic</v>
      </c>
      <c r="C86" s="100">
        <f>Scenarios!C24</f>
        <v>0.01</v>
      </c>
      <c r="D86" s="103">
        <f>Scenarios!D24</f>
        <v>30</v>
      </c>
      <c r="E86" s="97">
        <f>INDEX(B$70:F$80, MATCH(D86, A$70:A$80, 0), MATCH(C86, B$69:F$69, 0))</f>
        <v>14.639564963717255</v>
      </c>
      <c r="F86" s="100">
        <f>Scenarios!F24*(1-F$83-F$87)</f>
        <v>0.17800000000000002</v>
      </c>
      <c r="H86" s="174"/>
      <c r="I86" s="174"/>
      <c r="J86" s="174"/>
      <c r="K86" s="174"/>
      <c r="L86" s="174"/>
      <c r="M86" s="174"/>
      <c r="N86" s="174"/>
      <c r="O86" s="174"/>
      <c r="R86" s="174"/>
      <c r="S86" s="174"/>
      <c r="T86" s="174"/>
      <c r="U86" s="174"/>
      <c r="V86" s="174"/>
    </row>
    <row r="87" spans="2:22">
      <c r="B87" s="90" t="str">
        <f>Scenarios!B30</f>
        <v>Devil's advocate</v>
      </c>
      <c r="C87" s="100">
        <f>Scenarios!C30</f>
        <v>0</v>
      </c>
      <c r="D87" s="103">
        <f>Scenarios!D30</f>
        <v>30</v>
      </c>
      <c r="E87" s="97">
        <f>INDEX(B$70:F$80, MATCH(D87, A$70:A$80, 0), MATCH(C87, B$69:F$69, 0))</f>
        <v>12.607966635404161</v>
      </c>
      <c r="F87" s="100">
        <f>Scenarios!F30</f>
        <v>0.1</v>
      </c>
      <c r="H87" s="174"/>
      <c r="I87" s="174"/>
      <c r="J87" s="174"/>
      <c r="K87" s="174"/>
      <c r="L87" s="174"/>
      <c r="M87" s="174"/>
      <c r="N87" s="174"/>
      <c r="O87" s="174"/>
      <c r="R87" s="174"/>
      <c r="S87" s="174"/>
      <c r="T87" s="174"/>
      <c r="U87" s="174"/>
      <c r="V87" s="174"/>
    </row>
    <row r="88" spans="2:22">
      <c r="B88" s="110"/>
      <c r="C88" s="110"/>
      <c r="D88" s="110"/>
      <c r="E88" s="110"/>
      <c r="F88" s="110"/>
      <c r="G88" s="111"/>
      <c r="H88" s="111"/>
      <c r="I88" s="111"/>
      <c r="J88" s="111"/>
      <c r="K88" s="111"/>
      <c r="L88" s="111"/>
      <c r="M88" s="111"/>
      <c r="N88" s="111"/>
      <c r="O88" s="111"/>
      <c r="R88" s="111"/>
      <c r="S88" s="111"/>
      <c r="T88" s="111"/>
      <c r="U88" s="111"/>
      <c r="V88" s="111"/>
    </row>
    <row r="98" spans="3:30">
      <c r="C98" s="83"/>
    </row>
    <row r="99" spans="3:30">
      <c r="C99" s="83"/>
    </row>
    <row r="100" spans="3:30">
      <c r="C100" s="83"/>
    </row>
    <row r="107" spans="3:30">
      <c r="C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63"/>
    </row>
    <row r="108" spans="3:30">
      <c r="C108" s="163"/>
      <c r="U108" s="163"/>
      <c r="V108" s="163"/>
      <c r="W108" s="163"/>
      <c r="X108" s="163"/>
      <c r="Y108" s="163"/>
      <c r="Z108" s="163"/>
      <c r="AA108" s="163"/>
      <c r="AB108" s="163"/>
      <c r="AC108" s="163"/>
      <c r="AD108" s="163"/>
    </row>
    <row r="109" spans="3:30">
      <c r="C109" s="163"/>
      <c r="U109" s="163"/>
      <c r="V109" s="163"/>
      <c r="W109" s="163"/>
      <c r="X109" s="163"/>
      <c r="Y109" s="163"/>
      <c r="Z109" s="163"/>
      <c r="AA109" s="163"/>
      <c r="AB109" s="163"/>
      <c r="AC109" s="163"/>
      <c r="AD109" s="163"/>
    </row>
    <row r="110" spans="3:30">
      <c r="C110" s="163"/>
      <c r="U110" s="163"/>
      <c r="V110" s="163"/>
      <c r="W110" s="163"/>
      <c r="X110" s="163"/>
      <c r="Y110" s="163"/>
      <c r="Z110" s="163"/>
      <c r="AA110" s="163"/>
      <c r="AB110" s="163"/>
      <c r="AC110" s="163"/>
      <c r="AD110" s="163"/>
    </row>
    <row r="111" spans="3:30">
      <c r="C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</row>
  </sheetData>
  <phoneticPr fontId="2" type="noConversion"/>
  <conditionalFormatting sqref="C22:O51">
    <cfRule type="cellIs" dxfId="4" priority="8" operator="equal">
      <formula>0</formula>
    </cfRule>
  </conditionalFormatting>
  <conditionalFormatting sqref="F4:F6">
    <cfRule type="expression" dxfId="3" priority="1">
      <formula>ISBLANK(F4)</formula>
    </cfRule>
  </conditionalFormatting>
  <conditionalFormatting sqref="I4:I8 I10:I11">
    <cfRule type="expression" dxfId="2" priority="2">
      <formula>ISBLANK(I4)</formula>
    </cfRule>
  </conditionalFormatting>
  <conditionalFormatting sqref="Q22:Q52">
    <cfRule type="cellIs" dxfId="1" priority="3" operator="equal">
      <formula>0</formula>
    </cfRule>
  </conditionalFormatting>
  <conditionalFormatting sqref="R22:W23 X22:X52 O23:O52 R24:U51 R24:R52 V24:W52 K52:M52 S52:U52">
    <cfRule type="cellIs" dxfId="0" priority="11" operator="equal">
      <formula>0</formula>
    </cfRule>
  </conditionalFormatting>
  <dataValidations count="1">
    <dataValidation type="list" allowBlank="1" showInputMessage="1" showErrorMessage="1" sqref="C15" xr:uid="{A06882BF-7451-4B05-ADA9-B8AC5ACC7F23}">
      <formula1>$A$57:$A$66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G64"/>
  <sheetViews>
    <sheetView showGridLines="0" zoomScaleNormal="100" workbookViewId="0">
      <selection activeCell="G64" sqref="G64"/>
    </sheetView>
  </sheetViews>
  <sheetFormatPr defaultColWidth="8.796875" defaultRowHeight="12.75"/>
  <cols>
    <col min="1" max="1" width="2.6640625" customWidth="1"/>
    <col min="2" max="2" width="22.6640625" customWidth="1"/>
    <col min="3" max="7" width="20.6640625" customWidth="1"/>
  </cols>
  <sheetData>
    <row r="2" spans="2:7" ht="13.9">
      <c r="B2" s="26" t="s">
        <v>47</v>
      </c>
      <c r="C2" s="27"/>
      <c r="D2" s="27"/>
      <c r="E2" s="27"/>
      <c r="F2" s="27"/>
      <c r="G2" s="27"/>
    </row>
    <row r="3" spans="2:7" ht="13.15">
      <c r="B3" s="114" t="s">
        <v>49</v>
      </c>
      <c r="D3" s="71" t="s">
        <v>156</v>
      </c>
      <c r="E3" s="71"/>
    </row>
    <row r="4" spans="2:7" ht="12.75" customHeight="1">
      <c r="B4" s="108" t="s">
        <v>48</v>
      </c>
      <c r="C4" s="226">
        <v>2</v>
      </c>
      <c r="D4" s="262" t="str">
        <f>"DDM Model Inputs for " &amp; Thesis!C5 &amp; " – " &amp; Thesis!C4 &amp; ": Please develop Base, Pessimistic, and Optimistic scenarios under the following unified framework. " &amp;
"Assume a consistent high-growth period across all cases, with each scenario using a single FCFE CAGR during this phase. " &amp;
"Apply a two-stage model only if there is a material shift in FCFE margin or growth, and ensure this structure is used consistently across scenarios. " &amp;
"Margins should remain constant within each stage and be identical across all scenarios; any variation in outlook should be reflected through adjustments to the growth rate, not the margin. " &amp;
"Terminal growth is fixed at 0%, so modify the high-growth duration or rate accordingly to reflect long-term expectations. " &amp;
"Specify the FCFE margin (stage-specific if applicable) for all scenarios. " &amp;
"For each scenario, specify the FCFE CAGR during the high-growth period. Accompany each with a concise business narrative and respective probability explaining the key drivers behind the scenario."</f>
        <v>DDM Model Inputs for 601166.SS – 兴业银行: Please develop Base, Pessimistic, and Optimistic scenarios under the following unified framework. Assume a consistent high-growth period across all cases, with each scenario using a single FCFE CAGR during this phase. Apply a two-stage model only if there is a material shift in FCFE margin or growth, and ensure this structure is used consistently across scenarios. Margins should remain constant within each stage and be identical across all scenarios; any variation in outlook should be reflected through adjustments to the growth rate, not the margin. Terminal growth is fixed at 0%, so modify the high-growth duration or rate accordingly to reflect long-term expectations. Specify the FCFE margin (stage-specific if applicable) for all scenarios. For each scenario, specify the FCFE CAGR during the high-growth period. Accompany each with a concise business narrative and respective probability explaining the key drivers behind the scenario.</v>
      </c>
      <c r="E4" s="262"/>
      <c r="F4" s="262"/>
      <c r="G4" s="262"/>
    </row>
    <row r="5" spans="2:7">
      <c r="C5" s="222"/>
      <c r="D5" s="262"/>
      <c r="E5" s="262"/>
      <c r="F5" s="262"/>
      <c r="G5" s="262"/>
    </row>
    <row r="6" spans="2:7" ht="13.15">
      <c r="B6" s="114" t="s">
        <v>28</v>
      </c>
      <c r="C6" s="223" t="str">
        <f>DDM!C3&amp;" "&amp;Reporting_currency</f>
        <v>1000000 CNY</v>
      </c>
      <c r="D6" s="262"/>
      <c r="E6" s="262"/>
      <c r="F6" s="262"/>
      <c r="G6" s="262"/>
    </row>
    <row r="7" spans="2:7" ht="12.75" customHeight="1">
      <c r="B7" s="71" t="s">
        <v>68</v>
      </c>
      <c r="C7" s="224">
        <f>Past_EBITDA!G6</f>
        <v>405725</v>
      </c>
      <c r="D7" s="262"/>
      <c r="E7" s="262"/>
      <c r="F7" s="262"/>
      <c r="G7" s="262"/>
    </row>
    <row r="8" spans="2:7">
      <c r="B8" s="71" t="s">
        <v>19</v>
      </c>
      <c r="C8" s="224">
        <f>Past_EBITDA!C6</f>
        <v>405725</v>
      </c>
      <c r="D8" s="262"/>
      <c r="E8" s="262"/>
      <c r="F8" s="262"/>
      <c r="G8" s="262"/>
    </row>
    <row r="9" spans="2:7">
      <c r="D9" s="262"/>
      <c r="E9" s="262"/>
      <c r="F9" s="262"/>
      <c r="G9" s="262"/>
    </row>
    <row r="10" spans="2:7" ht="13.15">
      <c r="B10" s="114" t="s">
        <v>90</v>
      </c>
      <c r="C10" s="225"/>
      <c r="D10" s="262"/>
      <c r="E10" s="262"/>
      <c r="F10" s="262"/>
      <c r="G10" s="262"/>
    </row>
    <row r="11" spans="2:7">
      <c r="B11" s="85" t="s">
        <v>46</v>
      </c>
      <c r="C11" s="150">
        <f ca="1">(Past_EBITDA!G4/OFFSET(Past_EBITDA!G4, 0, $C$4))^(1/$C$4) - 1</f>
        <v>2.2691868219390177E-2</v>
      </c>
      <c r="D11" s="262"/>
      <c r="E11" s="262"/>
      <c r="F11" s="262"/>
      <c r="G11" s="262"/>
    </row>
    <row r="12" spans="2:7">
      <c r="B12" s="104" t="s">
        <v>237</v>
      </c>
      <c r="C12" s="150">
        <f ca="1">(Past_EBITDA!G9/OFFSET(Past_EBITDA!G9, 0, $C$4))^(1/$C$4) - 1</f>
        <v>7.156840923368879E-3</v>
      </c>
      <c r="D12" s="262"/>
      <c r="E12" s="262"/>
      <c r="F12" s="262"/>
      <c r="G12" s="262"/>
    </row>
    <row r="13" spans="2:7">
      <c r="D13" s="262"/>
      <c r="E13" s="262"/>
      <c r="F13" s="262"/>
      <c r="G13" s="262"/>
    </row>
    <row r="14" spans="2:7">
      <c r="B14" s="71"/>
      <c r="C14" s="150"/>
      <c r="D14" s="262"/>
      <c r="E14" s="262"/>
      <c r="F14" s="262"/>
      <c r="G14" s="262"/>
    </row>
    <row r="16" spans="2:7" ht="13.9">
      <c r="B16" s="26" t="s">
        <v>135</v>
      </c>
      <c r="C16" s="27"/>
      <c r="D16" s="27"/>
      <c r="E16" s="27"/>
      <c r="F16" s="27"/>
      <c r="G16" s="27"/>
    </row>
    <row r="17" spans="2:7" ht="13.15">
      <c r="B17" s="78" t="s">
        <v>50</v>
      </c>
      <c r="E17" s="136" t="s">
        <v>72</v>
      </c>
    </row>
    <row r="18" spans="2:7" ht="12.75" customHeight="1">
      <c r="B18" s="108" t="s">
        <v>44</v>
      </c>
      <c r="C18" s="106">
        <v>30</v>
      </c>
      <c r="E18" s="227" t="s">
        <v>157</v>
      </c>
      <c r="F18" s="192"/>
    </row>
    <row r="19" spans="2:7">
      <c r="E19" s="192"/>
      <c r="F19" s="192"/>
    </row>
    <row r="20" spans="2:7" ht="13.15">
      <c r="B20" s="78" t="s">
        <v>132</v>
      </c>
      <c r="E20" s="192"/>
      <c r="F20" s="192"/>
    </row>
    <row r="21" spans="2:7" ht="13.15">
      <c r="B21" s="122" t="s">
        <v>124</v>
      </c>
      <c r="C21" s="122" t="s">
        <v>103</v>
      </c>
      <c r="D21" s="122" t="s">
        <v>130</v>
      </c>
      <c r="E21" s="123" t="str">
        <f>"Value per share ("&amp;Market_currency&amp;")"</f>
        <v>Value per share (CNY)</v>
      </c>
      <c r="F21" s="123" t="s">
        <v>131</v>
      </c>
      <c r="G21" s="123" t="s">
        <v>139</v>
      </c>
    </row>
    <row r="22" spans="2:7">
      <c r="B22" s="177" t="s">
        <v>127</v>
      </c>
      <c r="C22" s="196">
        <v>0.05</v>
      </c>
      <c r="D22" s="197">
        <f>C18</f>
        <v>30</v>
      </c>
      <c r="E22" s="198">
        <f>DDM!E84</f>
        <v>28.924149911288289</v>
      </c>
      <c r="F22" s="200">
        <f>1-F23-F24</f>
        <v>0.14999999999999997</v>
      </c>
      <c r="G22" s="200">
        <f>F22*(1-F$29-F$30)</f>
        <v>0.13349999999999998</v>
      </c>
    </row>
    <row r="23" spans="2:7">
      <c r="B23" s="177" t="s">
        <v>125</v>
      </c>
      <c r="C23" s="196">
        <v>0.03</v>
      </c>
      <c r="D23" s="197">
        <f>C18</f>
        <v>30</v>
      </c>
      <c r="E23" s="198">
        <f>DDM!E85</f>
        <v>20.244158385425507</v>
      </c>
      <c r="F23" s="199">
        <v>0.65</v>
      </c>
      <c r="G23" s="200">
        <f t="shared" ref="G23:G24" si="0">F23*(1-F$29-F$30)</f>
        <v>0.57850000000000001</v>
      </c>
    </row>
    <row r="24" spans="2:7">
      <c r="B24" s="177" t="s">
        <v>128</v>
      </c>
      <c r="C24" s="196">
        <v>0.01</v>
      </c>
      <c r="D24" s="197">
        <f>C18</f>
        <v>30</v>
      </c>
      <c r="E24" s="198">
        <f>DDM!E86</f>
        <v>14.639564963717255</v>
      </c>
      <c r="F24" s="199">
        <v>0.2</v>
      </c>
      <c r="G24" s="200">
        <f t="shared" si="0"/>
        <v>0.17800000000000002</v>
      </c>
    </row>
    <row r="25" spans="2:7">
      <c r="B25" s="110" t="s">
        <v>133</v>
      </c>
      <c r="C25" s="219">
        <f>E23*F23+E24*F24+E22*F22</f>
        <v>20.425238429963276</v>
      </c>
      <c r="D25" s="110" t="str">
        <f>Market_currency</f>
        <v>CNY</v>
      </c>
      <c r="G25" s="118"/>
    </row>
    <row r="27" spans="2:7" ht="13.15">
      <c r="B27" s="78" t="s">
        <v>134</v>
      </c>
    </row>
    <row r="28" spans="2:7" ht="13.15">
      <c r="B28" s="122" t="s">
        <v>124</v>
      </c>
      <c r="C28" s="122" t="s">
        <v>103</v>
      </c>
      <c r="D28" s="122" t="s">
        <v>130</v>
      </c>
      <c r="E28" s="123" t="str">
        <f>"Value per share ("&amp;Market_currency&amp;")"</f>
        <v>Value per share (CNY)</v>
      </c>
      <c r="F28" s="123" t="s">
        <v>131</v>
      </c>
      <c r="G28" s="123" t="s">
        <v>139</v>
      </c>
    </row>
    <row r="29" spans="2:7">
      <c r="B29" s="177" t="s">
        <v>126</v>
      </c>
      <c r="C29" s="196">
        <v>0.06</v>
      </c>
      <c r="D29" s="197">
        <f>C18</f>
        <v>30</v>
      </c>
      <c r="E29" s="198">
        <f>DDM!E83</f>
        <v>34.967067622606031</v>
      </c>
      <c r="F29" s="199">
        <v>0.01</v>
      </c>
      <c r="G29" s="200">
        <f>F29</f>
        <v>0.01</v>
      </c>
    </row>
    <row r="30" spans="2:7">
      <c r="B30" s="189" t="s">
        <v>129</v>
      </c>
      <c r="C30" s="196">
        <v>0</v>
      </c>
      <c r="D30" s="197">
        <f>C18</f>
        <v>30</v>
      </c>
      <c r="E30" s="198">
        <f>DDM!E87</f>
        <v>12.607966635404161</v>
      </c>
      <c r="F30" s="199">
        <v>0.1</v>
      </c>
      <c r="G30" s="200">
        <f>F30</f>
        <v>0.1</v>
      </c>
    </row>
    <row r="31" spans="2:7">
      <c r="E31" s="201"/>
      <c r="F31" s="201"/>
    </row>
    <row r="32" spans="2:7" ht="13.15">
      <c r="B32" s="114" t="s">
        <v>138</v>
      </c>
    </row>
    <row r="33" spans="2:7">
      <c r="B33" s="71" t="s">
        <v>140</v>
      </c>
      <c r="C33" s="124">
        <f>Past_EBITDA!C61*(1-dividend_tax_rate)</f>
        <v>0.95400000000000007</v>
      </c>
      <c r="D33" t="str">
        <f>Market_currency</f>
        <v>CNY</v>
      </c>
      <c r="E33" s="71" t="s">
        <v>137</v>
      </c>
      <c r="F33" s="133">
        <f>Holding_Period</f>
        <v>3</v>
      </c>
    </row>
    <row r="34" spans="2:7">
      <c r="B34" s="71" t="s">
        <v>69</v>
      </c>
      <c r="C34" s="115">
        <f>Market_Price</f>
        <v>21.35</v>
      </c>
      <c r="D34" t="str">
        <f>Market_currency</f>
        <v>CNY</v>
      </c>
      <c r="E34" s="71" t="s">
        <v>136</v>
      </c>
      <c r="F34" s="202">
        <f>RATE(Holding_Period,$C$33,-C34,$C$36)</f>
        <v>2.0811421492158939E-2</v>
      </c>
    </row>
    <row r="35" spans="2:7">
      <c r="B35" s="71" t="s">
        <v>122</v>
      </c>
      <c r="C35" s="193">
        <f>DDM!C11</f>
        <v>18.171428571428578</v>
      </c>
      <c r="D35" s="71" t="str">
        <f>Market_currency</f>
        <v>CNY</v>
      </c>
      <c r="E35" s="71" t="s">
        <v>136</v>
      </c>
      <c r="F35" s="202">
        <f>RATE(Holding_Period,$C$33,-C35,$C$36)</f>
        <v>7.9921218742112096E-2</v>
      </c>
    </row>
    <row r="36" spans="2:7">
      <c r="B36" s="71" t="s">
        <v>123</v>
      </c>
      <c r="C36" s="194">
        <f>E22*G22+E23*G23+E24*G24+E30*G30+E29*G29</f>
        <v>19.788929542433792</v>
      </c>
      <c r="D36" t="str">
        <f>Market_currency</f>
        <v>CNY</v>
      </c>
      <c r="E36" s="71" t="s">
        <v>142</v>
      </c>
      <c r="F36" s="203" t="s">
        <v>141</v>
      </c>
    </row>
    <row r="38" spans="2:7" ht="13.9">
      <c r="B38" s="26" t="s">
        <v>113</v>
      </c>
      <c r="C38" s="27"/>
      <c r="D38" s="27"/>
      <c r="E38" s="27"/>
      <c r="F38" s="27"/>
      <c r="G38" s="27"/>
    </row>
    <row r="39" spans="2:7" ht="13.15">
      <c r="B39" s="206" t="str">
        <f>IF(DDM!F14="II","2","1")&amp;"-stage DDM"</f>
        <v>2-stage DDM</v>
      </c>
      <c r="E39" s="136" t="s">
        <v>72</v>
      </c>
    </row>
    <row r="40" spans="2:7">
      <c r="B40" s="182" t="str">
        <f>IF(C39="II","Change year","Terminal Year")</f>
        <v>Terminal Year</v>
      </c>
      <c r="C40" s="184">
        <f>DDM!F15</f>
        <v>15</v>
      </c>
      <c r="E40" s="71" t="s">
        <v>106</v>
      </c>
    </row>
    <row r="41" spans="2:7">
      <c r="B41" s="182" t="s">
        <v>105</v>
      </c>
      <c r="C41" s="246">
        <f>DDM!C16</f>
        <v>3.0136697904554147E-2</v>
      </c>
      <c r="E41" s="71"/>
    </row>
    <row r="42" spans="2:7">
      <c r="B42" s="182" t="s">
        <v>199</v>
      </c>
      <c r="C42" s="246">
        <v>0.03</v>
      </c>
      <c r="E42" s="71" t="s">
        <v>236</v>
      </c>
    </row>
    <row r="43" spans="2:7">
      <c r="B43" s="182" t="s">
        <v>200</v>
      </c>
      <c r="C43" s="246">
        <f>DDM!C18</f>
        <v>5.8920517849375392E-3</v>
      </c>
      <c r="E43" s="71" t="s">
        <v>236</v>
      </c>
    </row>
    <row r="44" spans="2:7">
      <c r="B44" s="182" t="s">
        <v>211</v>
      </c>
      <c r="C44" s="246">
        <f>DDM!C19</f>
        <v>0.02</v>
      </c>
      <c r="E44" s="71" t="s">
        <v>235</v>
      </c>
    </row>
    <row r="46" spans="2:7" ht="13.9">
      <c r="B46" s="26" t="s">
        <v>76</v>
      </c>
      <c r="C46" s="27"/>
      <c r="D46" s="27"/>
      <c r="E46" s="27"/>
      <c r="F46" s="27"/>
      <c r="G46" s="27"/>
    </row>
    <row r="47" spans="2:7" ht="13.15">
      <c r="B47" s="78" t="s">
        <v>71</v>
      </c>
      <c r="E47" s="136" t="s">
        <v>72</v>
      </c>
    </row>
    <row r="48" spans="2:7">
      <c r="B48" s="108" t="s">
        <v>44</v>
      </c>
      <c r="C48" s="119">
        <f>C18</f>
        <v>30</v>
      </c>
      <c r="D48" s="106"/>
      <c r="E48" s="135" t="s">
        <v>84</v>
      </c>
    </row>
    <row r="49" spans="2:7">
      <c r="B49" s="85" t="s">
        <v>45</v>
      </c>
      <c r="C49" s="107">
        <v>3.0136697904554147E-2</v>
      </c>
      <c r="D49" s="107"/>
      <c r="E49" s="135" t="s">
        <v>73</v>
      </c>
    </row>
    <row r="50" spans="2:7">
      <c r="B50" s="71" t="s">
        <v>31</v>
      </c>
      <c r="C50" s="115">
        <f>DDM!I19</f>
        <v>20.291390075945532</v>
      </c>
      <c r="D50" s="115" t="str">
        <f>Market_currency</f>
        <v>CNY</v>
      </c>
      <c r="E50" s="135" t="s">
        <v>74</v>
      </c>
    </row>
    <row r="52" spans="2:7" ht="13.9">
      <c r="B52" s="26" t="s">
        <v>40</v>
      </c>
      <c r="C52" s="27"/>
      <c r="D52" s="27"/>
      <c r="E52" s="27"/>
      <c r="F52" s="27"/>
      <c r="G52" s="27"/>
    </row>
    <row r="53" spans="2:7" ht="13.15">
      <c r="B53" s="78" t="s">
        <v>39</v>
      </c>
    </row>
    <row r="54" spans="2:7">
      <c r="B54" s="134" t="s">
        <v>70</v>
      </c>
      <c r="C54" s="133">
        <f>Holding_Period</f>
        <v>3</v>
      </c>
      <c r="D54" s="96"/>
    </row>
    <row r="55" spans="2:7">
      <c r="B55" s="71" t="s">
        <v>93</v>
      </c>
      <c r="C55" s="124">
        <f>C33</f>
        <v>0.95400000000000007</v>
      </c>
      <c r="D55" t="str">
        <f>Market_currency</f>
        <v>CNY</v>
      </c>
    </row>
    <row r="57" spans="2:7" ht="13.15">
      <c r="B57" s="78" t="s">
        <v>146</v>
      </c>
      <c r="E57" s="205"/>
    </row>
    <row r="58" spans="2:7" ht="13.15">
      <c r="B58" s="122" t="s">
        <v>144</v>
      </c>
      <c r="C58" s="122" t="s">
        <v>37</v>
      </c>
      <c r="D58" s="122" t="s">
        <v>38</v>
      </c>
      <c r="E58" s="123" t="str">
        <f>"Buy below ("&amp;Market_currency&amp;")"</f>
        <v>Buy below (CNY)</v>
      </c>
      <c r="F58" s="123" t="s">
        <v>136</v>
      </c>
      <c r="G58" s="123" t="s">
        <v>143</v>
      </c>
    </row>
    <row r="59" spans="2:7" ht="13.15">
      <c r="B59" s="177" t="s">
        <v>85</v>
      </c>
      <c r="C59" s="89">
        <f>PV(F59, Holding_Period, -C55, 0)</f>
        <v>2.0846945203080871</v>
      </c>
      <c r="D59" s="89">
        <f>C36/(1+F59)^Holding_Period</f>
        <v>12.140447572045272</v>
      </c>
      <c r="E59" s="204">
        <f>C59+D59</f>
        <v>14.225142092353359</v>
      </c>
      <c r="F59" s="176">
        <f>Thesis!E22</f>
        <v>0.1768719218995578</v>
      </c>
      <c r="G59" s="218">
        <f>(1-E59/C36)</f>
        <v>0.2811565647424179</v>
      </c>
    </row>
    <row r="60" spans="2:7" ht="13.15">
      <c r="B60" s="177" t="s">
        <v>86</v>
      </c>
      <c r="C60" s="89">
        <f>PV(F60, Holding_Period, -C55, 0)</f>
        <v>2.3031249425386009</v>
      </c>
      <c r="D60" s="89">
        <f>C36/(1+F60)^Holding_Period</f>
        <v>14.198335097710348</v>
      </c>
      <c r="E60" s="204">
        <f>C60+D60</f>
        <v>16.501460040248951</v>
      </c>
      <c r="F60" s="176">
        <f>Thesis!E23</f>
        <v>0.11702174297595547</v>
      </c>
      <c r="G60" s="218">
        <f>(1-E60/C36)</f>
        <v>0.16612669700680149</v>
      </c>
    </row>
    <row r="62" spans="2:7" ht="13.15">
      <c r="B62" s="122" t="s">
        <v>145</v>
      </c>
      <c r="C62" s="122" t="s">
        <v>37</v>
      </c>
      <c r="D62" s="122" t="s">
        <v>38</v>
      </c>
      <c r="E62" s="123" t="str">
        <f>"Sell above ("&amp;Market_currency&amp;")"</f>
        <v>Sell above (CNY)</v>
      </c>
      <c r="F62" s="123" t="s">
        <v>136</v>
      </c>
      <c r="G62" s="123" t="s">
        <v>143</v>
      </c>
    </row>
    <row r="63" spans="2:7" ht="13.15">
      <c r="B63" s="177" t="s">
        <v>88</v>
      </c>
      <c r="C63" s="89">
        <f>PV(F63, Holding_Period, -C55, 0)</f>
        <v>2.4922059667230574</v>
      </c>
      <c r="D63" s="89">
        <f>C36/(1+F63)^Holding_Period</f>
        <v>16.040961617536635</v>
      </c>
      <c r="E63" s="204">
        <f>C63+D63</f>
        <v>18.533167584259694</v>
      </c>
      <c r="F63" s="176">
        <f>Thesis!E24</f>
        <v>7.2499999999999995E-2</v>
      </c>
      <c r="G63" s="218">
        <f>(1-E63/C$36)</f>
        <v>6.3457801266174729E-2</v>
      </c>
    </row>
    <row r="64" spans="2:7" ht="13.15">
      <c r="B64" s="177" t="s">
        <v>87</v>
      </c>
      <c r="C64" s="89">
        <f>PV(F64, Holding_Period, -C55, 0)</f>
        <v>2.7565923339975922</v>
      </c>
      <c r="D64" s="89">
        <f>C36/(1+F64)^Holding_Period</f>
        <v>18.702503737382283</v>
      </c>
      <c r="E64" s="204">
        <f>C64+D64</f>
        <v>21.459096071379875</v>
      </c>
      <c r="F64" s="176">
        <f>Thesis!E25</f>
        <v>1.9E-2</v>
      </c>
      <c r="G64" s="218">
        <f>(1-E64/C$36)</f>
        <v>-8.439903357908829E-2</v>
      </c>
    </row>
  </sheetData>
  <mergeCells count="1">
    <mergeCell ref="D4:G14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11</vt:i4>
      </vt:variant>
    </vt:vector>
  </HeadingPairs>
  <TitlesOfParts>
    <vt:vector size="16" baseType="lpstr">
      <vt:lpstr>Thesis</vt:lpstr>
      <vt:lpstr>Data</vt:lpstr>
      <vt:lpstr>Past_EBITDA</vt:lpstr>
      <vt:lpstr>DDM</vt:lpstr>
      <vt:lpstr>Scenarios</vt:lpstr>
      <vt:lpstr>Common_Shares</vt:lpstr>
      <vt:lpstr>dividend_tax_rate</vt:lpstr>
      <vt:lpstr>Equity_Cost</vt:lpstr>
      <vt:lpstr>Exchange_Rate</vt:lpstr>
      <vt:lpstr>Holding_Period</vt:lpstr>
      <vt:lpstr>Income_Tax_rate</vt:lpstr>
      <vt:lpstr>Market_currency</vt:lpstr>
      <vt:lpstr>Market_Price</vt:lpstr>
      <vt:lpstr>Reporting_currency</vt:lpstr>
      <vt:lpstr>scaling_factor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2025-09-30T13:21:48Z</cp:lastPrinted>
  <dcterms:created xsi:type="dcterms:W3CDTF">2022-08-10T03:52:42Z</dcterms:created>
  <dcterms:modified xsi:type="dcterms:W3CDTF">2026-01-19T01:44:41Z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