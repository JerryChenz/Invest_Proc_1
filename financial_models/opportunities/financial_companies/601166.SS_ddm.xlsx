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649AA2-1311-456A-B399-760489137DD5}"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<sst xmlns="http://schemas.openxmlformats.org/spreadsheetml/2006/main" count="836" uniqueCount="561">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</sst>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22" sqref="C2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21.35</v>
      </c>
      <c r="D12" s="50"/>
      <c r="E12" s="48"/>
    </row>
    <row r="13" spans="1:10">
      <c r="B13" s="1" t="s">
        <v>468</v>
      </c>
      <c r="C13" s="48" t="s">
        <v>394</v>
      </c>
      <c r="D13" s="48"/>
      <c r="E13" s="5"/>
    </row>
    <row r="14" spans="1:10">
      <c r="B14" s="4" t="s">
        <v>469</v>
      </c>
      <c r="C14" s="35">
        <f>Thesis!C12*Common_Shares/1000000</f>
        <v>443531.54555044998</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2" t="s">
        <v>472</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20.440937245163916</v>
      </c>
      <c r="D26" s="1" t="s">
        <v>380</v>
      </c>
      <c r="E26" s="301">
        <f ca="1">Scenarios!C87</f>
        <v>3.5953975912336844E-2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8.287863297441934</v>
      </c>
      <c r="D29" s="310" t="str">
        <f>D149</f>
        <v/>
      </c>
      <c r="E29" s="306" t="s">
        <v>401</v>
      </c>
      <c r="F29" s="302">
        <v>0.45</v>
      </c>
    </row>
    <row r="30" spans="2:6">
      <c r="B30" s="1" t="s">
        <v>403</v>
      </c>
      <c r="C30" s="311">
        <f>C157</f>
        <v>11.229102068804695</v>
      </c>
      <c r="D30" s="311" t="str">
        <f>D157</f>
        <v/>
      </c>
      <c r="E30" s="307" t="s">
        <v>414</v>
      </c>
      <c r="F30" s="312">
        <v>0.3</v>
      </c>
    </row>
    <row r="31" spans="2:6">
      <c r="B31" s="1" t="s">
        <v>404</v>
      </c>
      <c r="C31" s="311">
        <f>C165</f>
        <v>19.210705770441479</v>
      </c>
      <c r="D31" s="311" t="str">
        <f>D165</f>
        <v/>
      </c>
      <c r="E31" s="307" t="s">
        <v>413</v>
      </c>
      <c r="F31" s="312">
        <v>7.4999999999999997E-2</v>
      </c>
    </row>
    <row r="32" spans="2:6">
      <c r="B32" s="1" t="s">
        <v>405</v>
      </c>
      <c r="C32" s="311">
        <f>C173</f>
        <v>18.612786102807618</v>
      </c>
      <c r="D32" s="311" t="str">
        <f>D173</f>
        <v/>
      </c>
      <c r="E32" s="307" t="s">
        <v>415</v>
      </c>
      <c r="F32" s="312">
        <v>8.6999999999999994E-2</v>
      </c>
    </row>
    <row r="33" spans="1:6">
      <c r="D33" s="5"/>
      <c r="E33" s="5"/>
    </row>
    <row r="34" spans="1:6" ht="13.9">
      <c r="A34" s="222" t="s">
        <v>345</v>
      </c>
      <c r="B34" s="36"/>
      <c r="C34" s="36"/>
      <c r="D34" s="36"/>
      <c r="E34" s="36"/>
      <c r="F34" s="36"/>
    </row>
    <row r="36" spans="1:6">
      <c r="B36" s="372" t="s">
        <v>473</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6033.25</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0.25861200529217038</v>
      </c>
      <c r="F69" s="314"/>
    </row>
    <row r="70" spans="1:6">
      <c r="B70" s="227" t="s">
        <v>438</v>
      </c>
      <c r="C70" s="92">
        <f>Normalized_FCF!C94</f>
        <v>4.9648711943793909E-2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2" t="s">
        <v>475</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2" t="s">
        <v>352</v>
      </c>
      <c r="C116" s="372"/>
      <c r="D116" s="372"/>
      <c r="E116" s="372"/>
      <c r="F116" s="372"/>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3" t="s">
        <v>477</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0.188</v>
      </c>
    </row>
    <row r="128" spans="1:6">
      <c r="B128" s="218" t="str">
        <f>DCF!B76</f>
        <v>Base</v>
      </c>
      <c r="C128" s="219">
        <f>DCF!C76</f>
        <v>0.03</v>
      </c>
      <c r="D128" s="220">
        <f>DCF!D76</f>
        <v>30</v>
      </c>
      <c r="E128" s="231" t="str">
        <f>ROUND(IF(valuation_method="DCF",DCF!E76,DDM!E71),2)&amp;" "&amp;Market_currency</f>
        <v>20.55 CNY</v>
      </c>
      <c r="F128" s="221">
        <f>DCF!F76</f>
        <v>0.56399999999999995</v>
      </c>
    </row>
    <row r="129" spans="1:6">
      <c r="B129" s="218" t="str">
        <f>DCF!B77</f>
        <v>Pessimistic</v>
      </c>
      <c r="C129" s="219">
        <f>DCF!C77</f>
        <v>0.02</v>
      </c>
      <c r="D129" s="220">
        <f>DCF!D77</f>
        <v>30</v>
      </c>
      <c r="E129" s="231" t="str">
        <f>ROUND(IF(valuation_method="DCF",DCF!E77,DDM!E72),2)&amp;" "&amp;Market_currency</f>
        <v>18.57 CNY</v>
      </c>
      <c r="F129" s="221">
        <f>DCF!F77</f>
        <v>0.188</v>
      </c>
    </row>
    <row r="130" spans="1:6">
      <c r="B130" s="218" t="str">
        <f>DCF!B78</f>
        <v>Devil's advocate</v>
      </c>
      <c r="C130" s="219">
        <f>DCF!C78</f>
        <v>0</v>
      </c>
      <c r="D130" s="220">
        <f>DCF!D78</f>
        <v>30</v>
      </c>
      <c r="E130" s="231" t="str">
        <f>ROUND(IF(valuation_method="DCF",DCF!E78,DDM!E73),2)&amp;" "&amp;Market_currency</f>
        <v>15.44 CNY</v>
      </c>
      <c r="F130" s="221">
        <f>DCF!F78</f>
        <v>0.05</v>
      </c>
    </row>
    <row r="132" spans="1:6">
      <c r="B132" s="211" t="s">
        <v>254</v>
      </c>
      <c r="C132" s="217">
        <f>Scenarios!C60</f>
        <v>20.440937245163916</v>
      </c>
      <c r="D132" s="212" t="str">
        <f>Market_currency</f>
        <v>CNY</v>
      </c>
    </row>
    <row r="134" spans="1:6" ht="24.6" customHeight="1">
      <c r="B134" s="376" t="s">
        <v>478</v>
      </c>
      <c r="C134" s="376"/>
      <c r="D134" s="376"/>
      <c r="E134" s="376"/>
      <c r="F134" s="376"/>
    </row>
    <row r="136" spans="1:6" ht="13.9">
      <c r="A136" s="222" t="s">
        <v>479</v>
      </c>
      <c r="B136" s="36"/>
      <c r="C136" s="36"/>
      <c r="D136" s="36"/>
      <c r="E136" s="36"/>
      <c r="F136" s="36"/>
    </row>
    <row r="138" spans="1:6">
      <c r="B138" s="377" t="s">
        <v>353</v>
      </c>
      <c r="C138" s="377"/>
      <c r="D138" s="377"/>
      <c r="E138" s="377"/>
      <c r="F138" s="377"/>
    </row>
    <row r="139" spans="1:6">
      <c r="B139" s="372" t="s">
        <v>480</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6.7049693698516268</v>
      </c>
    </row>
    <row r="149" spans="2:4">
      <c r="B149" s="80" t="s">
        <v>256</v>
      </c>
      <c r="C149" s="215">
        <f>Scenarios!C83</f>
        <v>8.287863297441934</v>
      </c>
      <c r="D149" s="300" t="str">
        <f>IF($D$11="","",C149*$E$25)</f>
        <v/>
      </c>
    </row>
    <row r="150" spans="2:4">
      <c r="B150" s="259" t="s">
        <v>396</v>
      </c>
      <c r="C150" s="298" t="str">
        <f>Market_currency</f>
        <v>CNY</v>
      </c>
      <c r="D150" s="298" t="str">
        <f>IF($D$11="","",D$13)</f>
        <v/>
      </c>
    </row>
    <row r="151" spans="2:4">
      <c r="B151" s="214" t="s">
        <v>258</v>
      </c>
      <c r="C151" s="92">
        <f>Scenarios!F83</f>
        <v>0.59454582742272521</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9.3040224147309569</v>
      </c>
    </row>
    <row r="157" spans="2:4">
      <c r="B157" s="80" t="s">
        <v>256</v>
      </c>
      <c r="C157" s="215">
        <f>Scenarios!C93</f>
        <v>11.229102068804695</v>
      </c>
      <c r="D157" s="300" t="str">
        <f>IF($D$11="","",C157*$E$25)</f>
        <v/>
      </c>
    </row>
    <row r="158" spans="2:4">
      <c r="B158" s="259" t="s">
        <v>396</v>
      </c>
      <c r="C158" s="298" t="str">
        <f>Market_currency</f>
        <v>CNY</v>
      </c>
      <c r="D158" s="298" t="str">
        <f>IF($D$11="","",D$13)</f>
        <v/>
      </c>
    </row>
    <row r="159" spans="2:4">
      <c r="B159" s="214" t="s">
        <v>258</v>
      </c>
      <c r="C159" s="92">
        <f>Scenarios!F93</f>
        <v>0.45065620357200753</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16.4541484861772</v>
      </c>
    </row>
    <row r="165" spans="2:4">
      <c r="B165" s="80" t="s">
        <v>382</v>
      </c>
      <c r="C165" s="215">
        <f>Scenarios!C99</f>
        <v>19.210705770441479</v>
      </c>
      <c r="D165" s="300" t="str">
        <f>IF($D$11="","",C165*$E$25)</f>
        <v/>
      </c>
    </row>
    <row r="166" spans="2:4">
      <c r="B166" s="259" t="s">
        <v>396</v>
      </c>
      <c r="C166" s="298" t="str">
        <f>Market_currency</f>
        <v>CNY</v>
      </c>
      <c r="D166" s="298" t="str">
        <f>IF($D$11="","",D$13)</f>
        <v/>
      </c>
    </row>
    <row r="167" spans="2:4">
      <c r="B167" s="214" t="s">
        <v>258</v>
      </c>
      <c r="C167" s="92">
        <f>Scenarios!F99</f>
        <v>6.0184690162066623E-2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15.915202640851307</v>
      </c>
    </row>
    <row r="173" spans="2:4">
      <c r="B173" s="80" t="s">
        <v>382</v>
      </c>
      <c r="C173" s="215">
        <f>Scenarios!C105</f>
        <v>18.612786102807618</v>
      </c>
      <c r="D173" s="300" t="str">
        <f>IF($D$11="","",C173*$E$25)</f>
        <v/>
      </c>
    </row>
    <row r="174" spans="2:4">
      <c r="B174" s="259" t="s">
        <v>396</v>
      </c>
      <c r="C174" s="298" t="str">
        <f>Market_currency</f>
        <v>CNY</v>
      </c>
      <c r="D174" s="298" t="str">
        <f>IF($D$11="","",D$13)</f>
        <v/>
      </c>
    </row>
    <row r="175" spans="2:4">
      <c r="B175" s="214" t="s">
        <v>258</v>
      </c>
      <c r="C175" s="92">
        <f>Scenarios!F105</f>
        <v>8.9394308715618043E-2</v>
      </c>
    </row>
    <row r="177" spans="1:6" ht="13.9">
      <c r="A177" s="222" t="s">
        <v>357</v>
      </c>
      <c r="B177" s="36"/>
      <c r="C177" s="36"/>
      <c r="D177" s="36"/>
      <c r="E177" s="36"/>
      <c r="F177" s="36"/>
    </row>
    <row r="179" spans="1:6">
      <c r="B179" s="371" t="s">
        <v>481</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482</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6" activePane="bottomRight" state="frozen"/>
      <selection pane="topRight" activeCell="C1" sqref="C1"/>
      <selection pane="bottomLeft" activeCell="A2" sqref="A2"/>
      <selection pane="bottomRight" activeCell="D30" sqref="D30:L3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28" sqref="G28"/>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4.9648711943793909E-2</v>
      </c>
      <c r="E94" s="268"/>
      <c r="G94" s="23">
        <f t="shared" ref="G94:Q94" si="39">IF(G$4="","",(G90*(1-dividend_tax_rate))/Market_Price)</f>
        <v>4.9648711943793909E-2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0.25861200529217038</v>
      </c>
      <c r="D126" s="27"/>
      <c r="E126" s="265"/>
      <c r="F126" s="27"/>
      <c r="G126" s="77">
        <f t="shared" ref="G126" si="50">IF(G$4="","",G125/Market_Price)</f>
        <v>0.30994638685595632</v>
      </c>
      <c r="H126" s="77">
        <f t="shared" ref="H126" si="51">IF(H$4="","",H125/Market_Price)</f>
        <v>0.31137582294987193</v>
      </c>
      <c r="I126" s="77">
        <f t="shared" ref="I126" si="52">IF(I$4="","",I125/Market_Price)</f>
        <v>0.31550856168827474</v>
      </c>
      <c r="J126" s="77">
        <f t="shared" ref="J126" si="53">IF(J$4="","",J125/Market_Price)</f>
        <v>0.33724545976625681</v>
      </c>
      <c r="K126" s="77">
        <f t="shared" ref="K126" si="54">IF(K$4="","",K125/Market_Price)</f>
        <v>0.3200741895907655</v>
      </c>
      <c r="L126" s="77">
        <f t="shared" ref="L126" si="55">IF(L$4="","",L125/Market_Price)</f>
        <v>0.27895873752665584</v>
      </c>
      <c r="M126" s="77">
        <f t="shared" ref="M126" si="56">IF(M$4="","",M125/Market_Price)</f>
        <v>0.24093213001879921</v>
      </c>
      <c r="N126" s="77">
        <f t="shared" ref="N126" si="57">IF(N$4="","",N125/Market_Price)</f>
        <v>0.20915535981746333</v>
      </c>
      <c r="O126" s="77">
        <f t="shared" ref="O126" si="58">IF(O$4="","",O125/Market_Price)</f>
        <v>0.23579608045737996</v>
      </c>
      <c r="P126" s="77">
        <f t="shared" ref="P126" si="59">IF(P$4="","",P125/Market_Price)</f>
        <v>0.2142643538061271</v>
      </c>
      <c r="Q126" s="77" t="str">
        <f t="shared" ref="Q126" si="60">IF(Q$4="","",Q125/Market_Price)</f>
        <v/>
      </c>
    </row>
    <row r="127" spans="1:17" ht="15.75" customHeight="1">
      <c r="B127" s="2" t="s">
        <v>375</v>
      </c>
      <c r="C127" s="169"/>
      <c r="G127" s="23">
        <f>IF(G$4="","",(Data!C47*$C$3)/(Market_Price*Common_Shares))</f>
        <v>0.17471361569971058</v>
      </c>
      <c r="H127" s="23">
        <f>IF(H$4="","",(Data!D47*$C$3)/(Market_Price*Common_Shares))</f>
        <v>0.17508112056297279</v>
      </c>
      <c r="I127" s="23">
        <f>IF(I$4="","",(Data!E47*$C$3)/(Market_Price*Common_Shares))</f>
        <v>0.20835947505223901</v>
      </c>
      <c r="J127" s="23">
        <f>IF(J$4="","",(Data!F47*$C$3)/(Market_Price*Common_Shares))</f>
        <v>0.18897415717292254</v>
      </c>
      <c r="K127" s="23">
        <f>IF(K$4="","",(Data!G47*$C$3)/(Market_Price*Common_Shares))</f>
        <v>0.15259568497208853</v>
      </c>
      <c r="L127" s="23">
        <f>IF(L$4="","",(Data!H47*$C$3)/(Market_Price*Common_Shares))</f>
        <v>0.15038840116145225</v>
      </c>
      <c r="M127" s="23">
        <f>IF(M$4="","",(Data!I47*$C$3)/(Market_Price*Common_Shares))</f>
        <v>0.13808487945088815</v>
      </c>
      <c r="N127" s="23">
        <f>IF(N$4="","",(Data!J47*$C$3)/(Market_Price*Common_Shares))</f>
        <v>0.13017112441990411</v>
      </c>
      <c r="O127" s="23">
        <f>IF(O$4="","",(Data!K47*$C$3)/(Market_Price*Common_Shares))</f>
        <v>0.12248734175734184</v>
      </c>
      <c r="P127" s="23">
        <f>IF(P$4="","",(Data!L47*$C$3)/(Market_Price*Common_Shares))</f>
        <v>0.11419706333884375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abSelected="1" zoomScale="63" zoomScaleNormal="85" workbookViewId="0">
      <selection activeCell="F27" sqref="F2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2.949492710417146E-2</v>
      </c>
      <c r="H16" s="120"/>
    </row>
    <row r="17" spans="2:17" ht="13.35" customHeight="1">
      <c r="B17" s="118" t="s">
        <v>130</v>
      </c>
      <c r="C17" s="162">
        <f>Scenarios!C64</f>
        <v>30</v>
      </c>
      <c r="H17" s="120"/>
    </row>
    <row r="18" spans="2:17" ht="13.35" customHeight="1">
      <c r="B18" s="153" t="s">
        <v>103</v>
      </c>
      <c r="C18" s="140">
        <f>(F52-C7+C8+C9)*Exchange_Rate/Common_Shares*scaling_factor</f>
        <v>-255.35787839960182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118085.72671183725</v>
      </c>
      <c r="D21" s="138">
        <f>IF($C$17&lt;B21,0,DCF!$C$16)</f>
        <v>2.949492710417146E-2</v>
      </c>
      <c r="E21" s="124">
        <f t="shared" ref="E21:E50" si="0">IF($C$17&lt;B21,0,1/(1+Equity_Cost)^B21)</f>
        <v>0.93023255813953487</v>
      </c>
      <c r="F21" s="125">
        <f t="shared" ref="F21:F51" si="1">C21*E21</f>
        <v>109847.18763891837</v>
      </c>
      <c r="H21" s="120"/>
    </row>
    <row r="22" spans="2:17">
      <c r="B22" s="122">
        <v>2</v>
      </c>
      <c r="C22" s="123">
        <f t="shared" ref="C22:C50" si="2">IF(ROW()-ROW($C$21)&lt;$C$17, $C$21*(1+D22)^(ROW()-ROW($C$21)), 0)</f>
        <v>121568.65661324601</v>
      </c>
      <c r="D22" s="138">
        <f>IF($C$17&lt;B22,0,DCF!$C$16)</f>
        <v>2.949492710417146E-2</v>
      </c>
      <c r="E22" s="124">
        <f t="shared" si="0"/>
        <v>0.86533261222282321</v>
      </c>
      <c r="F22" s="125">
        <f t="shared" si="1"/>
        <v>105197.32319155957</v>
      </c>
      <c r="H22" s="120"/>
    </row>
    <row r="23" spans="2:17">
      <c r="B23" s="122">
        <v>3</v>
      </c>
      <c r="C23" s="123">
        <f t="shared" si="2"/>
        <v>125154.31527820577</v>
      </c>
      <c r="D23" s="138">
        <f>IF($C$17&lt;B23,0,DCF!$C$16)</f>
        <v>2.949492710417146E-2</v>
      </c>
      <c r="E23" s="124">
        <f t="shared" si="0"/>
        <v>0.80496056950960304</v>
      </c>
      <c r="F23" s="125">
        <f t="shared" si="1"/>
        <v>100744.28890292894</v>
      </c>
      <c r="G23" s="338"/>
      <c r="H23" s="339"/>
      <c r="I23" s="338"/>
      <c r="J23" s="338"/>
      <c r="K23" s="338"/>
      <c r="L23" s="338"/>
      <c r="M23" s="338"/>
      <c r="N23" s="338"/>
      <c r="O23" s="338"/>
      <c r="P23" s="338"/>
      <c r="Q23" s="338"/>
    </row>
    <row r="24" spans="2:17">
      <c r="B24" s="122">
        <v>4</v>
      </c>
      <c r="C24" s="123">
        <f t="shared" si="2"/>
        <v>128845.73268410897</v>
      </c>
      <c r="D24" s="138">
        <f>IF($C$17&lt;B24,0,DCF!$C$16)</f>
        <v>2.949492710417146E-2</v>
      </c>
      <c r="E24" s="124">
        <f t="shared" si="0"/>
        <v>0.7488005297763749</v>
      </c>
      <c r="F24" s="125">
        <f t="shared" si="1"/>
        <v>96479.752893285971</v>
      </c>
      <c r="G24" s="338"/>
      <c r="H24" s="339"/>
      <c r="I24" s="338"/>
      <c r="J24" s="338"/>
      <c r="K24" s="338"/>
      <c r="L24" s="338"/>
      <c r="M24" s="338"/>
      <c r="N24" s="338"/>
      <c r="O24" s="338"/>
      <c r="P24" s="338"/>
      <c r="Q24" s="338"/>
    </row>
    <row r="25" spans="2:17">
      <c r="B25" s="122">
        <v>5</v>
      </c>
      <c r="C25" s="123">
        <f t="shared" si="2"/>
        <v>132646.02817731031</v>
      </c>
      <c r="D25" s="138">
        <f>IF($C$17&lt;B25,0,DCF!$C$16)</f>
        <v>2.949492710417146E-2</v>
      </c>
      <c r="E25" s="124">
        <f t="shared" si="0"/>
        <v>0.69655863235011617</v>
      </c>
      <c r="F25" s="125">
        <f t="shared" si="1"/>
        <v>92395.735973862233</v>
      </c>
      <c r="G25" s="338"/>
      <c r="H25" s="339"/>
      <c r="I25" s="338"/>
      <c r="J25" s="338"/>
      <c r="K25" s="338"/>
      <c r="L25" s="338"/>
      <c r="M25" s="338"/>
      <c r="N25" s="338"/>
      <c r="O25" s="338"/>
      <c r="P25" s="338"/>
      <c r="Q25" s="338"/>
    </row>
    <row r="26" spans="2:17">
      <c r="B26" s="122">
        <v>6</v>
      </c>
      <c r="C26" s="123">
        <f t="shared" si="2"/>
        <v>136558.41310905799</v>
      </c>
      <c r="D26" s="138">
        <f>IF($C$17&lt;B26,0,DCF!$C$16)</f>
        <v>2.949492710417146E-2</v>
      </c>
      <c r="E26" s="124">
        <f t="shared" si="0"/>
        <v>0.64796151846522443</v>
      </c>
      <c r="F26" s="125">
        <f t="shared" si="1"/>
        <v>88484.59671734662</v>
      </c>
      <c r="H26" s="120"/>
    </row>
    <row r="27" spans="2:17">
      <c r="B27" s="122">
        <v>7</v>
      </c>
      <c r="C27" s="123">
        <f t="shared" si="2"/>
        <v>140586.193549171</v>
      </c>
      <c r="D27" s="138">
        <f>IF($C$17&lt;B27,0,DCF!$C$16)</f>
        <v>2.949492710417146E-2</v>
      </c>
      <c r="E27" s="124">
        <f t="shared" si="0"/>
        <v>0.60275490089788319</v>
      </c>
      <c r="F27" s="125">
        <f t="shared" si="1"/>
        <v>84739.017160341187</v>
      </c>
      <c r="H27" s="120"/>
    </row>
    <row r="28" spans="2:17">
      <c r="B28" s="122">
        <v>8</v>
      </c>
      <c r="C28" s="123">
        <f t="shared" si="2"/>
        <v>144732.77307975673</v>
      </c>
      <c r="D28" s="138">
        <f>IF($C$17&lt;B28,0,DCF!$C$16)</f>
        <v>2.949492710417146E-2</v>
      </c>
      <c r="E28" s="124">
        <f t="shared" si="0"/>
        <v>0.56070223339337966</v>
      </c>
      <c r="F28" s="125">
        <f t="shared" si="1"/>
        <v>81151.989111036819</v>
      </c>
      <c r="H28" s="120"/>
    </row>
    <row r="29" spans="2:17">
      <c r="B29" s="122">
        <v>9</v>
      </c>
      <c r="C29" s="123">
        <f t="shared" si="2"/>
        <v>149001.65567132877</v>
      </c>
      <c r="D29" s="138">
        <f>IF($C$17&lt;B29,0,DCF!$C$16)</f>
        <v>2.949492710417146E-2</v>
      </c>
      <c r="E29" s="124">
        <f t="shared" si="0"/>
        <v>0.52158347292407414</v>
      </c>
      <c r="F29" s="125">
        <f t="shared" si="1"/>
        <v>77716.80103648873</v>
      </c>
      <c r="H29" s="120"/>
    </row>
    <row r="30" spans="2:17">
      <c r="B30" s="122">
        <v>10</v>
      </c>
      <c r="C30" s="123">
        <f t="shared" si="2"/>
        <v>153396.44864375549</v>
      </c>
      <c r="D30" s="138">
        <f>IF($C$17&lt;B30,0,DCF!$C$16)</f>
        <v>2.949492710417146E-2</v>
      </c>
      <c r="E30" s="124">
        <f t="shared" si="0"/>
        <v>0.48519392830146441</v>
      </c>
      <c r="F30" s="125">
        <f t="shared" si="1"/>
        <v>74427.025504957564</v>
      </c>
      <c r="H30" s="120"/>
    </row>
    <row r="31" spans="2:17">
      <c r="B31" s="122">
        <v>11</v>
      </c>
      <c r="C31" s="123">
        <f t="shared" si="2"/>
        <v>157920.86571454181</v>
      </c>
      <c r="D31" s="138">
        <f>IF($C$17&lt;B31,0,DCF!$C$16)</f>
        <v>2.949492710417146E-2</v>
      </c>
      <c r="E31" s="124">
        <f t="shared" si="0"/>
        <v>0.45134318911764126</v>
      </c>
      <c r="F31" s="125">
        <f t="shared" si="1"/>
        <v>71276.507159820074</v>
      </c>
      <c r="H31" s="120"/>
    </row>
    <row r="32" spans="2:17">
      <c r="B32" s="122">
        <v>12</v>
      </c>
      <c r="C32" s="123">
        <f t="shared" si="2"/>
        <v>162578.73013701991</v>
      </c>
      <c r="D32" s="138">
        <f>IF($C$17&lt;B32,0,DCF!$C$16)</f>
        <v>2.949492710417146E-2</v>
      </c>
      <c r="E32" s="124">
        <f t="shared" si="0"/>
        <v>0.41985412941175931</v>
      </c>
      <c r="F32" s="125">
        <f t="shared" si="1"/>
        <v>68259.351202547856</v>
      </c>
      <c r="H32" s="120"/>
    </row>
    <row r="33" spans="2:17">
      <c r="B33" s="122">
        <v>13</v>
      </c>
      <c r="C33" s="341">
        <f t="shared" si="2"/>
        <v>167373.97793110009</v>
      </c>
      <c r="D33" s="138">
        <f>IF($C$17&lt;B33,0,DCF!$C$16)</f>
        <v>2.949492710417146E-2</v>
      </c>
      <c r="E33" s="124">
        <f t="shared" si="0"/>
        <v>0.39056198084814819</v>
      </c>
      <c r="F33" s="125">
        <f t="shared" si="1"/>
        <v>65369.91236320469</v>
      </c>
      <c r="G33" s="338"/>
      <c r="H33" s="339"/>
      <c r="I33" s="338"/>
      <c r="J33" s="338"/>
      <c r="K33" s="338"/>
      <c r="L33" s="338"/>
      <c r="M33" s="338"/>
      <c r="N33" s="338"/>
      <c r="O33" s="338"/>
      <c r="P33" s="338"/>
      <c r="Q33" s="338"/>
    </row>
    <row r="34" spans="2:17">
      <c r="B34" s="122">
        <v>14</v>
      </c>
      <c r="C34" s="341">
        <f t="shared" si="2"/>
        <v>172310.66120931311</v>
      </c>
      <c r="D34" s="138">
        <f>IF($C$17&lt;B34,0,DCF!$C$16)</f>
        <v>2.949492710417146E-2</v>
      </c>
      <c r="E34" s="124">
        <f t="shared" si="0"/>
        <v>0.36331347055641694</v>
      </c>
      <c r="F34" s="125">
        <f t="shared" si="1"/>
        <v>62602.784337826517</v>
      </c>
      <c r="G34" s="338"/>
      <c r="H34" s="339"/>
      <c r="I34" s="338"/>
      <c r="J34" s="338"/>
      <c r="K34" s="338"/>
      <c r="L34" s="338"/>
      <c r="M34" s="338"/>
      <c r="N34" s="338"/>
      <c r="O34" s="338"/>
      <c r="P34" s="338"/>
      <c r="Q34" s="338"/>
    </row>
    <row r="35" spans="2:17">
      <c r="B35" s="122">
        <v>15</v>
      </c>
      <c r="C35" s="341">
        <f t="shared" si="2"/>
        <v>177392.95160095338</v>
      </c>
      <c r="D35" s="138">
        <f>IF($C$17&lt;B35,0,DCF!$C$16)</f>
        <v>2.949492710417146E-2</v>
      </c>
      <c r="E35" s="124">
        <f t="shared" si="0"/>
        <v>0.33796601912224833</v>
      </c>
      <c r="F35" s="125">
        <f t="shared" si="1"/>
        <v>59952.789672919884</v>
      </c>
      <c r="G35" s="338"/>
      <c r="H35" s="339"/>
      <c r="I35" s="338"/>
      <c r="J35" s="338"/>
      <c r="K35" s="338"/>
      <c r="L35" s="338"/>
      <c r="M35" s="338"/>
      <c r="N35" s="338"/>
      <c r="O35" s="338"/>
      <c r="P35" s="338"/>
      <c r="Q35" s="338"/>
    </row>
    <row r="36" spans="2:17">
      <c r="B36" s="122">
        <v>16</v>
      </c>
      <c r="C36" s="123">
        <f t="shared" si="2"/>
        <v>182625.14377721734</v>
      </c>
      <c r="D36" s="138">
        <f>IF($C$17&lt;B36,0,DCF!$C$16)</f>
        <v>2.949492710417146E-2</v>
      </c>
      <c r="E36" s="124">
        <f t="shared" si="0"/>
        <v>0.31438699453232405</v>
      </c>
      <c r="F36" s="125">
        <f t="shared" si="1"/>
        <v>57414.970078152917</v>
      </c>
      <c r="H36" s="120"/>
    </row>
    <row r="37" spans="2:17">
      <c r="B37" s="122">
        <v>17</v>
      </c>
      <c r="C37" s="123">
        <f t="shared" si="2"/>
        <v>188011.65908031524</v>
      </c>
      <c r="D37" s="138">
        <f>IF($C$17&lt;B37,0,DCF!$C$16)</f>
        <v>2.949492710417146E-2</v>
      </c>
      <c r="E37" s="124">
        <f t="shared" si="0"/>
        <v>0.29245301816960378</v>
      </c>
      <c r="F37" s="125">
        <f t="shared" si="1"/>
        <v>54984.577149112782</v>
      </c>
      <c r="H37" s="120"/>
    </row>
    <row r="38" spans="2:17">
      <c r="B38" s="122">
        <v>18</v>
      </c>
      <c r="C38" s="123">
        <f t="shared" si="2"/>
        <v>193557.04925962345</v>
      </c>
      <c r="D38" s="138">
        <f>IF($C$17&lt;B38,0,DCF!$C$16)</f>
        <v>2.949492710417146E-2</v>
      </c>
      <c r="E38" s="124">
        <f t="shared" si="0"/>
        <v>0.27204931922753844</v>
      </c>
      <c r="F38" s="125">
        <f t="shared" si="1"/>
        <v>52657.063482771686</v>
      </c>
      <c r="H38" s="120"/>
    </row>
    <row r="39" spans="2:17">
      <c r="B39" s="122">
        <v>19</v>
      </c>
      <c r="C39" s="123">
        <f t="shared" si="2"/>
        <v>199266.00031803461</v>
      </c>
      <c r="D39" s="138">
        <f>IF($C$17&lt;B39,0,DCF!$C$16)</f>
        <v>2.949492710417146E-2</v>
      </c>
      <c r="E39" s="124">
        <f t="shared" si="0"/>
        <v>0.25306913416515198</v>
      </c>
      <c r="F39" s="125">
        <f t="shared" si="1"/>
        <v>50428.074169037915</v>
      </c>
      <c r="H39" s="120"/>
    </row>
    <row r="40" spans="2:17">
      <c r="B40" s="122">
        <v>20</v>
      </c>
      <c r="C40" s="123">
        <f t="shared" si="2"/>
        <v>205143.33647175488</v>
      </c>
      <c r="D40" s="138">
        <f>IF($C$17&lt;B40,0,DCF!$C$16)</f>
        <v>2.949492710417146E-2</v>
      </c>
      <c r="E40" s="124">
        <f t="shared" si="0"/>
        <v>0.23541314806060654</v>
      </c>
      <c r="F40" s="125">
        <f t="shared" si="1"/>
        <v>48293.438642472058</v>
      </c>
      <c r="H40" s="120"/>
    </row>
    <row r="41" spans="2:17">
      <c r="B41" s="122">
        <v>21</v>
      </c>
      <c r="C41" s="123">
        <f t="shared" si="2"/>
        <v>211194.02422689582</v>
      </c>
      <c r="D41" s="138">
        <f>IF($C$17&lt;B41,0,DCF!$C$16)</f>
        <v>2.949492710417146E-2</v>
      </c>
      <c r="E41" s="124">
        <f t="shared" si="0"/>
        <v>0.21898897494009908</v>
      </c>
      <c r="F41" s="125">
        <f t="shared" si="1"/>
        <v>46249.162878922369</v>
      </c>
      <c r="H41" s="120"/>
    </row>
    <row r="42" spans="2:17">
      <c r="B42" s="122">
        <v>22</v>
      </c>
      <c r="C42" s="123">
        <f t="shared" si="2"/>
        <v>217423.17657630477</v>
      </c>
      <c r="D42" s="138">
        <f>IF($C$17&lt;B42,0,DCF!$C$16)</f>
        <v>2.949492710417146E-2</v>
      </c>
      <c r="E42" s="124">
        <f t="shared" si="0"/>
        <v>0.20371067436288287</v>
      </c>
      <c r="F42" s="125">
        <f t="shared" si="1"/>
        <v>44291.421922479203</v>
      </c>
      <c r="H42" s="120"/>
    </row>
    <row r="43" spans="2:17">
      <c r="B43" s="122">
        <v>23</v>
      </c>
      <c r="C43" s="123">
        <f t="shared" si="2"/>
        <v>223836.05732018029</v>
      </c>
      <c r="D43" s="138">
        <f>IF($C$17&lt;B43,0,DCF!$C$16)</f>
        <v>2.949492710417146E-2</v>
      </c>
      <c r="E43" s="124">
        <f t="shared" si="0"/>
        <v>0.18949830173291429</v>
      </c>
      <c r="F43" s="125">
        <f t="shared" si="1"/>
        <v>42416.552728765426</v>
      </c>
      <c r="H43" s="120"/>
    </row>
    <row r="44" spans="2:17">
      <c r="B44" s="122">
        <v>24</v>
      </c>
      <c r="C44" s="123">
        <f t="shared" si="2"/>
        <v>230438.08551412413</v>
      </c>
      <c r="D44" s="138">
        <f>IF($C$17&lt;B44,0,DCF!$C$16)</f>
        <v>2.949492710417146E-2</v>
      </c>
      <c r="E44" s="124">
        <f t="shared" si="0"/>
        <v>0.17627748998410636</v>
      </c>
      <c r="F44" s="125">
        <f t="shared" si="1"/>
        <v>40621.047311172661</v>
      </c>
      <c r="H44" s="120"/>
    </row>
    <row r="45" spans="2:17">
      <c r="B45" s="122">
        <v>25</v>
      </c>
      <c r="C45" s="123">
        <f t="shared" si="2"/>
        <v>237234.84004838811</v>
      </c>
      <c r="D45" s="138">
        <f>IF($C$17&lt;B45,0,DCF!$C$16)</f>
        <v>2.949492710417146E-2</v>
      </c>
      <c r="E45" s="124">
        <f t="shared" si="0"/>
        <v>0.16397906045033148</v>
      </c>
      <c r="F45" s="125">
        <f t="shared" si="1"/>
        <v>38901.546177219352</v>
      </c>
      <c r="H45" s="120"/>
    </row>
    <row r="46" spans="2:17">
      <c r="B46" s="122">
        <v>26</v>
      </c>
      <c r="C46" s="123">
        <f t="shared" si="2"/>
        <v>244232.0643621851</v>
      </c>
      <c r="D46" s="138">
        <f>IF($C$17&lt;B46,0,DCF!$C$16)</f>
        <v>2.949492710417146E-2</v>
      </c>
      <c r="E46" s="124">
        <f t="shared" si="0"/>
        <v>0.15253866088402931</v>
      </c>
      <c r="F46" s="125">
        <f t="shared" si="1"/>
        <v>37254.832042749775</v>
      </c>
      <c r="H46" s="120"/>
    </row>
    <row r="47" spans="2:17">
      <c r="B47" s="122">
        <v>27</v>
      </c>
      <c r="C47" s="341">
        <f t="shared" si="2"/>
        <v>251435.67129704906</v>
      </c>
      <c r="D47" s="138">
        <f>IF($C$17&lt;B47,0,DCF!$C$16)</f>
        <v>2.949492710417146E-2</v>
      </c>
      <c r="E47" s="124">
        <f t="shared" si="0"/>
        <v>0.14189642872932959</v>
      </c>
      <c r="F47" s="125">
        <f t="shared" si="1"/>
        <v>35677.823812212861</v>
      </c>
      <c r="G47" s="338"/>
      <c r="H47" s="339"/>
      <c r="I47" s="338"/>
      <c r="J47" s="338"/>
      <c r="K47" s="338"/>
      <c r="L47" s="338"/>
      <c r="M47" s="338"/>
      <c r="N47" s="338"/>
      <c r="O47" s="338"/>
      <c r="P47" s="338"/>
      <c r="Q47" s="338"/>
    </row>
    <row r="48" spans="2:17">
      <c r="B48" s="122">
        <v>28</v>
      </c>
      <c r="C48" s="341">
        <f t="shared" si="2"/>
        <v>258851.74809334398</v>
      </c>
      <c r="D48" s="138">
        <f>IF($C$17&lt;B48,0,DCF!$C$16)</f>
        <v>2.949492710417146E-2</v>
      </c>
      <c r="E48" s="124">
        <f t="shared" si="0"/>
        <v>0.13199667788774846</v>
      </c>
      <c r="F48" s="125">
        <f t="shared" si="1"/>
        <v>34167.570813757731</v>
      </c>
      <c r="G48" s="338"/>
      <c r="H48" s="339"/>
      <c r="I48" s="338"/>
      <c r="J48" s="338"/>
      <c r="K48" s="338"/>
      <c r="L48" s="338"/>
      <c r="M48" s="338"/>
      <c r="N48" s="338"/>
      <c r="O48" s="338"/>
      <c r="P48" s="338"/>
      <c r="Q48" s="338"/>
    </row>
    <row r="49" spans="1:17">
      <c r="B49" s="122">
        <v>29</v>
      </c>
      <c r="C49" s="341">
        <f t="shared" si="2"/>
        <v>266486.56153414451</v>
      </c>
      <c r="D49" s="138">
        <f>IF($C$17&lt;B49,0,DCF!$C$16)</f>
        <v>2.949492710417146E-2</v>
      </c>
      <c r="E49" s="124">
        <f t="shared" si="0"/>
        <v>0.1227876073374404</v>
      </c>
      <c r="F49" s="125">
        <f t="shared" si="1"/>
        <v>32721.247278359184</v>
      </c>
      <c r="G49" s="338"/>
      <c r="H49" s="339"/>
      <c r="I49" s="338"/>
      <c r="J49" s="338"/>
      <c r="K49" s="338"/>
      <c r="L49" s="338"/>
      <c r="M49" s="338"/>
      <c r="N49" s="338"/>
      <c r="O49" s="338"/>
      <c r="P49" s="338"/>
      <c r="Q49" s="338"/>
    </row>
    <row r="50" spans="1:17">
      <c r="B50" s="122">
        <v>30</v>
      </c>
      <c r="C50" s="341">
        <f t="shared" si="2"/>
        <v>274346.5632408355</v>
      </c>
      <c r="D50" s="138">
        <f>IF($C$17&lt;B50,0,DCF!$C$16)</f>
        <v>2.949492710417146E-2</v>
      </c>
      <c r="E50" s="124">
        <f t="shared" si="0"/>
        <v>0.11422103008133992</v>
      </c>
      <c r="F50" s="125">
        <f t="shared" si="1"/>
        <v>31336.147052643697</v>
      </c>
      <c r="G50" s="338"/>
      <c r="H50" s="339"/>
      <c r="I50" s="338"/>
      <c r="J50" s="338"/>
      <c r="K50" s="338"/>
      <c r="L50" s="338"/>
      <c r="M50" s="338"/>
      <c r="N50" s="338"/>
      <c r="O50" s="338"/>
      <c r="P50" s="338"/>
      <c r="Q50" s="338"/>
    </row>
    <row r="51" spans="1:17">
      <c r="B51" s="126" t="s">
        <v>127</v>
      </c>
      <c r="C51" s="123">
        <f>C$21*(1+Terminal_Growth)^$C$17/Equity_Cost</f>
        <v>1574476.3561578302</v>
      </c>
      <c r="D51" s="139">
        <f>Terminal_Growth</f>
        <v>0</v>
      </c>
      <c r="E51" s="124">
        <f>1/(1+Equity_Cost)^C17</f>
        <v>0.11422103008133992</v>
      </c>
      <c r="F51" s="125">
        <f t="shared" si="1"/>
        <v>179838.31123906199</v>
      </c>
      <c r="H51" s="120"/>
    </row>
    <row r="52" spans="1:17">
      <c r="C52" s="114"/>
      <c r="E52" s="127" t="s">
        <v>97</v>
      </c>
      <c r="F52" s="137">
        <f>SUM(F21:F51)</f>
        <v>2065898.8496459359</v>
      </c>
      <c r="H52" s="120"/>
    </row>
    <row r="53" spans="1:17">
      <c r="C53" s="114"/>
      <c r="H53" s="120"/>
    </row>
    <row r="54" spans="1:17" ht="13.15">
      <c r="B54" s="119" t="s">
        <v>125</v>
      </c>
      <c r="C54" s="136"/>
      <c r="D54" s="136"/>
      <c r="E54" s="117"/>
      <c r="F54" s="117"/>
      <c r="H54" s="120"/>
    </row>
    <row r="55" spans="1:17" ht="13.15">
      <c r="A55" s="133">
        <f>F52</f>
        <v>2065898.8496459359</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0.188</v>
      </c>
      <c r="H75" s="120"/>
    </row>
    <row r="76" spans="1:8">
      <c r="B76" s="127" t="str">
        <f>Scenarios!B24</f>
        <v>Base</v>
      </c>
      <c r="C76" s="142">
        <f>Scenarios!C26</f>
        <v>0.03</v>
      </c>
      <c r="D76" s="145">
        <f>Scenarios!C25</f>
        <v>30</v>
      </c>
      <c r="E76" s="135">
        <f>INDEX(B$65:F$71, MATCH(D76, A$65:A$71, 0), MATCH(C76, B$64:F$64, 0))</f>
        <v>-254.80138391679353</v>
      </c>
      <c r="F76" s="142">
        <f>Scenarios!C28*(1-F$74-F$78)</f>
        <v>0.56399999999999995</v>
      </c>
      <c r="H76" s="120"/>
    </row>
    <row r="77" spans="1:8">
      <c r="B77" s="127" t="str">
        <f>Scenarios!B30</f>
        <v>Pessimistic</v>
      </c>
      <c r="C77" s="142">
        <f>Scenarios!C32</f>
        <v>0.02</v>
      </c>
      <c r="D77" s="145">
        <f>Scenarios!C31</f>
        <v>30</v>
      </c>
      <c r="E77" s="135">
        <f>INDEX(B$65:F$71, MATCH(D77, A$65:A$71, 0), MATCH(C77, B$64:F$64, 0))</f>
        <v>-265.01491654205984</v>
      </c>
      <c r="F77" s="142">
        <f>Scenarios!C34*(1-F$74-F$78)</f>
        <v>0.188</v>
      </c>
      <c r="H77" s="120"/>
    </row>
    <row r="78" spans="1:8">
      <c r="B78" s="127" t="str">
        <f>Scenarios!B48</f>
        <v>Devil's advocate</v>
      </c>
      <c r="C78" s="142">
        <f>Scenarios!C50</f>
        <v>0</v>
      </c>
      <c r="D78" s="145">
        <f>Scenarios!C49</f>
        <v>30</v>
      </c>
      <c r="E78" s="135">
        <f>INDEX(B$65:F$71, MATCH(D78, A$65:A$71, 0), MATCH(C78, B$64:F$64, 0))</f>
        <v>-281.18453890104439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85" zoomScaleNormal="85" workbookViewId="0">
      <selection activeCell="D13" sqref="D1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2.949492710417146E-2</v>
      </c>
      <c r="H11" s="120"/>
    </row>
    <row r="12" spans="2:8" ht="13.35" customHeight="1">
      <c r="B12" s="118" t="s">
        <v>130</v>
      </c>
      <c r="C12" s="162">
        <f>Scenarios!C64</f>
        <v>30</v>
      </c>
      <c r="H12" s="120"/>
    </row>
    <row r="13" spans="2:8" ht="13.35" customHeight="1">
      <c r="B13" s="153" t="s">
        <v>103</v>
      </c>
      <c r="C13" s="140">
        <f>F47/Common_Shares*scaling_factor</f>
        <v>20.440006339686768</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22670.270947267109</v>
      </c>
      <c r="D16" s="138">
        <f>IF($C$12&lt;B16,0,DDM!$C$11)</f>
        <v>2.949492710417146E-2</v>
      </c>
      <c r="E16" s="124">
        <f t="shared" ref="E16:E45" si="0">IF($C$12&lt;B16,0,1/(1+Equity_Cost)^B16)</f>
        <v>0.93023255813953487</v>
      </c>
      <c r="F16" s="125">
        <f t="shared" ref="F16:F46" si="1">C16*E16</f>
        <v>21088.624136992657</v>
      </c>
      <c r="H16" s="120"/>
    </row>
    <row r="17" spans="2:8">
      <c r="B17" s="122">
        <v>2</v>
      </c>
      <c r="C17" s="123">
        <f t="shared" ref="C17:C45" si="2">IF(ROW()-ROW($C$16)&lt;$C$12, $C$16*(1+D17)^(ROW()-ROW($C$16)), 0)</f>
        <v>23338.928936288572</v>
      </c>
      <c r="D17" s="138">
        <f>IF($C$12&lt;B17,0,DDM!$C$11)</f>
        <v>2.949492710417146E-2</v>
      </c>
      <c r="E17" s="124">
        <f t="shared" si="0"/>
        <v>0.86533261222282321</v>
      </c>
      <c r="F17" s="125">
        <f t="shared" si="1"/>
        <v>20195.936342921428</v>
      </c>
      <c r="H17" s="120"/>
    </row>
    <row r="18" spans="2:8">
      <c r="B18" s="122">
        <v>3</v>
      </c>
      <c r="C18" s="123">
        <f t="shared" si="2"/>
        <v>24027.308943953842</v>
      </c>
      <c r="D18" s="138">
        <f>IF($C$12&lt;B18,0,DDM!$C$11)</f>
        <v>2.949492710417146E-2</v>
      </c>
      <c r="E18" s="124">
        <f t="shared" si="0"/>
        <v>0.80496056950960304</v>
      </c>
      <c r="F18" s="125">
        <f t="shared" si="1"/>
        <v>19341.036291308264</v>
      </c>
      <c r="H18" s="120"/>
    </row>
    <row r="19" spans="2:8">
      <c r="B19" s="122">
        <v>4</v>
      </c>
      <c r="C19" s="123">
        <f t="shared" si="2"/>
        <v>24735.992669765172</v>
      </c>
      <c r="D19" s="138">
        <f>IF($C$12&lt;B19,0,DDM!$C$11)</f>
        <v>2.949492710417146E-2</v>
      </c>
      <c r="E19" s="124">
        <f t="shared" si="0"/>
        <v>0.7488005297763749</v>
      </c>
      <c r="F19" s="125">
        <f t="shared" si="1"/>
        <v>18522.324415664687</v>
      </c>
      <c r="H19" s="120"/>
    </row>
    <row r="20" spans="2:8">
      <c r="B20" s="122">
        <v>5</v>
      </c>
      <c r="C20" s="123">
        <f t="shared" si="2"/>
        <v>25465.578970409213</v>
      </c>
      <c r="D20" s="138">
        <f>IF($C$12&lt;B20,0,DDM!$C$11)</f>
        <v>2.949492710417146E-2</v>
      </c>
      <c r="E20" s="124">
        <f t="shared" si="0"/>
        <v>0.69655863235011617</v>
      </c>
      <c r="F20" s="125">
        <f t="shared" si="1"/>
        <v>17738.26885963212</v>
      </c>
      <c r="H20" s="120"/>
    </row>
    <row r="21" spans="2:8">
      <c r="B21" s="122">
        <v>6</v>
      </c>
      <c r="C21" s="123">
        <f t="shared" si="2"/>
        <v>26216.684365806959</v>
      </c>
      <c r="D21" s="138">
        <f>IF($C$12&lt;B21,0,DDM!$C$11)</f>
        <v>2.949492710417146E-2</v>
      </c>
      <c r="E21" s="124">
        <f t="shared" si="0"/>
        <v>0.64796151846522443</v>
      </c>
      <c r="F21" s="125">
        <f t="shared" si="1"/>
        <v>16987.402610791785</v>
      </c>
      <c r="H21" s="120"/>
    </row>
    <row r="22" spans="2:8">
      <c r="B22" s="122">
        <v>7</v>
      </c>
      <c r="C22" s="123">
        <f t="shared" si="2"/>
        <v>26989.943560089509</v>
      </c>
      <c r="D22" s="138">
        <f>IF($C$12&lt;B22,0,DDM!$C$11)</f>
        <v>2.949492710417146E-2</v>
      </c>
      <c r="E22" s="124">
        <f t="shared" si="0"/>
        <v>0.60275490089788319</v>
      </c>
      <c r="F22" s="125">
        <f t="shared" si="1"/>
        <v>16268.320755801213</v>
      </c>
      <c r="H22" s="120"/>
    </row>
    <row r="23" spans="2:8">
      <c r="B23" s="122">
        <v>8</v>
      </c>
      <c r="C23" s="123">
        <f t="shared" si="2"/>
        <v>27786.009977940052</v>
      </c>
      <c r="D23" s="138">
        <f>IF($C$12&lt;B23,0,DDM!$C$11)</f>
        <v>2.949492710417146E-2</v>
      </c>
      <c r="E23" s="124">
        <f t="shared" si="0"/>
        <v>0.56070223339337966</v>
      </c>
      <c r="F23" s="125">
        <f t="shared" si="1"/>
        <v>15579.677851721719</v>
      </c>
      <c r="H23" s="120"/>
    </row>
    <row r="24" spans="2:8">
      <c r="B24" s="122">
        <v>9</v>
      </c>
      <c r="C24" s="123">
        <f t="shared" si="2"/>
        <v>28605.556316755177</v>
      </c>
      <c r="D24" s="138">
        <f>IF($C$12&lt;B24,0,DDM!$C$11)</f>
        <v>2.949492710417146E-2</v>
      </c>
      <c r="E24" s="124">
        <f t="shared" si="0"/>
        <v>0.52158347292407414</v>
      </c>
      <c r="F24" s="125">
        <f t="shared" si="1"/>
        <v>14920.185408618352</v>
      </c>
      <c r="H24" s="120"/>
    </row>
    <row r="25" spans="2:8">
      <c r="B25" s="122">
        <v>10</v>
      </c>
      <c r="C25" s="123">
        <f t="shared" si="2"/>
        <v>29449.275115092147</v>
      </c>
      <c r="D25" s="138">
        <f>IF($C$12&lt;B25,0,DDM!$C$11)</f>
        <v>2.949492710417146E-2</v>
      </c>
      <c r="E25" s="124">
        <f t="shared" si="0"/>
        <v>0.48519392830146441</v>
      </c>
      <c r="F25" s="125">
        <f t="shared" si="1"/>
        <v>14288.609478722119</v>
      </c>
      <c r="H25" s="120"/>
    </row>
    <row r="26" spans="2:8">
      <c r="B26" s="122">
        <v>11</v>
      </c>
      <c r="C26" s="123">
        <f t="shared" si="2"/>
        <v>30317.879337882481</v>
      </c>
      <c r="D26" s="138">
        <f>IF($C$12&lt;B26,0,DDM!$C$11)</f>
        <v>2.949492710417146E-2</v>
      </c>
      <c r="E26" s="124">
        <f t="shared" si="0"/>
        <v>0.45134318911764126</v>
      </c>
      <c r="F26" s="125">
        <f t="shared" si="1"/>
        <v>13683.768347643721</v>
      </c>
      <c r="H26" s="120"/>
    </row>
    <row r="27" spans="2:8">
      <c r="B27" s="122">
        <v>12</v>
      </c>
      <c r="C27" s="123">
        <f t="shared" si="2"/>
        <v>31212.102978906394</v>
      </c>
      <c r="D27" s="138">
        <f>IF($C$12&lt;B27,0,DDM!$C$11)</f>
        <v>2.949492710417146E-2</v>
      </c>
      <c r="E27" s="124">
        <f t="shared" si="0"/>
        <v>0.41985412941175931</v>
      </c>
      <c r="F27" s="125">
        <f t="shared" si="1"/>
        <v>13104.530323318924</v>
      </c>
      <c r="H27" s="120"/>
    </row>
    <row r="28" spans="2:8">
      <c r="B28" s="122">
        <v>13</v>
      </c>
      <c r="C28" s="123">
        <f t="shared" si="2"/>
        <v>32132.701681037135</v>
      </c>
      <c r="D28" s="138">
        <f>IF($C$12&lt;B28,0,DDM!$C$11)</f>
        <v>2.949492710417146E-2</v>
      </c>
      <c r="E28" s="124">
        <f t="shared" si="0"/>
        <v>0.39056198084814819</v>
      </c>
      <c r="F28" s="125">
        <f t="shared" si="1"/>
        <v>12549.811618548485</v>
      </c>
      <c r="H28" s="120"/>
    </row>
    <row r="29" spans="2:8">
      <c r="B29" s="122">
        <v>14</v>
      </c>
      <c r="C29" s="123">
        <f t="shared" si="2"/>
        <v>33080.453374779419</v>
      </c>
      <c r="D29" s="138">
        <f>IF($C$12&lt;B29,0,DDM!$C$11)</f>
        <v>2.949492710417146E-2</v>
      </c>
      <c r="E29" s="124">
        <f t="shared" si="0"/>
        <v>0.36331347055641694</v>
      </c>
      <c r="F29" s="125">
        <f t="shared" si="1"/>
        <v>12018.574323170846</v>
      </c>
      <c r="H29" s="120"/>
    </row>
    <row r="30" spans="2:8">
      <c r="B30" s="122">
        <v>15</v>
      </c>
      <c r="C30" s="123">
        <f t="shared" si="2"/>
        <v>34056.158935641477</v>
      </c>
      <c r="D30" s="138">
        <f>IF($C$12&lt;B30,0,DDM!$C$11)</f>
        <v>2.949492710417146E-2</v>
      </c>
      <c r="E30" s="124">
        <f t="shared" si="0"/>
        <v>0.33796601912224833</v>
      </c>
      <c r="F30" s="125">
        <f t="shared" si="1"/>
        <v>11509.824462073335</v>
      </c>
      <c r="H30" s="120"/>
    </row>
    <row r="31" spans="2:8">
      <c r="B31" s="122">
        <v>16</v>
      </c>
      <c r="C31" s="123">
        <f t="shared" si="2"/>
        <v>35060.642860896303</v>
      </c>
      <c r="D31" s="138">
        <f>IF($C$12&lt;B31,0,DDM!$C$11)</f>
        <v>2.949492710417146E-2</v>
      </c>
      <c r="E31" s="124">
        <f t="shared" si="0"/>
        <v>0.31438699453232405</v>
      </c>
      <c r="F31" s="125">
        <f t="shared" si="1"/>
        <v>11022.610135408373</v>
      </c>
      <c r="H31" s="120"/>
    </row>
    <row r="32" spans="2:8">
      <c r="B32" s="122">
        <v>17</v>
      </c>
      <c r="C32" s="123">
        <f t="shared" si="2"/>
        <v>36094.753966303833</v>
      </c>
      <c r="D32" s="138">
        <f>IF($C$12&lt;B32,0,DDM!$C$11)</f>
        <v>2.949492710417146E-2</v>
      </c>
      <c r="E32" s="124">
        <f t="shared" si="0"/>
        <v>0.29245301816960378</v>
      </c>
      <c r="F32" s="125">
        <f t="shared" si="1"/>
        <v>10556.019737534833</v>
      </c>
      <c r="H32" s="120"/>
    </row>
    <row r="33" spans="2:8">
      <c r="B33" s="122">
        <v>18</v>
      </c>
      <c r="C33" s="123">
        <f t="shared" si="2"/>
        <v>37159.36610338297</v>
      </c>
      <c r="D33" s="138">
        <f>IF($C$12&lt;B33,0,DDM!$C$11)</f>
        <v>2.949492710417146E-2</v>
      </c>
      <c r="E33" s="124">
        <f t="shared" si="0"/>
        <v>0.27204931922753844</v>
      </c>
      <c r="F33" s="125">
        <f t="shared" si="1"/>
        <v>10109.180251352205</v>
      </c>
      <c r="H33" s="120"/>
    </row>
    <row r="34" spans="2:8">
      <c r="B34" s="122">
        <v>19</v>
      </c>
      <c r="C34" s="123">
        <f t="shared" si="2"/>
        <v>38255.37889783948</v>
      </c>
      <c r="D34" s="138">
        <f>IF($C$12&lt;B34,0,DDM!$C$11)</f>
        <v>2.949492710417146E-2</v>
      </c>
      <c r="E34" s="124">
        <f t="shared" si="0"/>
        <v>0.25306913416515198</v>
      </c>
      <c r="F34" s="125">
        <f t="shared" si="1"/>
        <v>9681.2556148360636</v>
      </c>
      <c r="H34" s="120"/>
    </row>
    <row r="35" spans="2:8">
      <c r="B35" s="122">
        <v>20</v>
      </c>
      <c r="C35" s="123">
        <f t="shared" si="2"/>
        <v>39383.718509773717</v>
      </c>
      <c r="D35" s="138">
        <f>IF($C$12&lt;B35,0,DDM!$C$11)</f>
        <v>2.949492710417146E-2</v>
      </c>
      <c r="E35" s="124">
        <f t="shared" si="0"/>
        <v>0.23541314806060654</v>
      </c>
      <c r="F35" s="125">
        <f t="shared" si="1"/>
        <v>9271.4451567186097</v>
      </c>
      <c r="H35" s="120"/>
    </row>
    <row r="36" spans="2:8">
      <c r="B36" s="122">
        <v>21</v>
      </c>
      <c r="C36" s="123">
        <f t="shared" si="2"/>
        <v>40545.338416310704</v>
      </c>
      <c r="D36" s="138">
        <f>IF($C$12&lt;B36,0,DDM!$C$11)</f>
        <v>2.949492710417146E-2</v>
      </c>
      <c r="E36" s="124">
        <f t="shared" si="0"/>
        <v>0.21898897494009908</v>
      </c>
      <c r="F36" s="125">
        <f t="shared" si="1"/>
        <v>8878.9820983873014</v>
      </c>
      <c r="H36" s="120"/>
    </row>
    <row r="37" spans="2:8">
      <c r="B37" s="122">
        <v>22</v>
      </c>
      <c r="C37" s="123">
        <f t="shared" si="2"/>
        <v>41741.220217313756</v>
      </c>
      <c r="D37" s="138">
        <f>IF($C$12&lt;B37,0,DDM!$C$11)</f>
        <v>2.949492710417146E-2</v>
      </c>
      <c r="E37" s="124">
        <f t="shared" si="0"/>
        <v>0.20371067436288287</v>
      </c>
      <c r="F37" s="125">
        <f t="shared" si="1"/>
        <v>8503.1321191985862</v>
      </c>
      <c r="H37" s="120"/>
    </row>
    <row r="38" spans="2:8">
      <c r="B38" s="122">
        <v>23</v>
      </c>
      <c r="C38" s="123">
        <f t="shared" si="2"/>
        <v>42972.374464862594</v>
      </c>
      <c r="D38" s="138">
        <f>IF($C$12&lt;B38,0,DDM!$C$11)</f>
        <v>2.949492710417146E-2</v>
      </c>
      <c r="E38" s="124">
        <f t="shared" si="0"/>
        <v>0.18949830173291429</v>
      </c>
      <c r="F38" s="125">
        <f t="shared" si="1"/>
        <v>8143.1919825223131</v>
      </c>
      <c r="H38" s="120"/>
    </row>
    <row r="39" spans="2:8">
      <c r="B39" s="122">
        <v>24</v>
      </c>
      <c r="C39" s="123">
        <f t="shared" si="2"/>
        <v>44239.841517196874</v>
      </c>
      <c r="D39" s="138">
        <f>IF($C$12&lt;B39,0,DDM!$C$11)</f>
        <v>2.949492710417146E-2</v>
      </c>
      <c r="E39" s="124">
        <f t="shared" si="0"/>
        <v>0.17627748998410636</v>
      </c>
      <c r="F39" s="125">
        <f t="shared" si="1"/>
        <v>7798.4882199461244</v>
      </c>
      <c r="H39" s="120"/>
    </row>
    <row r="40" spans="2:8">
      <c r="B40" s="122">
        <v>25</v>
      </c>
      <c r="C40" s="123">
        <f t="shared" si="2"/>
        <v>45544.692417846709</v>
      </c>
      <c r="D40" s="138">
        <f>IF($C$12&lt;B40,0,DDM!$C$11)</f>
        <v>2.949492710417146E-2</v>
      </c>
      <c r="E40" s="124">
        <f t="shared" si="0"/>
        <v>0.16397906045033148</v>
      </c>
      <c r="F40" s="125">
        <f t="shared" si="1"/>
        <v>7468.3758711778391</v>
      </c>
      <c r="H40" s="120"/>
    </row>
    <row r="41" spans="2:8">
      <c r="B41" s="122">
        <v>26</v>
      </c>
      <c r="C41" s="123">
        <f t="shared" si="2"/>
        <v>46888.02980069301</v>
      </c>
      <c r="D41" s="138">
        <f>IF($C$12&lt;B41,0,DDM!$C$11)</f>
        <v>2.949492710417146E-2</v>
      </c>
      <c r="E41" s="124">
        <f t="shared" si="0"/>
        <v>0.15253866088402931</v>
      </c>
      <c r="F41" s="125">
        <f t="shared" si="1"/>
        <v>7152.2372772881718</v>
      </c>
      <c r="H41" s="120"/>
    </row>
    <row r="42" spans="2:8">
      <c r="B42" s="122">
        <v>27</v>
      </c>
      <c r="C42" s="123">
        <f t="shared" si="2"/>
        <v>48270.988821722669</v>
      </c>
      <c r="D42" s="138">
        <f>IF($C$12&lt;B42,0,DDM!$C$11)</f>
        <v>2.949492710417146E-2</v>
      </c>
      <c r="E42" s="124">
        <f t="shared" si="0"/>
        <v>0.14189642872932959</v>
      </c>
      <c r="F42" s="125">
        <f t="shared" si="1"/>
        <v>6849.4809250358358</v>
      </c>
      <c r="H42" s="120"/>
    </row>
    <row r="43" spans="2:8">
      <c r="B43" s="122">
        <v>28</v>
      </c>
      <c r="C43" s="123">
        <f t="shared" si="2"/>
        <v>49694.738118265661</v>
      </c>
      <c r="D43" s="138">
        <f>IF($C$12&lt;B43,0,DDM!$C$11)</f>
        <v>2.949492710417146E-2</v>
      </c>
      <c r="E43" s="124">
        <f t="shared" si="0"/>
        <v>0.13199667788774846</v>
      </c>
      <c r="F43" s="125">
        <f t="shared" si="1"/>
        <v>6559.5403401127278</v>
      </c>
      <c r="H43" s="120"/>
    </row>
    <row r="44" spans="2:8">
      <c r="B44" s="122">
        <v>29</v>
      </c>
      <c r="C44" s="123">
        <f t="shared" si="2"/>
        <v>51160.480796524796</v>
      </c>
      <c r="D44" s="138">
        <f>IF($C$12&lt;B44,0,DDM!$C$11)</f>
        <v>2.949492710417146E-2</v>
      </c>
      <c r="E44" s="124">
        <f t="shared" si="0"/>
        <v>0.1227876073374404</v>
      </c>
      <c r="F44" s="125">
        <f t="shared" si="1"/>
        <v>6281.8730272383473</v>
      </c>
      <c r="H44" s="120"/>
    </row>
    <row r="45" spans="2:8">
      <c r="B45" s="122">
        <v>30</v>
      </c>
      <c r="C45" s="123">
        <f t="shared" si="2"/>
        <v>52669.455448232671</v>
      </c>
      <c r="D45" s="138">
        <f>IF($C$12&lt;B45,0,DDM!$C$11)</f>
        <v>2.949492710417146E-2</v>
      </c>
      <c r="E45" s="124">
        <f t="shared" si="0"/>
        <v>0.11422103008133992</v>
      </c>
      <c r="F45" s="125">
        <f t="shared" si="1"/>
        <v>6015.9594551203763</v>
      </c>
      <c r="H45" s="120"/>
    </row>
    <row r="46" spans="2:8">
      <c r="B46" s="126" t="s">
        <v>127</v>
      </c>
      <c r="C46" s="123">
        <f>C$16*(1+F4)^$C$12/Equity_Cost</f>
        <v>547520.77193458646</v>
      </c>
      <c r="D46" s="139">
        <f>Terminal_Growth</f>
        <v>0</v>
      </c>
      <c r="E46" s="124">
        <f>1/(1+Equity_Cost)^C12</f>
        <v>0.11422103008133992</v>
      </c>
      <c r="F46" s="125">
        <f t="shared" si="1"/>
        <v>62538.386561298852</v>
      </c>
      <c r="H46" s="120"/>
    </row>
    <row r="47" spans="2:8">
      <c r="C47" s="114"/>
      <c r="E47" s="127" t="s">
        <v>97</v>
      </c>
      <c r="F47" s="137">
        <f>SUM(F16:F46)</f>
        <v>424627.05400010623</v>
      </c>
      <c r="H47" s="120"/>
    </row>
    <row r="48" spans="2:8">
      <c r="C48" s="114"/>
      <c r="H48" s="120"/>
    </row>
    <row r="49" spans="1:8" ht="13.15">
      <c r="B49" s="119" t="s">
        <v>125</v>
      </c>
      <c r="C49" s="136"/>
      <c r="D49" s="136"/>
      <c r="E49" s="117"/>
      <c r="F49" s="117"/>
      <c r="H49" s="120"/>
    </row>
    <row r="50" spans="1:8" ht="13.15">
      <c r="A50" s="133">
        <f>F47</f>
        <v>424627.05400010623</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0.188</v>
      </c>
      <c r="H70" s="120"/>
    </row>
    <row r="71" spans="1:8">
      <c r="B71" s="127" t="str">
        <f>Scenarios!B24</f>
        <v>Base</v>
      </c>
      <c r="C71" s="142">
        <f>Scenarios!C26</f>
        <v>0.03</v>
      </c>
      <c r="D71" s="145">
        <f>Scenarios!C25</f>
        <v>30</v>
      </c>
      <c r="E71" s="135">
        <f>INDEX(B$60:F$66, MATCH(D71, A$60:A$66, 0), MATCH(C71, B$59:F$59, 0))</f>
        <v>20.547504511084881</v>
      </c>
      <c r="F71" s="142">
        <f>Scenarios!C28*(1-F$69-F$73)</f>
        <v>0.56399999999999995</v>
      </c>
      <c r="H71" s="120"/>
    </row>
    <row r="72" spans="1:8">
      <c r="B72" s="127" t="str">
        <f>Scenarios!B30</f>
        <v>Pessimistic</v>
      </c>
      <c r="C72" s="142">
        <f>Scenarios!C32</f>
        <v>0.02</v>
      </c>
      <c r="D72" s="145">
        <f>Scenarios!C31</f>
        <v>30</v>
      </c>
      <c r="E72" s="135">
        <f>INDEX(B$60:F$66, MATCH(D72, A$60:A$66, 0), MATCH(C72, B$59:F$59, 0))</f>
        <v>18.573597539063663</v>
      </c>
      <c r="F72" s="142">
        <f>Scenarios!C34*(1-F$69-F$73)</f>
        <v>0.188</v>
      </c>
      <c r="H72" s="120"/>
    </row>
    <row r="73" spans="1:8">
      <c r="B73" s="127" t="str">
        <f>Scenarios!B48</f>
        <v>Devil's advocate</v>
      </c>
      <c r="C73" s="142">
        <f>Scenarios!C50</f>
        <v>0</v>
      </c>
      <c r="D73" s="145">
        <f>Scenarios!C49</f>
        <v>30</v>
      </c>
      <c r="E73" s="135">
        <f>INDEX(B$60:F$66, MATCH(D73, A$60:A$66, 0), MATCH(C73, B$59:F$59, 0))</f>
        <v>15.443133723453277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8" zoomScale="75" zoomScaleNormal="100" workbookViewId="0">
      <selection activeCell="E71" sqref="E7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-21.35</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21.500937245163914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21.35</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20.440937245163916</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2.949492710417146E-2</v>
      </c>
      <c r="D65" s="151"/>
      <c r="E65" s="251" t="s">
        <v>304</v>
      </c>
    </row>
    <row r="66" spans="2:6">
      <c r="B66" s="100" t="s">
        <v>99</v>
      </c>
      <c r="C66" s="160">
        <f>IF(valuation_method="DCF",DCF!C18,DDM!C13)</f>
        <v>20.440006339686768</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-17.357460284336575</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6.7049693698516268</v>
      </c>
      <c r="D82" s="116"/>
    </row>
    <row r="83" spans="2:8" ht="13.15">
      <c r="B83" s="110" t="s">
        <v>98</v>
      </c>
      <c r="C83" s="111">
        <f>C81+C82</f>
        <v>8.287863297441934</v>
      </c>
      <c r="D83" t="str">
        <f>Market_currency</f>
        <v>CNY</v>
      </c>
      <c r="E83" s="146" t="s">
        <v>122</v>
      </c>
      <c r="F83" s="291">
        <f>(1-C83/C60)</f>
        <v>0.59454582742272521</v>
      </c>
    </row>
    <row r="84" spans="2:8">
      <c r="E84" s="120"/>
    </row>
    <row r="85" spans="2:8" ht="13.15">
      <c r="B85" s="109" t="s">
        <v>297</v>
      </c>
    </row>
    <row r="86" spans="2:8">
      <c r="B86" s="148" t="s">
        <v>295</v>
      </c>
      <c r="C86" s="116">
        <f>Market_Price</f>
        <v>21.35</v>
      </c>
      <c r="D86" t="str">
        <f>Market_currency</f>
        <v>CNY</v>
      </c>
    </row>
    <row r="87" spans="2:8" ht="13.15">
      <c r="B87" s="100" t="s">
        <v>293</v>
      </c>
      <c r="C87" s="237">
        <f ca="1">IRR(OFFSET($I$3, 0, 0, $C$76 + 1, 1))</f>
        <v>3.5953975912336844E-2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9.3040224147309569</v>
      </c>
      <c r="D92" s="116"/>
    </row>
    <row r="93" spans="2:8" ht="13.15">
      <c r="B93" s="110" t="s">
        <v>98</v>
      </c>
      <c r="C93" s="111">
        <f>C91+C92</f>
        <v>11.229102068804695</v>
      </c>
      <c r="D93" t="str">
        <f>Market_currency</f>
        <v>CNY</v>
      </c>
      <c r="E93" s="146" t="s">
        <v>122</v>
      </c>
      <c r="F93" s="291">
        <f>(1-C93/C60)</f>
        <v>0.45065620357200753</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16.4541484861772</v>
      </c>
      <c r="D98" s="116"/>
      <c r="G98" s="2"/>
      <c r="H98" s="281"/>
    </row>
    <row r="99" spans="2:8" ht="13.15">
      <c r="B99" s="110" t="s">
        <v>379</v>
      </c>
      <c r="C99" s="111">
        <f>C97+C98</f>
        <v>19.210705770441479</v>
      </c>
      <c r="D99" t="s">
        <v>377</v>
      </c>
      <c r="E99" s="146" t="s">
        <v>122</v>
      </c>
      <c r="F99" s="291">
        <f>(1-C99/C60)</f>
        <v>6.0184690162066623E-2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15.915202640851307</v>
      </c>
      <c r="D104" s="116"/>
    </row>
    <row r="105" spans="2:8" ht="13.15">
      <c r="B105" s="110" t="s">
        <v>379</v>
      </c>
      <c r="C105" s="111">
        <f>C103+C104</f>
        <v>18.612786102807618</v>
      </c>
      <c r="D105" t="s">
        <v>377</v>
      </c>
      <c r="E105" s="146" t="s">
        <v>122</v>
      </c>
      <c r="F105" s="291">
        <f>(1-C105/C66)</f>
        <v>8.9394308715618043E-2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21.35</v>
      </c>
      <c r="D12" s="50"/>
      <c r="E12" s="48"/>
    </row>
    <row r="13" spans="1:10">
      <c r="B13" s="1" t="s">
        <v>489</v>
      </c>
      <c r="C13" s="32" t="str">
        <f>Market_currency</f>
        <v>CNY</v>
      </c>
      <c r="D13" s="48"/>
      <c r="E13" s="5"/>
    </row>
    <row r="14" spans="1:10">
      <c r="B14" s="4" t="s">
        <v>490</v>
      </c>
      <c r="C14" s="35">
        <f>投资主题!C12*Common_Shares/1000000</f>
        <v>443531.54555044998</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2" t="s">
        <v>493</v>
      </c>
      <c r="C18" s="372"/>
      <c r="D18" s="372"/>
      <c r="E18" s="372"/>
      <c r="F18" s="372"/>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20.440937245163916</v>
      </c>
      <c r="D26" s="1" t="s">
        <v>450</v>
      </c>
      <c r="E26" s="301">
        <f ca="1">Scenarios!C87</f>
        <v>3.5953975912336844E-2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8.287863297441934</v>
      </c>
      <c r="D29" s="310" t="str">
        <f>D149</f>
        <v/>
      </c>
      <c r="E29" s="306" t="s">
        <v>459</v>
      </c>
      <c r="F29" s="362">
        <f>Thesis!F29</f>
        <v>0.45</v>
      </c>
    </row>
    <row r="30" spans="2:6">
      <c r="B30" s="1" t="s">
        <v>454</v>
      </c>
      <c r="C30" s="311">
        <f>C157</f>
        <v>11.229102068804695</v>
      </c>
      <c r="D30" s="311" t="str">
        <f>D157</f>
        <v/>
      </c>
      <c r="E30" s="307" t="s">
        <v>458</v>
      </c>
      <c r="F30" s="224">
        <f>Thesis!F30</f>
        <v>0.3</v>
      </c>
    </row>
    <row r="31" spans="2:6">
      <c r="B31" s="1" t="s">
        <v>455</v>
      </c>
      <c r="C31" s="311">
        <f>C165</f>
        <v>19.210705770441479</v>
      </c>
      <c r="D31" s="311" t="str">
        <f>D165</f>
        <v/>
      </c>
      <c r="E31" s="307" t="s">
        <v>495</v>
      </c>
      <c r="F31" s="224">
        <f>Thesis!F31</f>
        <v>7.4999999999999997E-2</v>
      </c>
    </row>
    <row r="32" spans="2:6">
      <c r="B32" s="1" t="s">
        <v>456</v>
      </c>
      <c r="C32" s="311">
        <f>C173</f>
        <v>18.612786102807618</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2" t="s">
        <v>496</v>
      </c>
      <c r="C36" s="372"/>
      <c r="D36" s="372"/>
      <c r="E36" s="372"/>
      <c r="F36" s="372"/>
    </row>
    <row r="37" spans="1:6" ht="24.6" customHeight="1">
      <c r="B37" s="375" t="s">
        <v>330</v>
      </c>
      <c r="C37" s="375"/>
      <c r="D37" s="375"/>
      <c r="E37" s="375"/>
      <c r="F37" s="375"/>
    </row>
    <row r="39" spans="1:6">
      <c r="B39" s="210" t="s">
        <v>497</v>
      </c>
      <c r="C39" s="108">
        <f>scaling_factor</f>
        <v>1000000</v>
      </c>
    </row>
    <row r="40" spans="1:6">
      <c r="B40" s="373" t="s">
        <v>498</v>
      </c>
      <c r="C40" s="373"/>
      <c r="D40" s="373"/>
      <c r="E40" s="373"/>
      <c r="F40" s="373"/>
    </row>
    <row r="41" spans="1:6">
      <c r="B41" s="47" t="s">
        <v>228</v>
      </c>
      <c r="C41" s="349">
        <f>Normalized_FCF!C8</f>
        <v>6033.25</v>
      </c>
      <c r="D41" s="1" t="str">
        <f>Reporting_currency</f>
        <v>CNY</v>
      </c>
    </row>
    <row r="42" spans="1:6">
      <c r="B42" s="47"/>
      <c r="C42" s="76"/>
    </row>
    <row r="43" spans="1:6" ht="24.6" customHeight="1">
      <c r="B43" s="373" t="s">
        <v>499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500</v>
      </c>
      <c r="C47" s="373"/>
      <c r="D47" s="373"/>
      <c r="E47" s="373"/>
      <c r="F47" s="373"/>
    </row>
    <row r="48" spans="1:6">
      <c r="B48" s="47" t="s">
        <v>233</v>
      </c>
      <c r="C48" s="349">
        <f>Normalized_FCF!C11</f>
        <v>0</v>
      </c>
      <c r="D48" s="1" t="str">
        <f>Reporting_currency</f>
        <v>CNY</v>
      </c>
    </row>
    <row r="50" spans="2:6">
      <c r="B50" s="373" t="s">
        <v>501</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503</v>
      </c>
      <c r="C61" s="374"/>
      <c r="D61" s="374"/>
      <c r="E61" s="374"/>
      <c r="F61" s="374"/>
    </row>
    <row r="62" spans="2:6">
      <c r="B62" s="47" t="s">
        <v>238</v>
      </c>
      <c r="C62" s="349">
        <f>Normalized_FCF!C17</f>
        <v>0</v>
      </c>
      <c r="D62" s="1" t="str">
        <f>Reporting_currency</f>
        <v>CNY</v>
      </c>
    </row>
    <row r="64" spans="2:6">
      <c r="B64" s="372" t="s">
        <v>504</v>
      </c>
      <c r="C64" s="372"/>
      <c r="D64" s="372"/>
      <c r="E64" s="372"/>
      <c r="F64" s="372"/>
    </row>
    <row r="65" spans="1:6">
      <c r="B65" s="372" t="s">
        <v>505</v>
      </c>
      <c r="C65" s="372"/>
      <c r="D65" s="372"/>
      <c r="E65" s="372"/>
      <c r="F65" s="372"/>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0.25861200529217038</v>
      </c>
      <c r="F69" s="314"/>
    </row>
    <row r="70" spans="1:6">
      <c r="B70" s="227" t="s">
        <v>438</v>
      </c>
      <c r="C70" s="92">
        <f>Normalized_FCF!C94</f>
        <v>4.9648711943793909E-2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2" t="s">
        <v>510</v>
      </c>
      <c r="C80" s="372"/>
      <c r="D80" s="372"/>
      <c r="E80" s="372"/>
      <c r="F80" s="372"/>
    </row>
    <row r="81" spans="1:6">
      <c r="B81" s="375" t="s">
        <v>248</v>
      </c>
      <c r="C81" s="375"/>
      <c r="D81" s="375"/>
      <c r="E81" s="375"/>
      <c r="F81" s="375"/>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2" t="s">
        <v>511</v>
      </c>
      <c r="C89" s="372"/>
      <c r="D89" s="372"/>
      <c r="E89" s="372"/>
      <c r="F89" s="372"/>
    </row>
    <row r="90" spans="1:6">
      <c r="B90" s="372" t="s">
        <v>512</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2" t="s">
        <v>514</v>
      </c>
      <c r="C97" s="372"/>
      <c r="D97" s="372"/>
      <c r="E97" s="372"/>
      <c r="F97" s="372"/>
    </row>
    <row r="98" spans="2:6">
      <c r="B98" s="1" t="s">
        <v>249</v>
      </c>
    </row>
    <row r="100" spans="2:6">
      <c r="B100" s="210" t="s">
        <v>497</v>
      </c>
    </row>
    <row r="101" spans="2:6">
      <c r="B101" s="372" t="s">
        <v>515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2" t="s">
        <v>520</v>
      </c>
      <c r="C116" s="372"/>
      <c r="D116" s="372"/>
      <c r="E116" s="372"/>
      <c r="F116" s="372"/>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3" t="s">
        <v>523</v>
      </c>
      <c r="C123" s="373"/>
      <c r="D123" s="373"/>
      <c r="E123" s="373"/>
      <c r="F123" s="373"/>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0.188</v>
      </c>
    </row>
    <row r="128" spans="1:6">
      <c r="B128" s="218" t="str">
        <f>DCF!B76</f>
        <v>Base</v>
      </c>
      <c r="C128" s="219">
        <f>DCF!C76</f>
        <v>0.03</v>
      </c>
      <c r="D128" s="220">
        <f>DCF!D76</f>
        <v>30</v>
      </c>
      <c r="E128" s="231" t="str">
        <f>ROUND(IF(valuation_method="DCF",DCF!E76,DDM!E71),2)&amp;" "&amp;Market_currency</f>
        <v>20.55 CNY</v>
      </c>
      <c r="F128" s="221">
        <f>DCF!F76</f>
        <v>0.56399999999999995</v>
      </c>
    </row>
    <row r="129" spans="1:6">
      <c r="B129" s="218" t="str">
        <f>DCF!B77</f>
        <v>Pessimistic</v>
      </c>
      <c r="C129" s="219">
        <f>DCF!C77</f>
        <v>0.02</v>
      </c>
      <c r="D129" s="220">
        <f>DCF!D77</f>
        <v>30</v>
      </c>
      <c r="E129" s="231" t="str">
        <f>ROUND(IF(valuation_method="DCF",DCF!E77,DDM!E72),2)&amp;" "&amp;Market_currency</f>
        <v>18.57 CNY</v>
      </c>
      <c r="F129" s="221">
        <f>DCF!F77</f>
        <v>0.188</v>
      </c>
    </row>
    <row r="130" spans="1:6">
      <c r="B130" s="218" t="str">
        <f>DCF!B78</f>
        <v>Devil's advocate</v>
      </c>
      <c r="C130" s="219">
        <f>DCF!C78</f>
        <v>0</v>
      </c>
      <c r="D130" s="220">
        <f>DCF!D78</f>
        <v>30</v>
      </c>
      <c r="E130" s="231" t="str">
        <f>ROUND(IF(valuation_method="DCF",DCF!E78,DDM!E73),2)&amp;" "&amp;Market_currency</f>
        <v>15.44 CNY</v>
      </c>
      <c r="F130" s="221">
        <f>DCF!F78</f>
        <v>0.05</v>
      </c>
    </row>
    <row r="132" spans="1:6">
      <c r="B132" s="211" t="s">
        <v>254</v>
      </c>
      <c r="C132" s="217">
        <f>Scenarios!C60</f>
        <v>20.440937245163916</v>
      </c>
      <c r="D132" s="212" t="str">
        <f>Market_currency</f>
        <v>CNY</v>
      </c>
    </row>
    <row r="134" spans="1:6">
      <c r="B134" s="376" t="s">
        <v>528</v>
      </c>
      <c r="C134" s="376"/>
      <c r="D134" s="376"/>
      <c r="E134" s="376"/>
      <c r="F134" s="376"/>
    </row>
    <row r="136" spans="1:6" ht="13.9">
      <c r="A136" s="222" t="s">
        <v>529</v>
      </c>
      <c r="B136" s="36"/>
      <c r="C136" s="36"/>
      <c r="D136" s="36"/>
      <c r="E136" s="36"/>
      <c r="F136" s="36"/>
    </row>
    <row r="138" spans="1:6">
      <c r="B138" s="377" t="s">
        <v>530</v>
      </c>
      <c r="C138" s="377"/>
      <c r="D138" s="377"/>
      <c r="E138" s="377"/>
      <c r="F138" s="377"/>
    </row>
    <row r="139" spans="1:6" ht="24.6" customHeight="1">
      <c r="B139" s="372" t="s">
        <v>531</v>
      </c>
      <c r="C139" s="372"/>
      <c r="D139" s="372"/>
      <c r="E139" s="372"/>
      <c r="F139" s="372"/>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6.7049693698516268</v>
      </c>
    </row>
    <row r="149" spans="2:4">
      <c r="B149" s="80" t="s">
        <v>256</v>
      </c>
      <c r="C149" s="215">
        <f>Scenarios!C83</f>
        <v>8.287863297441934</v>
      </c>
      <c r="D149" s="300" t="str">
        <f>IF($D$11="","",C149*$E$25)</f>
        <v/>
      </c>
    </row>
    <row r="150" spans="2:4">
      <c r="B150" s="259" t="s">
        <v>536</v>
      </c>
      <c r="C150" s="298" t="str">
        <f>Market_currency</f>
        <v>CNY</v>
      </c>
      <c r="D150" s="298" t="str">
        <f>IF($D$11="","",D$13)</f>
        <v/>
      </c>
    </row>
    <row r="151" spans="2:4">
      <c r="B151" s="214" t="s">
        <v>537</v>
      </c>
      <c r="C151" s="92">
        <f>Scenarios!F83</f>
        <v>0.59454582742272521</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9.3040224147309569</v>
      </c>
    </row>
    <row r="157" spans="2:4">
      <c r="B157" s="80" t="s">
        <v>256</v>
      </c>
      <c r="C157" s="215">
        <f>Scenarios!C93</f>
        <v>11.229102068804695</v>
      </c>
      <c r="D157" s="300" t="str">
        <f>IF($D$11="","",C157*$E$25)</f>
        <v/>
      </c>
    </row>
    <row r="158" spans="2:4">
      <c r="B158" s="259" t="s">
        <v>536</v>
      </c>
      <c r="C158" s="298" t="str">
        <f>Market_currency</f>
        <v>CNY</v>
      </c>
      <c r="D158" s="298" t="str">
        <f>IF($D$11="","",D$13)</f>
        <v/>
      </c>
    </row>
    <row r="159" spans="2:4">
      <c r="B159" s="214" t="s">
        <v>537</v>
      </c>
      <c r="C159" s="92">
        <f>Scenarios!F93</f>
        <v>0.45065620357200753</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16.4541484861772</v>
      </c>
    </row>
    <row r="165" spans="2:4">
      <c r="B165" s="80" t="s">
        <v>382</v>
      </c>
      <c r="C165" s="215">
        <f>Scenarios!C99</f>
        <v>19.210705770441479</v>
      </c>
      <c r="D165" s="300" t="str">
        <f>IF($D$11="","",C165*$E$25)</f>
        <v/>
      </c>
    </row>
    <row r="166" spans="2:4">
      <c r="B166" s="259" t="s">
        <v>536</v>
      </c>
      <c r="C166" s="298" t="str">
        <f>Market_currency</f>
        <v>CNY</v>
      </c>
      <c r="D166" s="298" t="str">
        <f>IF($D$11="","",D$13)</f>
        <v/>
      </c>
    </row>
    <row r="167" spans="2:4">
      <c r="B167" s="214" t="s">
        <v>537</v>
      </c>
      <c r="C167" s="92">
        <f>Scenarios!F99</f>
        <v>6.0184690162066623E-2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15.915202640851307</v>
      </c>
    </row>
    <row r="173" spans="2:4">
      <c r="B173" s="80" t="s">
        <v>382</v>
      </c>
      <c r="C173" s="215">
        <f>Scenarios!C105</f>
        <v>18.612786102807618</v>
      </c>
      <c r="D173" s="300" t="str">
        <f>IF($D$11="","",C173*$E$25)</f>
        <v/>
      </c>
    </row>
    <row r="174" spans="2:4">
      <c r="B174" s="259" t="s">
        <v>536</v>
      </c>
      <c r="C174" s="298" t="str">
        <f>Market_currency</f>
        <v>CNY</v>
      </c>
      <c r="D174" s="298" t="str">
        <f>IF($D$11="","",D$13)</f>
        <v/>
      </c>
    </row>
    <row r="175" spans="2:4">
      <c r="B175" s="214" t="s">
        <v>537</v>
      </c>
      <c r="C175" s="92">
        <f>Scenarios!F105</f>
        <v>8.9394308715618043E-2</v>
      </c>
    </row>
    <row r="177" spans="1:6" ht="13.9">
      <c r="A177" s="222" t="s">
        <v>357</v>
      </c>
      <c r="B177" s="36"/>
      <c r="C177" s="36"/>
      <c r="D177" s="36"/>
      <c r="E177" s="36"/>
      <c r="F177" s="36"/>
    </row>
    <row r="179" spans="1:6">
      <c r="B179" s="371" t="s">
        <v>538</v>
      </c>
      <c r="C179" s="372"/>
      <c r="D179" s="372"/>
      <c r="E179" s="372"/>
      <c r="F179" s="372"/>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3" t="s">
        <v>545</v>
      </c>
      <c r="C188" s="373"/>
      <c r="D188" s="373"/>
      <c r="E188" s="373"/>
      <c r="F188" s="373"/>
    </row>
    <row r="190" spans="1:6">
      <c r="B190" s="1" t="s">
        <v>546</v>
      </c>
    </row>
    <row r="191" spans="1:6">
      <c r="B191" s="370" t="s">
        <v>547</v>
      </c>
      <c r="C191" s="370"/>
      <c r="D191" s="370"/>
      <c r="E191" s="370"/>
      <c r="F191" s="370"/>
    </row>
    <row r="192" spans="1:6">
      <c r="B192" s="370" t="s">
        <v>548</v>
      </c>
      <c r="C192" s="370"/>
      <c r="D192" s="370"/>
      <c r="E192" s="370"/>
      <c r="F192" s="370"/>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