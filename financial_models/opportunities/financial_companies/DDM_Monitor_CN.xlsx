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opportunities\financial_companies\"/>
    </mc:Choice>
  </mc:AlternateContent>
  <xr:revisionPtr revIDLastSave="0" documentId="13_ncr:1_{D36C540D-572E-4DBE-827D-647AC21D711D}" xr6:coauthVersionLast="47" xr6:coauthVersionMax="47" xr10:uidLastSave="{00000000-0000-0000-0000-000000000000}"/>
  <bookViews>
    <workbookView xWindow="-28920" yWindow="6150" windowWidth="29040" windowHeight="15720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<sst xmlns="http://schemas.openxmlformats.org/spreadsheetml/2006/main" count="407" uniqueCount="361">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</sst>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15" zoomScaleNormal="100" workbookViewId="0">
      <selection activeCell="C34" sqref="C3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-0.35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0.1768719218995578</v>
      </c>
      <c r="D46" s="137">
        <f>E46*-C$38</f>
        <v>0.62999999999999978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0.11702174297595547</v>
      </c>
      <c r="D47" s="137">
        <f>E47*-C$38</f>
        <v>0.39374999999999988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16.04</v>
      </c>
      <c r="E3" s="12" t="s">
        <v>360</v>
      </c>
      <c r="F3" s="15">
        <v>0.13126436876130226</v>
      </c>
      <c r="G3" s="15">
        <f>F3 - Portfolio_Mgmt!$C$10</f>
        <v>4.426436876130227E-2</v>
      </c>
      <c r="H3" s="15">
        <f>F3 - Portfolio_Mgmt!$C$11</f>
        <v>0.11226436876130226</v>
      </c>
      <c r="I3" s="15">
        <v>0</v>
      </c>
      <c r="J3" s="2">
        <v>10.191091106864292</v>
      </c>
      <c r="K3" s="2">
        <v>19.606158406839043</v>
      </c>
      <c r="L3" s="71">
        <v>18.66192456479336</v>
      </c>
      <c r="M3" s="2">
        <v>12.77818205620288</v>
      </c>
      <c r="N3" s="2">
        <v>17.962831836381895</v>
      </c>
      <c r="O3" s="4">
        <v>7.5418593743974791E-2</v>
      </c>
      <c r="P3" s="4">
        <v>6.6084788029925193E-2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0.1768719218995578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0.11702174297595547</v>
      </c>
      <c r="D33" s="96" t="s">
        <v>266</v>
      </c>
      <c r="E33" s="97">
        <f>(C32*C33+(1-C32)*C34)/(2*C33)</f>
        <v>6.8305779887641354</v>
      </c>
    </row>
    <row r="34" spans="1:5" ht="12" thickBot="1">
      <c r="B34" s="98" t="s">
        <v>262</v>
      </c>
      <c r="C34" s="99">
        <f>E32+C33</f>
        <v>1.9170217429759548</v>
      </c>
      <c r="D34" s="100" t="s">
        <v>267</v>
      </c>
      <c r="E34" s="101">
        <f>-C33/C34</f>
        <v>-6.1043513671520867E-2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-0.35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2.8582171428571437</v>
      </c>
    </row>
    <row r="19" spans="1:5">
      <c r="B19" s="127" t="s">
        <v>337</v>
      </c>
      <c r="C19" s="141">
        <f>Portfolio_Mgmt!C47</f>
        <v>0.11702174297595547</v>
      </c>
      <c r="D19" s="140">
        <f xml:space="preserve"> (1 + C19) ^ C$7-1</f>
        <v>0.3937499999999996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0.4600526202147992</v>
      </c>
      <c r="D23" s="130">
        <f>C23/2</f>
        <v>0.2300263101073996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7.2499999999999995E-2</v>
      </c>
      <c r="E4" s="35">
        <f>D4-C4</f>
        <v>3.0699999999999998E-2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2025-10-15T01:23:57Z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