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03135D-EAE5-4967-875D-E8326258047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<sst xmlns="http://schemas.openxmlformats.org/spreadsheetml/2006/main" count="768" uniqueCount="559">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</sst>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37.520000000000003</v>
      </c>
      <c r="E8" s="32"/>
    </row>
    <row r="9" spans="1:9">
      <c r="B9" s="4" t="s">
        <v>345</v>
      </c>
      <c r="C9" s="48">
        <v>2558824000</v>
      </c>
    </row>
    <row r="10" spans="1:9">
      <c r="B10" s="4" t="s">
        <v>351</v>
      </c>
      <c r="C10" s="33">
        <f>Thesis!C8*Common_Shares/1000000</f>
        <v>96007.076480000018</v>
      </c>
      <c r="D10" s="1" t="s">
        <v>527</v>
      </c>
      <c r="E10" s="303">
        <f>Scenarios!F34</f>
        <v>0.20291062332927542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9.1559559999999998</v>
      </c>
    </row>
    <row r="17" spans="1:6">
      <c r="B17" s="1" t="s">
        <v>531</v>
      </c>
      <c r="C17" s="456">
        <v>0.02</v>
      </c>
      <c r="D17" s="4" t="s">
        <v>273</v>
      </c>
      <c r="E17" s="224" t="s">
        <v>558</v>
      </c>
    </row>
    <row r="18" spans="1:6">
      <c r="B18" s="1" t="str">
        <f>"Expected Equity Value ("&amp;C7&amp;") :"</f>
        <v>Expected Equity Value (HKD) :</v>
      </c>
      <c r="C18" s="252">
        <f>C125</f>
        <v>60.081536982369599</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29.947395067077647</v>
      </c>
      <c r="D22" s="38" t="s">
        <v>405</v>
      </c>
      <c r="E22" s="79">
        <v>0.3</v>
      </c>
    </row>
    <row r="23" spans="1:6">
      <c r="B23" s="1" t="s">
        <v>312</v>
      </c>
      <c r="C23" s="256">
        <f>E141</f>
        <v>37.785472374056482</v>
      </c>
      <c r="D23" s="38" t="s">
        <v>406</v>
      </c>
      <c r="E23" s="443">
        <v>0.2</v>
      </c>
    </row>
    <row r="24" spans="1:6">
      <c r="B24" s="1" t="s">
        <v>314</v>
      </c>
      <c r="C24" s="256">
        <f>E144</f>
        <v>46.518436041341836</v>
      </c>
      <c r="D24" s="38" t="s">
        <v>407</v>
      </c>
      <c r="E24" s="443">
        <v>0.1174</v>
      </c>
    </row>
    <row r="25" spans="1:6">
      <c r="B25" s="1" t="s">
        <v>313</v>
      </c>
      <c r="C25" s="256">
        <f>E145</f>
        <v>52.442665942702803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1295687.7327357903</v>
      </c>
      <c r="D34" s="1" t="str">
        <f>Reporting_currency</f>
        <v>EUR</v>
      </c>
    </row>
    <row r="35" spans="2:6">
      <c r="B35" s="44"/>
      <c r="C35" s="73"/>
    </row>
    <row r="36" spans="2:6" ht="24.5" customHeight="1">
      <c r="B36" s="463" t="s">
        <v>197</v>
      </c>
      <c r="C36" s="463"/>
      <c r="D36" s="463"/>
      <c r="E36" s="463"/>
      <c r="F36" s="463"/>
    </row>
    <row r="37" spans="2:6">
      <c r="B37" s="44" t="s">
        <v>198</v>
      </c>
      <c r="C37" s="285">
        <f>Normalized_FCF!C15</f>
        <v>0</v>
      </c>
      <c r="D37" s="1" t="str">
        <f>Reporting_currency</f>
        <v>EUR</v>
      </c>
    </row>
    <row r="38" spans="2:6">
      <c r="B38" s="49" t="s">
        <v>199</v>
      </c>
      <c r="C38" s="285">
        <f>Normalized_FCF!C16</f>
        <v>0</v>
      </c>
      <c r="D38" s="1" t="str">
        <f>Reporting_currency</f>
        <v>EUR</v>
      </c>
    </row>
    <row r="40" spans="2:6">
      <c r="B40" s="463" t="s">
        <v>200</v>
      </c>
      <c r="C40" s="463"/>
      <c r="D40" s="463"/>
      <c r="E40" s="463"/>
      <c r="F40" s="463"/>
    </row>
    <row r="41" spans="2:6">
      <c r="B41" s="44" t="s">
        <v>201</v>
      </c>
      <c r="C41" s="285">
        <f>Normalized_FCF!C9</f>
        <v>0</v>
      </c>
      <c r="D41" s="1" t="str">
        <f>Reporting_currency</f>
        <v>EUR</v>
      </c>
    </row>
    <row r="43" spans="2:6">
      <c r="B43" s="463" t="s">
        <v>204</v>
      </c>
      <c r="C43" s="463"/>
      <c r="D43" s="463"/>
      <c r="E43" s="463"/>
      <c r="F43" s="463"/>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3" t="s">
        <v>205</v>
      </c>
      <c r="C51" s="463"/>
      <c r="D51" s="463"/>
      <c r="E51" s="463"/>
      <c r="F51" s="463"/>
    </row>
    <row r="52" spans="2:6">
      <c r="B52" s="44" t="s">
        <v>203</v>
      </c>
      <c r="C52" s="285">
        <f>Normalized_FCF!C12</f>
        <v>-313762.32926750026</v>
      </c>
      <c r="D52" s="1" t="str">
        <f>Reporting_currency</f>
        <v>EUR</v>
      </c>
    </row>
    <row r="54" spans="2:6">
      <c r="B54" s="463" t="s">
        <v>264</v>
      </c>
      <c r="C54" s="464"/>
      <c r="D54" s="464"/>
      <c r="E54" s="464"/>
      <c r="F54" s="464"/>
    </row>
    <row r="55" spans="2:6">
      <c r="B55" s="44" t="s">
        <v>206</v>
      </c>
      <c r="C55" s="285">
        <f>Normalized_FCF!C17</f>
        <v>0</v>
      </c>
      <c r="D55" s="1" t="str">
        <f>Reporting_currency</f>
        <v>EUR</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7.7245806089133798E-2</v>
      </c>
      <c r="F62" s="257"/>
    </row>
    <row r="63" spans="2:6">
      <c r="B63" s="204" t="s">
        <v>331</v>
      </c>
      <c r="C63" s="89">
        <f>Normalized_FCF!C92</f>
        <v>3.816103411513859E-2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-2855865</v>
      </c>
      <c r="D78" s="1" t="str">
        <f>Reporting_currency</f>
        <v>EUR</v>
      </c>
    </row>
    <row r="79" spans="1:6">
      <c r="A79" s="191"/>
      <c r="B79" s="44" t="s">
        <v>233</v>
      </c>
      <c r="C79" s="201">
        <f>C78*scaling_factor*Exchange_Rate/Common_Shares</f>
        <v>-10.218824851548993</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-0.18597476178489017</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0.1310239794665049</v>
      </c>
      <c r="D90" s="1" t="str">
        <f>Market_currency</f>
        <v>HKD</v>
      </c>
    </row>
    <row r="91" spans="1:6">
      <c r="A91" s="191"/>
    </row>
    <row r="92" spans="1:6">
      <c r="A92" s="191"/>
      <c r="B92" s="44" t="s">
        <v>468</v>
      </c>
      <c r="C92" s="216">
        <f>DCF!F8</f>
        <v>-10.273775633867379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-6.2506711694228292</v>
      </c>
      <c r="D111" s="1" t="str">
        <f>Market_currency</f>
        <v>HKD</v>
      </c>
    </row>
    <row r="112" spans="2:6">
      <c r="B112" s="44" t="s">
        <v>322</v>
      </c>
      <c r="C112" s="216">
        <f>DCF!C11</f>
        <v>46.035327172867611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99.02 HKD</v>
      </c>
      <c r="E118" s="208">
        <f>DCF!F90</f>
        <v>0.15</v>
      </c>
      <c r="F118" s="208">
        <f>RATE(Holding_Period,Scenarios!C$58,-DCF!E90,C$18)</f>
        <v>-0.13619881303063552</v>
      </c>
    </row>
    <row r="119" spans="2:6">
      <c r="B119" s="205" t="str">
        <f>DCF!B91&amp;" ("&amp;DCF!D91&amp;"yrs)"</f>
        <v>Optimistic (20yrs)</v>
      </c>
      <c r="C119" s="198">
        <f>DCF!C91</f>
        <v>0.06</v>
      </c>
      <c r="D119" s="207" t="str">
        <f>ROUND(DCF!E91,2)&amp;" "&amp;Market_currency</f>
        <v>73.35 HKD</v>
      </c>
      <c r="E119" s="199">
        <f>DCF!F91</f>
        <v>0.15999999999999995</v>
      </c>
      <c r="F119" s="208">
        <f>RATE(Holding_Period,Scenarios!C$58,-DCF!E91,C$18)</f>
        <v>-4.3468188246819001E-2</v>
      </c>
    </row>
    <row r="120" spans="2:6">
      <c r="B120" s="205" t="str">
        <f>DCF!B92&amp;" ("&amp;DCF!D92&amp;"yrs)"</f>
        <v>Base (20yrs)</v>
      </c>
      <c r="C120" s="198">
        <f>DCF!C92</f>
        <v>0.04</v>
      </c>
      <c r="D120" s="207" t="str">
        <f>ROUND(DCF!E92,2)&amp;" "&amp;Market_currency</f>
        <v>54.39 HKD</v>
      </c>
      <c r="E120" s="199">
        <f>DCF!F92</f>
        <v>0.44</v>
      </c>
      <c r="F120" s="208">
        <f>RATE(Holding_Period,Scenarios!C$58,-DCF!E92,C$18)</f>
        <v>5.9243842463264654E-2</v>
      </c>
    </row>
    <row r="121" spans="2:6">
      <c r="B121" s="205" t="str">
        <f>DCF!B93&amp;" ("&amp;DCF!D93&amp;"yrs)"</f>
        <v>Pessimistic (20yrs)</v>
      </c>
      <c r="C121" s="198">
        <f>DCF!C93</f>
        <v>0.02</v>
      </c>
      <c r="D121" s="207" t="str">
        <f>ROUND(DCF!E93,2)&amp;" "&amp;Market_currency</f>
        <v>40.34 HKD</v>
      </c>
      <c r="E121" s="199">
        <f>DCF!F93</f>
        <v>0.19999999999999998</v>
      </c>
      <c r="F121" s="208">
        <f>RATE(Holding_Period,Scenarios!C$58,-DCF!E93,C$18)</f>
        <v>0.17331851655044933</v>
      </c>
    </row>
    <row r="122" spans="2:6">
      <c r="B122" s="205" t="str">
        <f>DCF!B94&amp;" ("&amp;DCF!D94&amp;"yrs)"</f>
        <v>Devil's advocate (20yrs)</v>
      </c>
      <c r="C122" s="198">
        <f>DCF!C94</f>
        <v>0</v>
      </c>
      <c r="D122" s="207" t="str">
        <f>ROUND(DCF!E94,2)&amp;" "&amp;Market_currency</f>
        <v>29.9 HKD</v>
      </c>
      <c r="E122" s="199">
        <f>DCF!F94</f>
        <v>0.05</v>
      </c>
      <c r="F122" s="208">
        <f>RATE(Holding_Period,Scenarios!C$58,-DCF!E94,C$18)</f>
        <v>0.30071891676022749</v>
      </c>
    </row>
    <row r="124" spans="2:6">
      <c r="B124" s="463" t="s">
        <v>356</v>
      </c>
      <c r="C124" s="463"/>
      <c r="D124" s="463"/>
      <c r="E124" s="463"/>
      <c r="F124" s="463"/>
    </row>
    <row r="125" spans="2:6">
      <c r="B125" s="193" t="s">
        <v>217</v>
      </c>
      <c r="C125" s="197">
        <f>Scenarios!C36</f>
        <v>60.081536982369599</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27.347081011547377</v>
      </c>
      <c r="E140" s="334">
        <f>Scenarios!E62</f>
        <v>29.947395067077647</v>
      </c>
      <c r="F140" s="335">
        <f>E22</f>
        <v>0.3</v>
      </c>
    </row>
    <row r="141" spans="1:6">
      <c r="B141" s="336" t="s">
        <v>312</v>
      </c>
      <c r="C141" s="333">
        <f>Scenarios!C63</f>
        <v>3.0160643981481483</v>
      </c>
      <c r="D141" s="333">
        <f>Scenarios!D63</f>
        <v>34.769407975908337</v>
      </c>
      <c r="E141" s="334">
        <f>Scenarios!E63</f>
        <v>37.785472374056482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43.064066060416629</v>
      </c>
      <c r="E144" s="334">
        <f>Scenarios!E66</f>
        <v>46.518436041341836</v>
      </c>
      <c r="F144" s="335">
        <f>E24</f>
        <v>0.1174</v>
      </c>
    </row>
    <row r="145" spans="1:6">
      <c r="B145" s="336" t="s">
        <v>313</v>
      </c>
      <c r="C145" s="333">
        <f>Scenarios!C67</f>
        <v>3.7404040750167789</v>
      </c>
      <c r="D145" s="333">
        <f>Scenarios!D67</f>
        <v>48.702261867686026</v>
      </c>
      <c r="E145" s="334">
        <f>Scenarios!E67</f>
        <v>52.442665942702803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15.117412167999049</v>
      </c>
      <c r="D47" s="134">
        <f>D46*H1/Common_Shares*Exchange_Rate</f>
        <v>-6.2506711694228292</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-26148174.281939998</v>
      </c>
      <c r="D86" s="201">
        <f>C86*scaling_factor/Common_Shares</f>
        <v>-10.218824851548993</v>
      </c>
      <c r="E86" s="214" t="str">
        <f>Market_currency</f>
        <v>HKD</v>
      </c>
    </row>
    <row r="87" spans="2:8" ht="15" customHeight="1">
      <c r="B87" s="212" t="s">
        <v>239</v>
      </c>
      <c r="C87" s="73">
        <f>DCF!F5*Exchange_Rate</f>
        <v>-475876.68384945975</v>
      </c>
      <c r="D87" s="201">
        <f>C87*scaling_factor/Common_Shares</f>
        <v>-0.18597476178489017</v>
      </c>
      <c r="E87" s="214" t="str">
        <f>Market_currency</f>
        <v>HKD</v>
      </c>
    </row>
    <row r="88" spans="2:8" ht="15" customHeight="1">
      <c r="B88" s="213" t="s">
        <v>158</v>
      </c>
      <c r="C88" s="73">
        <f>DCF!F6*Exchange_Rate</f>
        <v>335267.30323439994</v>
      </c>
      <c r="D88" s="201">
        <f>C88*scaling_factor/Common_Shares</f>
        <v>0.1310239794665049</v>
      </c>
      <c r="E88" s="214" t="str">
        <f>Market_currency</f>
        <v>HKD</v>
      </c>
    </row>
    <row r="89" spans="2:8" ht="15" customHeight="1">
      <c r="B89" s="77" t="s">
        <v>243</v>
      </c>
      <c r="C89" s="162">
        <f>SUM(C86:C88)</f>
        <v>-26288783.662555061</v>
      </c>
      <c r="D89" s="216">
        <f>SUM(D86:D88)</f>
        <v>-10.273775633867379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3.816103411513859E-2</v>
      </c>
      <c r="E92" s="237"/>
      <c r="G92" s="22">
        <f t="shared" ref="G92:Q92" si="38">IF(G$4="","",(G88*(1-dividend_tax_rate))/Market_Price)</f>
        <v>3.816103411513859E-2</v>
      </c>
      <c r="H92" s="22">
        <f t="shared" si="38"/>
        <v>3.0220695628997866E-2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2.8982626444643009</v>
      </c>
      <c r="D123" s="26"/>
      <c r="E123" s="234"/>
      <c r="F123" s="26"/>
      <c r="G123" s="159">
        <f t="shared" ref="G123:Q123" si="48">IF(G$4="","",G14*$C$3/Common_Shares*Exchange_Rate)</f>
        <v>3.0017678355729038</v>
      </c>
      <c r="H123" s="159">
        <f t="shared" si="48"/>
        <v>2.4010578808296312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7.7245806089133798E-2</v>
      </c>
      <c r="D124" s="26"/>
      <c r="E124" s="234"/>
      <c r="F124" s="26"/>
      <c r="G124" s="74">
        <f t="shared" ref="G124" si="49">IF(G$4="","",G123/Market_Price)</f>
        <v>8.0004473229554993E-2</v>
      </c>
      <c r="H124" s="74">
        <f t="shared" ref="H124" si="50">IF(H$4="","",H123/Market_Price)</f>
        <v>6.399407997946778E-2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8.7847691120528527E-3</v>
      </c>
      <c r="H125" s="22">
        <f>IF(H$4="","",(Data!D47*$C$3)/(Market_Price*Common_Shares))</f>
        <v>7.0139829759348991E-3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-10.273775633867379</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9.1559559999999998</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117796300.01778579</v>
      </c>
      <c r="D10" t="str">
        <f>Market_currency</f>
        <v>HKD</v>
      </c>
      <c r="H10" s="308" t="s">
        <v>396</v>
      </c>
      <c r="I10" s="306">
        <f>Normalized_FCF!C41</f>
        <v>0.27810000000000001</v>
      </c>
      <c r="N10" s="304"/>
      <c r="O10" s="304"/>
    </row>
    <row r="11" spans="2:15" ht="13.15">
      <c r="B11" s="136" t="s">
        <v>424</v>
      </c>
      <c r="C11" s="108">
        <f>(C10*scaling_factor)/Common_Shares</f>
        <v>46.035327172867611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59.350661593293324</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46.035327172867611</v>
      </c>
      <c r="C73" s="119">
        <f>C11</f>
        <v>46.035327172867611</v>
      </c>
      <c r="D73" s="119">
        <f>C11</f>
        <v>46.035327172867611</v>
      </c>
      <c r="E73" s="119">
        <f>C11</f>
        <v>46.035327172867611</v>
      </c>
      <c r="F73" s="119">
        <f>C11</f>
        <v>46.035327172867611</v>
      </c>
      <c r="G73" s="296"/>
      <c r="H73" s="296"/>
      <c r="I73" s="296"/>
      <c r="J73" s="296"/>
      <c r="K73" s="296"/>
      <c r="L73" s="296"/>
    </row>
    <row r="74" spans="1:21" ht="13.15">
      <c r="A74" s="131">
        <v>1</v>
      </c>
      <c r="B74" s="119">
        <f t="shared" ref="B74:F87" si="11">(B56+FV_adjustments)/Common_Shares*scaling_factor*Exchange_Rate</f>
        <v>30.447734715168849</v>
      </c>
      <c r="C74" s="119">
        <f t="shared" si="11"/>
        <v>31.262164922149562</v>
      </c>
      <c r="D74" s="119">
        <f t="shared" si="11"/>
        <v>32.076595129130297</v>
      </c>
      <c r="E74" s="119">
        <f t="shared" si="11"/>
        <v>32.891025336111007</v>
      </c>
      <c r="F74" s="119">
        <f t="shared" si="11"/>
        <v>33.705455543091738</v>
      </c>
      <c r="G74" s="296"/>
      <c r="H74" s="296"/>
      <c r="I74" s="296"/>
      <c r="J74" s="296"/>
      <c r="K74" s="296"/>
      <c r="L74" s="296"/>
    </row>
    <row r="75" spans="1:21" ht="13.15">
      <c r="A75" s="131">
        <v>2</v>
      </c>
      <c r="B75" s="119">
        <f t="shared" si="11"/>
        <v>30.397341376389523</v>
      </c>
      <c r="C75" s="119">
        <f t="shared" si="11"/>
        <v>31.985326710646252</v>
      </c>
      <c r="D75" s="119">
        <f t="shared" si="11"/>
        <v>33.60368706427758</v>
      </c>
      <c r="E75" s="119">
        <f t="shared" si="11"/>
        <v>35.25242243728345</v>
      </c>
      <c r="F75" s="119">
        <f t="shared" si="11"/>
        <v>36.931532829663922</v>
      </c>
      <c r="G75" s="296"/>
      <c r="H75" s="296"/>
      <c r="I75" s="296"/>
      <c r="J75" s="296"/>
      <c r="K75" s="296"/>
      <c r="L75" s="296"/>
    </row>
    <row r="76" spans="1:21" ht="13.15">
      <c r="A76" s="131">
        <v>3</v>
      </c>
      <c r="B76" s="119">
        <f t="shared" si="11"/>
        <v>30.350354580324893</v>
      </c>
      <c r="C76" s="119">
        <f t="shared" si="11"/>
        <v>32.673088971034716</v>
      </c>
      <c r="D76" s="119">
        <f t="shared" si="11"/>
        <v>35.084503486238567</v>
      </c>
      <c r="E76" s="119">
        <f t="shared" si="11"/>
        <v>37.586297427719614</v>
      </c>
      <c r="F76" s="119">
        <f t="shared" si="11"/>
        <v>40.180170097261055</v>
      </c>
      <c r="G76" s="296"/>
      <c r="H76" s="296"/>
      <c r="I76" s="296"/>
      <c r="J76" s="296"/>
      <c r="K76" s="296"/>
      <c r="L76" s="296"/>
    </row>
    <row r="77" spans="1:21" ht="13.15">
      <c r="A77" s="131">
        <v>4</v>
      </c>
      <c r="B77" s="119">
        <f t="shared" si="11"/>
        <v>30.306544047863685</v>
      </c>
      <c r="C77" s="119">
        <f t="shared" si="11"/>
        <v>33.32718454734821</v>
      </c>
      <c r="D77" s="119">
        <f t="shared" si="11"/>
        <v>36.520446683291645</v>
      </c>
      <c r="E77" s="119">
        <f t="shared" si="11"/>
        <v>39.892971077940885</v>
      </c>
      <c r="F77" s="119">
        <f t="shared" si="11"/>
        <v>43.451525107988246</v>
      </c>
      <c r="G77" s="296"/>
      <c r="H77" s="296"/>
      <c r="I77" s="296"/>
      <c r="J77" s="296"/>
      <c r="K77" s="296"/>
      <c r="L77" s="296"/>
    </row>
    <row r="78" spans="1:21" ht="13.15">
      <c r="A78" s="131">
        <v>5</v>
      </c>
      <c r="B78" s="119">
        <f t="shared" si="11"/>
        <v>30.265695066547877</v>
      </c>
      <c r="C78" s="119">
        <f t="shared" si="11"/>
        <v>33.949261459086927</v>
      </c>
      <c r="D78" s="119">
        <f t="shared" si="11"/>
        <v>37.912876450130987</v>
      </c>
      <c r="E78" s="119">
        <f t="shared" si="11"/>
        <v>42.172760419884526</v>
      </c>
      <c r="F78" s="119">
        <f t="shared" si="11"/>
        <v>46.745756727182062</v>
      </c>
      <c r="G78" s="296"/>
      <c r="H78" s="296"/>
      <c r="I78" s="296"/>
      <c r="J78" s="296"/>
      <c r="K78" s="296"/>
      <c r="L78" s="296"/>
    </row>
    <row r="79" spans="1:21" ht="13.15">
      <c r="A79" s="131">
        <v>6</v>
      </c>
      <c r="B79" s="119">
        <f t="shared" si="11"/>
        <v>30.2276074382814</v>
      </c>
      <c r="C79" s="119">
        <f t="shared" si="11"/>
        <v>34.540887053467792</v>
      </c>
      <c r="D79" s="119">
        <f t="shared" si="11"/>
        <v>39.263111375550984</v>
      </c>
      <c r="E79" s="119">
        <f t="shared" si="11"/>
        <v>44.425978790476847</v>
      </c>
      <c r="F79" s="119">
        <f t="shared" si="11"/>
        <v>50.063024931125483</v>
      </c>
      <c r="G79" s="296"/>
      <c r="H79" s="296"/>
      <c r="I79" s="296"/>
      <c r="J79" s="296"/>
      <c r="K79" s="296"/>
      <c r="L79" s="296"/>
    </row>
    <row r="80" spans="1:21" ht="13.15">
      <c r="A80" s="131">
        <f t="shared" ref="A80" si="12">A62</f>
        <v>7</v>
      </c>
      <c r="B80" s="119">
        <f t="shared" si="11"/>
        <v>30.192094498172789</v>
      </c>
      <c r="C80" s="119">
        <f t="shared" si="11"/>
        <v>35.103551954417441</v>
      </c>
      <c r="D80" s="119">
        <f t="shared" si="11"/>
        <v>40.572430091109759</v>
      </c>
      <c r="E80" s="119">
        <f t="shared" si="11"/>
        <v>46.65293587469862</v>
      </c>
      <c r="F80" s="119">
        <f t="shared" si="11"/>
        <v>53.403490814816777</v>
      </c>
      <c r="G80" s="296"/>
      <c r="H80" s="296"/>
      <c r="I80" s="296"/>
      <c r="J80" s="296"/>
      <c r="K80" s="296"/>
      <c r="L80" s="296"/>
    </row>
    <row r="81" spans="1:12" ht="13.15">
      <c r="A81" s="131">
        <v>8</v>
      </c>
      <c r="B81" s="119">
        <f t="shared" si="11"/>
        <v>30.15898219970321</v>
      </c>
      <c r="C81" s="119">
        <f t="shared" si="11"/>
        <v>35.638673818257658</v>
      </c>
      <c r="D81" s="119">
        <f t="shared" si="11"/>
        <v>41.842072481954624</v>
      </c>
      <c r="E81" s="119">
        <f t="shared" si="11"/>
        <v>48.853937748148589</v>
      </c>
      <c r="F81" s="119">
        <f t="shared" si="11"/>
        <v>56.767316599792601</v>
      </c>
      <c r="G81" s="296"/>
      <c r="H81" s="296"/>
      <c r="I81" s="296"/>
      <c r="J81" s="296"/>
      <c r="K81" s="296"/>
      <c r="L81" s="296"/>
    </row>
    <row r="82" spans="1:12" ht="13.15">
      <c r="A82" s="131">
        <f t="shared" ref="A82" si="13">A64</f>
        <v>9</v>
      </c>
      <c r="B82" s="119">
        <f t="shared" si="11"/>
        <v>30.128108261736248</v>
      </c>
      <c r="C82" s="119">
        <f t="shared" si="11"/>
        <v>36.147600905546255</v>
      </c>
      <c r="D82" s="119">
        <f t="shared" si="11"/>
        <v>43.073240860955707</v>
      </c>
      <c r="E82" s="119">
        <f t="shared" si="11"/>
        <v>51.029286919110795</v>
      </c>
      <c r="F82" s="119">
        <f t="shared" si="11"/>
        <v>60.154665642006009</v>
      </c>
      <c r="G82" s="296"/>
      <c r="H82" s="296"/>
      <c r="I82" s="296"/>
      <c r="J82" s="296"/>
      <c r="K82" s="296"/>
      <c r="L82" s="296"/>
    </row>
    <row r="83" spans="1:12" ht="13.15">
      <c r="A83" s="131">
        <f t="shared" ref="A83:A87" si="14">A65</f>
        <v>10</v>
      </c>
      <c r="B83" s="119">
        <f t="shared" si="11"/>
        <v>30.099321373188967</v>
      </c>
      <c r="C83" s="119">
        <f t="shared" si="11"/>
        <v>36.631615478072483</v>
      </c>
      <c r="D83" s="119">
        <f t="shared" si="11"/>
        <v>44.267101107259762</v>
      </c>
      <c r="E83" s="119">
        <f t="shared" si="11"/>
        <v>53.179282370131702</v>
      </c>
      <c r="F83" s="119">
        <f t="shared" si="11"/>
        <v>63.565702439759406</v>
      </c>
      <c r="G83" s="296"/>
      <c r="H83" s="296"/>
      <c r="I83" s="296"/>
      <c r="J83" s="296"/>
      <c r="K83" s="296"/>
      <c r="L83" s="296"/>
    </row>
    <row r="84" spans="1:12" ht="13.15">
      <c r="A84" s="131">
        <f t="shared" si="14"/>
        <v>15</v>
      </c>
      <c r="B84" s="119">
        <f t="shared" si="11"/>
        <v>29.98207534125255</v>
      </c>
      <c r="C84" s="119">
        <f t="shared" si="11"/>
        <v>38.718653928405772</v>
      </c>
      <c r="D84" s="119">
        <f t="shared" si="11"/>
        <v>49.715172094316181</v>
      </c>
      <c r="E84" s="119">
        <f t="shared" si="11"/>
        <v>63.559176551239901</v>
      </c>
      <c r="F84" s="119">
        <f t="shared" si="11"/>
        <v>80.982041177912919</v>
      </c>
      <c r="G84" s="296"/>
      <c r="H84" s="296"/>
      <c r="I84" s="296"/>
      <c r="J84" s="296"/>
      <c r="K84" s="296"/>
      <c r="L84" s="296"/>
    </row>
    <row r="85" spans="1:12" ht="13.15">
      <c r="A85" s="132">
        <f t="shared" si="14"/>
        <v>20</v>
      </c>
      <c r="B85" s="119">
        <f t="shared" si="11"/>
        <v>29.89945030764714</v>
      </c>
      <c r="C85" s="119">
        <f t="shared" si="11"/>
        <v>40.342499797496863</v>
      </c>
      <c r="D85" s="119">
        <f t="shared" si="11"/>
        <v>54.386312804883666</v>
      </c>
      <c r="E85" s="119">
        <f t="shared" si="11"/>
        <v>73.348118389363819</v>
      </c>
      <c r="F85" s="119">
        <f t="shared" si="11"/>
        <v>99.015919540272321</v>
      </c>
      <c r="G85" s="296"/>
      <c r="H85" s="296"/>
      <c r="I85" s="296"/>
      <c r="J85" s="296"/>
      <c r="K85" s="296"/>
      <c r="L85" s="296"/>
    </row>
    <row r="86" spans="1:12" ht="13.15">
      <c r="A86" s="132">
        <f t="shared" si="14"/>
        <v>25</v>
      </c>
      <c r="B86" s="119">
        <f t="shared" si="11"/>
        <v>29.841223209761242</v>
      </c>
      <c r="C86" s="119">
        <f t="shared" si="11"/>
        <v>41.60595299652303</v>
      </c>
      <c r="D86" s="119">
        <f t="shared" si="11"/>
        <v>58.391318538061505</v>
      </c>
      <c r="E86" s="119">
        <f t="shared" si="11"/>
        <v>82.579752222835381</v>
      </c>
      <c r="F86" s="119">
        <f t="shared" si="11"/>
        <v>117.68923393073719</v>
      </c>
      <c r="G86" s="296"/>
      <c r="H86" s="296"/>
      <c r="I86" s="296"/>
      <c r="J86" s="296"/>
      <c r="K86" s="296"/>
      <c r="L86" s="296"/>
    </row>
    <row r="87" spans="1:12" ht="13.15">
      <c r="A87" s="132">
        <f t="shared" si="14"/>
        <v>30</v>
      </c>
      <c r="B87" s="119">
        <f t="shared" si="11"/>
        <v>29.80018970235712</v>
      </c>
      <c r="C87" s="119">
        <f t="shared" si="11"/>
        <v>42.588998257476874</v>
      </c>
      <c r="D87" s="119">
        <f t="shared" si="11"/>
        <v>61.825184464322319</v>
      </c>
      <c r="E87" s="119">
        <f t="shared" si="11"/>
        <v>91.285806936878885</v>
      </c>
      <c r="F87" s="119">
        <f t="shared" si="11"/>
        <v>137.02465714468875</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99.015919540272321</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73.348118389363819</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54.386312804883666</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40.342499797496863</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29.89945030764714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73.348118389363819</v>
      </c>
      <c r="F22" s="328">
        <f>1-F23-F24</f>
        <v>0.19999999999999996</v>
      </c>
      <c r="G22" s="328">
        <f>F22*(1-F$29-F$30)</f>
        <v>0.15999999999999995</v>
      </c>
    </row>
    <row r="23" spans="2:7">
      <c r="B23" s="302" t="s">
        <v>436</v>
      </c>
      <c r="C23" s="324">
        <v>0.04</v>
      </c>
      <c r="D23" s="325">
        <f>C18</f>
        <v>20</v>
      </c>
      <c r="E23" s="326">
        <f>DCF!E92</f>
        <v>54.386312804883666</v>
      </c>
      <c r="F23" s="327">
        <v>0.55000000000000004</v>
      </c>
      <c r="G23" s="328">
        <f t="shared" ref="G23:G24" si="0">F23*(1-F$29-F$30)</f>
        <v>0.44</v>
      </c>
    </row>
    <row r="24" spans="2:7">
      <c r="B24" s="302" t="s">
        <v>445</v>
      </c>
      <c r="C24" s="324">
        <v>0.02</v>
      </c>
      <c r="D24" s="325">
        <f>C18</f>
        <v>20</v>
      </c>
      <c r="E24" s="326">
        <f>DCF!E93</f>
        <v>40.342499797496863</v>
      </c>
      <c r="F24" s="327">
        <v>0.25</v>
      </c>
      <c r="G24" s="328">
        <f t="shared" si="0"/>
        <v>0.19999999999999998</v>
      </c>
    </row>
    <row r="25" spans="2:7">
      <c r="B25" s="141" t="s">
        <v>450</v>
      </c>
      <c r="C25" s="441">
        <f>E23*F23+E24*F24+E22*F22</f>
        <v>54.66772066993299</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99.015919540272321</v>
      </c>
      <c r="F29" s="327">
        <v>0.15</v>
      </c>
      <c r="G29" s="328">
        <f>F29</f>
        <v>0.15</v>
      </c>
    </row>
    <row r="30" spans="2:7">
      <c r="B30" s="315" t="s">
        <v>446</v>
      </c>
      <c r="C30" s="324">
        <v>0</v>
      </c>
      <c r="D30" s="325">
        <f>C18</f>
        <v>20</v>
      </c>
      <c r="E30" s="326">
        <f>DCF!E94</f>
        <v>29.89945030764714</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37.520000000000003</v>
      </c>
      <c r="D34" t="str">
        <f>Market_currency</f>
        <v>HKD</v>
      </c>
      <c r="E34" s="97" t="s">
        <v>453</v>
      </c>
      <c r="F34" s="330">
        <f>RATE(Holding_Period,$C$33,-C34,$C$36)</f>
        <v>0.20291062332927542</v>
      </c>
    </row>
    <row r="35" spans="2:7">
      <c r="B35" s="97" t="s">
        <v>433</v>
      </c>
      <c r="C35" s="320">
        <f>DCF!C11</f>
        <v>46.035327172867611</v>
      </c>
      <c r="D35" s="97" t="str">
        <f>Market_currency</f>
        <v>HKD</v>
      </c>
      <c r="E35" s="97" t="s">
        <v>453</v>
      </c>
      <c r="F35" s="330">
        <f>RATE(Holding_Period,$C$33,-C35,$C$36)</f>
        <v>0.12140205572012697</v>
      </c>
    </row>
    <row r="36" spans="2:7">
      <c r="B36" s="97" t="s">
        <v>434</v>
      </c>
      <c r="C36" s="321">
        <f>E22*G22+E23*G23+E24*G24+E30*G30+E29*G29</f>
        <v>60.081536982369599</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59.350661593293324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27.347081011547377</v>
      </c>
      <c r="E62" s="332">
        <f>C62+D62</f>
        <v>29.947395067077647</v>
      </c>
      <c r="F62" s="301">
        <f>Thesis!E22</f>
        <v>0.3</v>
      </c>
      <c r="G62" s="440">
        <f>(1-E62/C36)</f>
        <v>0.50155411177537879</v>
      </c>
    </row>
    <row r="63" spans="2:7" ht="13.15">
      <c r="B63" s="302" t="s">
        <v>312</v>
      </c>
      <c r="C63" s="119">
        <f>PV(F63, Holding_Period, -C58, 0)</f>
        <v>3.0160643981481483</v>
      </c>
      <c r="D63" s="119">
        <f>C36/(1+F63)^Holding_Period</f>
        <v>34.769407975908337</v>
      </c>
      <c r="E63" s="332">
        <f>C63+D63</f>
        <v>37.785472374056482</v>
      </c>
      <c r="F63" s="301">
        <f>Thesis!E23</f>
        <v>0.2</v>
      </c>
      <c r="G63" s="440">
        <f>(1-E63/C36)</f>
        <v>0.37109677495194071</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43.064066060416629</v>
      </c>
      <c r="E66" s="332">
        <f>C66+D66</f>
        <v>46.518436041341836</v>
      </c>
      <c r="F66" s="301">
        <f>Thesis!E24</f>
        <v>0.1174</v>
      </c>
      <c r="G66" s="440">
        <f>(1-E66/C36)</f>
        <v>0.22574490637627553</v>
      </c>
    </row>
    <row r="67" spans="2:7" ht="13.15">
      <c r="B67" s="302" t="s">
        <v>313</v>
      </c>
      <c r="C67" s="119">
        <f>PV(F67, Holding_Period, -C58, 0)</f>
        <v>3.7404040750167789</v>
      </c>
      <c r="D67" s="119">
        <f>C36/(1+F67)^Holding_Period</f>
        <v>48.702261867686026</v>
      </c>
      <c r="E67" s="332">
        <f>C67+D67</f>
        <v>52.442665942702803</v>
      </c>
      <c r="F67" s="301">
        <f>Thesis!E25</f>
        <v>7.2499999999999995E-2</v>
      </c>
      <c r="G67" s="440">
        <f>(1-E67/C36)</f>
        <v>0.12714173810014806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37.520000000000003</v>
      </c>
    </row>
    <row r="9" spans="1:10">
      <c r="B9" s="351" t="s">
        <v>360</v>
      </c>
      <c r="C9" s="353">
        <f>Common_Shares</f>
        <v>2558824000</v>
      </c>
    </row>
    <row r="10" spans="1:10">
      <c r="B10" s="351" t="s">
        <v>366</v>
      </c>
      <c r="C10" s="357">
        <f>投资主题!C8*Common_Shares/1000000</f>
        <v>96007.076480000018</v>
      </c>
      <c r="D10" s="343" t="s">
        <v>528</v>
      </c>
      <c r="E10" s="360">
        <f>Scenarios!F34</f>
        <v>0.20291062332927542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9.1559559999999998</v>
      </c>
    </row>
    <row r="17" spans="1:6">
      <c r="B17" s="343" t="s">
        <v>534</v>
      </c>
      <c r="C17" s="424">
        <f>Terminal_Growth</f>
        <v>0.02</v>
      </c>
      <c r="D17" s="351" t="s">
        <v>338</v>
      </c>
      <c r="E17" s="344" t="str">
        <f>Reporting_currency</f>
        <v>EUR</v>
      </c>
    </row>
    <row r="18" spans="1:6">
      <c r="B18" s="343" t="str">
        <f>"预期股权价值 ("&amp;C7&amp;") :"</f>
        <v>预期股权价值 (HKD) :</v>
      </c>
      <c r="C18" s="359">
        <f>C125</f>
        <v>60.081536982369599</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29.947395067077647</v>
      </c>
      <c r="D22" s="365" t="s">
        <v>439</v>
      </c>
      <c r="E22" s="366">
        <f>Thesis!E22</f>
        <v>0.3</v>
      </c>
    </row>
    <row r="23" spans="1:6">
      <c r="B23" s="343" t="s">
        <v>340</v>
      </c>
      <c r="C23" s="367">
        <f>E141</f>
        <v>37.785472374056482</v>
      </c>
      <c r="D23" s="365" t="s">
        <v>440</v>
      </c>
      <c r="E23" s="368">
        <f>Thesis!E23</f>
        <v>0.2</v>
      </c>
    </row>
    <row r="24" spans="1:6">
      <c r="B24" s="343" t="s">
        <v>342</v>
      </c>
      <c r="C24" s="367">
        <f>E144</f>
        <v>46.518436041341836</v>
      </c>
      <c r="D24" s="365" t="s">
        <v>442</v>
      </c>
      <c r="E24" s="368">
        <f>Thesis!E24</f>
        <v>0.1174</v>
      </c>
    </row>
    <row r="25" spans="1:6">
      <c r="B25" s="343" t="s">
        <v>341</v>
      </c>
      <c r="C25" s="367">
        <f>E145</f>
        <v>52.442665942702803</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6"/>
      <c r="D54" s="476"/>
      <c r="E54" s="476"/>
      <c r="F54" s="476"/>
    </row>
    <row r="55" spans="2:6">
      <c r="B55" s="372" t="s">
        <v>206</v>
      </c>
      <c r="C55" s="373">
        <f>Normalized_FCF!C17</f>
        <v>0</v>
      </c>
      <c r="D55" s="343" t="str">
        <f>Reporting_currency</f>
        <v>EUR</v>
      </c>
    </row>
    <row r="57" spans="2:6">
      <c r="B57" s="474" t="s">
        <v>507</v>
      </c>
      <c r="C57" s="474"/>
      <c r="D57" s="474"/>
      <c r="E57" s="474"/>
      <c r="F57" s="474"/>
    </row>
    <row r="58" spans="2:6">
      <c r="B58" s="474" t="s">
        <v>508</v>
      </c>
      <c r="C58" s="474"/>
      <c r="D58" s="474"/>
      <c r="E58" s="474"/>
      <c r="F58" s="474"/>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7.7245806089133798E-2</v>
      </c>
      <c r="F62" s="379"/>
    </row>
    <row r="63" spans="2:6">
      <c r="B63" s="377" t="s">
        <v>331</v>
      </c>
      <c r="C63" s="378">
        <f>Normalized_FCF!C92</f>
        <v>3.816103411513859E-2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-2855865</v>
      </c>
      <c r="D78" s="343" t="str">
        <f>Reporting_currency</f>
        <v>EUR</v>
      </c>
    </row>
    <row r="79" spans="1:6">
      <c r="B79" s="372" t="s">
        <v>233</v>
      </c>
      <c r="C79" s="387">
        <f>C78*scaling_factor*Exchange_Rate/Common_Shares</f>
        <v>-10.218824851548993</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-0.18597476178489017</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0.1310239794665049</v>
      </c>
      <c r="D90" s="343" t="str">
        <f>Market_currency</f>
        <v>HKD</v>
      </c>
    </row>
    <row r="92" spans="1:6">
      <c r="B92" s="372" t="s">
        <v>479</v>
      </c>
      <c r="C92" s="387">
        <f>DCF!F8</f>
        <v>-10.273775633867379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-6.2506711694228292</v>
      </c>
      <c r="D111" s="343" t="str">
        <f>Market_currency</f>
        <v>HKD</v>
      </c>
    </row>
    <row r="112" spans="1:6">
      <c r="A112" s="385"/>
      <c r="B112" s="372" t="s">
        <v>376</v>
      </c>
      <c r="C112" s="394">
        <f>DCF!C11</f>
        <v>46.035327172867611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99.02 HKD</v>
      </c>
      <c r="F118" s="399">
        <f>DCF!F90</f>
        <v>0.15</v>
      </c>
    </row>
    <row r="119" spans="1:6">
      <c r="A119" s="385"/>
      <c r="B119" s="400" t="str">
        <f>DCF!B91</f>
        <v>Optimistic</v>
      </c>
      <c r="C119" s="401">
        <f>DCF!C91</f>
        <v>0.06</v>
      </c>
      <c r="D119" s="402">
        <f>DCF!D91</f>
        <v>20</v>
      </c>
      <c r="E119" s="398" t="str">
        <f>ROUND(DCF!E91,2)&amp;" "&amp;Market_currency</f>
        <v>73.35 HKD</v>
      </c>
      <c r="F119" s="403">
        <f>DCF!F91</f>
        <v>0.15999999999999995</v>
      </c>
    </row>
    <row r="120" spans="1:6">
      <c r="B120" s="400" t="str">
        <f>DCF!B92</f>
        <v>Base</v>
      </c>
      <c r="C120" s="401">
        <f>DCF!C92</f>
        <v>0.04</v>
      </c>
      <c r="D120" s="402">
        <f>DCF!D92</f>
        <v>20</v>
      </c>
      <c r="E120" s="398" t="str">
        <f>ROUND(DCF!E92,2)&amp;" "&amp;Market_currency</f>
        <v>54.39 HKD</v>
      </c>
      <c r="F120" s="403">
        <f>DCF!F92</f>
        <v>0.44</v>
      </c>
    </row>
    <row r="121" spans="1:6">
      <c r="B121" s="400" t="str">
        <f>DCF!B93</f>
        <v>Pessimistic</v>
      </c>
      <c r="C121" s="401">
        <f>DCF!C93</f>
        <v>0.02</v>
      </c>
      <c r="D121" s="402">
        <f>DCF!D93</f>
        <v>20</v>
      </c>
      <c r="E121" s="398" t="str">
        <f>ROUND(DCF!E93,2)&amp;" "&amp;Market_currency</f>
        <v>40.34 HKD</v>
      </c>
      <c r="F121" s="403">
        <f>DCF!F93</f>
        <v>0.19999999999999998</v>
      </c>
    </row>
    <row r="122" spans="1:6">
      <c r="B122" s="400" t="str">
        <f>DCF!B94</f>
        <v>Devil's advocate</v>
      </c>
      <c r="C122" s="401">
        <f>DCF!C94</f>
        <v>0</v>
      </c>
      <c r="D122" s="402">
        <f>DCF!D94</f>
        <v>20</v>
      </c>
      <c r="E122" s="398" t="str">
        <f>ROUND(DCF!E94,2)&amp;" "&amp;Market_currency</f>
        <v>29.9 HKD</v>
      </c>
      <c r="F122" s="403">
        <f>DCF!F94</f>
        <v>0.05</v>
      </c>
    </row>
    <row r="124" spans="1:6">
      <c r="B124" s="470" t="s">
        <v>518</v>
      </c>
      <c r="C124" s="470"/>
      <c r="D124" s="470"/>
      <c r="E124" s="470"/>
      <c r="F124" s="470"/>
    </row>
    <row r="125" spans="1:6">
      <c r="B125" s="372" t="s">
        <v>217</v>
      </c>
      <c r="C125" s="404">
        <f>Scenarios!C36</f>
        <v>60.081536982369599</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27.347081011547377</v>
      </c>
      <c r="E140" s="410">
        <f>Scenarios!E62</f>
        <v>29.947395067077647</v>
      </c>
      <c r="F140" s="411">
        <f>E22</f>
        <v>0.3</v>
      </c>
    </row>
    <row r="141" spans="1:6">
      <c r="B141" s="408" t="s">
        <v>312</v>
      </c>
      <c r="C141" s="409">
        <f>Scenarios!C63</f>
        <v>3.0160643981481483</v>
      </c>
      <c r="D141" s="409">
        <f>Scenarios!D63</f>
        <v>34.769407975908337</v>
      </c>
      <c r="E141" s="410">
        <f>Scenarios!E63</f>
        <v>37.785472374056482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43.064066060416629</v>
      </c>
      <c r="E144" s="410">
        <f>Scenarios!E66</f>
        <v>46.518436041341836</v>
      </c>
      <c r="F144" s="411">
        <f>E24</f>
        <v>0.1174</v>
      </c>
    </row>
    <row r="145" spans="1:6">
      <c r="B145" s="408" t="s">
        <v>313</v>
      </c>
      <c r="C145" s="409">
        <f>Scenarios!C67</f>
        <v>3.7404040750167789</v>
      </c>
      <c r="D145" s="409">
        <f>Scenarios!D67</f>
        <v>48.702261867686026</v>
      </c>
      <c r="E145" s="410">
        <f>Scenarios!E67</f>
        <v>52.442665942702803</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