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F9B74A1-019A-4E5C-BB8E-878BA4CD7D1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19" i="3" l="1"/>
  <c r="C4" i="3"/>
  <c r="E25" i="4"/>
  <c r="D25" i="4"/>
  <c r="C25" i="4"/>
  <c r="N117" i="2"/>
  <c r="O117" i="2"/>
  <c r="P117" i="2"/>
  <c r="Q117" i="2"/>
  <c r="N118" i="2"/>
  <c r="O118" i="2"/>
  <c r="P118" i="2"/>
  <c r="Q118"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Q120" i="2" s="1"/>
  <c r="P4" i="2"/>
  <c r="P120" i="2" s="1"/>
  <c r="I4" i="2"/>
  <c r="G4" i="2"/>
  <c r="H4" i="2"/>
  <c r="L4" i="2"/>
  <c r="K4" i="2"/>
  <c r="K38" i="4"/>
  <c r="K43" i="4" s="1"/>
  <c r="K44" i="4" s="1"/>
  <c r="K58" i="4" s="1"/>
  <c r="O62" i="2" s="1"/>
  <c r="O4" i="2"/>
  <c r="O120" i="2" s="1"/>
  <c r="J38" i="4"/>
  <c r="J43" i="4" s="1"/>
  <c r="J44" i="4" s="1"/>
  <c r="J58" i="4" s="1"/>
  <c r="N62" i="2" s="1"/>
  <c r="N4" i="2"/>
  <c r="N120" i="2" s="1"/>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L118" i="2" s="1"/>
  <c r="K48" i="2"/>
  <c r="K50" i="2" s="1"/>
  <c r="K12" i="2" s="1"/>
  <c r="M48" i="2"/>
  <c r="M50" i="2" s="1"/>
  <c r="M12" i="2" s="1"/>
  <c r="M118" i="2" s="1"/>
  <c r="P48" i="2"/>
  <c r="P50" i="2" s="1"/>
  <c r="P12" i="2" s="1"/>
  <c r="O48" i="2"/>
  <c r="O50" i="2" s="1"/>
  <c r="O12" i="2" s="1"/>
  <c r="N48" i="2"/>
  <c r="N50" i="2" s="1"/>
  <c r="N12" i="2" s="1"/>
  <c r="G48" i="2"/>
  <c r="G50" i="2" s="1"/>
  <c r="G12" i="2" s="1"/>
  <c r="J48" i="2"/>
  <c r="J50" i="2" s="1"/>
  <c r="J12" i="2" s="1"/>
  <c r="H48" i="2"/>
  <c r="H50" i="2" s="1"/>
  <c r="H12" i="2" s="1"/>
  <c r="I48" i="2"/>
  <c r="I50" i="2" s="1"/>
  <c r="I12" i="2" s="1"/>
  <c r="C51" i="6"/>
  <c r="C31" i="3"/>
  <c r="K43" i="2" l="1"/>
  <c r="K118" i="2"/>
  <c r="I80" i="2"/>
  <c r="I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C172" i="6"/>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J13" i="2"/>
  <c r="M76" i="2"/>
  <c r="L13" i="2"/>
  <c r="K13" i="2"/>
  <c r="N13" i="2"/>
  <c r="N97" i="2" s="1"/>
  <c r="M13" i="2"/>
  <c r="I13" i="2"/>
  <c r="K76" i="2"/>
  <c r="K16" i="2" l="1"/>
  <c r="K19" i="2" s="1"/>
  <c r="K120" i="2"/>
  <c r="K116" i="2" s="1"/>
  <c r="L120" i="2"/>
  <c r="L116" i="2" s="1"/>
  <c r="M120" i="2"/>
  <c r="M116" i="2" s="1"/>
  <c r="I120" i="2"/>
  <c r="I116" i="2" s="1"/>
  <c r="J120" i="2"/>
  <c r="J116" i="2" s="1"/>
  <c r="K114" i="2"/>
  <c r="K92" i="2"/>
  <c r="C8" i="9"/>
  <c r="C67" i="6"/>
  <c r="G87" i="2"/>
  <c r="K81" i="2"/>
  <c r="K117" i="2" s="1"/>
  <c r="K97" i="2"/>
  <c r="L97" i="2"/>
  <c r="M97" i="2"/>
  <c r="I97" i="2"/>
  <c r="H97" i="2"/>
  <c r="J97" i="2"/>
  <c r="I16" i="2"/>
  <c r="I19" i="2" s="1"/>
  <c r="I81" i="2"/>
  <c r="I117" i="2" s="1"/>
  <c r="N16" i="2"/>
  <c r="N19" i="2" s="1"/>
  <c r="N81" i="2"/>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<sst xmlns="http://schemas.openxmlformats.org/spreadsheetml/2006/main" count="684" uniqueCount="463">
  <si>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</si>
  <si>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</si>
  <si>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</si>
  <si>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</si>
  <si>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</si>
  <si>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</si>
  <si>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</si>
  <si>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</si>
  <si>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</si>
  <si>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</si>
  <si>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</si>
  <si>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</si>
  <si>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</si>
  <si>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</si>
  <si>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</si>
  <si>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</si>
  <si>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</si>
  <si>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</si>
  <si>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</si>
  <si>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</si>
  <si>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</si>
  <si>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</si>
  <si>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</si>
  <si>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</si>
  <si>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</si>
  <si>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</si>
  <si>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</si>
  <si>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</si>
  <si>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</si>
  <si>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</si>
  <si>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</si>
  <si>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</si>
  <si>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</si>
  <si>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</si>
  <si>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</si>
  <si>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</si>
  <si>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</si>
  <si>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</si>
  <si>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</si>
  <si>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</si>
  <si>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</si>
  <si>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</si>
  <si>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</si>
  <si>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</si>
  <si>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</si>
  <si>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</si>
  <si>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</si>
  <si>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</si>
  <si>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</si>
  <si>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</si>
  <si>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</si>
  <si>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</si>
  <si>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</si>
  <si>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</si>
  <si>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</si>
  <si>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</si>
  <si>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</si>
  <si>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</si>
  <si>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</si>
  <si>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</si>
  <si>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</si>
  <si>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</si>
  <si>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</si>
  <si>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</si>
  <si>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</si>
  <si>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</si>
  <si>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</si>
  <si>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</si>
  <si>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</si>
  <si>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</si>
  <si>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</si>
  <si>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</si>
  <si>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</si>
  <si>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</si>
  <si>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</si>
  <si>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</si>
  <si>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</si>
  <si>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</si>
  <si>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</si>
  <si>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</si>
  <si>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</si>
  <si>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</si>
  <si>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</si>
  <si>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</si>
  <si>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</si>
  <si>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</si>
  <si>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</si>
  <si>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</si>
  <si>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</si>
  <si>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</si>
  <si>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</si>
  <si>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</si>
  <si>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</si>
  <si>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</si>
  <si>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</si>
  <si>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</si>
  <si>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</si>
  <si>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</si>
  <si>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</si>
  <si>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</si>
  <si>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</si>
  <si>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</si>
  <si>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</si>
  <si>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</si>
  <si>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</si>
  <si>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</si>
  <si>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</si>
  <si>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</si>
  <si>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</si>
  <si>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</si>
  <si>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</si>
  <si>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</si>
  <si>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</si>
  <si>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</si>
  <si>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</si>
  <si>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</si>
  <si>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</si>
  <si>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</si>
  <si>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</si>
  <si>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</si>
  <si>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</si>
  <si>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</si>
  <si>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</si>
  <si>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</si>
  <si>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</si>
  <si>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</si>
  <si>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</si>
  <si>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</si>
  <si>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</si>
  <si>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</si>
  <si>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</si>
  <si>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</si>
  <si>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</si>
  <si>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</si>
  <si>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</si>
  <si>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</si>
  <si>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</si>
  <si>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</si>
  <si>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</si>
  <si>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</si>
  <si>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</si>
  <si>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</si>
  <si>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</si>
  <si>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</si>
  <si>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</si>
  <si>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</si>
  <si>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</si>
  <si>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</si>
  <si>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</si>
  <si>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</si>
  <si>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</si>
  <si>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</si>
  <si>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</si>
  <si>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</si>
  <si>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</si>
  <si>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</si>
  <si>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</si>
  <si>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</si>
  <si>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</si>
  <si>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</si>
  <si>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</si>
  <si>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</si>
  <si>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</si>
  <si>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</si>
  <si>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</si>
  <si>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</si>
  <si>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</si>
  <si>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</si>
  <si>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</si>
  <si>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</si>
  <si>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</si>
  <si>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</si>
  <si>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</si>
  <si>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</si>
  <si>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</si>
  <si>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</si>
  <si>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</si>
  <si>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</si>
  <si>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</si>
  <si>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</si>
  <si>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</si>
  <si>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</si>
  <si>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</si>
  <si>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</si>
  <si>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</si>
  <si>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</si>
  <si>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</si>
  <si>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</si>
  <si>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</si>
  <si>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</si>
  <si>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</si>
  <si>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</si>
  <si>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</si>
  <si>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</si>
  <si>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</si>
  <si>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</si>
  <si>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</si>
  <si>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</si>
  <si>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</si>
  <si>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</si>
  <si>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</si>
  <si>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</si>
  <si>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</si>
  <si>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</si>
  <si>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</si>
  <si>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</si>
  <si>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</si>
  <si>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</si>
  <si>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</si>
  <si>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</si>
  <si>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</si>
  <si>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</si>
  <si>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</si>
  <si>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</si>
  <si>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</si>
  <si>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</si>
  <si>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</si>
  <si>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</si>
  <si>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</si>
  <si>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</si>
  <si>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</si>
  <si>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</si>
  <si>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</si>
  <si>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</si>
  <si>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</si>
  <si>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</si>
  <si>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</si>
  <si>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</si>
  <si>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</si>
  <si>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</si>
  <si>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</si>
  <si>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</si>
  <si>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</si>
  <si>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</si>
  <si>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</si>
  <si>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</si>
  <si>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</si>
  <si>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</si>
  <si>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</si>
  <si>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</si>
  <si>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</si>
  <si>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</si>
  <si>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</si>
  <si>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</si>
  <si>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</si>
  <si>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</si>
  <si>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</si>
  <si>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</si>
  <si>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</si>
  <si>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</si>
  <si>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</si>
  <si>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</si>
  <si>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</si>
  <si>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</si>
  <si>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</si>
  <si>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</si>
  <si>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</si>
  <si>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</si>
  <si>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</si>
  <si>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</si>
  <si>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</si>
  <si>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</si>
  <si>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</si>
  <si>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</si>
  <si>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</si>
  <si>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</si>
  <si>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</si>
  <si>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</si>
  <si>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</si>
  <si>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</si>
  <si>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</si>
  <si>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</si>
  <si>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</si>
  <si>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</si>
  <si>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</si>
  <si>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</si>
  <si>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</si>
  <si>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</si>
  <si>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</si>
  <si>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</si>
  <si>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</si>
  <si>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</si>
  <si>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</si>
  <si>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</si>
  <si>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</si>
  <si>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</si>
  <si>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</si>
  <si>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</si>
  <si>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</si>
  <si>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</si>
  <si>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</si>
  <si>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</si>
  <si>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</si>
  <si>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</si>
  <si>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</si>
  <si>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</si>
  <si>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</si>
  <si>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</si>
  <si>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</si>
  <si>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</si>
  <si>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</si>
  <si>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</si>
  <si>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</si>
  <si>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</si>
  <si>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</si>
  <si>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</si>
  <si>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</si>
  <si>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</si>
  <si>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</si>
  <si>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</si>
  <si>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</si>
  <si>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</si>
  <si>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</si>
  <si>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</si>
  <si>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</si>
  <si>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</si>
  <si>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</si>
  <si>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</si>
  <si>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</si>
  <si>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</si>
  <si>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</si>
  <si>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</si>
  <si>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</si>
  <si>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</si>
  <si>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</si>
  <si>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</si>
  <si>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</si>
  <si>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</si>
  <si>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</si>
  <si>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</si>
  <si>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</si>
  <si>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</si>
  <si>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</si>
  <si>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</si>
  <si>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</si>
  <si>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</si>
  <si>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</si>
  <si>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</si>
  <si>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</si>
  <si>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</si>
  <si>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</si>
  <si>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</si>
  <si>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</si>
  <si>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</si>
  <si>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</si>
  <si>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</si>
  <si>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</si>
  <si>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</si>
  <si>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</si>
  <si>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</si>
  <si>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</si>
  <si>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</si>
  <si>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</si>
  <si>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</si>
  <si>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</si>
  <si>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</si>
  <si>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</si>
  <si>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</si>
  <si>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</si>
  <si>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</si>
  <si>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</si>
  <si>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</si>
  <si>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</si>
  <si>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</si>
  <si>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</si>
  <si>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</si>
  <si>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</si>
  <si>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</si>
  <si>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</si>
  <si>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</si>
  <si>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</si>
  <si>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</si>
  <si>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</si>
  <si>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</si>
  <si>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</si>
  <si>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</si>
  <si>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</si>
  <si>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</si>
  <si>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</si>
  <si>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</si>
  <si>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</si>
  <si>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</si>
  <si>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</si>
  <si>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</si>
  <si>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</si>
  <si>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</si>
  <si>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</si>
  <si>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</si>
  <si>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</si>
  <si>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</si>
  <si>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</si>
  <si>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</si>
  <si>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</si>
  <si>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</si>
  <si>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</si>
  <si>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</si>
  <si>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</si>
  <si>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</si>
  <si>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</si>
  <si>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</si>
  <si>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</si>
  <si>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</si>
  <si>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</si>
  <si>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</si>
  <si>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</si>
  <si>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</si>
  <si>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</si>
  <si>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</si>
  <si>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</si>
  <si>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</si>
  <si>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</si>
  <si>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</si>
  <si>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</si>
  <si>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</si>
  <si>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</si>
  <si>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</si>
  <si>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</si>
  <si>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</si>
  <si>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</si>
  <si>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</si>
  <si>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</si>
  <si>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</si>
  <si>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</si>
  <si>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</si>
  <si>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</si>
  <si>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</si>
  <si>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</si>
  <si>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</si>
  <si>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</si>
  <si>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</si>
  <si>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</si>
  <si>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</si>
  <si>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</si>
  <si>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</si>
  <si>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</si>
  <si>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</si>
  <si>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</si>
  <si>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</si>
  <si>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</si>
  <si>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</si>
  <si>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</si>
  <si>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</si>
  <si>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</si>
  <si>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</si>
  <si>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</si>
  <si>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</si>
  <si>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</si>
  <si>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</si>
  <si>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</si>
  <si>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</si>
  <si>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</si>
  <si>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</si>
  <si>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</si>
  <si>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</si>
  <si>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</si>
  <si>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</si>
  <si>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</si>
  <si>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</si>
  <si>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PRADA</t>
  </si>
  <si>
    <t>1913.HK</t>
  </si>
  <si>
    <t>EUR</t>
  </si>
  <si>
    <t>CNS_04</t>
  </si>
  <si>
    <t>DCF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</si>
</sst>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B15" sqref="B15"/>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452</v>
      </c>
      <c r="E1" s="292" t="s">
        <v>355</v>
      </c>
      <c r="F1" s="254" t="s">
        <v>284</v>
      </c>
    </row>
    <row r="2" spans="1:10" ht="13.9">
      <c r="A2" s="222" t="s">
        <v>267</v>
      </c>
      <c r="B2" s="36"/>
      <c r="C2" s="36"/>
      <c r="D2" s="36"/>
      <c r="E2" s="36"/>
      <c r="F2" s="36"/>
      <c r="G2" s="22"/>
      <c r="H2" s="22"/>
      <c r="I2" s="22"/>
      <c r="J2" s="22"/>
    </row>
    <row r="4" spans="1:10">
      <c r="B4" s="45" t="s">
        <v>417</v>
      </c>
      <c r="C4" s="46"/>
      <c r="D4" s="5"/>
      <c r="E4" s="2"/>
      <c r="F4" s="2"/>
    </row>
    <row r="5" spans="1:10" ht="12.4">
      <c r="B5" s="4" t="s">
        <v>316</v>
      </c>
      <c r="C5" s="294" t="s">
        <v>458</v>
      </c>
    </row>
    <row r="6" spans="1:10">
      <c r="B6" s="4" t="s">
        <v>0</v>
      </c>
      <c r="C6" s="51">
        <v>2558824000</v>
      </c>
      <c r="E6" s="48"/>
    </row>
    <row r="7" spans="1:10">
      <c r="B7" s="2" t="s">
        <v>308</v>
      </c>
      <c r="C7" s="250">
        <v>6</v>
      </c>
      <c r="D7" s="48"/>
      <c r="E7" s="48"/>
    </row>
    <row r="8" spans="1:10">
      <c r="B8" s="1" t="s">
        <v>268</v>
      </c>
      <c r="C8" s="33">
        <f>EOMONTH(EDATE(BS!C1,C7+2),0)</f>
        <v>45900</v>
      </c>
      <c r="E8" s="48"/>
    </row>
    <row r="9" spans="1:10">
      <c r="E9" s="34"/>
    </row>
    <row r="10" spans="1:10">
      <c r="B10" s="45" t="s">
        <v>420</v>
      </c>
      <c r="C10" s="46"/>
      <c r="E10" s="34"/>
    </row>
    <row r="11" spans="1:10">
      <c r="B11" s="1" t="s">
        <v>419</v>
      </c>
      <c r="C11" s="49" t="s">
        <v>459</v>
      </c>
      <c r="D11" s="49"/>
      <c r="E11" s="34"/>
    </row>
    <row r="12" spans="1:10">
      <c r="B12" s="4" t="s">
        <v>94</v>
      </c>
      <c r="C12" s="50">
        <v>49.9</v>
      </c>
      <c r="D12" s="50"/>
      <c r="E12" s="48"/>
    </row>
    <row r="13" spans="1:10">
      <c r="B13" s="1" t="s">
        <v>418</v>
      </c>
      <c r="C13" s="48" t="s">
        <v>399</v>
      </c>
      <c r="D13" s="48"/>
      <c r="E13" s="5"/>
    </row>
    <row r="14" spans="1:10">
      <c r="B14" s="4" t="s">
        <v>422</v>
      </c>
      <c r="C14" s="35">
        <f>Thesis!C12*Common_Shares/1000000</f>
        <v>127685.31759999999</v>
      </c>
      <c r="D14" s="35" t="str">
        <f>IF(D11="","",Thesis!D12*Common_Shares/1000000)</f>
        <v/>
      </c>
      <c r="E14" s="5"/>
    </row>
    <row r="15" spans="1:10">
      <c r="B15" s="4" t="s">
        <v>421</v>
      </c>
      <c r="C15" s="32" t="str">
        <f>IF(C25=C13,C13,C25&amp;"/"&amp;C13)</f>
        <v>EUR/HKD</v>
      </c>
      <c r="D15" s="32" t="str">
        <f>IF(D11="","",IF(C25=D13,D13,C25&amp;"/"&amp;D13))</f>
        <v/>
      </c>
      <c r="E15" s="5"/>
    </row>
    <row r="16" spans="1:10">
      <c r="B16" s="4" t="s">
        <v>1</v>
      </c>
      <c r="C16" s="50">
        <v>8.9499999999999993</v>
      </c>
      <c r="D16" s="50"/>
      <c r="E16" s="5"/>
    </row>
    <row r="17" spans="2:6">
      <c r="D17" s="5"/>
      <c r="E17" s="5"/>
    </row>
    <row r="18" spans="2:6" ht="24.6" customHeight="1">
      <c r="B18" s="358" t="s">
        <v>362</v>
      </c>
      <c r="C18" s="358"/>
      <c r="D18" s="358"/>
      <c r="E18" s="358"/>
      <c r="F18" s="358"/>
    </row>
    <row r="20" spans="2:6">
      <c r="B20" s="45" t="s">
        <v>307</v>
      </c>
      <c r="C20" s="46"/>
      <c r="D20" s="5"/>
    </row>
    <row r="21" spans="2:6">
      <c r="B21" s="2" t="s">
        <v>350</v>
      </c>
      <c r="C21" s="32" t="str">
        <f>IF(Scenarios!C69="Y",Scenarios!B69,"")&amp;IF(Scenarios!C70="Y",Scenarios!B70,"")&amp;IF(Scenarios!C71="Y",Scenarios!B71,"")&amp;" "&amp;IF(Scenarios!C72="Y",Scenarios!B72,"")</f>
        <v xml:space="preserve">Low Growth </v>
      </c>
      <c r="D21" s="1" t="s">
        <v>441</v>
      </c>
      <c r="E21" s="308" t="s">
        <v>462</v>
      </c>
    </row>
    <row r="22" spans="2:6">
      <c r="B22" s="2" t="s">
        <v>56</v>
      </c>
      <c r="C22" s="48" t="s">
        <v>461</v>
      </c>
      <c r="D22" s="1" t="str">
        <f>IF(valuation_method="DDM","DDM Terminal Value","")</f>
        <v/>
      </c>
      <c r="E22" s="313"/>
    </row>
    <row r="23" spans="2:6">
      <c r="B23" s="1" t="s">
        <v>436</v>
      </c>
      <c r="C23" s="262" t="s">
        <v>322</v>
      </c>
    </row>
    <row r="24" spans="2:6">
      <c r="B24" s="1" t="s">
        <v>437</v>
      </c>
      <c r="C24" s="262" t="s">
        <v>322</v>
      </c>
    </row>
    <row r="25" spans="2:6">
      <c r="B25" s="4" t="s">
        <v>349</v>
      </c>
      <c r="C25" s="48" t="s">
        <v>460</v>
      </c>
      <c r="D25" s="32" t="str">
        <f>IF(D11="","",Market_currency&amp;"/"&amp;D13&amp;":")</f>
        <v/>
      </c>
      <c r="E25" s="299" t="str">
        <f>IF(D11="","",1/Exchange_Rate*D16)</f>
        <v/>
      </c>
    </row>
    <row r="26" spans="2:6">
      <c r="B26" s="1" t="str">
        <f>"Expected Equity Value ("&amp;C13&amp;") :"</f>
        <v>Expected Equity Value (HKD) :</v>
      </c>
      <c r="C26" s="304">
        <f>C132</f>
        <v>30.533856751256884</v>
      </c>
      <c r="D26" s="1" t="s">
        <v>402</v>
      </c>
      <c r="E26" s="301">
        <f ca="1">Scenarios!C87</f>
        <v>-0.11622199457788085</v>
      </c>
    </row>
    <row r="27" spans="2:6">
      <c r="D27" s="5"/>
      <c r="E27" s="5"/>
    </row>
    <row r="28" spans="2:6">
      <c r="B28" s="45" t="s">
        <v>435</v>
      </c>
      <c r="C28" s="309" t="str">
        <f>C145&amp;" ("&amp;Market_currency&amp;")"</f>
        <v>1913.HK (HKD)</v>
      </c>
      <c r="D28" s="309" t="str">
        <f>IF(D11="","",D145&amp;" ("&amp;D13&amp;")")</f>
        <v/>
      </c>
      <c r="E28" s="305" t="s">
        <v>431</v>
      </c>
      <c r="F28" s="303">
        <v>3</v>
      </c>
    </row>
    <row r="29" spans="2:6">
      <c r="B29" s="1" t="s">
        <v>427</v>
      </c>
      <c r="C29" s="310">
        <f>C149</f>
        <v>13.459717474947846</v>
      </c>
      <c r="D29" s="310" t="str">
        <f>D149</f>
        <v/>
      </c>
      <c r="E29" s="306" t="s">
        <v>426</v>
      </c>
      <c r="F29" s="302">
        <v>0.4</v>
      </c>
    </row>
    <row r="30" spans="2:6">
      <c r="B30" s="1" t="s">
        <v>428</v>
      </c>
      <c r="C30" s="311">
        <f>C157</f>
        <v>19.812807168472737</v>
      </c>
      <c r="D30" s="311" t="str">
        <f>D157</f>
        <v/>
      </c>
      <c r="E30" s="307" t="s">
        <v>439</v>
      </c>
      <c r="F30" s="312">
        <v>0.22</v>
      </c>
    </row>
    <row r="31" spans="2:6">
      <c r="B31" s="1" t="s">
        <v>429</v>
      </c>
      <c r="C31" s="311">
        <f>C165</f>
        <v>28.021422889721528</v>
      </c>
      <c r="D31" s="311" t="str">
        <f>D165</f>
        <v/>
      </c>
      <c r="E31" s="307" t="s">
        <v>438</v>
      </c>
      <c r="F31" s="312">
        <v>0.08</v>
      </c>
    </row>
    <row r="32" spans="2:6">
      <c r="B32" s="1" t="s">
        <v>430</v>
      </c>
      <c r="C32" s="311">
        <f>C173</f>
        <v>25.258804060604444</v>
      </c>
      <c r="D32" s="311" t="str">
        <f>D173</f>
        <v/>
      </c>
      <c r="E32" s="307" t="s">
        <v>440</v>
      </c>
      <c r="F32" s="312">
        <v>0.12</v>
      </c>
    </row>
    <row r="33" spans="1:6">
      <c r="D33" s="5"/>
      <c r="E33" s="5"/>
    </row>
    <row r="34" spans="1:6" ht="13.9">
      <c r="A34" s="222" t="s">
        <v>357</v>
      </c>
      <c r="B34" s="36"/>
      <c r="C34" s="36"/>
      <c r="D34" s="36"/>
      <c r="E34" s="36"/>
      <c r="F34" s="36"/>
    </row>
    <row r="36" spans="1:6" ht="24.6" customHeight="1">
      <c r="B36" s="358" t="s">
        <v>363</v>
      </c>
      <c r="C36" s="358"/>
      <c r="D36" s="358"/>
      <c r="E36" s="358"/>
      <c r="F36" s="358"/>
    </row>
    <row r="37" spans="1:6" ht="24.6" customHeight="1">
      <c r="B37" s="361" t="s">
        <v>341</v>
      </c>
      <c r="C37" s="361"/>
      <c r="D37" s="361"/>
      <c r="E37" s="361"/>
      <c r="F37" s="361"/>
    </row>
    <row r="39" spans="1:6">
      <c r="B39" s="210" t="s">
        <v>230</v>
      </c>
      <c r="C39" s="108">
        <f>scaling_factor</f>
        <v>1000</v>
      </c>
    </row>
    <row r="40" spans="1:6" ht="24.6" customHeight="1">
      <c r="B40" s="359" t="s">
        <v>231</v>
      </c>
      <c r="C40" s="359"/>
      <c r="D40" s="359"/>
      <c r="E40" s="359"/>
      <c r="F40" s="359"/>
    </row>
    <row r="41" spans="1:6">
      <c r="B41" s="47" t="s">
        <v>232</v>
      </c>
      <c r="C41" s="349">
        <f>Normalized_FCF!C8</f>
        <v>1020778.4410616378</v>
      </c>
      <c r="D41" s="1" t="str">
        <f>Reporting_currency</f>
        <v>EUR</v>
      </c>
    </row>
    <row r="42" spans="1:6">
      <c r="B42" s="47"/>
      <c r="C42" s="76"/>
    </row>
    <row r="43" spans="1:6" ht="24.6" customHeight="1">
      <c r="B43" s="359" t="s">
        <v>233</v>
      </c>
      <c r="C43" s="359"/>
      <c r="D43" s="359"/>
      <c r="E43" s="359"/>
      <c r="F43" s="359"/>
    </row>
    <row r="44" spans="1:6">
      <c r="B44" s="47" t="s">
        <v>234</v>
      </c>
      <c r="C44" s="349">
        <f>Normalized_FCF!C9</f>
        <v>0</v>
      </c>
      <c r="D44" s="1" t="str">
        <f>Reporting_currency</f>
        <v>EUR</v>
      </c>
    </row>
    <row r="45" spans="1:6">
      <c r="B45" s="52" t="s">
        <v>235</v>
      </c>
      <c r="C45" s="349">
        <f>Normalized_FCF!C10</f>
        <v>0</v>
      </c>
      <c r="D45" s="1" t="str">
        <f>Reporting_currency</f>
        <v>EUR</v>
      </c>
    </row>
    <row r="47" spans="1:6">
      <c r="B47" s="359" t="s">
        <v>236</v>
      </c>
      <c r="C47" s="359"/>
      <c r="D47" s="359"/>
      <c r="E47" s="359"/>
      <c r="F47" s="359"/>
    </row>
    <row r="48" spans="1:6">
      <c r="B48" s="47" t="s">
        <v>237</v>
      </c>
      <c r="C48" s="349">
        <f>Normalized_FCF!C11</f>
        <v>0</v>
      </c>
      <c r="D48" s="1" t="str">
        <f>Reporting_currency</f>
        <v>EUR</v>
      </c>
    </row>
    <row r="50" spans="2:6">
      <c r="B50" s="359" t="s">
        <v>240</v>
      </c>
      <c r="C50" s="359"/>
      <c r="D50" s="359"/>
      <c r="E50" s="359"/>
      <c r="F50" s="359"/>
    </row>
    <row r="51" spans="2:6">
      <c r="B51" s="47" t="s">
        <v>342</v>
      </c>
      <c r="C51" s="350">
        <f>Normalized_FCF!C48</f>
        <v>0</v>
      </c>
      <c r="D51" s="1" t="str">
        <f>Reporting_currency</f>
        <v>EUR</v>
      </c>
      <c r="E51" s="286"/>
      <c r="F51" s="286"/>
    </row>
    <row r="52" spans="2:6">
      <c r="B52" s="47" t="s">
        <v>343</v>
      </c>
      <c r="C52" s="350">
        <f>Normalized_FCF!C47</f>
        <v>-90938</v>
      </c>
      <c r="D52" s="1" t="str">
        <f>Reporting_currency</f>
        <v>EUR</v>
      </c>
      <c r="E52" s="286"/>
      <c r="F52" s="286"/>
    </row>
    <row r="53" spans="2:6">
      <c r="B53" s="47" t="s">
        <v>238</v>
      </c>
      <c r="C53" s="349">
        <f>Normalized_FCF!C12</f>
        <v>-90938</v>
      </c>
      <c r="D53" s="1" t="str">
        <f>Reporting_currency</f>
        <v>EUR</v>
      </c>
    </row>
    <row r="55" spans="2:6">
      <c r="B55" s="1" t="s">
        <v>246</v>
      </c>
    </row>
    <row r="56" spans="2:6">
      <c r="B56" s="47" t="s">
        <v>265</v>
      </c>
      <c r="C56" s="349">
        <f>Normalized_FCF!C15</f>
        <v>-4167.7471308175782</v>
      </c>
      <c r="D56" s="1" t="str">
        <f>Reporting_currency</f>
        <v>EUR</v>
      </c>
    </row>
    <row r="58" spans="2:6">
      <c r="B58" s="359" t="s">
        <v>241</v>
      </c>
      <c r="C58" s="359"/>
      <c r="D58" s="359"/>
      <c r="E58" s="359"/>
      <c r="F58" s="359"/>
    </row>
    <row r="59" spans="2:6">
      <c r="B59" s="47" t="s">
        <v>239</v>
      </c>
      <c r="C59" s="349">
        <f>Normalized_FCF!C14</f>
        <v>-232460.11026540946</v>
      </c>
      <c r="D59" s="1" t="str">
        <f>Reporting_currency</f>
        <v>EUR</v>
      </c>
    </row>
    <row r="61" spans="2:6">
      <c r="B61" s="359" t="s">
        <v>340</v>
      </c>
      <c r="C61" s="360"/>
      <c r="D61" s="360"/>
      <c r="E61" s="360"/>
      <c r="F61" s="360"/>
    </row>
    <row r="62" spans="2:6">
      <c r="B62" s="47" t="s">
        <v>242</v>
      </c>
      <c r="C62" s="349">
        <f>Normalized_FCF!C17</f>
        <v>0</v>
      </c>
      <c r="D62" s="1" t="str">
        <f>Reporting_currency</f>
        <v>EUR</v>
      </c>
    </row>
    <row r="64" spans="2:6" ht="24.6" customHeight="1">
      <c r="B64" s="358" t="s">
        <v>345</v>
      </c>
      <c r="C64" s="358"/>
      <c r="D64" s="358"/>
      <c r="E64" s="358"/>
      <c r="F64" s="358"/>
    </row>
    <row r="65" spans="1:6" ht="24.6" customHeight="1">
      <c r="B65" s="358" t="s">
        <v>364</v>
      </c>
      <c r="C65" s="358"/>
      <c r="D65" s="358"/>
      <c r="E65" s="358"/>
      <c r="F65" s="358"/>
    </row>
    <row r="67" spans="1:6">
      <c r="B67" s="47" t="s">
        <v>270</v>
      </c>
      <c r="C67" s="349">
        <f>Normalized_FCF!G19</f>
        <v>996880</v>
      </c>
      <c r="D67" s="1" t="str">
        <f>Reporting_currency</f>
        <v>EUR</v>
      </c>
    </row>
    <row r="68" spans="1:6">
      <c r="B68" s="47" t="s">
        <v>248</v>
      </c>
      <c r="C68" s="349">
        <f>Normalized_FCF!C19</f>
        <v>693212.58366541076</v>
      </c>
      <c r="D68" s="1" t="str">
        <f>Reporting_currency</f>
        <v>EUR</v>
      </c>
    </row>
    <row r="69" spans="1:6">
      <c r="B69" s="227" t="s">
        <v>393</v>
      </c>
      <c r="C69" s="92">
        <f>Normalized_FCF!C125</f>
        <v>4.8590180456311333E-2</v>
      </c>
      <c r="F69" s="314"/>
    </row>
    <row r="70" spans="1:6">
      <c r="B70" s="227" t="s">
        <v>309</v>
      </c>
      <c r="C70" s="92">
        <f>Normalized_FCF!C93</f>
        <v>2.9414829659318638E-2</v>
      </c>
      <c r="E70" s="47" t="s">
        <v>450</v>
      </c>
      <c r="F70" s="315">
        <f>Normalized_FCF!C92</f>
        <v>5.4180232091874609</v>
      </c>
    </row>
    <row r="72" spans="1:6">
      <c r="B72" s="210" t="s">
        <v>453</v>
      </c>
      <c r="C72" s="323" t="s">
        <v>455</v>
      </c>
      <c r="D72" s="323" t="s">
        <v>456</v>
      </c>
    </row>
    <row r="73" spans="1:6">
      <c r="B73" s="47" t="s">
        <v>454</v>
      </c>
      <c r="C73" s="92">
        <f>Normalized_FCF!C120</f>
        <v>0.21039827332068567</v>
      </c>
      <c r="D73" s="92">
        <f>Normalized_FCF!G120</f>
        <v>0.3047216496244991</v>
      </c>
    </row>
    <row r="74" spans="1:6">
      <c r="B74" s="259" t="str">
        <f>Normalized_FCF!B117</f>
        <v>Pre-tax Profit/Sales</v>
      </c>
      <c r="C74" s="322">
        <f>Normalized_FCF!C117</f>
        <v>0.21042753223383909</v>
      </c>
      <c r="D74" s="322">
        <f>Normalized_FCF!G117</f>
        <v>0.24793921890168877</v>
      </c>
    </row>
    <row r="75" spans="1:6">
      <c r="B75" s="259" t="str">
        <f>Normalized_FCF!B118</f>
        <v>Sales/Total Assets</v>
      </c>
      <c r="C75" s="324">
        <f>Normalized_FCF!C118</f>
        <v>0.51682300464832642</v>
      </c>
      <c r="D75" s="324">
        <f>Normalized_FCF!G118</f>
        <v>0.63527287089914697</v>
      </c>
    </row>
    <row r="76" spans="1:6">
      <c r="B76" s="259" t="str">
        <f>Normalized_FCF!B119</f>
        <v>Total Assets/Equity</v>
      </c>
      <c r="C76" s="324">
        <f>Normalized_FCF!C119</f>
        <v>1.9346293526540752</v>
      </c>
      <c r="D76" s="324">
        <f>Normalized_FCF!G119</f>
        <v>1.9346293526540752</v>
      </c>
    </row>
    <row r="78" spans="1:6" ht="13.9">
      <c r="A78" s="222" t="s">
        <v>358</v>
      </c>
      <c r="B78" s="36"/>
      <c r="C78" s="36"/>
      <c r="D78" s="36"/>
      <c r="E78" s="36"/>
      <c r="F78" s="36"/>
    </row>
    <row r="79" spans="1:6">
      <c r="A79" s="209"/>
    </row>
    <row r="80" spans="1:6" ht="24.6" customHeight="1">
      <c r="A80" s="17"/>
      <c r="B80" s="358" t="s">
        <v>365</v>
      </c>
      <c r="C80" s="358"/>
      <c r="D80" s="358"/>
      <c r="E80" s="358"/>
      <c r="F80" s="358"/>
    </row>
    <row r="81" spans="1:6">
      <c r="B81" s="361" t="s">
        <v>252</v>
      </c>
      <c r="C81" s="361"/>
      <c r="D81" s="361"/>
      <c r="E81" s="361"/>
      <c r="F81" s="361"/>
    </row>
    <row r="83" spans="1:6">
      <c r="B83" s="210" t="s">
        <v>230</v>
      </c>
    </row>
    <row r="84" spans="1:6">
      <c r="B84" s="1" t="s">
        <v>433</v>
      </c>
      <c r="C84" s="92">
        <f>F31</f>
        <v>0.08</v>
      </c>
    </row>
    <row r="85" spans="1:6">
      <c r="B85" s="1" t="s">
        <v>432</v>
      </c>
      <c r="C85" s="92">
        <f>IF(C23="Y",1%,0)+IF(C24="Y",1%,0)</f>
        <v>0</v>
      </c>
    </row>
    <row r="86" spans="1:6">
      <c r="B86" s="80" t="s">
        <v>247</v>
      </c>
      <c r="C86" s="236">
        <f>F31+C85</f>
        <v>0.08</v>
      </c>
    </row>
    <row r="87" spans="1:6">
      <c r="C87" s="121"/>
    </row>
    <row r="88" spans="1:6">
      <c r="B88" s="293" t="s">
        <v>359</v>
      </c>
      <c r="C88" s="121"/>
    </row>
    <row r="89" spans="1:6" ht="24.6" customHeight="1">
      <c r="B89" s="358" t="s">
        <v>366</v>
      </c>
      <c r="C89" s="358"/>
      <c r="D89" s="358"/>
      <c r="E89" s="358"/>
      <c r="F89" s="358"/>
    </row>
    <row r="90" spans="1:6" ht="24.6" customHeight="1">
      <c r="B90" s="358" t="s">
        <v>367</v>
      </c>
      <c r="C90" s="358"/>
      <c r="D90" s="358"/>
      <c r="E90" s="358"/>
      <c r="F90" s="358"/>
    </row>
    <row r="92" spans="1:6">
      <c r="B92" s="47" t="s">
        <v>251</v>
      </c>
      <c r="C92" s="236">
        <v>0</v>
      </c>
    </row>
    <row r="93" spans="1:6">
      <c r="B93" s="47" t="s">
        <v>280</v>
      </c>
      <c r="C93" s="223">
        <f>DCF!C6*scaling_factor*Exchange_Rate/Common_Shares</f>
        <v>30.308125059624196</v>
      </c>
      <c r="D93" s="1" t="str">
        <f>Market_currency</f>
        <v>HKD</v>
      </c>
    </row>
    <row r="95" spans="1:6" ht="13.9">
      <c r="A95" s="222" t="s">
        <v>360</v>
      </c>
      <c r="B95" s="36"/>
      <c r="C95" s="36"/>
      <c r="D95" s="36"/>
      <c r="E95" s="36"/>
      <c r="F95" s="36"/>
    </row>
    <row r="96" spans="1:6">
      <c r="A96" s="209"/>
    </row>
    <row r="97" spans="2:6">
      <c r="B97" s="358" t="s">
        <v>368</v>
      </c>
      <c r="C97" s="358"/>
      <c r="D97" s="358"/>
      <c r="E97" s="358"/>
      <c r="F97" s="358"/>
    </row>
    <row r="98" spans="2:6">
      <c r="B98" s="1" t="s">
        <v>253</v>
      </c>
    </row>
    <row r="100" spans="2:6">
      <c r="B100" s="210" t="s">
        <v>230</v>
      </c>
    </row>
    <row r="101" spans="2:6" ht="24.6" customHeight="1">
      <c r="B101" s="358" t="s">
        <v>346</v>
      </c>
      <c r="C101" s="358"/>
      <c r="D101" s="358"/>
      <c r="E101" s="358"/>
      <c r="F101" s="358"/>
    </row>
    <row r="102" spans="2:6">
      <c r="B102" s="47" t="s">
        <v>255</v>
      </c>
      <c r="C102" s="349">
        <f>DCF!C7</f>
        <v>866500</v>
      </c>
      <c r="D102" s="1" t="str">
        <f>Reporting_currency</f>
        <v>EUR</v>
      </c>
    </row>
    <row r="103" spans="2:6">
      <c r="B103" s="47" t="s">
        <v>281</v>
      </c>
      <c r="C103" s="223">
        <f>C102*scaling_factor*Exchange_Rate/Common_Shares</f>
        <v>3.0307574885963238</v>
      </c>
      <c r="D103" s="1" t="str">
        <f>Market_currency</f>
        <v>HKD</v>
      </c>
    </row>
    <row r="104" spans="2:6">
      <c r="B104" s="296" t="s">
        <v>407</v>
      </c>
      <c r="C104" s="325">
        <f>IF(BS!G31/BS!G27&gt;300%,"nm",BS!G31/BS!G27)</f>
        <v>0.19606600851240996</v>
      </c>
    </row>
    <row r="105" spans="2:6">
      <c r="B105" s="296" t="s">
        <v>409</v>
      </c>
      <c r="C105" s="326">
        <f>IF(BS!C50&gt;30,"nm",BS!C50)</f>
        <v>0.84886197155458731</v>
      </c>
    </row>
    <row r="107" spans="2:6">
      <c r="B107" s="1" t="s">
        <v>254</v>
      </c>
    </row>
    <row r="108" spans="2:6">
      <c r="B108" s="47" t="s">
        <v>264</v>
      </c>
      <c r="C108" s="349">
        <f>BS!C66</f>
        <v>1011563</v>
      </c>
      <c r="D108" s="1" t="str">
        <f>Reporting_currency</f>
        <v>EUR</v>
      </c>
    </row>
    <row r="109" spans="2:6">
      <c r="B109" s="47" t="s">
        <v>266</v>
      </c>
      <c r="C109" s="349">
        <f>DCF!C8</f>
        <v>415406.42282180313</v>
      </c>
      <c r="D109" s="1" t="str">
        <f>Reporting_currency</f>
        <v>EUR</v>
      </c>
    </row>
    <row r="110" spans="2:6">
      <c r="B110" s="47" t="s">
        <v>282</v>
      </c>
      <c r="C110" s="223">
        <f>C109*scaling_factor*Exchange_Rate/Common_Shares</f>
        <v>1.452967255370099</v>
      </c>
      <c r="D110" s="1" t="str">
        <f>Market_currency</f>
        <v>HKD</v>
      </c>
    </row>
    <row r="112" spans="2:6">
      <c r="B112" s="1" t="s">
        <v>256</v>
      </c>
    </row>
    <row r="113" spans="1:6">
      <c r="B113" s="47" t="s">
        <v>257</v>
      </c>
      <c r="C113" s="349">
        <f>DCF!C9</f>
        <v>3762.4</v>
      </c>
      <c r="D113" s="1" t="str">
        <f>Reporting_currency</f>
        <v>EUR</v>
      </c>
    </row>
    <row r="114" spans="1:6">
      <c r="B114" s="47" t="s">
        <v>283</v>
      </c>
      <c r="C114" s="223">
        <f>C113*scaling_factor*Exchange_Rate/Common_Shares</f>
        <v>1.315974838441409E-2</v>
      </c>
      <c r="D114" s="1" t="str">
        <f>Market_currency</f>
        <v>HKD</v>
      </c>
    </row>
    <row r="116" spans="1:6" ht="24.6" customHeight="1">
      <c r="B116" s="358" t="s">
        <v>369</v>
      </c>
      <c r="C116" s="358"/>
      <c r="D116" s="358"/>
      <c r="E116" s="358"/>
      <c r="F116" s="358"/>
    </row>
    <row r="118" spans="1:6">
      <c r="B118" s="47" t="s">
        <v>451</v>
      </c>
      <c r="C118" s="223">
        <f>IF(valuation_method="DCF",DCF!C12,DDM!C7)</f>
        <v>28.743494574782385</v>
      </c>
      <c r="D118" s="1" t="str">
        <f>Market_currency</f>
        <v>HKD</v>
      </c>
    </row>
    <row r="119" spans="1:6">
      <c r="B119" s="296" t="s">
        <v>408</v>
      </c>
      <c r="C119" s="223">
        <f>BS!D47</f>
        <v>-5.8165293881095375</v>
      </c>
      <c r="D119" s="1" t="str">
        <f>Market_currency</f>
        <v>HKD</v>
      </c>
    </row>
    <row r="121" spans="1:6" ht="13.9">
      <c r="A121" s="222" t="s">
        <v>361</v>
      </c>
      <c r="B121" s="36"/>
      <c r="C121" s="36"/>
      <c r="D121" s="36"/>
      <c r="E121" s="36"/>
      <c r="F121" s="36"/>
    </row>
    <row r="123" spans="1:6" ht="24.6" customHeight="1">
      <c r="B123" s="359" t="s">
        <v>370</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10</v>
      </c>
      <c r="E126" s="231" t="str">
        <f>ROUND(IF(valuation_method="DCF",DCF!E74,DDM!E69),2)&amp;" "&amp;Market_currency</f>
        <v>37.84 HKD</v>
      </c>
      <c r="F126" s="232">
        <f>DCF!F74</f>
        <v>0.05</v>
      </c>
    </row>
    <row r="127" spans="1:6">
      <c r="B127" s="218" t="str">
        <f>DCF!B75</f>
        <v>Optimistic</v>
      </c>
      <c r="C127" s="219">
        <f>DCF!C75</f>
        <v>0.05</v>
      </c>
      <c r="D127" s="220">
        <f>DCF!D75</f>
        <v>5</v>
      </c>
      <c r="E127" s="231" t="str">
        <f>ROUND(IF(valuation_method="DCF",DCF!E75,DDM!E70),2)&amp;" "&amp;Market_currency</f>
        <v>31.24 HKD</v>
      </c>
      <c r="F127" s="221">
        <f>DCF!F75</f>
        <v>0.18</v>
      </c>
    </row>
    <row r="128" spans="1:6">
      <c r="B128" s="218" t="str">
        <f>DCF!B76</f>
        <v>Base</v>
      </c>
      <c r="C128" s="219">
        <f>DCF!C76</f>
        <v>0.03</v>
      </c>
      <c r="D128" s="220">
        <f>DCF!D76</f>
        <v>5</v>
      </c>
      <c r="E128" s="231" t="str">
        <f>ROUND(IF(valuation_method="DCF",DCF!E76,DDM!E71),2)&amp;" "&amp;Market_currency</f>
        <v>30.22 HKD</v>
      </c>
      <c r="F128" s="221">
        <f>DCF!F76</f>
        <v>0.53999999999999992</v>
      </c>
    </row>
    <row r="129" spans="1:6">
      <c r="B129" s="218" t="str">
        <f>DCF!B77</f>
        <v>Pessimistic</v>
      </c>
      <c r="C129" s="219">
        <f>DCF!C77</f>
        <v>0.01</v>
      </c>
      <c r="D129" s="220">
        <f>DCF!D77</f>
        <v>5</v>
      </c>
      <c r="E129" s="231" t="str">
        <f>ROUND(IF(valuation_method="DCF",DCF!E77,DDM!E72),2)&amp;" "&amp;Market_currency</f>
        <v>29.23 HKD</v>
      </c>
      <c r="F129" s="221">
        <f>DCF!F77</f>
        <v>0.18</v>
      </c>
    </row>
    <row r="130" spans="1:6">
      <c r="B130" s="218" t="str">
        <f>DCF!B78</f>
        <v>Devil's advocate</v>
      </c>
      <c r="C130" s="219">
        <f>DCF!C78</f>
        <v>0</v>
      </c>
      <c r="D130" s="220">
        <f>DCF!D78</f>
        <v>10</v>
      </c>
      <c r="E130" s="231" t="str">
        <f>ROUND(IF(valuation_method="DCF",DCF!E78,DDM!E73),2)&amp;" "&amp;Market_currency</f>
        <v>28.74 HKD</v>
      </c>
      <c r="F130" s="221">
        <f>DCF!F78</f>
        <v>0.05</v>
      </c>
    </row>
    <row r="132" spans="1:6">
      <c r="B132" s="211" t="s">
        <v>258</v>
      </c>
      <c r="C132" s="217">
        <f>Scenarios!C60</f>
        <v>30.533856751256884</v>
      </c>
      <c r="D132" s="212" t="str">
        <f>Market_currency</f>
        <v>HKD</v>
      </c>
    </row>
    <row r="134" spans="1:6" ht="24.6" customHeight="1">
      <c r="B134" s="362" t="s">
        <v>373</v>
      </c>
      <c r="C134" s="362"/>
      <c r="D134" s="362"/>
      <c r="E134" s="362"/>
      <c r="F134" s="362"/>
    </row>
    <row r="136" spans="1:6" ht="13.9">
      <c r="A136" s="222" t="s">
        <v>405</v>
      </c>
      <c r="B136" s="36"/>
      <c r="C136" s="36"/>
      <c r="D136" s="36"/>
      <c r="E136" s="36"/>
      <c r="F136" s="36"/>
    </row>
    <row r="138" spans="1:6">
      <c r="B138" s="363" t="s">
        <v>371</v>
      </c>
      <c r="C138" s="363"/>
      <c r="D138" s="363"/>
      <c r="E138" s="363"/>
      <c r="F138" s="363"/>
    </row>
    <row r="139" spans="1:6" ht="24.6" customHeight="1">
      <c r="B139" s="358" t="s">
        <v>372</v>
      </c>
      <c r="C139" s="358"/>
      <c r="D139" s="358"/>
      <c r="E139" s="358"/>
      <c r="F139" s="358"/>
    </row>
    <row r="140" spans="1:6">
      <c r="B140" s="210" t="s">
        <v>230</v>
      </c>
    </row>
    <row r="141" spans="1:6">
      <c r="B141" s="1" t="s">
        <v>263</v>
      </c>
      <c r="C141" s="225">
        <f>F28</f>
        <v>3</v>
      </c>
    </row>
    <row r="142" spans="1:6">
      <c r="B142" s="1" t="s">
        <v>276</v>
      </c>
      <c r="C142" s="224">
        <f>F29</f>
        <v>0.4</v>
      </c>
    </row>
    <row r="143" spans="1:6">
      <c r="B143" s="212" t="s">
        <v>261</v>
      </c>
      <c r="C143" s="213">
        <f>Scenarios!C77</f>
        <v>1.4678</v>
      </c>
      <c r="D143" s="212" t="str">
        <f>Market_currency</f>
        <v>HKD</v>
      </c>
    </row>
    <row r="145" spans="2:4">
      <c r="B145" s="210" t="s">
        <v>411</v>
      </c>
      <c r="C145" s="241" t="str">
        <f>C11</f>
        <v>1913.HK</v>
      </c>
      <c r="D145" s="241" t="str">
        <f>IF(D11="","",D11)</f>
        <v/>
      </c>
    </row>
    <row r="146" spans="2:4">
      <c r="B146" s="1" t="s">
        <v>410</v>
      </c>
      <c r="C146" s="297">
        <f>F29</f>
        <v>0.4</v>
      </c>
    </row>
    <row r="147" spans="2:4">
      <c r="B147" s="212" t="str">
        <f>"PV("&amp;C141&amp;" yrs of Dividends)"</f>
        <v>PV(3 yrs of Dividends)</v>
      </c>
      <c r="C147" s="216">
        <f>Scenarios!C81</f>
        <v>2.3322186588921276</v>
      </c>
    </row>
    <row r="148" spans="2:4">
      <c r="B148" s="212" t="str">
        <f>"+ PV(Equity Value realized at year "&amp;C141&amp;")"</f>
        <v>+ PV(Equity Value realized at year 3)</v>
      </c>
      <c r="C148" s="216">
        <f>Scenarios!C82</f>
        <v>11.127498816055718</v>
      </c>
    </row>
    <row r="149" spans="2:4">
      <c r="B149" s="80" t="s">
        <v>260</v>
      </c>
      <c r="C149" s="215">
        <f>Scenarios!C83</f>
        <v>13.459717474947846</v>
      </c>
      <c r="D149" s="300" t="str">
        <f>IF($D$11="","",C149*$E$25)</f>
        <v/>
      </c>
    </row>
    <row r="150" spans="2:4">
      <c r="B150" s="259" t="s">
        <v>418</v>
      </c>
      <c r="C150" s="298" t="str">
        <f>Market_currency</f>
        <v>HKD</v>
      </c>
      <c r="D150" s="298" t="str">
        <f>IF($D$11="","",D$13)</f>
        <v/>
      </c>
    </row>
    <row r="151" spans="2:4">
      <c r="B151" s="214" t="s">
        <v>262</v>
      </c>
      <c r="C151" s="92">
        <f>Scenarios!F83</f>
        <v>0.55918711531933174</v>
      </c>
    </row>
    <row r="153" spans="2:4">
      <c r="B153" s="210" t="s">
        <v>414</v>
      </c>
    </row>
    <row r="154" spans="2:4">
      <c r="B154" s="1" t="s">
        <v>413</v>
      </c>
      <c r="C154" s="297">
        <f>Scenarios!C90</f>
        <v>0.22</v>
      </c>
    </row>
    <row r="155" spans="2:4">
      <c r="B155" s="212" t="str">
        <f>"PV("&amp;C141&amp;" yrs of Dividends)"</f>
        <v>PV(3 yrs of Dividends)</v>
      </c>
      <c r="C155" s="216">
        <f>Scenarios!C91</f>
        <v>2.9976019578731261</v>
      </c>
    </row>
    <row r="156" spans="2:4">
      <c r="B156" s="212" t="str">
        <f>"+ PV(Equity Value realized at year "&amp;C141&amp;")"</f>
        <v>+ PV(Equity Value realized at year 3)</v>
      </c>
      <c r="C156" s="216">
        <f>Scenarios!C92</f>
        <v>16.815205210599611</v>
      </c>
    </row>
    <row r="157" spans="2:4">
      <c r="B157" s="80" t="s">
        <v>260</v>
      </c>
      <c r="C157" s="215">
        <f>Scenarios!C93</f>
        <v>19.812807168472737</v>
      </c>
      <c r="D157" s="300" t="str">
        <f>IF($D$11="","",C157*$E$25)</f>
        <v/>
      </c>
    </row>
    <row r="158" spans="2:4">
      <c r="B158" s="259" t="s">
        <v>418</v>
      </c>
      <c r="C158" s="298" t="str">
        <f>Market_currency</f>
        <v>HKD</v>
      </c>
      <c r="D158" s="298" t="str">
        <f>IF($D$11="","",D$13)</f>
        <v/>
      </c>
    </row>
    <row r="159" spans="2:4">
      <c r="B159" s="214" t="s">
        <v>262</v>
      </c>
      <c r="C159" s="92">
        <f>Scenarios!F93</f>
        <v>0.35112005896021736</v>
      </c>
    </row>
    <row r="161" spans="2:4">
      <c r="B161" s="210" t="s">
        <v>403</v>
      </c>
    </row>
    <row r="162" spans="2:4">
      <c r="B162" s="1" t="s">
        <v>412</v>
      </c>
      <c r="C162" s="92">
        <f>Scenarios!C96</f>
        <v>0.08</v>
      </c>
    </row>
    <row r="163" spans="2:4">
      <c r="B163" s="212" t="str">
        <f>"PV("&amp;C141&amp;" yrs of Dividends)"</f>
        <v>PV(3 yrs of Dividends)</v>
      </c>
      <c r="C163" s="216">
        <f>Scenarios!C97</f>
        <v>3.7826629578824384</v>
      </c>
    </row>
    <row r="164" spans="2:4">
      <c r="B164" s="212" t="str">
        <f>"+ PV(Equity Value realized at year "&amp;C141&amp;")"</f>
        <v>+ PV(Equity Value realized at year 3)</v>
      </c>
      <c r="C164" s="216">
        <f>Scenarios!C98</f>
        <v>24.238759931839088</v>
      </c>
    </row>
    <row r="165" spans="2:4">
      <c r="B165" s="80" t="s">
        <v>404</v>
      </c>
      <c r="C165" s="215">
        <f>Scenarios!C99</f>
        <v>28.021422889721528</v>
      </c>
      <c r="D165" s="300" t="str">
        <f>IF($D$11="","",C165*$E$25)</f>
        <v/>
      </c>
    </row>
    <row r="166" spans="2:4">
      <c r="B166" s="259" t="s">
        <v>418</v>
      </c>
      <c r="C166" s="298" t="str">
        <f>Market_currency</f>
        <v>HKD</v>
      </c>
      <c r="D166" s="298" t="str">
        <f>IF($D$11="","",D$13)</f>
        <v/>
      </c>
    </row>
    <row r="167" spans="2:4">
      <c r="B167" s="214" t="s">
        <v>262</v>
      </c>
      <c r="C167" s="92">
        <f>Scenarios!F99</f>
        <v>8.2283541250711356E-2</v>
      </c>
    </row>
    <row r="169" spans="2:4">
      <c r="B169" s="210" t="s">
        <v>434</v>
      </c>
    </row>
    <row r="170" spans="2:4">
      <c r="B170" s="1" t="s">
        <v>425</v>
      </c>
      <c r="C170" s="92">
        <f>F32</f>
        <v>0.12</v>
      </c>
    </row>
    <row r="171" spans="2:4">
      <c r="B171" s="212" t="str">
        <f>"PV("&amp;C141&amp;" yrs of Dividends)"</f>
        <v>PV(3 yrs of Dividends)</v>
      </c>
      <c r="C171" s="216">
        <f>Scenarios!C103</f>
        <v>3.5254079354956298</v>
      </c>
    </row>
    <row r="172" spans="2:4">
      <c r="B172" s="212" t="str">
        <f>"+ PV(Equity Value realized at year "&amp;C141&amp;")"</f>
        <v>+ PV(Equity Value realized at year 3)</v>
      </c>
      <c r="C172" s="216">
        <f>Scenarios!C104</f>
        <v>21.733396125108815</v>
      </c>
    </row>
    <row r="173" spans="2:4">
      <c r="B173" s="80" t="s">
        <v>404</v>
      </c>
      <c r="C173" s="215">
        <f>Scenarios!C105</f>
        <v>25.258804060604444</v>
      </c>
      <c r="D173" s="300" t="str">
        <f>IF($D$11="","",C173*$E$25)</f>
        <v/>
      </c>
    </row>
    <row r="174" spans="2:4">
      <c r="B174" s="259" t="s">
        <v>418</v>
      </c>
      <c r="C174" s="298" t="str">
        <f>Market_currency</f>
        <v>HKD</v>
      </c>
      <c r="D174" s="298" t="str">
        <f>IF($D$11="","",D$13)</f>
        <v/>
      </c>
    </row>
    <row r="175" spans="2:4">
      <c r="B175" s="214" t="s">
        <v>262</v>
      </c>
      <c r="C175" s="92">
        <f>Scenarios!F105</f>
        <v>0.15545280182445731</v>
      </c>
    </row>
    <row r="177" spans="1:6" ht="13.9">
      <c r="A177" s="222" t="s">
        <v>377</v>
      </c>
      <c r="B177" s="36"/>
      <c r="C177" s="36"/>
      <c r="D177" s="36"/>
      <c r="E177" s="36"/>
      <c r="F177" s="36"/>
    </row>
    <row r="179" spans="1:6">
      <c r="B179" s="357" t="s">
        <v>379</v>
      </c>
      <c r="C179" s="358"/>
      <c r="D179" s="358"/>
      <c r="E179" s="358"/>
      <c r="F179" s="358"/>
    </row>
    <row r="181" spans="1:6">
      <c r="B181" s="210" t="s">
        <v>378</v>
      </c>
    </row>
    <row r="182" spans="1:6">
      <c r="B182" s="360" t="s">
        <v>383</v>
      </c>
      <c r="C182" s="360"/>
      <c r="D182" s="360"/>
      <c r="E182" s="360"/>
      <c r="F182" s="360"/>
    </row>
    <row r="183" spans="1:6">
      <c r="B183" s="214" t="s">
        <v>380</v>
      </c>
    </row>
    <row r="184" spans="1:6">
      <c r="B184" s="214" t="s">
        <v>381</v>
      </c>
    </row>
    <row r="185" spans="1:6">
      <c r="B185" s="214" t="s">
        <v>382</v>
      </c>
    </row>
    <row r="187" spans="1:6">
      <c r="B187" s="1" t="s">
        <v>387</v>
      </c>
    </row>
    <row r="188" spans="1:6" ht="46.5" customHeight="1">
      <c r="B188" s="359" t="s">
        <v>384</v>
      </c>
      <c r="C188" s="359"/>
      <c r="D188" s="359"/>
      <c r="E188" s="359"/>
      <c r="F188" s="359"/>
    </row>
    <row r="190" spans="1:6">
      <c r="B190" s="1" t="s">
        <v>388</v>
      </c>
    </row>
    <row r="191" spans="1:6" ht="24.6" customHeight="1">
      <c r="B191" s="356" t="s">
        <v>385</v>
      </c>
      <c r="C191" s="356"/>
      <c r="D191" s="356"/>
      <c r="E191" s="356"/>
      <c r="F191" s="356"/>
    </row>
    <row r="192" spans="1:6" ht="24.6" customHeight="1">
      <c r="B192" s="356" t="s">
        <v>386</v>
      </c>
      <c r="C192" s="356"/>
      <c r="D192" s="356"/>
      <c r="E192" s="356"/>
      <c r="F192" s="356"/>
    </row>
    <row r="194" spans="2:2">
      <c r="B194" s="1" t="s">
        <v>392</v>
      </c>
    </row>
    <row r="195" spans="2:2">
      <c r="B195" s="214" t="s">
        <v>389</v>
      </c>
    </row>
    <row r="196" spans="2:2">
      <c r="B196" s="214" t="s">
        <v>390</v>
      </c>
    </row>
    <row r="197" spans="2:2">
      <c r="B197" s="214" t="s">
        <v>391</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4" sqref="E24"/>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EUR</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5431557</v>
      </c>
      <c r="D4" s="351">
        <v>4726411</v>
      </c>
      <c r="E4" s="351">
        <v>4200674</v>
      </c>
      <c r="F4" s="351">
        <v>3316620</v>
      </c>
      <c r="G4" s="351">
        <v>2422739</v>
      </c>
      <c r="H4" s="351">
        <v>3225594</v>
      </c>
      <c r="I4" s="351">
        <v>3142148</v>
      </c>
      <c r="J4" s="351"/>
      <c r="K4" s="351"/>
      <c r="L4" s="351"/>
      <c r="M4" s="351"/>
    </row>
    <row r="5" spans="2:13">
      <c r="B5" s="40" t="s">
        <v>43</v>
      </c>
      <c r="C5" s="351">
        <v>1094865</v>
      </c>
      <c r="D5" s="351">
        <v>924640</v>
      </c>
      <c r="E5" s="351">
        <v>888580</v>
      </c>
      <c r="F5" s="351">
        <v>818309</v>
      </c>
      <c r="G5" s="351">
        <v>679361</v>
      </c>
      <c r="H5" s="351">
        <v>905982</v>
      </c>
      <c r="I5" s="351">
        <v>879554</v>
      </c>
      <c r="J5" s="351"/>
      <c r="K5" s="351"/>
      <c r="L5" s="351"/>
      <c r="M5" s="351"/>
    </row>
    <row r="6" spans="2:13">
      <c r="B6" s="40" t="s">
        <v>54</v>
      </c>
      <c r="C6" s="351">
        <v>2899058</v>
      </c>
      <c r="D6" s="351">
        <v>2589463</v>
      </c>
      <c r="E6" s="351">
        <v>2329449</v>
      </c>
      <c r="F6" s="351">
        <v>1942555</v>
      </c>
      <c r="G6" s="351"/>
      <c r="H6" s="351"/>
      <c r="I6" s="351"/>
      <c r="J6" s="351"/>
      <c r="K6" s="351"/>
      <c r="L6" s="351"/>
      <c r="M6" s="351"/>
    </row>
    <row r="7" spans="2:13">
      <c r="B7" s="69" t="s">
        <v>61</v>
      </c>
      <c r="C7" s="352">
        <v>2555847</v>
      </c>
      <c r="D7" s="352">
        <v>2292914</v>
      </c>
      <c r="E7" s="352">
        <v>2063477</v>
      </c>
      <c r="F7" s="352">
        <v>1715420</v>
      </c>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90938</v>
      </c>
      <c r="D12" s="351">
        <v>90856</v>
      </c>
      <c r="E12" s="351">
        <v>65015</v>
      </c>
      <c r="F12" s="351">
        <v>67989</v>
      </c>
      <c r="G12" s="351"/>
      <c r="H12" s="351"/>
      <c r="I12" s="351"/>
      <c r="J12" s="351"/>
      <c r="K12" s="351"/>
      <c r="L12" s="351"/>
      <c r="M12" s="351"/>
    </row>
    <row r="13" spans="2:13">
      <c r="B13" s="40" t="s">
        <v>67</v>
      </c>
      <c r="C13" s="351">
        <v>111</v>
      </c>
      <c r="D13" s="351">
        <v>627</v>
      </c>
      <c r="E13" s="351">
        <v>0</v>
      </c>
      <c r="F13" s="351">
        <v>160</v>
      </c>
      <c r="G13" s="351"/>
      <c r="H13" s="351"/>
      <c r="I13" s="351"/>
      <c r="J13" s="351"/>
      <c r="K13" s="351"/>
      <c r="L13" s="351"/>
      <c r="M13" s="351"/>
    </row>
    <row r="14" spans="2:13">
      <c r="B14" s="40" t="s">
        <v>50</v>
      </c>
      <c r="C14" s="351">
        <v>345323</v>
      </c>
      <c r="D14" s="351">
        <v>298071</v>
      </c>
      <c r="E14" s="351">
        <v>241820</v>
      </c>
      <c r="F14" s="351">
        <v>126552</v>
      </c>
      <c r="G14" s="351">
        <v>2556</v>
      </c>
      <c r="H14" s="351">
        <v>-22964</v>
      </c>
      <c r="I14" s="351">
        <v>94356</v>
      </c>
      <c r="J14" s="351"/>
      <c r="K14" s="351"/>
      <c r="L14" s="351"/>
      <c r="M14" s="351"/>
    </row>
    <row r="15" spans="2:13">
      <c r="B15" s="43" t="s">
        <v>42</v>
      </c>
      <c r="C15" s="353">
        <v>843400</v>
      </c>
      <c r="D15" s="353">
        <v>673392</v>
      </c>
      <c r="E15" s="353">
        <v>469155</v>
      </c>
      <c r="F15" s="353">
        <v>295103</v>
      </c>
      <c r="G15" s="353">
        <v>-54368</v>
      </c>
      <c r="H15" s="353">
        <v>257724</v>
      </c>
      <c r="I15" s="353">
        <v>208182</v>
      </c>
      <c r="J15" s="353"/>
      <c r="K15" s="353"/>
      <c r="L15" s="353"/>
      <c r="M15" s="353"/>
    </row>
    <row r="16" spans="2:13">
      <c r="B16" s="28" t="s">
        <v>44</v>
      </c>
      <c r="C16" s="351">
        <v>4493</v>
      </c>
      <c r="D16" s="351">
        <v>2366</v>
      </c>
      <c r="E16" s="351">
        <v>3962</v>
      </c>
      <c r="F16" s="351">
        <v>849</v>
      </c>
      <c r="G16" s="351">
        <v>-229</v>
      </c>
      <c r="H16" s="351">
        <v>1936</v>
      </c>
      <c r="I16" s="351">
        <v>2739</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374</v>
      </c>
      <c r="C22" s="351">
        <v>1651617</v>
      </c>
      <c r="D22" s="351">
        <v>1155281</v>
      </c>
      <c r="E22" s="351">
        <v>1123697</v>
      </c>
      <c r="F22" s="351">
        <v>1143528</v>
      </c>
      <c r="G22" s="351">
        <v>592419</v>
      </c>
      <c r="H22" s="351">
        <v>809895</v>
      </c>
      <c r="I22" s="351">
        <v>365108</v>
      </c>
      <c r="J22" s="351"/>
      <c r="K22" s="351"/>
      <c r="L22" s="351"/>
      <c r="M22" s="351"/>
    </row>
    <row r="23" spans="2:13">
      <c r="B23" s="27" t="s">
        <v>376</v>
      </c>
      <c r="C23" s="351">
        <v>-462453</v>
      </c>
      <c r="D23" s="351">
        <v>-759191</v>
      </c>
      <c r="E23" s="351">
        <v>-250209</v>
      </c>
      <c r="F23" s="351">
        <v>-137265</v>
      </c>
      <c r="G23" s="351">
        <v>-149910</v>
      </c>
      <c r="H23" s="351">
        <v>-302261</v>
      </c>
      <c r="I23" s="351">
        <v>-379421</v>
      </c>
      <c r="J23" s="351"/>
      <c r="K23" s="351"/>
      <c r="L23" s="351"/>
      <c r="M23" s="351"/>
    </row>
    <row r="24" spans="2:13">
      <c r="B24" s="27" t="s">
        <v>375</v>
      </c>
      <c r="C24" s="351">
        <v>-875470</v>
      </c>
      <c r="D24" s="351">
        <v>-775728</v>
      </c>
      <c r="E24" s="351">
        <v>-787378</v>
      </c>
      <c r="F24" s="351">
        <v>-494727</v>
      </c>
      <c r="G24" s="351">
        <v>-395270</v>
      </c>
      <c r="H24" s="351">
        <v>-692491</v>
      </c>
      <c r="I24" s="351">
        <v>-288828</v>
      </c>
      <c r="J24" s="351"/>
      <c r="K24" s="351"/>
      <c r="L24" s="351"/>
      <c r="M24" s="351"/>
    </row>
    <row r="25" spans="2:13">
      <c r="B25" s="24" t="str">
        <f>"Dividend per share ("&amp;Market_currency&amp;")"</f>
        <v>Dividend per share (HKD)</v>
      </c>
      <c r="C25" s="39">
        <f>0.164*Exchange_Rate</f>
        <v>1.4678</v>
      </c>
      <c r="D25" s="39">
        <f>0.137*Exchange_Rate</f>
        <v>1.2261500000000001</v>
      </c>
      <c r="E25" s="39">
        <f>0.11*Exchange_Rate</f>
        <v>0.98449999999999993</v>
      </c>
      <c r="F25" s="39"/>
      <c r="G25" s="39"/>
      <c r="H25" s="39"/>
      <c r="I25" s="39"/>
      <c r="J25" s="39"/>
      <c r="K25" s="39"/>
      <c r="L25" s="39"/>
      <c r="M25" s="39"/>
    </row>
    <row r="27" spans="2:13">
      <c r="B27" s="16" t="s">
        <v>28</v>
      </c>
      <c r="C27" s="97" t="s">
        <v>219</v>
      </c>
    </row>
    <row r="28" spans="2:13">
      <c r="B28" s="26" t="s">
        <v>24</v>
      </c>
      <c r="C28" s="333">
        <f>BS!C4</f>
        <v>423874</v>
      </c>
      <c r="D28" s="351">
        <v>405151</v>
      </c>
      <c r="E28" s="351">
        <v>331915</v>
      </c>
      <c r="F28" s="351">
        <v>329547</v>
      </c>
      <c r="G28" s="351">
        <v>290380</v>
      </c>
      <c r="H28" s="351">
        <v>317554</v>
      </c>
      <c r="I28" s="351">
        <v>321913</v>
      </c>
      <c r="J28" s="351">
        <v>289973</v>
      </c>
      <c r="K28" s="351">
        <v>285504</v>
      </c>
      <c r="L28" s="351">
        <v>254183</v>
      </c>
      <c r="M28" s="351"/>
    </row>
    <row r="29" spans="2:13">
      <c r="B29" s="26" t="s">
        <v>32</v>
      </c>
      <c r="C29" s="333">
        <f>BS!C6</f>
        <v>866160</v>
      </c>
      <c r="D29" s="351">
        <v>782978</v>
      </c>
      <c r="E29" s="351">
        <v>760457</v>
      </c>
      <c r="F29" s="351">
        <v>662654</v>
      </c>
      <c r="G29" s="351">
        <v>666222</v>
      </c>
      <c r="H29" s="351">
        <v>712611</v>
      </c>
      <c r="I29" s="351">
        <v>631791</v>
      </c>
      <c r="J29" s="351">
        <v>569929</v>
      </c>
      <c r="K29" s="351">
        <v>526941</v>
      </c>
      <c r="L29" s="351">
        <v>692672</v>
      </c>
      <c r="M29" s="351"/>
    </row>
    <row r="30" spans="2:13">
      <c r="B30" s="29" t="s">
        <v>40</v>
      </c>
      <c r="C30" s="334">
        <f>BS!C33+BS!C42</f>
        <v>4130529</v>
      </c>
      <c r="D30" s="353">
        <v>3738242</v>
      </c>
      <c r="E30" s="353">
        <v>3876556</v>
      </c>
      <c r="F30" s="353">
        <v>3830368</v>
      </c>
      <c r="G30" s="353">
        <v>3676207</v>
      </c>
      <c r="H30" s="353">
        <v>4049864</v>
      </c>
      <c r="I30" s="353">
        <v>1781743</v>
      </c>
      <c r="J30" s="353">
        <v>1873204</v>
      </c>
      <c r="K30" s="353">
        <v>1552399</v>
      </c>
      <c r="L30" s="353">
        <v>1659178</v>
      </c>
      <c r="M30" s="353"/>
    </row>
    <row r="31" spans="2:13">
      <c r="B31" s="29" t="s">
        <v>30</v>
      </c>
      <c r="C31" s="334">
        <f>BS!G27</f>
        <v>4419430</v>
      </c>
      <c r="D31" s="353">
        <v>3876809</v>
      </c>
      <c r="E31" s="353">
        <v>3501022</v>
      </c>
      <c r="F31" s="353">
        <v>3128643</v>
      </c>
      <c r="G31" s="353">
        <v>2851720</v>
      </c>
      <c r="H31" s="353">
        <v>2988575</v>
      </c>
      <c r="I31" s="353">
        <v>2897069</v>
      </c>
      <c r="J31" s="353">
        <v>2866171</v>
      </c>
      <c r="K31" s="353">
        <v>3104530</v>
      </c>
      <c r="L31" s="353">
        <v>3097377</v>
      </c>
      <c r="M31" s="353"/>
    </row>
    <row r="32" spans="2:13">
      <c r="B32" s="26" t="s">
        <v>172</v>
      </c>
      <c r="C32" s="333">
        <f>BS!G28</f>
        <v>20065</v>
      </c>
      <c r="D32" s="351">
        <v>23014</v>
      </c>
      <c r="E32" s="351">
        <v>18805</v>
      </c>
      <c r="F32" s="351">
        <v>14749</v>
      </c>
      <c r="G32" s="351">
        <v>19663</v>
      </c>
      <c r="H32" s="351">
        <v>21417</v>
      </c>
      <c r="I32" s="351">
        <v>19083</v>
      </c>
      <c r="J32" s="351">
        <v>21519</v>
      </c>
      <c r="K32" s="351">
        <v>24028</v>
      </c>
      <c r="L32" s="351">
        <v>17037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5431557</v>
      </c>
      <c r="D36" s="333">
        <f t="shared" si="1"/>
        <v>4726411</v>
      </c>
      <c r="E36" s="333">
        <f t="shared" si="1"/>
        <v>4200674</v>
      </c>
      <c r="F36" s="333">
        <f t="shared" si="1"/>
        <v>3316620</v>
      </c>
      <c r="G36" s="333">
        <f t="shared" si="1"/>
        <v>2422739</v>
      </c>
      <c r="H36" s="333">
        <f t="shared" si="1"/>
        <v>3225594</v>
      </c>
      <c r="I36" s="333">
        <f t="shared" si="1"/>
        <v>3142148</v>
      </c>
      <c r="J36" s="333" t="str">
        <f t="shared" si="1"/>
        <v/>
      </c>
      <c r="K36" s="333" t="str">
        <f t="shared" si="1"/>
        <v/>
      </c>
      <c r="L36" s="333" t="str">
        <f t="shared" si="1"/>
        <v/>
      </c>
      <c r="M36" s="333" t="str">
        <f t="shared" si="1"/>
        <v/>
      </c>
    </row>
    <row r="37" spans="2:13">
      <c r="B37" s="40" t="s">
        <v>43</v>
      </c>
      <c r="C37" s="333">
        <f t="shared" ref="C37:M37" si="2">IF(C$4="","",-C5)</f>
        <v>-1094865</v>
      </c>
      <c r="D37" s="333">
        <f t="shared" si="2"/>
        <v>-924640</v>
      </c>
      <c r="E37" s="333">
        <f t="shared" si="2"/>
        <v>-888580</v>
      </c>
      <c r="F37" s="333">
        <f t="shared" si="2"/>
        <v>-818309</v>
      </c>
      <c r="G37" s="333">
        <f t="shared" si="2"/>
        <v>-679361</v>
      </c>
      <c r="H37" s="333">
        <f t="shared" si="2"/>
        <v>-905982</v>
      </c>
      <c r="I37" s="333">
        <f t="shared" si="2"/>
        <v>-879554</v>
      </c>
      <c r="J37" s="333" t="str">
        <f t="shared" si="2"/>
        <v/>
      </c>
      <c r="K37" s="333" t="str">
        <f t="shared" si="2"/>
        <v/>
      </c>
      <c r="L37" s="333" t="str">
        <f t="shared" si="2"/>
        <v/>
      </c>
      <c r="M37" s="333" t="str">
        <f t="shared" si="2"/>
        <v/>
      </c>
    </row>
    <row r="38" spans="2:13">
      <c r="B38" s="31" t="s">
        <v>58</v>
      </c>
      <c r="C38" s="329">
        <f>IF(C36="","",C36+C37)</f>
        <v>4336692</v>
      </c>
      <c r="D38" s="329">
        <f t="shared" ref="D38" si="3">IF(D36="","",D36+D37)</f>
        <v>3801771</v>
      </c>
      <c r="E38" s="329">
        <f t="shared" ref="E38" si="4">IF(E36="","",E36+E37)</f>
        <v>3312094</v>
      </c>
      <c r="F38" s="329">
        <f t="shared" ref="F38" si="5">IF(F36="","",F36+F37)</f>
        <v>2498311</v>
      </c>
      <c r="G38" s="329">
        <f t="shared" ref="G38" si="6">IF(G36="","",G36+G37)</f>
        <v>1743378</v>
      </c>
      <c r="H38" s="329">
        <f t="shared" ref="H38" si="7">IF(H36="","",H36+H37)</f>
        <v>2319612</v>
      </c>
      <c r="I38" s="329">
        <f t="shared" ref="I38" si="8">IF(I36="","",I36+I37)</f>
        <v>2262594</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-2899058</v>
      </c>
      <c r="D39" s="333">
        <f t="shared" si="13"/>
        <v>-2589463</v>
      </c>
      <c r="E39" s="333">
        <f t="shared" si="13"/>
        <v>-2329449</v>
      </c>
      <c r="F39" s="333">
        <f t="shared" si="13"/>
        <v>-1942555</v>
      </c>
      <c r="G39" s="333">
        <f t="shared" si="13"/>
        <v>0</v>
      </c>
      <c r="H39" s="333">
        <f t="shared" si="13"/>
        <v>0</v>
      </c>
      <c r="I39" s="333">
        <f t="shared" si="13"/>
        <v>0</v>
      </c>
      <c r="J39" s="333" t="str">
        <f t="shared" si="13"/>
        <v/>
      </c>
      <c r="K39" s="333" t="str">
        <f t="shared" si="13"/>
        <v/>
      </c>
      <c r="L39" s="333" t="str">
        <f t="shared" si="13"/>
        <v/>
      </c>
      <c r="M39" s="333" t="str">
        <f t="shared" si="13"/>
        <v/>
      </c>
    </row>
    <row r="40" spans="2:13">
      <c r="B40" s="69" t="s">
        <v>61</v>
      </c>
      <c r="C40" s="346">
        <f t="shared" ref="C40:M40" si="14">IF(C$4="","",-C7)</f>
        <v>-2555847</v>
      </c>
      <c r="D40" s="346">
        <f t="shared" si="14"/>
        <v>-2292914</v>
      </c>
      <c r="E40" s="346">
        <f t="shared" si="14"/>
        <v>-2063477</v>
      </c>
      <c r="F40" s="346">
        <f t="shared" si="14"/>
        <v>-1715420</v>
      </c>
      <c r="G40" s="346">
        <f t="shared" si="14"/>
        <v>0</v>
      </c>
      <c r="H40" s="346">
        <f t="shared" si="14"/>
        <v>0</v>
      </c>
      <c r="I40" s="346">
        <f t="shared" si="14"/>
        <v>0</v>
      </c>
      <c r="J40" s="346" t="str">
        <f t="shared" si="14"/>
        <v/>
      </c>
      <c r="K40" s="346" t="str">
        <f t="shared" si="14"/>
        <v/>
      </c>
      <c r="L40" s="346" t="str">
        <f t="shared" si="14"/>
        <v/>
      </c>
      <c r="M40" s="346" t="str">
        <f t="shared" si="14"/>
        <v/>
      </c>
    </row>
    <row r="41" spans="2:13">
      <c r="B41" s="69" t="s">
        <v>64</v>
      </c>
      <c r="C41" s="346">
        <f>IF(C$4="","",C39-C40)</f>
        <v>-343211</v>
      </c>
      <c r="D41" s="346">
        <f t="shared" ref="D41:M41" si="15">IF(D$4="","",D39-D40)</f>
        <v>-296549</v>
      </c>
      <c r="E41" s="346">
        <f t="shared" si="15"/>
        <v>-265972</v>
      </c>
      <c r="F41" s="346">
        <f t="shared" si="15"/>
        <v>-227135</v>
      </c>
      <c r="G41" s="346">
        <f t="shared" si="15"/>
        <v>0</v>
      </c>
      <c r="H41" s="346">
        <f t="shared" si="15"/>
        <v>0</v>
      </c>
      <c r="I41" s="346">
        <f t="shared" si="15"/>
        <v>0</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t="str">
        <f t="shared" si="16"/>
        <v/>
      </c>
      <c r="K42" s="333" t="str">
        <f t="shared" si="16"/>
        <v/>
      </c>
      <c r="L42" s="333" t="str">
        <f t="shared" si="16"/>
        <v/>
      </c>
      <c r="M42" s="333" t="str">
        <f t="shared" si="16"/>
        <v/>
      </c>
    </row>
    <row r="43" spans="2:13">
      <c r="B43" s="43" t="s">
        <v>152</v>
      </c>
      <c r="C43" s="334">
        <f>IF(C$4="","",C38+C39+C42)</f>
        <v>1437634</v>
      </c>
      <c r="D43" s="334">
        <f t="shared" ref="D43:M43" si="17">IF(D$4="","",D38+D39+D42)</f>
        <v>1212308</v>
      </c>
      <c r="E43" s="334">
        <f t="shared" si="17"/>
        <v>982645</v>
      </c>
      <c r="F43" s="334">
        <f t="shared" si="17"/>
        <v>555756</v>
      </c>
      <c r="G43" s="334">
        <f t="shared" si="17"/>
        <v>1743378</v>
      </c>
      <c r="H43" s="334">
        <f t="shared" si="17"/>
        <v>2319612</v>
      </c>
      <c r="I43" s="334">
        <f t="shared" si="17"/>
        <v>2262594</v>
      </c>
      <c r="J43" s="334" t="str">
        <f t="shared" si="17"/>
        <v/>
      </c>
      <c r="K43" s="334" t="str">
        <f t="shared" si="17"/>
        <v/>
      </c>
      <c r="L43" s="334" t="str">
        <f t="shared" si="17"/>
        <v/>
      </c>
      <c r="M43" s="334" t="str">
        <f t="shared" si="17"/>
        <v/>
      </c>
    </row>
    <row r="44" spans="2:13">
      <c r="B44" s="43" t="s">
        <v>168</v>
      </c>
      <c r="C44" s="354">
        <f t="shared" ref="C44:M44" si="18">IF(C$4="","",C47-C46-C45-C43)</f>
        <v>-158084</v>
      </c>
      <c r="D44" s="354">
        <f t="shared" si="18"/>
        <v>-150616</v>
      </c>
      <c r="E44" s="354">
        <f t="shared" si="18"/>
        <v>-206655</v>
      </c>
      <c r="F44" s="354">
        <f t="shared" si="18"/>
        <v>-66272</v>
      </c>
      <c r="G44" s="354">
        <f t="shared" si="18"/>
        <v>-1795190</v>
      </c>
      <c r="H44" s="354">
        <f t="shared" si="18"/>
        <v>-2084852</v>
      </c>
      <c r="I44" s="354">
        <f t="shared" si="18"/>
        <v>-1960056</v>
      </c>
      <c r="J44" s="354" t="str">
        <f t="shared" si="18"/>
        <v/>
      </c>
      <c r="K44" s="354" t="str">
        <f t="shared" si="18"/>
        <v/>
      </c>
      <c r="L44" s="354" t="str">
        <f t="shared" si="18"/>
        <v/>
      </c>
      <c r="M44" s="354" t="str">
        <f t="shared" si="18"/>
        <v/>
      </c>
    </row>
    <row r="45" spans="2:13">
      <c r="B45" s="40" t="s">
        <v>68</v>
      </c>
      <c r="C45" s="349">
        <f t="shared" ref="C45:M45" si="19">IF(C$4="","",C51+C52)</f>
        <v>-90827</v>
      </c>
      <c r="D45" s="349">
        <f t="shared" si="19"/>
        <v>-90229</v>
      </c>
      <c r="E45" s="349">
        <f t="shared" si="19"/>
        <v>-65015</v>
      </c>
      <c r="F45" s="349">
        <f t="shared" si="19"/>
        <v>-67829</v>
      </c>
      <c r="G45" s="349">
        <f t="shared" si="19"/>
        <v>0</v>
      </c>
      <c r="H45" s="349">
        <f t="shared" si="19"/>
        <v>0</v>
      </c>
      <c r="I45" s="349">
        <f t="shared" si="19"/>
        <v>0</v>
      </c>
      <c r="J45" s="349" t="str">
        <f t="shared" si="19"/>
        <v/>
      </c>
      <c r="K45" s="349" t="str">
        <f t="shared" si="19"/>
        <v/>
      </c>
      <c r="L45" s="349" t="str">
        <f t="shared" si="19"/>
        <v/>
      </c>
      <c r="M45" s="349" t="str">
        <f t="shared" si="19"/>
        <v/>
      </c>
    </row>
    <row r="46" spans="2:13">
      <c r="B46" s="40" t="s">
        <v>50</v>
      </c>
      <c r="C46" s="333">
        <f t="shared" ref="C46:M46" si="20">IF(C$4="","",-C14)</f>
        <v>-345323</v>
      </c>
      <c r="D46" s="333">
        <f t="shared" si="20"/>
        <v>-298071</v>
      </c>
      <c r="E46" s="333">
        <f t="shared" si="20"/>
        <v>-241820</v>
      </c>
      <c r="F46" s="333">
        <f t="shared" si="20"/>
        <v>-126552</v>
      </c>
      <c r="G46" s="333">
        <f t="shared" si="20"/>
        <v>-2556</v>
      </c>
      <c r="H46" s="333">
        <f t="shared" si="20"/>
        <v>22964</v>
      </c>
      <c r="I46" s="333">
        <f t="shared" si="20"/>
        <v>-94356</v>
      </c>
      <c r="J46" s="333" t="str">
        <f t="shared" si="20"/>
        <v/>
      </c>
      <c r="K46" s="333" t="str">
        <f t="shared" si="20"/>
        <v/>
      </c>
      <c r="L46" s="333" t="str">
        <f t="shared" si="20"/>
        <v/>
      </c>
      <c r="M46" s="333" t="str">
        <f t="shared" si="20"/>
        <v/>
      </c>
    </row>
    <row r="47" spans="2:13">
      <c r="B47" s="43" t="s">
        <v>42</v>
      </c>
      <c r="C47" s="334">
        <f t="shared" ref="C47:M47" si="21">IF(C$4="","",C15)</f>
        <v>843400</v>
      </c>
      <c r="D47" s="334">
        <f t="shared" si="21"/>
        <v>673392</v>
      </c>
      <c r="E47" s="334">
        <f t="shared" si="21"/>
        <v>469155</v>
      </c>
      <c r="F47" s="334">
        <f t="shared" si="21"/>
        <v>295103</v>
      </c>
      <c r="G47" s="334">
        <f t="shared" si="21"/>
        <v>-54368</v>
      </c>
      <c r="H47" s="334">
        <f t="shared" si="21"/>
        <v>257724</v>
      </c>
      <c r="I47" s="334">
        <f t="shared" si="21"/>
        <v>208182</v>
      </c>
      <c r="J47" s="334" t="str">
        <f t="shared" si="21"/>
        <v/>
      </c>
      <c r="K47" s="334" t="str">
        <f t="shared" si="21"/>
        <v/>
      </c>
      <c r="L47" s="334" t="str">
        <f t="shared" si="21"/>
        <v/>
      </c>
      <c r="M47" s="334" t="str">
        <f t="shared" si="21"/>
        <v/>
      </c>
    </row>
    <row r="48" spans="2:13">
      <c r="B48" s="28" t="s">
        <v>44</v>
      </c>
      <c r="C48" s="333">
        <f t="shared" ref="C48:M48" si="22">IF(C$4="","",MIN(-C16,0))</f>
        <v>-4493</v>
      </c>
      <c r="D48" s="333">
        <f t="shared" si="22"/>
        <v>-2366</v>
      </c>
      <c r="E48" s="333">
        <f t="shared" si="22"/>
        <v>-3962</v>
      </c>
      <c r="F48" s="333">
        <f t="shared" si="22"/>
        <v>-849</v>
      </c>
      <c r="G48" s="333">
        <f t="shared" si="22"/>
        <v>0</v>
      </c>
      <c r="H48" s="333">
        <f t="shared" si="22"/>
        <v>-1936</v>
      </c>
      <c r="I48" s="333">
        <f t="shared" si="22"/>
        <v>-2739</v>
      </c>
      <c r="J48" s="333" t="str">
        <f t="shared" si="22"/>
        <v/>
      </c>
      <c r="K48" s="333" t="str">
        <f t="shared" si="22"/>
        <v/>
      </c>
      <c r="L48" s="333" t="str">
        <f t="shared" si="22"/>
        <v/>
      </c>
      <c r="M48" s="333" t="str">
        <f t="shared" si="22"/>
        <v/>
      </c>
    </row>
    <row r="50" spans="2:13">
      <c r="B50" s="16" t="s">
        <v>68</v>
      </c>
    </row>
    <row r="51" spans="2:13">
      <c r="B51" s="40" t="s">
        <v>39</v>
      </c>
      <c r="C51" s="333">
        <f t="shared" ref="C51:M51" si="23">IF(C$4="","",-C12)</f>
        <v>-90938</v>
      </c>
      <c r="D51" s="333">
        <f t="shared" si="23"/>
        <v>-90856</v>
      </c>
      <c r="E51" s="333">
        <f t="shared" si="23"/>
        <v>-65015</v>
      </c>
      <c r="F51" s="333">
        <f t="shared" si="23"/>
        <v>-67989</v>
      </c>
      <c r="G51" s="333">
        <f t="shared" si="23"/>
        <v>0</v>
      </c>
      <c r="H51" s="333">
        <f t="shared" si="23"/>
        <v>0</v>
      </c>
      <c r="I51" s="333">
        <f t="shared" si="23"/>
        <v>0</v>
      </c>
      <c r="J51" s="333" t="str">
        <f t="shared" si="23"/>
        <v/>
      </c>
      <c r="K51" s="333" t="str">
        <f t="shared" si="23"/>
        <v/>
      </c>
      <c r="L51" s="333" t="str">
        <f t="shared" si="23"/>
        <v/>
      </c>
      <c r="M51" s="333" t="str">
        <f t="shared" si="23"/>
        <v/>
      </c>
    </row>
    <row r="52" spans="2:13">
      <c r="B52" s="40" t="s">
        <v>67</v>
      </c>
      <c r="C52" s="333">
        <f t="shared" ref="C52:M52" si="24">IF(C$4="","",C13)</f>
        <v>111</v>
      </c>
      <c r="D52" s="333">
        <f t="shared" si="24"/>
        <v>627</v>
      </c>
      <c r="E52" s="333">
        <f t="shared" si="24"/>
        <v>0</v>
      </c>
      <c r="F52" s="333">
        <f t="shared" si="24"/>
        <v>160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160</v>
      </c>
      <c r="C58" s="349">
        <f>IF(C$4="","",C44-C55-C56-C57)</f>
        <v>-158084</v>
      </c>
      <c r="D58" s="349">
        <f t="shared" ref="D58:M58" si="28">IF(D$4="","",D44-D55-D56-D57)</f>
        <v>-150616</v>
      </c>
      <c r="E58" s="349">
        <f t="shared" si="28"/>
        <v>-206655</v>
      </c>
      <c r="F58" s="349">
        <f t="shared" si="28"/>
        <v>-66272</v>
      </c>
      <c r="G58" s="349">
        <f t="shared" si="28"/>
        <v>-1795190</v>
      </c>
      <c r="H58" s="349">
        <f t="shared" si="28"/>
        <v>-2084852</v>
      </c>
      <c r="I58" s="349">
        <f t="shared" si="28"/>
        <v>-1960056</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396</v>
      </c>
      <c r="C64" s="333">
        <f>IF(C$4="","",C22+C23+C24)</f>
        <v>313694</v>
      </c>
      <c r="D64" s="333">
        <f t="shared" ref="D64:M64" si="32">IF(D$4="","",D22+D23+D24)</f>
        <v>-379638</v>
      </c>
      <c r="E64" s="333">
        <f t="shared" si="32"/>
        <v>86110</v>
      </c>
      <c r="F64" s="333">
        <f t="shared" si="32"/>
        <v>511536</v>
      </c>
      <c r="G64" s="333">
        <f t="shared" si="32"/>
        <v>47239</v>
      </c>
      <c r="H64" s="333">
        <f t="shared" si="32"/>
        <v>-184857</v>
      </c>
      <c r="I64" s="333">
        <f t="shared" si="32"/>
        <v>-303141</v>
      </c>
      <c r="J64" s="333" t="str">
        <f t="shared" si="32"/>
        <v/>
      </c>
      <c r="K64" s="333" t="str">
        <f t="shared" si="32"/>
        <v/>
      </c>
      <c r="L64" s="333" t="str">
        <f t="shared" si="32"/>
        <v/>
      </c>
      <c r="M64" s="333" t="str">
        <f t="shared" si="32"/>
        <v/>
      </c>
    </row>
    <row r="65" spans="2:13">
      <c r="B65" s="24" t="s">
        <v>36</v>
      </c>
      <c r="C65" s="73">
        <f>IF(C$4="","",C25)</f>
        <v>1.4678</v>
      </c>
      <c r="D65" s="73">
        <f t="shared" ref="D65:M65" si="33">IF(D$4="","",D25)</f>
        <v>1.2261500000000001</v>
      </c>
      <c r="E65" s="73">
        <f t="shared" si="33"/>
        <v>0.98449999999999993</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0.14919269610704622</v>
      </c>
      <c r="D68" s="92">
        <f t="shared" si="34"/>
        <v>0.1251553917299939</v>
      </c>
      <c r="E68" s="92">
        <f t="shared" si="34"/>
        <v>0.26655269521380198</v>
      </c>
      <c r="F68" s="92">
        <f t="shared" si="34"/>
        <v>0.36895472438426102</v>
      </c>
      <c r="G68" s="92">
        <f t="shared" si="34"/>
        <v>-0.24890144264901282</v>
      </c>
      <c r="H68" s="92">
        <f t="shared" si="34"/>
        <v>2.655699222315433E-2</v>
      </c>
      <c r="I68" s="92" t="str">
        <f t="shared" si="34"/>
        <v/>
      </c>
      <c r="J68" s="92" t="str">
        <f t="shared" si="34"/>
        <v/>
      </c>
      <c r="K68" s="92" t="str">
        <f t="shared" si="34"/>
        <v/>
      </c>
      <c r="L68" s="92" t="str">
        <f t="shared" si="34"/>
        <v/>
      </c>
      <c r="M68" s="92" t="str">
        <f t="shared" si="34"/>
        <v/>
      </c>
    </row>
    <row r="69" spans="2:13">
      <c r="B69" s="31" t="s">
        <v>58</v>
      </c>
      <c r="C69" s="92">
        <f>IF(D$36="","",C38/D38-1)</f>
        <v>0.14070310915623274</v>
      </c>
      <c r="D69" s="92">
        <f t="shared" ref="D69:M69" si="35">IF(E$36="","",D38/E38-1)</f>
        <v>0.1478451396608913</v>
      </c>
      <c r="E69" s="92">
        <f t="shared" si="35"/>
        <v>0.3257332653941003</v>
      </c>
      <c r="F69" s="92">
        <f t="shared" si="35"/>
        <v>0.43302886694681253</v>
      </c>
      <c r="G69" s="92">
        <f t="shared" si="35"/>
        <v>-0.24841826995204375</v>
      </c>
      <c r="H69" s="92">
        <f t="shared" si="35"/>
        <v>2.5200278971835077E-2</v>
      </c>
      <c r="I69" s="92" t="str">
        <f t="shared" si="35"/>
        <v/>
      </c>
      <c r="J69" s="92" t="str">
        <f t="shared" si="35"/>
        <v/>
      </c>
      <c r="K69" s="92" t="str">
        <f t="shared" si="35"/>
        <v/>
      </c>
      <c r="L69" s="92" t="str">
        <f t="shared" si="35"/>
        <v/>
      </c>
      <c r="M69" s="92" t="str">
        <f t="shared" si="35"/>
        <v/>
      </c>
    </row>
    <row r="70" spans="2:13">
      <c r="B70" s="80" t="str">
        <f>B43</f>
        <v>Operating EBIT</v>
      </c>
      <c r="C70" s="101">
        <f>IF(D$36="","",C43/D43-1)</f>
        <v>0.1858653081560131</v>
      </c>
      <c r="D70" s="101">
        <f t="shared" ref="D70:M70" si="36">IF(E$36="","",D43/E43-1)</f>
        <v>0.23371919665799967</v>
      </c>
      <c r="E70" s="101">
        <f t="shared" si="36"/>
        <v>0.76812306119951912</v>
      </c>
      <c r="F70" s="101">
        <f t="shared" si="36"/>
        <v>-0.68121887508044732</v>
      </c>
      <c r="G70" s="101">
        <f t="shared" si="36"/>
        <v>-0.24841826995204375</v>
      </c>
      <c r="H70" s="101">
        <f t="shared" si="36"/>
        <v>2.5200278971835077E-2</v>
      </c>
      <c r="I70" s="101" t="str">
        <f t="shared" si="36"/>
        <v/>
      </c>
      <c r="J70" s="101" t="str">
        <f t="shared" si="36"/>
        <v/>
      </c>
      <c r="K70" s="101" t="str">
        <f t="shared" si="36"/>
        <v/>
      </c>
      <c r="L70" s="101" t="str">
        <f t="shared" si="36"/>
        <v/>
      </c>
      <c r="M70" s="101" t="str">
        <f t="shared" si="36"/>
        <v/>
      </c>
    </row>
    <row r="71" spans="2:13">
      <c r="B71" s="43" t="s">
        <v>168</v>
      </c>
      <c r="C71" s="101">
        <f>IF(D$36="","",C44/D44-1)</f>
        <v>4.9583045625962718E-2</v>
      </c>
      <c r="D71" s="101">
        <f t="shared" ref="D71:M71" si="37">IF(E$36="","",D44/E44-1)</f>
        <v>-0.27117175969611185</v>
      </c>
      <c r="E71" s="101">
        <f t="shared" si="37"/>
        <v>2.1182852486721391</v>
      </c>
      <c r="F71" s="101">
        <f t="shared" si="37"/>
        <v>-0.9630835733265003</v>
      </c>
      <c r="G71" s="101">
        <f t="shared" si="37"/>
        <v>-0.13893648086291022</v>
      </c>
      <c r="H71" s="101">
        <f t="shared" si="37"/>
        <v>6.3669609439730213E-2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0.25246513175089702</v>
      </c>
      <c r="D72" s="101">
        <f t="shared" ref="D72:M72" si="38">IF(E$36="","",D47/E47-1)</f>
        <v>0.43532947533331212</v>
      </c>
      <c r="E72" s="101">
        <f t="shared" si="38"/>
        <v>0.58980084919502684</v>
      </c>
      <c r="F72" s="101">
        <f t="shared" si="38"/>
        <v>-6.4278803708063563</v>
      </c>
      <c r="G72" s="101">
        <f t="shared" si="38"/>
        <v>-1.2109543542704599</v>
      </c>
      <c r="H72" s="101">
        <f t="shared" si="38"/>
        <v>0.2379744646511226</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8549959</v>
      </c>
      <c r="D76" s="349">
        <f t="shared" ref="D76:M76" si="39">IF(D$4="","",D79+D80)</f>
        <v>7615051</v>
      </c>
      <c r="E76" s="349">
        <f t="shared" si="39"/>
        <v>7377578</v>
      </c>
      <c r="F76" s="349">
        <f t="shared" si="39"/>
        <v>6959011</v>
      </c>
      <c r="G76" s="349">
        <f t="shared" si="39"/>
        <v>6527927</v>
      </c>
      <c r="H76" s="349">
        <f t="shared" si="39"/>
        <v>7038439</v>
      </c>
      <c r="I76" s="349">
        <f t="shared" si="39"/>
        <v>4678812</v>
      </c>
      <c r="J76" s="349" t="str">
        <f t="shared" si="39"/>
        <v/>
      </c>
      <c r="K76" s="349" t="str">
        <f t="shared" si="39"/>
        <v/>
      </c>
      <c r="L76" s="349" t="str">
        <f t="shared" si="39"/>
        <v/>
      </c>
      <c r="M76" s="349" t="str">
        <f t="shared" si="39"/>
        <v/>
      </c>
    </row>
    <row r="77" spans="2:13">
      <c r="B77" s="93" t="s">
        <v>85</v>
      </c>
      <c r="C77" s="318">
        <f t="shared" ref="C77:H78" si="40">IF(C$4="","",C28)</f>
        <v>423874</v>
      </c>
      <c r="D77" s="346">
        <f t="shared" si="40"/>
        <v>405151</v>
      </c>
      <c r="E77" s="346">
        <f t="shared" si="40"/>
        <v>331915</v>
      </c>
      <c r="F77" s="346">
        <f t="shared" si="40"/>
        <v>329547</v>
      </c>
      <c r="G77" s="346">
        <f t="shared" si="40"/>
        <v>290380</v>
      </c>
      <c r="H77" s="346">
        <f t="shared" si="40"/>
        <v>317554</v>
      </c>
      <c r="I77" s="355"/>
      <c r="J77" s="355"/>
      <c r="K77" s="355"/>
      <c r="L77" s="355"/>
      <c r="M77" s="355"/>
    </row>
    <row r="78" spans="2:13">
      <c r="B78" s="93" t="s">
        <v>86</v>
      </c>
      <c r="C78" s="318">
        <f t="shared" si="40"/>
        <v>866160</v>
      </c>
      <c r="D78" s="346">
        <f t="shared" si="40"/>
        <v>782978</v>
      </c>
      <c r="E78" s="346">
        <f t="shared" si="40"/>
        <v>760457</v>
      </c>
      <c r="F78" s="346">
        <f t="shared" si="40"/>
        <v>662654</v>
      </c>
      <c r="G78" s="346">
        <f t="shared" si="40"/>
        <v>666222</v>
      </c>
      <c r="H78" s="346">
        <f t="shared" si="40"/>
        <v>712611</v>
      </c>
      <c r="I78" s="355"/>
      <c r="J78" s="355"/>
      <c r="K78" s="355"/>
      <c r="L78" s="355"/>
      <c r="M78" s="355"/>
    </row>
    <row r="79" spans="2:13">
      <c r="B79" s="26" t="s">
        <v>40</v>
      </c>
      <c r="C79" s="317">
        <f t="shared" ref="C79:M79" si="41">IF(C$4="","",C30)</f>
        <v>4130529</v>
      </c>
      <c r="D79" s="333">
        <f t="shared" si="41"/>
        <v>3738242</v>
      </c>
      <c r="E79" s="333">
        <f t="shared" si="41"/>
        <v>3876556</v>
      </c>
      <c r="F79" s="333">
        <f t="shared" si="41"/>
        <v>3830368</v>
      </c>
      <c r="G79" s="333">
        <f t="shared" si="41"/>
        <v>3676207</v>
      </c>
      <c r="H79" s="333">
        <f t="shared" si="41"/>
        <v>4049864</v>
      </c>
      <c r="I79" s="333">
        <f t="shared" si="41"/>
        <v>1781743</v>
      </c>
      <c r="J79" s="333" t="str">
        <f t="shared" si="41"/>
        <v/>
      </c>
      <c r="K79" s="333" t="str">
        <f t="shared" si="41"/>
        <v/>
      </c>
      <c r="L79" s="333" t="str">
        <f t="shared" si="41"/>
        <v/>
      </c>
      <c r="M79" s="333" t="str">
        <f t="shared" si="41"/>
        <v/>
      </c>
    </row>
    <row r="80" spans="2:13">
      <c r="B80" s="26" t="s">
        <v>30</v>
      </c>
      <c r="C80" s="317">
        <f t="shared" ref="C80:M80" si="42">IF(C$4="","",C31)</f>
        <v>4419430</v>
      </c>
      <c r="D80" s="333">
        <f t="shared" si="42"/>
        <v>3876809</v>
      </c>
      <c r="E80" s="333">
        <f t="shared" si="42"/>
        <v>3501022</v>
      </c>
      <c r="F80" s="333">
        <f t="shared" si="42"/>
        <v>3128643</v>
      </c>
      <c r="G80" s="333">
        <f t="shared" si="42"/>
        <v>2851720</v>
      </c>
      <c r="H80" s="333">
        <f t="shared" si="42"/>
        <v>2988575</v>
      </c>
      <c r="I80" s="333">
        <f t="shared" si="42"/>
        <v>2897069</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9" sqref="B9"/>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423733+141</f>
        <v>423874</v>
      </c>
      <c r="D4" s="261">
        <v>0.6</v>
      </c>
      <c r="E4" s="25"/>
      <c r="F4" s="4" t="s">
        <v>77</v>
      </c>
      <c r="G4" s="19">
        <v>1011563</v>
      </c>
      <c r="H4" s="261">
        <v>0.9</v>
      </c>
    </row>
    <row r="5" spans="2:8" ht="15" customHeight="1">
      <c r="B5" s="1" t="s">
        <v>33</v>
      </c>
      <c r="C5" s="19">
        <v>12487</v>
      </c>
      <c r="D5" s="261">
        <v>0.6</v>
      </c>
      <c r="E5" s="25"/>
      <c r="F5" s="1" t="s">
        <v>29</v>
      </c>
      <c r="G5" s="19">
        <v>0</v>
      </c>
      <c r="H5" s="261">
        <v>0.7</v>
      </c>
    </row>
    <row r="6" spans="2:8" ht="15" customHeight="1">
      <c r="B6" s="4" t="s">
        <v>10</v>
      </c>
      <c r="C6" s="19">
        <v>866160</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0</v>
      </c>
      <c r="D10" s="261">
        <v>0.9</v>
      </c>
      <c r="H10" s="262"/>
    </row>
    <row r="11" spans="2:8" ht="15" customHeight="1">
      <c r="B11" s="4" t="s">
        <v>12</v>
      </c>
      <c r="C11" s="19">
        <v>245324</v>
      </c>
      <c r="D11" s="261">
        <v>0.05</v>
      </c>
      <c r="H11" s="262"/>
    </row>
    <row r="12" spans="2:8" ht="15" customHeight="1">
      <c r="B12" s="80" t="s">
        <v>72</v>
      </c>
      <c r="C12" s="81">
        <f>SUM(C4:C11)</f>
        <v>1547845</v>
      </c>
      <c r="D12" s="20">
        <f>C4*D4+C5*D5+C9*D9+C6*D6+C8*D8+C7*D7+C10*D10+C11*D11</f>
        <v>707162.79999999993</v>
      </c>
      <c r="F12" s="80" t="s">
        <v>70</v>
      </c>
      <c r="G12" s="81">
        <f>SUM(G4:G9)</f>
        <v>1011563</v>
      </c>
      <c r="H12" s="20">
        <f>G4*H4+G5*H5+G6*H6+G7*H7+G8*H8+G9*H9</f>
        <v>910406.70000000007</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457</v>
      </c>
      <c r="C15" s="19">
        <v>369</v>
      </c>
      <c r="D15" s="261">
        <v>0.4</v>
      </c>
      <c r="F15" s="4" t="s">
        <v>78</v>
      </c>
      <c r="G15" s="19">
        <v>0</v>
      </c>
      <c r="H15" s="261">
        <v>0.8</v>
      </c>
    </row>
    <row r="16" spans="2:8" ht="15" customHeight="1">
      <c r="B16" s="1" t="s">
        <v>34</v>
      </c>
      <c r="C16" s="19">
        <v>2571</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2255055+2278955</f>
        <v>4534010</v>
      </c>
      <c r="D19" s="261">
        <v>0.1</v>
      </c>
      <c r="F19" s="4" t="s">
        <v>182</v>
      </c>
      <c r="G19" s="19">
        <v>37624</v>
      </c>
      <c r="H19" s="261">
        <v>0.1</v>
      </c>
    </row>
    <row r="20" spans="2:8" ht="15" customHeight="1">
      <c r="B20" s="4" t="s">
        <v>18</v>
      </c>
      <c r="C20" s="19">
        <v>0</v>
      </c>
      <c r="D20" s="261">
        <v>0.05</v>
      </c>
      <c r="F20" s="4" t="s">
        <v>179</v>
      </c>
      <c r="G20" s="19">
        <v>0</v>
      </c>
      <c r="H20" s="261">
        <v>0.2</v>
      </c>
    </row>
    <row r="21" spans="2:8" ht="15" customHeight="1">
      <c r="B21" s="4" t="s">
        <v>19</v>
      </c>
      <c r="C21" s="19">
        <v>867920</v>
      </c>
      <c r="D21" s="261">
        <v>0.05</v>
      </c>
      <c r="F21" s="1" t="s">
        <v>180</v>
      </c>
      <c r="G21" s="19">
        <v>0</v>
      </c>
      <c r="H21" s="261">
        <v>0.1</v>
      </c>
    </row>
    <row r="22" spans="2:8" ht="15" customHeight="1">
      <c r="B22" s="4" t="s">
        <v>20</v>
      </c>
      <c r="C22" s="19">
        <v>408971</v>
      </c>
      <c r="D22" s="261">
        <v>0.9</v>
      </c>
      <c r="H22" s="262"/>
    </row>
    <row r="23" spans="2:8" ht="15" customHeight="1">
      <c r="B23" s="4" t="s">
        <v>21</v>
      </c>
      <c r="C23" s="19">
        <v>139086</v>
      </c>
      <c r="D23" s="261">
        <v>0</v>
      </c>
      <c r="H23" s="262"/>
    </row>
    <row r="24" spans="2:8" ht="15" customHeight="1">
      <c r="B24" s="80" t="s">
        <v>73</v>
      </c>
      <c r="C24" s="81">
        <f>SUM(C15:C23)</f>
        <v>5952927</v>
      </c>
      <c r="D24" s="20">
        <f>C15*D15+C16*D16+C18*D18+C17*D17+C19*D19+C20*D20+C21*D21+C22*D22+C23*D23</f>
        <v>866304</v>
      </c>
      <c r="F24" s="80" t="s">
        <v>71</v>
      </c>
      <c r="G24" s="81">
        <f>SUM(G15:G21)</f>
        <v>37624</v>
      </c>
      <c r="H24" s="20">
        <f>G15*H15+G16*H16+G17*H17+G18*H18+G19*H19+G20*H20+G21*H21</f>
        <v>3762.4</v>
      </c>
    </row>
    <row r="26" spans="2:8" ht="15" customHeight="1">
      <c r="B26" s="16" t="s">
        <v>200</v>
      </c>
      <c r="C26" s="182" t="s">
        <v>136</v>
      </c>
      <c r="F26" s="184" t="s">
        <v>196</v>
      </c>
      <c r="G26" s="185" t="s">
        <v>136</v>
      </c>
      <c r="H26" s="186" t="s">
        <v>35</v>
      </c>
    </row>
    <row r="27" spans="2:8" ht="15" customHeight="1">
      <c r="B27" s="4" t="s">
        <v>5</v>
      </c>
      <c r="C27" s="19">
        <v>183247</v>
      </c>
      <c r="F27" s="187" t="s">
        <v>30</v>
      </c>
      <c r="G27" s="85">
        <f>G32-G30</f>
        <v>4419430</v>
      </c>
      <c r="H27" s="188">
        <f>H32-G30</f>
        <v>-1642893.1</v>
      </c>
    </row>
    <row r="28" spans="2:8" ht="15" customHeight="1">
      <c r="B28" s="4" t="s">
        <v>6</v>
      </c>
      <c r="C28" s="19">
        <v>434135</v>
      </c>
      <c r="F28" s="189" t="s">
        <v>244</v>
      </c>
      <c r="G28" s="12">
        <v>20065</v>
      </c>
      <c r="H28" s="188"/>
    </row>
    <row r="29" spans="2:8" ht="15" customHeight="1">
      <c r="B29" s="4" t="s">
        <v>7</v>
      </c>
      <c r="C29" s="19">
        <v>0</v>
      </c>
      <c r="F29" s="190" t="s">
        <v>75</v>
      </c>
      <c r="G29" s="14">
        <f>G27-G28</f>
        <v>4399365</v>
      </c>
      <c r="H29" s="188">
        <f>H27-G28</f>
        <v>-1662958.1</v>
      </c>
    </row>
    <row r="30" spans="2:8" ht="15" customHeight="1">
      <c r="B30" s="2" t="s">
        <v>8</v>
      </c>
      <c r="C30" s="19">
        <v>27778</v>
      </c>
      <c r="F30" s="187" t="s">
        <v>23</v>
      </c>
      <c r="G30" s="85">
        <f>C33+C42</f>
        <v>4130529</v>
      </c>
      <c r="H30" s="188"/>
    </row>
    <row r="31" spans="2:8" ht="15" customHeight="1">
      <c r="B31" s="80" t="s">
        <v>203</v>
      </c>
      <c r="C31" s="81">
        <f>SUM(C27:C30)</f>
        <v>645160</v>
      </c>
      <c r="F31" s="190" t="s">
        <v>76</v>
      </c>
      <c r="G31" s="191">
        <f>C31+C40</f>
        <v>866500</v>
      </c>
      <c r="H31" s="188"/>
    </row>
    <row r="32" spans="2:8" ht="15" customHeight="1">
      <c r="B32" s="4" t="s">
        <v>9</v>
      </c>
      <c r="C32" s="21">
        <f>C33-C31</f>
        <v>1038292</v>
      </c>
      <c r="F32" s="192" t="s">
        <v>74</v>
      </c>
      <c r="G32" s="193">
        <f>G35+G40</f>
        <v>8549959</v>
      </c>
      <c r="H32" s="188">
        <f>H35+H40</f>
        <v>2487635.9</v>
      </c>
    </row>
    <row r="33" spans="2:8" ht="15" customHeight="1">
      <c r="B33" s="83" t="s">
        <v>4</v>
      </c>
      <c r="C33" s="84">
        <v>1683452</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7500772</v>
      </c>
      <c r="H35" s="200">
        <f>D12+D24</f>
        <v>1573466.7999999998</v>
      </c>
    </row>
    <row r="36" spans="2:8" ht="15" customHeight="1">
      <c r="B36" s="4" t="s">
        <v>13</v>
      </c>
      <c r="C36" s="19">
        <v>220941</v>
      </c>
      <c r="F36" s="190" t="s">
        <v>197</v>
      </c>
      <c r="G36" s="191">
        <f>C4+C15</f>
        <v>424243</v>
      </c>
      <c r="H36" s="195"/>
    </row>
    <row r="37" spans="2:8" ht="15" customHeight="1">
      <c r="B37" s="4" t="s">
        <v>14</v>
      </c>
      <c r="C37" s="19">
        <v>0</v>
      </c>
      <c r="F37" s="190" t="s">
        <v>198</v>
      </c>
      <c r="G37" s="191">
        <f>C6</f>
        <v>866160</v>
      </c>
      <c r="H37" s="195"/>
    </row>
    <row r="38" spans="2:8" ht="15" customHeight="1">
      <c r="B38" s="4" t="s">
        <v>15</v>
      </c>
      <c r="C38" s="19">
        <v>0</v>
      </c>
      <c r="F38" s="190" t="s">
        <v>199</v>
      </c>
      <c r="G38" s="191">
        <f>C7+C17</f>
        <v>0</v>
      </c>
      <c r="H38" s="195"/>
    </row>
    <row r="39" spans="2:8" ht="15" customHeight="1">
      <c r="B39" s="2" t="s">
        <v>16</v>
      </c>
      <c r="C39" s="19">
        <v>399</v>
      </c>
      <c r="F39" s="190" t="s">
        <v>79</v>
      </c>
      <c r="G39" s="191">
        <f>C7+C17+C19+C20</f>
        <v>4534010</v>
      </c>
      <c r="H39" s="188">
        <f>C7*D7+C17*D17+C19*D19+C20*D20</f>
        <v>453401</v>
      </c>
    </row>
    <row r="40" spans="2:8" ht="15" customHeight="1">
      <c r="B40" s="80" t="s">
        <v>204</v>
      </c>
      <c r="C40" s="81">
        <f>SUM(C36:C39)</f>
        <v>221340</v>
      </c>
      <c r="F40" s="199" t="s">
        <v>138</v>
      </c>
      <c r="G40" s="193">
        <f>G12+G24</f>
        <v>1049187</v>
      </c>
      <c r="H40" s="200">
        <f>H12+H24</f>
        <v>914169.10000000009</v>
      </c>
    </row>
    <row r="41" spans="2:8" ht="15" customHeight="1">
      <c r="B41" s="4" t="s">
        <v>17</v>
      </c>
      <c r="C41" s="21">
        <f>C42-C40</f>
        <v>2225737</v>
      </c>
      <c r="F41" s="190" t="s">
        <v>191</v>
      </c>
      <c r="G41" s="191">
        <f>C70</f>
        <v>1011563</v>
      </c>
      <c r="H41" s="200">
        <f>H40-H42</f>
        <v>910406.70000000007</v>
      </c>
    </row>
    <row r="42" spans="2:8" ht="15" customHeight="1">
      <c r="B42" s="83" t="s">
        <v>22</v>
      </c>
      <c r="C42" s="84">
        <v>2447077</v>
      </c>
      <c r="F42" s="201" t="s">
        <v>192</v>
      </c>
      <c r="G42" s="202">
        <f>C82</f>
        <v>37624</v>
      </c>
      <c r="H42" s="203">
        <f>D82</f>
        <v>3762.4</v>
      </c>
    </row>
    <row r="44" spans="2:8" ht="15" customHeight="1">
      <c r="B44" s="79" t="s">
        <v>96</v>
      </c>
      <c r="C44" s="37"/>
      <c r="D44" s="37"/>
      <c r="E44" s="37"/>
      <c r="F44" s="37"/>
      <c r="G44" s="37"/>
      <c r="H44" s="37"/>
    </row>
    <row r="45" spans="2:8" ht="15" customHeight="1">
      <c r="B45" s="16" t="s">
        <v>271</v>
      </c>
      <c r="C45" s="234" t="s">
        <v>136</v>
      </c>
      <c r="D45" s="182" t="s">
        <v>408</v>
      </c>
      <c r="F45" s="256" t="s">
        <v>59</v>
      </c>
    </row>
    <row r="46" spans="2:8" ht="15" customHeight="1">
      <c r="B46" s="1" t="s">
        <v>273</v>
      </c>
      <c r="C46" s="76">
        <f>G29</f>
        <v>4399365</v>
      </c>
      <c r="D46" s="76">
        <f>H29</f>
        <v>-1662958.1</v>
      </c>
      <c r="F46" s="253"/>
    </row>
    <row r="47" spans="2:8" ht="15" customHeight="1">
      <c r="B47" s="1" t="str">
        <f>"Equity per share ("&amp;Market_currency&amp;")"</f>
        <v>Equity per share (HKD)</v>
      </c>
      <c r="C47" s="147">
        <f>C46*H1/Common_Shares*Exchange_Rate</f>
        <v>15.387661187326676</v>
      </c>
      <c r="D47" s="147">
        <f>D46*H1/Common_Shares*Exchange_Rate</f>
        <v>-5.8165293881095375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0.84886197155458731</v>
      </c>
      <c r="D50" s="95">
        <f>G31/Normalized_FCF!G8</f>
        <v>0.60272642411072641</v>
      </c>
      <c r="F50" s="253"/>
    </row>
    <row r="51" spans="2:8" ht="15" customHeight="1">
      <c r="B51" s="1" t="s">
        <v>176</v>
      </c>
      <c r="C51" s="181"/>
      <c r="D51" s="92">
        <f>G29/G32</f>
        <v>0.51454808145863629</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0.13608978396645544</v>
      </c>
      <c r="D54" s="92">
        <f>Normalized_FCF!G8/G35</f>
        <v>0.19166480463610946</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0.53029611019187339</v>
      </c>
      <c r="F59" s="253"/>
    </row>
    <row r="60" spans="2:8" ht="15" customHeight="1">
      <c r="F60" s="253"/>
    </row>
    <row r="61" spans="2:8" ht="15" customHeight="1">
      <c r="B61" s="157" t="s">
        <v>274</v>
      </c>
      <c r="C61" s="235" t="s">
        <v>137</v>
      </c>
      <c r="D61" s="197" t="s">
        <v>95</v>
      </c>
      <c r="F61" s="253"/>
    </row>
    <row r="62" spans="2:8" ht="15" customHeight="1">
      <c r="B62" s="1" t="s">
        <v>245</v>
      </c>
      <c r="C62" s="92">
        <f>IF(G28&lt;=0,0,G28/G29)</f>
        <v>4.5608854914288765E-3</v>
      </c>
      <c r="D62" s="92">
        <f>G28/G29</f>
        <v>4.5608854914288765E-3</v>
      </c>
      <c r="F62" s="253" t="s">
        <v>272</v>
      </c>
    </row>
    <row r="64" spans="2:8" ht="15" customHeight="1">
      <c r="B64" s="79" t="s">
        <v>193</v>
      </c>
      <c r="C64" s="37"/>
      <c r="D64" s="37"/>
      <c r="E64" s="37"/>
      <c r="F64" s="37"/>
      <c r="G64" s="37"/>
      <c r="H64" s="37"/>
    </row>
    <row r="65" spans="2:6" ht="15" customHeight="1">
      <c r="B65" s="16" t="s">
        <v>188</v>
      </c>
      <c r="C65" s="234" t="s">
        <v>136</v>
      </c>
      <c r="D65" s="183" t="s">
        <v>286</v>
      </c>
      <c r="F65" s="256" t="s">
        <v>59</v>
      </c>
    </row>
    <row r="66" spans="2:6" ht="15" customHeight="1">
      <c r="B66" s="105" t="s">
        <v>187</v>
      </c>
      <c r="C66" s="20">
        <f>G4+G5+G15</f>
        <v>1011563</v>
      </c>
      <c r="D66" s="76">
        <f>C66-D75</f>
        <v>415406.42282180313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1011563</v>
      </c>
      <c r="F70" s="253"/>
    </row>
    <row r="71" spans="2:6" ht="15" customHeight="1">
      <c r="F71" s="253"/>
    </row>
    <row r="72" spans="2:6" ht="15" customHeight="1">
      <c r="B72" s="255" t="s">
        <v>319</v>
      </c>
      <c r="C72" s="234" t="s">
        <v>95</v>
      </c>
      <c r="D72" s="182" t="s">
        <v>57</v>
      </c>
      <c r="F72" s="253"/>
    </row>
    <row r="73" spans="2:6" ht="15" customHeight="1">
      <c r="B73" s="105" t="s">
        <v>318</v>
      </c>
      <c r="C73" s="349">
        <f>(Normalized_FCF!G25+Normalized_FCF!G35-Normalized_FCF!G91)/12</f>
        <v>-645813.73893333331</v>
      </c>
      <c r="D73" s="349">
        <f>(Normalized_FCF!C25+Normalized_FCF!C35-Normalized_FCF!C91)/12</f>
        <v>-596156.57717819687</v>
      </c>
      <c r="F73" s="1" t="s">
        <v>353</v>
      </c>
    </row>
    <row r="74" spans="2:6" ht="15" customHeight="1">
      <c r="B74" s="257" t="s">
        <v>323</v>
      </c>
      <c r="C74" s="258">
        <f>-$C$66/C73</f>
        <v>1.5663386190432573</v>
      </c>
      <c r="D74" s="258">
        <f>-$C$66/D73</f>
        <v>1.6968075816391341</v>
      </c>
      <c r="F74" s="253" t="s">
        <v>320</v>
      </c>
    </row>
    <row r="75" spans="2:6" ht="15" customHeight="1">
      <c r="B75" s="80" t="s">
        <v>321</v>
      </c>
      <c r="C75" s="320"/>
      <c r="D75" s="321">
        <f>MAX(-D73*D76,G5)</f>
        <v>596156.57717819687</v>
      </c>
      <c r="F75" s="253" t="s">
        <v>354</v>
      </c>
    </row>
    <row r="76" spans="2:6" ht="15" customHeight="1">
      <c r="B76" s="259" t="s">
        <v>324</v>
      </c>
      <c r="C76" s="260"/>
      <c r="D76" s="290">
        <f>IF(valuation_method="DCF",IF(D74&lt;=3,1,IF(D74&gt;18,6,2)),-C66/D73)</f>
        <v>1</v>
      </c>
      <c r="F76" s="253" t="s">
        <v>325</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37624</v>
      </c>
      <c r="D80" s="76">
        <f>G19*H19</f>
        <v>3762.4</v>
      </c>
      <c r="F80" s="253"/>
    </row>
    <row r="81" spans="2:8" ht="15" customHeight="1">
      <c r="B81" s="105" t="s">
        <v>180</v>
      </c>
      <c r="C81" s="20">
        <f>G9+G21</f>
        <v>0</v>
      </c>
      <c r="D81" s="76">
        <f>G9*H9+G21*H21</f>
        <v>0</v>
      </c>
      <c r="F81" s="253"/>
    </row>
    <row r="82" spans="2:8" ht="15" customHeight="1">
      <c r="B82" s="80" t="s">
        <v>189</v>
      </c>
      <c r="C82" s="81">
        <f>SUM(C79:C81)</f>
        <v>37624</v>
      </c>
      <c r="D82" s="81">
        <f>SUM(D79:D81)</f>
        <v>3762.4</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-7755174.9999999991</v>
      </c>
      <c r="D86" s="223">
        <f>C86*scaling_factor/Common_Shares</f>
        <v>-3.0307574885963238</v>
      </c>
      <c r="E86" s="240" t="str">
        <f>Market_currency</f>
        <v>HKD</v>
      </c>
    </row>
    <row r="87" spans="2:8" ht="15" customHeight="1">
      <c r="B87" s="238" t="s">
        <v>288</v>
      </c>
      <c r="C87" s="76">
        <f>DCF!C8*Exchange_Rate</f>
        <v>3717887.4842551379</v>
      </c>
      <c r="D87" s="223">
        <f>C87*scaling_factor/Common_Shares</f>
        <v>1.452967255370099</v>
      </c>
      <c r="E87" s="240" t="str">
        <f>Market_currency</f>
        <v>HKD</v>
      </c>
    </row>
    <row r="88" spans="2:8" ht="15" customHeight="1">
      <c r="B88" s="239" t="s">
        <v>189</v>
      </c>
      <c r="C88" s="76">
        <f>DCF!C9*Exchange_Rate</f>
        <v>33673.479999999996</v>
      </c>
      <c r="D88" s="223">
        <f>C88*scaling_factor/Common_Shares</f>
        <v>1.3159748384414088E-2</v>
      </c>
      <c r="E88" s="240" t="str">
        <f>Market_currency</f>
        <v>HKD</v>
      </c>
    </row>
    <row r="89" spans="2:8" ht="15" customHeight="1">
      <c r="B89" s="80" t="s">
        <v>292</v>
      </c>
      <c r="C89" s="180">
        <f>SUM(C86:C88)</f>
        <v>-4003614.0357448612</v>
      </c>
      <c r="D89" s="242">
        <f>SUM(D86:D88)</f>
        <v>-1.5646304848418107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9" sqref="C19"/>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EUR</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4418815.5</v>
      </c>
      <c r="D4" s="57"/>
      <c r="E4" s="266"/>
      <c r="F4" s="57"/>
      <c r="G4" s="333">
        <f>Data!C36</f>
        <v>5431557</v>
      </c>
      <c r="H4" s="333">
        <f>Data!D36</f>
        <v>4726411</v>
      </c>
      <c r="I4" s="333">
        <f>Data!E36</f>
        <v>4200674</v>
      </c>
      <c r="J4" s="333">
        <f>Data!F36</f>
        <v>3316620</v>
      </c>
      <c r="K4" s="333">
        <f>Data!G36</f>
        <v>2422739</v>
      </c>
      <c r="L4" s="333">
        <f>Data!H36</f>
        <v>3225594</v>
      </c>
      <c r="M4" s="333">
        <f>Data!I36</f>
        <v>3142148</v>
      </c>
      <c r="N4" s="333" t="str">
        <f>Data!J36</f>
        <v/>
      </c>
      <c r="O4" s="333" t="str">
        <f>Data!K36</f>
        <v/>
      </c>
      <c r="P4" s="333" t="str">
        <f>Data!L36</f>
        <v/>
      </c>
      <c r="Q4" s="333" t="str">
        <f>Data!M36</f>
        <v/>
      </c>
    </row>
    <row r="5" spans="1:17" ht="15.75" customHeight="1">
      <c r="A5" s="10"/>
      <c r="B5" s="2" t="s">
        <v>46</v>
      </c>
      <c r="C5" s="328">
        <f>C25</f>
        <v>-3114820.3089383622</v>
      </c>
      <c r="E5" s="268"/>
      <c r="G5" s="333">
        <f t="shared" ref="G5:Q5" si="1">G25</f>
        <v>-3650712</v>
      </c>
      <c r="H5" s="333">
        <f t="shared" si="1"/>
        <v>-3217554</v>
      </c>
      <c r="I5" s="333">
        <f t="shared" si="1"/>
        <v>-2952057</v>
      </c>
      <c r="J5" s="333">
        <f t="shared" si="1"/>
        <v>-2533729</v>
      </c>
      <c r="K5" s="333">
        <f t="shared" si="1"/>
        <v>-679361</v>
      </c>
      <c r="L5" s="333">
        <f t="shared" si="1"/>
        <v>-905982</v>
      </c>
      <c r="M5" s="333">
        <f t="shared" si="1"/>
        <v>-879554</v>
      </c>
      <c r="N5" s="333" t="str">
        <f t="shared" si="1"/>
        <v/>
      </c>
      <c r="O5" s="333" t="str">
        <f t="shared" si="1"/>
        <v/>
      </c>
      <c r="P5" s="333" t="str">
        <f t="shared" si="1"/>
        <v/>
      </c>
      <c r="Q5" s="333" t="str">
        <f t="shared" si="1"/>
        <v/>
      </c>
    </row>
    <row r="6" spans="1:17" ht="15.75" customHeight="1">
      <c r="A6" s="10"/>
      <c r="B6" s="31" t="s">
        <v>48</v>
      </c>
      <c r="C6" s="329">
        <f>C4+C5</f>
        <v>1303995.1910616378</v>
      </c>
      <c r="E6" s="268"/>
      <c r="G6" s="329">
        <f>IF(G4="","",G4+G5)</f>
        <v>1780845</v>
      </c>
      <c r="H6" s="329">
        <f t="shared" ref="H6:Q6" si="2">IF(H4="","",H4+H5)</f>
        <v>1508857</v>
      </c>
      <c r="I6" s="329">
        <f t="shared" si="2"/>
        <v>1248617</v>
      </c>
      <c r="J6" s="329">
        <f t="shared" si="2"/>
        <v>782891</v>
      </c>
      <c r="K6" s="329">
        <f t="shared" si="2"/>
        <v>1743378</v>
      </c>
      <c r="L6" s="329">
        <f t="shared" si="2"/>
        <v>2319612</v>
      </c>
      <c r="M6" s="329">
        <f t="shared" si="2"/>
        <v>2262594</v>
      </c>
      <c r="N6" s="329" t="str">
        <f t="shared" si="2"/>
        <v/>
      </c>
      <c r="O6" s="329" t="str">
        <f t="shared" si="2"/>
        <v/>
      </c>
      <c r="P6" s="329" t="str">
        <f t="shared" si="2"/>
        <v/>
      </c>
      <c r="Q6" s="329" t="str">
        <f t="shared" si="2"/>
        <v/>
      </c>
    </row>
    <row r="7" spans="1:17" ht="15.75" customHeight="1">
      <c r="A7" s="10"/>
      <c r="B7" s="8" t="s">
        <v>45</v>
      </c>
      <c r="C7" s="328">
        <f>C35</f>
        <v>-283216.75</v>
      </c>
      <c r="E7" s="268"/>
      <c r="G7" s="328">
        <f t="shared" ref="G7:Q7" si="3">G35</f>
        <v>-343211</v>
      </c>
      <c r="H7" s="328">
        <f t="shared" si="3"/>
        <v>-296549</v>
      </c>
      <c r="I7" s="328">
        <f t="shared" si="3"/>
        <v>-265972</v>
      </c>
      <c r="J7" s="328">
        <f t="shared" si="3"/>
        <v>-227135</v>
      </c>
      <c r="K7" s="328">
        <f t="shared" si="3"/>
        <v>0</v>
      </c>
      <c r="L7" s="328">
        <f t="shared" si="3"/>
        <v>0</v>
      </c>
      <c r="M7" s="328">
        <f t="shared" si="3"/>
        <v>0</v>
      </c>
      <c r="N7" s="328" t="str">
        <f t="shared" si="3"/>
        <v/>
      </c>
      <c r="O7" s="328" t="str">
        <f t="shared" si="3"/>
        <v/>
      </c>
      <c r="P7" s="328" t="str">
        <f t="shared" si="3"/>
        <v/>
      </c>
      <c r="Q7" s="328" t="str">
        <f t="shared" si="3"/>
        <v/>
      </c>
    </row>
    <row r="8" spans="1:17" ht="15.75" customHeight="1">
      <c r="A8" s="10"/>
      <c r="B8" s="29" t="s">
        <v>152</v>
      </c>
      <c r="C8" s="330">
        <f>C6+C7</f>
        <v>1020778.4410616378</v>
      </c>
      <c r="D8" s="59"/>
      <c r="E8" s="274"/>
      <c r="F8" s="59"/>
      <c r="G8" s="329">
        <f>IF(G$4="","",G6+G7)</f>
        <v>1437634</v>
      </c>
      <c r="H8" s="329">
        <f t="shared" ref="H8:Q8" si="4">IF(H$4="","",H6+H7)</f>
        <v>1212308</v>
      </c>
      <c r="I8" s="329">
        <f t="shared" si="4"/>
        <v>982645</v>
      </c>
      <c r="J8" s="329">
        <f t="shared" si="4"/>
        <v>555756</v>
      </c>
      <c r="K8" s="329">
        <f t="shared" si="4"/>
        <v>1743378</v>
      </c>
      <c r="L8" s="329">
        <f t="shared" si="4"/>
        <v>2319612</v>
      </c>
      <c r="M8" s="329">
        <f t="shared" si="4"/>
        <v>2262594</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-90938</v>
      </c>
      <c r="E12" s="268"/>
      <c r="G12" s="328">
        <f>G50</f>
        <v>-90938</v>
      </c>
      <c r="H12" s="328">
        <f t="shared" ref="H12:Q12" si="6">H50</f>
        <v>-90856</v>
      </c>
      <c r="I12" s="328">
        <f t="shared" si="6"/>
        <v>-65015</v>
      </c>
      <c r="J12" s="328">
        <f t="shared" si="6"/>
        <v>-67989</v>
      </c>
      <c r="K12" s="328">
        <f t="shared" si="6"/>
        <v>0</v>
      </c>
      <c r="L12" s="328">
        <f t="shared" si="6"/>
        <v>0</v>
      </c>
      <c r="M12" s="328">
        <f t="shared" si="6"/>
        <v>0</v>
      </c>
      <c r="N12" s="328" t="str">
        <f t="shared" si="6"/>
        <v/>
      </c>
      <c r="O12" s="328" t="str">
        <f t="shared" si="6"/>
        <v/>
      </c>
      <c r="P12" s="328" t="str">
        <f t="shared" si="6"/>
        <v/>
      </c>
      <c r="Q12" s="328" t="str">
        <f t="shared" si="6"/>
        <v/>
      </c>
    </row>
    <row r="13" spans="1:17" ht="15.75" customHeight="1">
      <c r="A13" s="10"/>
      <c r="B13" s="70" t="s">
        <v>164</v>
      </c>
      <c r="C13" s="329">
        <f>SUM(C8:C12)</f>
        <v>929840.44106163783</v>
      </c>
      <c r="E13" s="268"/>
      <c r="G13" s="329">
        <f>IF(G$4="","",SUM(G8:G12))</f>
        <v>1346696</v>
      </c>
      <c r="H13" s="329">
        <f t="shared" ref="H13:Q13" si="7">IF(H$4="","",SUM(H8:H12))</f>
        <v>1121452</v>
      </c>
      <c r="I13" s="329">
        <f t="shared" si="7"/>
        <v>917630</v>
      </c>
      <c r="J13" s="329">
        <f t="shared" si="7"/>
        <v>487767</v>
      </c>
      <c r="K13" s="329">
        <f t="shared" si="7"/>
        <v>1743378</v>
      </c>
      <c r="L13" s="329">
        <f t="shared" si="7"/>
        <v>2319612</v>
      </c>
      <c r="M13" s="329">
        <f t="shared" si="7"/>
        <v>2262594</v>
      </c>
      <c r="N13" s="329" t="str">
        <f t="shared" si="7"/>
        <v/>
      </c>
      <c r="O13" s="329" t="str">
        <f t="shared" si="7"/>
        <v/>
      </c>
      <c r="P13" s="329" t="str">
        <f t="shared" si="7"/>
        <v/>
      </c>
      <c r="Q13" s="329" t="str">
        <f t="shared" si="7"/>
        <v/>
      </c>
    </row>
    <row r="14" spans="1:17" ht="15.75" customHeight="1">
      <c r="A14" s="10"/>
      <c r="B14" s="2" t="s">
        <v>63</v>
      </c>
      <c r="C14" s="328">
        <f>-SUM(C8+C11,C12)*C43</f>
        <v>-232460.11026540946</v>
      </c>
      <c r="E14" s="268"/>
      <c r="G14" s="328">
        <f>Data!C46</f>
        <v>-345323</v>
      </c>
      <c r="H14" s="328">
        <f>Data!D46</f>
        <v>-298071</v>
      </c>
      <c r="I14" s="328">
        <f>Data!E46</f>
        <v>-241820</v>
      </c>
      <c r="J14" s="328">
        <f>Data!F46</f>
        <v>-126552</v>
      </c>
      <c r="K14" s="328">
        <f>Data!G46</f>
        <v>-2556</v>
      </c>
      <c r="L14" s="328">
        <f>Data!H46</f>
        <v>22964</v>
      </c>
      <c r="M14" s="328">
        <f>Data!I46</f>
        <v>-94356</v>
      </c>
      <c r="N14" s="328" t="str">
        <f>Data!J46</f>
        <v/>
      </c>
      <c r="O14" s="328" t="str">
        <f>Data!K46</f>
        <v/>
      </c>
      <c r="P14" s="328" t="str">
        <f>Data!L46</f>
        <v/>
      </c>
      <c r="Q14" s="328" t="str">
        <f>Data!M46</f>
        <v/>
      </c>
    </row>
    <row r="15" spans="1:17" ht="15.75" customHeight="1">
      <c r="A15" s="10"/>
      <c r="B15" s="40" t="s">
        <v>243</v>
      </c>
      <c r="C15" s="328">
        <f>-C4*C83</f>
        <v>-4167.7471308175782</v>
      </c>
      <c r="D15" s="60"/>
      <c r="E15" s="275"/>
      <c r="F15" s="60"/>
      <c r="G15" s="333">
        <f>Data!C48</f>
        <v>-4493</v>
      </c>
      <c r="H15" s="333">
        <f>Data!D48</f>
        <v>-2366</v>
      </c>
      <c r="I15" s="333">
        <f>Data!E48</f>
        <v>-3962</v>
      </c>
      <c r="J15" s="333">
        <f>Data!F48</f>
        <v>-849</v>
      </c>
      <c r="K15" s="333">
        <f>Data!G48</f>
        <v>0</v>
      </c>
      <c r="L15" s="333">
        <f>Data!H48</f>
        <v>-1936</v>
      </c>
      <c r="M15" s="333">
        <f>Data!I48</f>
        <v>-2739</v>
      </c>
      <c r="N15" s="333" t="str">
        <f>Data!J48</f>
        <v/>
      </c>
      <c r="O15" s="333" t="str">
        <f>Data!K48</f>
        <v/>
      </c>
      <c r="P15" s="333" t="str">
        <f>Data!L48</f>
        <v/>
      </c>
      <c r="Q15" s="333" t="str">
        <f>Data!M48</f>
        <v/>
      </c>
    </row>
    <row r="16" spans="1:17" ht="15.75" customHeight="1">
      <c r="A16" s="10"/>
      <c r="B16" s="41" t="s">
        <v>154</v>
      </c>
      <c r="C16" s="332">
        <f>SUM(C13:C15)</f>
        <v>693212.58366541076</v>
      </c>
      <c r="D16" s="61"/>
      <c r="E16" s="276"/>
      <c r="F16" s="61"/>
      <c r="G16" s="329">
        <f>IF(G$4="","",SUM(G13:G15))</f>
        <v>996880</v>
      </c>
      <c r="H16" s="329">
        <f t="shared" ref="H16:Q16" si="8">IF(H$4="","",SUM(H13:H15))</f>
        <v>821015</v>
      </c>
      <c r="I16" s="329">
        <f t="shared" si="8"/>
        <v>671848</v>
      </c>
      <c r="J16" s="329">
        <f t="shared" si="8"/>
        <v>360366</v>
      </c>
      <c r="K16" s="329">
        <f t="shared" si="8"/>
        <v>1740822</v>
      </c>
      <c r="L16" s="329">
        <f t="shared" si="8"/>
        <v>2340640</v>
      </c>
      <c r="M16" s="329">
        <f t="shared" si="8"/>
        <v>2165499</v>
      </c>
      <c r="N16" s="329" t="str">
        <f t="shared" si="8"/>
        <v/>
      </c>
      <c r="O16" s="329" t="str">
        <f t="shared" si="8"/>
        <v/>
      </c>
      <c r="P16" s="329" t="str">
        <f t="shared" si="8"/>
        <v/>
      </c>
      <c r="Q16" s="329" t="str">
        <f t="shared" si="8"/>
        <v/>
      </c>
    </row>
    <row r="17" spans="1:17" ht="15.75" customHeight="1">
      <c r="A17" s="10"/>
      <c r="B17" s="27" t="s">
        <v>52</v>
      </c>
      <c r="C17" s="328">
        <f>-C4*C85</f>
        <v>0</v>
      </c>
      <c r="D17" s="58"/>
      <c r="E17" s="267" t="s">
        <v>333</v>
      </c>
      <c r="F17" s="58"/>
      <c r="G17" s="335"/>
      <c r="H17" s="335"/>
      <c r="I17" s="335"/>
      <c r="J17" s="335"/>
      <c r="K17" s="335"/>
      <c r="L17" s="335"/>
      <c r="M17" s="335"/>
      <c r="N17" s="335"/>
      <c r="O17" s="335"/>
      <c r="P17" s="335"/>
      <c r="Q17" s="335"/>
    </row>
    <row r="18" spans="1:17" ht="15.75" customHeight="1">
      <c r="A18" s="10"/>
      <c r="B18" s="27" t="s">
        <v>98</v>
      </c>
      <c r="C18" s="328">
        <v>0</v>
      </c>
      <c r="D18" s="58"/>
      <c r="E18" s="267" t="s">
        <v>334</v>
      </c>
      <c r="F18" s="58"/>
      <c r="G18" s="336"/>
      <c r="H18" s="336"/>
      <c r="I18" s="336"/>
      <c r="J18" s="336"/>
      <c r="K18" s="336"/>
      <c r="L18" s="336"/>
      <c r="M18" s="336"/>
      <c r="N18" s="336"/>
      <c r="O18" s="336"/>
      <c r="P18" s="336"/>
      <c r="Q18" s="336"/>
    </row>
    <row r="19" spans="1:17" ht="15.75" customHeight="1">
      <c r="A19" s="10"/>
      <c r="B19" s="31" t="s">
        <v>66</v>
      </c>
      <c r="C19" s="329">
        <f>C16+C17</f>
        <v>693212.58366541076</v>
      </c>
      <c r="D19" s="27"/>
      <c r="E19" s="265"/>
      <c r="F19" s="27"/>
      <c r="G19" s="334">
        <f>IF(G$4="","",G16+G17)</f>
        <v>996880</v>
      </c>
      <c r="H19" s="334">
        <f t="shared" ref="H19:Q19" si="9">IF(H$4="","",H16+H17)</f>
        <v>821015</v>
      </c>
      <c r="I19" s="334">
        <f t="shared" si="9"/>
        <v>671848</v>
      </c>
      <c r="J19" s="334">
        <f t="shared" si="9"/>
        <v>360366</v>
      </c>
      <c r="K19" s="334">
        <f t="shared" si="9"/>
        <v>1740822</v>
      </c>
      <c r="L19" s="334">
        <f t="shared" si="9"/>
        <v>2340640</v>
      </c>
      <c r="M19" s="334">
        <f t="shared" si="9"/>
        <v>2165499</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-945040.91970159439</v>
      </c>
      <c r="D23" s="58"/>
      <c r="E23" s="267"/>
      <c r="F23" s="58"/>
      <c r="G23" s="333">
        <f>Data!C37</f>
        <v>-1094865</v>
      </c>
      <c r="H23" s="333">
        <f>Data!D37</f>
        <v>-924640</v>
      </c>
      <c r="I23" s="333">
        <f>Data!E37</f>
        <v>-888580</v>
      </c>
      <c r="J23" s="333">
        <f>Data!F37</f>
        <v>-818309</v>
      </c>
      <c r="K23" s="333">
        <f>Data!G37</f>
        <v>-679361</v>
      </c>
      <c r="L23" s="333">
        <f>Data!H37</f>
        <v>-905982</v>
      </c>
      <c r="M23" s="333">
        <f>Data!I37</f>
        <v>-879554</v>
      </c>
      <c r="N23" s="333" t="str">
        <f>Data!J37</f>
        <v/>
      </c>
      <c r="O23" s="333" t="str">
        <f>Data!K37</f>
        <v/>
      </c>
      <c r="P23" s="333" t="str">
        <f>Data!L37</f>
        <v/>
      </c>
      <c r="Q23" s="333" t="str">
        <f>Data!M37</f>
        <v/>
      </c>
    </row>
    <row r="24" spans="1:17" ht="15.75" customHeight="1">
      <c r="A24" s="10"/>
      <c r="B24" s="68" t="s">
        <v>62</v>
      </c>
      <c r="C24" s="328">
        <f>-C4*C29</f>
        <v>-2169779.3892367678</v>
      </c>
      <c r="D24" s="27"/>
      <c r="E24" s="265"/>
      <c r="F24" s="27"/>
      <c r="G24" s="333">
        <f>Data!C40</f>
        <v>-2555847</v>
      </c>
      <c r="H24" s="333">
        <f>Data!D40</f>
        <v>-2292914</v>
      </c>
      <c r="I24" s="333">
        <f>Data!E40</f>
        <v>-2063477</v>
      </c>
      <c r="J24" s="333">
        <f>Data!F40</f>
        <v>-1715420</v>
      </c>
      <c r="K24" s="333">
        <f>Data!G40</f>
        <v>0</v>
      </c>
      <c r="L24" s="333">
        <f>Data!H40</f>
        <v>0</v>
      </c>
      <c r="M24" s="333">
        <f>Data!I40</f>
        <v>0</v>
      </c>
      <c r="N24" s="333" t="str">
        <f>Data!J40</f>
        <v/>
      </c>
      <c r="O24" s="333" t="str">
        <f>Data!K40</f>
        <v/>
      </c>
      <c r="P24" s="333" t="str">
        <f>Data!L40</f>
        <v/>
      </c>
      <c r="Q24" s="333" t="str">
        <f>Data!M40</f>
        <v/>
      </c>
    </row>
    <row r="25" spans="1:17" ht="15.75" customHeight="1">
      <c r="A25" s="10"/>
      <c r="B25" s="70" t="s">
        <v>46</v>
      </c>
      <c r="C25" s="329">
        <f>C23+C24</f>
        <v>-3114820.3089383622</v>
      </c>
      <c r="D25" s="9"/>
      <c r="E25" s="273"/>
      <c r="F25" s="9"/>
      <c r="G25" s="329">
        <f t="shared" ref="G25:Q25" si="10">IF(G$4="","",G23+G24)</f>
        <v>-3650712</v>
      </c>
      <c r="H25" s="329">
        <f t="shared" si="10"/>
        <v>-3217554</v>
      </c>
      <c r="I25" s="329">
        <f t="shared" si="10"/>
        <v>-2952057</v>
      </c>
      <c r="J25" s="329">
        <f t="shared" si="10"/>
        <v>-2533729</v>
      </c>
      <c r="K25" s="329">
        <f t="shared" si="10"/>
        <v>-679361</v>
      </c>
      <c r="L25" s="329">
        <f t="shared" si="10"/>
        <v>-905982</v>
      </c>
      <c r="M25" s="329">
        <f t="shared" si="10"/>
        <v>-879554</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0.21386747640891421</v>
      </c>
      <c r="D28" s="26"/>
      <c r="E28" s="266" t="s">
        <v>335</v>
      </c>
      <c r="F28" s="26"/>
      <c r="G28" s="13">
        <f t="shared" ref="G28:Q28" si="11">IF(G$4="","",ABS(G23/G$4))</f>
        <v>0.20157479706095324</v>
      </c>
      <c r="H28" s="13">
        <f t="shared" si="11"/>
        <v>0.19563258463980385</v>
      </c>
      <c r="I28" s="13">
        <f t="shared" si="11"/>
        <v>0.21153272070148743</v>
      </c>
      <c r="J28" s="13">
        <f t="shared" si="11"/>
        <v>0.24672980323341234</v>
      </c>
      <c r="K28" s="13">
        <f t="shared" si="11"/>
        <v>0.28041031246040121</v>
      </c>
      <c r="L28" s="13">
        <f t="shared" si="11"/>
        <v>0.28087291829039862</v>
      </c>
      <c r="M28" s="13">
        <f t="shared" si="11"/>
        <v>0.2799212513223438</v>
      </c>
      <c r="N28" s="13" t="str">
        <f t="shared" si="11"/>
        <v/>
      </c>
      <c r="O28" s="13" t="str">
        <f t="shared" si="11"/>
        <v/>
      </c>
      <c r="P28" s="13" t="str">
        <f t="shared" si="11"/>
        <v/>
      </c>
      <c r="Q28" s="13" t="str">
        <f t="shared" si="11"/>
        <v/>
      </c>
    </row>
    <row r="29" spans="1:17" ht="15.75" customHeight="1">
      <c r="A29" s="10"/>
      <c r="B29" s="68" t="str">
        <f>B24</f>
        <v>Selling Expenses</v>
      </c>
      <c r="C29" s="63">
        <f>AVERAGE(G29:J29)</f>
        <v>0.4910319041916929</v>
      </c>
      <c r="D29" s="26"/>
      <c r="E29" s="266" t="s">
        <v>335</v>
      </c>
      <c r="F29" s="26"/>
      <c r="G29" s="13">
        <f t="shared" ref="G29:Q29" si="12">IF(G$4="","",ABS(G24/G$4))</f>
        <v>0.4705551281151979</v>
      </c>
      <c r="H29" s="13">
        <f t="shared" si="12"/>
        <v>0.48512793322459685</v>
      </c>
      <c r="I29" s="13">
        <f t="shared" si="12"/>
        <v>0.49122521766745053</v>
      </c>
      <c r="J29" s="13">
        <f t="shared" si="12"/>
        <v>0.51721933775952622</v>
      </c>
      <c r="K29" s="13">
        <f t="shared" si="12"/>
        <v>0</v>
      </c>
      <c r="L29" s="13">
        <f t="shared" si="12"/>
        <v>0</v>
      </c>
      <c r="M29" s="13">
        <f t="shared" si="12"/>
        <v>0</v>
      </c>
      <c r="N29" s="13" t="str">
        <f t="shared" si="12"/>
        <v/>
      </c>
      <c r="O29" s="13" t="str">
        <f t="shared" si="12"/>
        <v/>
      </c>
      <c r="P29" s="13" t="str">
        <f t="shared" si="12"/>
        <v/>
      </c>
      <c r="Q29" s="13" t="str">
        <f t="shared" si="12"/>
        <v/>
      </c>
    </row>
    <row r="30" spans="1:17" ht="15.75" customHeight="1">
      <c r="A30" s="10"/>
      <c r="B30" s="70" t="s">
        <v>46</v>
      </c>
      <c r="C30" s="71">
        <f>ABS(C25/$C$4)</f>
        <v>0.70489938060060719</v>
      </c>
      <c r="E30" s="268"/>
      <c r="G30" s="30">
        <f t="shared" ref="G30:Q30" si="13">IF(G$4="","",ABS(G25/G$4))</f>
        <v>0.67212992517615111</v>
      </c>
      <c r="H30" s="30">
        <f t="shared" si="13"/>
        <v>0.68076051786440073</v>
      </c>
      <c r="I30" s="30">
        <f t="shared" si="13"/>
        <v>0.70275793836893796</v>
      </c>
      <c r="J30" s="30">
        <f t="shared" si="13"/>
        <v>0.76394914099293865</v>
      </c>
      <c r="K30" s="30">
        <f t="shared" si="13"/>
        <v>0.28041031246040121</v>
      </c>
      <c r="L30" s="30">
        <f t="shared" si="13"/>
        <v>0.28087291829039862</v>
      </c>
      <c r="M30" s="30">
        <f t="shared" si="13"/>
        <v>0.2799212513223438</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-283216.75</v>
      </c>
      <c r="E33" s="266" t="s">
        <v>335</v>
      </c>
      <c r="G33" s="328">
        <f>Data!C41</f>
        <v>-343211</v>
      </c>
      <c r="H33" s="328">
        <f>Data!D41</f>
        <v>-296549</v>
      </c>
      <c r="I33" s="328">
        <f>Data!E41</f>
        <v>-265972</v>
      </c>
      <c r="J33" s="328">
        <f>Data!F41</f>
        <v>-227135</v>
      </c>
      <c r="K33" s="328">
        <f>Data!G41</f>
        <v>0</v>
      </c>
      <c r="L33" s="328">
        <f>Data!H41</f>
        <v>0</v>
      </c>
      <c r="M33" s="328">
        <f>Data!I41</f>
        <v>0</v>
      </c>
      <c r="N33" s="328" t="str">
        <f>Data!J41</f>
        <v/>
      </c>
      <c r="O33" s="328" t="str">
        <f>Data!K41</f>
        <v/>
      </c>
      <c r="P33" s="328" t="str">
        <f>Data!L41</f>
        <v/>
      </c>
      <c r="Q33" s="328" t="str">
        <f>Data!M41</f>
        <v/>
      </c>
    </row>
    <row r="34" spans="1:17" ht="15.75" customHeight="1">
      <c r="A34" s="10"/>
      <c r="B34" s="27" t="s">
        <v>49</v>
      </c>
      <c r="C34" s="340">
        <f>AVERAGE(G34:J34)</f>
        <v>0</v>
      </c>
      <c r="D34" s="58"/>
      <c r="E34" s="266" t="s">
        <v>335</v>
      </c>
      <c r="F34" s="58"/>
      <c r="G34" s="333">
        <f>Data!C42</f>
        <v>0</v>
      </c>
      <c r="H34" s="333">
        <f>Data!D42</f>
        <v>0</v>
      </c>
      <c r="I34" s="333">
        <f>Data!E42</f>
        <v>0</v>
      </c>
      <c r="J34" s="333">
        <f>Data!F42</f>
        <v>0</v>
      </c>
      <c r="K34" s="333">
        <f>Data!G42</f>
        <v>0</v>
      </c>
      <c r="L34" s="333">
        <f>Data!H42</f>
        <v>0</v>
      </c>
      <c r="M34" s="333">
        <f>Data!I42</f>
        <v>0</v>
      </c>
      <c r="N34" s="333" t="str">
        <f>Data!J42</f>
        <v/>
      </c>
      <c r="O34" s="333" t="str">
        <f>Data!K42</f>
        <v/>
      </c>
      <c r="P34" s="333" t="str">
        <f>Data!L42</f>
        <v/>
      </c>
      <c r="Q34" s="333" t="str">
        <f>Data!M42</f>
        <v/>
      </c>
    </row>
    <row r="35" spans="1:17" ht="15.75" customHeight="1">
      <c r="A35" s="10"/>
      <c r="B35" s="70" t="s">
        <v>45</v>
      </c>
      <c r="C35" s="329">
        <f>C33+C34</f>
        <v>-283216.75</v>
      </c>
      <c r="D35" s="58"/>
      <c r="E35" s="267"/>
      <c r="F35" s="58"/>
      <c r="G35" s="329">
        <f t="shared" ref="G35:Q35" si="14">IF(G4="","",G33+G34)</f>
        <v>-343211</v>
      </c>
      <c r="H35" s="329">
        <f t="shared" si="14"/>
        <v>-296549</v>
      </c>
      <c r="I35" s="329">
        <f t="shared" si="14"/>
        <v>-265972</v>
      </c>
      <c r="J35" s="329">
        <f t="shared" si="14"/>
        <v>-227135</v>
      </c>
      <c r="K35" s="329">
        <f t="shared" si="14"/>
        <v>0</v>
      </c>
      <c r="L35" s="329">
        <f t="shared" si="14"/>
        <v>0</v>
      </c>
      <c r="M35" s="329">
        <f t="shared" si="14"/>
        <v>0</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6.4093363934294156E-2</v>
      </c>
      <c r="D38" s="27"/>
      <c r="E38" s="265"/>
      <c r="F38" s="27"/>
      <c r="G38" s="13">
        <f t="shared" ref="G38:Q38" si="15">IF(G$4="","",ABS(G33/G$4))</f>
        <v>6.3188327030352445E-2</v>
      </c>
      <c r="H38" s="13">
        <f t="shared" si="15"/>
        <v>6.2742956547790704E-2</v>
      </c>
      <c r="I38" s="13">
        <f t="shared" si="15"/>
        <v>6.3316505875009588E-2</v>
      </c>
      <c r="J38" s="13">
        <f t="shared" si="15"/>
        <v>6.8483878165119916E-2</v>
      </c>
      <c r="K38" s="13">
        <f t="shared" si="15"/>
        <v>0</v>
      </c>
      <c r="L38" s="13">
        <f t="shared" si="15"/>
        <v>0</v>
      </c>
      <c r="M38" s="13">
        <f t="shared" si="15"/>
        <v>0</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t="str">
        <f t="shared" si="16"/>
        <v/>
      </c>
      <c r="O39" s="13" t="str">
        <f t="shared" si="16"/>
        <v/>
      </c>
      <c r="P39" s="13" t="str">
        <f t="shared" si="16"/>
        <v/>
      </c>
      <c r="Q39" s="13" t="str">
        <f t="shared" si="16"/>
        <v/>
      </c>
    </row>
    <row r="40" spans="1:17" ht="15.75" customHeight="1">
      <c r="A40" s="10"/>
      <c r="B40" s="70" t="s">
        <v>45</v>
      </c>
      <c r="C40" s="71">
        <f>ABS(C35/$C$4)</f>
        <v>6.4093363934294156E-2</v>
      </c>
      <c r="E40" s="268"/>
      <c r="G40" s="30">
        <f t="shared" ref="G40:Q40" si="17">IF(G$4="","",ABS(G35/G$4))</f>
        <v>6.3188327030352445E-2</v>
      </c>
      <c r="H40" s="30">
        <f t="shared" si="17"/>
        <v>6.2742956547790704E-2</v>
      </c>
      <c r="I40" s="30">
        <f t="shared" si="17"/>
        <v>6.3316505875009588E-2</v>
      </c>
      <c r="J40" s="30">
        <f t="shared" si="17"/>
        <v>6.8483878165119916E-2</v>
      </c>
      <c r="K40" s="30">
        <f t="shared" si="17"/>
        <v>0</v>
      </c>
      <c r="L40" s="30">
        <f t="shared" si="17"/>
        <v>0</v>
      </c>
      <c r="M40" s="30">
        <f t="shared" si="17"/>
        <v>0</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336</v>
      </c>
      <c r="F43" s="27"/>
      <c r="G43" s="6">
        <f t="shared" ref="G43:Q43" si="18">IF(G$4="","",-G14/SUM(G8+G11,G12))</f>
        <v>0.25642238485894364</v>
      </c>
      <c r="H43" s="6">
        <f t="shared" si="18"/>
        <v>0.26579024336306861</v>
      </c>
      <c r="I43" s="6">
        <f t="shared" si="18"/>
        <v>0.26352669376546101</v>
      </c>
      <c r="J43" s="6">
        <f t="shared" si="18"/>
        <v>0.25945174642811014</v>
      </c>
      <c r="K43" s="6">
        <f t="shared" si="18"/>
        <v>1.4661192237139622E-3</v>
      </c>
      <c r="L43" s="6">
        <f t="shared" si="18"/>
        <v>-9.8999315402748395E-3</v>
      </c>
      <c r="M43" s="6">
        <f t="shared" si="18"/>
        <v>4.1702576776920651E-2</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-90938</v>
      </c>
      <c r="E47" s="268"/>
      <c r="G47" s="328">
        <f>Data!C51</f>
        <v>-90938</v>
      </c>
      <c r="H47" s="328">
        <f>Data!D51</f>
        <v>-90856</v>
      </c>
      <c r="I47" s="328">
        <f>Data!E51</f>
        <v>-65015</v>
      </c>
      <c r="J47" s="328">
        <f>Data!F51</f>
        <v>-67989</v>
      </c>
      <c r="K47" s="328">
        <f>Data!G51</f>
        <v>0</v>
      </c>
      <c r="L47" s="328">
        <f>Data!H51</f>
        <v>0</v>
      </c>
      <c r="M47" s="328">
        <f>Data!I51</f>
        <v>0</v>
      </c>
      <c r="N47" s="328" t="str">
        <f>Data!J51</f>
        <v/>
      </c>
      <c r="O47" s="328" t="str">
        <f>Data!K51</f>
        <v/>
      </c>
      <c r="P47" s="328" t="str">
        <f>Data!L51</f>
        <v/>
      </c>
      <c r="Q47" s="328" t="str">
        <f>Data!M51</f>
        <v/>
      </c>
    </row>
    <row r="48" spans="1:17" ht="15.75" customHeight="1">
      <c r="A48" s="10"/>
      <c r="B48" s="2" t="s">
        <v>347</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344</v>
      </c>
      <c r="C49" s="342">
        <f>BS!$C$66*C53</f>
        <v>0</v>
      </c>
      <c r="D49" s="288"/>
      <c r="E49" s="289"/>
      <c r="F49" s="288"/>
      <c r="G49" s="342">
        <f>Data!C52</f>
        <v>111</v>
      </c>
      <c r="H49" s="342">
        <f>Data!D52</f>
        <v>627</v>
      </c>
      <c r="I49" s="342">
        <f>Data!E52</f>
        <v>0</v>
      </c>
      <c r="J49" s="342">
        <f>Data!F52</f>
        <v>160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-90938</v>
      </c>
      <c r="E50" s="268"/>
      <c r="G50" s="329">
        <f>IF(G$4="","",(G47+G48))</f>
        <v>-90938</v>
      </c>
      <c r="H50" s="329">
        <f t="shared" ref="H50:Q50" si="20">IF(H$4="","",(H47+H48))</f>
        <v>-90856</v>
      </c>
      <c r="I50" s="329">
        <f t="shared" si="20"/>
        <v>-65015</v>
      </c>
      <c r="J50" s="329">
        <f t="shared" si="20"/>
        <v>-67989</v>
      </c>
      <c r="K50" s="329">
        <f t="shared" si="20"/>
        <v>0</v>
      </c>
      <c r="L50" s="329">
        <f t="shared" si="20"/>
        <v>0</v>
      </c>
      <c r="M50" s="329">
        <f t="shared" si="20"/>
        <v>0</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v>
      </c>
      <c r="E53" s="265" t="s">
        <v>337</v>
      </c>
      <c r="G53" s="6">
        <f>IF(Normalized_FCF!G4="","",Normalized_FCF!G49/BS!$C$66)</f>
        <v>1.0973117838434185E-4</v>
      </c>
      <c r="H53" s="169"/>
      <c r="I53" s="169"/>
      <c r="J53" s="169"/>
      <c r="K53" s="169"/>
      <c r="L53" s="169"/>
      <c r="M53" s="169"/>
      <c r="N53" s="169"/>
      <c r="O53" s="169"/>
      <c r="P53" s="169"/>
      <c r="Q53" s="169"/>
    </row>
    <row r="54" spans="1:17" ht="15.75" customHeight="1">
      <c r="A54" s="10"/>
      <c r="B54" s="8" t="s">
        <v>87</v>
      </c>
      <c r="C54" s="82">
        <f>G54</f>
        <v>0.10494864396999423</v>
      </c>
      <c r="E54" s="265" t="s">
        <v>338</v>
      </c>
      <c r="G54" s="23">
        <f>IFERROR(ABS(Normalized_FCF!G47/BS!$G$31),0)</f>
        <v>0.10494864396999423</v>
      </c>
      <c r="H54" s="169"/>
      <c r="I54" s="169"/>
      <c r="J54" s="169"/>
      <c r="K54" s="169"/>
      <c r="L54" s="169"/>
      <c r="M54" s="169"/>
      <c r="N54" s="169"/>
      <c r="O54" s="169"/>
      <c r="P54" s="169"/>
      <c r="Q54" s="169"/>
    </row>
    <row r="55" spans="1:17" ht="15.75" customHeight="1">
      <c r="A55" s="10"/>
      <c r="B55" s="26" t="s">
        <v>90</v>
      </c>
      <c r="C55" s="42">
        <f>-C8/C47</f>
        <v>11.224993303807405</v>
      </c>
      <c r="E55" s="268"/>
      <c r="G55" s="42">
        <f t="shared" ref="G55:Q55" si="21">IF(G4="","",-G8/G47)</f>
        <v>15.808946754931931</v>
      </c>
      <c r="H55" s="42">
        <f t="shared" si="21"/>
        <v>13.34318041736374</v>
      </c>
      <c r="I55" s="42">
        <f t="shared" si="21"/>
        <v>15.114127509036376</v>
      </c>
      <c r="J55" s="42">
        <f t="shared" si="21"/>
        <v>8.174204650752328</v>
      </c>
      <c r="K55" s="42" t="e">
        <f t="shared" si="21"/>
        <v>#DIV/0!</v>
      </c>
      <c r="L55" s="42" t="e">
        <f t="shared" si="21"/>
        <v>#DIV/0!</v>
      </c>
      <c r="M55" s="42" t="e">
        <f t="shared" si="21"/>
        <v>#DIV/0!</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160</v>
      </c>
      <c r="C62" s="343">
        <v>0</v>
      </c>
      <c r="E62" s="266" t="s">
        <v>339</v>
      </c>
      <c r="G62" s="328">
        <f>Data!C58</f>
        <v>-158084</v>
      </c>
      <c r="H62" s="328">
        <f>Data!D58</f>
        <v>-150616</v>
      </c>
      <c r="I62" s="328">
        <f>Data!E58</f>
        <v>-206655</v>
      </c>
      <c r="J62" s="328">
        <f>Data!F58</f>
        <v>-66272</v>
      </c>
      <c r="K62" s="328">
        <f>Data!G58</f>
        <v>-1795190</v>
      </c>
      <c r="L62" s="328">
        <f>Data!H58</f>
        <v>-2084852</v>
      </c>
      <c r="M62" s="328">
        <f>Data!I58</f>
        <v>-1960056</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-158084</v>
      </c>
      <c r="H63" s="329">
        <f t="shared" si="23"/>
        <v>-150616</v>
      </c>
      <c r="I63" s="329">
        <f t="shared" si="23"/>
        <v>-206655</v>
      </c>
      <c r="J63" s="329">
        <f t="shared" si="23"/>
        <v>-66272</v>
      </c>
      <c r="K63" s="329">
        <f t="shared" si="23"/>
        <v>-1795190</v>
      </c>
      <c r="L63" s="329">
        <f t="shared" si="23"/>
        <v>-2084852</v>
      </c>
      <c r="M63" s="329">
        <f t="shared" si="23"/>
        <v>-1960056</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59</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0.70489938060060719</v>
      </c>
      <c r="D73" s="27"/>
      <c r="E73" s="265"/>
      <c r="F73" s="27"/>
      <c r="G73" s="6">
        <f t="shared" ref="G73:Q73" si="24">IF(G$4="","",ABS(G5/G$4))</f>
        <v>0.67212992517615111</v>
      </c>
      <c r="H73" s="6">
        <f t="shared" si="24"/>
        <v>0.68076051786440073</v>
      </c>
      <c r="I73" s="6">
        <f t="shared" si="24"/>
        <v>0.70275793836893796</v>
      </c>
      <c r="J73" s="6">
        <f t="shared" si="24"/>
        <v>0.76394914099293865</v>
      </c>
      <c r="K73" s="6">
        <f t="shared" si="24"/>
        <v>0.28041031246040121</v>
      </c>
      <c r="L73" s="6">
        <f t="shared" si="24"/>
        <v>0.28087291829039862</v>
      </c>
      <c r="M73" s="6">
        <f t="shared" si="24"/>
        <v>0.2799212513223438</v>
      </c>
      <c r="N73" s="6" t="str">
        <f t="shared" si="24"/>
        <v/>
      </c>
      <c r="O73" s="6" t="str">
        <f t="shared" si="24"/>
        <v/>
      </c>
      <c r="P73" s="6" t="str">
        <f t="shared" si="24"/>
        <v/>
      </c>
      <c r="Q73" s="6" t="str">
        <f t="shared" si="24"/>
        <v/>
      </c>
    </row>
    <row r="74" spans="1:17" ht="15.75" customHeight="1">
      <c r="A74" s="10"/>
      <c r="B74" s="31" t="s">
        <v>48</v>
      </c>
      <c r="C74" s="78">
        <f>ABS(C6/C$4)</f>
        <v>0.29510061939939286</v>
      </c>
      <c r="D74" s="27"/>
      <c r="E74" s="265"/>
      <c r="F74" s="27"/>
      <c r="G74" s="65">
        <f t="shared" ref="G74:Q74" si="25">IF(G$4="","",ABS(G6/G$4))</f>
        <v>0.32787007482384883</v>
      </c>
      <c r="H74" s="65">
        <f t="shared" si="25"/>
        <v>0.31923948213559927</v>
      </c>
      <c r="I74" s="65">
        <f t="shared" si="25"/>
        <v>0.29724206163106204</v>
      </c>
      <c r="J74" s="65">
        <f t="shared" si="25"/>
        <v>0.23605085900706141</v>
      </c>
      <c r="K74" s="65">
        <f t="shared" si="25"/>
        <v>0.71958968753959873</v>
      </c>
      <c r="L74" s="65">
        <f t="shared" si="25"/>
        <v>0.71912708170960138</v>
      </c>
      <c r="M74" s="65">
        <f t="shared" si="25"/>
        <v>0.7200787486776562</v>
      </c>
      <c r="N74" s="65" t="str">
        <f t="shared" si="25"/>
        <v/>
      </c>
      <c r="O74" s="65" t="str">
        <f t="shared" si="25"/>
        <v/>
      </c>
      <c r="P74" s="65" t="str">
        <f t="shared" si="25"/>
        <v/>
      </c>
      <c r="Q74" s="65" t="str">
        <f t="shared" si="25"/>
        <v/>
      </c>
    </row>
    <row r="75" spans="1:17" ht="15.75" customHeight="1">
      <c r="A75" s="10"/>
      <c r="B75" s="8" t="s">
        <v>45</v>
      </c>
      <c r="C75" s="77">
        <f>ABS(C7/C$4)</f>
        <v>6.4093363934294156E-2</v>
      </c>
      <c r="D75" s="27"/>
      <c r="E75" s="265"/>
      <c r="F75" s="27"/>
      <c r="G75" s="6">
        <f t="shared" ref="G75:Q75" si="26">IF(G$4="","",ABS(G7/G$4))</f>
        <v>6.3188327030352445E-2</v>
      </c>
      <c r="H75" s="6">
        <f t="shared" si="26"/>
        <v>6.2742956547790704E-2</v>
      </c>
      <c r="I75" s="6">
        <f t="shared" si="26"/>
        <v>6.3316505875009588E-2</v>
      </c>
      <c r="J75" s="6">
        <f t="shared" si="26"/>
        <v>6.8483878165119916E-2</v>
      </c>
      <c r="K75" s="6">
        <f t="shared" si="26"/>
        <v>0</v>
      </c>
      <c r="L75" s="6">
        <f t="shared" si="26"/>
        <v>0</v>
      </c>
      <c r="M75" s="6">
        <f t="shared" si="26"/>
        <v>0</v>
      </c>
      <c r="N75" s="6" t="str">
        <f t="shared" si="26"/>
        <v/>
      </c>
      <c r="O75" s="6" t="str">
        <f t="shared" si="26"/>
        <v/>
      </c>
      <c r="P75" s="6" t="str">
        <f t="shared" si="26"/>
        <v/>
      </c>
      <c r="Q75" s="6" t="str">
        <f t="shared" si="26"/>
        <v/>
      </c>
    </row>
    <row r="76" spans="1:17" ht="15.75" customHeight="1">
      <c r="A76" s="10"/>
      <c r="B76" s="29" t="s">
        <v>152</v>
      </c>
      <c r="C76" s="78">
        <f>ABS(C8/C$4)</f>
        <v>0.2310072554650987</v>
      </c>
      <c r="D76" s="27"/>
      <c r="E76" s="265"/>
      <c r="F76" s="27"/>
      <c r="G76" s="65">
        <f t="shared" ref="G76:Q76" si="27">IF(G$4="","",ABS(G8/G$4))</f>
        <v>0.2646817477934964</v>
      </c>
      <c r="H76" s="65">
        <f t="shared" si="27"/>
        <v>0.25649652558780861</v>
      </c>
      <c r="I76" s="65">
        <f t="shared" si="27"/>
        <v>0.23392555575605248</v>
      </c>
      <c r="J76" s="65">
        <f t="shared" si="27"/>
        <v>0.16756698084194149</v>
      </c>
      <c r="K76" s="65">
        <f t="shared" si="27"/>
        <v>0.71958968753959873</v>
      </c>
      <c r="L76" s="65">
        <f t="shared" si="27"/>
        <v>0.71912708170960138</v>
      </c>
      <c r="M76" s="65">
        <f t="shared" si="27"/>
        <v>0.7200787486776562</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356</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2.0579723231259599E-2</v>
      </c>
      <c r="D80" s="27"/>
      <c r="E80" s="265"/>
      <c r="F80" s="27"/>
      <c r="G80" s="6">
        <f t="shared" ref="G80:Q80" si="31">IF(G$4="","",ABS(G12/G$4))</f>
        <v>1.6742528891807634E-2</v>
      </c>
      <c r="H80" s="6">
        <f t="shared" si="31"/>
        <v>1.9223042600400177E-2</v>
      </c>
      <c r="I80" s="6">
        <f t="shared" si="31"/>
        <v>1.5477278170122222E-2</v>
      </c>
      <c r="J80" s="6">
        <f t="shared" si="31"/>
        <v>2.0499484414856089E-2</v>
      </c>
      <c r="K80" s="6">
        <f t="shared" si="31"/>
        <v>0</v>
      </c>
      <c r="L80" s="6">
        <f t="shared" si="31"/>
        <v>0</v>
      </c>
      <c r="M80" s="6">
        <f t="shared" si="31"/>
        <v>0</v>
      </c>
      <c r="N80" s="6" t="str">
        <f t="shared" si="31"/>
        <v/>
      </c>
      <c r="O80" s="6" t="str">
        <f t="shared" si="31"/>
        <v/>
      </c>
      <c r="P80" s="6" t="str">
        <f t="shared" si="31"/>
        <v/>
      </c>
      <c r="Q80" s="6" t="str">
        <f t="shared" si="31"/>
        <v/>
      </c>
    </row>
    <row r="81" spans="1:17" ht="15.75" customHeight="1">
      <c r="A81" s="10"/>
      <c r="B81" s="70" t="s">
        <v>164</v>
      </c>
      <c r="C81" s="78">
        <f>C13/C4</f>
        <v>0.21042753223383909</v>
      </c>
      <c r="D81" s="27"/>
      <c r="E81" s="265"/>
      <c r="F81" s="27"/>
      <c r="G81" s="65">
        <f t="shared" ref="G81:Q81" si="32">IF(G$4="","",G13/G$4)</f>
        <v>0.24793921890168877</v>
      </c>
      <c r="H81" s="65">
        <f t="shared" si="32"/>
        <v>0.23727348298740841</v>
      </c>
      <c r="I81" s="65">
        <f t="shared" si="32"/>
        <v>0.21844827758593025</v>
      </c>
      <c r="J81" s="65">
        <f t="shared" si="32"/>
        <v>0.14706749642708541</v>
      </c>
      <c r="K81" s="65">
        <f t="shared" si="32"/>
        <v>0.71958968753959873</v>
      </c>
      <c r="L81" s="65">
        <f t="shared" si="32"/>
        <v>0.71912708170960138</v>
      </c>
      <c r="M81" s="65">
        <f t="shared" si="32"/>
        <v>0.7200787486776562</v>
      </c>
      <c r="N81" s="65" t="str">
        <f t="shared" si="32"/>
        <v/>
      </c>
      <c r="O81" s="65" t="str">
        <f t="shared" si="32"/>
        <v/>
      </c>
      <c r="P81" s="65" t="str">
        <f t="shared" si="32"/>
        <v/>
      </c>
      <c r="Q81" s="65" t="str">
        <f t="shared" si="32"/>
        <v/>
      </c>
    </row>
    <row r="82" spans="1:17" ht="15.75" customHeight="1">
      <c r="A82" s="10"/>
      <c r="B82" s="2" t="s">
        <v>63</v>
      </c>
      <c r="C82" s="77">
        <f>ABS(C14/C$4)</f>
        <v>5.2606883058459772E-2</v>
      </c>
      <c r="D82" s="27"/>
      <c r="E82" s="265"/>
      <c r="F82" s="27"/>
      <c r="G82" s="6">
        <f t="shared" ref="G82:Q82" si="33">IF(G$4="","",ABS(G14/G$4))</f>
        <v>6.3577165810834724E-2</v>
      </c>
      <c r="H82" s="6">
        <f t="shared" si="33"/>
        <v>6.3064976786826196E-2</v>
      </c>
      <c r="I82" s="6">
        <f t="shared" si="33"/>
        <v>5.7566952350979868E-2</v>
      </c>
      <c r="J82" s="6">
        <f t="shared" si="33"/>
        <v>3.815691879081716E-2</v>
      </c>
      <c r="K82" s="6">
        <f t="shared" si="33"/>
        <v>1.0550042740881292E-3</v>
      </c>
      <c r="L82" s="6">
        <f t="shared" si="33"/>
        <v>7.1193088776826839E-3</v>
      </c>
      <c r="M82" s="6">
        <f t="shared" si="33"/>
        <v>3.0029139302158905E-2</v>
      </c>
      <c r="N82" s="6" t="str">
        <f t="shared" si="33"/>
        <v/>
      </c>
      <c r="O82" s="6" t="str">
        <f t="shared" si="33"/>
        <v/>
      </c>
      <c r="P82" s="6" t="str">
        <f t="shared" si="33"/>
        <v/>
      </c>
      <c r="Q82" s="6" t="str">
        <f t="shared" si="33"/>
        <v/>
      </c>
    </row>
    <row r="83" spans="1:17" ht="15.75" customHeight="1">
      <c r="A83" s="10"/>
      <c r="B83" s="40" t="str">
        <f>B15</f>
        <v>NCI’s Share of Profits</v>
      </c>
      <c r="C83" s="264">
        <f>MIN(BS!C62,MAX(G83:K83))</f>
        <v>9.4318197508304617E-4</v>
      </c>
      <c r="D83" s="27"/>
      <c r="E83" s="265"/>
      <c r="F83" s="27"/>
      <c r="G83" s="6">
        <f t="shared" ref="G83:Q83" si="34">IF(G$4="","",-G15/G$4)</f>
        <v>8.272029548801568E-4</v>
      </c>
      <c r="H83" s="6">
        <f t="shared" si="34"/>
        <v>5.0059125200918836E-4</v>
      </c>
      <c r="I83" s="6">
        <f t="shared" si="34"/>
        <v>9.4318197508304617E-4</v>
      </c>
      <c r="J83" s="6">
        <f t="shared" si="34"/>
        <v>2.5598350127539483E-4</v>
      </c>
      <c r="K83" s="6">
        <f t="shared" si="34"/>
        <v>0</v>
      </c>
      <c r="L83" s="6">
        <f t="shared" si="34"/>
        <v>6.0019952914098921E-4</v>
      </c>
      <c r="M83" s="6">
        <f t="shared" si="34"/>
        <v>8.7169668647052911E-4</v>
      </c>
      <c r="N83" s="6" t="str">
        <f t="shared" si="34"/>
        <v/>
      </c>
      <c r="O83" s="6" t="str">
        <f t="shared" si="34"/>
        <v/>
      </c>
      <c r="P83" s="6" t="str">
        <f t="shared" si="34"/>
        <v/>
      </c>
      <c r="Q83" s="6" t="str">
        <f t="shared" si="34"/>
        <v/>
      </c>
    </row>
    <row r="84" spans="1:17" ht="15.75" customHeight="1">
      <c r="A84" s="10"/>
      <c r="B84" s="41" t="s">
        <v>154</v>
      </c>
      <c r="C84" s="78">
        <f>ABS(C16/C$4)</f>
        <v>0.15687746720029627</v>
      </c>
      <c r="D84" s="27"/>
      <c r="E84" s="265"/>
      <c r="F84" s="27"/>
      <c r="G84" s="65">
        <f t="shared" ref="G84:Q84" si="35">IF(G$4="","",ABS(G16/G$4))</f>
        <v>0.1835348501359739</v>
      </c>
      <c r="H84" s="65">
        <f t="shared" si="35"/>
        <v>0.17370791494857302</v>
      </c>
      <c r="I84" s="65">
        <f t="shared" si="35"/>
        <v>0.15993814325986735</v>
      </c>
      <c r="J84" s="65">
        <f t="shared" si="35"/>
        <v>0.10865459413499286</v>
      </c>
      <c r="K84" s="65">
        <f t="shared" si="35"/>
        <v>0.71853468326551062</v>
      </c>
      <c r="L84" s="65">
        <f t="shared" si="35"/>
        <v>0.7256461910581431</v>
      </c>
      <c r="M84" s="65">
        <f t="shared" si="35"/>
        <v>0.68917791268902673</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0.15687746720029627</v>
      </c>
      <c r="D87" s="75"/>
      <c r="E87" s="265"/>
      <c r="F87" s="75"/>
      <c r="G87" s="65">
        <f t="shared" ref="G87:Q87" si="36">IF(G$4="","",ABS(G19/G$4))</f>
        <v>0.1835348501359739</v>
      </c>
      <c r="H87" s="65">
        <f t="shared" si="36"/>
        <v>0.17370791494857302</v>
      </c>
      <c r="I87" s="65">
        <f t="shared" si="36"/>
        <v>0.15993814325986735</v>
      </c>
      <c r="J87" s="65">
        <f t="shared" si="36"/>
        <v>0.10865459413499286</v>
      </c>
      <c r="K87" s="65">
        <f t="shared" si="36"/>
        <v>0.71853468326551062</v>
      </c>
      <c r="L87" s="65">
        <f t="shared" si="36"/>
        <v>0.7256461910581431</v>
      </c>
      <c r="M87" s="65">
        <f t="shared" si="36"/>
        <v>0.68917791268902673</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1.4678</v>
      </c>
      <c r="E90" s="268"/>
      <c r="G90" s="112">
        <f>Data!C65</f>
        <v>1.4678</v>
      </c>
      <c r="H90" s="112">
        <f>Data!D65</f>
        <v>1.2261500000000001</v>
      </c>
      <c r="I90" s="112">
        <f>Data!E65</f>
        <v>0.98449999999999993</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3755841.8671999997</v>
      </c>
      <c r="E91" s="268"/>
      <c r="G91" s="74">
        <f t="shared" ref="G91:Q91" si="37">IF(G$4="","",G90*Common_Shares/scaling_factor)</f>
        <v>3755841.8671999997</v>
      </c>
      <c r="H91" s="74">
        <f t="shared" si="37"/>
        <v>3137502.0476000002</v>
      </c>
      <c r="I91" s="74">
        <f t="shared" si="37"/>
        <v>2519162.2280000001</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213</v>
      </c>
      <c r="C92" s="23">
        <f>C90/(C19*scaling_factor/Common_Shares)</f>
        <v>5.4180232091874609</v>
      </c>
      <c r="E92" s="268"/>
      <c r="G92" s="170">
        <f t="shared" ref="G92:Q92" si="38">IF(G$4="","",G90/(G19*scaling_factor/Common_Shares))</f>
        <v>3.767596769119653</v>
      </c>
      <c r="H92" s="170">
        <f t="shared" si="38"/>
        <v>3.8214917481410211</v>
      </c>
      <c r="I92" s="170">
        <f t="shared" si="38"/>
        <v>3.7496014396113404</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310</v>
      </c>
      <c r="C93" s="23">
        <f>C90/Market_Price</f>
        <v>2.9414829659318638E-2</v>
      </c>
      <c r="E93" s="268"/>
      <c r="G93" s="23">
        <f t="shared" ref="G93:Q93" si="39">IF(G$4="","",G90/Market_Price)</f>
        <v>2.9414829659318638E-2</v>
      </c>
      <c r="H93" s="23">
        <f t="shared" si="39"/>
        <v>2.4572144288577156E-2</v>
      </c>
      <c r="I93" s="23">
        <f t="shared" si="39"/>
        <v>1.972945891783567E-2</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-0.18645509933891879</v>
      </c>
      <c r="D96" s="27"/>
      <c r="E96" s="265"/>
      <c r="F96" s="27"/>
      <c r="G96" s="6">
        <f t="shared" ref="G96:Q96" si="40">IF(H4="","",G4/H4-1)</f>
        <v>0.14919269610704622</v>
      </c>
      <c r="H96" s="6">
        <f t="shared" si="40"/>
        <v>0.1251553917299939</v>
      </c>
      <c r="I96" s="6">
        <f t="shared" si="40"/>
        <v>0.26655269521380198</v>
      </c>
      <c r="J96" s="6">
        <f t="shared" si="40"/>
        <v>0.36895472438426102</v>
      </c>
      <c r="K96" s="6">
        <f t="shared" si="40"/>
        <v>-0.24890144264901282</v>
      </c>
      <c r="L96" s="6">
        <f t="shared" si="40"/>
        <v>2.655699222315433E-2</v>
      </c>
      <c r="M96" s="6" t="str">
        <f t="shared" si="40"/>
        <v/>
      </c>
      <c r="N96" s="6" t="str">
        <f t="shared" si="40"/>
        <v/>
      </c>
      <c r="O96" s="6" t="str">
        <f t="shared" si="40"/>
        <v/>
      </c>
      <c r="P96" s="6" t="str">
        <f t="shared" si="40"/>
        <v/>
      </c>
      <c r="Q96" s="6" t="str">
        <f t="shared" si="40"/>
        <v/>
      </c>
    </row>
    <row r="97" spans="1:17" ht="15.75" customHeight="1">
      <c r="A97" s="10"/>
      <c r="B97" s="70" t="s">
        <v>164</v>
      </c>
      <c r="C97" s="77">
        <f>C13/G13-1</f>
        <v>-0.30953946468866189</v>
      </c>
      <c r="D97" s="27"/>
      <c r="E97" s="265"/>
      <c r="F97" s="27"/>
      <c r="G97" s="6">
        <f t="shared" ref="G97:Q97" si="41">IF(H5="","",G13/H13-1)</f>
        <v>0.20085032618426824</v>
      </c>
      <c r="H97" s="6">
        <f t="shared" si="41"/>
        <v>0.22211784706254156</v>
      </c>
      <c r="I97" s="6">
        <f t="shared" si="41"/>
        <v>0.88128758198074086</v>
      </c>
      <c r="J97" s="6">
        <f t="shared" si="41"/>
        <v>-0.72021730227179648</v>
      </c>
      <c r="K97" s="6">
        <f t="shared" si="41"/>
        <v>-0.24841826995204375</v>
      </c>
      <c r="L97" s="6">
        <f t="shared" si="41"/>
        <v>2.5200278971835077E-2</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8549959</v>
      </c>
      <c r="D101" s="26"/>
      <c r="E101" s="269"/>
      <c r="F101" s="26"/>
      <c r="G101" s="333">
        <f t="shared" ref="G101:Q101" si="42">IF(G$4="","",G105+G104)</f>
        <v>8549959</v>
      </c>
      <c r="H101" s="333">
        <f t="shared" si="42"/>
        <v>7615051</v>
      </c>
      <c r="I101" s="333">
        <f t="shared" si="42"/>
        <v>7377578</v>
      </c>
      <c r="J101" s="333">
        <f t="shared" si="42"/>
        <v>6959011</v>
      </c>
      <c r="K101" s="333">
        <f t="shared" si="42"/>
        <v>6527927</v>
      </c>
      <c r="L101" s="333">
        <f t="shared" si="42"/>
        <v>7038439</v>
      </c>
      <c r="M101" s="333">
        <f t="shared" si="42"/>
        <v>4678812</v>
      </c>
      <c r="N101" s="333" t="str">
        <f t="shared" si="42"/>
        <v/>
      </c>
      <c r="O101" s="333" t="str">
        <f t="shared" si="42"/>
        <v/>
      </c>
      <c r="P101" s="333" t="str">
        <f t="shared" si="42"/>
        <v/>
      </c>
      <c r="Q101" s="333" t="str">
        <f t="shared" si="42"/>
        <v/>
      </c>
    </row>
    <row r="102" spans="1:17" ht="15.75" customHeight="1">
      <c r="A102" s="10"/>
      <c r="B102" s="93" t="s">
        <v>210</v>
      </c>
      <c r="C102" s="345">
        <f>BS!C4</f>
        <v>423874</v>
      </c>
      <c r="D102" s="89"/>
      <c r="E102" s="270"/>
      <c r="F102" s="89"/>
      <c r="G102" s="346">
        <f>IF(G$4="","",Data!D77)</f>
        <v>405151</v>
      </c>
      <c r="H102" s="346">
        <f>IF(H$4="","",Data!E77)</f>
        <v>331915</v>
      </c>
      <c r="I102" s="346">
        <f>IF(I$4="","",Data!F77)</f>
        <v>329547</v>
      </c>
      <c r="J102" s="346">
        <f>IF(J$4="","",Data!G77)</f>
        <v>290380</v>
      </c>
      <c r="K102" s="346">
        <f>IF(K$4="","",Data!H77)</f>
        <v>317554</v>
      </c>
      <c r="L102" s="346">
        <f>IF(L$4="","",Data!I77)</f>
        <v>0</v>
      </c>
      <c r="M102" s="346">
        <f>IF(M$4="","",Data!J77)</f>
        <v>0</v>
      </c>
      <c r="N102" s="346" t="str">
        <f>IF(N$4="","",Data!K77)</f>
        <v/>
      </c>
      <c r="O102" s="346" t="str">
        <f>IF(O$4="","",Data!L77)</f>
        <v/>
      </c>
      <c r="P102" s="346" t="str">
        <f>IF(P$4="","",Data!M77)</f>
        <v/>
      </c>
      <c r="Q102" s="346" t="str">
        <f>IF(Q$4="","",Data!N77)</f>
        <v/>
      </c>
    </row>
    <row r="103" spans="1:17" ht="15.75" customHeight="1">
      <c r="A103" s="10"/>
      <c r="B103" s="93" t="s">
        <v>211</v>
      </c>
      <c r="C103" s="345">
        <f>BS!C6+BS!C7</f>
        <v>866160</v>
      </c>
      <c r="D103" s="89"/>
      <c r="E103" s="270"/>
      <c r="F103" s="89"/>
      <c r="G103" s="346">
        <f>IF(G$4="","",Data!D78)</f>
        <v>782978</v>
      </c>
      <c r="H103" s="346">
        <f>IF(H$4="","",Data!E78)</f>
        <v>760457</v>
      </c>
      <c r="I103" s="346">
        <f>IF(I$4="","",Data!F78)</f>
        <v>662654</v>
      </c>
      <c r="J103" s="346">
        <f>IF(J$4="","",Data!G78)</f>
        <v>666222</v>
      </c>
      <c r="K103" s="346">
        <f>IF(K$4="","",Data!H78)</f>
        <v>712611</v>
      </c>
      <c r="L103" s="346">
        <f>IF(L$4="","",Data!I78)</f>
        <v>0</v>
      </c>
      <c r="M103" s="346">
        <f>IF(M$4="","",Data!J78)</f>
        <v>0</v>
      </c>
      <c r="N103" s="346" t="str">
        <f>IF(N$4="","",Data!K78)</f>
        <v/>
      </c>
      <c r="O103" s="346" t="str">
        <f>IF(O$4="","",Data!L78)</f>
        <v/>
      </c>
      <c r="P103" s="346" t="str">
        <f>IF(P$4="","",Data!M78)</f>
        <v/>
      </c>
      <c r="Q103" s="346" t="str">
        <f>IF(Q$4="","",Data!N78)</f>
        <v/>
      </c>
    </row>
    <row r="104" spans="1:17" ht="15.75" customHeight="1">
      <c r="A104" s="10"/>
      <c r="B104" s="26" t="s">
        <v>40</v>
      </c>
      <c r="C104" s="344">
        <f>BS!G30</f>
        <v>4130529</v>
      </c>
      <c r="D104" s="26"/>
      <c r="E104" s="269"/>
      <c r="F104" s="26"/>
      <c r="G104" s="333">
        <f>Data!C79</f>
        <v>4130529</v>
      </c>
      <c r="H104" s="333">
        <f>Data!D79</f>
        <v>3738242</v>
      </c>
      <c r="I104" s="333">
        <f>Data!E79</f>
        <v>3876556</v>
      </c>
      <c r="J104" s="333">
        <f>Data!F79</f>
        <v>3830368</v>
      </c>
      <c r="K104" s="333">
        <f>Data!G79</f>
        <v>3676207</v>
      </c>
      <c r="L104" s="333">
        <f>Data!H79</f>
        <v>4049864</v>
      </c>
      <c r="M104" s="333">
        <f>Data!I79</f>
        <v>1781743</v>
      </c>
      <c r="N104" s="333" t="str">
        <f>Data!J79</f>
        <v/>
      </c>
      <c r="O104" s="333" t="str">
        <f>Data!K79</f>
        <v/>
      </c>
      <c r="P104" s="333" t="str">
        <f>Data!L79</f>
        <v/>
      </c>
      <c r="Q104" s="333" t="str">
        <f>Data!M79</f>
        <v/>
      </c>
    </row>
    <row r="105" spans="1:17" ht="15.75" customHeight="1">
      <c r="A105" s="10"/>
      <c r="B105" s="26" t="s">
        <v>30</v>
      </c>
      <c r="C105" s="344">
        <f>BS!G27</f>
        <v>4419430</v>
      </c>
      <c r="D105" s="26"/>
      <c r="E105" s="269"/>
      <c r="F105" s="26"/>
      <c r="G105" s="333">
        <f>Data!C80</f>
        <v>4419430</v>
      </c>
      <c r="H105" s="333">
        <f>Data!D80</f>
        <v>3876809</v>
      </c>
      <c r="I105" s="333">
        <f>Data!E80</f>
        <v>3501022</v>
      </c>
      <c r="J105" s="333">
        <f>Data!F80</f>
        <v>3128643</v>
      </c>
      <c r="K105" s="333">
        <f>Data!G80</f>
        <v>2851720</v>
      </c>
      <c r="L105" s="333">
        <f>Data!H80</f>
        <v>2988575</v>
      </c>
      <c r="M105" s="333">
        <f>Data!I80</f>
        <v>2897069</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9.5924801567297838E-2</v>
      </c>
      <c r="D108" s="26"/>
      <c r="E108" s="269"/>
      <c r="F108" s="26"/>
      <c r="G108" s="94">
        <f t="shared" ref="G108:Q108" si="43">IF(G$4="","",G102/G$4)</f>
        <v>7.4592055279913291E-2</v>
      </c>
      <c r="H108" s="94">
        <f t="shared" si="43"/>
        <v>7.0225589776259409E-2</v>
      </c>
      <c r="I108" s="94">
        <f t="shared" si="43"/>
        <v>7.8450981913854773E-2</v>
      </c>
      <c r="J108" s="94">
        <f t="shared" si="43"/>
        <v>8.7552990695346472E-2</v>
      </c>
      <c r="K108" s="94">
        <f t="shared" si="43"/>
        <v>0.13107231113215248</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218</v>
      </c>
      <c r="C109" s="94">
        <f>C103/C$4</f>
        <v>0.19601633062072857</v>
      </c>
      <c r="D109" s="26"/>
      <c r="E109" s="269"/>
      <c r="F109" s="26"/>
      <c r="G109" s="94">
        <f t="shared" ref="G109:Q109" si="44">IF(G$4="","",G103/G$4)</f>
        <v>0.14415350883733707</v>
      </c>
      <c r="H109" s="94">
        <f t="shared" si="44"/>
        <v>0.16089523319068105</v>
      </c>
      <c r="I109" s="94">
        <f t="shared" si="44"/>
        <v>0.15774944687447776</v>
      </c>
      <c r="J109" s="94">
        <f t="shared" si="44"/>
        <v>0.20087378113862908</v>
      </c>
      <c r="K109" s="94">
        <f t="shared" si="44"/>
        <v>0.29413444865501404</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394</v>
      </c>
      <c r="C113" s="169"/>
      <c r="E113" s="268"/>
      <c r="G113" s="295">
        <f>IF(G$4="","",Data!C$22/Data!C15)</f>
        <v>1.9582843253497748</v>
      </c>
      <c r="H113" s="295">
        <f>IF(H$4="","",Data!D$22/Data!D15)</f>
        <v>1.7156143821132417</v>
      </c>
      <c r="I113" s="295">
        <f>IF(I$4="","",Data!E$22/Data!E15)</f>
        <v>2.3951508563268002</v>
      </c>
      <c r="J113" s="295">
        <f>IF(J$4="","",Data!F$22/Data!F15)</f>
        <v>3.8750131310084952</v>
      </c>
      <c r="K113" s="295">
        <f>IF(K$4="","",Data!G$22/Data!G15)</f>
        <v>-10.896464832254267</v>
      </c>
      <c r="L113" s="295">
        <f>IF(L$4="","",Data!H$22/Data!H15)</f>
        <v>3.1424896400800857</v>
      </c>
      <c r="M113" s="295">
        <f>IF(M$4="","",Data!I$22/Data!I15)</f>
        <v>1.7537923547665024</v>
      </c>
      <c r="N113" s="295" t="str">
        <f>IF(N$4="","",Data!J$22/Data!J15)</f>
        <v/>
      </c>
      <c r="O113" s="295" t="str">
        <f>IF(O$4="","",Data!K$22/Data!K15)</f>
        <v/>
      </c>
      <c r="P113" s="295" t="str">
        <f>IF(P$4="","",Data!L$22/Data!L15)</f>
        <v/>
      </c>
      <c r="Q113" s="295" t="str">
        <f>IF(Q$4="","",Data!M$22/Data!M15)</f>
        <v/>
      </c>
    </row>
    <row r="114" spans="1:17" ht="15.75" customHeight="1">
      <c r="A114" s="10"/>
      <c r="B114" s="2" t="s">
        <v>395</v>
      </c>
      <c r="C114" s="169"/>
      <c r="E114" s="268"/>
      <c r="G114" s="295">
        <f>IF(G$4="","",Data!C$22/G19)</f>
        <v>1.6567861728593212</v>
      </c>
      <c r="H114" s="295">
        <f>IF(H$4="","",Data!D$22/H19)</f>
        <v>1.4071375066228997</v>
      </c>
      <c r="I114" s="295">
        <f>IF(I$4="","",Data!E$22/I19)</f>
        <v>1.6725464688441434</v>
      </c>
      <c r="J114" s="295">
        <f>IF(J$4="","",Data!F$22/J19)</f>
        <v>3.173240538785568</v>
      </c>
      <c r="K114" s="295">
        <f>IF(K$4="","",Data!G$22/K19)</f>
        <v>0.34030992255382803</v>
      </c>
      <c r="L114" s="295">
        <f>IF(L$4="","",Data!H$22/L19)</f>
        <v>0.34601433795884884</v>
      </c>
      <c r="M114" s="295">
        <f>IF(M$4="","",Data!I$22/M19)</f>
        <v>0.16860224825779185</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0.21042753223383909</v>
      </c>
      <c r="E117" s="268"/>
      <c r="G117" s="23">
        <f t="shared" ref="G117:Q117" si="45">IF(G4="","",IF(valuation_method="DDM",G13/(G4+G12),G81))</f>
        <v>0.24793921890168877</v>
      </c>
      <c r="H117" s="23">
        <f t="shared" si="45"/>
        <v>0.23727348298740841</v>
      </c>
      <c r="I117" s="23">
        <f t="shared" si="45"/>
        <v>0.21844827758593025</v>
      </c>
      <c r="J117" s="23">
        <f t="shared" si="45"/>
        <v>0.14706749642708541</v>
      </c>
      <c r="K117" s="23">
        <f t="shared" si="45"/>
        <v>0.71958968753959873</v>
      </c>
      <c r="L117" s="23">
        <f t="shared" si="45"/>
        <v>0.71912708170960138</v>
      </c>
      <c r="M117" s="23">
        <f t="shared" si="45"/>
        <v>0.7200787486776562</v>
      </c>
      <c r="N117" s="23" t="str">
        <f t="shared" si="45"/>
        <v/>
      </c>
      <c r="O117" s="23" t="str">
        <f t="shared" si="45"/>
        <v/>
      </c>
      <c r="P117" s="23" t="str">
        <f t="shared" si="45"/>
        <v/>
      </c>
      <c r="Q117" s="23" t="str">
        <f t="shared" si="45"/>
        <v/>
      </c>
    </row>
    <row r="118" spans="1:17" ht="15.75" customHeight="1">
      <c r="B118" s="7" t="s">
        <v>83</v>
      </c>
      <c r="C118" s="42">
        <f>IF(valuation_method="DDM",(C4+C12)/C101,C4/C101)</f>
        <v>0.51682300464832642</v>
      </c>
      <c r="E118" s="268"/>
      <c r="G118" s="42">
        <f t="shared" ref="G118:Q118" si="46">IF(G4="","",IF(valuation_method="DDM",(G4+G12)/G101,G4/G101))</f>
        <v>0.63527287089914697</v>
      </c>
      <c r="H118" s="42">
        <f t="shared" si="46"/>
        <v>0.6206670185137303</v>
      </c>
      <c r="I118" s="42">
        <f t="shared" si="46"/>
        <v>0.56938388181053456</v>
      </c>
      <c r="J118" s="42">
        <f t="shared" si="46"/>
        <v>0.47659358492176546</v>
      </c>
      <c r="K118" s="42">
        <f t="shared" si="46"/>
        <v>0.37113451176767143</v>
      </c>
      <c r="L118" s="42">
        <f t="shared" si="46"/>
        <v>0.45828258226007218</v>
      </c>
      <c r="M118" s="42">
        <f t="shared" si="46"/>
        <v>0.67156962066439085</v>
      </c>
      <c r="N118" s="42" t="str">
        <f t="shared" si="46"/>
        <v/>
      </c>
      <c r="O118" s="42" t="str">
        <f t="shared" si="46"/>
        <v/>
      </c>
      <c r="P118" s="42" t="str">
        <f t="shared" si="46"/>
        <v/>
      </c>
      <c r="Q118" s="42" t="str">
        <f t="shared" si="46"/>
        <v/>
      </c>
    </row>
    <row r="119" spans="1:17" ht="15.75" customHeight="1">
      <c r="B119" s="7" t="s">
        <v>91</v>
      </c>
      <c r="C119" s="15">
        <f>C101/C105</f>
        <v>1.9346293526540752</v>
      </c>
      <c r="D119" s="11"/>
      <c r="E119" s="272"/>
      <c r="F119" s="11"/>
      <c r="G119" s="15">
        <f t="shared" ref="G119:Q119" si="47">IF(G$4="","",G101/G105)</f>
        <v>1.9346293526540752</v>
      </c>
      <c r="H119" s="15">
        <f t="shared" si="47"/>
        <v>1.9642574601947116</v>
      </c>
      <c r="I119" s="15">
        <f t="shared" si="47"/>
        <v>2.1072641074520524</v>
      </c>
      <c r="J119" s="15">
        <f t="shared" si="47"/>
        <v>2.2242905310704995</v>
      </c>
      <c r="K119" s="15">
        <f t="shared" si="47"/>
        <v>2.2891191982382564</v>
      </c>
      <c r="L119" s="15">
        <f t="shared" si="47"/>
        <v>2.3551153978066468</v>
      </c>
      <c r="M119" s="15">
        <f t="shared" si="47"/>
        <v>1.615015727965057</v>
      </c>
      <c r="N119" s="15" t="str">
        <f t="shared" si="47"/>
        <v/>
      </c>
      <c r="O119" s="15" t="str">
        <f t="shared" si="47"/>
        <v/>
      </c>
      <c r="P119" s="15" t="str">
        <f t="shared" si="47"/>
        <v/>
      </c>
      <c r="Q119" s="15" t="str">
        <f t="shared" si="47"/>
        <v/>
      </c>
    </row>
    <row r="120" spans="1:17" ht="15.75" customHeight="1">
      <c r="A120" s="10"/>
      <c r="B120" s="70" t="s">
        <v>222</v>
      </c>
      <c r="C120" s="102">
        <f>C13/C105</f>
        <v>0.21039827332068567</v>
      </c>
      <c r="D120" s="103"/>
      <c r="E120" s="271"/>
      <c r="F120" s="103"/>
      <c r="G120" s="102">
        <f>IF(G$4="","",G13/G105)</f>
        <v>0.3047216496244991</v>
      </c>
      <c r="H120" s="102">
        <f t="shared" ref="H120:Q120" si="48">IF(H$4="","",H13/H105)</f>
        <v>0.28927192440999799</v>
      </c>
      <c r="I120" s="102">
        <f t="shared" si="48"/>
        <v>0.26210346578798993</v>
      </c>
      <c r="J120" s="102">
        <f t="shared" si="48"/>
        <v>0.15590369371002061</v>
      </c>
      <c r="K120" s="102">
        <f t="shared" si="48"/>
        <v>0.61134262830852959</v>
      </c>
      <c r="L120" s="102">
        <f t="shared" si="48"/>
        <v>0.77615987552596133</v>
      </c>
      <c r="M120" s="102">
        <f t="shared" si="48"/>
        <v>0.78099417031489415</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2.4246500047699358</v>
      </c>
      <c r="D124" s="27"/>
      <c r="E124" s="265"/>
      <c r="F124" s="27"/>
      <c r="G124" s="177">
        <f t="shared" ref="G124:Q124" si="49">IF(G$4="","",G16*$C$3/Common_Shares*Exchange_Rate)</f>
        <v>3.4867876805907714</v>
      </c>
      <c r="H124" s="177">
        <f t="shared" si="49"/>
        <v>2.8716645810731802</v>
      </c>
      <c r="I124" s="177">
        <f t="shared" si="49"/>
        <v>2.3499230896693168</v>
      </c>
      <c r="J124" s="177">
        <f t="shared" si="49"/>
        <v>1.260452340606466</v>
      </c>
      <c r="K124" s="177">
        <f t="shared" si="49"/>
        <v>6.0888739905519094</v>
      </c>
      <c r="L124" s="177">
        <f t="shared" si="49"/>
        <v>8.1868577127617996</v>
      </c>
      <c r="M124" s="177">
        <f t="shared" si="49"/>
        <v>7.5742669484106759</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4.8590180456311333E-2</v>
      </c>
      <c r="D125" s="27"/>
      <c r="E125" s="265"/>
      <c r="F125" s="27"/>
      <c r="G125" s="77">
        <f t="shared" ref="G125" si="50">IF(G$4="","",G124/Market_Price)</f>
        <v>6.9875504621057544E-2</v>
      </c>
      <c r="H125" s="77">
        <f t="shared" ref="H125" si="51">IF(H$4="","",H124/Market_Price)</f>
        <v>5.7548388398260125E-2</v>
      </c>
      <c r="I125" s="77">
        <f t="shared" ref="I125" si="52">IF(I$4="","",I124/Market_Price)</f>
        <v>4.7092647087561459E-2</v>
      </c>
      <c r="J125" s="77">
        <f t="shared" ref="J125" si="53">IF(J$4="","",J124/Market_Price)</f>
        <v>2.5259565944017355E-2</v>
      </c>
      <c r="K125" s="77">
        <f t="shared" ref="K125" si="54">IF(K$4="","",K124/Market_Price)</f>
        <v>0.12202152285675169</v>
      </c>
      <c r="L125" s="77">
        <f t="shared" ref="L125" si="55">IF(L$4="","",L124/Market_Price)</f>
        <v>0.16406528482488578</v>
      </c>
      <c r="M125" s="77">
        <f t="shared" ref="M125" si="56">IF(M$4="","",M124/Market_Price)</f>
        <v>0.15178891680181716</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69"/>
      <c r="G126" s="23">
        <f>IF(G$4="","",(Data!C47*$C$3)/(Market_Price*Common_Shares))</f>
        <v>6.605301344373208E-3</v>
      </c>
      <c r="H126" s="23">
        <f>IF(H$4="","",(Data!D47*$C$3)/(Market_Price*Common_Shares))</f>
        <v>5.2738405061538568E-3</v>
      </c>
      <c r="I126" s="23">
        <f>IF(I$4="","",(Data!E47*$C$3)/(Market_Price*Common_Shares))</f>
        <v>3.6743065594254352E-3</v>
      </c>
      <c r="J126" s="23">
        <f>IF(J$4="","",(Data!F47*$C$3)/(Market_Price*Common_Shares))</f>
        <v>2.3111741079304797E-3</v>
      </c>
      <c r="K126" s="23">
        <f>IF(K$4="","",(Data!G47*$C$3)/(Market_Price*Common_Shares))</f>
        <v>-4.2579680281110095E-4</v>
      </c>
      <c r="L126" s="23">
        <f>IF(L$4="","",(Data!H47*$C$3)/(Market_Price*Common_Shares))</f>
        <v>2.0184309742438235E-3</v>
      </c>
      <c r="M126" s="23">
        <f>IF(M$4="","",(Data!I47*$C$3)/(Market_Price*Common_Shares))</f>
        <v>1.6304302163555882E-3</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693212.58366541076</v>
      </c>
      <c r="D4" t="str">
        <f>Reporting_currency</f>
        <v>EUR</v>
      </c>
      <c r="E4" s="100" t="s">
        <v>250</v>
      </c>
      <c r="F4" s="134">
        <f>Terminal_Growth</f>
        <v>0</v>
      </c>
      <c r="H4" s="120"/>
    </row>
    <row r="5" spans="2:8">
      <c r="B5" s="205" t="s">
        <v>123</v>
      </c>
      <c r="C5" s="206">
        <f>Equity_Cost</f>
        <v>0.08</v>
      </c>
      <c r="E5" s="148"/>
      <c r="H5" s="120"/>
    </row>
    <row r="6" spans="2:8" ht="13.35" customHeight="1">
      <c r="B6" s="149" t="s">
        <v>228</v>
      </c>
      <c r="C6" s="347">
        <f>(C4*(1+Terminal_Growth))/(Equity_Cost-Terminal_Growth)</f>
        <v>8665157.2958176341</v>
      </c>
      <c r="D6" t="str">
        <f>Reporting_currency</f>
        <v>EUR</v>
      </c>
      <c r="E6" s="364" t="s">
        <v>249</v>
      </c>
      <c r="F6" s="364"/>
      <c r="H6" s="120"/>
    </row>
    <row r="7" spans="2:8">
      <c r="B7" s="148" t="s">
        <v>224</v>
      </c>
      <c r="C7" s="338">
        <f>BS!G31</f>
        <v>866500</v>
      </c>
      <c r="D7" t="str">
        <f>Reporting_currency</f>
        <v>EUR</v>
      </c>
      <c r="E7" s="364"/>
      <c r="F7" s="364"/>
      <c r="H7" s="120"/>
    </row>
    <row r="8" spans="2:8">
      <c r="B8" s="148" t="s">
        <v>225</v>
      </c>
      <c r="C8" s="338">
        <f>BS!D66</f>
        <v>415406.42282180313</v>
      </c>
      <c r="D8" t="str">
        <f>Reporting_currency</f>
        <v>EUR</v>
      </c>
      <c r="E8" s="364"/>
      <c r="F8" s="364"/>
      <c r="H8" s="120"/>
    </row>
    <row r="9" spans="2:8">
      <c r="B9" s="205" t="s">
        <v>190</v>
      </c>
      <c r="C9" s="348">
        <f>BS!H42</f>
        <v>3762.4</v>
      </c>
      <c r="D9" t="str">
        <f>Reporting_currency</f>
        <v>EUR</v>
      </c>
      <c r="E9" s="364"/>
      <c r="F9" s="364"/>
      <c r="H9" s="120"/>
    </row>
    <row r="10" spans="2:8" ht="13.15">
      <c r="B10" s="149" t="s">
        <v>227</v>
      </c>
      <c r="C10" s="347">
        <f>C6-C7+C8+C9</f>
        <v>8217826.1186394375</v>
      </c>
      <c r="D10" t="str">
        <f>Reporting_currency</f>
        <v>EUR</v>
      </c>
      <c r="H10" s="120"/>
    </row>
    <row r="11" spans="2:8" ht="13.15" thickBot="1">
      <c r="B11" s="207" t="s">
        <v>166</v>
      </c>
      <c r="C11" s="208">
        <f>Exchange_Rate</f>
        <v>8.9499999999999993</v>
      </c>
      <c r="D11" t="str">
        <f>Thesis!C15</f>
        <v>EUR/HKD</v>
      </c>
      <c r="H11" s="120"/>
    </row>
    <row r="12" spans="2:8" ht="13.5" thickTop="1">
      <c r="B12" s="149" t="s">
        <v>102</v>
      </c>
      <c r="C12" s="111">
        <f>(C10*scaling_factor)/Common_Shares*Exchange_Rate</f>
        <v>28.743494574782385</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2.3752619295331442E-2</v>
      </c>
      <c r="H16" s="120"/>
    </row>
    <row r="17" spans="2:17" ht="13.35" customHeight="1">
      <c r="B17" s="118" t="s">
        <v>134</v>
      </c>
      <c r="C17" s="162">
        <f>Scenarios!C64</f>
        <v>5</v>
      </c>
      <c r="H17" s="120"/>
    </row>
    <row r="18" spans="2:17" ht="13.35" customHeight="1">
      <c r="B18" s="153" t="s">
        <v>106</v>
      </c>
      <c r="C18" s="140">
        <f>(F52-C7+C8+C9)*Exchange_Rate/Common_Shares*scaling_factor</f>
        <v>29.908102371508068</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709678.19825594837</v>
      </c>
      <c r="D21" s="138">
        <f>IF($C$17&lt;B21,0,DCF!$C$16)</f>
        <v>2.3752619295331442E-2</v>
      </c>
      <c r="E21" s="124">
        <f t="shared" ref="E21:E50" si="0">IF($C$17&lt;B21,0,1/(1+Equity_Cost)^B21)</f>
        <v>0.92592592592592582</v>
      </c>
      <c r="F21" s="125">
        <f t="shared" ref="F21:F51" si="1">C21*E21</f>
        <v>657109.44282958179</v>
      </c>
      <c r="H21" s="120"/>
    </row>
    <row r="22" spans="2:17">
      <c r="B22" s="122">
        <v>2</v>
      </c>
      <c r="C22" s="123">
        <f t="shared" ref="C22:C50" si="2">IF(ROW()-ROW($C$21)&lt;$C$17, $C$21*(1+D22)^(ROW()-ROW($C$21)), 0)</f>
        <v>726534.91432131862</v>
      </c>
      <c r="D22" s="138">
        <f>IF($C$17&lt;B22,0,DCF!$C$16)</f>
        <v>2.3752619295331442E-2</v>
      </c>
      <c r="E22" s="124">
        <f t="shared" si="0"/>
        <v>0.85733882030178321</v>
      </c>
      <c r="F22" s="125">
        <f t="shared" si="1"/>
        <v>622886.58635229641</v>
      </c>
      <c r="H22" s="120"/>
    </row>
    <row r="23" spans="2:17">
      <c r="B23" s="122">
        <v>3</v>
      </c>
      <c r="C23" s="123">
        <f t="shared" si="2"/>
        <v>743792.02154595929</v>
      </c>
      <c r="D23" s="138">
        <f>IF($C$17&lt;B23,0,DCF!$C$16)</f>
        <v>2.3752619295331442E-2</v>
      </c>
      <c r="E23" s="124">
        <f t="shared" si="0"/>
        <v>0.79383224102016958</v>
      </c>
      <c r="F23" s="125">
        <f t="shared" si="1"/>
        <v>590446.08731675113</v>
      </c>
      <c r="G23" s="338"/>
      <c r="H23" s="339"/>
      <c r="I23" s="338"/>
      <c r="J23" s="338"/>
      <c r="K23" s="338"/>
      <c r="L23" s="338"/>
      <c r="M23" s="338"/>
      <c r="N23" s="338"/>
      <c r="O23" s="338"/>
      <c r="P23" s="338"/>
      <c r="Q23" s="338"/>
    </row>
    <row r="24" spans="2:17">
      <c r="B24" s="122">
        <v>4</v>
      </c>
      <c r="C24" s="123">
        <f t="shared" si="2"/>
        <v>761459.03026864538</v>
      </c>
      <c r="D24" s="138">
        <f>IF($C$17&lt;B24,0,DCF!$C$16)</f>
        <v>2.3752619295331442E-2</v>
      </c>
      <c r="E24" s="124">
        <f t="shared" si="0"/>
        <v>0.73502985279645328</v>
      </c>
      <c r="F24" s="125">
        <f t="shared" si="1"/>
        <v>559695.11892889242</v>
      </c>
      <c r="G24" s="338"/>
      <c r="H24" s="339"/>
      <c r="I24" s="338"/>
      <c r="J24" s="338"/>
      <c r="K24" s="338"/>
      <c r="L24" s="338"/>
      <c r="M24" s="338"/>
      <c r="N24" s="338"/>
      <c r="O24" s="338"/>
      <c r="P24" s="338"/>
      <c r="Q24" s="338"/>
    </row>
    <row r="25" spans="2:17">
      <c r="B25" s="122">
        <v>5</v>
      </c>
      <c r="C25" s="123">
        <f t="shared" si="2"/>
        <v>779545.67672360886</v>
      </c>
      <c r="D25" s="138">
        <f>IF($C$17&lt;B25,0,DCF!$C$16)</f>
        <v>2.3752619295331442E-2</v>
      </c>
      <c r="E25" s="124">
        <f t="shared" si="0"/>
        <v>0.68058319703375303</v>
      </c>
      <c r="F25" s="125">
        <f t="shared" si="1"/>
        <v>530545.68889839423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8870977.4781993553</v>
      </c>
      <c r="D51" s="139">
        <f>Terminal_Growth</f>
        <v>0</v>
      </c>
      <c r="E51" s="124">
        <f>1/(1+Equity_Cost)^C17</f>
        <v>0.68058319703375303</v>
      </c>
      <c r="F51" s="125">
        <f t="shared" si="1"/>
        <v>6037438.2129273377</v>
      </c>
      <c r="H51" s="120"/>
    </row>
    <row r="52" spans="1:17">
      <c r="C52" s="114"/>
      <c r="E52" s="127" t="s">
        <v>100</v>
      </c>
      <c r="F52" s="137">
        <f>SUM(F21:F51)</f>
        <v>8998121.1372532547</v>
      </c>
      <c r="H52" s="120"/>
    </row>
    <row r="53" spans="1:17">
      <c r="C53" s="114"/>
      <c r="H53" s="120"/>
    </row>
    <row r="54" spans="1:17" ht="13.15">
      <c r="B54" s="119" t="s">
        <v>129</v>
      </c>
      <c r="C54" s="136"/>
      <c r="D54" s="136"/>
      <c r="E54" s="117"/>
      <c r="F54" s="117"/>
      <c r="H54" s="120"/>
    </row>
    <row r="55" spans="1:17" ht="13.15">
      <c r="A55" s="133">
        <f>F52</f>
        <v>8998121.1372532547</v>
      </c>
      <c r="B55" s="131">
        <f>C78</f>
        <v>0</v>
      </c>
      <c r="C55" s="131">
        <f>C77</f>
        <v>0.01</v>
      </c>
      <c r="D55" s="131">
        <f>C76</f>
        <v>0.03</v>
      </c>
      <c r="E55" s="131">
        <f>C75</f>
        <v>0.05</v>
      </c>
      <c r="F55" s="131">
        <f>C74</f>
        <v>0.08</v>
      </c>
      <c r="H55" s="120"/>
    </row>
    <row r="56" spans="1:17" ht="13.15">
      <c r="A56" s="143">
        <v>5</v>
      </c>
      <c r="B56" s="123">
        <f t="dataTable" ref="B56:F61" dt2D="1" dtr="1" r1="C16" r2="C17"/>
        <v>8665157.2958176322</v>
      </c>
      <c r="C56" s="123">
        <v>8803924.8142956235</v>
      </c>
      <c r="D56" s="123">
        <v>9087649.620388709</v>
      </c>
      <c r="E56" s="123">
        <v>9379930.1403924413</v>
      </c>
      <c r="F56" s="123">
        <v>9835212.2099300027</v>
      </c>
      <c r="H56" s="120"/>
    </row>
    <row r="57" spans="1:17" ht="13.15">
      <c r="A57" s="143">
        <v>10</v>
      </c>
      <c r="B57" s="123">
        <v>8665157.2958176304</v>
      </c>
      <c r="C57" s="123">
        <v>8938252.6718316022</v>
      </c>
      <c r="D57" s="123">
        <v>9524916.8791843541</v>
      </c>
      <c r="E57" s="123">
        <v>10170916.302175496</v>
      </c>
      <c r="F57" s="123">
        <v>11266861.823918507</v>
      </c>
      <c r="H57" s="120"/>
    </row>
    <row r="58" spans="1:17" ht="13.15">
      <c r="A58" s="143">
        <v>15</v>
      </c>
      <c r="B58" s="123">
        <v>8665157.2958176285</v>
      </c>
      <c r="C58" s="341">
        <v>9100387.5042157359</v>
      </c>
      <c r="D58" s="123">
        <v>10080232.297878651</v>
      </c>
      <c r="E58" s="123">
        <v>11229889.3697685</v>
      </c>
      <c r="F58" s="123">
        <v>13348337.231490824</v>
      </c>
      <c r="G58" s="338"/>
      <c r="H58" s="339"/>
      <c r="I58" s="338"/>
      <c r="J58" s="338"/>
      <c r="K58" s="338"/>
      <c r="L58" s="338"/>
      <c r="M58" s="338"/>
      <c r="N58" s="338"/>
      <c r="O58" s="338"/>
      <c r="P58" s="338"/>
      <c r="Q58" s="338"/>
    </row>
    <row r="59" spans="1:17" ht="13.15">
      <c r="A59" s="144">
        <v>20</v>
      </c>
      <c r="B59" s="123">
        <v>8665157.2958176285</v>
      </c>
      <c r="C59" s="341">
        <v>9261315.1332998965</v>
      </c>
      <c r="D59" s="123">
        <v>10661506.149837431</v>
      </c>
      <c r="E59" s="123">
        <v>12402845.790754531</v>
      </c>
      <c r="F59" s="123">
        <v>15872073.155175414</v>
      </c>
      <c r="G59" s="338"/>
      <c r="H59" s="339"/>
      <c r="I59" s="338"/>
      <c r="J59" s="338"/>
      <c r="K59" s="338"/>
      <c r="L59" s="338"/>
      <c r="M59" s="338"/>
      <c r="N59" s="338"/>
      <c r="O59" s="338"/>
      <c r="P59" s="338"/>
      <c r="Q59" s="338"/>
    </row>
    <row r="60" spans="1:17" ht="13.15">
      <c r="A60" s="144">
        <v>25</v>
      </c>
      <c r="B60" s="123">
        <v>8665157.2958176285</v>
      </c>
      <c r="C60" s="341">
        <v>9407020.6282360852</v>
      </c>
      <c r="D60" s="123">
        <v>11217539.515536647</v>
      </c>
      <c r="E60" s="123">
        <v>13593960.545009606</v>
      </c>
      <c r="F60" s="123">
        <v>18696804.154837489</v>
      </c>
      <c r="G60" s="338"/>
      <c r="H60" s="339"/>
      <c r="I60" s="338"/>
      <c r="J60" s="338"/>
      <c r="K60" s="338"/>
      <c r="L60" s="338"/>
      <c r="M60" s="338"/>
      <c r="N60" s="338"/>
      <c r="O60" s="338"/>
      <c r="P60" s="338"/>
      <c r="Q60" s="338"/>
    </row>
    <row r="61" spans="1:17" ht="13.15">
      <c r="A61" s="144">
        <v>30</v>
      </c>
      <c r="B61" s="123">
        <v>8665157.2958176285</v>
      </c>
      <c r="C61" s="341">
        <v>9532065.497171931</v>
      </c>
      <c r="D61" s="123">
        <v>11722541.476329962</v>
      </c>
      <c r="E61" s="123">
        <v>14745823.166404199</v>
      </c>
      <c r="F61" s="123">
        <v>21726387.345599752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28.743494574782385</v>
      </c>
      <c r="C65" s="124">
        <f>C12</f>
        <v>28.743494574782385</v>
      </c>
      <c r="D65" s="124">
        <f>C12</f>
        <v>28.743494574782385</v>
      </c>
      <c r="E65" s="141">
        <f>C12</f>
        <v>28.743494574782385</v>
      </c>
      <c r="F65" s="124">
        <f>C12</f>
        <v>28.743494574782385</v>
      </c>
      <c r="H65" s="120"/>
    </row>
    <row r="66" spans="1:8" ht="13.15">
      <c r="A66" s="143">
        <f t="shared" ref="A66:A71" si="3">A56</f>
        <v>5</v>
      </c>
      <c r="B66" s="124">
        <f t="shared" ref="B66:F71" si="4">(B56-$C$7+$C$8+$C$9)/Common_Shares*$C$3*Exchange_Rate</f>
        <v>28.743494574782378</v>
      </c>
      <c r="C66" s="124">
        <f t="shared" si="4"/>
        <v>29.228861794402807</v>
      </c>
      <c r="D66" s="124">
        <f t="shared" si="4"/>
        <v>30.221246192287584</v>
      </c>
      <c r="E66" s="124">
        <f t="shared" si="4"/>
        <v>31.243555915048276</v>
      </c>
      <c r="F66" s="124">
        <f t="shared" si="4"/>
        <v>32.83599624011994</v>
      </c>
      <c r="H66" s="120"/>
    </row>
    <row r="67" spans="1:8" ht="13.15">
      <c r="A67" s="143">
        <f t="shared" si="3"/>
        <v>10</v>
      </c>
      <c r="B67" s="124">
        <f t="shared" si="4"/>
        <v>28.743494574782375</v>
      </c>
      <c r="C67" s="124">
        <f t="shared" si="4"/>
        <v>29.698700409699136</v>
      </c>
      <c r="D67" s="124">
        <f t="shared" si="4"/>
        <v>31.750676104708692</v>
      </c>
      <c r="E67" s="124">
        <f t="shared" si="4"/>
        <v>34.010188613490342</v>
      </c>
      <c r="F67" s="124">
        <f t="shared" si="4"/>
        <v>37.84347781962564</v>
      </c>
      <c r="H67" s="120"/>
    </row>
    <row r="68" spans="1:8" ht="13.15">
      <c r="A68" s="143">
        <f t="shared" si="3"/>
        <v>15</v>
      </c>
      <c r="B68" s="124">
        <f t="shared" si="4"/>
        <v>28.743494574782368</v>
      </c>
      <c r="C68" s="124">
        <f t="shared" si="4"/>
        <v>30.265799494996905</v>
      </c>
      <c r="D68" s="124">
        <f t="shared" si="4"/>
        <v>33.693003125759745</v>
      </c>
      <c r="E68" s="124">
        <f t="shared" si="4"/>
        <v>37.714159248030818</v>
      </c>
      <c r="F68" s="124">
        <f t="shared" si="4"/>
        <v>45.123855406271794</v>
      </c>
      <c r="H68" s="120"/>
    </row>
    <row r="69" spans="1:8" ht="13.15">
      <c r="A69" s="144">
        <f t="shared" si="3"/>
        <v>20</v>
      </c>
      <c r="B69" s="124">
        <f t="shared" si="4"/>
        <v>28.743494574782368</v>
      </c>
      <c r="C69" s="124">
        <f t="shared" si="4"/>
        <v>30.828676144701319</v>
      </c>
      <c r="D69" s="124">
        <f t="shared" si="4"/>
        <v>35.726124971979374</v>
      </c>
      <c r="E69" s="124">
        <f t="shared" si="4"/>
        <v>41.816809515429036</v>
      </c>
      <c r="F69" s="124">
        <f t="shared" si="4"/>
        <v>53.951127823982851</v>
      </c>
      <c r="H69" s="120"/>
    </row>
    <row r="70" spans="1:8" ht="13.15">
      <c r="A70" s="144">
        <f t="shared" si="3"/>
        <v>25</v>
      </c>
      <c r="B70" s="124">
        <f t="shared" si="4"/>
        <v>28.743494574782368</v>
      </c>
      <c r="C70" s="124">
        <f t="shared" si="4"/>
        <v>31.338310328091382</v>
      </c>
      <c r="D70" s="124">
        <f t="shared" si="4"/>
        <v>37.670963156632943</v>
      </c>
      <c r="E70" s="124">
        <f t="shared" si="4"/>
        <v>45.982972194293588</v>
      </c>
      <c r="F70" s="124">
        <f t="shared" si="4"/>
        <v>63.831190871295036</v>
      </c>
    </row>
    <row r="71" spans="1:8" ht="13.15">
      <c r="A71" s="144">
        <f t="shared" si="3"/>
        <v>30</v>
      </c>
      <c r="B71" s="124">
        <f t="shared" si="4"/>
        <v>28.743494574782368</v>
      </c>
      <c r="C71" s="124">
        <f t="shared" si="4"/>
        <v>31.775679829462252</v>
      </c>
      <c r="D71" s="124">
        <f t="shared" si="4"/>
        <v>39.437308770516573</v>
      </c>
      <c r="E71" s="124">
        <f t="shared" si="4"/>
        <v>50.011842668183782</v>
      </c>
      <c r="F71" s="124">
        <f t="shared" si="4"/>
        <v>74.427765531108392</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10</v>
      </c>
      <c r="E74" s="135">
        <f>INDEX(B$65:F$71, MATCH(D74, A$65:A$71, 0), MATCH(C74, B$64:F$64, 0))</f>
        <v>37.84347781962564</v>
      </c>
      <c r="F74" s="142">
        <f>Scenarios!C58</f>
        <v>0.05</v>
      </c>
    </row>
    <row r="75" spans="1:8">
      <c r="B75" s="127" t="str">
        <f>Scenarios!B36</f>
        <v>Optimistic</v>
      </c>
      <c r="C75" s="142">
        <f>Scenarios!C38</f>
        <v>0.05</v>
      </c>
      <c r="D75" s="145">
        <f>Scenarios!C37</f>
        <v>5</v>
      </c>
      <c r="E75" s="135">
        <f>INDEX(B$65:F$71, MATCH(D75, A$65:A$71, 0), MATCH(C75, B$64:F$64, 0))</f>
        <v>31.243555915048276</v>
      </c>
      <c r="F75" s="142">
        <f>Scenarios!C40*(1-F$74-F$78)</f>
        <v>0.18</v>
      </c>
      <c r="H75" s="120"/>
    </row>
    <row r="76" spans="1:8">
      <c r="B76" s="127" t="str">
        <f>Scenarios!B24</f>
        <v>Base</v>
      </c>
      <c r="C76" s="142">
        <f>Scenarios!C26</f>
        <v>0.03</v>
      </c>
      <c r="D76" s="145">
        <f>Scenarios!C25</f>
        <v>5</v>
      </c>
      <c r="E76" s="135">
        <f>INDEX(B$65:F$71, MATCH(D76, A$65:A$71, 0), MATCH(C76, B$64:F$64, 0))</f>
        <v>30.221246192287584</v>
      </c>
      <c r="F76" s="142">
        <f>Scenarios!C28*(1-F$74-F$78)</f>
        <v>0.53999999999999992</v>
      </c>
      <c r="H76" s="120"/>
    </row>
    <row r="77" spans="1:8">
      <c r="B77" s="127" t="str">
        <f>Scenarios!B30</f>
        <v>Pessimistic</v>
      </c>
      <c r="C77" s="142">
        <f>Scenarios!C32</f>
        <v>0.01</v>
      </c>
      <c r="D77" s="145">
        <f>Scenarios!C31</f>
        <v>5</v>
      </c>
      <c r="E77" s="135">
        <f>INDEX(B$65:F$71, MATCH(D77, A$65:A$71, 0), MATCH(C77, B$64:F$64, 0))</f>
        <v>29.228861794402807</v>
      </c>
      <c r="F77" s="142">
        <f>Scenarios!C34*(1-F$74-F$78)</f>
        <v>0.18</v>
      </c>
      <c r="H77" s="120"/>
    </row>
    <row r="78" spans="1:8">
      <c r="B78" s="127" t="str">
        <f>Scenarios!B48</f>
        <v>Devil's advocate</v>
      </c>
      <c r="C78" s="142">
        <f>Scenarios!C50</f>
        <v>0</v>
      </c>
      <c r="D78" s="145">
        <f>Scenarios!C49</f>
        <v>10</v>
      </c>
      <c r="E78" s="135">
        <f>INDEX(B$65:F$71, MATCH(D78, A$65:A$71, 0), MATCH(C78, B$64:F$64, 0))</f>
        <v>28.743494574782375</v>
      </c>
      <c r="F78" s="142">
        <f>Scenarios!C52</f>
        <v>0.05</v>
      </c>
    </row>
    <row r="79" spans="1:8">
      <c r="B79" s="155"/>
      <c r="C79" s="155"/>
      <c r="D79" s="155"/>
      <c r="E79" s="155"/>
      <c r="F79" s="156"/>
    </row>
    <row r="80" spans="1:8">
      <c r="B80" s="155" t="s">
        <v>311</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445</v>
      </c>
      <c r="C2" s="37"/>
      <c r="D2" s="37"/>
      <c r="E2" s="37"/>
      <c r="F2" s="37"/>
      <c r="H2" s="130" t="s">
        <v>59</v>
      </c>
    </row>
    <row r="3" spans="2:8" ht="13.15">
      <c r="B3" s="109" t="s">
        <v>444</v>
      </c>
      <c r="C3" s="107">
        <f>scaling_factor</f>
        <v>1000</v>
      </c>
      <c r="E3" s="109" t="s">
        <v>124</v>
      </c>
      <c r="H3" s="120"/>
    </row>
    <row r="4" spans="2:8">
      <c r="B4" s="100" t="s">
        <v>442</v>
      </c>
      <c r="C4" s="114">
        <f>Normalized_FCF!C91</f>
        <v>3755841.8671999997</v>
      </c>
      <c r="D4" t="str">
        <f>Market_currency</f>
        <v>HKD</v>
      </c>
      <c r="E4" s="100" t="s">
        <v>250</v>
      </c>
      <c r="F4" s="134">
        <f>Thesis!E22</f>
        <v>0</v>
      </c>
      <c r="H4" s="120"/>
    </row>
    <row r="5" spans="2:8">
      <c r="B5" s="205" t="s">
        <v>123</v>
      </c>
      <c r="C5" s="206">
        <f>Equity_Cost</f>
        <v>0.08</v>
      </c>
      <c r="E5" s="148"/>
      <c r="H5" s="120"/>
    </row>
    <row r="6" spans="2:8" ht="13.35" customHeight="1">
      <c r="B6" s="149" t="s">
        <v>443</v>
      </c>
      <c r="C6" s="319">
        <f>(C4*(1+Terminal_Growth))/(Equity_Cost-Terminal_Growth)</f>
        <v>46948023.339999996</v>
      </c>
      <c r="D6" t="str">
        <f>Reporting_currency</f>
        <v>EUR</v>
      </c>
      <c r="E6" s="364"/>
      <c r="F6" s="364"/>
      <c r="H6" s="120"/>
    </row>
    <row r="7" spans="2:8" ht="13.15">
      <c r="B7" s="149" t="s">
        <v>446</v>
      </c>
      <c r="C7" s="111">
        <f>(C6*scaling_factor)/Common_Shares*Exchange_Rate</f>
        <v>164.21012499999995</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2.3752619295331442E-2</v>
      </c>
      <c r="H11" s="120"/>
    </row>
    <row r="12" spans="2:8" ht="13.35" customHeight="1">
      <c r="B12" s="118" t="s">
        <v>134</v>
      </c>
      <c r="C12" s="162">
        <f>Scenarios!C64</f>
        <v>5</v>
      </c>
      <c r="H12" s="120"/>
    </row>
    <row r="13" spans="2:8" ht="13.35" customHeight="1">
      <c r="B13" s="153" t="s">
        <v>106</v>
      </c>
      <c r="C13" s="140">
        <f>F47/Common_Shares*scaling_factor</f>
        <v>19.052513639358704</v>
      </c>
      <c r="D13" t="str">
        <f>Market_currency</f>
        <v>HKD</v>
      </c>
      <c r="H13" s="120"/>
    </row>
    <row r="14" spans="2:8">
      <c r="H14" s="120"/>
    </row>
    <row r="15" spans="2:8" ht="13.15">
      <c r="B15" s="128" t="s">
        <v>107</v>
      </c>
      <c r="C15" s="128" t="s">
        <v>448</v>
      </c>
      <c r="D15" s="128" t="s">
        <v>118</v>
      </c>
      <c r="E15" s="128" t="s">
        <v>109</v>
      </c>
      <c r="F15" s="129" t="s">
        <v>447</v>
      </c>
      <c r="H15" s="120"/>
    </row>
    <row r="16" spans="2:8">
      <c r="B16" s="122">
        <v>1</v>
      </c>
      <c r="C16" s="123">
        <f>C4*(1+D16)</f>
        <v>3845052.9492050684</v>
      </c>
      <c r="D16" s="138">
        <f>IF($C$12&lt;B16,0,DDM!$C$11)</f>
        <v>2.3752619295331442E-2</v>
      </c>
      <c r="E16" s="124">
        <f t="shared" ref="E16:E45" si="0">IF($C$12&lt;B16,0,1/(1+Equity_Cost)^B16)</f>
        <v>0.92592592592592582</v>
      </c>
      <c r="F16" s="125">
        <f t="shared" ref="F16:F46" si="1">C16*E16</f>
        <v>3560234.2122269147</v>
      </c>
      <c r="H16" s="120"/>
    </row>
    <row r="17" spans="2:8">
      <c r="B17" s="122">
        <v>2</v>
      </c>
      <c r="C17" s="123">
        <f t="shared" ref="C17:C45" si="2">IF(ROW()-ROW($C$16)&lt;$C$12, $C$16*(1+D17)^(ROW()-ROW($C$16)), 0)</f>
        <v>3936383.0280779279</v>
      </c>
      <c r="D17" s="138">
        <f>IF($C$12&lt;B17,0,DDM!$C$11)</f>
        <v>2.3752619295331442E-2</v>
      </c>
      <c r="E17" s="124">
        <f t="shared" si="0"/>
        <v>0.85733882030178321</v>
      </c>
      <c r="F17" s="125">
        <f t="shared" si="1"/>
        <v>3374813.9815482921</v>
      </c>
      <c r="H17" s="120"/>
    </row>
    <row r="18" spans="2:8">
      <c r="B18" s="122">
        <v>3</v>
      </c>
      <c r="C18" s="123">
        <f t="shared" si="2"/>
        <v>4029882.4355444671</v>
      </c>
      <c r="D18" s="138">
        <f>IF($C$12&lt;B18,0,DDM!$C$11)</f>
        <v>2.3752619295331442E-2</v>
      </c>
      <c r="E18" s="124">
        <f t="shared" si="0"/>
        <v>0.79383224102016958</v>
      </c>
      <c r="F18" s="125">
        <f t="shared" si="1"/>
        <v>3199050.6048560832</v>
      </c>
      <c r="H18" s="120"/>
    </row>
    <row r="19" spans="2:8">
      <c r="B19" s="122">
        <v>4</v>
      </c>
      <c r="C19" s="123">
        <f t="shared" si="2"/>
        <v>4125602.698840898</v>
      </c>
      <c r="D19" s="138">
        <f>IF($C$12&lt;B19,0,DDM!$C$11)</f>
        <v>2.3752619295331442E-2</v>
      </c>
      <c r="E19" s="124">
        <f t="shared" si="0"/>
        <v>0.73502985279645328</v>
      </c>
      <c r="F19" s="125">
        <f t="shared" si="1"/>
        <v>3032441.1444256757</v>
      </c>
      <c r="H19" s="120"/>
    </row>
    <row r="20" spans="2:8">
      <c r="B20" s="122">
        <v>5</v>
      </c>
      <c r="C20" s="123">
        <f t="shared" si="2"/>
        <v>4223596.5691102576</v>
      </c>
      <c r="D20" s="138">
        <f>IF($C$12&lt;B20,0,DDM!$C$11)</f>
        <v>2.3752619295331442E-2</v>
      </c>
      <c r="E20" s="124">
        <f t="shared" si="0"/>
        <v>0.68058319703375303</v>
      </c>
      <c r="F20" s="125">
        <f t="shared" si="1"/>
        <v>2874508.8559858496</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48063161.865063354</v>
      </c>
      <c r="D46" s="139">
        <f>Terminal_Growth</f>
        <v>0</v>
      </c>
      <c r="E46" s="124">
        <f>1/(1+Equity_Cost)^C12</f>
        <v>0.68058319703375303</v>
      </c>
      <c r="F46" s="125">
        <f t="shared" si="1"/>
        <v>32710980.361675579</v>
      </c>
      <c r="H46" s="120"/>
    </row>
    <row r="47" spans="2:8">
      <c r="C47" s="114"/>
      <c r="E47" s="127" t="s">
        <v>100</v>
      </c>
      <c r="F47" s="137">
        <f>SUM(F16:F46)</f>
        <v>48752029.160718396</v>
      </c>
      <c r="H47" s="120"/>
    </row>
    <row r="48" spans="2:8">
      <c r="C48" s="114"/>
      <c r="H48" s="120"/>
    </row>
    <row r="49" spans="1:8" ht="13.15">
      <c r="B49" s="119" t="s">
        <v>129</v>
      </c>
      <c r="C49" s="136"/>
      <c r="D49" s="136"/>
      <c r="E49" s="117"/>
      <c r="F49" s="117"/>
      <c r="H49" s="120"/>
    </row>
    <row r="50" spans="1:8" ht="13.15">
      <c r="A50" s="133">
        <f>F47</f>
        <v>48752029.160718396</v>
      </c>
      <c r="B50" s="131">
        <f>C73</f>
        <v>0</v>
      </c>
      <c r="C50" s="131">
        <f>C72</f>
        <v>0.01</v>
      </c>
      <c r="D50" s="131">
        <f>C71</f>
        <v>0.03</v>
      </c>
      <c r="E50" s="131">
        <f>C70</f>
        <v>0.05</v>
      </c>
      <c r="F50" s="131">
        <f>C69</f>
        <v>0.08</v>
      </c>
      <c r="H50" s="120"/>
    </row>
    <row r="51" spans="1:8" ht="13.15">
      <c r="A51" s="143">
        <v>5</v>
      </c>
      <c r="B51" s="123">
        <f t="dataTable" ref="B51:F56" dt2D="1" dtr="1" r1="C11" r2="C12"/>
        <v>46948023.339999989</v>
      </c>
      <c r="C51" s="123">
        <v>47699868.975795098</v>
      </c>
      <c r="D51" s="123">
        <v>49237096.560229637</v>
      </c>
      <c r="E51" s="123">
        <v>50820679.201203234</v>
      </c>
      <c r="F51" s="123">
        <v>53287408.020684652</v>
      </c>
      <c r="H51" s="120"/>
    </row>
    <row r="52" spans="1:8" ht="13.15">
      <c r="A52" s="143">
        <v>10</v>
      </c>
      <c r="B52" s="123">
        <v>46948023.339999989</v>
      </c>
      <c r="C52" s="123">
        <v>48427660.425565451</v>
      </c>
      <c r="D52" s="123">
        <v>51606220.717002235</v>
      </c>
      <c r="E52" s="123">
        <v>55106260.583889931</v>
      </c>
      <c r="F52" s="123">
        <v>61044118.856698632</v>
      </c>
      <c r="H52" s="120"/>
    </row>
    <row r="53" spans="1:8" ht="13.15">
      <c r="A53" s="143">
        <v>15</v>
      </c>
      <c r="B53" s="123">
        <v>46948023.339999981</v>
      </c>
      <c r="C53" s="123">
        <v>49306110.710440405</v>
      </c>
      <c r="D53" s="123">
        <v>54614932.543907583</v>
      </c>
      <c r="E53" s="123">
        <v>60843801.242013268</v>
      </c>
      <c r="F53" s="123">
        <v>72321600.924278408</v>
      </c>
      <c r="H53" s="120"/>
    </row>
    <row r="54" spans="1:8" ht="13.15">
      <c r="A54" s="144">
        <v>20</v>
      </c>
      <c r="B54" s="123">
        <v>46948023.339999974</v>
      </c>
      <c r="C54" s="123">
        <v>50178020.339817904</v>
      </c>
      <c r="D54" s="123">
        <v>57764287.764714047</v>
      </c>
      <c r="E54" s="123">
        <v>67198906.354281053</v>
      </c>
      <c r="F54" s="123">
        <v>85995260.732661694</v>
      </c>
      <c r="H54" s="120"/>
    </row>
    <row r="55" spans="1:8" ht="13.15">
      <c r="A55" s="144">
        <v>25</v>
      </c>
      <c r="B55" s="123">
        <v>46948023.339999974</v>
      </c>
      <c r="C55" s="123">
        <v>50967456.093088314</v>
      </c>
      <c r="D55" s="123">
        <v>60776889.445155039</v>
      </c>
      <c r="E55" s="123">
        <v>73652393.737640664</v>
      </c>
      <c r="F55" s="123">
        <v>101299718.84854215</v>
      </c>
      <c r="H55" s="120"/>
    </row>
    <row r="56" spans="1:8" ht="13.15">
      <c r="A56" s="144">
        <v>30</v>
      </c>
      <c r="B56" s="123">
        <v>46948023.339999974</v>
      </c>
      <c r="C56" s="123">
        <v>51644952.095172547</v>
      </c>
      <c r="D56" s="123">
        <v>63513001.789418392</v>
      </c>
      <c r="E56" s="123">
        <v>79893212.15415208</v>
      </c>
      <c r="F56" s="123">
        <v>117714070.89025626</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164.21012499999995</v>
      </c>
      <c r="C60" s="124">
        <f>C7</f>
        <v>164.21012499999995</v>
      </c>
      <c r="D60" s="124">
        <f>C7</f>
        <v>164.21012499999995</v>
      </c>
      <c r="E60" s="141">
        <f>C7</f>
        <v>164.21012499999995</v>
      </c>
      <c r="F60" s="124">
        <f>C7</f>
        <v>164.21012499999995</v>
      </c>
      <c r="H60" s="120"/>
    </row>
    <row r="61" spans="1:8" ht="13.15">
      <c r="A61" s="143">
        <f t="shared" ref="A61:A66" si="3">A51</f>
        <v>5</v>
      </c>
      <c r="B61" s="124">
        <f t="shared" ref="B61:F66" si="4">B51/Common_Shares*$C$3*Exchange_Rate</f>
        <v>164.21012499999995</v>
      </c>
      <c r="C61" s="124">
        <f t="shared" si="4"/>
        <v>166.83985586088221</v>
      </c>
      <c r="D61" s="124">
        <f t="shared" si="4"/>
        <v>172.21661756105743</v>
      </c>
      <c r="E61" s="124">
        <f t="shared" si="4"/>
        <v>177.75551536595285</v>
      </c>
      <c r="F61" s="124">
        <f t="shared" si="4"/>
        <v>186.38339400643719</v>
      </c>
      <c r="H61" s="120"/>
    </row>
    <row r="62" spans="1:8" ht="13.15">
      <c r="A62" s="143">
        <f t="shared" si="3"/>
        <v>10</v>
      </c>
      <c r="B62" s="124">
        <f t="shared" si="4"/>
        <v>164.21012499999995</v>
      </c>
      <c r="C62" s="124">
        <f t="shared" si="4"/>
        <v>169.3854523831302</v>
      </c>
      <c r="D62" s="124">
        <f t="shared" si="4"/>
        <v>180.50310432338054</v>
      </c>
      <c r="E62" s="124">
        <f t="shared" si="4"/>
        <v>192.7451955374089</v>
      </c>
      <c r="F62" s="124">
        <f t="shared" si="4"/>
        <v>213.51404542377779</v>
      </c>
      <c r="H62" s="120"/>
    </row>
    <row r="63" spans="1:8" ht="13.15">
      <c r="A63" s="143">
        <f t="shared" si="3"/>
        <v>15</v>
      </c>
      <c r="B63" s="124">
        <f t="shared" si="4"/>
        <v>164.21012499999992</v>
      </c>
      <c r="C63" s="124">
        <f t="shared" si="4"/>
        <v>172.45800838918254</v>
      </c>
      <c r="D63" s="124">
        <f t="shared" si="4"/>
        <v>191.02667720326716</v>
      </c>
      <c r="E63" s="124">
        <f t="shared" si="4"/>
        <v>212.81339440149802</v>
      </c>
      <c r="F63" s="124">
        <f t="shared" si="4"/>
        <v>252.95930015987491</v>
      </c>
      <c r="H63" s="120"/>
    </row>
    <row r="64" spans="1:8" ht="13.15">
      <c r="A64" s="144">
        <f t="shared" si="3"/>
        <v>20</v>
      </c>
      <c r="B64" s="124">
        <f t="shared" si="4"/>
        <v>164.21012499999989</v>
      </c>
      <c r="C64" s="124">
        <f t="shared" si="4"/>
        <v>175.50768714119076</v>
      </c>
      <c r="D64" s="124">
        <f t="shared" si="4"/>
        <v>202.04217855319109</v>
      </c>
      <c r="E64" s="124">
        <f t="shared" si="4"/>
        <v>235.04164876944071</v>
      </c>
      <c r="F64" s="124">
        <f t="shared" si="4"/>
        <v>300.78566699285375</v>
      </c>
      <c r="H64" s="120"/>
    </row>
    <row r="65" spans="1:8" ht="13.15">
      <c r="A65" s="144">
        <f t="shared" si="3"/>
        <v>25</v>
      </c>
      <c r="B65" s="124">
        <f t="shared" si="4"/>
        <v>164.21012499999989</v>
      </c>
      <c r="C65" s="124">
        <f t="shared" si="4"/>
        <v>178.26889697499334</v>
      </c>
      <c r="D65" s="124">
        <f t="shared" si="4"/>
        <v>212.5793569757582</v>
      </c>
      <c r="E65" s="124">
        <f t="shared" si="4"/>
        <v>257.61401485677948</v>
      </c>
      <c r="F65" s="124">
        <f t="shared" si="4"/>
        <v>354.31607789142674</v>
      </c>
    </row>
    <row r="66" spans="1:8" ht="13.15">
      <c r="A66" s="144">
        <f t="shared" si="3"/>
        <v>30</v>
      </c>
      <c r="B66" s="124">
        <f t="shared" si="4"/>
        <v>164.21012499999989</v>
      </c>
      <c r="C66" s="124">
        <f t="shared" si="4"/>
        <v>180.63857508441154</v>
      </c>
      <c r="D66" s="124">
        <f t="shared" si="4"/>
        <v>222.1494585072262</v>
      </c>
      <c r="E66" s="124">
        <f t="shared" si="4"/>
        <v>279.44252859112663</v>
      </c>
      <c r="F66" s="124">
        <f t="shared" si="4"/>
        <v>411.72856533618312</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10</v>
      </c>
      <c r="E69" s="135">
        <f>INDEX(B$60:F$66, MATCH(D69, A$60:A$66, 0), MATCH(C69, B$59:F$59, 0))</f>
        <v>213.51404542377779</v>
      </c>
      <c r="F69" s="142">
        <f>Scenarios!C58</f>
        <v>0.05</v>
      </c>
    </row>
    <row r="70" spans="1:8">
      <c r="B70" s="127" t="str">
        <f>Scenarios!B36</f>
        <v>Optimistic</v>
      </c>
      <c r="C70" s="142">
        <f>Scenarios!C38</f>
        <v>0.05</v>
      </c>
      <c r="D70" s="145">
        <f>Scenarios!C37</f>
        <v>5</v>
      </c>
      <c r="E70" s="135">
        <f>INDEX(B$60:F$66, MATCH(D70, A$60:A$66, 0), MATCH(C70, B$59:F$59, 0))</f>
        <v>177.75551536595285</v>
      </c>
      <c r="F70" s="142">
        <f>Scenarios!C40*(1-F$69-F$73)</f>
        <v>0.18</v>
      </c>
      <c r="H70" s="120"/>
    </row>
    <row r="71" spans="1:8">
      <c r="B71" s="127" t="str">
        <f>Scenarios!B24</f>
        <v>Base</v>
      </c>
      <c r="C71" s="142">
        <f>Scenarios!C26</f>
        <v>0.03</v>
      </c>
      <c r="D71" s="145">
        <f>Scenarios!C25</f>
        <v>5</v>
      </c>
      <c r="E71" s="135">
        <f>INDEX(B$60:F$66, MATCH(D71, A$60:A$66, 0), MATCH(C71, B$59:F$59, 0))</f>
        <v>172.21661756105743</v>
      </c>
      <c r="F71" s="142">
        <f>Scenarios!C28*(1-F$69-F$73)</f>
        <v>0.53999999999999992</v>
      </c>
      <c r="H71" s="120"/>
    </row>
    <row r="72" spans="1:8">
      <c r="B72" s="127" t="str">
        <f>Scenarios!B30</f>
        <v>Pessimistic</v>
      </c>
      <c r="C72" s="142">
        <f>Scenarios!C32</f>
        <v>0.01</v>
      </c>
      <c r="D72" s="145">
        <f>Scenarios!C31</f>
        <v>5</v>
      </c>
      <c r="E72" s="135">
        <f>INDEX(B$60:F$66, MATCH(D72, A$60:A$66, 0), MATCH(C72, B$59:F$59, 0))</f>
        <v>166.83985586088221</v>
      </c>
      <c r="F72" s="142">
        <f>Scenarios!C34*(1-F$69-F$73)</f>
        <v>0.18</v>
      </c>
      <c r="H72" s="120"/>
    </row>
    <row r="73" spans="1:8">
      <c r="B73" s="127" t="str">
        <f>Scenarios!B48</f>
        <v>Devil's advocate</v>
      </c>
      <c r="C73" s="142">
        <f>Scenarios!C50</f>
        <v>0</v>
      </c>
      <c r="D73" s="145">
        <f>Scenarios!C49</f>
        <v>10</v>
      </c>
      <c r="E73" s="135">
        <f>INDEX(B$60:F$66, MATCH(D73, A$60:A$66, 0), MATCH(C73, B$59:F$59, 0))</f>
        <v>164.21012499999995</v>
      </c>
      <c r="F73" s="142">
        <f>Scenarios!C52</f>
        <v>0.05</v>
      </c>
    </row>
    <row r="74" spans="1:8">
      <c r="B74" s="155"/>
      <c r="C74" s="155"/>
      <c r="D74" s="155"/>
      <c r="E74" s="155"/>
      <c r="F74" s="156"/>
    </row>
    <row r="75" spans="1:8">
      <c r="B75" s="155" t="s">
        <v>311</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37" zoomScale="75" zoomScaleNormal="100" workbookViewId="0">
      <selection activeCell="E18" sqref="E18:F22"/>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296</v>
      </c>
      <c r="I2" s="249"/>
    </row>
    <row r="3" spans="2:9" ht="13.15">
      <c r="B3" s="159" t="s">
        <v>148</v>
      </c>
      <c r="H3" s="247">
        <v>0</v>
      </c>
      <c r="I3" s="124">
        <f>-Market_Price</f>
        <v>-49.9</v>
      </c>
    </row>
    <row r="4" spans="2:9">
      <c r="B4" s="152" t="s">
        <v>146</v>
      </c>
      <c r="C4" s="120">
        <v>3</v>
      </c>
      <c r="D4" s="120"/>
      <c r="E4" s="155" t="s">
        <v>150</v>
      </c>
      <c r="F4" s="155"/>
      <c r="H4" s="247">
        <v>1</v>
      </c>
      <c r="I4" s="124">
        <f t="shared" ref="I4:I13" si="0">IF(ROW()-3 &lt; $C$76, $C$77, IF(ROW()-3 = $C$76, $C$77 + $C$60, ""))</f>
        <v>1.4678</v>
      </c>
    </row>
    <row r="5" spans="2:9">
      <c r="H5" s="247">
        <v>2</v>
      </c>
      <c r="I5" s="124">
        <f t="shared" si="0"/>
        <v>1.4678</v>
      </c>
    </row>
    <row r="6" spans="2:9" ht="13.15">
      <c r="B6" s="159" t="s">
        <v>95</v>
      </c>
      <c r="C6" s="107">
        <f>DCF!C3</f>
        <v>1000</v>
      </c>
      <c r="E6" s="100" t="s">
        <v>279</v>
      </c>
      <c r="F6" s="100"/>
      <c r="H6" s="247">
        <v>3</v>
      </c>
      <c r="I6" s="124">
        <f t="shared" si="0"/>
        <v>32.001656751256881</v>
      </c>
    </row>
    <row r="7" spans="2:9" ht="12.75" customHeight="1">
      <c r="B7" s="100" t="s">
        <v>275</v>
      </c>
      <c r="C7" s="338">
        <f>Normalized_FCF!G8</f>
        <v>1437634</v>
      </c>
      <c r="D7" t="str">
        <f>Reporting_currency</f>
        <v>EUR</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PRADA(1913.HK). Each scenario should include the Compound Growth Rate, the Probability Assessment, and the Business Narrative.</v>
      </c>
      <c r="F7" s="366"/>
      <c r="H7" s="247">
        <v>4</v>
      </c>
      <c r="I7" s="124" t="str">
        <f t="shared" si="0"/>
        <v/>
      </c>
    </row>
    <row r="8" spans="2:9">
      <c r="B8" s="100" t="s">
        <v>66</v>
      </c>
      <c r="C8" s="338">
        <f>Normalized_FCF!G19</f>
        <v>996880</v>
      </c>
      <c r="D8" t="str">
        <f>Reporting_currency</f>
        <v>EUR</v>
      </c>
      <c r="E8" s="366"/>
      <c r="F8" s="366"/>
      <c r="H8" s="247">
        <v>5</v>
      </c>
      <c r="I8" s="124" t="str">
        <f t="shared" si="0"/>
        <v/>
      </c>
    </row>
    <row r="9" spans="2:9">
      <c r="B9" s="100" t="s">
        <v>57</v>
      </c>
      <c r="C9" s="338">
        <f>Normalized_FCF!C19</f>
        <v>693212.58366541076</v>
      </c>
      <c r="D9" t="str">
        <f>Reporting_currency</f>
        <v>EUR</v>
      </c>
      <c r="E9" s="366"/>
      <c r="F9" s="366"/>
      <c r="H9" s="247">
        <v>6</v>
      </c>
      <c r="I9" s="124" t="str">
        <f t="shared" si="0"/>
        <v/>
      </c>
    </row>
    <row r="10" spans="2:9">
      <c r="E10" s="366"/>
      <c r="F10" s="366"/>
      <c r="H10" s="247">
        <v>7</v>
      </c>
      <c r="I10" s="124" t="str">
        <f t="shared" si="0"/>
        <v/>
      </c>
    </row>
    <row r="11" spans="2:9" ht="13.15">
      <c r="B11" s="159" t="s">
        <v>449</v>
      </c>
      <c r="E11" s="366"/>
      <c r="F11" s="366"/>
      <c r="H11" s="247">
        <v>8</v>
      </c>
      <c r="I11" s="124" t="str">
        <f t="shared" si="0"/>
        <v/>
      </c>
    </row>
    <row r="12" spans="2:9">
      <c r="B12" s="118" t="s">
        <v>144</v>
      </c>
      <c r="C12" s="158">
        <f ca="1">(Normalized_FCF!G4/OFFSET(Normalized_FCF!G4, 0, $C$4))^(1/$C$4) - 1</f>
        <v>0.17871698612149922</v>
      </c>
      <c r="D12" s="158"/>
      <c r="E12" s="366"/>
      <c r="F12" s="366"/>
      <c r="H12" s="247">
        <v>9</v>
      </c>
      <c r="I12" s="124" t="str">
        <f t="shared" si="0"/>
        <v/>
      </c>
    </row>
    <row r="13" spans="2:9">
      <c r="B13" s="148" t="s">
        <v>152</v>
      </c>
      <c r="C13" s="158">
        <f ca="1">(Normalized_FCF!G8/OFFSET(Normalized_FCF!G8, 0, $C$4))^(1/$C$4) - 1</f>
        <v>0.37273927208324187</v>
      </c>
      <c r="E13" s="366"/>
      <c r="F13" s="366"/>
      <c r="H13" s="247">
        <v>10</v>
      </c>
      <c r="I13" s="124" t="str">
        <f t="shared" si="0"/>
        <v/>
      </c>
    </row>
    <row r="14" spans="2:9">
      <c r="B14" s="100" t="s">
        <v>66</v>
      </c>
      <c r="C14" s="158">
        <f ca="1">(Normalized_FCF!G19/OFFSET(Normalized_FCF!G19, 0, $C$4))^(1/$C$4) - 1</f>
        <v>0.40378207079529949</v>
      </c>
      <c r="E14" s="366"/>
      <c r="F14" s="366"/>
    </row>
    <row r="16" spans="2:9" ht="13.9">
      <c r="B16" s="36" t="s">
        <v>162</v>
      </c>
      <c r="C16" s="37"/>
      <c r="D16" s="37"/>
      <c r="E16" s="37"/>
      <c r="F16" s="37"/>
    </row>
    <row r="17" spans="2:6" ht="13.15">
      <c r="B17" s="109" t="s">
        <v>151</v>
      </c>
      <c r="E17" s="159" t="s">
        <v>331</v>
      </c>
    </row>
    <row r="18" spans="2:6">
      <c r="B18" s="152" t="s">
        <v>133</v>
      </c>
      <c r="C18" s="150">
        <v>5</v>
      </c>
      <c r="E18" s="366" t="s">
        <v>332</v>
      </c>
      <c r="F18" s="367"/>
    </row>
    <row r="19" spans="2:6">
      <c r="E19" s="367"/>
      <c r="F19" s="367"/>
    </row>
    <row r="20" spans="2:6" ht="13.15">
      <c r="B20" s="159" t="s">
        <v>304</v>
      </c>
      <c r="E20" s="367"/>
      <c r="F20" s="367"/>
    </row>
    <row r="21" spans="2:6">
      <c r="B21" s="100" t="s">
        <v>277</v>
      </c>
      <c r="C21" s="160">
        <f>Market_Price</f>
        <v>49.9</v>
      </c>
      <c r="D21" t="str">
        <f>Market_currency</f>
        <v>HKD</v>
      </c>
      <c r="E21" s="367"/>
      <c r="F21" s="367"/>
    </row>
    <row r="22" spans="2:6">
      <c r="B22" s="100" t="s">
        <v>278</v>
      </c>
      <c r="C22" s="160">
        <f>IF(valuation_method="DCF",DCF!C12,DDM!C7)</f>
        <v>28.743494574782385</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0.03</v>
      </c>
      <c r="D26" s="164"/>
      <c r="E26" s="365"/>
      <c r="F26" s="365"/>
    </row>
    <row r="27" spans="2:6">
      <c r="B27" s="100" t="s">
        <v>113</v>
      </c>
      <c r="C27" s="160">
        <f>IF(valuation_method="DCF",DCF!E76,DDM!E71)</f>
        <v>30.221246192287584</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0.01</v>
      </c>
      <c r="D32" s="164"/>
      <c r="E32" s="365"/>
      <c r="F32" s="365"/>
    </row>
    <row r="33" spans="2:6">
      <c r="B33" s="100" t="s">
        <v>113</v>
      </c>
      <c r="C33" s="160">
        <f>IF(valuation_method="DCF",DCF!E77,DDM!E72)</f>
        <v>29.228861794402807</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0.05</v>
      </c>
      <c r="D38" s="164"/>
      <c r="E38" s="365"/>
      <c r="F38" s="365"/>
    </row>
    <row r="39" spans="2:6">
      <c r="B39" s="100" t="s">
        <v>113</v>
      </c>
      <c r="C39" s="160">
        <f>IF(valuation_method="DCF",DCF!E75,DDM!E70)</f>
        <v>31.243555915048276</v>
      </c>
      <c r="D39" t="str">
        <f>Market_currency</f>
        <v>HKD</v>
      </c>
      <c r="E39" s="365"/>
      <c r="F39" s="365"/>
    </row>
    <row r="40" spans="2:6">
      <c r="B40" s="100" t="s">
        <v>147</v>
      </c>
      <c r="C40" s="167">
        <f>1-C28-C34</f>
        <v>0.2</v>
      </c>
      <c r="D40" s="165"/>
      <c r="E40" s="365"/>
      <c r="F40" s="365"/>
    </row>
    <row r="42" spans="2:6" ht="13.15">
      <c r="B42" s="100" t="s">
        <v>120</v>
      </c>
      <c r="C42" s="154">
        <f>C27*C28+C33*C34+C39*C40</f>
        <v>30.227231257262765</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28.743494574782375</v>
      </c>
      <c r="D51" t="str">
        <f>Market_currency</f>
        <v>HKD</v>
      </c>
      <c r="E51" s="365"/>
      <c r="F51" s="365"/>
    </row>
    <row r="52" spans="2:6">
      <c r="B52" s="100" t="s">
        <v>147</v>
      </c>
      <c r="C52" s="165">
        <v>0.05</v>
      </c>
      <c r="D52" s="165"/>
      <c r="E52" s="365"/>
      <c r="F52" s="365"/>
    </row>
    <row r="54" spans="2:6" ht="13.15">
      <c r="B54" s="159" t="s">
        <v>317</v>
      </c>
      <c r="E54" s="159" t="s">
        <v>149</v>
      </c>
      <c r="F54" s="159"/>
    </row>
    <row r="55" spans="2:6">
      <c r="B55" s="152" t="s">
        <v>133</v>
      </c>
      <c r="C55" s="166">
        <f>C46</f>
        <v>10</v>
      </c>
      <c r="D55" s="163"/>
      <c r="E55" s="365"/>
      <c r="F55" s="365"/>
    </row>
    <row r="56" spans="2:6">
      <c r="B56" s="118" t="s">
        <v>134</v>
      </c>
      <c r="C56" s="164">
        <v>0.08</v>
      </c>
      <c r="D56" s="164"/>
      <c r="E56" s="365"/>
      <c r="F56" s="365"/>
    </row>
    <row r="57" spans="2:6">
      <c r="B57" s="100" t="s">
        <v>113</v>
      </c>
      <c r="C57" s="160">
        <f>IF(valuation_method="DCF",DCF!E74,DDM!E69)</f>
        <v>37.84347781962564</v>
      </c>
      <c r="D57" t="str">
        <f>Market_currency</f>
        <v>HKD</v>
      </c>
      <c r="E57" s="365"/>
      <c r="F57" s="365"/>
    </row>
    <row r="58" spans="2:6">
      <c r="B58" s="100" t="s">
        <v>147</v>
      </c>
      <c r="C58" s="165">
        <v>0.05</v>
      </c>
      <c r="D58" s="165"/>
      <c r="E58" s="365"/>
      <c r="F58" s="365"/>
    </row>
    <row r="60" spans="2:6" ht="13.15">
      <c r="B60" s="100" t="s">
        <v>120</v>
      </c>
      <c r="C60" s="154">
        <f>C51*C52+C57*C58+C42*(1-C52-C58)</f>
        <v>30.533856751256884</v>
      </c>
      <c r="D60" t="str">
        <f>Market_currency</f>
        <v>HKD</v>
      </c>
      <c r="E60" s="100" t="s">
        <v>297</v>
      </c>
      <c r="F60" s="277">
        <f>Thesis!F28</f>
        <v>3</v>
      </c>
    </row>
    <row r="62" spans="2:6" ht="13.9">
      <c r="B62" s="36" t="s">
        <v>351</v>
      </c>
      <c r="C62" s="37"/>
      <c r="D62" s="37"/>
      <c r="E62" s="37"/>
      <c r="F62" s="37"/>
    </row>
    <row r="63" spans="2:6" ht="13.15">
      <c r="B63" s="109" t="s">
        <v>305</v>
      </c>
      <c r="E63" s="252" t="s">
        <v>312</v>
      </c>
    </row>
    <row r="64" spans="2:6">
      <c r="B64" s="152" t="s">
        <v>133</v>
      </c>
      <c r="C64" s="166">
        <f>C18</f>
        <v>5</v>
      </c>
      <c r="D64" s="150"/>
      <c r="E64" s="251" t="s">
        <v>398</v>
      </c>
    </row>
    <row r="65" spans="2:6">
      <c r="B65" s="118" t="s">
        <v>134</v>
      </c>
      <c r="C65" s="151">
        <v>2.3752619295331442E-2</v>
      </c>
      <c r="D65" s="151"/>
      <c r="E65" s="251" t="s">
        <v>313</v>
      </c>
    </row>
    <row r="66" spans="2:6">
      <c r="B66" s="100" t="s">
        <v>102</v>
      </c>
      <c r="C66" s="160">
        <f>IF(valuation_method="DCF",DCF!C18,DDM!C13)</f>
        <v>29.908102371508068</v>
      </c>
      <c r="D66" s="160" t="str">
        <f>Market_currency</f>
        <v>HKD</v>
      </c>
      <c r="E66" s="251" t="s">
        <v>314</v>
      </c>
    </row>
    <row r="68" spans="2:6" ht="13.15">
      <c r="B68" s="109" t="s">
        <v>352</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348</v>
      </c>
      <c r="F72" s="291">
        <f>BS!D89/C60</f>
        <v>-5.1242478065840952E-2</v>
      </c>
    </row>
    <row r="74" spans="2:6" ht="13.9">
      <c r="B74" s="36" t="s">
        <v>127</v>
      </c>
      <c r="C74" s="37"/>
      <c r="D74" s="37"/>
      <c r="E74" s="37"/>
      <c r="F74" s="37"/>
    </row>
    <row r="75" spans="2:6" ht="13.15">
      <c r="B75" s="109" t="s">
        <v>125</v>
      </c>
    </row>
    <row r="76" spans="2:6">
      <c r="B76" s="246" t="s">
        <v>298</v>
      </c>
      <c r="C76" s="245">
        <f>F60</f>
        <v>3</v>
      </c>
      <c r="D76" s="134"/>
    </row>
    <row r="77" spans="2:6">
      <c r="B77" s="100" t="s">
        <v>111</v>
      </c>
      <c r="C77" s="173">
        <f>Normalized_FCF!C90</f>
        <v>1.4678</v>
      </c>
      <c r="D77" t="str">
        <f>Market_currency</f>
        <v>HKD</v>
      </c>
    </row>
    <row r="79" spans="2:6" ht="13.15">
      <c r="B79" s="109" t="s">
        <v>302</v>
      </c>
    </row>
    <row r="80" spans="2:6">
      <c r="B80" s="148" t="s">
        <v>300</v>
      </c>
      <c r="C80" s="167">
        <f>Thesis!F29</f>
        <v>0.4</v>
      </c>
    </row>
    <row r="81" spans="2:8">
      <c r="B81" s="100" t="s">
        <v>121</v>
      </c>
      <c r="C81" s="116">
        <f>PV(C80, C76, -C77, 0)</f>
        <v>2.3322186588921276</v>
      </c>
      <c r="D81" s="116"/>
      <c r="E81" s="100"/>
      <c r="F81" s="100"/>
    </row>
    <row r="82" spans="2:8">
      <c r="B82" s="100" t="s">
        <v>122</v>
      </c>
      <c r="C82" s="116">
        <f>C60/(1+C80)^C76</f>
        <v>11.127498816055718</v>
      </c>
      <c r="D82" s="116"/>
    </row>
    <row r="83" spans="2:8" ht="13.15">
      <c r="B83" s="110" t="s">
        <v>101</v>
      </c>
      <c r="C83" s="111">
        <f>C81+C82</f>
        <v>13.459717474947846</v>
      </c>
      <c r="D83" t="str">
        <f>Market_currency</f>
        <v>HKD</v>
      </c>
      <c r="E83" s="146" t="s">
        <v>126</v>
      </c>
      <c r="F83" s="291">
        <f>(1-C83/C60)</f>
        <v>0.55918711531933174</v>
      </c>
    </row>
    <row r="84" spans="2:8">
      <c r="E84" s="120"/>
    </row>
    <row r="85" spans="2:8" ht="13.15">
      <c r="B85" s="109" t="s">
        <v>303</v>
      </c>
    </row>
    <row r="86" spans="2:8">
      <c r="B86" s="148" t="s">
        <v>301</v>
      </c>
      <c r="C86" s="116">
        <f>Market_Price</f>
        <v>49.9</v>
      </c>
      <c r="D86" t="str">
        <f>Market_currency</f>
        <v>HKD</v>
      </c>
    </row>
    <row r="87" spans="2:8" ht="13.15">
      <c r="B87" s="100" t="s">
        <v>299</v>
      </c>
      <c r="C87" s="237">
        <f ca="1">IRR(OFFSET($I$3, 0, 0, $C$76 + 1, 1))</f>
        <v>-0.11622199457788085</v>
      </c>
    </row>
    <row r="88" spans="2:8">
      <c r="B88" s="100"/>
    </row>
    <row r="89" spans="2:8" ht="13.15">
      <c r="B89" s="109" t="s">
        <v>415</v>
      </c>
    </row>
    <row r="90" spans="2:8">
      <c r="B90" s="148" t="s">
        <v>416</v>
      </c>
      <c r="C90" s="167">
        <f>Thesis!F30</f>
        <v>0.22</v>
      </c>
    </row>
    <row r="91" spans="2:8">
      <c r="B91" s="100" t="s">
        <v>121</v>
      </c>
      <c r="C91" s="116">
        <f>PV(C90, C76, -C77, 0)</f>
        <v>2.9976019578731261</v>
      </c>
      <c r="D91" s="116"/>
      <c r="E91" s="100"/>
      <c r="F91" s="100"/>
    </row>
    <row r="92" spans="2:8">
      <c r="B92" s="100" t="s">
        <v>122</v>
      </c>
      <c r="C92" s="116">
        <f>C60/(1+C90)^C76</f>
        <v>16.815205210599611</v>
      </c>
      <c r="D92" s="116"/>
    </row>
    <row r="93" spans="2:8" ht="13.15">
      <c r="B93" s="110" t="s">
        <v>101</v>
      </c>
      <c r="C93" s="111">
        <f>C91+C92</f>
        <v>19.812807168472737</v>
      </c>
      <c r="D93" t="str">
        <f>Market_currency</f>
        <v>HKD</v>
      </c>
      <c r="E93" s="146" t="s">
        <v>126</v>
      </c>
      <c r="F93" s="291">
        <f>(1-C93/C60)</f>
        <v>0.35112005896021736</v>
      </c>
    </row>
    <row r="95" spans="2:8" ht="13.15">
      <c r="B95" s="109" t="s">
        <v>400</v>
      </c>
      <c r="G95" s="2"/>
      <c r="H95" s="281"/>
    </row>
    <row r="96" spans="2:8">
      <c r="B96" s="148" t="s">
        <v>406</v>
      </c>
      <c r="C96" s="134">
        <f>Thesis!F31</f>
        <v>0.08</v>
      </c>
      <c r="G96" s="2"/>
      <c r="H96" s="281"/>
    </row>
    <row r="97" spans="2:8">
      <c r="B97" s="100" t="s">
        <v>121</v>
      </c>
      <c r="C97" s="116">
        <f>PV(C96, C76, -C77, 0)</f>
        <v>3.7826629578824384</v>
      </c>
      <c r="D97" s="116"/>
      <c r="G97" s="2"/>
      <c r="H97" s="281"/>
    </row>
    <row r="98" spans="2:8">
      <c r="B98" s="100" t="s">
        <v>122</v>
      </c>
      <c r="C98" s="116">
        <f>C60/(1+C96)^C76</f>
        <v>24.238759931839088</v>
      </c>
      <c r="D98" s="116"/>
      <c r="G98" s="2"/>
      <c r="H98" s="281"/>
    </row>
    <row r="99" spans="2:8" ht="13.15">
      <c r="B99" s="110" t="s">
        <v>401</v>
      </c>
      <c r="C99" s="111">
        <f>C97+C98</f>
        <v>28.021422889721528</v>
      </c>
      <c r="D99" t="s">
        <v>399</v>
      </c>
      <c r="E99" s="146" t="s">
        <v>126</v>
      </c>
      <c r="F99" s="291">
        <f>(1-C99/C60)</f>
        <v>8.2283541250711356E-2</v>
      </c>
    </row>
    <row r="100" spans="2:8">
      <c r="B100" s="100"/>
    </row>
    <row r="101" spans="2:8" ht="13.15">
      <c r="B101" s="109" t="s">
        <v>424</v>
      </c>
    </row>
    <row r="102" spans="2:8">
      <c r="B102" s="148" t="s">
        <v>423</v>
      </c>
      <c r="C102" s="134">
        <f>Thesis!F32</f>
        <v>0.12</v>
      </c>
    </row>
    <row r="103" spans="2:8">
      <c r="B103" s="100" t="s">
        <v>121</v>
      </c>
      <c r="C103" s="116">
        <f>PV(C102, C76, -C77, 0)</f>
        <v>3.5254079354956298</v>
      </c>
      <c r="D103" s="116"/>
    </row>
    <row r="104" spans="2:8">
      <c r="B104" s="100" t="s">
        <v>122</v>
      </c>
      <c r="C104" s="116">
        <f>C60/(1+C102)^C76</f>
        <v>21.733396125108815</v>
      </c>
      <c r="D104" s="116"/>
    </row>
    <row r="105" spans="2:8" ht="13.15">
      <c r="B105" s="110" t="s">
        <v>401</v>
      </c>
      <c r="C105" s="111">
        <f>C103+C104</f>
        <v>25.258804060604444</v>
      </c>
      <c r="D105" t="s">
        <v>399</v>
      </c>
      <c r="E105" s="146" t="s">
        <v>126</v>
      </c>
      <c r="F105" s="291">
        <f>(1-C105/C66)</f>
        <v>0.15545280182445731</v>
      </c>
    </row>
    <row r="106" spans="2:8">
      <c r="B106" s="100"/>
    </row>
    <row r="107" spans="2:8" ht="14.65">
      <c r="E107" s="285" t="s">
        <v>326</v>
      </c>
      <c r="F107" s="282"/>
    </row>
    <row r="108" spans="2:8" ht="13.9">
      <c r="E108" s="278" t="s">
        <v>327</v>
      </c>
      <c r="F108" s="283" t="s">
        <v>328</v>
      </c>
    </row>
    <row r="109" spans="2:8" ht="13.9">
      <c r="E109" s="279" t="s">
        <v>327</v>
      </c>
      <c r="F109" s="283" t="s">
        <v>329</v>
      </c>
    </row>
    <row r="110" spans="2:8" ht="13.9">
      <c r="E110" s="280" t="s">
        <v>327</v>
      </c>
      <c r="F110" s="284" t="s">
        <v>330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2025-06-09T01:41:18Z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