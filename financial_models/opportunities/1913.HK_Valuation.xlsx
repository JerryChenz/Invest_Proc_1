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CEE1C5E-2914-451F-82DC-4087CA2A7F9A}"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<sst xmlns="http://schemas.openxmlformats.org/spreadsheetml/2006/main" count="686" uniqueCount="466">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</sst>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47.6</v>
      </c>
      <c r="D12" s="50"/>
      <c r="E12" s="48"/>
    </row>
    <row r="13" spans="1:10">
      <c r="B13" s="1" t="s">
        <v>412</v>
      </c>
      <c r="C13" s="48" t="s">
        <v>393</v>
      </c>
      <c r="D13" s="48"/>
      <c r="E13" s="5"/>
    </row>
    <row r="14" spans="1:10">
      <c r="B14" s="4" t="s">
        <v>416</v>
      </c>
      <c r="C14" s="35">
        <f>Thesis!C12*Common_Shares/1000000</f>
        <v>121800.0224</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9.0663799000000012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33.047848014072677</v>
      </c>
      <c r="D26" s="1" t="s">
        <v>396</v>
      </c>
      <c r="E26" s="301">
        <f ca="1">Scenarios!C87</f>
        <v>-7.9180969336304363E-2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15.389927198904168</v>
      </c>
      <c r="D29" s="310" t="str">
        <f>D149</f>
        <v/>
      </c>
      <c r="E29" s="306" t="s">
        <v>420</v>
      </c>
      <c r="F29" s="302">
        <v>0.3674</v>
      </c>
    </row>
    <row r="30" spans="2:6">
      <c r="B30" s="1" t="s">
        <v>422</v>
      </c>
      <c r="C30" s="311">
        <f>C157</f>
        <v>21.365246731530732</v>
      </c>
      <c r="D30" s="311" t="str">
        <f>D157</f>
        <v/>
      </c>
      <c r="E30" s="307" t="s">
        <v>433</v>
      </c>
      <c r="F30" s="312">
        <v>0.21740000000000001</v>
      </c>
    </row>
    <row r="31" spans="2:6">
      <c r="B31" s="1" t="s">
        <v>423</v>
      </c>
      <c r="C31" s="311">
        <f>C165</f>
        <v>30.46890066324962</v>
      </c>
      <c r="D31" s="311" t="str">
        <f>D165</f>
        <v/>
      </c>
      <c r="E31" s="307" t="s">
        <v>432</v>
      </c>
      <c r="F31" s="312">
        <v>7.4999999999999997E-2</v>
      </c>
    </row>
    <row r="32" spans="2:6">
      <c r="B32" s="1" t="s">
        <v>424</v>
      </c>
      <c r="C32" s="311">
        <f>C173</f>
        <v>27.274655074840922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1020778.4410616378</v>
      </c>
      <c r="D41" s="1" t="str">
        <f>Reporting_currency</f>
        <v>EUR</v>
      </c>
    </row>
    <row r="42" spans="1:6">
      <c r="B42" s="47"/>
      <c r="C42" s="76"/>
    </row>
    <row r="43" spans="1:6" ht="24.6" customHeight="1">
      <c r="B43" s="361" t="s">
        <v>232</v>
      </c>
      <c r="C43" s="361"/>
      <c r="D43" s="361"/>
      <c r="E43" s="361"/>
      <c r="F43" s="361"/>
    </row>
    <row r="44" spans="1:6">
      <c r="B44" s="47" t="s">
        <v>233</v>
      </c>
      <c r="C44" s="349">
        <f>Normalized_FCF!C9</f>
        <v>0</v>
      </c>
      <c r="D44" s="1" t="str">
        <f>Reporting_currency</f>
        <v>EUR</v>
      </c>
    </row>
    <row r="45" spans="1:6">
      <c r="B45" s="52" t="s">
        <v>234</v>
      </c>
      <c r="C45" s="349">
        <f>Normalized_FCF!C10</f>
        <v>0</v>
      </c>
      <c r="D45" s="1" t="str">
        <f>Reporting_currency</f>
        <v>EUR</v>
      </c>
    </row>
    <row r="47" spans="1:6">
      <c r="B47" s="361" t="s">
        <v>235</v>
      </c>
      <c r="C47" s="361"/>
      <c r="D47" s="361"/>
      <c r="E47" s="361"/>
      <c r="F47" s="361"/>
    </row>
    <row r="48" spans="1:6">
      <c r="B48" s="47" t="s">
        <v>236</v>
      </c>
      <c r="C48" s="349">
        <f>Normalized_FCF!C11</f>
        <v>0</v>
      </c>
      <c r="D48" s="1" t="str">
        <f>Reporting_currency</f>
        <v>EUR</v>
      </c>
    </row>
    <row r="50" spans="2:6">
      <c r="B50" s="361" t="s">
        <v>239</v>
      </c>
      <c r="C50" s="361"/>
      <c r="D50" s="361"/>
      <c r="E50" s="361"/>
      <c r="F50" s="361"/>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61" t="s">
        <v>240</v>
      </c>
      <c r="C58" s="361"/>
      <c r="D58" s="361"/>
      <c r="E58" s="361"/>
      <c r="F58" s="361"/>
    </row>
    <row r="59" spans="2:6">
      <c r="B59" s="47" t="s">
        <v>238</v>
      </c>
      <c r="C59" s="349">
        <f>Normalized_FCF!C14</f>
        <v>-232460.11026540946</v>
      </c>
      <c r="D59" s="1" t="str">
        <f>Reporting_currency</f>
        <v>EUR</v>
      </c>
    </row>
    <row r="61" spans="2:6">
      <c r="B61" s="361" t="s">
        <v>335</v>
      </c>
      <c r="C61" s="362"/>
      <c r="D61" s="362"/>
      <c r="E61" s="362"/>
      <c r="F61" s="362"/>
    </row>
    <row r="62" spans="2:6">
      <c r="B62" s="47" t="s">
        <v>241</v>
      </c>
      <c r="C62" s="349">
        <f>Normalized_FCF!C17</f>
        <v>0</v>
      </c>
      <c r="D62" s="1" t="str">
        <f>Reporting_currency</f>
        <v>EUR</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5.1600389812170917E-2</v>
      </c>
      <c r="F69" s="314"/>
    </row>
    <row r="70" spans="1:6">
      <c r="B70" s="227" t="s">
        <v>454</v>
      </c>
      <c r="C70" s="92">
        <f>Normalized_FCF!C94</f>
        <v>3.1237107218487398E-2</v>
      </c>
      <c r="E70" s="47" t="s">
        <v>444</v>
      </c>
      <c r="F70" s="315">
        <f>Normalized_FCF!C92</f>
        <v>5.4884756113419773</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32.749047400791135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866500</v>
      </c>
      <c r="D102" s="1" t="str">
        <f>Reporting_currency</f>
        <v>EUR</v>
      </c>
    </row>
    <row r="103" spans="2:6">
      <c r="B103" s="47" t="s">
        <v>280</v>
      </c>
      <c r="C103" s="223">
        <f>C102*scaling_factor*Exchange_Rate/Common_Shares</f>
        <v>3.0701674610485132</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411336.54851155588</v>
      </c>
      <c r="D109" s="1" t="str">
        <f>Reporting_currency</f>
        <v>EUR</v>
      </c>
    </row>
    <row r="110" spans="2:6">
      <c r="B110" s="47" t="s">
        <v>281</v>
      </c>
      <c r="C110" s="223">
        <f>C109*scaling_factor*Exchange_Rate/Common_Shares</f>
        <v>1.4574403771265807</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1.333086907726362E-2</v>
      </c>
      <c r="D114" s="1" t="str">
        <f>Market_currency</f>
        <v>HKD</v>
      </c>
    </row>
    <row r="116" spans="1:6" ht="24.6" customHeight="1">
      <c r="B116" s="360" t="s">
        <v>363</v>
      </c>
      <c r="C116" s="360"/>
      <c r="D116" s="360"/>
      <c r="E116" s="360"/>
      <c r="F116" s="360"/>
    </row>
    <row r="118" spans="1:6">
      <c r="B118" s="47" t="s">
        <v>445</v>
      </c>
      <c r="C118" s="223">
        <f>IF(valuation_method="DCF",DCF!C12,DDM!C7)</f>
        <v>31.149651185946471</v>
      </c>
      <c r="D118" s="1" t="str">
        <f>Market_currency</f>
        <v>HKD</v>
      </c>
    </row>
    <row r="119" spans="1:6">
      <c r="B119" s="296" t="s">
        <v>402</v>
      </c>
      <c r="C119" s="223">
        <f>BS!D47</f>
        <v>-5.8921637019123594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40.76 HKD</v>
      </c>
      <c r="F126" s="232">
        <f>DCF!F74</f>
        <v>0.05</v>
      </c>
    </row>
    <row r="127" spans="1:6">
      <c r="B127" s="218" t="str">
        <f>DCF!B75</f>
        <v>Optimistic</v>
      </c>
      <c r="C127" s="219">
        <f>DCF!C75</f>
        <v>0.05</v>
      </c>
      <c r="D127" s="220">
        <f>DCF!D75</f>
        <v>5</v>
      </c>
      <c r="E127" s="231" t="str">
        <f>ROUND(IF(valuation_method="DCF",DCF!E75,DDM!E70),2)&amp;" "&amp;Market_currency</f>
        <v>33.8 HKD</v>
      </c>
      <c r="F127" s="221">
        <f>DCF!F75</f>
        <v>0.18</v>
      </c>
    </row>
    <row r="128" spans="1:6">
      <c r="B128" s="218" t="str">
        <f>DCF!B76</f>
        <v>Base</v>
      </c>
      <c r="C128" s="219">
        <f>DCF!C76</f>
        <v>0.03</v>
      </c>
      <c r="D128" s="220">
        <f>DCF!D76</f>
        <v>5</v>
      </c>
      <c r="E128" s="231" t="str">
        <f>ROUND(IF(valuation_method="DCF",DCF!E76,DDM!E71),2)&amp;" "&amp;Market_currency</f>
        <v>32.72 HKD</v>
      </c>
      <c r="F128" s="221">
        <f>DCF!F76</f>
        <v>0.53999999999999992</v>
      </c>
    </row>
    <row r="129" spans="1:6">
      <c r="B129" s="218" t="str">
        <f>DCF!B77</f>
        <v>Pessimistic</v>
      </c>
      <c r="C129" s="219">
        <f>DCF!C77</f>
        <v>0.01</v>
      </c>
      <c r="D129" s="220">
        <f>DCF!D77</f>
        <v>5</v>
      </c>
      <c r="E129" s="231" t="str">
        <f>ROUND(IF(valuation_method="DCF",DCF!E77,DDM!E72),2)&amp;" "&amp;Market_currency</f>
        <v>31.67 HKD</v>
      </c>
      <c r="F129" s="221">
        <f>DCF!F77</f>
        <v>0.18</v>
      </c>
    </row>
    <row r="130" spans="1:6">
      <c r="B130" s="218" t="str">
        <f>DCF!B78</f>
        <v>Devil's advocate</v>
      </c>
      <c r="C130" s="219">
        <f>DCF!C78</f>
        <v>0</v>
      </c>
      <c r="D130" s="220">
        <f>DCF!D78</f>
        <v>10</v>
      </c>
      <c r="E130" s="231" t="str">
        <f>ROUND(IF(valuation_method="DCF",DCF!E78,DDM!E73),2)&amp;" "&amp;Market_currency</f>
        <v>31.15 HKD</v>
      </c>
      <c r="F130" s="221">
        <f>DCF!F78</f>
        <v>0.05</v>
      </c>
    </row>
    <row r="132" spans="1:6">
      <c r="B132" s="211" t="s">
        <v>257</v>
      </c>
      <c r="C132" s="217">
        <f>Scenarios!C60</f>
        <v>33.047848014072677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1.4868863036000002</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2.4641561834770669</v>
      </c>
    </row>
    <row r="148" spans="2:4">
      <c r="B148" s="212" t="str">
        <f>"+ PV(Equity Value realized at year "&amp;C141&amp;")"</f>
        <v>+ PV(Equity Value realized at year 3)</v>
      </c>
      <c r="C148" s="216">
        <f>Scenarios!C82</f>
        <v>12.925771015427101</v>
      </c>
    </row>
    <row r="149" spans="2:4">
      <c r="B149" s="80" t="s">
        <v>259</v>
      </c>
      <c r="C149" s="215">
        <f>Scenarios!C83</f>
        <v>15.389927198904168</v>
      </c>
      <c r="D149" s="300" t="str">
        <f>IF($D$11="","",C149*$E$25)</f>
        <v/>
      </c>
    </row>
    <row r="150" spans="2:4">
      <c r="B150" s="259" t="s">
        <v>412</v>
      </c>
      <c r="C150" s="298" t="str">
        <f>Market_currency</f>
        <v>HKD</v>
      </c>
      <c r="D150" s="298" t="str">
        <f>IF($D$11="","",D$13)</f>
        <v/>
      </c>
    </row>
    <row r="151" spans="2:4">
      <c r="B151" s="214" t="s">
        <v>261</v>
      </c>
      <c r="C151" s="92">
        <f>Scenarios!F83</f>
        <v>0.53431378671462304</v>
      </c>
    </row>
    <row r="153" spans="2:4">
      <c r="B153" s="210" t="s">
        <v>408</v>
      </c>
    </row>
    <row r="154" spans="2:4">
      <c r="B154" s="1" t="s">
        <v>407</v>
      </c>
      <c r="C154" s="297">
        <f>Scenarios!C90</f>
        <v>0.21740000000000001</v>
      </c>
    </row>
    <row r="155" spans="2:4">
      <c r="B155" s="212" t="str">
        <f>"PV("&amp;C141&amp;" yrs of Dividends)"</f>
        <v>PV(3 yrs of Dividends)</v>
      </c>
      <c r="C155" s="216">
        <f>Scenarios!C91</f>
        <v>3.0487129018949313</v>
      </c>
    </row>
    <row r="156" spans="2:4">
      <c r="B156" s="212" t="str">
        <f>"+ PV(Equity Value realized at year "&amp;C141&amp;")"</f>
        <v>+ PV(Equity Value realized at year 3)</v>
      </c>
      <c r="C156" s="216">
        <f>Scenarios!C92</f>
        <v>18.316533829635802</v>
      </c>
    </row>
    <row r="157" spans="2:4">
      <c r="B157" s="80" t="s">
        <v>259</v>
      </c>
      <c r="C157" s="215">
        <f>Scenarios!C93</f>
        <v>21.365246731530732</v>
      </c>
      <c r="D157" s="300" t="str">
        <f>IF($D$11="","",C157*$E$25)</f>
        <v/>
      </c>
    </row>
    <row r="158" spans="2:4">
      <c r="B158" s="259" t="s">
        <v>412</v>
      </c>
      <c r="C158" s="298" t="str">
        <f>Market_currency</f>
        <v>HKD</v>
      </c>
      <c r="D158" s="298" t="str">
        <f>IF($D$11="","",D$13)</f>
        <v/>
      </c>
    </row>
    <row r="159" spans="2:4">
      <c r="B159" s="214" t="s">
        <v>261</v>
      </c>
      <c r="C159" s="92">
        <f>Scenarios!F93</f>
        <v>0.35350565875173401</v>
      </c>
    </row>
    <row r="161" spans="2:4">
      <c r="B161" s="210" t="s">
        <v>397</v>
      </c>
    </row>
    <row r="162" spans="2:4">
      <c r="B162" s="1" t="s">
        <v>406</v>
      </c>
      <c r="C162" s="92">
        <f>Scenarios!C96</f>
        <v>7.4999999999999997E-2</v>
      </c>
    </row>
    <row r="163" spans="2:4">
      <c r="B163" s="212" t="str">
        <f>"PV("&amp;C141&amp;" yrs of Dividends)"</f>
        <v>PV(3 yrs of Dividends)</v>
      </c>
      <c r="C163" s="216">
        <f>Scenarios!C97</f>
        <v>3.8666861047748737</v>
      </c>
    </row>
    <row r="164" spans="2:4">
      <c r="B164" s="212" t="str">
        <f>"+ PV(Equity Value realized at year "&amp;C141&amp;")"</f>
        <v>+ PV(Equity Value realized at year 3)</v>
      </c>
      <c r="C164" s="216">
        <f>Scenarios!C98</f>
        <v>26.602214558474746</v>
      </c>
    </row>
    <row r="165" spans="2:4">
      <c r="B165" s="80" t="s">
        <v>398</v>
      </c>
      <c r="C165" s="215">
        <f>Scenarios!C99</f>
        <v>30.46890066324962</v>
      </c>
      <c r="D165" s="300" t="str">
        <f>IF($D$11="","",C165*$E$25)</f>
        <v/>
      </c>
    </row>
    <row r="166" spans="2:4">
      <c r="B166" s="259" t="s">
        <v>412</v>
      </c>
      <c r="C166" s="298" t="str">
        <f>Market_currency</f>
        <v>HKD</v>
      </c>
      <c r="D166" s="298" t="str">
        <f>IF($D$11="","",D$13)</f>
        <v/>
      </c>
    </row>
    <row r="167" spans="2:4">
      <c r="B167" s="214" t="s">
        <v>261</v>
      </c>
      <c r="C167" s="92">
        <f>Scenarios!F99</f>
        <v>7.8036771100038704E-2</v>
      </c>
    </row>
    <row r="169" spans="2:4">
      <c r="B169" s="210" t="s">
        <v>428</v>
      </c>
    </row>
    <row r="170" spans="2:4">
      <c r="B170" s="1" t="s">
        <v>419</v>
      </c>
      <c r="C170" s="92">
        <f>F32</f>
        <v>0.1174</v>
      </c>
    </row>
    <row r="171" spans="2:4">
      <c r="B171" s="212" t="str">
        <f>"PV("&amp;C141&amp;" yrs of Dividends)"</f>
        <v>PV(3 yrs of Dividends)</v>
      </c>
      <c r="C171" s="216">
        <f>Scenarios!C103</f>
        <v>3.5872665439807236</v>
      </c>
    </row>
    <row r="172" spans="2:4">
      <c r="B172" s="212" t="str">
        <f>"+ PV(Equity Value realized at year "&amp;C141&amp;")"</f>
        <v>+ PV(Equity Value realized at year 3)</v>
      </c>
      <c r="C172" s="216">
        <f>Scenarios!C104</f>
        <v>23.687388530860197</v>
      </c>
    </row>
    <row r="173" spans="2:4">
      <c r="B173" s="80" t="s">
        <v>398</v>
      </c>
      <c r="C173" s="215">
        <f>Scenarios!C105</f>
        <v>27.274655074840922</v>
      </c>
      <c r="D173" s="300" t="str">
        <f>IF($D$11="","",C173*$E$25)</f>
        <v/>
      </c>
    </row>
    <row r="174" spans="2:4">
      <c r="B174" s="259" t="s">
        <v>412</v>
      </c>
      <c r="C174" s="298" t="str">
        <f>Market_currency</f>
        <v>HKD</v>
      </c>
      <c r="D174" s="298" t="str">
        <f>IF($D$11="","",D$13)</f>
        <v/>
      </c>
    </row>
    <row r="175" spans="2:4">
      <c r="B175" s="214" t="s">
        <v>261</v>
      </c>
      <c r="C175" s="92">
        <f>Scenarios!F105</f>
        <v>0.15783417591159743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1.4868863036000002</v>
      </c>
      <c r="D25" s="39">
        <f>0.137*Exchange_Rate</f>
        <v>1.2420940463000003</v>
      </c>
      <c r="E25" s="39">
        <f>0.11*Exchange_Rate</f>
        <v>0.99730178900000011</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1.4868863036000002</v>
      </c>
      <c r="D65" s="73">
        <f t="shared" ref="D65:M65" si="33">IF(D$4="","",D25)</f>
        <v>1.2420940463000003</v>
      </c>
      <c r="E65" s="73">
        <f t="shared" si="33"/>
        <v>0.99730178900000011</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15.587752189585334</v>
      </c>
      <c r="D47" s="147">
        <f>D46*H1/Common_Shares*Exchange_Rate</f>
        <v>-5.8921637019123594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411336.54851155588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-649883.61324358056</v>
      </c>
      <c r="D73" s="349">
        <f>(Normalized_FCF!C25+Normalized_FCF!C35-Normalized_FCF!C91)/12</f>
        <v>-600226.45148844412</v>
      </c>
      <c r="F73" s="1" t="s">
        <v>348</v>
      </c>
    </row>
    <row r="74" spans="2:6" ht="15" customHeight="1">
      <c r="B74" s="257" t="s">
        <v>318</v>
      </c>
      <c r="C74" s="258">
        <f>-$C$66/C73</f>
        <v>1.5565294760261321</v>
      </c>
      <c r="D74" s="258">
        <f>-$C$66/D73</f>
        <v>1.6853022679882264</v>
      </c>
      <c r="F74" s="253" t="s">
        <v>316</v>
      </c>
    </row>
    <row r="75" spans="2:6" ht="15" customHeight="1">
      <c r="B75" s="80" t="s">
        <v>317</v>
      </c>
      <c r="C75" s="320"/>
      <c r="D75" s="321">
        <f>MAX(-D73*D76,G5)</f>
        <v>600226.45148844412</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-7856018.1833500015</v>
      </c>
      <c r="D86" s="223">
        <f>C86*scaling_factor/Common_Shares</f>
        <v>-3.0701674610485132</v>
      </c>
      <c r="E86" s="240" t="str">
        <f>Market_currency</f>
        <v>HKD</v>
      </c>
    </row>
    <row r="87" spans="2:8" ht="15" customHeight="1">
      <c r="B87" s="238" t="s">
        <v>286</v>
      </c>
      <c r="C87" s="76">
        <f>DCF!C8*Exchange_Rate</f>
        <v>3729333.4155605459</v>
      </c>
      <c r="D87" s="223">
        <f>C87*scaling_factor/Common_Shares</f>
        <v>1.4574403771265807</v>
      </c>
      <c r="E87" s="240" t="str">
        <f>Market_currency</f>
        <v>HKD</v>
      </c>
    </row>
    <row r="88" spans="2:8" ht="15" customHeight="1">
      <c r="B88" s="239" t="s">
        <v>188</v>
      </c>
      <c r="C88" s="76">
        <f>DCF!C9*Exchange_Rate</f>
        <v>34111.347735760006</v>
      </c>
      <c r="D88" s="223">
        <f>C88*scaling_factor/Common_Shares</f>
        <v>1.333086907726362E-2</v>
      </c>
      <c r="E88" s="240" t="str">
        <f>Market_currency</f>
        <v>HKD</v>
      </c>
    </row>
    <row r="89" spans="2:8" ht="15" customHeight="1">
      <c r="B89" s="80" t="s">
        <v>290</v>
      </c>
      <c r="C89" s="180">
        <f>SUM(C86:C88)</f>
        <v>-4092573.4200536958</v>
      </c>
      <c r="D89" s="242">
        <f>SUM(D86:D88)</f>
        <v>-1.599396214844669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1.4868863036000002</v>
      </c>
      <c r="E90" s="268"/>
      <c r="G90" s="112">
        <f>Data!C65</f>
        <v>1.4868863036000002</v>
      </c>
      <c r="H90" s="112">
        <f>Data!D65</f>
        <v>1.2420940463000003</v>
      </c>
      <c r="I90" s="112">
        <f>Data!E65</f>
        <v>0.99730178900000011</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3804680.3589229668</v>
      </c>
      <c r="E91" s="268"/>
      <c r="G91" s="74">
        <f t="shared" ref="G91:Q91" si="37">IF(G$4="","",G90*Common_Shares/scaling_factor)</f>
        <v>3804680.3589229668</v>
      </c>
      <c r="H91" s="74">
        <f t="shared" si="37"/>
        <v>3178300.0559295523</v>
      </c>
      <c r="I91" s="74">
        <f t="shared" si="37"/>
        <v>2551919.7529361364</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5.4884756113419773</v>
      </c>
      <c r="E92" s="268"/>
      <c r="G92" s="170">
        <f t="shared" ref="G92:Q92" si="38">IF(G$4="","",G90/(G19*scaling_factor/Common_Shares))</f>
        <v>3.8165881138381414</v>
      </c>
      <c r="H92" s="170">
        <f t="shared" si="38"/>
        <v>3.8711839076381702</v>
      </c>
      <c r="I92" s="170">
        <f t="shared" si="38"/>
        <v>3.7983587849277458</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3.1237107218487398E-2</v>
      </c>
      <c r="E94" s="268"/>
      <c r="G94" s="23">
        <f t="shared" ref="G94:Q94" si="39">IF(G$4="","",(G90*(1-dividend_tax_rate))/Market_Price)</f>
        <v>3.1237107218487398E-2</v>
      </c>
      <c r="H94" s="23">
        <f t="shared" si="39"/>
        <v>2.6094412737394965E-2</v>
      </c>
      <c r="I94" s="23">
        <f t="shared" si="39"/>
        <v>2.0951718256302522E-2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2.4561785550593354</v>
      </c>
      <c r="D125" s="27"/>
      <c r="E125" s="265"/>
      <c r="F125" s="27"/>
      <c r="G125" s="177">
        <f t="shared" ref="G125:Q125" si="49">IF(G$4="","",G16*$C$3/Common_Shares*Exchange_Rate)</f>
        <v>3.532127569036402</v>
      </c>
      <c r="H125" s="177">
        <f t="shared" si="49"/>
        <v>2.9090058142328274</v>
      </c>
      <c r="I125" s="177">
        <f t="shared" si="49"/>
        <v>2.3804799404160666</v>
      </c>
      <c r="J125" s="177">
        <f t="shared" si="49"/>
        <v>1.2768424319309966</v>
      </c>
      <c r="K125" s="177">
        <f t="shared" si="49"/>
        <v>6.1680496940304623</v>
      </c>
      <c r="L125" s="177">
        <f t="shared" si="49"/>
        <v>8.2933142135355933</v>
      </c>
      <c r="M125" s="177">
        <f t="shared" si="49"/>
        <v>7.6727577227156312</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5.1600389812170917E-2</v>
      </c>
      <c r="D126" s="27"/>
      <c r="E126" s="265"/>
      <c r="F126" s="27"/>
      <c r="G126" s="77">
        <f t="shared" ref="G126" si="50">IF(G$4="","",G125/Market_Price)</f>
        <v>7.4204360694042057E-2</v>
      </c>
      <c r="H126" s="77">
        <f t="shared" ref="H126" si="51">IF(H$4="","",H125/Market_Price)</f>
        <v>6.1113567525899734E-2</v>
      </c>
      <c r="I126" s="77">
        <f t="shared" ref="I126" si="52">IF(I$4="","",I125/Market_Price)</f>
        <v>5.0010082781850138E-2</v>
      </c>
      <c r="J126" s="77">
        <f t="shared" ref="J126" si="53">IF(J$4="","",J125/Market_Price)</f>
        <v>2.6824420838886483E-2</v>
      </c>
      <c r="K126" s="77">
        <f t="shared" ref="K126" si="54">IF(K$4="","",K125/Market_Price)</f>
        <v>0.12958087592500972</v>
      </c>
      <c r="L126" s="77">
        <f t="shared" ref="L126" si="55">IF(L$4="","",L125/Market_Price)</f>
        <v>0.1742292902003276</v>
      </c>
      <c r="M126" s="77">
        <f t="shared" ref="M126" si="56">IF(M$4="","",M125/Market_Price)</f>
        <v>0.16119238913268133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6.9244650647946023E-3</v>
      </c>
      <c r="H127" s="23">
        <f>IF(H$4="","",(Data!D47*$C$3)/(Market_Price*Common_Shares))</f>
        <v>5.528668933972216E-3</v>
      </c>
      <c r="I127" s="23">
        <f>IF(I$4="","",(Data!E47*$C$3)/(Market_Price*Common_Shares))</f>
        <v>3.8518465822548159E-3</v>
      </c>
      <c r="J127" s="23">
        <f>IF(J$4="","",(Data!F47*$C$3)/(Market_Price*Common_Shares))</f>
        <v>2.422848487095188E-3</v>
      </c>
      <c r="K127" s="23">
        <f>IF(K$4="","",(Data!G47*$C$3)/(Market_Price*Common_Shares))</f>
        <v>-4.463710180729819E-4</v>
      </c>
      <c r="L127" s="23">
        <f>IF(L$4="","",(Data!H47*$C$3)/(Market_Price*Common_Shares))</f>
        <v>2.1159602019908989E-3</v>
      </c>
      <c r="M127" s="23">
        <f>IF(M$4="","",(Data!I47*$C$3)/(Market_Price*Common_Shares))</f>
        <v>1.7092115083223499E-3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411336.54851155588</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8791433.3973836992</v>
      </c>
      <c r="D10" t="str">
        <f>Reporting_currency</f>
        <v>EUR</v>
      </c>
      <c r="H10" s="120"/>
    </row>
    <row r="11" spans="2:8" ht="13.15" thickBot="1">
      <c r="B11" s="207" t="s">
        <v>165</v>
      </c>
      <c r="C11" s="208">
        <f>Exchange_Rate</f>
        <v>9.0663799000000012</v>
      </c>
      <c r="D11" t="str">
        <f>Thesis!C15</f>
        <v>EUR/HKD</v>
      </c>
      <c r="H11" s="120"/>
    </row>
    <row r="12" spans="2:8" ht="13.5" thickTop="1">
      <c r="B12" s="149" t="s">
        <v>102</v>
      </c>
      <c r="C12" s="111">
        <f>(C10*scaling_factor)/Common_Shares*Exchange_Rate</f>
        <v>31.149651185946471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32.386323803111118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31.149651185946471</v>
      </c>
      <c r="C65" s="124">
        <f>C12</f>
        <v>31.149651185946471</v>
      </c>
      <c r="D65" s="124">
        <f>C12</f>
        <v>31.149651185946471</v>
      </c>
      <c r="E65" s="141">
        <f>C12</f>
        <v>31.149651185946471</v>
      </c>
      <c r="F65" s="124">
        <f>C12</f>
        <v>31.149651185946471</v>
      </c>
      <c r="H65" s="120"/>
    </row>
    <row r="66" spans="1:8" ht="13.15">
      <c r="A66" s="143">
        <f t="shared" ref="A66:A71" si="3">A56</f>
        <v>5</v>
      </c>
      <c r="B66" s="124">
        <f t="shared" ref="B66:F71" si="4">(B56-$C$7+$C$8+$C$9)/Common_Shares*$C$3*Exchange_Rate</f>
        <v>31.149651185946471</v>
      </c>
      <c r="C66" s="124">
        <f t="shared" si="4"/>
        <v>31.665195451850668</v>
      </c>
      <c r="D66" s="124">
        <f t="shared" si="4"/>
        <v>32.71864713971803</v>
      </c>
      <c r="E66" s="124">
        <f t="shared" si="4"/>
        <v>33.803011886772687</v>
      </c>
      <c r="F66" s="124">
        <f t="shared" si="4"/>
        <v>35.490486476434164</v>
      </c>
      <c r="H66" s="120"/>
    </row>
    <row r="67" spans="1:8" ht="13.15">
      <c r="A67" s="143">
        <f t="shared" si="3"/>
        <v>10</v>
      </c>
      <c r="B67" s="124">
        <f t="shared" si="4"/>
        <v>31.149651185946482</v>
      </c>
      <c r="C67" s="124">
        <f t="shared" si="4"/>
        <v>32.159489882474467</v>
      </c>
      <c r="D67" s="124">
        <f t="shared" si="4"/>
        <v>34.327835886398788</v>
      </c>
      <c r="E67" s="124">
        <f t="shared" si="4"/>
        <v>36.714199321207381</v>
      </c>
      <c r="F67" s="124">
        <f t="shared" si="4"/>
        <v>40.760373567508267</v>
      </c>
      <c r="H67" s="120"/>
    </row>
    <row r="68" spans="1:8" ht="13.15">
      <c r="A68" s="143">
        <f t="shared" si="3"/>
        <v>15</v>
      </c>
      <c r="B68" s="124">
        <f t="shared" si="4"/>
        <v>31.149651185946482</v>
      </c>
      <c r="C68" s="124">
        <f t="shared" si="4"/>
        <v>32.769766160124995</v>
      </c>
      <c r="D68" s="124">
        <f t="shared" si="4"/>
        <v>36.418249853911703</v>
      </c>
      <c r="E68" s="124">
        <f t="shared" si="4"/>
        <v>40.700976864215214</v>
      </c>
      <c r="F68" s="124">
        <f t="shared" si="4"/>
        <v>48.597893481978346</v>
      </c>
      <c r="H68" s="120"/>
    </row>
    <row r="69" spans="1:8" ht="13.15">
      <c r="A69" s="144">
        <f t="shared" si="3"/>
        <v>20</v>
      </c>
      <c r="B69" s="124">
        <f t="shared" si="4"/>
        <v>31.149651185946485</v>
      </c>
      <c r="C69" s="124">
        <f t="shared" si="4"/>
        <v>33.38957427634432</v>
      </c>
      <c r="D69" s="124">
        <f t="shared" si="4"/>
        <v>38.65723516119202</v>
      </c>
      <c r="E69" s="124">
        <f t="shared" si="4"/>
        <v>45.219530565484014</v>
      </c>
      <c r="F69" s="124">
        <f t="shared" si="4"/>
        <v>58.321726613394212</v>
      </c>
      <c r="H69" s="120"/>
    </row>
    <row r="70" spans="1:8" ht="13.15">
      <c r="A70" s="144">
        <f t="shared" si="3"/>
        <v>25</v>
      </c>
      <c r="B70" s="124">
        <f t="shared" si="4"/>
        <v>31.149651185946485</v>
      </c>
      <c r="C70" s="124">
        <f t="shared" si="4"/>
        <v>33.963855830258701</v>
      </c>
      <c r="D70" s="124">
        <f t="shared" si="4"/>
        <v>40.849004756226215</v>
      </c>
      <c r="E70" s="124">
        <f t="shared" si="4"/>
        <v>49.915196380730237</v>
      </c>
      <c r="F70" s="124">
        <f t="shared" si="4"/>
        <v>69.459589733557962</v>
      </c>
    </row>
    <row r="71" spans="1:8" ht="13.15">
      <c r="A71" s="144">
        <f t="shared" si="3"/>
        <v>30</v>
      </c>
      <c r="B71" s="124">
        <f t="shared" si="4"/>
        <v>31.149651185946482</v>
      </c>
      <c r="C71" s="124">
        <f t="shared" si="4"/>
        <v>34.468235216618041</v>
      </c>
      <c r="D71" s="124">
        <f t="shared" si="4"/>
        <v>42.886191711195025</v>
      </c>
      <c r="E71" s="124">
        <f t="shared" si="4"/>
        <v>54.562385482188887</v>
      </c>
      <c r="F71" s="124">
        <f t="shared" si="4"/>
        <v>81.684859598277669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40.760373567508267</v>
      </c>
      <c r="F74" s="142">
        <f>Scenarios!C58</f>
        <v>0.05</v>
      </c>
    </row>
    <row r="75" spans="1:8">
      <c r="B75" s="127" t="str">
        <f>Scenarios!B36</f>
        <v>Optimistic</v>
      </c>
      <c r="C75" s="142">
        <f>Scenarios!C38</f>
        <v>0.05</v>
      </c>
      <c r="D75" s="145">
        <f>Scenarios!C37</f>
        <v>5</v>
      </c>
      <c r="E75" s="135">
        <f>INDEX(B$65:F$71, MATCH(D75, A$65:A$71, 0), MATCH(C75, B$64:F$64, 0))</f>
        <v>33.803011886772687</v>
      </c>
      <c r="F75" s="142">
        <f>Scenarios!C40*(1-F$74-F$78)</f>
        <v>0.18</v>
      </c>
      <c r="H75" s="120"/>
    </row>
    <row r="76" spans="1:8">
      <c r="B76" s="127" t="str">
        <f>Scenarios!B24</f>
        <v>Base</v>
      </c>
      <c r="C76" s="142">
        <f>Scenarios!C26</f>
        <v>0.03</v>
      </c>
      <c r="D76" s="145">
        <f>Scenarios!C25</f>
        <v>5</v>
      </c>
      <c r="E76" s="135">
        <f>INDEX(B$65:F$71, MATCH(D76, A$65:A$71, 0), MATCH(C76, B$64:F$64, 0))</f>
        <v>32.71864713971803</v>
      </c>
      <c r="F76" s="142">
        <f>Scenarios!C28*(1-F$74-F$78)</f>
        <v>0.53999999999999992</v>
      </c>
      <c r="H76" s="120"/>
    </row>
    <row r="77" spans="1:8">
      <c r="B77" s="127" t="str">
        <f>Scenarios!B30</f>
        <v>Pessimistic</v>
      </c>
      <c r="C77" s="142">
        <f>Scenarios!C32</f>
        <v>0.01</v>
      </c>
      <c r="D77" s="145">
        <f>Scenarios!C31</f>
        <v>5</v>
      </c>
      <c r="E77" s="135">
        <f>INDEX(B$65:F$71, MATCH(D77, A$65:A$71, 0), MATCH(C77, B$64:F$64, 0))</f>
        <v>31.665195451850668</v>
      </c>
      <c r="F77" s="142">
        <f>Scenarios!C34*(1-F$74-F$78)</f>
        <v>0.18</v>
      </c>
      <c r="H77" s="120"/>
    </row>
    <row r="78" spans="1:8">
      <c r="B78" s="127" t="str">
        <f>Scenarios!B48</f>
        <v>Devil's advocate</v>
      </c>
      <c r="C78" s="142">
        <f>Scenarios!C50</f>
        <v>0</v>
      </c>
      <c r="D78" s="145">
        <f>Scenarios!C49</f>
        <v>10</v>
      </c>
      <c r="E78" s="135">
        <f>INDEX(B$65:F$71, MATCH(D78, A$65:A$71, 0), MATCH(C78, B$64:F$64, 0))</f>
        <v>31.149651185946482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3804680.3589229668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50729071.452306226</v>
      </c>
      <c r="D6" t="str">
        <f>Reporting_currency</f>
        <v>EUR</v>
      </c>
      <c r="E6" s="366"/>
      <c r="F6" s="366"/>
      <c r="H6" s="120"/>
    </row>
    <row r="7" spans="2:8" ht="13.15">
      <c r="B7" s="149" t="s">
        <v>440</v>
      </c>
      <c r="C7" s="111">
        <f>(C6*scaling_factor)/Common_Shares*Exchange_Rate</f>
        <v>179.74234795392456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20.573789926059366</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3895051.4830288892</v>
      </c>
      <c r="D16" s="138">
        <f>IF($C$12&lt;B16,0,DDM!$C$11)</f>
        <v>2.3752619295331401E-2</v>
      </c>
      <c r="E16" s="124">
        <f t="shared" ref="E16:E45" si="0">IF($C$12&lt;B16,0,1/(1+Equity_Cost)^B16)</f>
        <v>0.93023255813953487</v>
      </c>
      <c r="F16" s="125">
        <f t="shared" ref="F16:F46" si="1">C16*E16</f>
        <v>3623303.7051431527</v>
      </c>
      <c r="H16" s="120"/>
    </row>
    <row r="17" spans="2:8">
      <c r="B17" s="122">
        <v>2</v>
      </c>
      <c r="C17" s="123">
        <f t="shared" ref="C17:C45" si="2">IF(ROW()-ROW($C$16)&lt;$C$12, $C$16*(1+D17)^(ROW()-ROW($C$16)), 0)</f>
        <v>3987569.1580409906</v>
      </c>
      <c r="D17" s="138">
        <f>IF($C$12&lt;B17,0,DDM!$C$11)</f>
        <v>2.3752619295331401E-2</v>
      </c>
      <c r="E17" s="124">
        <f t="shared" si="0"/>
        <v>0.86533261222282321</v>
      </c>
      <c r="F17" s="125">
        <f t="shared" si="1"/>
        <v>3450573.6359467739</v>
      </c>
      <c r="H17" s="120"/>
    </row>
    <row r="18" spans="2:8">
      <c r="B18" s="122">
        <v>3</v>
      </c>
      <c r="C18" s="123">
        <f t="shared" si="2"/>
        <v>4082284.3701657439</v>
      </c>
      <c r="D18" s="138">
        <f>IF($C$12&lt;B18,0,DDM!$C$11)</f>
        <v>2.3752619295331401E-2</v>
      </c>
      <c r="E18" s="124">
        <f t="shared" si="0"/>
        <v>0.80496056950960304</v>
      </c>
      <c r="F18" s="125">
        <f t="shared" si="1"/>
        <v>3286077.9515087684</v>
      </c>
      <c r="H18" s="120"/>
    </row>
    <row r="19" spans="2:8">
      <c r="B19" s="122">
        <v>4</v>
      </c>
      <c r="C19" s="123">
        <f t="shared" si="2"/>
        <v>4179249.3166655726</v>
      </c>
      <c r="D19" s="138">
        <f>IF($C$12&lt;B19,0,DDM!$C$11)</f>
        <v>2.3752619295331401E-2</v>
      </c>
      <c r="E19" s="124">
        <f t="shared" si="0"/>
        <v>0.7488005297763749</v>
      </c>
      <c r="F19" s="125">
        <f t="shared" si="1"/>
        <v>3129424.1023867335</v>
      </c>
      <c r="H19" s="120"/>
    </row>
    <row r="20" spans="2:8">
      <c r="B20" s="122">
        <v>5</v>
      </c>
      <c r="C20" s="123">
        <f t="shared" si="2"/>
        <v>4278517.4346246039</v>
      </c>
      <c r="D20" s="138">
        <f>IF($C$12&lt;B20,0,DDM!$C$11)</f>
        <v>2.3752619295331401E-2</v>
      </c>
      <c r="E20" s="124">
        <f t="shared" si="0"/>
        <v>0.69655863235011617</v>
      </c>
      <c r="F20" s="125">
        <f t="shared" si="1"/>
        <v>2980238.2527482416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51934019.773718521</v>
      </c>
      <c r="D46" s="139">
        <f>Terminal_Growth</f>
        <v>0</v>
      </c>
      <c r="E46" s="124">
        <f>1/(1+Equity_Cost)^C12</f>
        <v>0.69655863235011617</v>
      </c>
      <c r="F46" s="125">
        <f t="shared" si="1"/>
        <v>36175089.786025263</v>
      </c>
      <c r="H46" s="120"/>
    </row>
    <row r="47" spans="2:8">
      <c r="C47" s="114"/>
      <c r="E47" s="127" t="s">
        <v>100</v>
      </c>
      <c r="F47" s="137">
        <f>SUM(F16:F46)</f>
        <v>52644707.433758929</v>
      </c>
      <c r="H47" s="120"/>
    </row>
    <row r="48" spans="2:8">
      <c r="C48" s="114"/>
      <c r="H48" s="120"/>
    </row>
    <row r="49" spans="1:8" ht="13.15">
      <c r="B49" s="119" t="s">
        <v>128</v>
      </c>
      <c r="C49" s="136"/>
      <c r="D49" s="136"/>
      <c r="E49" s="117"/>
      <c r="F49" s="117"/>
      <c r="H49" s="120"/>
    </row>
    <row r="50" spans="1:8" ht="13.15">
      <c r="A50" s="133">
        <f>F47</f>
        <v>52644707.433758929</v>
      </c>
      <c r="B50" s="131">
        <f>C73</f>
        <v>0</v>
      </c>
      <c r="C50" s="131">
        <f>C72</f>
        <v>0.01</v>
      </c>
      <c r="D50" s="131">
        <f>C71</f>
        <v>0.03</v>
      </c>
      <c r="E50" s="131">
        <f>C70</f>
        <v>0.05</v>
      </c>
      <c r="F50" s="131">
        <f>C69</f>
        <v>0.08</v>
      </c>
      <c r="H50" s="120"/>
    </row>
    <row r="51" spans="1:8" ht="13.15">
      <c r="A51" s="143">
        <v>5</v>
      </c>
      <c r="B51" s="123">
        <f t="dataTable" ref="B51:F56" dt2D="1" dtr="1" r1="C11" r2="C12"/>
        <v>50729071.452306226</v>
      </c>
      <c r="C51" s="123">
        <v>51527662.067227416</v>
      </c>
      <c r="D51" s="123">
        <v>53159484.370067433</v>
      </c>
      <c r="E51" s="123">
        <v>54839191.753933758</v>
      </c>
      <c r="F51" s="123">
        <v>57453130.962156966</v>
      </c>
      <c r="H51" s="120"/>
    </row>
    <row r="52" spans="1:8" ht="13.15">
      <c r="A52" s="143">
        <v>10</v>
      </c>
      <c r="B52" s="123">
        <v>50729071.452306241</v>
      </c>
      <c r="C52" s="123">
        <v>52293336.170132339</v>
      </c>
      <c r="D52" s="123">
        <v>55652156.902235284</v>
      </c>
      <c r="E52" s="123">
        <v>59348691.940767482</v>
      </c>
      <c r="F52" s="123">
        <v>65616314.321872845</v>
      </c>
      <c r="H52" s="120"/>
    </row>
    <row r="53" spans="1:8" ht="13.15">
      <c r="A53" s="143">
        <v>15</v>
      </c>
      <c r="B53" s="123">
        <v>50729071.452306233</v>
      </c>
      <c r="C53" s="123">
        <v>53238668.976784706</v>
      </c>
      <c r="D53" s="123">
        <v>58890259.013269499</v>
      </c>
      <c r="E53" s="123">
        <v>65524307.382907271</v>
      </c>
      <c r="F53" s="123">
        <v>77756823.414678425</v>
      </c>
      <c r="H53" s="120"/>
    </row>
    <row r="54" spans="1:8" ht="13.15">
      <c r="A54" s="144">
        <v>20</v>
      </c>
      <c r="B54" s="123">
        <v>50729071.452306241</v>
      </c>
      <c r="C54" s="123">
        <v>54198766.833360828</v>
      </c>
      <c r="D54" s="123">
        <v>62358501.745451801</v>
      </c>
      <c r="E54" s="123">
        <v>72523657.036271855</v>
      </c>
      <c r="F54" s="123">
        <v>92819277.588596806</v>
      </c>
      <c r="H54" s="120"/>
    </row>
    <row r="55" spans="1:8" ht="13.15">
      <c r="A55" s="144">
        <v>25</v>
      </c>
      <c r="B55" s="123">
        <v>50729071.452306241</v>
      </c>
      <c r="C55" s="123">
        <v>55088342.936925903</v>
      </c>
      <c r="D55" s="123">
        <v>65753606.190254539</v>
      </c>
      <c r="E55" s="123">
        <v>79797357.664645627</v>
      </c>
      <c r="F55" s="123">
        <v>110072098.62897746</v>
      </c>
      <c r="H55" s="120"/>
    </row>
    <row r="56" spans="1:8" ht="13.15">
      <c r="A56" s="144">
        <v>30</v>
      </c>
      <c r="B56" s="123">
        <v>50729071.452306233</v>
      </c>
      <c r="C56" s="123">
        <v>55869638.88170734</v>
      </c>
      <c r="D56" s="123">
        <v>68909258.36344789</v>
      </c>
      <c r="E56" s="123">
        <v>86995966.683562607</v>
      </c>
      <c r="F56" s="123">
        <v>129009339.18138848</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179.74234795392456</v>
      </c>
      <c r="C60" s="124">
        <f>C7</f>
        <v>179.74234795392456</v>
      </c>
      <c r="D60" s="124">
        <f>C7</f>
        <v>179.74234795392456</v>
      </c>
      <c r="E60" s="141">
        <f>C7</f>
        <v>179.74234795392456</v>
      </c>
      <c r="F60" s="124">
        <f>C7</f>
        <v>179.74234795392456</v>
      </c>
      <c r="H60" s="120"/>
    </row>
    <row r="61" spans="1:8" ht="13.15">
      <c r="A61" s="143">
        <f t="shared" ref="A61:A66" si="3">A51</f>
        <v>5</v>
      </c>
      <c r="B61" s="124">
        <f t="shared" ref="B61:F66" si="4">B51/Common_Shares*$C$3*Exchange_Rate</f>
        <v>179.74234795392456</v>
      </c>
      <c r="C61" s="124">
        <f t="shared" si="4"/>
        <v>182.57190008390697</v>
      </c>
      <c r="D61" s="124">
        <f t="shared" si="4"/>
        <v>188.35374398049402</v>
      </c>
      <c r="E61" s="124">
        <f t="shared" si="4"/>
        <v>194.30525344850244</v>
      </c>
      <c r="F61" s="124">
        <f t="shared" si="4"/>
        <v>203.56691657861879</v>
      </c>
      <c r="H61" s="120"/>
    </row>
    <row r="62" spans="1:8" ht="13.15">
      <c r="A62" s="143">
        <f t="shared" si="3"/>
        <v>10</v>
      </c>
      <c r="B62" s="124">
        <f t="shared" si="4"/>
        <v>179.74234795392462</v>
      </c>
      <c r="C62" s="124">
        <f t="shared" si="4"/>
        <v>185.28482301120783</v>
      </c>
      <c r="D62" s="124">
        <f t="shared" si="4"/>
        <v>197.18573717069731</v>
      </c>
      <c r="E62" s="124">
        <f t="shared" si="4"/>
        <v>210.28323468244253</v>
      </c>
      <c r="F62" s="124">
        <f t="shared" si="4"/>
        <v>232.49056335250495</v>
      </c>
      <c r="H62" s="120"/>
    </row>
    <row r="63" spans="1:8" ht="13.15">
      <c r="A63" s="143">
        <f t="shared" si="3"/>
        <v>15</v>
      </c>
      <c r="B63" s="124">
        <f t="shared" si="4"/>
        <v>179.74234795392459</v>
      </c>
      <c r="C63" s="124">
        <f t="shared" si="4"/>
        <v>188.63430947727335</v>
      </c>
      <c r="D63" s="124">
        <f t="shared" si="4"/>
        <v>208.65892324900054</v>
      </c>
      <c r="E63" s="124">
        <f t="shared" si="4"/>
        <v>232.16456599508686</v>
      </c>
      <c r="F63" s="124">
        <f t="shared" si="4"/>
        <v>275.50660025648108</v>
      </c>
      <c r="H63" s="120"/>
    </row>
    <row r="64" spans="1:8" ht="13.15">
      <c r="A64" s="144">
        <f t="shared" si="3"/>
        <v>20</v>
      </c>
      <c r="B64" s="124">
        <f t="shared" si="4"/>
        <v>179.74234795392462</v>
      </c>
      <c r="C64" s="124">
        <f t="shared" si="4"/>
        <v>192.03611120685491</v>
      </c>
      <c r="D64" s="124">
        <f t="shared" si="4"/>
        <v>220.94753950216165</v>
      </c>
      <c r="E64" s="124">
        <f t="shared" si="4"/>
        <v>256.9645377830397</v>
      </c>
      <c r="F64" s="124">
        <f t="shared" si="4"/>
        <v>328.87562124701611</v>
      </c>
      <c r="H64" s="120"/>
    </row>
    <row r="65" spans="1:8" ht="13.15">
      <c r="A65" s="144">
        <f t="shared" si="3"/>
        <v>25</v>
      </c>
      <c r="B65" s="124">
        <f t="shared" si="4"/>
        <v>179.74234795392462</v>
      </c>
      <c r="C65" s="124">
        <f t="shared" si="4"/>
        <v>195.18804150955754</v>
      </c>
      <c r="D65" s="124">
        <f t="shared" si="4"/>
        <v>232.97701347018764</v>
      </c>
      <c r="E65" s="124">
        <f t="shared" si="4"/>
        <v>282.73658508903083</v>
      </c>
      <c r="F65" s="124">
        <f t="shared" si="4"/>
        <v>390.00551134450001</v>
      </c>
    </row>
    <row r="66" spans="1:8" ht="13.15">
      <c r="A66" s="144">
        <f t="shared" si="3"/>
        <v>30</v>
      </c>
      <c r="B66" s="124">
        <f t="shared" si="4"/>
        <v>179.74234795392459</v>
      </c>
      <c r="C66" s="124">
        <f t="shared" si="4"/>
        <v>197.9563154704544</v>
      </c>
      <c r="D66" s="124">
        <f t="shared" si="4"/>
        <v>244.15806438827795</v>
      </c>
      <c r="E66" s="124">
        <f t="shared" si="4"/>
        <v>308.24256913368083</v>
      </c>
      <c r="F66" s="124">
        <f t="shared" si="4"/>
        <v>457.10360683908823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232.49056335250495</v>
      </c>
      <c r="F69" s="142">
        <f>Scenarios!C58</f>
        <v>0.05</v>
      </c>
    </row>
    <row r="70" spans="1:8">
      <c r="B70" s="127" t="str">
        <f>Scenarios!B36</f>
        <v>Optimistic</v>
      </c>
      <c r="C70" s="142">
        <f>Scenarios!C38</f>
        <v>0.05</v>
      </c>
      <c r="D70" s="145">
        <f>Scenarios!C37</f>
        <v>5</v>
      </c>
      <c r="E70" s="135">
        <f>INDEX(B$60:F$66, MATCH(D70, A$60:A$66, 0), MATCH(C70, B$59:F$59, 0))</f>
        <v>194.30525344850244</v>
      </c>
      <c r="F70" s="142">
        <f>Scenarios!C40*(1-F$69-F$73)</f>
        <v>0.18</v>
      </c>
      <c r="H70" s="120"/>
    </row>
    <row r="71" spans="1:8">
      <c r="B71" s="127" t="str">
        <f>Scenarios!B24</f>
        <v>Base</v>
      </c>
      <c r="C71" s="142">
        <f>Scenarios!C26</f>
        <v>0.03</v>
      </c>
      <c r="D71" s="145">
        <f>Scenarios!C25</f>
        <v>5</v>
      </c>
      <c r="E71" s="135">
        <f>INDEX(B$60:F$66, MATCH(D71, A$60:A$66, 0), MATCH(C71, B$59:F$59, 0))</f>
        <v>188.35374398049402</v>
      </c>
      <c r="F71" s="142">
        <f>Scenarios!C28*(1-F$69-F$73)</f>
        <v>0.53999999999999992</v>
      </c>
      <c r="H71" s="120"/>
    </row>
    <row r="72" spans="1:8">
      <c r="B72" s="127" t="str">
        <f>Scenarios!B30</f>
        <v>Pessimistic</v>
      </c>
      <c r="C72" s="142">
        <f>Scenarios!C32</f>
        <v>0.01</v>
      </c>
      <c r="D72" s="145">
        <f>Scenarios!C31</f>
        <v>5</v>
      </c>
      <c r="E72" s="135">
        <f>INDEX(B$60:F$66, MATCH(D72, A$60:A$66, 0), MATCH(C72, B$59:F$59, 0))</f>
        <v>182.57190008390697</v>
      </c>
      <c r="F72" s="142">
        <f>Scenarios!C34*(1-F$69-F$73)</f>
        <v>0.18</v>
      </c>
      <c r="H72" s="120"/>
    </row>
    <row r="73" spans="1:8">
      <c r="B73" s="127" t="str">
        <f>Scenarios!B48</f>
        <v>Devil's advocate</v>
      </c>
      <c r="C73" s="142">
        <f>Scenarios!C50</f>
        <v>0</v>
      </c>
      <c r="D73" s="145">
        <f>Scenarios!C49</f>
        <v>10</v>
      </c>
      <c r="E73" s="135">
        <f>INDEX(B$60:F$66, MATCH(D73, A$60:A$66, 0), MATCH(C73, B$59:F$59, 0))</f>
        <v>179.74234795392462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-47.6</v>
      </c>
    </row>
    <row r="4" spans="2:9">
      <c r="B4" s="152" t="s">
        <v>145</v>
      </c>
      <c r="C4" s="120">
        <v>3</v>
      </c>
      <c r="D4" s="120"/>
      <c r="E4" s="155" t="s">
        <v>149</v>
      </c>
      <c r="F4" s="155"/>
      <c r="H4" s="247">
        <v>1</v>
      </c>
      <c r="I4" s="124">
        <f t="shared" ref="I4:I13" si="0">IF(ROW()-3 &lt; $C$76, $C$77, IF(ROW()-3 = $C$76, $C$77 + $C$60, ""))</f>
        <v>1.4868863036000002</v>
      </c>
    </row>
    <row r="5" spans="2:9">
      <c r="H5" s="247">
        <v>2</v>
      </c>
      <c r="I5" s="124">
        <f t="shared" si="0"/>
        <v>1.4868863036000002</v>
      </c>
    </row>
    <row r="6" spans="2:9" ht="13.15">
      <c r="B6" s="159" t="s">
        <v>95</v>
      </c>
      <c r="C6" s="107">
        <f>DCF!C3</f>
        <v>1000</v>
      </c>
      <c r="E6" s="100" t="s">
        <v>278</v>
      </c>
      <c r="F6" s="100"/>
      <c r="H6" s="247">
        <v>3</v>
      </c>
      <c r="I6" s="124">
        <f t="shared" si="0"/>
        <v>34.53473431767268</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47.6</v>
      </c>
      <c r="D21" t="str">
        <f>Market_currency</f>
        <v>HKD</v>
      </c>
      <c r="E21" s="369"/>
      <c r="F21" s="369"/>
    </row>
    <row r="22" spans="2:6">
      <c r="B22" s="100" t="s">
        <v>277</v>
      </c>
      <c r="C22" s="160">
        <f>IF(valuation_method="DCF",DCF!C12,DDM!C7)</f>
        <v>31.149651185946471</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32.71864713971803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31.665195451850668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33.803011886772687</v>
      </c>
      <c r="D39" t="str">
        <f>Market_currency</f>
        <v>HKD</v>
      </c>
      <c r="E39" s="367"/>
      <c r="F39" s="367"/>
    </row>
    <row r="40" spans="2:6">
      <c r="B40" s="100" t="s">
        <v>146</v>
      </c>
      <c r="C40" s="167">
        <f>1-C28-C34</f>
        <v>0.2</v>
      </c>
      <c r="D40" s="165"/>
      <c r="E40" s="367"/>
      <c r="F40" s="367"/>
    </row>
    <row r="42" spans="2:6" ht="13.15">
      <c r="B42" s="100" t="s">
        <v>119</v>
      </c>
      <c r="C42" s="154">
        <f>C27*C28+C33*C34+C39*C40</f>
        <v>32.72482975155549</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31.149651185946482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40.760373567508267</v>
      </c>
      <c r="D57" t="str">
        <f>Market_currency</f>
        <v>HKD</v>
      </c>
      <c r="E57" s="367"/>
      <c r="F57" s="367"/>
    </row>
    <row r="58" spans="2:6">
      <c r="B58" s="100" t="s">
        <v>146</v>
      </c>
      <c r="C58" s="165">
        <v>0.05</v>
      </c>
      <c r="D58" s="165"/>
      <c r="E58" s="367"/>
      <c r="F58" s="367"/>
    </row>
    <row r="60" spans="2:6" ht="13.15">
      <c r="B60" s="100" t="s">
        <v>119</v>
      </c>
      <c r="C60" s="154">
        <f>C51*C52+C57*C58+C42*(1-C52-C58)</f>
        <v>33.047848014072677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32.386323803111118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-4.8396380126282425E-2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1.4868863036000002</v>
      </c>
      <c r="D77" t="str">
        <f>Market_currency</f>
        <v>HKD</v>
      </c>
    </row>
    <row r="79" spans="2:6" ht="13.15">
      <c r="B79" s="109" t="s">
        <v>300</v>
      </c>
    </row>
    <row r="80" spans="2:6">
      <c r="B80" s="148" t="s">
        <v>298</v>
      </c>
      <c r="C80" s="167">
        <f>Thesis!F29</f>
        <v>0.3674</v>
      </c>
    </row>
    <row r="81" spans="2:8">
      <c r="B81" s="100" t="s">
        <v>120</v>
      </c>
      <c r="C81" s="116">
        <f>PV(C80, C76, -C77, 0)</f>
        <v>2.4641561834770669</v>
      </c>
      <c r="D81" s="116"/>
      <c r="E81" s="100"/>
      <c r="F81" s="100"/>
    </row>
    <row r="82" spans="2:8">
      <c r="B82" s="100" t="s">
        <v>121</v>
      </c>
      <c r="C82" s="116">
        <f>C60/(1+C80)^C76</f>
        <v>12.925771015427101</v>
      </c>
      <c r="D82" s="116"/>
    </row>
    <row r="83" spans="2:8" ht="13.15">
      <c r="B83" s="110" t="s">
        <v>101</v>
      </c>
      <c r="C83" s="111">
        <f>C81+C82</f>
        <v>15.389927198904168</v>
      </c>
      <c r="D83" t="str">
        <f>Market_currency</f>
        <v>HKD</v>
      </c>
      <c r="E83" s="146" t="s">
        <v>125</v>
      </c>
      <c r="F83" s="291">
        <f>(1-C83/C60)</f>
        <v>0.53431378671462304</v>
      </c>
    </row>
    <row r="84" spans="2:8">
      <c r="E84" s="120"/>
    </row>
    <row r="85" spans="2:8" ht="13.15">
      <c r="B85" s="109" t="s">
        <v>301</v>
      </c>
    </row>
    <row r="86" spans="2:8">
      <c r="B86" s="148" t="s">
        <v>299</v>
      </c>
      <c r="C86" s="116">
        <f>Market_Price</f>
        <v>47.6</v>
      </c>
      <c r="D86" t="str">
        <f>Market_currency</f>
        <v>HKD</v>
      </c>
    </row>
    <row r="87" spans="2:8" ht="13.15">
      <c r="B87" s="100" t="s">
        <v>297</v>
      </c>
      <c r="C87" s="237">
        <f ca="1">IRR(OFFSET($I$3, 0, 0, $C$76 + 1, 1))</f>
        <v>-7.9180969336304363E-2</v>
      </c>
    </row>
    <row r="88" spans="2:8">
      <c r="B88" s="100"/>
    </row>
    <row r="89" spans="2:8" ht="13.15">
      <c r="B89" s="109" t="s">
        <v>409</v>
      </c>
    </row>
    <row r="90" spans="2:8">
      <c r="B90" s="148" t="s">
        <v>410</v>
      </c>
      <c r="C90" s="167">
        <f>Thesis!F30</f>
        <v>0.21740000000000001</v>
      </c>
    </row>
    <row r="91" spans="2:8">
      <c r="B91" s="100" t="s">
        <v>120</v>
      </c>
      <c r="C91" s="116">
        <f>PV(C90, C76, -C77, 0)</f>
        <v>3.0487129018949313</v>
      </c>
      <c r="D91" s="116"/>
      <c r="E91" s="100"/>
      <c r="F91" s="100"/>
    </row>
    <row r="92" spans="2:8">
      <c r="B92" s="100" t="s">
        <v>121</v>
      </c>
      <c r="C92" s="116">
        <f>C60/(1+C90)^C76</f>
        <v>18.316533829635802</v>
      </c>
      <c r="D92" s="116"/>
    </row>
    <row r="93" spans="2:8" ht="13.15">
      <c r="B93" s="110" t="s">
        <v>101</v>
      </c>
      <c r="C93" s="111">
        <f>C91+C92</f>
        <v>21.365246731530732</v>
      </c>
      <c r="D93" t="str">
        <f>Market_currency</f>
        <v>HKD</v>
      </c>
      <c r="E93" s="146" t="s">
        <v>125</v>
      </c>
      <c r="F93" s="291">
        <f>(1-C93/C60)</f>
        <v>0.35350565875173401</v>
      </c>
    </row>
    <row r="95" spans="2:8" ht="13.15">
      <c r="B95" s="109" t="s">
        <v>394</v>
      </c>
      <c r="G95" s="2"/>
      <c r="H95" s="281"/>
    </row>
    <row r="96" spans="2:8">
      <c r="B96" s="148" t="s">
        <v>400</v>
      </c>
      <c r="C96" s="134">
        <f>Thesis!F31</f>
        <v>7.4999999999999997E-2</v>
      </c>
      <c r="G96" s="2"/>
      <c r="H96" s="281"/>
    </row>
    <row r="97" spans="2:8">
      <c r="B97" s="100" t="s">
        <v>120</v>
      </c>
      <c r="C97" s="116">
        <f>PV(C96, C76, -C77, 0)</f>
        <v>3.8666861047748737</v>
      </c>
      <c r="D97" s="116"/>
      <c r="G97" s="2"/>
      <c r="H97" s="281"/>
    </row>
    <row r="98" spans="2:8">
      <c r="B98" s="100" t="s">
        <v>121</v>
      </c>
      <c r="C98" s="116">
        <f>C60/(1+C96)^C76</f>
        <v>26.602214558474746</v>
      </c>
      <c r="D98" s="116"/>
      <c r="G98" s="2"/>
      <c r="H98" s="281"/>
    </row>
    <row r="99" spans="2:8" ht="13.15">
      <c r="B99" s="110" t="s">
        <v>395</v>
      </c>
      <c r="C99" s="111">
        <f>C97+C98</f>
        <v>30.46890066324962</v>
      </c>
      <c r="D99" t="s">
        <v>393</v>
      </c>
      <c r="E99" s="146" t="s">
        <v>125</v>
      </c>
      <c r="F99" s="291">
        <f>(1-C99/C60)</f>
        <v>7.8036771100038704E-2</v>
      </c>
    </row>
    <row r="100" spans="2:8">
      <c r="B100" s="100"/>
    </row>
    <row r="101" spans="2:8" ht="13.15">
      <c r="B101" s="109" t="s">
        <v>418</v>
      </c>
    </row>
    <row r="102" spans="2:8">
      <c r="B102" s="148" t="s">
        <v>417</v>
      </c>
      <c r="C102" s="134">
        <f>Thesis!F32</f>
        <v>0.1174</v>
      </c>
    </row>
    <row r="103" spans="2:8">
      <c r="B103" s="100" t="s">
        <v>120</v>
      </c>
      <c r="C103" s="116">
        <f>PV(C102, C76, -C77, 0)</f>
        <v>3.5872665439807236</v>
      </c>
      <c r="D103" s="116"/>
    </row>
    <row r="104" spans="2:8">
      <c r="B104" s="100" t="s">
        <v>121</v>
      </c>
      <c r="C104" s="116">
        <f>C60/(1+C102)^C76</f>
        <v>23.687388530860197</v>
      </c>
      <c r="D104" s="116"/>
    </row>
    <row r="105" spans="2:8" ht="13.15">
      <c r="B105" s="110" t="s">
        <v>395</v>
      </c>
      <c r="C105" s="111">
        <f>C103+C104</f>
        <v>27.274655074840922</v>
      </c>
      <c r="D105" t="s">
        <v>393</v>
      </c>
      <c r="E105" s="146" t="s">
        <v>125</v>
      </c>
      <c r="F105" s="291">
        <f>(1-C105/C66)</f>
        <v>0.15783417591159743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