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B1E1BE3-A3A3-450C-9ECE-BC84168AF2B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3" l="1"/>
  <c r="C4" i="3"/>
  <c r="D12" i="4"/>
  <c r="C12"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47" i="8" l="1"/>
  <c r="E50" i="8"/>
  <c r="A47" i="8"/>
  <c r="A46" i="8"/>
  <c r="E46" i="8"/>
  <c r="A49" i="8"/>
  <c r="A48" i="8"/>
  <c r="E48" i="8"/>
  <c r="E49" i="8"/>
  <c r="A50" i="8"/>
  <c r="E42" i="8"/>
  <c r="A42" i="8"/>
  <c r="A41" i="8"/>
  <c r="A43" i="8"/>
  <c r="A44" i="8"/>
  <c r="E44" i="8"/>
  <c r="E41" i="8"/>
  <c r="A45" i="8"/>
  <c r="E43" i="8"/>
  <c r="E45" i="8"/>
  <c r="E115" i="2"/>
  <c r="E38" i="8"/>
  <c r="E40" i="8"/>
  <c r="E39" i="8"/>
  <c r="E37" i="8"/>
  <c r="A38" i="8"/>
  <c r="A40" i="8"/>
  <c r="A36" i="8"/>
  <c r="E36" i="8"/>
  <c r="A39" i="8"/>
  <c r="A37"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48" i="8" l="1"/>
  <c r="G48" i="8"/>
  <c r="D49" i="8"/>
  <c r="G49" i="8"/>
  <c r="D46" i="8"/>
  <c r="G46" i="8"/>
  <c r="D47" i="8"/>
  <c r="G47" i="8"/>
  <c r="D50" i="8"/>
  <c r="G50" i="8"/>
  <c r="D45" i="8"/>
  <c r="G45" i="8"/>
  <c r="D44" i="8"/>
  <c r="G44" i="8"/>
  <c r="D43" i="8"/>
  <c r="G43" i="8"/>
  <c r="D41" i="8"/>
  <c r="G41" i="8"/>
  <c r="G42" i="8"/>
  <c r="D42" i="8"/>
  <c r="G40" i="8"/>
  <c r="D40" i="8"/>
  <c r="G38" i="8"/>
  <c r="D38" i="8"/>
  <c r="G36" i="8"/>
  <c r="D36" i="8"/>
  <c r="G37" i="8"/>
  <c r="D37" i="8"/>
  <c r="D39" i="8"/>
  <c r="G39"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C38" i="8" l="1"/>
  <c r="F37" i="8"/>
  <c r="H37" i="8" s="1"/>
  <c r="I36" i="8"/>
  <c r="J36" i="8"/>
  <c r="L36" i="8"/>
  <c r="J37" i="8" l="1"/>
  <c r="I37" i="8"/>
  <c r="L37" i="8"/>
  <c r="C39" i="8"/>
  <c r="F38" i="8"/>
  <c r="H38" i="8" s="1"/>
  <c r="I38" i="8" l="1"/>
  <c r="J38" i="8"/>
  <c r="L38" i="8"/>
  <c r="F39" i="8"/>
  <c r="H39" i="8" s="1"/>
  <c r="C40" i="8"/>
  <c r="C41" i="8" l="1"/>
  <c r="F40" i="8"/>
  <c r="H40" i="8" s="1"/>
  <c r="J39" i="8"/>
  <c r="I39" i="8"/>
  <c r="L39" i="8"/>
  <c r="C42" i="8" l="1"/>
  <c r="F41" i="8"/>
  <c r="H41" i="8" s="1"/>
  <c r="J40" i="8"/>
  <c r="I40" i="8"/>
  <c r="L40" i="8"/>
  <c r="I41" i="8" l="1"/>
  <c r="J41" i="8"/>
  <c r="L41" i="8"/>
  <c r="C43" i="8"/>
  <c r="F42" i="8"/>
  <c r="H42" i="8" s="1"/>
  <c r="I42" i="8" l="1"/>
  <c r="J42" i="8"/>
  <c r="L42" i="8"/>
  <c r="F43" i="8"/>
  <c r="H43" i="8" s="1"/>
  <c r="C44" i="8"/>
  <c r="I43" i="8" l="1"/>
  <c r="J43" i="8"/>
  <c r="L43" i="8"/>
  <c r="F44" i="8"/>
  <c r="H44" i="8" s="1"/>
  <c r="C45" i="8"/>
  <c r="C46" i="8" s="1"/>
  <c r="F46" i="8" l="1"/>
  <c r="H46" i="8" s="1"/>
  <c r="C47" i="8"/>
  <c r="F45" i="8"/>
  <c r="H45" i="8" s="1"/>
  <c r="I44" i="8"/>
  <c r="J44" i="8"/>
  <c r="L44" i="8"/>
  <c r="F47" i="8" l="1"/>
  <c r="H47" i="8" s="1"/>
  <c r="C48" i="8"/>
  <c r="I46" i="8"/>
  <c r="J46" i="8"/>
  <c r="L46" i="8"/>
  <c r="J45" i="8"/>
  <c r="I45" i="8"/>
  <c r="L45" i="8"/>
  <c r="F48" i="8" l="1"/>
  <c r="H48" i="8" s="1"/>
  <c r="C49" i="8"/>
  <c r="I47" i="8"/>
  <c r="J47" i="8"/>
  <c r="L47" i="8"/>
  <c r="F49" i="8" l="1"/>
  <c r="H49" i="8" s="1"/>
  <c r="C50" i="8"/>
  <c r="J48" i="8"/>
  <c r="I48" i="8"/>
  <c r="L48" i="8"/>
  <c r="I49" i="8" l="1"/>
  <c r="J49" i="8"/>
  <c r="L49" i="8"/>
  <c r="F50" i="8"/>
  <c r="H50" i="8" s="1"/>
  <c r="C51" i="8"/>
  <c r="F51" i="8" s="1"/>
  <c r="H51" i="8" l="1"/>
  <c r="L51" i="8" s="1"/>
  <c r="I51" i="8"/>
  <c r="J50" i="8"/>
  <c r="I50" i="8"/>
  <c r="L50" i="8"/>
  <c r="L52" i="8" l="1"/>
  <c r="A55" i="8" l="1"/>
  <c r="I18" i="8"/>
  <c r="C47" i="9" s="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<sst xmlns="http://schemas.openxmlformats.org/spreadsheetml/2006/main" count="768" uniqueCount="559">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</sst>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8" sqref="E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46065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36.5</v>
      </c>
      <c r="E8" s="32"/>
    </row>
    <row r="9" spans="1:9">
      <c r="B9" s="4" t="s">
        <v>346</v>
      </c>
      <c r="C9" s="48">
        <v>2558824000</v>
      </c>
    </row>
    <row r="10" spans="1:9">
      <c r="B10" s="4" t="s">
        <v>352</v>
      </c>
      <c r="C10" s="33">
        <f>Thesis!C8*Common_Shares/1000000</f>
        <v>93397.076000000001</v>
      </c>
      <c r="D10" s="1" t="s">
        <v>528</v>
      </c>
      <c r="E10" s="303">
        <f>Scenarios!F34</f>
        <v>0.20820496325299157</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EUR/HKD</v>
      </c>
    </row>
    <row r="16" spans="1:9">
      <c r="B16" s="1" t="s">
        <v>320</v>
      </c>
      <c r="C16" s="417" t="s">
        <v>546</v>
      </c>
      <c r="D16" s="4" t="s">
        <v>354</v>
      </c>
      <c r="E16" s="416">
        <v>9.0098559999999992</v>
      </c>
    </row>
    <row r="17" spans="1:6">
      <c r="B17" s="1" t="s">
        <v>532</v>
      </c>
      <c r="C17" s="456">
        <v>0.02</v>
      </c>
      <c r="D17" s="4" t="s">
        <v>274</v>
      </c>
      <c r="E17" s="224" t="s">
        <v>558</v>
      </c>
    </row>
    <row r="18" spans="1:6">
      <c r="B18" s="1" t="str">
        <f>"Expected Equity Value ("&amp;C7&amp;") :"</f>
        <v>Expected Equity Value (HKD) :</v>
      </c>
      <c r="C18" s="252">
        <f>C125</f>
        <v>59.122826329639921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29.511022444078247</v>
      </c>
      <c r="D22" s="38" t="s">
        <v>406</v>
      </c>
      <c r="E22" s="79">
        <v>0.3</v>
      </c>
    </row>
    <row r="23" spans="1:6">
      <c r="B23" s="1" t="s">
        <v>313</v>
      </c>
      <c r="C23" s="256">
        <f>E141</f>
        <v>37.230662968541615</v>
      </c>
      <c r="D23" s="38" t="s">
        <v>407</v>
      </c>
      <c r="E23" s="443">
        <v>0.2</v>
      </c>
    </row>
    <row r="24" spans="1:6">
      <c r="B24" s="1" t="s">
        <v>315</v>
      </c>
      <c r="C24" s="256">
        <f>E144</f>
        <v>45.831270217103835</v>
      </c>
      <c r="D24" s="38" t="s">
        <v>408</v>
      </c>
      <c r="E24" s="443">
        <v>0.1174</v>
      </c>
    </row>
    <row r="25" spans="1:6">
      <c r="B25" s="1" t="s">
        <v>314</v>
      </c>
      <c r="C25" s="256">
        <f>E145</f>
        <v>51.665532407016421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1295687.7327357903</v>
      </c>
      <c r="D34" s="1" t="str">
        <f>Reporting_currency</f>
        <v>EUR</v>
      </c>
    </row>
    <row r="35" spans="2:6">
      <c r="B35" s="44"/>
      <c r="C35" s="73"/>
    </row>
    <row r="36" spans="2:6" ht="24.5" customHeight="1">
      <c r="B36" s="463" t="s">
        <v>198</v>
      </c>
      <c r="C36" s="463"/>
      <c r="D36" s="463"/>
      <c r="E36" s="463"/>
      <c r="F36" s="463"/>
    </row>
    <row r="37" spans="2:6">
      <c r="B37" s="44" t="s">
        <v>199</v>
      </c>
      <c r="C37" s="285">
        <f>Normalized_FCF!C15</f>
        <v>0</v>
      </c>
      <c r="D37" s="1" t="str">
        <f>Reporting_currency</f>
        <v>EUR</v>
      </c>
    </row>
    <row r="38" spans="2:6">
      <c r="B38" s="49" t="s">
        <v>200</v>
      </c>
      <c r="C38" s="285">
        <f>Normalized_FCF!C16</f>
        <v>0</v>
      </c>
      <c r="D38" s="1" t="str">
        <f>Reporting_currency</f>
        <v>EUR</v>
      </c>
    </row>
    <row r="40" spans="2:6">
      <c r="B40" s="463" t="s">
        <v>201</v>
      </c>
      <c r="C40" s="463"/>
      <c r="D40" s="463"/>
      <c r="E40" s="463"/>
      <c r="F40" s="463"/>
    </row>
    <row r="41" spans="2:6">
      <c r="B41" s="44" t="s">
        <v>202</v>
      </c>
      <c r="C41" s="285">
        <f>Normalized_FCF!C9</f>
        <v>0</v>
      </c>
      <c r="D41" s="1" t="str">
        <f>Reporting_currency</f>
        <v>EUR</v>
      </c>
    </row>
    <row r="43" spans="2:6">
      <c r="B43" s="463" t="s">
        <v>205</v>
      </c>
      <c r="C43" s="463"/>
      <c r="D43" s="463"/>
      <c r="E43" s="463"/>
      <c r="F43" s="463"/>
    </row>
    <row r="44" spans="2:6">
      <c r="B44" s="44" t="s">
        <v>267</v>
      </c>
      <c r="C44" s="286">
        <f>Normalized_FCF!C46</f>
        <v>3899.7992940561048</v>
      </c>
      <c r="D44" s="1" t="str">
        <f>Reporting_currency</f>
        <v>EUR</v>
      </c>
      <c r="E44" s="244"/>
      <c r="F44" s="244"/>
    </row>
    <row r="45" spans="2:6">
      <c r="B45" s="44" t="s">
        <v>268</v>
      </c>
      <c r="C45" s="286">
        <f>Normalized_FCF!C45</f>
        <v>-171351.9</v>
      </c>
      <c r="D45" s="1" t="str">
        <f>Reporting_currency</f>
        <v>EUR</v>
      </c>
      <c r="E45" s="244"/>
      <c r="F45" s="244"/>
    </row>
    <row r="46" spans="2:6">
      <c r="B46" s="44" t="s">
        <v>203</v>
      </c>
      <c r="C46" s="285">
        <f>Normalized_FCF!C10</f>
        <v>-167452.10070594389</v>
      </c>
      <c r="D46" s="1" t="str">
        <f>Reporting_currency</f>
        <v>EUR</v>
      </c>
    </row>
    <row r="48" spans="2:6">
      <c r="B48" s="1" t="s">
        <v>211</v>
      </c>
    </row>
    <row r="49" spans="2:6">
      <c r="B49" s="44" t="s">
        <v>223</v>
      </c>
      <c r="C49" s="285">
        <f>Normalized_FCF!C13</f>
        <v>-4493</v>
      </c>
      <c r="D49" s="1" t="str">
        <f>Reporting_currency</f>
        <v>EUR</v>
      </c>
    </row>
    <row r="51" spans="2:6">
      <c r="B51" s="463" t="s">
        <v>206</v>
      </c>
      <c r="C51" s="463"/>
      <c r="D51" s="463"/>
      <c r="E51" s="463"/>
      <c r="F51" s="463"/>
    </row>
    <row r="52" spans="2:6">
      <c r="B52" s="44" t="s">
        <v>204</v>
      </c>
      <c r="C52" s="285">
        <f>Normalized_FCF!C12</f>
        <v>-313762.32926750026</v>
      </c>
      <c r="D52" s="1" t="str">
        <f>Reporting_currency</f>
        <v>EUR</v>
      </c>
    </row>
    <row r="54" spans="2:6">
      <c r="B54" s="463" t="s">
        <v>265</v>
      </c>
      <c r="C54" s="464"/>
      <c r="D54" s="464"/>
      <c r="E54" s="464"/>
      <c r="F54" s="464"/>
    </row>
    <row r="55" spans="2:6">
      <c r="B55" s="44" t="s">
        <v>207</v>
      </c>
      <c r="C55" s="285">
        <f>Normalized_FCF!C17</f>
        <v>0</v>
      </c>
      <c r="D55" s="1" t="str">
        <f>Reporting_currency</f>
        <v>EUR</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838907</v>
      </c>
      <c r="D60" s="1" t="str">
        <f>Reporting_currency</f>
        <v>EUR</v>
      </c>
    </row>
    <row r="61" spans="2:6">
      <c r="B61" s="44" t="s">
        <v>213</v>
      </c>
      <c r="C61" s="285">
        <f>Normalized_FCF!C19</f>
        <v>809980.30276234611</v>
      </c>
      <c r="D61" s="1" t="str">
        <f>Reporting_currency</f>
        <v>EUR</v>
      </c>
    </row>
    <row r="62" spans="2:6">
      <c r="B62" s="204" t="s">
        <v>302</v>
      </c>
      <c r="C62" s="89">
        <f>Normalized_FCF!C124</f>
        <v>7.8137412896364555E-2</v>
      </c>
      <c r="F62" s="257"/>
    </row>
    <row r="63" spans="2:6">
      <c r="B63" s="204" t="s">
        <v>332</v>
      </c>
      <c r="C63" s="89">
        <f>Normalized_FCF!C92</f>
        <v>3.9227452054794519E-2</v>
      </c>
      <c r="E63" s="44" t="s">
        <v>322</v>
      </c>
      <c r="F63" s="258">
        <f>Normalized_FCF!C90</f>
        <v>4.5232326123897897</v>
      </c>
    </row>
    <row r="65" spans="1:6">
      <c r="B65" s="192" t="s">
        <v>325</v>
      </c>
      <c r="C65" s="264" t="s">
        <v>327</v>
      </c>
      <c r="D65" s="264" t="s">
        <v>328</v>
      </c>
    </row>
    <row r="66" spans="1:6">
      <c r="B66" s="44" t="s">
        <v>326</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-2855865</v>
      </c>
      <c r="D78" s="1" t="str">
        <f>Reporting_currency</f>
        <v>EUR</v>
      </c>
    </row>
    <row r="79" spans="1:6">
      <c r="A79" s="191"/>
      <c r="B79" s="44" t="s">
        <v>234</v>
      </c>
      <c r="C79" s="201">
        <f>C78*scaling_factor*Exchange_Rate/Common_Shares</f>
        <v>-10.055764837847386</v>
      </c>
      <c r="D79" s="1" t="str">
        <f>Market_currency</f>
        <v>HKD</v>
      </c>
    </row>
    <row r="80" spans="1:6">
      <c r="A80" s="191"/>
      <c r="B80" s="229" t="s">
        <v>309</v>
      </c>
      <c r="C80" s="337">
        <f>IF(BS!G31/BS!G27&gt;300%,"nm",BS!G31/BS!G27)</f>
        <v>0.67283405398617657</v>
      </c>
    </row>
    <row r="81" spans="1:6">
      <c r="A81" s="191"/>
      <c r="B81" s="229" t="s">
        <v>311</v>
      </c>
      <c r="C81" s="338">
        <f>IF(BS!C50&gt;30,"nm",BS!C50)</f>
        <v>2.2041306156151999</v>
      </c>
    </row>
    <row r="82" spans="1:6">
      <c r="A82" s="191"/>
    </row>
    <row r="83" spans="1:6">
      <c r="A83" s="191"/>
      <c r="B83" s="1" t="s">
        <v>466</v>
      </c>
    </row>
    <row r="84" spans="1:6">
      <c r="A84" s="191"/>
      <c r="B84" s="1" t="s">
        <v>224</v>
      </c>
      <c r="C84" s="285">
        <f>DCF!F5</f>
        <v>-51974.549009350827</v>
      </c>
      <c r="D84" s="1" t="str">
        <f>Reporting_currency</f>
        <v>EUR</v>
      </c>
    </row>
    <row r="85" spans="1:6">
      <c r="A85" s="191"/>
      <c r="B85" s="229" t="s">
        <v>222</v>
      </c>
      <c r="C85" s="291">
        <f>BS!C66</f>
        <v>597992</v>
      </c>
      <c r="D85" s="339" t="str">
        <f>Reporting_currency</f>
        <v>EUR</v>
      </c>
    </row>
    <row r="86" spans="1:6">
      <c r="A86" s="191"/>
      <c r="B86" s="44" t="s">
        <v>235</v>
      </c>
      <c r="C86" s="201">
        <f>C84*scaling_factor*Exchange_Rate/Common_Shares</f>
        <v>-0.18300719480479843</v>
      </c>
      <c r="D86" s="1" t="str">
        <f>Market_currency</f>
        <v>HKD</v>
      </c>
    </row>
    <row r="87" spans="1:6">
      <c r="A87" s="191"/>
    </row>
    <row r="88" spans="1:6">
      <c r="A88" s="191"/>
      <c r="B88" s="1" t="s">
        <v>216</v>
      </c>
    </row>
    <row r="89" spans="1:6">
      <c r="A89" s="191"/>
      <c r="B89" s="1" t="s">
        <v>217</v>
      </c>
      <c r="C89" s="285">
        <f>DCF!F6</f>
        <v>36617.399999999994</v>
      </c>
      <c r="D89" s="1" t="str">
        <f>Reporting_currency</f>
        <v>EUR</v>
      </c>
    </row>
    <row r="90" spans="1:6">
      <c r="A90" s="191"/>
      <c r="B90" s="44" t="s">
        <v>236</v>
      </c>
      <c r="C90" s="201">
        <f>C89*scaling_factor*Exchange_Rate/Common_Shares</f>
        <v>0.12893325257790295</v>
      </c>
      <c r="D90" s="1" t="str">
        <f>Market_currency</f>
        <v>HKD</v>
      </c>
    </row>
    <row r="91" spans="1:6">
      <c r="A91" s="191"/>
    </row>
    <row r="92" spans="1:6">
      <c r="A92" s="191"/>
      <c r="B92" s="44" t="s">
        <v>469</v>
      </c>
      <c r="C92" s="216">
        <f>DCF!F8</f>
        <v>-10.109838780074282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-6.1509302949742537</v>
      </c>
      <c r="D111" s="1" t="str">
        <f>Market_currency</f>
        <v>HKD</v>
      </c>
    </row>
    <row r="112" spans="2:6">
      <c r="B112" s="44" t="s">
        <v>323</v>
      </c>
      <c r="C112" s="216">
        <f>DCF!C11</f>
        <v>45.300749451004812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(20yrs)</v>
      </c>
      <c r="C118" s="206">
        <f>DCF!C90</f>
        <v>0.08</v>
      </c>
      <c r="D118" s="207" t="str">
        <f>ROUND(DCF!E90,2)&amp;" "&amp;Market_currency</f>
        <v>97.44 HKD</v>
      </c>
      <c r="E118" s="208">
        <f>DCF!F90</f>
        <v>0.15</v>
      </c>
      <c r="F118" s="208">
        <f>RATE(Holding_Period,Scenarios!C$58,-DCF!E90,C$18)</f>
        <v>-0.13592052181340231</v>
      </c>
    </row>
    <row r="119" spans="2:6">
      <c r="B119" s="205" t="str">
        <f>DCF!B91&amp;" ("&amp;DCF!D91&amp;"yrs)"</f>
        <v>Optimistic (20yrs)</v>
      </c>
      <c r="C119" s="198">
        <f>DCF!C91</f>
        <v>0.06</v>
      </c>
      <c r="D119" s="207" t="str">
        <f>ROUND(DCF!E91,2)&amp;" "&amp;Market_currency</f>
        <v>72.18 HKD</v>
      </c>
      <c r="E119" s="199">
        <f>DCF!F91</f>
        <v>0.15999999999999995</v>
      </c>
      <c r="F119" s="208">
        <f>RATE(Holding_Period,Scenarios!C$58,-DCF!E91,C$18)</f>
        <v>-4.3130047275369565E-2</v>
      </c>
    </row>
    <row r="120" spans="2:6">
      <c r="B120" s="205" t="str">
        <f>DCF!B92&amp;" ("&amp;DCF!D92&amp;"yrs)"</f>
        <v>Base (20yrs)</v>
      </c>
      <c r="C120" s="198">
        <f>DCF!C92</f>
        <v>0.04</v>
      </c>
      <c r="D120" s="207" t="str">
        <f>ROUND(DCF!E92,2)&amp;" "&amp;Market_currency</f>
        <v>53.52 HKD</v>
      </c>
      <c r="E120" s="199">
        <f>DCF!F92</f>
        <v>0.44</v>
      </c>
      <c r="F120" s="208">
        <f>RATE(Holding_Period,Scenarios!C$58,-DCF!E92,C$18)</f>
        <v>5.9657400965275616E-2</v>
      </c>
    </row>
    <row r="121" spans="2:6">
      <c r="B121" s="205" t="str">
        <f>DCF!B93&amp;" ("&amp;DCF!D93&amp;"yrs)"</f>
        <v>Pessimistic (20yrs)</v>
      </c>
      <c r="C121" s="198">
        <f>DCF!C93</f>
        <v>0.02</v>
      </c>
      <c r="D121" s="207" t="str">
        <f>ROUND(DCF!E93,2)&amp;" "&amp;Market_currency</f>
        <v>39.7 HKD</v>
      </c>
      <c r="E121" s="199">
        <f>DCF!F93</f>
        <v>0.19999999999999998</v>
      </c>
      <c r="F121" s="208">
        <f>RATE(Holding_Period,Scenarios!C$58,-DCF!E93,C$18)</f>
        <v>0.17382786685379933</v>
      </c>
    </row>
    <row r="122" spans="2:6">
      <c r="B122" s="205" t="str">
        <f>DCF!B94&amp;" ("&amp;DCF!D94&amp;"yrs)"</f>
        <v>Devil's advocate (20yrs)</v>
      </c>
      <c r="C122" s="198">
        <f>DCF!C94</f>
        <v>0</v>
      </c>
      <c r="D122" s="207" t="str">
        <f>ROUND(DCF!E94,2)&amp;" "&amp;Market_currency</f>
        <v>29.42 HKD</v>
      </c>
      <c r="E122" s="199">
        <f>DCF!F94</f>
        <v>0.05</v>
      </c>
      <c r="F122" s="208">
        <f>RATE(Holding_Period,Scenarios!C$58,-DCF!E94,C$18)</f>
        <v>0.30135127572843612</v>
      </c>
    </row>
    <row r="124" spans="2:6">
      <c r="B124" s="463" t="s">
        <v>357</v>
      </c>
      <c r="C124" s="463"/>
      <c r="D124" s="463"/>
      <c r="E124" s="463"/>
      <c r="F124" s="463"/>
    </row>
    <row r="125" spans="2:6">
      <c r="B125" s="193" t="s">
        <v>218</v>
      </c>
      <c r="C125" s="197">
        <f>Scenarios!C36</f>
        <v>59.122826329639921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1.431802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2.6003140555302693</v>
      </c>
      <c r="D140" s="333">
        <f>Scenarios!D62</f>
        <v>26.910708388547977</v>
      </c>
      <c r="E140" s="334">
        <f>Scenarios!E62</f>
        <v>29.511022444078247</v>
      </c>
      <c r="F140" s="335">
        <f>E22</f>
        <v>0.3</v>
      </c>
    </row>
    <row r="141" spans="1:6">
      <c r="B141" s="336" t="s">
        <v>313</v>
      </c>
      <c r="C141" s="333">
        <f>Scenarios!C63</f>
        <v>3.0160643981481483</v>
      </c>
      <c r="D141" s="333">
        <f>Scenarios!D63</f>
        <v>34.21459857039347</v>
      </c>
      <c r="E141" s="334">
        <f>Scenarios!E63</f>
        <v>37.230662968541615</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3.4543699809252097</v>
      </c>
      <c r="D144" s="333">
        <f>Scenarios!D66</f>
        <v>42.376900236178628</v>
      </c>
      <c r="E144" s="334">
        <f>Scenarios!E66</f>
        <v>45.831270217103835</v>
      </c>
      <c r="F144" s="335">
        <f>E24</f>
        <v>0.1174</v>
      </c>
    </row>
    <row r="145" spans="1:6">
      <c r="B145" s="336" t="s">
        <v>314</v>
      </c>
      <c r="C145" s="333">
        <f>Scenarios!C67</f>
        <v>3.7404040750167789</v>
      </c>
      <c r="D145" s="333">
        <f>Scenarios!D67</f>
        <v>47.925128331999645</v>
      </c>
      <c r="E145" s="334">
        <f>Scenarios!E67</f>
        <v>51.665532407016421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5431557</v>
      </c>
      <c r="D4" s="287">
        <v>4726411</v>
      </c>
      <c r="E4" s="287"/>
      <c r="F4" s="287"/>
      <c r="G4" s="287"/>
      <c r="H4" s="287"/>
      <c r="I4" s="287"/>
      <c r="J4" s="287"/>
      <c r="K4" s="287"/>
      <c r="L4" s="287"/>
      <c r="M4" s="287"/>
    </row>
    <row r="5" spans="2:13">
      <c r="B5" s="38" t="s">
        <v>40</v>
      </c>
      <c r="C5" s="287">
        <v>1094865</v>
      </c>
      <c r="D5" s="287">
        <v>924640</v>
      </c>
      <c r="E5" s="287"/>
      <c r="F5" s="287"/>
      <c r="G5" s="287"/>
      <c r="H5" s="287"/>
      <c r="I5" s="287"/>
      <c r="J5" s="287"/>
      <c r="K5" s="287"/>
      <c r="L5" s="287"/>
      <c r="M5" s="287"/>
    </row>
    <row r="6" spans="2:13">
      <c r="B6" s="38" t="s">
        <v>51</v>
      </c>
      <c r="C6" s="287">
        <v>3057142</v>
      </c>
      <c r="D6" s="287">
        <v>2740079</v>
      </c>
      <c r="E6" s="287"/>
      <c r="F6" s="287"/>
      <c r="G6" s="287"/>
      <c r="H6" s="287"/>
      <c r="I6" s="287"/>
      <c r="J6" s="287"/>
      <c r="K6" s="287"/>
      <c r="L6" s="287"/>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111</v>
      </c>
      <c r="D10" s="287">
        <v>627</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21315+69623</f>
        <v>90938</v>
      </c>
      <c r="D12" s="287">
        <f>32031+58825</f>
        <v>90856</v>
      </c>
      <c r="E12" s="287"/>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345323</v>
      </c>
      <c r="D14" s="287">
        <v>298071</v>
      </c>
      <c r="E14" s="287"/>
      <c r="F14" s="287"/>
      <c r="G14" s="287"/>
      <c r="H14" s="287"/>
      <c r="I14" s="287"/>
      <c r="J14" s="287"/>
      <c r="K14" s="287"/>
      <c r="L14" s="287"/>
      <c r="M14" s="287"/>
    </row>
    <row r="15" spans="2:13">
      <c r="B15" s="41" t="s">
        <v>39</v>
      </c>
      <c r="C15" s="289">
        <v>843400</v>
      </c>
      <c r="D15" s="289">
        <v>673392</v>
      </c>
      <c r="E15" s="289"/>
      <c r="F15" s="289"/>
      <c r="G15" s="289"/>
      <c r="H15" s="289"/>
      <c r="I15" s="289"/>
      <c r="J15" s="289"/>
      <c r="K15" s="289"/>
      <c r="L15" s="289"/>
      <c r="M15" s="289"/>
    </row>
    <row r="16" spans="2:13">
      <c r="B16" s="27" t="s">
        <v>41</v>
      </c>
      <c r="C16" s="287">
        <v>4493</v>
      </c>
      <c r="D16" s="287">
        <v>2366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1651617</v>
      </c>
      <c r="D22" s="287">
        <v>1155281</v>
      </c>
      <c r="E22" s="287"/>
      <c r="F22" s="287"/>
      <c r="G22" s="287"/>
      <c r="H22" s="287"/>
      <c r="I22" s="287"/>
      <c r="J22" s="287"/>
      <c r="K22" s="287"/>
      <c r="L22" s="287"/>
      <c r="M22" s="287"/>
    </row>
    <row r="23" spans="2:13">
      <c r="B23" s="26" t="s">
        <v>288</v>
      </c>
      <c r="C23" s="287">
        <v>-462453</v>
      </c>
      <c r="D23" s="287">
        <v>-759191</v>
      </c>
      <c r="E23" s="287"/>
      <c r="F23" s="287"/>
      <c r="G23" s="287"/>
      <c r="H23" s="287"/>
      <c r="I23" s="287"/>
      <c r="J23" s="287"/>
      <c r="K23" s="287"/>
      <c r="L23" s="287"/>
      <c r="M23" s="287"/>
    </row>
    <row r="24" spans="2:13">
      <c r="B24" s="26" t="s">
        <v>287</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26</v>
      </c>
      <c r="C27" s="94" t="s">
        <v>547</v>
      </c>
    </row>
    <row r="28" spans="2:13">
      <c r="B28" s="25" t="s">
        <v>22</v>
      </c>
      <c r="C28" s="270">
        <f>BS!C4</f>
        <v>377556</v>
      </c>
      <c r="D28" s="287">
        <v>405151</v>
      </c>
      <c r="E28" s="287"/>
      <c r="F28" s="287"/>
      <c r="G28" s="287"/>
      <c r="H28" s="287"/>
      <c r="I28" s="287"/>
      <c r="J28" s="287"/>
      <c r="K28" s="287"/>
      <c r="L28" s="287"/>
      <c r="M28" s="287"/>
    </row>
    <row r="29" spans="2:13">
      <c r="B29" s="25" t="s">
        <v>30</v>
      </c>
      <c r="C29" s="270">
        <f>BS!C6</f>
        <v>888295</v>
      </c>
      <c r="D29" s="287">
        <v>782978</v>
      </c>
      <c r="E29" s="287"/>
      <c r="F29" s="287"/>
      <c r="G29" s="287"/>
      <c r="H29" s="287"/>
      <c r="I29" s="287"/>
      <c r="J29" s="287"/>
      <c r="K29" s="287"/>
      <c r="L29" s="287"/>
      <c r="M29" s="287"/>
    </row>
    <row r="30" spans="2:13">
      <c r="B30" s="28" t="s">
        <v>38</v>
      </c>
      <c r="C30" s="271">
        <f>BS!C33+BS!C42</f>
        <v>4077687</v>
      </c>
      <c r="D30" s="289">
        <v>3738242</v>
      </c>
      <c r="E30" s="289"/>
      <c r="F30" s="289"/>
      <c r="G30" s="289"/>
      <c r="H30" s="289"/>
      <c r="I30" s="289"/>
      <c r="J30" s="289"/>
      <c r="K30" s="289"/>
      <c r="L30" s="289"/>
      <c r="M30" s="289"/>
    </row>
    <row r="31" spans="2:13">
      <c r="B31" s="28" t="s">
        <v>28</v>
      </c>
      <c r="C31" s="271">
        <f>BS!G27</f>
        <v>4244531</v>
      </c>
      <c r="D31" s="289">
        <v>3876809</v>
      </c>
      <c r="E31" s="289"/>
      <c r="F31" s="289"/>
      <c r="G31" s="289"/>
      <c r="H31" s="289"/>
      <c r="I31" s="289"/>
      <c r="J31" s="289"/>
      <c r="K31" s="289"/>
      <c r="L31" s="289"/>
      <c r="M31" s="289"/>
    </row>
    <row r="32" spans="2:13">
      <c r="B32" s="25" t="s">
        <v>143</v>
      </c>
      <c r="C32" s="270">
        <f>BS!G28</f>
        <v>19653</v>
      </c>
      <c r="D32" s="287">
        <v>23014</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83</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D51" sqref="D5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377404+152</f>
        <v>377556</v>
      </c>
      <c r="D4" s="231">
        <v>0.6</v>
      </c>
      <c r="E4" s="24"/>
      <c r="F4" s="4" t="s">
        <v>74</v>
      </c>
      <c r="G4" s="18">
        <v>597992</v>
      </c>
      <c r="H4" s="231">
        <v>0.9</v>
      </c>
    </row>
    <row r="5" spans="2:8" ht="15" customHeight="1">
      <c r="B5" s="1" t="s">
        <v>31</v>
      </c>
      <c r="C5" s="18">
        <v>0</v>
      </c>
      <c r="D5" s="231">
        <v>0.6</v>
      </c>
      <c r="E5" s="24"/>
      <c r="F5" s="1" t="s">
        <v>27</v>
      </c>
      <c r="G5" s="18">
        <v>0</v>
      </c>
      <c r="H5" s="231">
        <v>0.7</v>
      </c>
    </row>
    <row r="6" spans="2:8" ht="15" customHeight="1">
      <c r="B6" s="4" t="s">
        <v>8</v>
      </c>
      <c r="C6" s="18">
        <v>888295</v>
      </c>
      <c r="D6" s="231">
        <v>0.5</v>
      </c>
      <c r="E6" s="24"/>
      <c r="F6" s="4" t="s">
        <v>147</v>
      </c>
      <c r="G6" s="18">
        <v>0</v>
      </c>
      <c r="H6" s="231">
        <v>0.6</v>
      </c>
    </row>
    <row r="7" spans="2:8" ht="15" customHeight="1">
      <c r="B7" s="1" t="s">
        <v>66</v>
      </c>
      <c r="C7" s="18">
        <v>0</v>
      </c>
      <c r="D7" s="231">
        <v>0.6</v>
      </c>
      <c r="E7" s="24"/>
      <c r="F7" s="4" t="s">
        <v>148</v>
      </c>
      <c r="G7" s="18">
        <v>49392</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246562</v>
      </c>
      <c r="D11" s="231">
        <v>0.05</v>
      </c>
      <c r="H11" s="232"/>
    </row>
    <row r="12" spans="2:8" ht="15" customHeight="1">
      <c r="B12" s="77" t="s">
        <v>69</v>
      </c>
      <c r="C12" s="78">
        <f>SUM(C4:C11)</f>
        <v>1512413</v>
      </c>
      <c r="D12" s="19">
        <f>C4*D4+C5*D5+C9*D9+C6*D6+C8*D8+C7*D7+C10*D10+C11*D11</f>
        <v>683009.2</v>
      </c>
      <c r="F12" s="77" t="s">
        <v>67</v>
      </c>
      <c r="G12" s="78">
        <f>SUM(G4:G10)</f>
        <v>647384</v>
      </c>
      <c r="H12" s="19">
        <f>G4*H4+G5*H5+G6*H6+G7*H7+G8*H8+G9*H9+G10*H10</f>
        <v>567828</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2636</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607</v>
      </c>
      <c r="H17" s="231">
        <v>0.6</v>
      </c>
    </row>
    <row r="18" spans="2:8" ht="15" customHeight="1">
      <c r="B18" s="4" t="s">
        <v>144</v>
      </c>
      <c r="C18" s="18">
        <v>0</v>
      </c>
      <c r="D18" s="231">
        <v>0.6</v>
      </c>
      <c r="F18" s="4" t="s">
        <v>151</v>
      </c>
      <c r="G18" s="18">
        <v>0</v>
      </c>
      <c r="H18" s="231">
        <v>0.1</v>
      </c>
    </row>
    <row r="19" spans="2:8" ht="15" customHeight="1">
      <c r="B19" s="4" t="s">
        <v>24</v>
      </c>
      <c r="C19" s="18">
        <f>2220081+2460374</f>
        <v>4680455</v>
      </c>
      <c r="D19" s="231">
        <v>0.1</v>
      </c>
      <c r="F19" s="4" t="s">
        <v>152</v>
      </c>
      <c r="G19" s="18">
        <v>66180</v>
      </c>
      <c r="H19" s="231">
        <v>0.1</v>
      </c>
    </row>
    <row r="20" spans="2:8" ht="15" customHeight="1">
      <c r="B20" s="4" t="s">
        <v>16</v>
      </c>
      <c r="C20" s="18">
        <v>0</v>
      </c>
      <c r="D20" s="231">
        <v>0.05</v>
      </c>
      <c r="F20" s="4" t="s">
        <v>149</v>
      </c>
      <c r="G20" s="18">
        <v>0</v>
      </c>
      <c r="H20" s="231">
        <v>0.2</v>
      </c>
    </row>
    <row r="21" spans="2:8" ht="15" customHeight="1">
      <c r="B21" s="4" t="s">
        <v>17</v>
      </c>
      <c r="C21" s="18">
        <v>886547</v>
      </c>
      <c r="D21" s="231">
        <v>0.3</v>
      </c>
      <c r="F21" s="1" t="s">
        <v>150</v>
      </c>
      <c r="G21" s="18">
        <v>0</v>
      </c>
      <c r="H21" s="231">
        <v>0.1</v>
      </c>
    </row>
    <row r="22" spans="2:8" ht="15" customHeight="1">
      <c r="B22" s="4" t="s">
        <v>18</v>
      </c>
      <c r="C22" s="18">
        <v>397306</v>
      </c>
      <c r="D22" s="231">
        <v>0.9</v>
      </c>
      <c r="H22" s="232"/>
    </row>
    <row r="23" spans="2:8" ht="15" customHeight="1">
      <c r="B23" s="4" t="s">
        <v>19</v>
      </c>
      <c r="C23" s="18">
        <v>128690</v>
      </c>
      <c r="D23" s="231">
        <v>0</v>
      </c>
      <c r="H23" s="232"/>
    </row>
    <row r="24" spans="2:8" ht="15" customHeight="1">
      <c r="B24" s="77" t="s">
        <v>70</v>
      </c>
      <c r="C24" s="78">
        <f>SUM(C15:C23)</f>
        <v>6095634</v>
      </c>
      <c r="D24" s="19">
        <f>C15*D15+C16*D16+C18*D18+C17*D17+C19*D19+C20*D20+C21*D21+C22*D22+C23*D23</f>
        <v>1092639.3999999999</v>
      </c>
      <c r="F24" s="77" t="s">
        <v>68</v>
      </c>
      <c r="G24" s="78">
        <f>SUM(G15:G21)</f>
        <v>66787</v>
      </c>
      <c r="H24" s="19">
        <f>G15*H15+G16*H16+G17*H17+G18*H18+G19*H19+G20*H20+G21*H21</f>
        <v>6982.2</v>
      </c>
    </row>
    <row r="26" spans="2:8" ht="15" customHeight="1">
      <c r="B26" s="16" t="s">
        <v>169</v>
      </c>
      <c r="C26" s="164" t="s">
        <v>113</v>
      </c>
      <c r="F26" s="166" t="s">
        <v>165</v>
      </c>
      <c r="G26" s="167" t="s">
        <v>113</v>
      </c>
      <c r="H26" s="168" t="s">
        <v>33</v>
      </c>
    </row>
    <row r="27" spans="2:8" ht="15" customHeight="1">
      <c r="B27" s="4" t="s">
        <v>3</v>
      </c>
      <c r="C27" s="18">
        <v>47816</v>
      </c>
      <c r="F27" s="169" t="s">
        <v>28</v>
      </c>
      <c r="G27" s="82">
        <f>G32-G30</f>
        <v>4244531</v>
      </c>
      <c r="H27" s="170">
        <f>H32-G30</f>
        <v>-1727228.2000000002</v>
      </c>
    </row>
    <row r="28" spans="2:8" ht="15" customHeight="1">
      <c r="B28" s="4" t="s">
        <v>4</v>
      </c>
      <c r="C28" s="18">
        <v>430344</v>
      </c>
      <c r="F28" s="171" t="s">
        <v>209</v>
      </c>
      <c r="G28" s="287">
        <v>19653</v>
      </c>
      <c r="H28" s="170"/>
    </row>
    <row r="29" spans="2:8" ht="15" customHeight="1">
      <c r="B29" s="4" t="s">
        <v>5</v>
      </c>
      <c r="C29" s="18">
        <v>0</v>
      </c>
      <c r="F29" s="172" t="s">
        <v>72</v>
      </c>
      <c r="G29" s="14">
        <f>G27-G28</f>
        <v>4224878</v>
      </c>
      <c r="H29" s="170">
        <f>H27-G28</f>
        <v>-1746881.2000000002</v>
      </c>
    </row>
    <row r="30" spans="2:8" ht="15" customHeight="1">
      <c r="B30" s="2" t="s">
        <v>6</v>
      </c>
      <c r="C30" s="18">
        <v>58554</v>
      </c>
      <c r="F30" s="169" t="s">
        <v>21</v>
      </c>
      <c r="G30" s="82">
        <f>C33+C42</f>
        <v>4077687</v>
      </c>
      <c r="H30" s="170"/>
    </row>
    <row r="31" spans="2:8" ht="15" customHeight="1">
      <c r="B31" s="77" t="s">
        <v>172</v>
      </c>
      <c r="C31" s="78">
        <f>SUM(C27:C30)</f>
        <v>536714</v>
      </c>
      <c r="F31" s="172" t="s">
        <v>73</v>
      </c>
      <c r="G31" s="173">
        <f>C31+C40</f>
        <v>2855865</v>
      </c>
      <c r="H31" s="170"/>
    </row>
    <row r="32" spans="2:8" ht="15" customHeight="1">
      <c r="B32" s="4" t="s">
        <v>7</v>
      </c>
      <c r="C32" s="20">
        <f>C33-C31</f>
        <v>955121</v>
      </c>
      <c r="F32" s="174" t="s">
        <v>71</v>
      </c>
      <c r="G32" s="175">
        <f>G35+G40</f>
        <v>8322218</v>
      </c>
      <c r="H32" s="170">
        <f>H35+H40</f>
        <v>2350458.7999999998</v>
      </c>
    </row>
    <row r="33" spans="2:8" ht="15" customHeight="1">
      <c r="B33" s="80" t="s">
        <v>2</v>
      </c>
      <c r="C33" s="81">
        <v>1491835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7608047</v>
      </c>
      <c r="H35" s="182">
        <f>D12+D24</f>
        <v>1775648.5999999999</v>
      </c>
    </row>
    <row r="36" spans="2:8" ht="15" customHeight="1">
      <c r="B36" s="4" t="s">
        <v>11</v>
      </c>
      <c r="C36" s="18">
        <v>195727</v>
      </c>
      <c r="F36" s="172" t="s">
        <v>166</v>
      </c>
      <c r="G36" s="173">
        <f>C4+C15</f>
        <v>380192</v>
      </c>
      <c r="H36" s="177"/>
    </row>
    <row r="37" spans="2:8" ht="15" customHeight="1">
      <c r="B37" s="4" t="s">
        <v>12</v>
      </c>
      <c r="C37" s="18">
        <v>2123424</v>
      </c>
      <c r="F37" s="172" t="s">
        <v>167</v>
      </c>
      <c r="G37" s="173">
        <f>C6</f>
        <v>888295</v>
      </c>
      <c r="H37" s="177"/>
    </row>
    <row r="38" spans="2:8" ht="15" customHeight="1">
      <c r="B38" s="4" t="s">
        <v>13</v>
      </c>
      <c r="C38" s="18">
        <v>0</v>
      </c>
      <c r="F38" s="172" t="s">
        <v>168</v>
      </c>
      <c r="G38" s="173">
        <f>C7+C17</f>
        <v>0</v>
      </c>
      <c r="H38" s="177"/>
    </row>
    <row r="39" spans="2:8" ht="15" customHeight="1">
      <c r="B39" s="2" t="s">
        <v>14</v>
      </c>
      <c r="C39" s="18">
        <v>0</v>
      </c>
      <c r="F39" s="172" t="s">
        <v>76</v>
      </c>
      <c r="G39" s="173">
        <f>C7+C17+C19+C20</f>
        <v>4680455</v>
      </c>
      <c r="H39" s="170">
        <f>C7*D7+C17*D17+C19*D19+C20*D20</f>
        <v>468045.5</v>
      </c>
    </row>
    <row r="40" spans="2:8" ht="15" customHeight="1">
      <c r="B40" s="77" t="s">
        <v>173</v>
      </c>
      <c r="C40" s="78">
        <f>SUM(C36:C39)</f>
        <v>2319151</v>
      </c>
      <c r="F40" s="181" t="s">
        <v>115</v>
      </c>
      <c r="G40" s="175">
        <f>G12+G24</f>
        <v>714171</v>
      </c>
      <c r="H40" s="182">
        <f>H12+H24</f>
        <v>574810.19999999995</v>
      </c>
    </row>
    <row r="41" spans="2:8" ht="15" customHeight="1">
      <c r="B41" s="4" t="s">
        <v>15</v>
      </c>
      <c r="C41" s="20">
        <f>C42-C40</f>
        <v>266701</v>
      </c>
      <c r="F41" s="172" t="s">
        <v>160</v>
      </c>
      <c r="G41" s="173">
        <f>C70</f>
        <v>597992</v>
      </c>
      <c r="H41" s="182">
        <f>H40-H42</f>
        <v>538192.79999999993</v>
      </c>
    </row>
    <row r="42" spans="2:8" ht="15" customHeight="1">
      <c r="B42" s="80" t="s">
        <v>20</v>
      </c>
      <c r="C42" s="81">
        <v>2585852</v>
      </c>
      <c r="F42" s="183" t="s">
        <v>161</v>
      </c>
      <c r="G42" s="184">
        <f>C82</f>
        <v>116179</v>
      </c>
      <c r="H42" s="185">
        <f>D82</f>
        <v>36617.399999999994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4224878</v>
      </c>
      <c r="D46" s="73">
        <f>H29</f>
        <v>-1746881.2000000002</v>
      </c>
      <c r="F46" s="223"/>
    </row>
    <row r="47" spans="2:8" ht="15" customHeight="1">
      <c r="B47" s="1" t="str">
        <f>"Equity per share ("&amp;Market_currency&amp;")"</f>
        <v>Equity per share (HKD)</v>
      </c>
      <c r="C47" s="134">
        <f>C46*H1/Common_Shares*Exchange_Rate</f>
        <v>14.876186247107263</v>
      </c>
      <c r="D47" s="134">
        <f>D46*H1/Common_Shares*Exchange_Rate</f>
        <v>-6.1509302949742537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2.2041306156151999</v>
      </c>
      <c r="D50" s="92">
        <f>G31/Normalized_FCF!G8</f>
        <v>2.2319291938572152</v>
      </c>
      <c r="F50" s="223"/>
    </row>
    <row r="51" spans="2:8" ht="15" customHeight="1">
      <c r="B51" s="1" t="s">
        <v>146</v>
      </c>
      <c r="C51" s="163"/>
      <c r="D51" s="89">
        <f>G29/G32</f>
        <v>0.50766250054973328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0.17030490646755866</v>
      </c>
      <c r="D54" s="89">
        <f>Normalized_FCF!G8/G35</f>
        <v>0.16818376647778333</v>
      </c>
      <c r="F54" s="223"/>
    </row>
    <row r="55" spans="2:8" ht="15" customHeight="1">
      <c r="B55" s="1" t="s">
        <v>118</v>
      </c>
      <c r="C55" s="89">
        <f>Normalized_FCF!C9/G40</f>
        <v>0</v>
      </c>
      <c r="D55" s="89">
        <f>Normalized_FCF!G9/G40</f>
        <v>1.5542496124877655E-4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0.56240475796236056</v>
      </c>
      <c r="F59" s="223"/>
    </row>
    <row r="60" spans="2:8" ht="15" customHeight="1">
      <c r="F60" s="223"/>
    </row>
    <row r="61" spans="2:8" ht="15" customHeight="1">
      <c r="B61" s="143" t="s">
        <v>231</v>
      </c>
      <c r="C61" s="210" t="s">
        <v>114</v>
      </c>
      <c r="D61" s="179" t="s">
        <v>91</v>
      </c>
      <c r="F61" s="223"/>
    </row>
    <row r="62" spans="2:8" ht="15" customHeight="1">
      <c r="B62" s="1" t="s">
        <v>210</v>
      </c>
      <c r="C62" s="89">
        <f>IF(G28&lt;=0,0,G28/G29)</f>
        <v>4.6517319553369355E-3</v>
      </c>
      <c r="D62" s="89">
        <f>G28/G29</f>
        <v>4.6517319553369355E-3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597992</v>
      </c>
      <c r="D66" s="73">
        <f>C66-D75</f>
        <v>-51974.549009350827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597992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-651311.36007066665</v>
      </c>
      <c r="D73" s="285">
        <f>(Normalized_FCF!C26+Normalized_FCF!C35-Normalized_FCF!C89)/12</f>
        <v>-649966.54900935083</v>
      </c>
      <c r="F73" s="1" t="s">
        <v>278</v>
      </c>
    </row>
    <row r="74" spans="2:6" ht="15" customHeight="1">
      <c r="B74" s="227" t="s">
        <v>259</v>
      </c>
      <c r="C74" s="228">
        <f>-$C$66/C73</f>
        <v>0.91813537527599465</v>
      </c>
      <c r="D74" s="228">
        <f>-$C$66/D73</f>
        <v>0.92003504012849879</v>
      </c>
      <c r="F74" s="223" t="s">
        <v>257</v>
      </c>
    </row>
    <row r="75" spans="2:6" ht="15" customHeight="1">
      <c r="B75" s="77" t="s">
        <v>258</v>
      </c>
      <c r="C75" s="261"/>
      <c r="D75" s="262">
        <f>MAX(-D73*D76,G5)</f>
        <v>649966.54900935083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49999</v>
      </c>
      <c r="D79" s="73">
        <f>G7*H7+G17*H17</f>
        <v>29999.399999999998</v>
      </c>
      <c r="F79" s="223"/>
    </row>
    <row r="80" spans="2:6" ht="15" customHeight="1">
      <c r="B80" s="102" t="s">
        <v>152</v>
      </c>
      <c r="C80" s="19">
        <f>G19</f>
        <v>66180</v>
      </c>
      <c r="D80" s="73">
        <f>G19*H19</f>
        <v>6618</v>
      </c>
      <c r="F80" s="223"/>
    </row>
    <row r="81" spans="2:8" ht="15" customHeight="1">
      <c r="B81" s="102" t="s">
        <v>150</v>
      </c>
      <c r="C81" s="19">
        <f>G9+G21</f>
        <v>0</v>
      </c>
      <c r="D81" s="73">
        <f>G9*H9+G21*H21</f>
        <v>0</v>
      </c>
      <c r="F81" s="223"/>
    </row>
    <row r="82" spans="2:8" ht="15" customHeight="1">
      <c r="B82" s="77" t="s">
        <v>159</v>
      </c>
      <c r="C82" s="78">
        <f>SUM(C79:C81)</f>
        <v>116179</v>
      </c>
      <c r="D82" s="78">
        <f>SUM(D79:D81)</f>
        <v>36617.399999999994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-25730932.405439999</v>
      </c>
      <c r="D86" s="201">
        <f>C86*scaling_factor/Common_Shares</f>
        <v>-10.055764837847386</v>
      </c>
      <c r="E86" s="214" t="str">
        <f>Market_currency</f>
        <v>HKD</v>
      </c>
    </row>
    <row r="87" spans="2:8" ht="15" customHeight="1">
      <c r="B87" s="212" t="s">
        <v>240</v>
      </c>
      <c r="C87" s="73">
        <f>DCF!F5*Exchange_Rate</f>
        <v>-468283.20223919355</v>
      </c>
      <c r="D87" s="201">
        <f>C87*scaling_factor/Common_Shares</f>
        <v>-0.18300719480479843</v>
      </c>
      <c r="E87" s="214" t="str">
        <f>Market_currency</f>
        <v>HKD</v>
      </c>
    </row>
    <row r="88" spans="2:8" ht="15" customHeight="1">
      <c r="B88" s="213" t="s">
        <v>159</v>
      </c>
      <c r="C88" s="73">
        <f>DCF!F6*Exchange_Rate</f>
        <v>329917.50109439989</v>
      </c>
      <c r="D88" s="201">
        <f>C88*scaling_factor/Common_Shares</f>
        <v>0.12893325257790292</v>
      </c>
      <c r="E88" s="214" t="str">
        <f>Market_currency</f>
        <v>HKD</v>
      </c>
    </row>
    <row r="89" spans="2:8" ht="15" customHeight="1">
      <c r="B89" s="77" t="s">
        <v>244</v>
      </c>
      <c r="C89" s="162">
        <f>SUM(C86:C88)</f>
        <v>-25869298.106584791</v>
      </c>
      <c r="D89" s="216">
        <f>SUM(D86:D88)</f>
        <v>-10.109838780074281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0.27810000000000001</v>
      </c>
      <c r="D41" s="26"/>
      <c r="E41" s="234" t="s">
        <v>403</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87</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3.9227452054794519E-2</v>
      </c>
      <c r="E92" s="237"/>
      <c r="G92" s="22">
        <f t="shared" ref="G92:Q92" si="38">IF(G$4="","",(G88*(1-dividend_tax_rate))/Market_Price)</f>
        <v>3.9227452054794519E-2</v>
      </c>
      <c r="H92" s="22">
        <f t="shared" si="38"/>
        <v>3.1065219178082193E-2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2.8520155707173065</v>
      </c>
      <c r="D123" s="26"/>
      <c r="E123" s="234"/>
      <c r="F123" s="26"/>
      <c r="G123" s="159">
        <f t="shared" ref="G123:Q123" si="48">IF(G$4="","",G14*$C$3/Common_Shares*Exchange_Rate)</f>
        <v>2.9538691474646166</v>
      </c>
      <c r="H123" s="159">
        <f t="shared" si="48"/>
        <v>2.3627446171585071</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7.8137412896364555E-2</v>
      </c>
      <c r="D124" s="26"/>
      <c r="E124" s="234"/>
      <c r="F124" s="26"/>
      <c r="G124" s="74">
        <f t="shared" ref="G124" si="49">IF(G$4="","",G123/Market_Price)</f>
        <v>8.0927921848345657E-2</v>
      </c>
      <c r="H124" s="74">
        <f t="shared" ref="H124" si="50">IF(H$4="","",H123/Market_Price)</f>
        <v>6.4732729237219372E-2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9.0302612899787141E-3</v>
      </c>
      <c r="H125" s="22">
        <f>IF(H$4="","",(Data!D47*$C$3)/(Market_Price*Common_Shares))</f>
        <v>7.2099901714267802E-3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7" sqref="D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809980.30276234611</v>
      </c>
      <c r="D4" t="str">
        <f>Reporting_currency</f>
        <v>EUR</v>
      </c>
      <c r="E4" s="135" t="s">
        <v>431</v>
      </c>
      <c r="F4" s="275">
        <f>-BS!G31</f>
        <v>-2855865</v>
      </c>
      <c r="G4" t="str">
        <f>Reporting_currency</f>
        <v>EUR</v>
      </c>
      <c r="H4" s="308" t="s">
        <v>394</v>
      </c>
      <c r="I4" s="305">
        <f>Normalized_FCF!C4</f>
        <v>5431557</v>
      </c>
      <c r="J4" s="305"/>
    </row>
    <row r="5" spans="2:15">
      <c r="B5" s="187" t="s">
        <v>105</v>
      </c>
      <c r="C5" s="188">
        <f>Equity_Cost</f>
        <v>7.2499999999999995E-2</v>
      </c>
      <c r="E5" s="135" t="s">
        <v>432</v>
      </c>
      <c r="F5" s="275">
        <f>BS!D66</f>
        <v>-51974.549009350827</v>
      </c>
      <c r="G5" t="str">
        <f>Reporting_currency</f>
        <v>EUR</v>
      </c>
      <c r="H5" s="308" t="s">
        <v>395</v>
      </c>
      <c r="I5" s="305">
        <f>Normalized_FCF!C7</f>
        <v>-3057142</v>
      </c>
      <c r="J5" s="305"/>
    </row>
    <row r="6" spans="2:15" ht="13.25" customHeight="1">
      <c r="B6" s="136" t="s">
        <v>194</v>
      </c>
      <c r="C6" s="283">
        <f>(C4*(1+Terminal_Growth))/(Equity_Cost-Terminal_Growth)</f>
        <v>15736760.167954154</v>
      </c>
      <c r="D6" t="str">
        <f>Reporting_currency</f>
        <v>EUR</v>
      </c>
      <c r="E6" s="187" t="s">
        <v>433</v>
      </c>
      <c r="F6" s="284">
        <f>BS!H42</f>
        <v>36617.399999999994</v>
      </c>
      <c r="G6" t="str">
        <f>Reporting_currency</f>
        <v>EUR</v>
      </c>
      <c r="H6" s="308" t="s">
        <v>416</v>
      </c>
      <c r="I6" s="305">
        <f>I7+I8</f>
        <v>-167452.10070594389</v>
      </c>
      <c r="J6" s="305"/>
      <c r="N6" s="135"/>
    </row>
    <row r="7" spans="2:15" ht="12.75" customHeight="1">
      <c r="B7" s="318" t="s">
        <v>430</v>
      </c>
      <c r="C7" s="275">
        <f>F7</f>
        <v>-2871222.1490093512</v>
      </c>
      <c r="E7" s="140" t="s">
        <v>424</v>
      </c>
      <c r="F7" s="283">
        <f>SUM(F4:F6)</f>
        <v>-2871222.1490093512</v>
      </c>
      <c r="G7" t="str">
        <f>Reporting_currency</f>
        <v>EUR</v>
      </c>
      <c r="H7" s="312" t="s">
        <v>417</v>
      </c>
      <c r="I7" s="313">
        <f>Normalized_FCF!C9</f>
        <v>0</v>
      </c>
      <c r="J7" s="313"/>
      <c r="N7" s="304"/>
      <c r="O7" s="304"/>
    </row>
    <row r="8" spans="2:15" ht="13.15">
      <c r="B8" s="136" t="s">
        <v>426</v>
      </c>
      <c r="C8" s="283">
        <f>C6+C7</f>
        <v>12865538.018944804</v>
      </c>
      <c r="D8" t="str">
        <f>Reporting_currency</f>
        <v>EUR</v>
      </c>
      <c r="E8" s="140" t="s">
        <v>464</v>
      </c>
      <c r="F8" s="108">
        <f>FV_adjustments*scaling_factor/Common_Shares*Exchange_Rate</f>
        <v>-10.109838780074282</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9.0098559999999992</v>
      </c>
      <c r="D9" t="str">
        <f>Thesis!E15</f>
        <v>EUR/HKD</v>
      </c>
      <c r="F9" s="322"/>
      <c r="H9" s="308" t="str">
        <f>Normalized_FCF!B79</f>
        <v>NCI’s Share of Profits</v>
      </c>
      <c r="I9" s="144">
        <f>Normalized_FCF!C79</f>
        <v>8.272029548801568E-4</v>
      </c>
      <c r="J9" s="306"/>
      <c r="N9" s="304"/>
      <c r="O9" s="304"/>
    </row>
    <row r="10" spans="2:15" ht="13.5" thickTop="1">
      <c r="B10" s="107" t="s">
        <v>427</v>
      </c>
      <c r="C10" s="283">
        <f>C8*Exchange_Rate</f>
        <v>115916644.91321795</v>
      </c>
      <c r="D10" t="str">
        <f>Market_currency</f>
        <v>HKD</v>
      </c>
      <c r="H10" s="308" t="s">
        <v>397</v>
      </c>
      <c r="I10" s="306">
        <f>Normalized_FCF!C41</f>
        <v>0.27810000000000001</v>
      </c>
      <c r="N10" s="304"/>
      <c r="O10" s="304"/>
    </row>
    <row r="11" spans="2:15" ht="13.15">
      <c r="B11" s="136" t="s">
        <v>425</v>
      </c>
      <c r="C11" s="108">
        <f>(C10*scaling_factor)/Common_Shares</f>
        <v>45.300749451004812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20</v>
      </c>
      <c r="E15" s="308" t="str">
        <f>IF(F14="II","Change year","Terminal Year")</f>
        <v>Terminal Year</v>
      </c>
      <c r="F15" s="310">
        <f>IF(F14="II",_xlfn.CEILING.MATH(C15/2),C15+1)</f>
        <v>21</v>
      </c>
      <c r="H15" s="97" t="s">
        <v>429</v>
      </c>
      <c r="I15" s="126">
        <f>Terminal_Growth</f>
        <v>0.02</v>
      </c>
      <c r="J15" s="126"/>
    </row>
    <row r="16" spans="2:15" ht="13.25" customHeight="1">
      <c r="B16" s="114" t="s">
        <v>422</v>
      </c>
      <c r="C16" s="147">
        <f>Scenarios!C46</f>
        <v>4.584597022756233E-2</v>
      </c>
      <c r="E16" s="308" t="s">
        <v>400</v>
      </c>
      <c r="F16" s="311">
        <f>Scenarios!C41</f>
        <v>4.584597022756233E-2</v>
      </c>
    </row>
    <row r="17" spans="1:21" ht="13.25" customHeight="1">
      <c r="B17" s="308" t="s">
        <v>550</v>
      </c>
      <c r="C17" s="306">
        <f>Normalized_FCF!C77</f>
        <v>0.20771863979883601</v>
      </c>
      <c r="E17" s="308" t="s">
        <v>551</v>
      </c>
      <c r="F17" s="311">
        <f>Scenarios!C40</f>
        <v>0.20771863979883598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58.403613392233986</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5680572.0005113082</v>
      </c>
      <c r="D21" s="299">
        <f t="shared" ref="D21:D50" si="1">IF(A21="",0,IF(A21="I",$C$16,$F$16))</f>
        <v>4.584597022756233E-2</v>
      </c>
      <c r="E21" s="299">
        <f>$C$17</f>
        <v>0.20771863979883601</v>
      </c>
      <c r="F21" s="277">
        <f>C21*E21</f>
        <v>1179960.6892255617</v>
      </c>
      <c r="G21" s="299">
        <f t="shared" ref="G21:G50" si="2">IF(A21="",0%,IF(A21="I",$C$18,$F$18))</f>
        <v>0</v>
      </c>
      <c r="H21" s="277">
        <f>(F21*(1-$I$10)+C21*(G21-$I$9))</f>
        <v>847114.63560770056</v>
      </c>
      <c r="I21" s="299">
        <f>H21/C4-1</f>
        <v>4.5845970227562427E-2</v>
      </c>
      <c r="J21" s="299">
        <f>H21/C21</f>
        <v>0.14912488311589955</v>
      </c>
      <c r="K21" s="119">
        <f t="shared" ref="K21:K50" si="3">IF($C$15&lt;B21,0,1/(1+Equity_Cost)^B21)</f>
        <v>0.93240093240093236</v>
      </c>
      <c r="L21" s="277">
        <f t="shared" ref="L21:L51" si="4">H21*K21</f>
        <v>789850.47609109606</v>
      </c>
    </row>
    <row r="22" spans="1:21">
      <c r="A22" s="302" t="str">
        <f t="shared" si="0"/>
        <v>I</v>
      </c>
      <c r="B22" s="117">
        <v>2</v>
      </c>
      <c r="C22" s="277">
        <f t="shared" ref="C22:C50" si="5">IF(A22="",0,C21*(1+D22))</f>
        <v>5941003.3353222748</v>
      </c>
      <c r="D22" s="299">
        <f t="shared" si="1"/>
        <v>4.584597022756233E-2</v>
      </c>
      <c r="E22" s="299">
        <f t="shared" ref="E22:E50" si="6">IF($C$15&lt;B22,0,IF(B22&gt;=$F$15,$F$17,$C$17))</f>
        <v>0.20771863979883601</v>
      </c>
      <c r="F22" s="277">
        <f t="shared" ref="F22:F50" si="7">IF(A22="", 0,C22*E22)</f>
        <v>1234057.1318534908</v>
      </c>
      <c r="G22" s="299">
        <f t="shared" si="2"/>
        <v>0</v>
      </c>
      <c r="H22" s="277">
        <f t="shared" ref="H22:H50" si="8">IF(A22="", 0,F22*(1-$I$10)+C22*(G22-$I$9))</f>
        <v>885951.42797110358</v>
      </c>
      <c r="I22" s="299">
        <f t="shared" ref="I22:I50" si="9">IF(A22="", 0,H22/H21-1)</f>
        <v>4.5845970227562427E-2</v>
      </c>
      <c r="J22" s="299">
        <f>IF(A22="", 0,H22/C22)</f>
        <v>0.14912488311589955</v>
      </c>
      <c r="K22" s="119">
        <f t="shared" si="3"/>
        <v>0.86937149874212816</v>
      </c>
      <c r="L22" s="277">
        <f t="shared" si="4"/>
        <v>770220.92074796697</v>
      </c>
    </row>
    <row r="23" spans="1:21">
      <c r="A23" s="302" t="str">
        <f t="shared" si="0"/>
        <v>I</v>
      </c>
      <c r="B23" s="117">
        <v>3</v>
      </c>
      <c r="C23" s="277">
        <f t="shared" si="5"/>
        <v>6213374.3973553088</v>
      </c>
      <c r="D23" s="299">
        <f t="shared" si="1"/>
        <v>4.584597022756233E-2</v>
      </c>
      <c r="E23" s="299">
        <f t="shared" si="6"/>
        <v>0.20771863979883601</v>
      </c>
      <c r="F23" s="277">
        <f t="shared" si="7"/>
        <v>1290633.6783795571</v>
      </c>
      <c r="G23" s="299">
        <f t="shared" si="2"/>
        <v>0</v>
      </c>
      <c r="H23" s="277">
        <f t="shared" si="8"/>
        <v>926568.73076093313</v>
      </c>
      <c r="I23" s="299">
        <f t="shared" si="9"/>
        <v>4.5845970227562427E-2</v>
      </c>
      <c r="J23" s="299">
        <f t="shared" ref="J23:J50" si="10">IF(A23="", 0,H23/C23)</f>
        <v>0.14912488311589953</v>
      </c>
      <c r="K23" s="119">
        <f t="shared" si="3"/>
        <v>0.81060279602995633</v>
      </c>
      <c r="L23" s="277">
        <f t="shared" si="4"/>
        <v>751079.20386874024</v>
      </c>
      <c r="N23" s="275"/>
      <c r="O23" s="275"/>
      <c r="P23" s="275"/>
      <c r="Q23" s="275"/>
      <c r="R23" s="275"/>
      <c r="S23" s="275"/>
      <c r="T23" s="275"/>
      <c r="U23" s="275"/>
    </row>
    <row r="24" spans="1:21">
      <c r="A24" s="302" t="str">
        <f t="shared" si="0"/>
        <v>I</v>
      </c>
      <c r="B24" s="117">
        <v>4</v>
      </c>
      <c r="C24" s="277">
        <f t="shared" si="5"/>
        <v>6498232.5749891587</v>
      </c>
      <c r="D24" s="299">
        <f t="shared" si="1"/>
        <v>4.584597022756233E-2</v>
      </c>
      <c r="E24" s="299">
        <f t="shared" si="6"/>
        <v>0.20771863979883601</v>
      </c>
      <c r="F24" s="277">
        <f t="shared" si="7"/>
        <v>1349804.0315732358</v>
      </c>
      <c r="G24" s="299">
        <f t="shared" si="2"/>
        <v>0</v>
      </c>
      <c r="H24" s="277">
        <f t="shared" si="8"/>
        <v>969048.17320518929</v>
      </c>
      <c r="I24" s="299">
        <f t="shared" si="9"/>
        <v>4.5845970227562649E-2</v>
      </c>
      <c r="J24" s="299">
        <f t="shared" si="10"/>
        <v>0.14912488311589955</v>
      </c>
      <c r="K24" s="119">
        <f t="shared" si="3"/>
        <v>0.75580680282513402</v>
      </c>
      <c r="L24" s="277">
        <f t="shared" si="4"/>
        <v>732413.20157375082</v>
      </c>
      <c r="N24" s="275"/>
      <c r="O24" s="275"/>
      <c r="P24" s="275"/>
      <c r="Q24" s="275"/>
      <c r="R24" s="275"/>
      <c r="S24" s="275"/>
      <c r="T24" s="275"/>
      <c r="U24" s="275"/>
    </row>
    <row r="25" spans="1:21">
      <c r="A25" s="302" t="str">
        <f t="shared" si="0"/>
        <v>I</v>
      </c>
      <c r="B25" s="117">
        <v>5</v>
      </c>
      <c r="C25" s="277">
        <f t="shared" si="5"/>
        <v>6796150.352153888</v>
      </c>
      <c r="D25" s="299">
        <f t="shared" si="1"/>
        <v>4.584597022756233E-2</v>
      </c>
      <c r="E25" s="299">
        <f t="shared" si="6"/>
        <v>0.20771863979883601</v>
      </c>
      <c r="F25" s="277">
        <f t="shared" si="7"/>
        <v>1411687.107017786</v>
      </c>
      <c r="G25" s="299">
        <f t="shared" si="2"/>
        <v>0</v>
      </c>
      <c r="H25" s="277">
        <f t="shared" si="8"/>
        <v>1013475.1269030281</v>
      </c>
      <c r="I25" s="299">
        <f t="shared" si="9"/>
        <v>4.5845970227562427E-2</v>
      </c>
      <c r="J25" s="299">
        <f t="shared" si="10"/>
        <v>0.14912488311589955</v>
      </c>
      <c r="K25" s="119">
        <f t="shared" si="3"/>
        <v>0.70471496766912267</v>
      </c>
      <c r="L25" s="277">
        <f t="shared" si="4"/>
        <v>714211.09128892748</v>
      </c>
      <c r="N25" s="275"/>
      <c r="O25" s="275"/>
      <c r="P25" s="275"/>
      <c r="Q25" s="275"/>
      <c r="R25" s="275"/>
      <c r="S25" s="275"/>
      <c r="T25" s="275"/>
      <c r="U25" s="275"/>
    </row>
    <row r="26" spans="1:21">
      <c r="A26" s="302" t="str">
        <f t="shared" si="0"/>
        <v>I</v>
      </c>
      <c r="B26" s="117">
        <v>6</v>
      </c>
      <c r="C26" s="277">
        <f t="shared" si="5"/>
        <v>7107726.4588607727</v>
      </c>
      <c r="D26" s="299">
        <f t="shared" si="1"/>
        <v>4.584597022756233E-2</v>
      </c>
      <c r="E26" s="299">
        <f t="shared" si="6"/>
        <v>0.20771863979883601</v>
      </c>
      <c r="F26" s="277">
        <f t="shared" si="7"/>
        <v>1476407.2720967571</v>
      </c>
      <c r="G26" s="299">
        <f t="shared" si="2"/>
        <v>0</v>
      </c>
      <c r="H26" s="277">
        <f t="shared" si="8"/>
        <v>1059938.8773973994</v>
      </c>
      <c r="I26" s="299">
        <f t="shared" si="9"/>
        <v>4.5845970227562427E-2</v>
      </c>
      <c r="J26" s="299">
        <f t="shared" si="10"/>
        <v>0.14912488311589955</v>
      </c>
      <c r="K26" s="119">
        <f t="shared" si="3"/>
        <v>0.65707689293158289</v>
      </c>
      <c r="L26" s="277">
        <f t="shared" si="4"/>
        <v>696461.34425767313</v>
      </c>
    </row>
    <row r="27" spans="1:21">
      <c r="A27" s="302" t="str">
        <f t="shared" si="0"/>
        <v>I</v>
      </c>
      <c r="B27" s="117">
        <v>7</v>
      </c>
      <c r="C27" s="277">
        <f t="shared" si="5"/>
        <v>7433587.0744793611</v>
      </c>
      <c r="D27" s="299">
        <f t="shared" si="1"/>
        <v>4.584597022756233E-2</v>
      </c>
      <c r="E27" s="299">
        <f t="shared" si="6"/>
        <v>0.20771863979883601</v>
      </c>
      <c r="F27" s="277">
        <f t="shared" si="7"/>
        <v>1544094.5959370616</v>
      </c>
      <c r="G27" s="299">
        <f t="shared" si="2"/>
        <v>0</v>
      </c>
      <c r="H27" s="277">
        <f t="shared" si="8"/>
        <v>1108532.8036135964</v>
      </c>
      <c r="I27" s="299">
        <f t="shared" si="9"/>
        <v>4.5845970227562205E-2</v>
      </c>
      <c r="J27" s="299">
        <f t="shared" si="10"/>
        <v>0.14912488311589955</v>
      </c>
      <c r="K27" s="119">
        <f t="shared" si="3"/>
        <v>0.61265910762851561</v>
      </c>
      <c r="L27" s="277">
        <f t="shared" si="4"/>
        <v>679152.71823884244</v>
      </c>
    </row>
    <row r="28" spans="1:21">
      <c r="A28" s="302" t="str">
        <f t="shared" si="0"/>
        <v>I</v>
      </c>
      <c r="B28" s="117">
        <v>8</v>
      </c>
      <c r="C28" s="277">
        <f t="shared" si="5"/>
        <v>7774387.0861799344</v>
      </c>
      <c r="D28" s="299">
        <f t="shared" si="1"/>
        <v>4.584597022756233E-2</v>
      </c>
      <c r="E28" s="299">
        <f t="shared" si="6"/>
        <v>0.20771863979883601</v>
      </c>
      <c r="F28" s="277">
        <f t="shared" si="7"/>
        <v>1614885.110810932</v>
      </c>
      <c r="G28" s="299">
        <f t="shared" si="2"/>
        <v>0</v>
      </c>
      <c r="H28" s="277">
        <f t="shared" si="8"/>
        <v>1159354.5655243418</v>
      </c>
      <c r="I28" s="299">
        <f t="shared" si="9"/>
        <v>4.5845970227562649E-2</v>
      </c>
      <c r="J28" s="299">
        <f t="shared" si="10"/>
        <v>0.14912488311589958</v>
      </c>
      <c r="K28" s="119">
        <f t="shared" si="3"/>
        <v>0.5712439231967511</v>
      </c>
      <c r="L28" s="277">
        <f t="shared" si="4"/>
        <v>662274.25038618979</v>
      </c>
    </row>
    <row r="29" spans="1:21">
      <c r="A29" s="302" t="str">
        <f t="shared" si="0"/>
        <v>I</v>
      </c>
      <c r="B29" s="117">
        <v>9</v>
      </c>
      <c r="C29" s="277">
        <f t="shared" si="5"/>
        <v>8130811.4050704855</v>
      </c>
      <c r="D29" s="299">
        <f t="shared" si="1"/>
        <v>4.584597022756233E-2</v>
      </c>
      <c r="E29" s="299">
        <f t="shared" si="6"/>
        <v>0.20771863979883601</v>
      </c>
      <c r="F29" s="277">
        <f t="shared" si="7"/>
        <v>1688921.0855221038</v>
      </c>
      <c r="G29" s="299">
        <f t="shared" si="2"/>
        <v>0</v>
      </c>
      <c r="H29" s="277">
        <f t="shared" si="8"/>
        <v>1212506.3004185592</v>
      </c>
      <c r="I29" s="299">
        <f t="shared" si="9"/>
        <v>4.5845970227562427E-2</v>
      </c>
      <c r="J29" s="299">
        <f t="shared" si="10"/>
        <v>0.14912488311589955</v>
      </c>
      <c r="K29" s="119">
        <f t="shared" si="3"/>
        <v>0.53262836661701729</v>
      </c>
      <c r="L29" s="277">
        <f t="shared" si="4"/>
        <v>645815.25030477962</v>
      </c>
    </row>
    <row r="30" spans="1:21">
      <c r="A30" s="302" t="str">
        <f t="shared" si="0"/>
        <v>I</v>
      </c>
      <c r="B30" s="117">
        <v>10</v>
      </c>
      <c r="C30" s="277">
        <f t="shared" si="5"/>
        <v>8503576.3426732719</v>
      </c>
      <c r="D30" s="299">
        <f t="shared" si="1"/>
        <v>4.584597022756233E-2</v>
      </c>
      <c r="E30" s="299">
        <f t="shared" si="6"/>
        <v>0.20771863979883601</v>
      </c>
      <c r="F30" s="277">
        <f t="shared" si="7"/>
        <v>1766351.3113256525</v>
      </c>
      <c r="G30" s="299">
        <f t="shared" si="2"/>
        <v>0</v>
      </c>
      <c r="H30" s="277">
        <f t="shared" si="8"/>
        <v>1268094.8281682802</v>
      </c>
      <c r="I30" s="299">
        <f t="shared" si="9"/>
        <v>4.5845970227562205E-2</v>
      </c>
      <c r="J30" s="299">
        <f t="shared" si="10"/>
        <v>0.14912488311589955</v>
      </c>
      <c r="K30" s="119">
        <f t="shared" si="3"/>
        <v>0.49662318565689262</v>
      </c>
      <c r="L30" s="277">
        <f t="shared" si="4"/>
        <v>629765.2932799611</v>
      </c>
    </row>
    <row r="31" spans="1:21">
      <c r="A31" s="302" t="str">
        <f t="shared" si="0"/>
        <v>I</v>
      </c>
      <c r="B31" s="117">
        <v>11</v>
      </c>
      <c r="C31" s="277">
        <f t="shared" si="5"/>
        <v>8893431.0505072754</v>
      </c>
      <c r="D31" s="299">
        <f t="shared" si="1"/>
        <v>4.584597022756233E-2</v>
      </c>
      <c r="E31" s="299">
        <f t="shared" si="6"/>
        <v>0.20771863979883601</v>
      </c>
      <c r="F31" s="277">
        <f t="shared" si="7"/>
        <v>1847331.4009561045</v>
      </c>
      <c r="G31" s="299">
        <f t="shared" si="2"/>
        <v>0</v>
      </c>
      <c r="H31" s="277">
        <f t="shared" si="8"/>
        <v>1326231.8659062095</v>
      </c>
      <c r="I31" s="299">
        <f t="shared" si="9"/>
        <v>4.5845970227562649E-2</v>
      </c>
      <c r="J31" s="299">
        <f t="shared" si="10"/>
        <v>0.14912488311589958</v>
      </c>
      <c r="K31" s="119">
        <f t="shared" si="3"/>
        <v>0.46305192135840806</v>
      </c>
      <c r="L31" s="277">
        <f t="shared" si="4"/>
        <v>614114.21367461688</v>
      </c>
    </row>
    <row r="32" spans="1:21">
      <c r="A32" s="302" t="str">
        <f t="shared" si="0"/>
        <v>I</v>
      </c>
      <c r="B32" s="117">
        <v>12</v>
      </c>
      <c r="C32" s="277">
        <f t="shared" si="5"/>
        <v>9301159.0256697107</v>
      </c>
      <c r="D32" s="299">
        <f t="shared" si="1"/>
        <v>4.584597022756233E-2</v>
      </c>
      <c r="E32" s="299">
        <f t="shared" si="6"/>
        <v>0.20771863979883601</v>
      </c>
      <c r="F32" s="277">
        <f t="shared" si="7"/>
        <v>1932024.1013647791</v>
      </c>
      <c r="G32" s="299">
        <f t="shared" si="2"/>
        <v>0</v>
      </c>
      <c r="H32" s="277">
        <f t="shared" si="8"/>
        <v>1387034.2525453898</v>
      </c>
      <c r="I32" s="299">
        <f t="shared" si="9"/>
        <v>4.5845970227562205E-2</v>
      </c>
      <c r="J32" s="299">
        <f t="shared" si="10"/>
        <v>0.14912488311589955</v>
      </c>
      <c r="K32" s="119">
        <f t="shared" si="3"/>
        <v>0.43175004322462285</v>
      </c>
      <c r="L32" s="277">
        <f t="shared" si="4"/>
        <v>598852.09849050455</v>
      </c>
    </row>
    <row r="33" spans="1:21">
      <c r="A33" s="302" t="str">
        <f t="shared" si="0"/>
        <v>I</v>
      </c>
      <c r="B33" s="117">
        <v>13</v>
      </c>
      <c r="C33" s="277">
        <f t="shared" si="5"/>
        <v>9727579.6854423881</v>
      </c>
      <c r="D33" s="299">
        <f t="shared" si="1"/>
        <v>4.584597022756233E-2</v>
      </c>
      <c r="E33" s="299">
        <f t="shared" si="6"/>
        <v>0.20771863979883601</v>
      </c>
      <c r="F33" s="277">
        <f t="shared" si="7"/>
        <v>2020599.6207948818</v>
      </c>
      <c r="G33" s="299">
        <f t="shared" si="2"/>
        <v>0</v>
      </c>
      <c r="H33" s="277">
        <f t="shared" si="8"/>
        <v>1450624.1835921949</v>
      </c>
      <c r="I33" s="299">
        <f t="shared" si="9"/>
        <v>4.5845970227562427E-2</v>
      </c>
      <c r="J33" s="299">
        <f t="shared" si="10"/>
        <v>0.14912488311589953</v>
      </c>
      <c r="K33" s="119">
        <f t="shared" si="3"/>
        <v>0.40256414286678116</v>
      </c>
      <c r="L33" s="277">
        <f t="shared" si="4"/>
        <v>583969.28108961612</v>
      </c>
      <c r="N33" s="275"/>
      <c r="O33" s="275"/>
      <c r="P33" s="275"/>
      <c r="Q33" s="275"/>
      <c r="R33" s="275"/>
      <c r="S33" s="275"/>
      <c r="T33" s="275"/>
      <c r="U33" s="275"/>
    </row>
    <row r="34" spans="1:21">
      <c r="A34" s="302" t="str">
        <f t="shared" si="0"/>
        <v>I</v>
      </c>
      <c r="B34" s="117">
        <v>14</v>
      </c>
      <c r="C34" s="277">
        <f t="shared" si="5"/>
        <v>10173550.01408742</v>
      </c>
      <c r="D34" s="299">
        <f t="shared" si="1"/>
        <v>4.584597022756233E-2</v>
      </c>
      <c r="E34" s="299">
        <f t="shared" si="6"/>
        <v>0.20771863979883601</v>
      </c>
      <c r="F34" s="277">
        <f t="shared" si="7"/>
        <v>2113235.9708516677</v>
      </c>
      <c r="G34" s="299">
        <f t="shared" si="2"/>
        <v>0</v>
      </c>
      <c r="H34" s="277">
        <f t="shared" si="8"/>
        <v>1517129.4567245445</v>
      </c>
      <c r="I34" s="299">
        <f t="shared" si="9"/>
        <v>4.5845970227562205E-2</v>
      </c>
      <c r="J34" s="299">
        <f t="shared" si="10"/>
        <v>0.14912488311589953</v>
      </c>
      <c r="K34" s="119">
        <f t="shared" si="3"/>
        <v>0.37535118216016894</v>
      </c>
      <c r="L34" s="277">
        <f t="shared" si="4"/>
        <v>569456.33507157268</v>
      </c>
      <c r="N34" s="275"/>
      <c r="O34" s="275"/>
      <c r="P34" s="275"/>
      <c r="Q34" s="275"/>
      <c r="R34" s="275"/>
      <c r="S34" s="275"/>
      <c r="T34" s="275"/>
      <c r="U34" s="275"/>
    </row>
    <row r="35" spans="1:21">
      <c r="A35" s="302" t="str">
        <f t="shared" si="0"/>
        <v>I</v>
      </c>
      <c r="B35" s="117">
        <v>15</v>
      </c>
      <c r="C35" s="277">
        <f t="shared" si="5"/>
        <v>10639966.285141889</v>
      </c>
      <c r="D35" s="299">
        <f t="shared" si="1"/>
        <v>4.584597022756233E-2</v>
      </c>
      <c r="E35" s="299">
        <f t="shared" si="6"/>
        <v>0.20771863979883601</v>
      </c>
      <c r="F35" s="277">
        <f t="shared" si="7"/>
        <v>2210119.3242551475</v>
      </c>
      <c r="G35" s="299">
        <f t="shared" si="2"/>
        <v>0</v>
      </c>
      <c r="H35" s="277">
        <f t="shared" si="8"/>
        <v>1586683.7286288964</v>
      </c>
      <c r="I35" s="299">
        <f t="shared" si="9"/>
        <v>4.5845970227562649E-2</v>
      </c>
      <c r="J35" s="299">
        <f t="shared" si="10"/>
        <v>0.14912488311589958</v>
      </c>
      <c r="K35" s="119">
        <f t="shared" si="3"/>
        <v>0.34997779222393377</v>
      </c>
      <c r="L35" s="277">
        <f t="shared" si="4"/>
        <v>555304.06830318039</v>
      </c>
      <c r="N35" s="275"/>
      <c r="O35" s="275"/>
      <c r="P35" s="275"/>
      <c r="Q35" s="275"/>
      <c r="R35" s="275"/>
      <c r="S35" s="275"/>
      <c r="T35" s="275"/>
      <c r="U35" s="275"/>
    </row>
    <row r="36" spans="1:21">
      <c r="A36" s="302" t="str">
        <f t="shared" si="0"/>
        <v>I</v>
      </c>
      <c r="B36" s="117">
        <v>16</v>
      </c>
      <c r="C36" s="277">
        <f t="shared" si="5"/>
        <v>11127765.862672772</v>
      </c>
      <c r="D36" s="299">
        <f t="shared" si="1"/>
        <v>4.584597022756233E-2</v>
      </c>
      <c r="E36" s="299">
        <f t="shared" si="6"/>
        <v>0.20771863979883601</v>
      </c>
      <c r="F36" s="277">
        <f t="shared" si="7"/>
        <v>2311444.3889943091</v>
      </c>
      <c r="G36" s="299">
        <f t="shared" si="2"/>
        <v>0</v>
      </c>
      <c r="H36" s="277">
        <f t="shared" si="8"/>
        <v>1659426.7836121742</v>
      </c>
      <c r="I36" s="299">
        <f t="shared" si="9"/>
        <v>4.5845970227562205E-2</v>
      </c>
      <c r="J36" s="299">
        <f t="shared" si="10"/>
        <v>0.14912488311589955</v>
      </c>
      <c r="K36" s="119">
        <f t="shared" si="3"/>
        <v>0.32631961978921564</v>
      </c>
      <c r="L36" s="277">
        <f t="shared" si="4"/>
        <v>541503.51709636569</v>
      </c>
    </row>
    <row r="37" spans="1:21">
      <c r="A37" s="302" t="str">
        <f t="shared" si="0"/>
        <v>I</v>
      </c>
      <c r="B37" s="117">
        <v>17</v>
      </c>
      <c r="C37" s="277">
        <f t="shared" si="5"/>
        <v>11637929.085112154</v>
      </c>
      <c r="D37" s="299">
        <f t="shared" si="1"/>
        <v>4.584597022756233E-2</v>
      </c>
      <c r="E37" s="299">
        <f t="shared" si="6"/>
        <v>0.20771863979883601</v>
      </c>
      <c r="F37" s="277">
        <f t="shared" si="7"/>
        <v>2417414.7996348087</v>
      </c>
      <c r="G37" s="299">
        <f t="shared" si="2"/>
        <v>0</v>
      </c>
      <c r="H37" s="277">
        <f t="shared" si="8"/>
        <v>1735504.8145284778</v>
      </c>
      <c r="I37" s="299">
        <f t="shared" si="9"/>
        <v>4.5845970227562649E-2</v>
      </c>
      <c r="J37" s="299">
        <f t="shared" si="10"/>
        <v>0.14912488311589955</v>
      </c>
      <c r="K37" s="119">
        <f t="shared" si="3"/>
        <v>0.30426071775218239</v>
      </c>
      <c r="L37" s="277">
        <f t="shared" si="4"/>
        <v>528045.94053080282</v>
      </c>
    </row>
    <row r="38" spans="1:21">
      <c r="A38" s="302" t="str">
        <f t="shared" si="0"/>
        <v>I</v>
      </c>
      <c r="B38" s="117">
        <v>18</v>
      </c>
      <c r="C38" s="277">
        <f t="shared" si="5"/>
        <v>12171481.235458689</v>
      </c>
      <c r="D38" s="299">
        <f t="shared" si="1"/>
        <v>4.584597022756233E-2</v>
      </c>
      <c r="E38" s="299">
        <f t="shared" si="6"/>
        <v>0.20771863979883601</v>
      </c>
      <c r="F38" s="277">
        <f t="shared" si="7"/>
        <v>2528243.5265665348</v>
      </c>
      <c r="G38" s="299">
        <f t="shared" si="2"/>
        <v>0</v>
      </c>
      <c r="H38" s="277">
        <f t="shared" si="8"/>
        <v>1815070.7165851416</v>
      </c>
      <c r="I38" s="299">
        <f t="shared" si="9"/>
        <v>4.5845970227562427E-2</v>
      </c>
      <c r="J38" s="299">
        <f t="shared" si="10"/>
        <v>0.14912488311589955</v>
      </c>
      <c r="K38" s="119">
        <f t="shared" si="3"/>
        <v>0.28369297692511181</v>
      </c>
      <c r="L38" s="277">
        <f t="shared" si="4"/>
        <v>514922.81491763471</v>
      </c>
    </row>
    <row r="39" spans="1:21">
      <c r="A39" s="302" t="str">
        <f t="shared" si="0"/>
        <v>I</v>
      </c>
      <c r="B39" s="117">
        <v>19</v>
      </c>
      <c r="C39" s="277">
        <f t="shared" si="5"/>
        <v>12729494.601804862</v>
      </c>
      <c r="D39" s="299">
        <f t="shared" si="1"/>
        <v>4.584597022756233E-2</v>
      </c>
      <c r="E39" s="299">
        <f t="shared" si="6"/>
        <v>0.20771863979883601</v>
      </c>
      <c r="F39" s="277">
        <f t="shared" si="7"/>
        <v>2644153.3040135317</v>
      </c>
      <c r="G39" s="299">
        <f t="shared" si="2"/>
        <v>0</v>
      </c>
      <c r="H39" s="277">
        <f t="shared" si="8"/>
        <v>1898284.3946186246</v>
      </c>
      <c r="I39" s="299">
        <f t="shared" si="9"/>
        <v>4.5845970227562427E-2</v>
      </c>
      <c r="J39" s="299">
        <f t="shared" si="10"/>
        <v>0.14912488311589958</v>
      </c>
      <c r="K39" s="119">
        <f t="shared" si="3"/>
        <v>0.26451559620057047</v>
      </c>
      <c r="L39" s="277">
        <f t="shared" si="4"/>
        <v>502125.82840078446</v>
      </c>
    </row>
    <row r="40" spans="1:21">
      <c r="A40" s="302" t="str">
        <f t="shared" si="0"/>
        <v>I</v>
      </c>
      <c r="B40" s="117">
        <v>20</v>
      </c>
      <c r="C40" s="277">
        <f t="shared" si="5"/>
        <v>13313090.632331124</v>
      </c>
      <c r="D40" s="299">
        <f t="shared" si="1"/>
        <v>4.584597022756233E-2</v>
      </c>
      <c r="E40" s="299">
        <f t="shared" si="6"/>
        <v>0.20771863979883601</v>
      </c>
      <c r="F40" s="277">
        <f t="shared" si="7"/>
        <v>2765377.0776664466</v>
      </c>
      <c r="G40" s="299">
        <f t="shared" si="2"/>
        <v>0</v>
      </c>
      <c r="H40" s="277">
        <f t="shared" si="8"/>
        <v>1985313.084457756</v>
      </c>
      <c r="I40" s="299">
        <f t="shared" si="9"/>
        <v>4.5845970227562205E-2</v>
      </c>
      <c r="J40" s="299">
        <f t="shared" si="10"/>
        <v>0.14912488311589955</v>
      </c>
      <c r="K40" s="119">
        <f t="shared" si="3"/>
        <v>0.2466345885320004</v>
      </c>
      <c r="L40" s="277">
        <f t="shared" si="4"/>
        <v>489646.87569243525</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13579352.444977745</v>
      </c>
      <c r="D51" s="301">
        <f>Terminal_Growth</f>
        <v>0.02</v>
      </c>
      <c r="E51" s="301">
        <f>F17</f>
        <v>0.20771863979883598</v>
      </c>
      <c r="F51" s="277">
        <f>C51*E51</f>
        <v>2820684.6192197748</v>
      </c>
      <c r="G51" s="299">
        <f>F18</f>
        <v>0</v>
      </c>
      <c r="H51" s="277">
        <f>(F51*(1-$I$10)+C51*(G51-$I$9))/Equity_Cost</f>
        <v>27931301.326164287</v>
      </c>
      <c r="I51" s="415">
        <f>(F51*(1-$I$10)+C51*(G51-$I$9))/VLOOKUP(C15,B21:H50,COLUMN(H20)-1,FALSE)-1</f>
        <v>1.9999999999999796E-2</v>
      </c>
      <c r="J51" s="454"/>
      <c r="K51" s="119">
        <f>1/(1+Equity_Cost)^C15</f>
        <v>0.2466345885320004</v>
      </c>
      <c r="L51" s="277">
        <f t="shared" si="4"/>
        <v>6888825.0097418465</v>
      </c>
    </row>
    <row r="52" spans="1:21" ht="13.15">
      <c r="G52" s="111"/>
      <c r="H52" s="111"/>
      <c r="I52" s="111"/>
      <c r="J52" s="468" t="s">
        <v>420</v>
      </c>
      <c r="K52" s="468"/>
      <c r="L52" s="317">
        <f>SUM(L21:L51)</f>
        <v>19458009.733047292</v>
      </c>
    </row>
    <row r="53" spans="1:21">
      <c r="C53" s="111"/>
    </row>
    <row r="54" spans="1:21" ht="13.15">
      <c r="B54" s="115" t="s">
        <v>108</v>
      </c>
      <c r="C54" s="128"/>
      <c r="D54" s="128"/>
      <c r="E54" s="113"/>
      <c r="F54" s="113"/>
      <c r="G54" s="113"/>
      <c r="H54" s="113"/>
      <c r="I54" s="113"/>
      <c r="J54" s="113"/>
      <c r="K54" s="113"/>
      <c r="L54" s="113"/>
    </row>
    <row r="55" spans="1:21" ht="13.15">
      <c r="A55" s="125">
        <f>L52</f>
        <v>19458009.733047292</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45.300749451004812</v>
      </c>
      <c r="C73" s="119">
        <f>C11</f>
        <v>45.300749451004812</v>
      </c>
      <c r="D73" s="119">
        <f>C11</f>
        <v>45.300749451004812</v>
      </c>
      <c r="E73" s="119">
        <f>C11</f>
        <v>45.300749451004812</v>
      </c>
      <c r="F73" s="119">
        <f>C11</f>
        <v>45.300749451004812</v>
      </c>
      <c r="G73" s="296"/>
      <c r="H73" s="296"/>
      <c r="I73" s="296"/>
      <c r="J73" s="296"/>
      <c r="K73" s="296"/>
      <c r="L73" s="296"/>
    </row>
    <row r="74" spans="1:21" ht="13.15">
      <c r="A74" s="131">
        <v>1</v>
      </c>
      <c r="B74" s="119">
        <f t="shared" ref="B74:F87" si="11">(B56+FV_adjustments)/Common_Shares*scaling_factor*Exchange_Rate</f>
        <v>29.961885499435812</v>
      </c>
      <c r="C74" s="119">
        <f t="shared" si="11"/>
        <v>30.763319985026005</v>
      </c>
      <c r="D74" s="119">
        <f t="shared" si="11"/>
        <v>31.564754470616212</v>
      </c>
      <c r="E74" s="119">
        <f t="shared" si="11"/>
        <v>32.366188956206408</v>
      </c>
      <c r="F74" s="119">
        <f t="shared" si="11"/>
        <v>33.167623441796614</v>
      </c>
      <c r="G74" s="296"/>
      <c r="H74" s="296"/>
      <c r="I74" s="296"/>
      <c r="J74" s="296"/>
      <c r="K74" s="296"/>
      <c r="L74" s="296"/>
    </row>
    <row r="75" spans="1:21" ht="13.15">
      <c r="A75" s="131">
        <v>2</v>
      </c>
      <c r="B75" s="119">
        <f t="shared" si="11"/>
        <v>29.912296278412803</v>
      </c>
      <c r="C75" s="119">
        <f t="shared" si="11"/>
        <v>31.474942406437556</v>
      </c>
      <c r="D75" s="119">
        <f t="shared" si="11"/>
        <v>33.067478864927239</v>
      </c>
      <c r="E75" s="119">
        <f t="shared" si="11"/>
        <v>34.689905653881794</v>
      </c>
      <c r="F75" s="119">
        <f t="shared" si="11"/>
        <v>36.34222277330128</v>
      </c>
      <c r="G75" s="296"/>
      <c r="H75" s="296"/>
      <c r="I75" s="296"/>
      <c r="J75" s="296"/>
      <c r="K75" s="296"/>
      <c r="L75" s="296"/>
    </row>
    <row r="76" spans="1:21" ht="13.15">
      <c r="A76" s="131">
        <v>3</v>
      </c>
      <c r="B76" s="119">
        <f t="shared" si="11"/>
        <v>29.866059242493922</v>
      </c>
      <c r="C76" s="119">
        <f t="shared" si="11"/>
        <v>32.151730163863931</v>
      </c>
      <c r="D76" s="119">
        <f t="shared" si="11"/>
        <v>34.524666156380334</v>
      </c>
      <c r="E76" s="119">
        <f t="shared" si="11"/>
        <v>36.986539406362816</v>
      </c>
      <c r="F76" s="119">
        <f t="shared" si="11"/>
        <v>39.539022100131113</v>
      </c>
      <c r="G76" s="296"/>
      <c r="H76" s="296"/>
      <c r="I76" s="296"/>
      <c r="J76" s="296"/>
      <c r="K76" s="296"/>
      <c r="L76" s="296"/>
    </row>
    <row r="77" spans="1:21" ht="13.15">
      <c r="A77" s="131">
        <v>4</v>
      </c>
      <c r="B77" s="119">
        <f t="shared" si="11"/>
        <v>29.822947787091692</v>
      </c>
      <c r="C77" s="119">
        <f t="shared" si="11"/>
        <v>32.795388450647046</v>
      </c>
      <c r="D77" s="119">
        <f t="shared" si="11"/>
        <v>35.93769625718334</v>
      </c>
      <c r="E77" s="119">
        <f t="shared" si="11"/>
        <v>39.256405865691377</v>
      </c>
      <c r="F77" s="119">
        <f t="shared" si="11"/>
        <v>42.758176667008719</v>
      </c>
      <c r="G77" s="296"/>
      <c r="H77" s="296"/>
      <c r="I77" s="296"/>
      <c r="J77" s="296"/>
      <c r="K77" s="296"/>
      <c r="L77" s="296"/>
    </row>
    <row r="78" spans="1:21" ht="13.15">
      <c r="A78" s="131">
        <v>5</v>
      </c>
      <c r="B78" s="119">
        <f t="shared" si="11"/>
        <v>29.782750625877494</v>
      </c>
      <c r="C78" s="119">
        <f t="shared" si="11"/>
        <v>33.407538989126103</v>
      </c>
      <c r="D78" s="119">
        <f t="shared" si="11"/>
        <v>37.307907264022603</v>
      </c>
      <c r="E78" s="119">
        <f t="shared" si="11"/>
        <v>41.499817004981139</v>
      </c>
      <c r="F78" s="119">
        <f t="shared" si="11"/>
        <v>45.999842804284079</v>
      </c>
      <c r="G78" s="296"/>
      <c r="H78" s="296"/>
      <c r="I78" s="296"/>
      <c r="J78" s="296"/>
      <c r="K78" s="296"/>
      <c r="L78" s="296"/>
    </row>
    <row r="79" spans="1:21" ht="13.15">
      <c r="A79" s="131">
        <v>6</v>
      </c>
      <c r="B79" s="119">
        <f t="shared" si="11"/>
        <v>29.74527075528151</v>
      </c>
      <c r="C79" s="119">
        <f t="shared" si="11"/>
        <v>33.989724116630647</v>
      </c>
      <c r="D79" s="119">
        <f t="shared" si="11"/>
        <v>38.636596725200107</v>
      </c>
      <c r="E79" s="119">
        <f t="shared" si="11"/>
        <v>43.717081161295503</v>
      </c>
      <c r="F79" s="119">
        <f t="shared" si="11"/>
        <v>49.264177935526391</v>
      </c>
      <c r="G79" s="296"/>
      <c r="H79" s="296"/>
      <c r="I79" s="296"/>
      <c r="J79" s="296"/>
      <c r="K79" s="296"/>
      <c r="L79" s="296"/>
    </row>
    <row r="80" spans="1:21" ht="13.15">
      <c r="A80" s="131">
        <f t="shared" ref="A80" si="12">A62</f>
        <v>7</v>
      </c>
      <c r="B80" s="119">
        <f t="shared" si="11"/>
        <v>29.710324488991546</v>
      </c>
      <c r="C80" s="119">
        <f t="shared" si="11"/>
        <v>34.543410671460158</v>
      </c>
      <c r="D80" s="119">
        <f t="shared" si="11"/>
        <v>39.925022869372221</v>
      </c>
      <c r="E80" s="119">
        <f t="shared" si="11"/>
        <v>45.908503078025774</v>
      </c>
      <c r="F80" s="119">
        <f t="shared" si="11"/>
        <v>52.551340585169022</v>
      </c>
      <c r="G80" s="296"/>
      <c r="H80" s="296"/>
      <c r="I80" s="296"/>
      <c r="J80" s="296"/>
      <c r="K80" s="296"/>
      <c r="L80" s="296"/>
    </row>
    <row r="81" spans="1:12" ht="13.15">
      <c r="A81" s="131">
        <v>8</v>
      </c>
      <c r="B81" s="119">
        <f t="shared" si="11"/>
        <v>29.677740557718838</v>
      </c>
      <c r="C81" s="119">
        <f t="shared" si="11"/>
        <v>35.069993688640665</v>
      </c>
      <c r="D81" s="119">
        <f t="shared" si="11"/>
        <v>41.174405797054263</v>
      </c>
      <c r="E81" s="119">
        <f t="shared" si="11"/>
        <v>48.074383946775527</v>
      </c>
      <c r="F81" s="119">
        <f t="shared" si="11"/>
        <v>55.86149038620772</v>
      </c>
      <c r="G81" s="296"/>
      <c r="H81" s="296"/>
      <c r="I81" s="296"/>
      <c r="J81" s="296"/>
      <c r="K81" s="296"/>
      <c r="L81" s="296"/>
    </row>
    <row r="82" spans="1:12" ht="13.15">
      <c r="A82" s="131">
        <f t="shared" ref="A82" si="13">A64</f>
        <v>9</v>
      </c>
      <c r="B82" s="119">
        <f t="shared" si="11"/>
        <v>29.647359269818892</v>
      </c>
      <c r="C82" s="119">
        <f t="shared" si="11"/>
        <v>35.570799914770383</v>
      </c>
      <c r="D82" s="119">
        <f t="shared" si="11"/>
        <v>42.385928636018662</v>
      </c>
      <c r="E82" s="119">
        <f t="shared" si="11"/>
        <v>50.215021448756623</v>
      </c>
      <c r="F82" s="119">
        <f t="shared" si="11"/>
        <v>59.194788087952986</v>
      </c>
      <c r="G82" s="296"/>
      <c r="H82" s="296"/>
      <c r="I82" s="296"/>
      <c r="J82" s="296"/>
      <c r="K82" s="296"/>
      <c r="L82" s="296"/>
    </row>
    <row r="83" spans="1:12" ht="13.15">
      <c r="A83" s="131">
        <f t="shared" ref="A83:A87" si="14">A65</f>
        <v>10</v>
      </c>
      <c r="B83" s="119">
        <f t="shared" si="11"/>
        <v>29.619031728653439</v>
      </c>
      <c r="C83" s="119">
        <f t="shared" si="11"/>
        <v>36.047091150809834</v>
      </c>
      <c r="D83" s="119">
        <f t="shared" si="11"/>
        <v>43.560738661681093</v>
      </c>
      <c r="E83" s="119">
        <f t="shared" si="11"/>
        <v>52.330709795702965</v>
      </c>
      <c r="F83" s="119">
        <f t="shared" si="11"/>
        <v>62.551395563836358</v>
      </c>
      <c r="G83" s="296"/>
      <c r="H83" s="296"/>
      <c r="I83" s="296"/>
      <c r="J83" s="296"/>
      <c r="K83" s="296"/>
      <c r="L83" s="296"/>
    </row>
    <row r="84" spans="1:12" ht="13.15">
      <c r="A84" s="131">
        <f t="shared" si="14"/>
        <v>15</v>
      </c>
      <c r="B84" s="119">
        <f t="shared" si="11"/>
        <v>29.503656571289365</v>
      </c>
      <c r="C84" s="119">
        <f t="shared" si="11"/>
        <v>38.100827090996319</v>
      </c>
      <c r="D84" s="119">
        <f t="shared" si="11"/>
        <v>48.921875726030919</v>
      </c>
      <c r="E84" s="119">
        <f t="shared" si="11"/>
        <v>62.544973807786768</v>
      </c>
      <c r="F84" s="119">
        <f t="shared" si="11"/>
        <v>79.689824809016756</v>
      </c>
      <c r="G84" s="296"/>
      <c r="H84" s="296"/>
      <c r="I84" s="296"/>
      <c r="J84" s="296"/>
      <c r="K84" s="296"/>
      <c r="L84" s="296"/>
    </row>
    <row r="85" spans="1:12" ht="13.15">
      <c r="A85" s="132">
        <f t="shared" si="14"/>
        <v>20</v>
      </c>
      <c r="B85" s="119">
        <f t="shared" si="11"/>
        <v>29.422349970997722</v>
      </c>
      <c r="C85" s="119">
        <f t="shared" si="11"/>
        <v>39.698761533528106</v>
      </c>
      <c r="D85" s="119">
        <f t="shared" si="11"/>
        <v>53.518479855403179</v>
      </c>
      <c r="E85" s="119">
        <f t="shared" si="11"/>
        <v>72.177715200806986</v>
      </c>
      <c r="F85" s="119">
        <f t="shared" si="11"/>
        <v>97.435939705852647</v>
      </c>
      <c r="G85" s="296"/>
      <c r="H85" s="296"/>
      <c r="I85" s="296"/>
      <c r="J85" s="296"/>
      <c r="K85" s="296"/>
      <c r="L85" s="296"/>
    </row>
    <row r="86" spans="1:12" ht="13.15">
      <c r="A86" s="132">
        <f t="shared" si="14"/>
        <v>25</v>
      </c>
      <c r="B86" s="119">
        <f t="shared" si="11"/>
        <v>29.365051992801906</v>
      </c>
      <c r="C86" s="119">
        <f t="shared" si="11"/>
        <v>40.942054029250571</v>
      </c>
      <c r="D86" s="119">
        <f t="shared" si="11"/>
        <v>57.459578407548555</v>
      </c>
      <c r="E86" s="119">
        <f t="shared" si="11"/>
        <v>81.262041456230961</v>
      </c>
      <c r="F86" s="119">
        <f t="shared" si="11"/>
        <v>115.81128726112883</v>
      </c>
      <c r="G86" s="296"/>
      <c r="H86" s="296"/>
      <c r="I86" s="296"/>
      <c r="J86" s="296"/>
      <c r="K86" s="296"/>
      <c r="L86" s="296"/>
    </row>
    <row r="87" spans="1:12" ht="13.15">
      <c r="A87" s="132">
        <f t="shared" si="14"/>
        <v>30</v>
      </c>
      <c r="B87" s="119">
        <f t="shared" si="11"/>
        <v>29.324673249950141</v>
      </c>
      <c r="C87" s="119">
        <f t="shared" si="11"/>
        <v>41.909413007676918</v>
      </c>
      <c r="D87" s="119">
        <f t="shared" si="11"/>
        <v>60.838650731499932</v>
      </c>
      <c r="E87" s="119">
        <f t="shared" si="11"/>
        <v>89.829175166971069</v>
      </c>
      <c r="F87" s="119">
        <f t="shared" si="11"/>
        <v>134.83817848436763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97.435939705852647</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72.177715200806986</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53.518479855403179</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39.698761533528106</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29.422349970997722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5" zoomScaleNormal="100" workbookViewId="0">
      <selection activeCell="D28" sqref="D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EUR</v>
      </c>
      <c r="D6" s="469"/>
      <c r="E6" s="469"/>
      <c r="F6" s="469"/>
      <c r="G6" s="469"/>
    </row>
    <row r="7" spans="2:7" ht="12.75" customHeight="1">
      <c r="B7" s="97" t="s">
        <v>232</v>
      </c>
      <c r="C7" s="447">
        <f>Normalized_FCF!G8</f>
        <v>1279550</v>
      </c>
      <c r="D7" s="469"/>
      <c r="E7" s="469"/>
      <c r="F7" s="469"/>
      <c r="G7" s="469"/>
    </row>
    <row r="8" spans="2:7">
      <c r="B8" s="97" t="s">
        <v>63</v>
      </c>
      <c r="C8" s="447">
        <f>Normalized_FCF!G19</f>
        <v>838907</v>
      </c>
      <c r="D8" s="469"/>
      <c r="E8" s="469"/>
      <c r="F8" s="469"/>
      <c r="G8" s="469"/>
    </row>
    <row r="9" spans="2:7">
      <c r="B9" s="97" t="s">
        <v>54</v>
      </c>
      <c r="C9" s="447">
        <f>Normalized_FCF!C19</f>
        <v>809980.30276234611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20</v>
      </c>
      <c r="E22" s="326">
        <f>DCF!E91</f>
        <v>72.177715200806986</v>
      </c>
      <c r="F22" s="328">
        <f>1-F23-F24</f>
        <v>0.19999999999999996</v>
      </c>
      <c r="G22" s="328">
        <f>F22*(1-F$29-F$30)</f>
        <v>0.15999999999999995</v>
      </c>
    </row>
    <row r="23" spans="2:7">
      <c r="B23" s="302" t="s">
        <v>437</v>
      </c>
      <c r="C23" s="324">
        <v>0.04</v>
      </c>
      <c r="D23" s="325">
        <f>C18</f>
        <v>20</v>
      </c>
      <c r="E23" s="326">
        <f>DCF!E92</f>
        <v>53.518479855403179</v>
      </c>
      <c r="F23" s="327">
        <v>0.55000000000000004</v>
      </c>
      <c r="G23" s="328">
        <f t="shared" ref="G23:G24" si="0">F23*(1-F$29-F$30)</f>
        <v>0.44</v>
      </c>
    </row>
    <row r="24" spans="2:7">
      <c r="B24" s="302" t="s">
        <v>446</v>
      </c>
      <c r="C24" s="324">
        <v>0.02</v>
      </c>
      <c r="D24" s="325">
        <f>C18</f>
        <v>20</v>
      </c>
      <c r="E24" s="326">
        <f>DCF!E93</f>
        <v>39.698761533528106</v>
      </c>
      <c r="F24" s="327">
        <v>0.25</v>
      </c>
      <c r="G24" s="328">
        <f t="shared" si="0"/>
        <v>0.19999999999999998</v>
      </c>
    </row>
    <row r="25" spans="2:7">
      <c r="B25" s="141" t="s">
        <v>451</v>
      </c>
      <c r="C25" s="441">
        <f>E23*F23+E24*F24+E22*F22</f>
        <v>53.795397344015171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20</v>
      </c>
      <c r="E29" s="326">
        <f>DCF!E90</f>
        <v>97.435939705852647</v>
      </c>
      <c r="F29" s="327">
        <v>0.15</v>
      </c>
      <c r="G29" s="328">
        <f>F29</f>
        <v>0.15</v>
      </c>
    </row>
    <row r="30" spans="2:7">
      <c r="B30" s="315" t="s">
        <v>447</v>
      </c>
      <c r="C30" s="324">
        <v>0</v>
      </c>
      <c r="D30" s="325">
        <f>C18</f>
        <v>20</v>
      </c>
      <c r="E30" s="326">
        <f>DCF!E94</f>
        <v>29.422349970997722</v>
      </c>
      <c r="F30" s="327">
        <v>0.05</v>
      </c>
      <c r="G30" s="328">
        <f>F30</f>
        <v>0.05</v>
      </c>
    </row>
    <row r="31" spans="2:7">
      <c r="E31" s="329"/>
      <c r="F31" s="329"/>
    </row>
    <row r="32" spans="2:7" ht="13.15">
      <c r="B32" s="145" t="s">
        <v>456</v>
      </c>
    </row>
    <row r="33" spans="2:7">
      <c r="B33" s="97" t="s">
        <v>458</v>
      </c>
      <c r="C33" s="155">
        <f>Normalized_FCF!C88*(1-dividend_tax_rate)</f>
        <v>1.431802</v>
      </c>
      <c r="D33" t="str">
        <f>Market_currency</f>
        <v>HKD</v>
      </c>
      <c r="E33" s="97" t="s">
        <v>455</v>
      </c>
      <c r="F33" s="219">
        <f>Holding_Period</f>
        <v>3</v>
      </c>
    </row>
    <row r="34" spans="2:7">
      <c r="B34" s="97" t="s">
        <v>233</v>
      </c>
      <c r="C34" s="146">
        <f>Market_Price</f>
        <v>36.5</v>
      </c>
      <c r="D34" t="str">
        <f>Market_currency</f>
        <v>HKD</v>
      </c>
      <c r="E34" s="97" t="s">
        <v>454</v>
      </c>
      <c r="F34" s="330">
        <f>RATE(Holding_Period,$C$33,-C34,$C$36)</f>
        <v>0.20820496325299157</v>
      </c>
    </row>
    <row r="35" spans="2:7">
      <c r="B35" s="97" t="s">
        <v>434</v>
      </c>
      <c r="C35" s="320">
        <f>DCF!C11</f>
        <v>45.300749451004812</v>
      </c>
      <c r="D35" s="97" t="str">
        <f>Market_currency</f>
        <v>HKD</v>
      </c>
      <c r="E35" s="97" t="s">
        <v>454</v>
      </c>
      <c r="F35" s="330">
        <f>RATE(Holding_Period,$C$33,-C35,$C$36)</f>
        <v>0.12186618638380604</v>
      </c>
    </row>
    <row r="36" spans="2:7">
      <c r="B36" s="97" t="s">
        <v>435</v>
      </c>
      <c r="C36" s="321">
        <f>E22*G22+E23*G23+E24*G24+E30*G30+E29*G29</f>
        <v>59.122826329639921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551</v>
      </c>
      <c r="C40" s="126">
        <f>Normalized_FCF!E116</f>
        <v>0.20771863979883598</v>
      </c>
      <c r="E40" s="97" t="s">
        <v>401</v>
      </c>
    </row>
    <row r="41" spans="2:7">
      <c r="B41" s="97" t="s">
        <v>400</v>
      </c>
      <c r="C41" s="455">
        <f>DCF!C16</f>
        <v>4.584597022756233E-2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4.584597022756233E-2</v>
      </c>
      <c r="D46" s="138"/>
      <c r="E46" s="221" t="s">
        <v>252</v>
      </c>
    </row>
    <row r="47" spans="2:7">
      <c r="B47" s="97" t="s">
        <v>96</v>
      </c>
      <c r="C47" s="146">
        <f>DCF!I18</f>
        <v>58.403613392233986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-0.17099721727961331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1.431802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2.6003140555302693</v>
      </c>
      <c r="D62" s="119">
        <f>C36/(1+F62)^Holding_Period</f>
        <v>26.910708388547977</v>
      </c>
      <c r="E62" s="332">
        <f>C62+D62</f>
        <v>29.511022444078247</v>
      </c>
      <c r="F62" s="301">
        <f>Thesis!E22</f>
        <v>0.3</v>
      </c>
      <c r="G62" s="440">
        <f>(1-E62/C36)</f>
        <v>0.50085230568073258</v>
      </c>
    </row>
    <row r="63" spans="2:7" ht="13.15">
      <c r="B63" s="302" t="s">
        <v>313</v>
      </c>
      <c r="C63" s="119">
        <f>PV(F63, Holding_Period, -C58, 0)</f>
        <v>3.0160643981481483</v>
      </c>
      <c r="D63" s="119">
        <f>C36/(1+F63)^Holding_Period</f>
        <v>34.21459857039347</v>
      </c>
      <c r="E63" s="332">
        <f>C63+D63</f>
        <v>37.230662968541615</v>
      </c>
      <c r="F63" s="301">
        <f>Thesis!E23</f>
        <v>0.2</v>
      </c>
      <c r="G63" s="440">
        <f>(1-E63/C36)</f>
        <v>0.37028276082469946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3.4543699809252097</v>
      </c>
      <c r="D66" s="119">
        <f>C36/(1+F66)^Holding_Period</f>
        <v>42.376900236178628</v>
      </c>
      <c r="E66" s="332">
        <f>C66+D66</f>
        <v>45.831270217103835</v>
      </c>
      <c r="F66" s="301">
        <f>Thesis!E24</f>
        <v>0.1174</v>
      </c>
      <c r="G66" s="440">
        <f>(1-E66/C36)</f>
        <v>0.22481259671905529</v>
      </c>
    </row>
    <row r="67" spans="2:7" ht="13.15">
      <c r="B67" s="302" t="s">
        <v>314</v>
      </c>
      <c r="C67" s="119">
        <f>PV(F67, Holding_Period, -C58, 0)</f>
        <v>3.7404040750167789</v>
      </c>
      <c r="D67" s="119">
        <f>C36/(1+F67)^Holding_Period</f>
        <v>47.925128331999645</v>
      </c>
      <c r="E67" s="332">
        <f>C67+D67</f>
        <v>51.665532407016421</v>
      </c>
      <c r="F67" s="301">
        <f>Thesis!E25</f>
        <v>7.2499999999999995E-2</v>
      </c>
      <c r="G67" s="440">
        <f>(1-E67/C36)</f>
        <v>0.12613222989451289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46065</v>
      </c>
    </row>
    <row r="4" spans="1:10">
      <c r="B4" s="422" t="s">
        <v>534</v>
      </c>
      <c r="C4" s="423" t="str">
        <f>Thesis!C4</f>
        <v>Prada S.p.A.</v>
      </c>
      <c r="D4" s="349"/>
      <c r="E4" s="434" t="s">
        <v>540</v>
      </c>
      <c r="F4" s="437" t="str">
        <f>Thesis!F4</f>
        <v>INT</v>
      </c>
    </row>
    <row r="5" spans="1:10">
      <c r="B5" s="343" t="s">
        <v>364</v>
      </c>
      <c r="C5" s="355" t="str">
        <f>Thesis!C5</f>
        <v>1913.HK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36.5</v>
      </c>
    </row>
    <row r="9" spans="1:10">
      <c r="B9" s="351" t="s">
        <v>361</v>
      </c>
      <c r="C9" s="353">
        <f>Common_Shares</f>
        <v>2558824000</v>
      </c>
    </row>
    <row r="10" spans="1:10">
      <c r="B10" s="351" t="s">
        <v>367</v>
      </c>
      <c r="C10" s="357">
        <f>投资主题!C8*Common_Shares/1000000</f>
        <v>93397.076000000001</v>
      </c>
      <c r="D10" s="343" t="s">
        <v>529</v>
      </c>
      <c r="E10" s="360">
        <f>Scenarios!F34</f>
        <v>0.20820496325299157</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EUR/HKD</v>
      </c>
    </row>
    <row r="16" spans="1:10">
      <c r="B16" s="343" t="s">
        <v>338</v>
      </c>
      <c r="C16" s="358" t="str">
        <f>Thesis!C16</f>
        <v>N</v>
      </c>
      <c r="D16" s="351" t="s">
        <v>369</v>
      </c>
      <c r="E16" s="425">
        <f>Exchange_Rate</f>
        <v>9.0098559999999992</v>
      </c>
    </row>
    <row r="17" spans="1:6">
      <c r="B17" s="343" t="s">
        <v>535</v>
      </c>
      <c r="C17" s="424">
        <f>Terminal_Growth</f>
        <v>0.02</v>
      </c>
      <c r="D17" s="351" t="s">
        <v>339</v>
      </c>
      <c r="E17" s="344" t="str">
        <f>Reporting_currency</f>
        <v>EUR</v>
      </c>
    </row>
    <row r="18" spans="1:6">
      <c r="B18" s="343" t="str">
        <f>"预期股权价值 ("&amp;C7&amp;") :"</f>
        <v>预期股权价值 (HKD) :</v>
      </c>
      <c r="C18" s="359">
        <f>C125</f>
        <v>59.122826329639921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29.511022444078247</v>
      </c>
      <c r="D22" s="365" t="s">
        <v>440</v>
      </c>
      <c r="E22" s="366">
        <f>Thesis!E22</f>
        <v>0.3</v>
      </c>
    </row>
    <row r="23" spans="1:6">
      <c r="B23" s="343" t="s">
        <v>341</v>
      </c>
      <c r="C23" s="367">
        <f>E141</f>
        <v>37.230662968541615</v>
      </c>
      <c r="D23" s="365" t="s">
        <v>441</v>
      </c>
      <c r="E23" s="368">
        <f>Thesis!E23</f>
        <v>0.2</v>
      </c>
    </row>
    <row r="24" spans="1:6">
      <c r="B24" s="343" t="s">
        <v>343</v>
      </c>
      <c r="C24" s="367">
        <f>E144</f>
        <v>45.831270217103835</v>
      </c>
      <c r="D24" s="365" t="s">
        <v>443</v>
      </c>
      <c r="E24" s="368">
        <f>Thesis!E24</f>
        <v>0.1174</v>
      </c>
    </row>
    <row r="25" spans="1:6">
      <c r="B25" s="343" t="s">
        <v>342</v>
      </c>
      <c r="C25" s="367">
        <f>E145</f>
        <v>51.665532407016421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1295687.7327357903</v>
      </c>
      <c r="D34" s="343" t="str">
        <f>Reporting_currency</f>
        <v>EUR</v>
      </c>
    </row>
    <row r="35" spans="2:6">
      <c r="B35" s="372"/>
      <c r="C35" s="374"/>
    </row>
    <row r="36" spans="2:6" ht="24.5" customHeight="1">
      <c r="B36" s="470" t="s">
        <v>502</v>
      </c>
      <c r="C36" s="470"/>
      <c r="D36" s="470"/>
      <c r="E36" s="470"/>
      <c r="F36" s="470"/>
    </row>
    <row r="37" spans="2:6">
      <c r="B37" s="372" t="s">
        <v>199</v>
      </c>
      <c r="C37" s="373">
        <f>Normalized_FCF!C15</f>
        <v>0</v>
      </c>
      <c r="D37" s="343" t="str">
        <f>Reporting_currency</f>
        <v>EUR</v>
      </c>
    </row>
    <row r="38" spans="2:6">
      <c r="B38" s="375" t="s">
        <v>200</v>
      </c>
      <c r="C38" s="373">
        <f>Normalized_FCF!C16</f>
        <v>0</v>
      </c>
      <c r="D38" s="343" t="str">
        <f>Reporting_currency</f>
        <v>EUR</v>
      </c>
    </row>
    <row r="40" spans="2:6">
      <c r="B40" s="470" t="s">
        <v>503</v>
      </c>
      <c r="C40" s="470"/>
      <c r="D40" s="470"/>
      <c r="E40" s="470"/>
      <c r="F40" s="470"/>
    </row>
    <row r="41" spans="2:6">
      <c r="B41" s="372" t="s">
        <v>202</v>
      </c>
      <c r="C41" s="373">
        <f>Normalized_FCF!C9</f>
        <v>0</v>
      </c>
      <c r="D41" s="343" t="str">
        <f>Reporting_currency</f>
        <v>EUR</v>
      </c>
    </row>
    <row r="43" spans="2:6">
      <c r="B43" s="470" t="s">
        <v>504</v>
      </c>
      <c r="C43" s="470"/>
      <c r="D43" s="470"/>
      <c r="E43" s="470"/>
      <c r="F43" s="470"/>
    </row>
    <row r="44" spans="2:6">
      <c r="B44" s="372" t="s">
        <v>267</v>
      </c>
      <c r="C44" s="376">
        <f>Normalized_FCF!C46</f>
        <v>3899.7992940561048</v>
      </c>
      <c r="D44" s="343" t="str">
        <f>Reporting_currency</f>
        <v>EUR</v>
      </c>
      <c r="E44" s="371"/>
      <c r="F44" s="371"/>
    </row>
    <row r="45" spans="2:6">
      <c r="B45" s="372" t="s">
        <v>268</v>
      </c>
      <c r="C45" s="376">
        <f>Normalized_FCF!C45</f>
        <v>-171351.9</v>
      </c>
      <c r="D45" s="343" t="str">
        <f>Reporting_currency</f>
        <v>EUR</v>
      </c>
      <c r="E45" s="371"/>
      <c r="F45" s="371"/>
    </row>
    <row r="46" spans="2:6">
      <c r="B46" s="372" t="s">
        <v>203</v>
      </c>
      <c r="C46" s="373">
        <f>Normalized_FCF!C10</f>
        <v>-167452.10070594389</v>
      </c>
      <c r="D46" s="343" t="str">
        <f>Reporting_currency</f>
        <v>EUR</v>
      </c>
    </row>
    <row r="48" spans="2:6">
      <c r="B48" s="343" t="s">
        <v>505</v>
      </c>
    </row>
    <row r="49" spans="2:6">
      <c r="B49" s="372" t="s">
        <v>223</v>
      </c>
      <c r="C49" s="373">
        <f>Normalized_FCF!C13</f>
        <v>-4493</v>
      </c>
      <c r="D49" s="343" t="str">
        <f>Reporting_currency</f>
        <v>EUR</v>
      </c>
    </row>
    <row r="51" spans="2:6">
      <c r="B51" s="470" t="s">
        <v>506</v>
      </c>
      <c r="C51" s="470"/>
      <c r="D51" s="470"/>
      <c r="E51" s="470"/>
      <c r="F51" s="470"/>
    </row>
    <row r="52" spans="2:6">
      <c r="B52" s="372" t="s">
        <v>496</v>
      </c>
      <c r="C52" s="373">
        <f>Normalized_FCF!C12</f>
        <v>-313762.32926750026</v>
      </c>
      <c r="D52" s="343" t="str">
        <f>Reporting_currency</f>
        <v>EUR</v>
      </c>
    </row>
    <row r="54" spans="2:6">
      <c r="B54" s="470" t="s">
        <v>507</v>
      </c>
      <c r="C54" s="476"/>
      <c r="D54" s="476"/>
      <c r="E54" s="476"/>
      <c r="F54" s="476"/>
    </row>
    <row r="55" spans="2:6">
      <c r="B55" s="372" t="s">
        <v>207</v>
      </c>
      <c r="C55" s="373">
        <f>Normalized_FCF!C17</f>
        <v>0</v>
      </c>
      <c r="D55" s="343" t="str">
        <f>Reporting_currency</f>
        <v>EUR</v>
      </c>
    </row>
    <row r="57" spans="2:6">
      <c r="B57" s="474" t="s">
        <v>508</v>
      </c>
      <c r="C57" s="474"/>
      <c r="D57" s="474"/>
      <c r="E57" s="474"/>
      <c r="F57" s="474"/>
    </row>
    <row r="58" spans="2:6">
      <c r="B58" s="474" t="s">
        <v>509</v>
      </c>
      <c r="C58" s="474"/>
      <c r="D58" s="474"/>
      <c r="E58" s="474"/>
      <c r="F58" s="474"/>
    </row>
    <row r="60" spans="2:6">
      <c r="B60" s="372" t="s">
        <v>372</v>
      </c>
      <c r="C60" s="373">
        <f>Normalized_FCF!G19</f>
        <v>838907</v>
      </c>
      <c r="D60" s="343" t="str">
        <f>Reporting_currency</f>
        <v>EUR</v>
      </c>
    </row>
    <row r="61" spans="2:6">
      <c r="B61" s="372" t="s">
        <v>213</v>
      </c>
      <c r="C61" s="373">
        <f>Normalized_FCF!C19</f>
        <v>809980.30276234611</v>
      </c>
      <c r="D61" s="343" t="str">
        <f>Reporting_currency</f>
        <v>EUR</v>
      </c>
    </row>
    <row r="62" spans="2:6">
      <c r="B62" s="377" t="s">
        <v>302</v>
      </c>
      <c r="C62" s="378">
        <f>Normalized_FCF!C124</f>
        <v>7.8137412896364555E-2</v>
      </c>
      <c r="F62" s="379"/>
    </row>
    <row r="63" spans="2:6">
      <c r="B63" s="377" t="s">
        <v>332</v>
      </c>
      <c r="C63" s="378">
        <f>Normalized_FCF!C92</f>
        <v>3.9227452054794519E-2</v>
      </c>
      <c r="E63" s="372" t="s">
        <v>373</v>
      </c>
      <c r="F63" s="380">
        <f>Normalized_FCF!C90</f>
        <v>4.5232326123897897</v>
      </c>
    </row>
    <row r="65" spans="1:6">
      <c r="B65" s="369" t="s">
        <v>376</v>
      </c>
      <c r="C65" s="381" t="s">
        <v>327</v>
      </c>
      <c r="D65" s="381" t="s">
        <v>374</v>
      </c>
    </row>
    <row r="66" spans="1:6">
      <c r="B66" s="372" t="s">
        <v>326</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-2855865</v>
      </c>
      <c r="D78" s="343" t="str">
        <f>Reporting_currency</f>
        <v>EUR</v>
      </c>
    </row>
    <row r="79" spans="1:6">
      <c r="B79" s="372" t="s">
        <v>234</v>
      </c>
      <c r="C79" s="387">
        <f>C78*scaling_factor*Exchange_Rate/Common_Shares</f>
        <v>-10.055764837847386</v>
      </c>
      <c r="D79" s="343" t="str">
        <f>Market_currency</f>
        <v>HKD</v>
      </c>
    </row>
    <row r="80" spans="1:6">
      <c r="B80" s="382" t="s">
        <v>309</v>
      </c>
      <c r="C80" s="388">
        <f>IF(BS!G31/BS!G27&gt;300%,"nm",BS!G31/BS!G27)</f>
        <v>0.67283405398617657</v>
      </c>
    </row>
    <row r="81" spans="1:6">
      <c r="B81" s="382" t="s">
        <v>311</v>
      </c>
      <c r="C81" s="389">
        <f>IF(BS!C50&gt;30,"nm",BS!C50)</f>
        <v>2.2041306156151999</v>
      </c>
    </row>
    <row r="83" spans="1:6">
      <c r="B83" s="343" t="s">
        <v>512</v>
      </c>
    </row>
    <row r="84" spans="1:6">
      <c r="B84" s="343" t="s">
        <v>224</v>
      </c>
      <c r="C84" s="373">
        <f>DCF!F5</f>
        <v>-51974.549009350827</v>
      </c>
      <c r="D84" s="343" t="str">
        <f>Reporting_currency</f>
        <v>EUR</v>
      </c>
    </row>
    <row r="85" spans="1:6">
      <c r="B85" s="382" t="s">
        <v>481</v>
      </c>
      <c r="C85" s="390">
        <f>BS!C66</f>
        <v>597992</v>
      </c>
      <c r="D85" s="391" t="str">
        <f>Reporting_currency</f>
        <v>EUR</v>
      </c>
    </row>
    <row r="86" spans="1:6">
      <c r="B86" s="372" t="s">
        <v>235</v>
      </c>
      <c r="C86" s="387">
        <f>C84*scaling_factor*Exchange_Rate/Common_Shares</f>
        <v>-0.18300719480479843</v>
      </c>
      <c r="D86" s="343" t="str">
        <f>Market_currency</f>
        <v>HKD</v>
      </c>
    </row>
    <row r="88" spans="1:6">
      <c r="B88" s="343" t="s">
        <v>513</v>
      </c>
    </row>
    <row r="89" spans="1:6">
      <c r="B89" s="343" t="s">
        <v>217</v>
      </c>
      <c r="C89" s="373">
        <f>DCF!F6</f>
        <v>36617.399999999994</v>
      </c>
      <c r="D89" s="343" t="str">
        <f>Reporting_currency</f>
        <v>EUR</v>
      </c>
    </row>
    <row r="90" spans="1:6">
      <c r="B90" s="372" t="s">
        <v>236</v>
      </c>
      <c r="C90" s="387">
        <f>C89*scaling_factor*Exchange_Rate/Common_Shares</f>
        <v>0.12893325257790295</v>
      </c>
      <c r="D90" s="343" t="str">
        <f>Market_currency</f>
        <v>HKD</v>
      </c>
    </row>
    <row r="92" spans="1:6">
      <c r="B92" s="372" t="s">
        <v>480</v>
      </c>
      <c r="C92" s="387">
        <f>DCF!F8</f>
        <v>-10.109838780074282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-6.1509302949742537</v>
      </c>
      <c r="D111" s="343" t="str">
        <f>Market_currency</f>
        <v>HKD</v>
      </c>
    </row>
    <row r="112" spans="1:6">
      <c r="A112" s="385"/>
      <c r="B112" s="372" t="s">
        <v>377</v>
      </c>
      <c r="C112" s="394">
        <f>DCF!C11</f>
        <v>45.300749451004812</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20</v>
      </c>
      <c r="E118" s="398" t="str">
        <f>ROUND(DCF!E90,2)&amp;" "&amp;Market_currency</f>
        <v>97.44 HKD</v>
      </c>
      <c r="F118" s="399">
        <f>DCF!F90</f>
        <v>0.15</v>
      </c>
    </row>
    <row r="119" spans="1:6">
      <c r="A119" s="385"/>
      <c r="B119" s="400" t="str">
        <f>DCF!B91</f>
        <v>Optimistic</v>
      </c>
      <c r="C119" s="401">
        <f>DCF!C91</f>
        <v>0.06</v>
      </c>
      <c r="D119" s="402">
        <f>DCF!D91</f>
        <v>20</v>
      </c>
      <c r="E119" s="398" t="str">
        <f>ROUND(DCF!E91,2)&amp;" "&amp;Market_currency</f>
        <v>72.18 HKD</v>
      </c>
      <c r="F119" s="403">
        <f>DCF!F91</f>
        <v>0.15999999999999995</v>
      </c>
    </row>
    <row r="120" spans="1:6">
      <c r="B120" s="400" t="str">
        <f>DCF!B92</f>
        <v>Base</v>
      </c>
      <c r="C120" s="401">
        <f>DCF!C92</f>
        <v>0.04</v>
      </c>
      <c r="D120" s="402">
        <f>DCF!D92</f>
        <v>20</v>
      </c>
      <c r="E120" s="398" t="str">
        <f>ROUND(DCF!E92,2)&amp;" "&amp;Market_currency</f>
        <v>53.52 HKD</v>
      </c>
      <c r="F120" s="403">
        <f>DCF!F92</f>
        <v>0.44</v>
      </c>
    </row>
    <row r="121" spans="1:6">
      <c r="B121" s="400" t="str">
        <f>DCF!B93</f>
        <v>Pessimistic</v>
      </c>
      <c r="C121" s="401">
        <f>DCF!C93</f>
        <v>0.02</v>
      </c>
      <c r="D121" s="402">
        <f>DCF!D93</f>
        <v>20</v>
      </c>
      <c r="E121" s="398" t="str">
        <f>ROUND(DCF!E93,2)&amp;" "&amp;Market_currency</f>
        <v>39.7 HKD</v>
      </c>
      <c r="F121" s="403">
        <f>DCF!F93</f>
        <v>0.19999999999999998</v>
      </c>
    </row>
    <row r="122" spans="1:6">
      <c r="B122" s="400" t="str">
        <f>DCF!B94</f>
        <v>Devil's advocate</v>
      </c>
      <c r="C122" s="401">
        <f>DCF!C94</f>
        <v>0</v>
      </c>
      <c r="D122" s="402">
        <f>DCF!D94</f>
        <v>20</v>
      </c>
      <c r="E122" s="398" t="str">
        <f>ROUND(DCF!E94,2)&amp;" "&amp;Market_currency</f>
        <v>29.42 HKD</v>
      </c>
      <c r="F122" s="403">
        <f>DCF!F94</f>
        <v>0.05</v>
      </c>
    </row>
    <row r="124" spans="1:6">
      <c r="B124" s="470" t="s">
        <v>519</v>
      </c>
      <c r="C124" s="470"/>
      <c r="D124" s="470"/>
      <c r="E124" s="470"/>
      <c r="F124" s="470"/>
    </row>
    <row r="125" spans="1:6">
      <c r="B125" s="372" t="s">
        <v>218</v>
      </c>
      <c r="C125" s="404">
        <f>Scenarios!C36</f>
        <v>59.122826329639921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1.431802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2.6003140555302693</v>
      </c>
      <c r="D140" s="409">
        <f>Scenarios!D62</f>
        <v>26.910708388547977</v>
      </c>
      <c r="E140" s="410">
        <f>Scenarios!E62</f>
        <v>29.511022444078247</v>
      </c>
      <c r="F140" s="411">
        <f>E22</f>
        <v>0.3</v>
      </c>
    </row>
    <row r="141" spans="1:6">
      <c r="B141" s="408" t="s">
        <v>313</v>
      </c>
      <c r="C141" s="409">
        <f>Scenarios!C63</f>
        <v>3.0160643981481483</v>
      </c>
      <c r="D141" s="409">
        <f>Scenarios!D63</f>
        <v>34.21459857039347</v>
      </c>
      <c r="E141" s="410">
        <f>Scenarios!E63</f>
        <v>37.230662968541615</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3.4543699809252097</v>
      </c>
      <c r="D144" s="409">
        <f>Scenarios!D66</f>
        <v>42.376900236178628</v>
      </c>
      <c r="E144" s="410">
        <f>Scenarios!E66</f>
        <v>45.831270217103835</v>
      </c>
      <c r="F144" s="411">
        <f>E24</f>
        <v>0.1174</v>
      </c>
    </row>
    <row r="145" spans="1:6">
      <c r="B145" s="408" t="s">
        <v>314</v>
      </c>
      <c r="C145" s="409">
        <f>Scenarios!C67</f>
        <v>3.7404040750167789</v>
      </c>
      <c r="D145" s="409">
        <f>Scenarios!D67</f>
        <v>47.925128331999645</v>
      </c>
      <c r="E145" s="410">
        <f>Scenarios!E67</f>
        <v>51.665532407016421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