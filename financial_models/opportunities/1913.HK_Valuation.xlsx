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AFD32012-A231-7D44-8EE4-57DAC2DB80E5}" xr6:coauthVersionLast="47" xr6:coauthVersionMax="47" xr10:uidLastSave="{00000000-0000-0000-0000-000000000000}"/>
  <bookViews>
    <workbookView xWindow="0" yWindow="0" windowWidth="17120" windowHeight="1076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<sst xmlns="http://schemas.openxmlformats.org/spreadsheetml/2006/main" count="768" uniqueCount="559">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</sst>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538</v>
      </c>
      <c r="F3" s="429">
        <v>46065</v>
      </c>
    </row>
    <row r="4" spans="1:9" ht="14" x14ac:dyDescent="0.2">
      <c r="B4" s="421" t="s">
        <v>533</v>
      </c>
      <c r="C4" s="420" t="s">
        <v>556</v>
      </c>
      <c r="E4" s="430" t="s">
        <v>537</v>
      </c>
      <c r="F4" s="431" t="s">
        <v>324</v>
      </c>
    </row>
    <row r="5" spans="1:9" x14ac:dyDescent="0.15">
      <c r="B5" s="1" t="s">
        <v>349</v>
      </c>
      <c r="C5" s="46" t="s">
        <v>557</v>
      </c>
      <c r="E5" s="433" t="s">
        <v>539</v>
      </c>
      <c r="F5" s="432" t="s">
        <v>497</v>
      </c>
    </row>
    <row r="6" spans="1:9" x14ac:dyDescent="0.15">
      <c r="B6" s="2" t="s">
        <v>53</v>
      </c>
      <c r="C6" s="45" t="s">
        <v>549</v>
      </c>
      <c r="D6" s="45"/>
      <c r="E6" s="45"/>
    </row>
    <row r="7" spans="1:9" x14ac:dyDescent="0.15">
      <c r="B7" s="1" t="s">
        <v>351</v>
      </c>
      <c r="C7" s="45" t="s">
        <v>308</v>
      </c>
      <c r="D7" s="45"/>
      <c r="E7" s="45"/>
    </row>
    <row r="8" spans="1:9" x14ac:dyDescent="0.15">
      <c r="B8" s="4" t="s">
        <v>350</v>
      </c>
      <c r="C8" s="47">
        <v>42.2</v>
      </c>
      <c r="E8" s="32"/>
    </row>
    <row r="9" spans="1:9" x14ac:dyDescent="0.15">
      <c r="B9" s="4" t="s">
        <v>346</v>
      </c>
      <c r="C9" s="48">
        <v>2558824000</v>
      </c>
    </row>
    <row r="10" spans="1:9" x14ac:dyDescent="0.15">
      <c r="B10" s="4" t="s">
        <v>352</v>
      </c>
      <c r="C10" s="33">
        <f>Thesis!C8*Common_Shares/1000000</f>
        <v>107982.3728</v>
      </c>
      <c r="D10" s="1" t="s">
        <v>528</v>
      </c>
      <c r="E10" s="303">
        <f>Scenarios!F34</f>
        <v>0.15751340909520897</v>
      </c>
    </row>
    <row r="11" spans="1:9" x14ac:dyDescent="0.15">
      <c r="D11" s="5"/>
      <c r="E11" s="5"/>
    </row>
    <row r="12" spans="1:9" ht="24.5" customHeight="1" x14ac:dyDescent="0.15">
      <c r="B12" s="462" t="s">
        <v>355</v>
      </c>
      <c r="C12" s="462"/>
      <c r="D12" s="462"/>
      <c r="E12" s="462"/>
      <c r="F12" s="462"/>
    </row>
    <row r="14" spans="1:9" x14ac:dyDescent="0.15">
      <c r="B14" s="42" t="str">
        <f>Scenarios!B39&amp;" Valuation Conclusion"</f>
        <v>1-stage DCF Valuation Conclusion</v>
      </c>
      <c r="C14" s="43"/>
    </row>
    <row r="15" spans="1:9" x14ac:dyDescent="0.15">
      <c r="B15" s="1" t="s">
        <v>319</v>
      </c>
      <c r="C15" s="417" t="s">
        <v>546</v>
      </c>
      <c r="D15" s="4" t="s">
        <v>353</v>
      </c>
      <c r="E15" s="253" t="str">
        <f>IF(E17=C7,C7,E17&amp;"/"&amp;C7)</f>
        <v>EUR/HKD</v>
      </c>
    </row>
    <row r="16" spans="1:9" x14ac:dyDescent="0.15">
      <c r="B16" s="1" t="s">
        <v>320</v>
      </c>
      <c r="C16" s="417" t="s">
        <v>546</v>
      </c>
      <c r="D16" s="4" t="s">
        <v>354</v>
      </c>
      <c r="E16" s="416">
        <v>9.2105230273246779</v>
      </c>
    </row>
    <row r="17" spans="1:6" x14ac:dyDescent="0.15">
      <c r="B17" s="1" t="s">
        <v>532</v>
      </c>
      <c r="C17" s="456">
        <v>0.02</v>
      </c>
      <c r="D17" s="4" t="s">
        <v>274</v>
      </c>
      <c r="E17" s="224" t="s">
        <v>558</v>
      </c>
    </row>
    <row r="18" spans="1:6" x14ac:dyDescent="0.15">
      <c r="B18" s="1" t="str">
        <f>"Expected Equity Value ("&amp;C7&amp;") :"</f>
        <v>Expected Equity Value (HKD) :</v>
      </c>
      <c r="C18" s="252">
        <f>C125</f>
        <v>60.439606731746466</v>
      </c>
      <c r="D18" s="2" t="s">
        <v>347</v>
      </c>
      <c r="E18" s="418">
        <v>6</v>
      </c>
    </row>
    <row r="19" spans="1:6" x14ac:dyDescent="0.15">
      <c r="B19" s="2" t="s">
        <v>275</v>
      </c>
      <c r="C19" s="31" t="str">
        <f>IF(Terminal_Growth&lt;2%, "Lower than Inflation rate", IF(Terminal_Growth&lt;5%, "Low growth", IF(Terminal_Growth&lt;8%, "Medium growth", "High growth")))</f>
        <v>Low growth</v>
      </c>
      <c r="D19" s="1" t="s">
        <v>348</v>
      </c>
      <c r="E19" s="419">
        <f>EOMONTH(EDATE(BS!C1,E18+2),0)</f>
        <v>46081</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30.472338478979687</v>
      </c>
      <c r="D22" s="38" t="s">
        <v>406</v>
      </c>
      <c r="E22" s="79">
        <v>0.29465259038036606</v>
      </c>
    </row>
    <row r="23" spans="1:6" x14ac:dyDescent="0.15">
      <c r="B23" s="1" t="s">
        <v>313</v>
      </c>
      <c r="C23" s="256">
        <f>E141</f>
        <v>37.923481236889849</v>
      </c>
      <c r="D23" s="38" t="s">
        <v>407</v>
      </c>
      <c r="E23" s="443">
        <v>0.20075184365903009</v>
      </c>
    </row>
    <row r="24" spans="1:6" x14ac:dyDescent="0.15">
      <c r="B24" s="1" t="s">
        <v>315</v>
      </c>
      <c r="C24" s="256">
        <f>E144</f>
        <v>46.775086255631912</v>
      </c>
      <c r="D24" s="38" t="s">
        <v>408</v>
      </c>
      <c r="E24" s="443">
        <v>0.1174</v>
      </c>
    </row>
    <row r="25" spans="1:6" x14ac:dyDescent="0.15">
      <c r="B25" s="1" t="s">
        <v>314</v>
      </c>
      <c r="C25" s="256">
        <f>E145</f>
        <v>52.732918282721435</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2" t="s">
        <v>356</v>
      </c>
      <c r="C29" s="462"/>
      <c r="D29" s="462"/>
      <c r="E29" s="462"/>
      <c r="F29" s="462"/>
    </row>
    <row r="30" spans="1:6" ht="24.5" customHeight="1" x14ac:dyDescent="0.15">
      <c r="B30" s="466" t="s">
        <v>266</v>
      </c>
      <c r="C30" s="466"/>
      <c r="D30" s="466"/>
      <c r="E30" s="466"/>
      <c r="F30" s="466"/>
    </row>
    <row r="32" spans="1:6" x14ac:dyDescent="0.15">
      <c r="B32" s="192" t="s">
        <v>195</v>
      </c>
      <c r="C32" s="105">
        <f>scaling_factor</f>
        <v>1000</v>
      </c>
    </row>
    <row r="33" spans="2:6" ht="24.5" customHeight="1" x14ac:dyDescent="0.15">
      <c r="B33" s="463" t="s">
        <v>196</v>
      </c>
      <c r="C33" s="463"/>
      <c r="D33" s="463"/>
      <c r="E33" s="463"/>
      <c r="F33" s="463"/>
    </row>
    <row r="34" spans="2:6" x14ac:dyDescent="0.15">
      <c r="B34" s="44" t="s">
        <v>197</v>
      </c>
      <c r="C34" s="285">
        <f>Normalized_FCF!C8</f>
        <v>1295687.7327357903</v>
      </c>
      <c r="D34" s="1" t="str">
        <f>Reporting_currency</f>
        <v>EUR</v>
      </c>
    </row>
    <row r="35" spans="2:6" x14ac:dyDescent="0.15">
      <c r="B35" s="44"/>
      <c r="C35" s="73"/>
    </row>
    <row r="36" spans="2:6" ht="24.5" customHeight="1" x14ac:dyDescent="0.15">
      <c r="B36" s="463" t="s">
        <v>198</v>
      </c>
      <c r="C36" s="463"/>
      <c r="D36" s="463"/>
      <c r="E36" s="463"/>
      <c r="F36" s="463"/>
    </row>
    <row r="37" spans="2:6" x14ac:dyDescent="0.15">
      <c r="B37" s="44" t="s">
        <v>199</v>
      </c>
      <c r="C37" s="285">
        <f>Normalized_FCF!C15</f>
        <v>0</v>
      </c>
      <c r="D37" s="1" t="str">
        <f>Reporting_currency</f>
        <v>EUR</v>
      </c>
    </row>
    <row r="38" spans="2:6" x14ac:dyDescent="0.15">
      <c r="B38" s="49" t="s">
        <v>200</v>
      </c>
      <c r="C38" s="285">
        <f>Normalized_FCF!C16</f>
        <v>0</v>
      </c>
      <c r="D38" s="1" t="str">
        <f>Reporting_currency</f>
        <v>EUR</v>
      </c>
    </row>
    <row r="40" spans="2:6" x14ac:dyDescent="0.15">
      <c r="B40" s="463" t="s">
        <v>201</v>
      </c>
      <c r="C40" s="463"/>
      <c r="D40" s="463"/>
      <c r="E40" s="463"/>
      <c r="F40" s="463"/>
    </row>
    <row r="41" spans="2:6" x14ac:dyDescent="0.15">
      <c r="B41" s="44" t="s">
        <v>202</v>
      </c>
      <c r="C41" s="285">
        <f>Normalized_FCF!C9</f>
        <v>0</v>
      </c>
      <c r="D41" s="1" t="str">
        <f>Reporting_currency</f>
        <v>EUR</v>
      </c>
    </row>
    <row r="43" spans="2:6" x14ac:dyDescent="0.15">
      <c r="B43" s="463" t="s">
        <v>205</v>
      </c>
      <c r="C43" s="463"/>
      <c r="D43" s="463"/>
      <c r="E43" s="463"/>
      <c r="F43" s="463"/>
    </row>
    <row r="44" spans="2:6" x14ac:dyDescent="0.15">
      <c r="B44" s="44" t="s">
        <v>267</v>
      </c>
      <c r="C44" s="286">
        <f>Normalized_FCF!C46</f>
        <v>3899.7992940561048</v>
      </c>
      <c r="D44" s="1" t="str">
        <f>Reporting_currency</f>
        <v>EUR</v>
      </c>
      <c r="E44" s="244"/>
      <c r="F44" s="244"/>
    </row>
    <row r="45" spans="2:6" x14ac:dyDescent="0.15">
      <c r="B45" s="44" t="s">
        <v>268</v>
      </c>
      <c r="C45" s="286">
        <f>Normalized_FCF!C45</f>
        <v>-171351.9</v>
      </c>
      <c r="D45" s="1" t="str">
        <f>Reporting_currency</f>
        <v>EUR</v>
      </c>
      <c r="E45" s="244"/>
      <c r="F45" s="244"/>
    </row>
    <row r="46" spans="2:6" x14ac:dyDescent="0.15">
      <c r="B46" s="44" t="s">
        <v>203</v>
      </c>
      <c r="C46" s="285">
        <f>Normalized_FCF!C10</f>
        <v>-167452.10070594389</v>
      </c>
      <c r="D46" s="1" t="str">
        <f>Reporting_currency</f>
        <v>EUR</v>
      </c>
    </row>
    <row r="48" spans="2:6" x14ac:dyDescent="0.15">
      <c r="B48" s="1" t="s">
        <v>211</v>
      </c>
    </row>
    <row r="49" spans="2:6" x14ac:dyDescent="0.15">
      <c r="B49" s="44" t="s">
        <v>223</v>
      </c>
      <c r="C49" s="285">
        <f>Normalized_FCF!C13</f>
        <v>-4493</v>
      </c>
      <c r="D49" s="1" t="str">
        <f>Reporting_currency</f>
        <v>EUR</v>
      </c>
    </row>
    <row r="51" spans="2:6" x14ac:dyDescent="0.15">
      <c r="B51" s="463" t="s">
        <v>206</v>
      </c>
      <c r="C51" s="463"/>
      <c r="D51" s="463"/>
      <c r="E51" s="463"/>
      <c r="F51" s="463"/>
    </row>
    <row r="52" spans="2:6" x14ac:dyDescent="0.15">
      <c r="B52" s="44" t="s">
        <v>204</v>
      </c>
      <c r="C52" s="285">
        <f>Normalized_FCF!C12</f>
        <v>-313762.32926750026</v>
      </c>
      <c r="D52" s="1" t="str">
        <f>Reporting_currency</f>
        <v>EUR</v>
      </c>
    </row>
    <row r="54" spans="2:6" x14ac:dyDescent="0.15">
      <c r="B54" s="463" t="s">
        <v>265</v>
      </c>
      <c r="C54" s="464"/>
      <c r="D54" s="464"/>
      <c r="E54" s="464"/>
      <c r="F54" s="464"/>
    </row>
    <row r="55" spans="2:6" x14ac:dyDescent="0.15">
      <c r="B55" s="44" t="s">
        <v>207</v>
      </c>
      <c r="C55" s="285">
        <f>Normalized_FCF!C17</f>
        <v>0</v>
      </c>
      <c r="D55" s="1" t="str">
        <f>Reporting_currency</f>
        <v>EUR</v>
      </c>
    </row>
    <row r="57" spans="2:6" ht="24.5" customHeight="1" x14ac:dyDescent="0.15">
      <c r="B57" s="462" t="s">
        <v>270</v>
      </c>
      <c r="C57" s="462"/>
      <c r="D57" s="462"/>
      <c r="E57" s="462"/>
      <c r="F57" s="462"/>
    </row>
    <row r="58" spans="2:6" ht="24.5" customHeight="1" x14ac:dyDescent="0.15">
      <c r="B58" s="462" t="s">
        <v>282</v>
      </c>
      <c r="C58" s="462"/>
      <c r="D58" s="462"/>
      <c r="E58" s="462"/>
      <c r="F58" s="462"/>
    </row>
    <row r="60" spans="2:6" x14ac:dyDescent="0.15">
      <c r="B60" s="44" t="s">
        <v>227</v>
      </c>
      <c r="C60" s="285">
        <f>Normalized_FCF!G19</f>
        <v>838907</v>
      </c>
      <c r="D60" s="1" t="str">
        <f>Reporting_currency</f>
        <v>EUR</v>
      </c>
    </row>
    <row r="61" spans="2:6" x14ac:dyDescent="0.15">
      <c r="B61" s="44" t="s">
        <v>213</v>
      </c>
      <c r="C61" s="285">
        <f>Normalized_FCF!C19</f>
        <v>809980.30276234611</v>
      </c>
      <c r="D61" s="1" t="str">
        <f>Reporting_currency</f>
        <v>EUR</v>
      </c>
    </row>
    <row r="62" spans="2:6" x14ac:dyDescent="0.15">
      <c r="B62" s="204" t="s">
        <v>302</v>
      </c>
      <c r="C62" s="89">
        <f>Normalized_FCF!C124</f>
        <v>6.9088519142746635E-2</v>
      </c>
      <c r="F62" s="257"/>
    </row>
    <row r="63" spans="2:6" x14ac:dyDescent="0.15">
      <c r="B63" s="204" t="s">
        <v>332</v>
      </c>
      <c r="C63" s="89">
        <f>Normalized_FCF!C92</f>
        <v>3.392895734597156E-2</v>
      </c>
      <c r="E63" s="44" t="s">
        <v>322</v>
      </c>
      <c r="F63" s="258">
        <f>Normalized_FCF!C90</f>
        <v>4.5232326123897897</v>
      </c>
    </row>
    <row r="65" spans="1:6" x14ac:dyDescent="0.15">
      <c r="B65" s="192" t="s">
        <v>325</v>
      </c>
      <c r="C65" s="264" t="s">
        <v>327</v>
      </c>
      <c r="D65" s="264" t="s">
        <v>328</v>
      </c>
    </row>
    <row r="66" spans="1:6" x14ac:dyDescent="0.15">
      <c r="B66" s="44" t="s">
        <v>326</v>
      </c>
      <c r="C66" s="89">
        <f>Normalized_FCF!E119</f>
        <v>0.2658092571428613</v>
      </c>
      <c r="D66" s="89">
        <f>Normalized_FCF!G119</f>
        <v>0.28005991710273764</v>
      </c>
    </row>
    <row r="67" spans="1:6" x14ac:dyDescent="0.15">
      <c r="B67" s="229" t="str">
        <f>Normalized_FCF!B116</f>
        <v>Pre-tax Profit/Sales</v>
      </c>
      <c r="C67" s="263">
        <f>Normalized_FCF!E116</f>
        <v>0.20771863979883598</v>
      </c>
      <c r="D67" s="263">
        <f>Normalized_FCF!G116</f>
        <v>0.21885492502426099</v>
      </c>
    </row>
    <row r="68" spans="1:6" x14ac:dyDescent="0.15">
      <c r="B68" s="229" t="str">
        <f>Normalized_FCF!B117</f>
        <v>Sales/Total Assets</v>
      </c>
      <c r="C68" s="265">
        <f>Normalized_FCF!E117</f>
        <v>0.65265738052043343</v>
      </c>
      <c r="D68" s="265">
        <f>Normalized_FCF!G117</f>
        <v>0.65265738052043343</v>
      </c>
    </row>
    <row r="69" spans="1:6" x14ac:dyDescent="0.15">
      <c r="B69" s="229" t="str">
        <f>Normalized_FCF!B118</f>
        <v>Total Assets/Equity</v>
      </c>
      <c r="C69" s="265">
        <f>Normalized_FCF!E118</f>
        <v>1.9606920057834423</v>
      </c>
      <c r="D69" s="265">
        <f>Normalized_FCF!G118</f>
        <v>1.9606920057834423</v>
      </c>
    </row>
    <row r="71" spans="1:6" ht="16" x14ac:dyDescent="0.25">
      <c r="A71" s="200" t="s">
        <v>477</v>
      </c>
      <c r="B71" s="34"/>
      <c r="C71" s="34"/>
      <c r="D71" s="34"/>
      <c r="E71" s="34"/>
      <c r="F71" s="34"/>
    </row>
    <row r="72" spans="1:6" x14ac:dyDescent="0.15">
      <c r="A72" s="191"/>
    </row>
    <row r="73" spans="1:6" x14ac:dyDescent="0.15">
      <c r="A73" s="191"/>
      <c r="B73" s="462" t="s">
        <v>478</v>
      </c>
      <c r="C73" s="462"/>
      <c r="D73" s="462"/>
      <c r="E73" s="462"/>
      <c r="F73" s="462"/>
    </row>
    <row r="74" spans="1:6" x14ac:dyDescent="0.15">
      <c r="A74" s="191"/>
      <c r="B74" s="1" t="s">
        <v>465</v>
      </c>
    </row>
    <row r="75" spans="1:6" x14ac:dyDescent="0.15">
      <c r="A75" s="191"/>
    </row>
    <row r="76" spans="1:6" x14ac:dyDescent="0.15">
      <c r="A76" s="191"/>
      <c r="B76" s="192" t="s">
        <v>195</v>
      </c>
    </row>
    <row r="77" spans="1:6" x14ac:dyDescent="0.15">
      <c r="A77" s="191"/>
      <c r="B77" s="462" t="s">
        <v>271</v>
      </c>
      <c r="C77" s="462"/>
      <c r="D77" s="462"/>
      <c r="E77" s="462"/>
      <c r="F77" s="462"/>
    </row>
    <row r="78" spans="1:6" x14ac:dyDescent="0.15">
      <c r="A78" s="191"/>
      <c r="B78" s="1" t="s">
        <v>215</v>
      </c>
      <c r="C78" s="285">
        <f>DCF!F4</f>
        <v>-2855865</v>
      </c>
      <c r="D78" s="1" t="str">
        <f>Reporting_currency</f>
        <v>EUR</v>
      </c>
    </row>
    <row r="79" spans="1:6" x14ac:dyDescent="0.15">
      <c r="A79" s="191"/>
      <c r="B79" s="44" t="s">
        <v>234</v>
      </c>
      <c r="C79" s="201">
        <f>C78*scaling_factor*Exchange_Rate/Common_Shares</f>
        <v>-10.279726290448499</v>
      </c>
      <c r="D79" s="1" t="str">
        <f>Market_currency</f>
        <v>HKD</v>
      </c>
    </row>
    <row r="80" spans="1:6" x14ac:dyDescent="0.15">
      <c r="A80" s="191"/>
      <c r="B80" s="229" t="s">
        <v>309</v>
      </c>
      <c r="C80" s="337">
        <f>IF(BS!G31/BS!G27&gt;300%,"nm",BS!G31/BS!G27)</f>
        <v>0.67283405398617657</v>
      </c>
    </row>
    <row r="81" spans="1:6" x14ac:dyDescent="0.15">
      <c r="A81" s="191"/>
      <c r="B81" s="229" t="s">
        <v>311</v>
      </c>
      <c r="C81" s="338">
        <f>IF(BS!C50&gt;30,"nm",BS!C50)</f>
        <v>2.2041306156151999</v>
      </c>
    </row>
    <row r="82" spans="1:6" x14ac:dyDescent="0.15">
      <c r="A82" s="191"/>
    </row>
    <row r="83" spans="1:6" x14ac:dyDescent="0.15">
      <c r="A83" s="191"/>
      <c r="B83" s="1" t="s">
        <v>466</v>
      </c>
    </row>
    <row r="84" spans="1:6" x14ac:dyDescent="0.15">
      <c r="A84" s="191"/>
      <c r="B84" s="1" t="s">
        <v>224</v>
      </c>
      <c r="C84" s="285">
        <f>DCF!F5</f>
        <v>-51974.549009350827</v>
      </c>
      <c r="D84" s="1" t="str">
        <f>Reporting_currency</f>
        <v>EUR</v>
      </c>
    </row>
    <row r="85" spans="1:6" x14ac:dyDescent="0.15">
      <c r="A85" s="191"/>
      <c r="B85" s="229" t="s">
        <v>222</v>
      </c>
      <c r="C85" s="291">
        <f>BS!C66</f>
        <v>597992</v>
      </c>
      <c r="D85" s="339" t="str">
        <f>Reporting_currency</f>
        <v>EUR</v>
      </c>
    </row>
    <row r="86" spans="1:6" x14ac:dyDescent="0.15">
      <c r="A86" s="191"/>
      <c r="B86" s="44" t="s">
        <v>235</v>
      </c>
      <c r="C86" s="201">
        <f>C84*scaling_factor*Exchange_Rate/Common_Shares</f>
        <v>-0.1870831211859201</v>
      </c>
      <c r="D86" s="1" t="str">
        <f>Market_currency</f>
        <v>HKD</v>
      </c>
    </row>
    <row r="87" spans="1:6" x14ac:dyDescent="0.15">
      <c r="A87" s="191"/>
    </row>
    <row r="88" spans="1:6" x14ac:dyDescent="0.15">
      <c r="A88" s="191"/>
      <c r="B88" s="1" t="s">
        <v>216</v>
      </c>
    </row>
    <row r="89" spans="1:6" x14ac:dyDescent="0.15">
      <c r="A89" s="191"/>
      <c r="B89" s="1" t="s">
        <v>217</v>
      </c>
      <c r="C89" s="285">
        <f>DCF!F6</f>
        <v>36617.399999999994</v>
      </c>
      <c r="D89" s="1" t="str">
        <f>Reporting_currency</f>
        <v>EUR</v>
      </c>
    </row>
    <row r="90" spans="1:6" x14ac:dyDescent="0.15">
      <c r="A90" s="191"/>
      <c r="B90" s="44" t="s">
        <v>236</v>
      </c>
      <c r="C90" s="201">
        <f>C89*scaling_factor*Exchange_Rate/Common_Shares</f>
        <v>0.13180484703158896</v>
      </c>
      <c r="D90" s="1" t="str">
        <f>Market_currency</f>
        <v>HKD</v>
      </c>
    </row>
    <row r="91" spans="1:6" x14ac:dyDescent="0.15">
      <c r="A91" s="191"/>
    </row>
    <row r="92" spans="1:6" x14ac:dyDescent="0.15">
      <c r="A92" s="191"/>
      <c r="B92" s="44" t="s">
        <v>469</v>
      </c>
      <c r="C92" s="216">
        <f>DCF!F8</f>
        <v>-10.335004564602832</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2" t="s">
        <v>485</v>
      </c>
      <c r="C96" s="462"/>
      <c r="D96" s="462"/>
      <c r="E96" s="462"/>
      <c r="F96" s="462"/>
    </row>
    <row r="97" spans="2:6" x14ac:dyDescent="0.15">
      <c r="B97" s="466" t="s">
        <v>484</v>
      </c>
      <c r="C97" s="466"/>
      <c r="D97" s="466"/>
      <c r="E97" s="466"/>
      <c r="F97" s="466"/>
    </row>
    <row r="98" spans="2:6" x14ac:dyDescent="0.15">
      <c r="B98" s="466" t="s">
        <v>483</v>
      </c>
      <c r="C98" s="466"/>
      <c r="D98" s="466"/>
      <c r="E98" s="466"/>
      <c r="F98" s="466"/>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0.02</v>
      </c>
    </row>
    <row r="106" spans="2:6" x14ac:dyDescent="0.15">
      <c r="B106" s="250" t="s">
        <v>281</v>
      </c>
      <c r="C106" s="116"/>
    </row>
    <row r="107" spans="2:6" x14ac:dyDescent="0.15">
      <c r="B107" s="462" t="s">
        <v>283</v>
      </c>
      <c r="C107" s="462"/>
      <c r="D107" s="462"/>
      <c r="E107" s="462"/>
      <c r="F107" s="462"/>
    </row>
    <row r="108" spans="2:6" x14ac:dyDescent="0.15">
      <c r="B108" s="462" t="s">
        <v>284</v>
      </c>
      <c r="C108" s="462"/>
      <c r="D108" s="462"/>
      <c r="E108" s="462"/>
      <c r="F108" s="462"/>
    </row>
    <row r="110" spans="2:6" x14ac:dyDescent="0.15">
      <c r="B110" s="192" t="s">
        <v>487</v>
      </c>
    </row>
    <row r="111" spans="2:6" x14ac:dyDescent="0.15">
      <c r="B111" s="49" t="s">
        <v>468</v>
      </c>
      <c r="C111" s="216">
        <f>BS!D47</f>
        <v>-6.2879234830533743</v>
      </c>
      <c r="D111" s="1" t="str">
        <f>Market_currency</f>
        <v>HKD</v>
      </c>
    </row>
    <row r="112" spans="2:6" x14ac:dyDescent="0.15">
      <c r="B112" s="44" t="s">
        <v>323</v>
      </c>
      <c r="C112" s="216">
        <f>DCF!C11</f>
        <v>46.309685301690244</v>
      </c>
      <c r="D112" s="1" t="str">
        <f>Market_currency</f>
        <v>HKD</v>
      </c>
    </row>
    <row r="114" spans="2:6" ht="24.5" customHeight="1" x14ac:dyDescent="0.15">
      <c r="B114" s="462" t="s">
        <v>491</v>
      </c>
      <c r="C114" s="462"/>
      <c r="D114" s="462"/>
      <c r="E114" s="462"/>
      <c r="F114" s="462"/>
    </row>
    <row r="116" spans="2:6" x14ac:dyDescent="0.15">
      <c r="B116" s="192" t="s">
        <v>488</v>
      </c>
    </row>
    <row r="117" spans="2:6" ht="14" x14ac:dyDescent="0.2">
      <c r="B117" s="342" t="s">
        <v>101</v>
      </c>
      <c r="C117" s="342" t="s">
        <v>110</v>
      </c>
      <c r="D117" s="342" t="s">
        <v>219</v>
      </c>
      <c r="E117" s="342" t="s">
        <v>124</v>
      </c>
      <c r="F117" s="342" t="s">
        <v>545</v>
      </c>
    </row>
    <row r="118" spans="2:6" x14ac:dyDescent="0.15">
      <c r="B118" s="205" t="str">
        <f>DCF!B90&amp;" ("&amp;DCF!D90&amp;"yrs)"</f>
        <v>Snowball Scenario (20yrs)</v>
      </c>
      <c r="C118" s="206">
        <f>DCF!C90</f>
        <v>0.08</v>
      </c>
      <c r="D118" s="207" t="str">
        <f>ROUND(DCF!E90,2)&amp;" "&amp;Market_currency</f>
        <v>99.61 HKD</v>
      </c>
      <c r="E118" s="208">
        <f>DCF!F90</f>
        <v>0.15</v>
      </c>
      <c r="F118" s="208">
        <f>RATE(Holding_Period,Scenarios!C$58,-DCF!E90,C$18)</f>
        <v>-0.13630049268396624</v>
      </c>
    </row>
    <row r="119" spans="2:6" x14ac:dyDescent="0.15">
      <c r="B119" s="205" t="str">
        <f>DCF!B91&amp;" ("&amp;DCF!D91&amp;"yrs)"</f>
        <v>Optimistic (20yrs)</v>
      </c>
      <c r="C119" s="198">
        <f>DCF!C91</f>
        <v>0.06</v>
      </c>
      <c r="D119" s="207" t="str">
        <f>ROUND(DCF!E91,2)&amp;" "&amp;Market_currency</f>
        <v>73.79 HKD</v>
      </c>
      <c r="E119" s="199">
        <f>DCF!F91</f>
        <v>0.15999999999999995</v>
      </c>
      <c r="F119" s="208">
        <f>RATE(Holding_Period,Scenarios!C$58,-DCF!E91,C$18)</f>
        <v>-4.3591731950928019E-2</v>
      </c>
    </row>
    <row r="120" spans="2:6" x14ac:dyDescent="0.15">
      <c r="B120" s="205" t="str">
        <f>DCF!B92&amp;" ("&amp;DCF!D92&amp;"yrs)"</f>
        <v>Base (20yrs)</v>
      </c>
      <c r="C120" s="198">
        <f>DCF!C92</f>
        <v>0.04</v>
      </c>
      <c r="D120" s="207" t="str">
        <f>ROUND(DCF!E92,2)&amp;" "&amp;Market_currency</f>
        <v>54.71 HKD</v>
      </c>
      <c r="E120" s="199">
        <f>DCF!F92</f>
        <v>0.44</v>
      </c>
      <c r="F120" s="208">
        <f>RATE(Holding_Period,Scenarios!C$58,-DCF!E92,C$18)</f>
        <v>5.9092749049236608E-2</v>
      </c>
    </row>
    <row r="121" spans="2:6" x14ac:dyDescent="0.15">
      <c r="B121" s="205" t="str">
        <f>DCF!B93&amp;" ("&amp;DCF!D93&amp;"yrs)"</f>
        <v>Pessimistic (20yrs)</v>
      </c>
      <c r="C121" s="198">
        <f>DCF!C93</f>
        <v>0.02</v>
      </c>
      <c r="D121" s="207" t="str">
        <f>ROUND(DCF!E93,2)&amp;" "&amp;Market_currency</f>
        <v>40.58 HKD</v>
      </c>
      <c r="E121" s="199">
        <f>DCF!F93</f>
        <v>0.19999999999999998</v>
      </c>
      <c r="F121" s="208">
        <f>RATE(Holding_Period,Scenarios!C$58,-DCF!E93,C$18)</f>
        <v>0.17313243305898471</v>
      </c>
    </row>
    <row r="122" spans="2:6" x14ac:dyDescent="0.15">
      <c r="B122" s="205" t="str">
        <f>DCF!B94&amp;" ("&amp;DCF!D94&amp;"yrs)"</f>
        <v>Devil's advocate (20yrs)</v>
      </c>
      <c r="C122" s="198">
        <f>DCF!C94</f>
        <v>0</v>
      </c>
      <c r="D122" s="207" t="str">
        <f>ROUND(DCF!E94,2)&amp;" "&amp;Market_currency</f>
        <v>30.08 HKD</v>
      </c>
      <c r="E122" s="199">
        <f>DCF!F94</f>
        <v>0.05</v>
      </c>
      <c r="F122" s="208">
        <f>RATE(Holding_Period,Scenarios!C$58,-DCF!E94,C$18)</f>
        <v>0.30048790512722201</v>
      </c>
    </row>
    <row r="124" spans="2:6" x14ac:dyDescent="0.15">
      <c r="B124" s="463" t="s">
        <v>357</v>
      </c>
      <c r="C124" s="463"/>
      <c r="D124" s="463"/>
      <c r="E124" s="463"/>
      <c r="F124" s="463"/>
    </row>
    <row r="125" spans="2:6" x14ac:dyDescent="0.15">
      <c r="B125" s="193" t="s">
        <v>218</v>
      </c>
      <c r="C125" s="197">
        <f>Scenarios!C36</f>
        <v>60.439606731746466</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7" t="s">
        <v>285</v>
      </c>
      <c r="C131" s="467"/>
      <c r="D131" s="467"/>
      <c r="E131" s="467"/>
      <c r="F131" s="467"/>
    </row>
    <row r="132" spans="1:6" x14ac:dyDescent="0.15">
      <c r="B132" s="462" t="s">
        <v>359</v>
      </c>
      <c r="C132" s="462"/>
      <c r="D132" s="462"/>
      <c r="E132" s="462"/>
      <c r="F132" s="462"/>
    </row>
    <row r="134" spans="1:6" x14ac:dyDescent="0.15">
      <c r="B134" s="192" t="s">
        <v>195</v>
      </c>
    </row>
    <row r="135" spans="1:6" x14ac:dyDescent="0.15">
      <c r="B135" s="1" t="s">
        <v>221</v>
      </c>
      <c r="C135" s="202">
        <f>E21</f>
        <v>3</v>
      </c>
    </row>
    <row r="136" spans="1:6" x14ac:dyDescent="0.15">
      <c r="B136" s="194" t="s">
        <v>220</v>
      </c>
      <c r="C136" s="195">
        <f>Scenarios!C58</f>
        <v>1.431802</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2.6199851463776214</v>
      </c>
      <c r="D140" s="333">
        <f>Scenarios!D62</f>
        <v>27.852353332602064</v>
      </c>
      <c r="E140" s="334">
        <f>Scenarios!E62</f>
        <v>30.472338478979687</v>
      </c>
      <c r="F140" s="335">
        <f>E22</f>
        <v>0.29465259038036606</v>
      </c>
    </row>
    <row r="141" spans="1:6" x14ac:dyDescent="0.15">
      <c r="B141" s="336" t="s">
        <v>313</v>
      </c>
      <c r="C141" s="333">
        <f>Scenarios!C63</f>
        <v>3.0125170597077604</v>
      </c>
      <c r="D141" s="333">
        <f>Scenarios!D63</f>
        <v>34.910964177182088</v>
      </c>
      <c r="E141" s="334">
        <f>Scenarios!E63</f>
        <v>37.923481236889849</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3.4543699809252097</v>
      </c>
      <c r="D144" s="333">
        <f>Scenarios!D66</f>
        <v>43.320716274706704</v>
      </c>
      <c r="E144" s="334">
        <f>Scenarios!E66</f>
        <v>46.775086255631912</v>
      </c>
      <c r="F144" s="335">
        <f>E24</f>
        <v>0.1174</v>
      </c>
    </row>
    <row r="145" spans="1:6" x14ac:dyDescent="0.15">
      <c r="B145" s="336" t="s">
        <v>314</v>
      </c>
      <c r="C145" s="333">
        <f>Scenarios!C67</f>
        <v>3.7404040750167789</v>
      </c>
      <c r="D145" s="333">
        <f>Scenarios!D67</f>
        <v>48.992514207704659</v>
      </c>
      <c r="E145" s="334">
        <f>Scenarios!E67</f>
        <v>52.732918282721435</v>
      </c>
      <c r="F145" s="335">
        <f>Scenarios!F67</f>
        <v>7.2499999999999995E-2</v>
      </c>
    </row>
    <row r="147" spans="1:6" ht="16" x14ac:dyDescent="0.25">
      <c r="A147" s="200" t="s">
        <v>475</v>
      </c>
      <c r="B147" s="34"/>
      <c r="C147" s="34"/>
      <c r="D147" s="34"/>
      <c r="E147" s="34"/>
      <c r="F147" s="34"/>
    </row>
    <row r="149" spans="1:6" x14ac:dyDescent="0.15">
      <c r="B149" s="461" t="s">
        <v>360</v>
      </c>
      <c r="C149" s="462"/>
      <c r="D149" s="462"/>
      <c r="E149" s="462"/>
      <c r="F149" s="462"/>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3" t="s">
        <v>438</v>
      </c>
      <c r="C158" s="463"/>
      <c r="D158" s="463"/>
      <c r="E158" s="463"/>
      <c r="F158" s="463"/>
    </row>
    <row r="160" spans="1:6" x14ac:dyDescent="0.15">
      <c r="B160" s="1" t="s">
        <v>297</v>
      </c>
    </row>
    <row r="161" spans="2:6" ht="24.5" customHeight="1" x14ac:dyDescent="0.15">
      <c r="B161" s="460" t="s">
        <v>294</v>
      </c>
      <c r="C161" s="460"/>
      <c r="D161" s="460"/>
      <c r="E161" s="460"/>
      <c r="F161" s="460"/>
    </row>
    <row r="162" spans="2:6" ht="24.5" customHeight="1" x14ac:dyDescent="0.15">
      <c r="B162" s="460" t="s">
        <v>295</v>
      </c>
      <c r="C162" s="460"/>
      <c r="D162" s="460"/>
      <c r="E162" s="460"/>
      <c r="F162" s="460"/>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v>
      </c>
    </row>
    <row r="4" spans="2:13" x14ac:dyDescent="0.15">
      <c r="B4" s="31" t="s">
        <v>0</v>
      </c>
      <c r="C4" s="287">
        <v>5431557</v>
      </c>
      <c r="D4" s="287">
        <v>4726411</v>
      </c>
      <c r="E4" s="287"/>
      <c r="F4" s="287"/>
      <c r="G4" s="287"/>
      <c r="H4" s="287"/>
      <c r="I4" s="287"/>
      <c r="J4" s="287"/>
      <c r="K4" s="287"/>
      <c r="L4" s="287"/>
      <c r="M4" s="287"/>
    </row>
    <row r="5" spans="2:13" x14ac:dyDescent="0.15">
      <c r="B5" s="38" t="s">
        <v>40</v>
      </c>
      <c r="C5" s="287">
        <v>1094865</v>
      </c>
      <c r="D5" s="287">
        <v>924640</v>
      </c>
      <c r="E5" s="287"/>
      <c r="F5" s="287"/>
      <c r="G5" s="287"/>
      <c r="H5" s="287"/>
      <c r="I5" s="287"/>
      <c r="J5" s="287"/>
      <c r="K5" s="287"/>
      <c r="L5" s="287"/>
      <c r="M5" s="287"/>
    </row>
    <row r="6" spans="2:13" x14ac:dyDescent="0.15">
      <c r="B6" s="38" t="s">
        <v>51</v>
      </c>
      <c r="C6" s="287">
        <v>3057142</v>
      </c>
      <c r="D6" s="287">
        <v>2740079</v>
      </c>
      <c r="E6" s="287"/>
      <c r="F6" s="287"/>
      <c r="G6" s="287"/>
      <c r="H6" s="287"/>
      <c r="I6" s="287"/>
      <c r="J6" s="287"/>
      <c r="K6" s="287"/>
      <c r="L6" s="287"/>
      <c r="M6" s="287"/>
    </row>
    <row r="7" spans="2:13" x14ac:dyDescent="0.15">
      <c r="B7" s="66" t="s">
        <v>58</v>
      </c>
      <c r="C7" s="288"/>
      <c r="D7" s="288"/>
      <c r="E7" s="288"/>
      <c r="F7" s="288"/>
      <c r="G7" s="288"/>
      <c r="H7" s="288"/>
      <c r="I7" s="288"/>
      <c r="J7" s="288"/>
      <c r="K7" s="288"/>
      <c r="L7" s="288"/>
      <c r="M7" s="288"/>
    </row>
    <row r="8" spans="2:13" x14ac:dyDescent="0.15">
      <c r="B8" s="38" t="s">
        <v>46</v>
      </c>
      <c r="C8" s="287"/>
      <c r="D8" s="287"/>
      <c r="E8" s="287"/>
      <c r="F8" s="287"/>
      <c r="G8" s="287"/>
      <c r="H8" s="287"/>
      <c r="I8" s="287"/>
      <c r="J8" s="287"/>
      <c r="K8" s="287"/>
      <c r="L8" s="287"/>
      <c r="M8" s="287"/>
    </row>
    <row r="9" spans="2:13" x14ac:dyDescent="0.15">
      <c r="B9" s="38" t="s">
        <v>134</v>
      </c>
      <c r="C9" s="287"/>
      <c r="D9" s="287"/>
      <c r="E9" s="287"/>
      <c r="F9" s="287"/>
      <c r="G9" s="287"/>
      <c r="H9" s="287"/>
      <c r="I9" s="287"/>
      <c r="J9" s="287"/>
      <c r="K9" s="287"/>
      <c r="L9" s="287"/>
      <c r="M9" s="287"/>
    </row>
    <row r="10" spans="2:13" x14ac:dyDescent="0.15">
      <c r="B10" s="38" t="s">
        <v>138</v>
      </c>
      <c r="C10" s="287">
        <v>111</v>
      </c>
      <c r="D10" s="287">
        <v>627</v>
      </c>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f>21315+69623</f>
        <v>90938</v>
      </c>
      <c r="D12" s="287">
        <f>32031+58825</f>
        <v>90856</v>
      </c>
      <c r="E12" s="287"/>
      <c r="F12" s="287"/>
      <c r="G12" s="287"/>
      <c r="H12" s="287"/>
      <c r="I12" s="287"/>
      <c r="J12" s="287"/>
      <c r="K12" s="287"/>
      <c r="L12" s="287"/>
      <c r="M12" s="287"/>
    </row>
    <row r="13" spans="2:13" x14ac:dyDescent="0.15">
      <c r="B13" s="38" t="s">
        <v>64</v>
      </c>
      <c r="C13" s="287"/>
      <c r="D13" s="287"/>
      <c r="E13" s="287"/>
      <c r="F13" s="287"/>
      <c r="G13" s="287"/>
      <c r="H13" s="287"/>
      <c r="I13" s="287"/>
      <c r="J13" s="287"/>
      <c r="K13" s="287"/>
      <c r="L13" s="287"/>
      <c r="M13" s="287"/>
    </row>
    <row r="14" spans="2:13" x14ac:dyDescent="0.15">
      <c r="B14" s="38" t="s">
        <v>47</v>
      </c>
      <c r="C14" s="287">
        <v>345323</v>
      </c>
      <c r="D14" s="287">
        <v>298071</v>
      </c>
      <c r="E14" s="287"/>
      <c r="F14" s="287"/>
      <c r="G14" s="287"/>
      <c r="H14" s="287"/>
      <c r="I14" s="287"/>
      <c r="J14" s="287"/>
      <c r="K14" s="287"/>
      <c r="L14" s="287"/>
      <c r="M14" s="287"/>
    </row>
    <row r="15" spans="2:13" x14ac:dyDescent="0.15">
      <c r="B15" s="41" t="s">
        <v>39</v>
      </c>
      <c r="C15" s="289">
        <v>843400</v>
      </c>
      <c r="D15" s="289">
        <v>673392</v>
      </c>
      <c r="E15" s="289"/>
      <c r="F15" s="289"/>
      <c r="G15" s="289"/>
      <c r="H15" s="289"/>
      <c r="I15" s="289"/>
      <c r="J15" s="289"/>
      <c r="K15" s="289"/>
      <c r="L15" s="289"/>
      <c r="M15" s="289"/>
    </row>
    <row r="16" spans="2:13" x14ac:dyDescent="0.15">
      <c r="B16" s="27" t="s">
        <v>41</v>
      </c>
      <c r="C16" s="287">
        <v>4493</v>
      </c>
      <c r="D16" s="287">
        <v>2366</v>
      </c>
      <c r="E16" s="287"/>
      <c r="F16" s="287"/>
      <c r="G16" s="287"/>
      <c r="H16" s="287"/>
      <c r="I16" s="287"/>
      <c r="J16" s="287"/>
      <c r="K16" s="287"/>
      <c r="L16" s="287"/>
      <c r="M16" s="287"/>
    </row>
    <row r="18" spans="2:13" x14ac:dyDescent="0.15">
      <c r="B18" s="16" t="s">
        <v>48</v>
      </c>
      <c r="C18" s="9"/>
    </row>
    <row r="19" spans="2:13" ht="13" x14ac:dyDescent="0.15">
      <c r="B19" s="26" t="s">
        <v>44</v>
      </c>
      <c r="C19" s="287"/>
      <c r="D19" s="287"/>
      <c r="E19" s="287"/>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1651617</v>
      </c>
      <c r="D22" s="287">
        <v>1155281</v>
      </c>
      <c r="E22" s="287"/>
      <c r="F22" s="287"/>
      <c r="G22" s="287"/>
      <c r="H22" s="287"/>
      <c r="I22" s="287"/>
      <c r="J22" s="287"/>
      <c r="K22" s="287"/>
      <c r="L22" s="287"/>
      <c r="M22" s="287"/>
    </row>
    <row r="23" spans="2:13" ht="13" x14ac:dyDescent="0.15">
      <c r="B23" s="26" t="s">
        <v>288</v>
      </c>
      <c r="C23" s="287">
        <v>-462453</v>
      </c>
      <c r="D23" s="287">
        <v>-759191</v>
      </c>
      <c r="E23" s="287"/>
      <c r="F23" s="287"/>
      <c r="G23" s="287"/>
      <c r="H23" s="287"/>
      <c r="I23" s="287"/>
      <c r="J23" s="287"/>
      <c r="K23" s="287"/>
      <c r="L23" s="287"/>
      <c r="M23" s="287"/>
    </row>
    <row r="24" spans="2:13" ht="13" x14ac:dyDescent="0.15">
      <c r="B24" s="26" t="s">
        <v>287</v>
      </c>
      <c r="C24" s="287">
        <v>-875470</v>
      </c>
      <c r="D24" s="287">
        <v>-775728</v>
      </c>
      <c r="E24" s="287"/>
      <c r="F24" s="287"/>
      <c r="G24" s="287"/>
      <c r="H24" s="287"/>
      <c r="I24" s="287"/>
      <c r="J24" s="287"/>
      <c r="K24" s="287"/>
      <c r="L24" s="287"/>
      <c r="M24" s="287"/>
    </row>
    <row r="25" spans="2:13" x14ac:dyDescent="0.15">
      <c r="B25" s="23" t="str">
        <f>"Dividend per share ("&amp;Market_currency&amp;")"</f>
        <v>Dividend per share (HKD)</v>
      </c>
      <c r="C25" s="37">
        <v>1.431802</v>
      </c>
      <c r="D25" s="37">
        <v>1.1338805000000001</v>
      </c>
      <c r="E25" s="37"/>
      <c r="F25" s="37"/>
      <c r="G25" s="37"/>
      <c r="H25" s="37"/>
      <c r="I25" s="37"/>
      <c r="J25" s="37"/>
      <c r="K25" s="37"/>
      <c r="L25" s="37"/>
      <c r="M25" s="37"/>
    </row>
    <row r="27" spans="2:13" x14ac:dyDescent="0.15">
      <c r="B27" s="16" t="s">
        <v>26</v>
      </c>
      <c r="C27" s="94" t="s">
        <v>547</v>
      </c>
    </row>
    <row r="28" spans="2:13" ht="13" x14ac:dyDescent="0.15">
      <c r="B28" s="25" t="s">
        <v>22</v>
      </c>
      <c r="C28" s="270">
        <f>BS!C4</f>
        <v>377556</v>
      </c>
      <c r="D28" s="287">
        <v>405151</v>
      </c>
      <c r="E28" s="287"/>
      <c r="F28" s="287"/>
      <c r="G28" s="287"/>
      <c r="H28" s="287"/>
      <c r="I28" s="287"/>
      <c r="J28" s="287"/>
      <c r="K28" s="287"/>
      <c r="L28" s="287"/>
      <c r="M28" s="287"/>
    </row>
    <row r="29" spans="2:13" ht="13" x14ac:dyDescent="0.15">
      <c r="B29" s="25" t="s">
        <v>30</v>
      </c>
      <c r="C29" s="270">
        <f>BS!C6</f>
        <v>888295</v>
      </c>
      <c r="D29" s="287">
        <v>782978</v>
      </c>
      <c r="E29" s="287"/>
      <c r="F29" s="287"/>
      <c r="G29" s="287"/>
      <c r="H29" s="287"/>
      <c r="I29" s="287"/>
      <c r="J29" s="287"/>
      <c r="K29" s="287"/>
      <c r="L29" s="287"/>
      <c r="M29" s="287"/>
    </row>
    <row r="30" spans="2:13" ht="13" x14ac:dyDescent="0.15">
      <c r="B30" s="28" t="s">
        <v>38</v>
      </c>
      <c r="C30" s="271">
        <f>BS!C33+BS!C42</f>
        <v>4077687</v>
      </c>
      <c r="D30" s="289">
        <v>3738242</v>
      </c>
      <c r="E30" s="289"/>
      <c r="F30" s="289"/>
      <c r="G30" s="289"/>
      <c r="H30" s="289"/>
      <c r="I30" s="289"/>
      <c r="J30" s="289"/>
      <c r="K30" s="289"/>
      <c r="L30" s="289"/>
      <c r="M30" s="289"/>
    </row>
    <row r="31" spans="2:13" ht="13" x14ac:dyDescent="0.15">
      <c r="B31" s="28" t="s">
        <v>28</v>
      </c>
      <c r="C31" s="271">
        <f>BS!G27</f>
        <v>4244531</v>
      </c>
      <c r="D31" s="289">
        <v>3876809</v>
      </c>
      <c r="E31" s="289"/>
      <c r="F31" s="289"/>
      <c r="G31" s="289"/>
      <c r="H31" s="289"/>
      <c r="I31" s="289"/>
      <c r="J31" s="289"/>
      <c r="K31" s="289"/>
      <c r="L31" s="289"/>
      <c r="M31" s="289"/>
    </row>
    <row r="32" spans="2:13" ht="13" x14ac:dyDescent="0.15">
      <c r="B32" s="25" t="s">
        <v>143</v>
      </c>
      <c r="C32" s="270">
        <f>BS!G28</f>
        <v>19653</v>
      </c>
      <c r="D32" s="287">
        <v>23014</v>
      </c>
      <c r="E32" s="287"/>
      <c r="F32" s="287"/>
      <c r="G32" s="287"/>
      <c r="H32" s="287"/>
      <c r="I32" s="287"/>
      <c r="J32" s="287"/>
      <c r="K32" s="287"/>
      <c r="L32" s="287"/>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x14ac:dyDescent="0.15">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ht="13" x14ac:dyDescent="0.15">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x14ac:dyDescent="0.15">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x14ac:dyDescent="0.15">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x14ac:dyDescent="0.15">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x14ac:dyDescent="0.15">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x14ac:dyDescent="0.15">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x14ac:dyDescent="0.15">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x14ac:dyDescent="0.15">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x14ac:dyDescent="0.15">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x14ac:dyDescent="0.15">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x14ac:dyDescent="0.15">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x14ac:dyDescent="0.15">
      <c r="B50" s="16" t="s">
        <v>65</v>
      </c>
    </row>
    <row r="51" spans="2:13" x14ac:dyDescent="0.15">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x14ac:dyDescent="0.15">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x14ac:dyDescent="0.15">
      <c r="B54" s="156" t="s">
        <v>139</v>
      </c>
    </row>
    <row r="55" spans="2:13" x14ac:dyDescent="0.15">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x14ac:dyDescent="0.15">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x14ac:dyDescent="0.15">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x14ac:dyDescent="0.15">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x14ac:dyDescent="0.15">
      <c r="B60" s="16" t="s">
        <v>48</v>
      </c>
      <c r="C60" s="9"/>
    </row>
    <row r="61" spans="2:13" ht="13" x14ac:dyDescent="0.15">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ht="13" x14ac:dyDescent="0.15">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ht="13" x14ac:dyDescent="0.15">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ht="13" x14ac:dyDescent="0.15">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x14ac:dyDescent="0.15">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x14ac:dyDescent="0.15">
      <c r="B67" s="88" t="s">
        <v>81</v>
      </c>
    </row>
    <row r="68" spans="2:13" x14ac:dyDescent="0.15">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ht="13" x14ac:dyDescent="0.15">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x14ac:dyDescent="0.15">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x14ac:dyDescent="0.15">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x14ac:dyDescent="0.15">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ht="13" x14ac:dyDescent="0.15">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ht="13" x14ac:dyDescent="0.15">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ht="13" x14ac:dyDescent="0.15">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ht="13" x14ac:dyDescent="0.15">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f>377404+152</f>
        <v>377556</v>
      </c>
      <c r="D4" s="231">
        <v>0.6</v>
      </c>
      <c r="E4" s="24"/>
      <c r="F4" s="4" t="s">
        <v>74</v>
      </c>
      <c r="G4" s="18">
        <v>597992</v>
      </c>
      <c r="H4" s="231">
        <v>0.9</v>
      </c>
    </row>
    <row r="5" spans="2:8" ht="15" customHeight="1" x14ac:dyDescent="0.15">
      <c r="B5" s="1" t="s">
        <v>31</v>
      </c>
      <c r="C5" s="18">
        <v>0</v>
      </c>
      <c r="D5" s="231">
        <v>0.6</v>
      </c>
      <c r="E5" s="24"/>
      <c r="F5" s="1" t="s">
        <v>27</v>
      </c>
      <c r="G5" s="18">
        <v>0</v>
      </c>
      <c r="H5" s="231">
        <v>0.7</v>
      </c>
    </row>
    <row r="6" spans="2:8" ht="15" customHeight="1" x14ac:dyDescent="0.15">
      <c r="B6" s="4" t="s">
        <v>8</v>
      </c>
      <c r="C6" s="18">
        <v>888295</v>
      </c>
      <c r="D6" s="231">
        <v>0.5</v>
      </c>
      <c r="E6" s="24"/>
      <c r="F6" s="4" t="s">
        <v>147</v>
      </c>
      <c r="G6" s="18">
        <v>0</v>
      </c>
      <c r="H6" s="231">
        <v>0.6</v>
      </c>
    </row>
    <row r="7" spans="2:8" ht="15" customHeight="1" x14ac:dyDescent="0.15">
      <c r="B7" s="1" t="s">
        <v>66</v>
      </c>
      <c r="C7" s="18">
        <v>0</v>
      </c>
      <c r="D7" s="231">
        <v>0.6</v>
      </c>
      <c r="E7" s="24"/>
      <c r="F7" s="4" t="s">
        <v>148</v>
      </c>
      <c r="G7" s="18">
        <v>49392</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0</v>
      </c>
      <c r="D9" s="231">
        <v>0.1</v>
      </c>
      <c r="E9" s="24"/>
      <c r="F9" s="4" t="s">
        <v>150</v>
      </c>
      <c r="G9" s="18">
        <v>0</v>
      </c>
      <c r="H9" s="231">
        <v>0.6</v>
      </c>
    </row>
    <row r="10" spans="2:8" ht="15" customHeight="1" x14ac:dyDescent="0.15">
      <c r="B10" s="4" t="s">
        <v>9</v>
      </c>
      <c r="C10" s="18">
        <v>0</v>
      </c>
      <c r="D10" s="231">
        <v>0.9</v>
      </c>
      <c r="F10" s="1" t="s">
        <v>402</v>
      </c>
      <c r="G10" s="18">
        <v>0</v>
      </c>
      <c r="H10" s="231">
        <v>0.6</v>
      </c>
    </row>
    <row r="11" spans="2:8" ht="15" customHeight="1" x14ac:dyDescent="0.15">
      <c r="B11" s="4" t="s">
        <v>10</v>
      </c>
      <c r="C11" s="18">
        <v>246562</v>
      </c>
      <c r="D11" s="231">
        <v>0.05</v>
      </c>
      <c r="H11" s="232"/>
    </row>
    <row r="12" spans="2:8" ht="15" customHeight="1" x14ac:dyDescent="0.15">
      <c r="B12" s="77" t="s">
        <v>69</v>
      </c>
      <c r="C12" s="78">
        <f>SUM(C4:C11)</f>
        <v>1512413</v>
      </c>
      <c r="D12" s="19">
        <f>C4*D4+C5*D5+C9*D9+C6*D6+C8*D8+C7*D7+C10*D10+C11*D11</f>
        <v>683009.2</v>
      </c>
      <c r="F12" s="77" t="s">
        <v>67</v>
      </c>
      <c r="G12" s="78">
        <f>SUM(G4:G10)</f>
        <v>647384</v>
      </c>
      <c r="H12" s="19">
        <f>G4*H4+G5*H5+G6*H6+G7*H7+G8*H8+G9*H9+G10*H10</f>
        <v>567828</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2636</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v>607</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f>2220081+2460374</f>
        <v>4680455</v>
      </c>
      <c r="D19" s="231">
        <v>0.1</v>
      </c>
      <c r="F19" s="4" t="s">
        <v>152</v>
      </c>
      <c r="G19" s="18">
        <v>66180</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886547</v>
      </c>
      <c r="D21" s="231">
        <v>0.3</v>
      </c>
      <c r="F21" s="1" t="s">
        <v>150</v>
      </c>
      <c r="G21" s="18">
        <v>0</v>
      </c>
      <c r="H21" s="231">
        <v>0.1</v>
      </c>
    </row>
    <row r="22" spans="2:8" ht="15" customHeight="1" x14ac:dyDescent="0.15">
      <c r="B22" s="4" t="s">
        <v>18</v>
      </c>
      <c r="C22" s="18">
        <v>397306</v>
      </c>
      <c r="D22" s="231">
        <v>0.9</v>
      </c>
      <c r="H22" s="232"/>
    </row>
    <row r="23" spans="2:8" ht="15" customHeight="1" x14ac:dyDescent="0.15">
      <c r="B23" s="4" t="s">
        <v>19</v>
      </c>
      <c r="C23" s="18">
        <v>128690</v>
      </c>
      <c r="D23" s="231">
        <v>0</v>
      </c>
      <c r="H23" s="232"/>
    </row>
    <row r="24" spans="2:8" ht="15" customHeight="1" x14ac:dyDescent="0.15">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x14ac:dyDescent="0.15">
      <c r="B26" s="16" t="s">
        <v>169</v>
      </c>
      <c r="C26" s="164" t="s">
        <v>113</v>
      </c>
      <c r="F26" s="166" t="s">
        <v>165</v>
      </c>
      <c r="G26" s="167" t="s">
        <v>113</v>
      </c>
      <c r="H26" s="168" t="s">
        <v>33</v>
      </c>
    </row>
    <row r="27" spans="2:8" ht="15" customHeight="1" x14ac:dyDescent="0.15">
      <c r="B27" s="4" t="s">
        <v>3</v>
      </c>
      <c r="C27" s="18">
        <v>47816</v>
      </c>
      <c r="F27" s="169" t="s">
        <v>28</v>
      </c>
      <c r="G27" s="82">
        <f>G32-G30</f>
        <v>4244531</v>
      </c>
      <c r="H27" s="170">
        <f>H32-G30</f>
        <v>-1727228.2000000002</v>
      </c>
    </row>
    <row r="28" spans="2:8" ht="15" customHeight="1" x14ac:dyDescent="0.15">
      <c r="B28" s="4" t="s">
        <v>4</v>
      </c>
      <c r="C28" s="18">
        <v>430344</v>
      </c>
      <c r="F28" s="171" t="s">
        <v>209</v>
      </c>
      <c r="G28" s="287">
        <v>19653</v>
      </c>
      <c r="H28" s="170"/>
    </row>
    <row r="29" spans="2:8" ht="15" customHeight="1" x14ac:dyDescent="0.15">
      <c r="B29" s="4" t="s">
        <v>5</v>
      </c>
      <c r="C29" s="18">
        <v>0</v>
      </c>
      <c r="F29" s="172" t="s">
        <v>72</v>
      </c>
      <c r="G29" s="14">
        <f>G27-G28</f>
        <v>4224878</v>
      </c>
      <c r="H29" s="170">
        <f>H27-G28</f>
        <v>-1746881.2000000002</v>
      </c>
    </row>
    <row r="30" spans="2:8" ht="15" customHeight="1" x14ac:dyDescent="0.15">
      <c r="B30" s="2" t="s">
        <v>6</v>
      </c>
      <c r="C30" s="18">
        <v>58554</v>
      </c>
      <c r="F30" s="169" t="s">
        <v>21</v>
      </c>
      <c r="G30" s="82">
        <f>C33+C42</f>
        <v>4077687</v>
      </c>
      <c r="H30" s="170"/>
    </row>
    <row r="31" spans="2:8" ht="15" customHeight="1" x14ac:dyDescent="0.15">
      <c r="B31" s="77" t="s">
        <v>172</v>
      </c>
      <c r="C31" s="78">
        <f>SUM(C27:C30)</f>
        <v>536714</v>
      </c>
      <c r="F31" s="172" t="s">
        <v>73</v>
      </c>
      <c r="G31" s="173">
        <f>C31+C40</f>
        <v>2855865</v>
      </c>
      <c r="H31" s="170"/>
    </row>
    <row r="32" spans="2:8" ht="15" customHeight="1" x14ac:dyDescent="0.15">
      <c r="B32" s="4" t="s">
        <v>7</v>
      </c>
      <c r="C32" s="20">
        <f>C33-C31</f>
        <v>955121</v>
      </c>
      <c r="F32" s="174" t="s">
        <v>71</v>
      </c>
      <c r="G32" s="175">
        <f>G35+G40</f>
        <v>8322218</v>
      </c>
      <c r="H32" s="170">
        <f>H35+H40</f>
        <v>2350458.7999999998</v>
      </c>
    </row>
    <row r="33" spans="2:8" ht="15" customHeight="1" x14ac:dyDescent="0.15">
      <c r="B33" s="80" t="s">
        <v>2</v>
      </c>
      <c r="C33" s="81">
        <v>1491835</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7608047</v>
      </c>
      <c r="H35" s="182">
        <f>D12+D24</f>
        <v>1775648.5999999999</v>
      </c>
    </row>
    <row r="36" spans="2:8" ht="15" customHeight="1" x14ac:dyDescent="0.15">
      <c r="B36" s="4" t="s">
        <v>11</v>
      </c>
      <c r="C36" s="18">
        <v>195727</v>
      </c>
      <c r="F36" s="172" t="s">
        <v>166</v>
      </c>
      <c r="G36" s="173">
        <f>C4+C15</f>
        <v>380192</v>
      </c>
      <c r="H36" s="177"/>
    </row>
    <row r="37" spans="2:8" ht="15" customHeight="1" x14ac:dyDescent="0.15">
      <c r="B37" s="4" t="s">
        <v>12</v>
      </c>
      <c r="C37" s="18">
        <v>2123424</v>
      </c>
      <c r="F37" s="172" t="s">
        <v>167</v>
      </c>
      <c r="G37" s="173">
        <f>C6</f>
        <v>888295</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4680455</v>
      </c>
      <c r="H39" s="170">
        <f>C7*D7+C17*D17+C19*D19+C20*D20</f>
        <v>468045.5</v>
      </c>
    </row>
    <row r="40" spans="2:8" ht="15" customHeight="1" x14ac:dyDescent="0.15">
      <c r="B40" s="77" t="s">
        <v>173</v>
      </c>
      <c r="C40" s="78">
        <f>SUM(C36:C39)</f>
        <v>2319151</v>
      </c>
      <c r="F40" s="181" t="s">
        <v>115</v>
      </c>
      <c r="G40" s="175">
        <f>G12+G24</f>
        <v>714171</v>
      </c>
      <c r="H40" s="182">
        <f>H12+H24</f>
        <v>574810.19999999995</v>
      </c>
    </row>
    <row r="41" spans="2:8" ht="15" customHeight="1" x14ac:dyDescent="0.15">
      <c r="B41" s="4" t="s">
        <v>15</v>
      </c>
      <c r="C41" s="20">
        <f>C42-C40</f>
        <v>266701</v>
      </c>
      <c r="F41" s="172" t="s">
        <v>160</v>
      </c>
      <c r="G41" s="173">
        <f>C70</f>
        <v>597992</v>
      </c>
      <c r="H41" s="182">
        <f>H40-H42</f>
        <v>538192.79999999993</v>
      </c>
    </row>
    <row r="42" spans="2:8" ht="15" customHeight="1" x14ac:dyDescent="0.15">
      <c r="B42" s="80" t="s">
        <v>20</v>
      </c>
      <c r="C42" s="81">
        <v>2585852</v>
      </c>
      <c r="F42" s="183" t="s">
        <v>161</v>
      </c>
      <c r="G42" s="184">
        <f>C82</f>
        <v>116179</v>
      </c>
      <c r="H42" s="185">
        <f>D82</f>
        <v>36617.399999999994</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4224878</v>
      </c>
      <c r="D46" s="73">
        <f>H29</f>
        <v>-1746881.2000000002</v>
      </c>
      <c r="F46" s="223"/>
    </row>
    <row r="47" spans="2:8" ht="15" customHeight="1" x14ac:dyDescent="0.15">
      <c r="B47" s="1" t="str">
        <f>"Equity per share ("&amp;Market_currency&amp;")"</f>
        <v>Equity per share (HKD)</v>
      </c>
      <c r="C47" s="134">
        <f>C46*H1/Common_Shares*Exchange_Rate</f>
        <v>15.207507865580999</v>
      </c>
      <c r="D47" s="134">
        <f>D46*H1/Common_Shares*Exchange_Rate</f>
        <v>-6.2879234830533743</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2.2041306156151999</v>
      </c>
      <c r="D50" s="92">
        <f>G31/Normalized_FCF!G8</f>
        <v>2.2319291938572152</v>
      </c>
      <c r="F50" s="223"/>
    </row>
    <row r="51" spans="2:8" ht="15" customHeight="1" x14ac:dyDescent="0.15">
      <c r="B51" s="1" t="s">
        <v>146</v>
      </c>
      <c r="C51" s="163"/>
      <c r="D51" s="89">
        <f>G29/G32</f>
        <v>0.50766250054973328</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0.17030490646755866</v>
      </c>
      <c r="D54" s="89">
        <f>Normalized_FCF!G8/G35</f>
        <v>0.16818376647778333</v>
      </c>
      <c r="F54" s="223"/>
    </row>
    <row r="55" spans="2:8" ht="15" customHeight="1" x14ac:dyDescent="0.15">
      <c r="B55" s="1" t="s">
        <v>118</v>
      </c>
      <c r="C55" s="89">
        <f>Normalized_FCF!C9/G40</f>
        <v>0</v>
      </c>
      <c r="D55" s="89">
        <f>Normalized_FCF!G9/G40</f>
        <v>1.5542496124877655E-4</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v>
      </c>
      <c r="F58" s="5"/>
    </row>
    <row r="59" spans="2:8" ht="15" customHeight="1" x14ac:dyDescent="0.15">
      <c r="B59" s="1" t="s">
        <v>89</v>
      </c>
      <c r="C59" s="95"/>
      <c r="D59" s="89">
        <f>G39/G32</f>
        <v>0.56240475796236056</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4.6517319553369355E-3</v>
      </c>
      <c r="D62" s="89">
        <f>G28/G29</f>
        <v>4.6517319553369355E-3</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597992</v>
      </c>
      <c r="D66" s="73">
        <f>C66-D75</f>
        <v>-51974.549009350827</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597992</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-651311.36007066665</v>
      </c>
      <c r="D73" s="285">
        <f>(Normalized_FCF!C26+Normalized_FCF!C35-Normalized_FCF!C89)/12</f>
        <v>-649966.54900935083</v>
      </c>
      <c r="F73" s="1" t="s">
        <v>278</v>
      </c>
    </row>
    <row r="74" spans="2:6" ht="15" customHeight="1" x14ac:dyDescent="0.15">
      <c r="B74" s="227" t="s">
        <v>259</v>
      </c>
      <c r="C74" s="228">
        <f>-$C$66/C73</f>
        <v>0.91813537527599465</v>
      </c>
      <c r="D74" s="228">
        <f>-$C$66/D73</f>
        <v>0.92003504012849879</v>
      </c>
      <c r="F74" s="223" t="s">
        <v>257</v>
      </c>
    </row>
    <row r="75" spans="2:6" ht="15" customHeight="1" x14ac:dyDescent="0.15">
      <c r="B75" s="77" t="s">
        <v>258</v>
      </c>
      <c r="C75" s="261"/>
      <c r="D75" s="262">
        <f>MAX(-D73*D76,G5)</f>
        <v>649966.54900935083</v>
      </c>
      <c r="F75" s="223" t="s">
        <v>279</v>
      </c>
    </row>
    <row r="76" spans="2:6" ht="15" customHeight="1" x14ac:dyDescent="0.15">
      <c r="B76" s="229" t="s">
        <v>260</v>
      </c>
      <c r="C76" s="230"/>
      <c r="D76" s="248">
        <f>IF(D74&lt;=3,1,IF(D74&gt;18,6,2))</f>
        <v>1</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49999</v>
      </c>
      <c r="D79" s="73">
        <f>G7*H7+G17*H17</f>
        <v>29999.399999999998</v>
      </c>
      <c r="F79" s="223"/>
    </row>
    <row r="80" spans="2:6" ht="15" customHeight="1" x14ac:dyDescent="0.15">
      <c r="B80" s="102" t="s">
        <v>152</v>
      </c>
      <c r="C80" s="19">
        <f>G19</f>
        <v>66180</v>
      </c>
      <c r="D80" s="73">
        <f>G19*H19</f>
        <v>6618</v>
      </c>
      <c r="F80" s="223"/>
    </row>
    <row r="81" spans="2:8" ht="15" customHeight="1" x14ac:dyDescent="0.15">
      <c r="B81" s="102" t="s">
        <v>150</v>
      </c>
      <c r="C81" s="19">
        <f>G9+G21</f>
        <v>0</v>
      </c>
      <c r="D81" s="73">
        <f>G9*H9+G21*H21</f>
        <v>0</v>
      </c>
      <c r="F81" s="223"/>
    </row>
    <row r="82" spans="2:8" ht="15" customHeight="1" x14ac:dyDescent="0.15">
      <c r="B82" s="77" t="s">
        <v>159</v>
      </c>
      <c r="C82" s="78">
        <f>SUM(C79:C81)</f>
        <v>116179</v>
      </c>
      <c r="D82" s="78">
        <f>SUM(D79:D81)</f>
        <v>36617.399999999994</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-26304010.34543059</v>
      </c>
      <c r="D86" s="201">
        <f>C86*scaling_factor/Common_Shares</f>
        <v>-10.279726290448499</v>
      </c>
      <c r="E86" s="214" t="str">
        <f>Market_currency</f>
        <v>HKD</v>
      </c>
    </row>
    <row r="87" spans="2:8" ht="15" customHeight="1" x14ac:dyDescent="0.15">
      <c r="B87" s="212" t="s">
        <v>240</v>
      </c>
      <c r="C87" s="73">
        <f>DCF!F5*Exchange_Rate</f>
        <v>-478712.7804854408</v>
      </c>
      <c r="D87" s="201">
        <f>C87*scaling_factor/Common_Shares</f>
        <v>-0.1870831211859201</v>
      </c>
      <c r="E87" s="214" t="str">
        <f>Market_currency</f>
        <v>HKD</v>
      </c>
    </row>
    <row r="88" spans="2:8" ht="15" customHeight="1" x14ac:dyDescent="0.15">
      <c r="B88" s="213" t="s">
        <v>159</v>
      </c>
      <c r="C88" s="73">
        <f>DCF!F6*Exchange_Rate</f>
        <v>337265.40590075863</v>
      </c>
      <c r="D88" s="201">
        <f>C88*scaling_factor/Common_Shares</f>
        <v>0.13180484703158898</v>
      </c>
      <c r="E88" s="214" t="str">
        <f>Market_currency</f>
        <v>HKD</v>
      </c>
    </row>
    <row r="89" spans="2:8" ht="15" customHeight="1" x14ac:dyDescent="0.15">
      <c r="B89" s="77" t="s">
        <v>244</v>
      </c>
      <c r="C89" s="162">
        <f>SUM(C86:C88)</f>
        <v>-26445457.720015272</v>
      </c>
      <c r="D89" s="216">
        <f>SUM(D86:D88)</f>
        <v>-10.33500456460283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v>
      </c>
      <c r="D3" s="9"/>
      <c r="E3" s="237"/>
      <c r="F3" s="9"/>
      <c r="G3" s="16" t="s">
        <v>410</v>
      </c>
      <c r="H3" s="104">
        <f>scaling_factor</f>
        <v>1000</v>
      </c>
    </row>
    <row r="4" spans="1:17" ht="15.75" customHeight="1" x14ac:dyDescent="0.15">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x14ac:dyDescent="0.15">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x14ac:dyDescent="0.15">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x14ac:dyDescent="0.15">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x14ac:dyDescent="0.15">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x14ac:dyDescent="0.15">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x14ac:dyDescent="0.15">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x14ac:dyDescent="0.15">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x14ac:dyDescent="0.15">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x14ac:dyDescent="0.15">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x14ac:dyDescent="0.15">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x14ac:dyDescent="0.15">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x14ac:dyDescent="0.15">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x14ac:dyDescent="0.2">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x14ac:dyDescent="0.15">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x14ac:dyDescent="0.15">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x14ac:dyDescent="0.2">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x14ac:dyDescent="0.15">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x14ac:dyDescent="0.15">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x14ac:dyDescent="0.15">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x14ac:dyDescent="0.15">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x14ac:dyDescent="0.15">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x14ac:dyDescent="0.15">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x14ac:dyDescent="0.15">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x14ac:dyDescent="0.15">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x14ac:dyDescent="0.15">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x14ac:dyDescent="0.15">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x14ac:dyDescent="0.15">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x14ac:dyDescent="0.15">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x14ac:dyDescent="0.15">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x14ac:dyDescent="0.15">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x14ac:dyDescent="0.15">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x14ac:dyDescent="0.15">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x14ac:dyDescent="0.15">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x14ac:dyDescent="0.15">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x14ac:dyDescent="0.15">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x14ac:dyDescent="0.15">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x14ac:dyDescent="0.15">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x14ac:dyDescent="0.15">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x14ac:dyDescent="0.15">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x14ac:dyDescent="0.15">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x14ac:dyDescent="0.15">
      <c r="A91" s="10"/>
      <c r="B91" s="2" t="s">
        <v>331</v>
      </c>
      <c r="C91" s="292">
        <v>0</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3.392895734597156E-2</v>
      </c>
      <c r="E92" s="237"/>
      <c r="G92" s="22">
        <f t="shared" ref="G92:Q92" si="38">IF(G$4="","",(G88*(1-dividend_tax_rate))/Market_Price)</f>
        <v>3.392895734597156E-2</v>
      </c>
      <c r="H92" s="22">
        <f t="shared" si="38"/>
        <v>2.686920616113744E-2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15">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x14ac:dyDescent="0.15">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x14ac:dyDescent="0.15">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x14ac:dyDescent="0.15">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x14ac:dyDescent="0.15">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x14ac:dyDescent="0.15">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x14ac:dyDescent="0.15">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x14ac:dyDescent="0.15">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x14ac:dyDescent="0.15">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x14ac:dyDescent="0.15">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2.915535507823908</v>
      </c>
      <c r="D123" s="26"/>
      <c r="E123" s="234"/>
      <c r="F123" s="26"/>
      <c r="G123" s="159">
        <f t="shared" ref="G123:Q123" si="48">IF(G$4="","",G14*$C$3/Common_Shares*Exchange_Rate)</f>
        <v>3.0196575619440273</v>
      </c>
      <c r="H123" s="159">
        <f t="shared" si="48"/>
        <v>2.4153675379524224</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x14ac:dyDescent="0.15">
      <c r="A124" s="10"/>
      <c r="B124" s="26" t="s">
        <v>226</v>
      </c>
      <c r="C124" s="74">
        <f>C19*Exchange_Rate*$C$3/(Market_Price*Common_Shares)</f>
        <v>6.9088519142746635E-2</v>
      </c>
      <c r="D124" s="26"/>
      <c r="E124" s="234"/>
      <c r="F124" s="26"/>
      <c r="G124" s="74">
        <f t="shared" ref="G124" si="49">IF(G$4="","",G123/Market_Price)</f>
        <v>7.1555866396777898E-2</v>
      </c>
      <c r="H124" s="74">
        <f t="shared" ref="H124" si="50">IF(H$4="","",H123/Market_Price)</f>
        <v>5.7236197581810956E-2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x14ac:dyDescent="0.15">
      <c r="B125" s="2" t="s">
        <v>306</v>
      </c>
      <c r="C125" s="151"/>
      <c r="G125" s="22">
        <f>IF(G$4="","",(Data!C47*$C$3)/(Market_Price*Common_Shares))</f>
        <v>7.810534054128509E-3</v>
      </c>
      <c r="H125" s="22">
        <f>IF(H$4="","",(Data!D47*$C$3)/(Market_Price*Common_Shares))</f>
        <v>6.2361289397411725E-3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v>
      </c>
      <c r="E3" s="106" t="s">
        <v>424</v>
      </c>
      <c r="H3" s="106" t="s">
        <v>414</v>
      </c>
    </row>
    <row r="4" spans="2:15" x14ac:dyDescent="0.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x14ac:dyDescent="0.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x14ac:dyDescent="0.15">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x14ac:dyDescent="0.15">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4" x14ac:dyDescent="0.15">
      <c r="B8" s="136" t="s">
        <v>426</v>
      </c>
      <c r="C8" s="283">
        <f>C6+C7</f>
        <v>12865538.018944804</v>
      </c>
      <c r="D8" t="str">
        <f>Reporting_currency</f>
        <v>EUR</v>
      </c>
      <c r="E8" s="140" t="s">
        <v>464</v>
      </c>
      <c r="F8" s="108">
        <f>FV_adjustments*scaling_factor/Common_Shares*Exchange_Rate</f>
        <v>-10.335004564602832</v>
      </c>
      <c r="G8" s="294" t="str">
        <f>Market_currency</f>
        <v>HKD</v>
      </c>
      <c r="H8" s="314" t="str">
        <f>Normalized_FCF!B10</f>
        <v>Net Interest Income</v>
      </c>
      <c r="I8" s="313">
        <f>Normalized_FCF!C10</f>
        <v>-167452.10070594389</v>
      </c>
      <c r="J8" s="313"/>
      <c r="N8" s="304"/>
      <c r="O8" s="304"/>
    </row>
    <row r="9" spans="2:15" ht="14" thickBot="1" x14ac:dyDescent="0.2">
      <c r="B9" s="189" t="str">
        <f>"*"&amp;Thesis!E15</f>
        <v>*EUR/HKD</v>
      </c>
      <c r="C9" s="190">
        <f>Exchange_Rate</f>
        <v>9.2105230273246779</v>
      </c>
      <c r="D9" t="str">
        <f>Thesis!E15</f>
        <v>EUR/HKD</v>
      </c>
      <c r="F9" s="322"/>
      <c r="H9" s="308" t="str">
        <f>Normalized_FCF!B79</f>
        <v>NCI’s Share of Profits</v>
      </c>
      <c r="I9" s="144">
        <f>Normalized_FCF!C79</f>
        <v>8.272029548801568E-4</v>
      </c>
      <c r="J9" s="306"/>
      <c r="N9" s="304"/>
      <c r="O9" s="304"/>
    </row>
    <row r="10" spans="2:15" ht="14" thickTop="1" x14ac:dyDescent="0.15">
      <c r="B10" s="107" t="s">
        <v>427</v>
      </c>
      <c r="C10" s="283">
        <f>C8*Exchange_Rate</f>
        <v>118498334.18241224</v>
      </c>
      <c r="D10" t="str">
        <f>Market_currency</f>
        <v>HKD</v>
      </c>
      <c r="H10" s="308" t="s">
        <v>397</v>
      </c>
      <c r="I10" s="306">
        <f>Normalized_FCF!C41</f>
        <v>0.27810000000000001</v>
      </c>
      <c r="N10" s="304"/>
      <c r="O10" s="304"/>
    </row>
    <row r="11" spans="2:15" x14ac:dyDescent="0.15">
      <c r="B11" s="136" t="s">
        <v>425</v>
      </c>
      <c r="C11" s="108">
        <f>(C10*scaling_factor)/Common_Shares</f>
        <v>46.309685301690244</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v>
      </c>
      <c r="H14" s="106" t="s">
        <v>413</v>
      </c>
    </row>
    <row r="15" spans="2:15" x14ac:dyDescent="0.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x14ac:dyDescent="0.15">
      <c r="B16" s="114" t="s">
        <v>422</v>
      </c>
      <c r="C16" s="147">
        <f>Scenarios!C46</f>
        <v>4.584597022756233E-2</v>
      </c>
      <c r="E16" s="308" t="s">
        <v>400</v>
      </c>
      <c r="F16" s="311">
        <f>Scenarios!C41</f>
        <v>4.584597022756233E-2</v>
      </c>
    </row>
    <row r="17" spans="1:21" ht="13.25" customHeight="1" x14ac:dyDescent="0.15">
      <c r="B17" s="308" t="s">
        <v>550</v>
      </c>
      <c r="C17" s="306">
        <f>Normalized_FCF!C77</f>
        <v>0.20771863979883601</v>
      </c>
      <c r="E17" s="308" t="s">
        <v>551</v>
      </c>
      <c r="F17" s="311">
        <f>Scenarios!C40</f>
        <v>0.20771863979883598</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59.704375522554315</v>
      </c>
      <c r="J18" t="str">
        <f>Market_currency</f>
        <v>HKD</v>
      </c>
    </row>
    <row r="19" spans="1:21" x14ac:dyDescent="0.15">
      <c r="L19" s="275"/>
    </row>
    <row r="20" spans="1:21" ht="14" x14ac:dyDescent="0.2">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x14ac:dyDescent="0.15">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x14ac:dyDescent="0.15">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x14ac:dyDescent="0.15">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x14ac:dyDescent="0.15">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x14ac:dyDescent="0.15">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x14ac:dyDescent="0.15">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x14ac:dyDescent="0.15">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x14ac:dyDescent="0.15">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x14ac:dyDescent="0.15">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x14ac:dyDescent="0.15">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x14ac:dyDescent="0.15">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x14ac:dyDescent="0.15">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x14ac:dyDescent="0.15">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x14ac:dyDescent="0.15">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x14ac:dyDescent="0.15">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x14ac:dyDescent="0.15">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x14ac:dyDescent="0.15">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x14ac:dyDescent="0.15">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x14ac:dyDescent="0.15">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x14ac:dyDescent="0.15">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x14ac:dyDescent="0.15">
      <c r="G52" s="111"/>
      <c r="H52" s="111"/>
      <c r="I52" s="111"/>
      <c r="J52" s="468" t="s">
        <v>420</v>
      </c>
      <c r="K52" s="468"/>
      <c r="L52" s="317">
        <f>SUM(L21:L51)</f>
        <v>19458009.733047292</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19458009.733047292</v>
      </c>
      <c r="B55" s="123">
        <f>C94</f>
        <v>0</v>
      </c>
      <c r="C55" s="123">
        <f>C93</f>
        <v>0.02</v>
      </c>
      <c r="D55" s="123">
        <f>C92</f>
        <v>0.04</v>
      </c>
      <c r="E55" s="123">
        <f>C91</f>
        <v>0.06</v>
      </c>
      <c r="F55" s="123">
        <f>C90</f>
        <v>0.08</v>
      </c>
      <c r="G55" s="123"/>
      <c r="H55" s="123"/>
      <c r="I55" s="123"/>
      <c r="J55" s="123"/>
      <c r="K55" s="123"/>
      <c r="L55" s="123"/>
    </row>
    <row r="56" spans="1:21" x14ac:dyDescent="0.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x14ac:dyDescent="0.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x14ac:dyDescent="0.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x14ac:dyDescent="0.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x14ac:dyDescent="0.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x14ac:dyDescent="0.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x14ac:dyDescent="0.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x14ac:dyDescent="0.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x14ac:dyDescent="0.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x14ac:dyDescent="0.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x14ac:dyDescent="0.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x14ac:dyDescent="0.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x14ac:dyDescent="0.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x14ac:dyDescent="0.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v>
      </c>
      <c r="C72" s="124">
        <f>C55</f>
        <v>0.02</v>
      </c>
      <c r="D72" s="124">
        <f>D55</f>
        <v>0.04</v>
      </c>
      <c r="E72" s="124">
        <f>E55</f>
        <v>0.06</v>
      </c>
      <c r="F72" s="124">
        <f>F55</f>
        <v>0.08</v>
      </c>
      <c r="G72" s="124"/>
      <c r="H72" s="124"/>
      <c r="I72" s="124"/>
      <c r="J72" s="124"/>
      <c r="K72" s="124"/>
      <c r="L72" s="124"/>
    </row>
    <row r="73" spans="1:21" x14ac:dyDescent="0.15">
      <c r="A73" s="131">
        <v>0</v>
      </c>
      <c r="B73" s="119">
        <f>C11</f>
        <v>46.309685301690244</v>
      </c>
      <c r="C73" s="119">
        <f>C11</f>
        <v>46.309685301690244</v>
      </c>
      <c r="D73" s="119">
        <f>C11</f>
        <v>46.309685301690244</v>
      </c>
      <c r="E73" s="119">
        <f>C11</f>
        <v>46.309685301690244</v>
      </c>
      <c r="F73" s="119">
        <f>C11</f>
        <v>46.309685301690244</v>
      </c>
      <c r="G73" s="296"/>
      <c r="H73" s="296"/>
      <c r="I73" s="296"/>
      <c r="J73" s="296"/>
      <c r="K73" s="296"/>
      <c r="L73" s="296"/>
    </row>
    <row r="74" spans="1:21" x14ac:dyDescent="0.15">
      <c r="A74" s="131">
        <v>1</v>
      </c>
      <c r="B74" s="119">
        <f t="shared" ref="B74:F87" si="11">(B56+FV_adjustments)/Common_Shares*scaling_factor*Exchange_Rate</f>
        <v>30.6291949987457</v>
      </c>
      <c r="C74" s="119">
        <f t="shared" si="11"/>
        <v>31.44847899001266</v>
      </c>
      <c r="D74" s="119">
        <f t="shared" si="11"/>
        <v>32.267762981279638</v>
      </c>
      <c r="E74" s="119">
        <f t="shared" si="11"/>
        <v>33.087046972546595</v>
      </c>
      <c r="F74" s="119">
        <f t="shared" si="11"/>
        <v>33.906330963813573</v>
      </c>
      <c r="G74" s="296"/>
      <c r="H74" s="296"/>
      <c r="I74" s="296"/>
      <c r="J74" s="296"/>
      <c r="K74" s="296"/>
      <c r="L74" s="296"/>
    </row>
    <row r="75" spans="1:21" x14ac:dyDescent="0.15">
      <c r="A75" s="131">
        <v>2</v>
      </c>
      <c r="B75" s="119">
        <f t="shared" si="11"/>
        <v>30.578501329264242</v>
      </c>
      <c r="C75" s="119">
        <f t="shared" si="11"/>
        <v>32.175950627647232</v>
      </c>
      <c r="D75" s="119">
        <f t="shared" si="11"/>
        <v>33.80395597232458</v>
      </c>
      <c r="E75" s="119">
        <f t="shared" si="11"/>
        <v>35.462517363296243</v>
      </c>
      <c r="F75" s="119">
        <f t="shared" si="11"/>
        <v>37.15163480056227</v>
      </c>
      <c r="G75" s="296"/>
      <c r="H75" s="296"/>
      <c r="I75" s="296"/>
      <c r="J75" s="296"/>
      <c r="K75" s="296"/>
      <c r="L75" s="296"/>
    </row>
    <row r="76" spans="1:21" x14ac:dyDescent="0.15">
      <c r="A76" s="131">
        <v>3</v>
      </c>
      <c r="B76" s="119">
        <f t="shared" si="11"/>
        <v>30.531234504572918</v>
      </c>
      <c r="C76" s="119">
        <f t="shared" si="11"/>
        <v>32.867811765537446</v>
      </c>
      <c r="D76" s="119">
        <f t="shared" si="11"/>
        <v>35.293597660610565</v>
      </c>
      <c r="E76" s="119">
        <f t="shared" si="11"/>
        <v>37.810301618955549</v>
      </c>
      <c r="F76" s="119">
        <f t="shared" si="11"/>
        <v>40.419633069735738</v>
      </c>
      <c r="G76" s="296"/>
      <c r="H76" s="296"/>
      <c r="I76" s="296"/>
      <c r="J76" s="296"/>
      <c r="K76" s="296"/>
      <c r="L76" s="296"/>
    </row>
    <row r="77" spans="1:21" x14ac:dyDescent="0.15">
      <c r="A77" s="131">
        <v>4</v>
      </c>
      <c r="B77" s="119">
        <f t="shared" si="11"/>
        <v>30.487162873159082</v>
      </c>
      <c r="C77" s="119">
        <f t="shared" si="11"/>
        <v>33.525805574999474</v>
      </c>
      <c r="D77" s="119">
        <f t="shared" si="11"/>
        <v>36.738098691675766</v>
      </c>
      <c r="E77" s="119">
        <f t="shared" si="11"/>
        <v>40.130722421751692</v>
      </c>
      <c r="F77" s="119">
        <f t="shared" si="11"/>
        <v>43.710484473658688</v>
      </c>
      <c r="G77" s="296"/>
      <c r="H77" s="296"/>
      <c r="I77" s="296"/>
      <c r="J77" s="296"/>
      <c r="K77" s="296"/>
      <c r="L77" s="296"/>
    </row>
    <row r="78" spans="1:21" x14ac:dyDescent="0.15">
      <c r="A78" s="131">
        <v>5</v>
      </c>
      <c r="B78" s="119">
        <f t="shared" si="11"/>
        <v>30.446070442936396</v>
      </c>
      <c r="C78" s="119">
        <f t="shared" si="11"/>
        <v>34.151589897285035</v>
      </c>
      <c r="D78" s="119">
        <f t="shared" si="11"/>
        <v>38.138826964223824</v>
      </c>
      <c r="E78" s="119">
        <f t="shared" si="11"/>
        <v>42.424098693046709</v>
      </c>
      <c r="F78" s="119">
        <f t="shared" si="11"/>
        <v>47.024348824462223</v>
      </c>
      <c r="G78" s="296"/>
      <c r="H78" s="296"/>
      <c r="I78" s="296"/>
      <c r="J78" s="296"/>
      <c r="K78" s="296"/>
      <c r="L78" s="296"/>
    </row>
    <row r="79" spans="1:21" x14ac:dyDescent="0.15">
      <c r="A79" s="131">
        <v>6</v>
      </c>
      <c r="B79" s="119">
        <f t="shared" si="11"/>
        <v>30.407755822682148</v>
      </c>
      <c r="C79" s="119">
        <f t="shared" si="11"/>
        <v>34.746741420577592</v>
      </c>
      <c r="D79" s="119">
        <f t="shared" si="11"/>
        <v>39.497108925482586</v>
      </c>
      <c r="E79" s="119">
        <f t="shared" si="11"/>
        <v>44.690745637170465</v>
      </c>
      <c r="F79" s="119">
        <f t="shared" si="11"/>
        <v>50.361387051844801</v>
      </c>
      <c r="G79" s="296"/>
      <c r="H79" s="296"/>
      <c r="I79" s="296"/>
      <c r="J79" s="296"/>
      <c r="K79" s="296"/>
      <c r="L79" s="296"/>
    </row>
    <row r="80" spans="1:21" x14ac:dyDescent="0.15">
      <c r="A80" s="131">
        <f t="shared" ref="A80" si="12">A62</f>
        <v>7</v>
      </c>
      <c r="B80" s="119">
        <f t="shared" si="11"/>
        <v>30.372031235032498</v>
      </c>
      <c r="C80" s="119">
        <f t="shared" si="11"/>
        <v>35.312759652520178</v>
      </c>
      <c r="D80" s="119">
        <f t="shared" si="11"/>
        <v>40.814230827309252</v>
      </c>
      <c r="E80" s="119">
        <f t="shared" si="11"/>
        <v>46.930974784742652</v>
      </c>
      <c r="F80" s="119">
        <f t="shared" si="11"/>
        <v>53.721761210887408</v>
      </c>
      <c r="G80" s="296"/>
      <c r="H80" s="296"/>
      <c r="I80" s="296"/>
      <c r="J80" s="296"/>
      <c r="K80" s="296"/>
      <c r="L80" s="296"/>
    </row>
    <row r="81" spans="1:12" x14ac:dyDescent="0.15">
      <c r="A81" s="131">
        <v>8</v>
      </c>
      <c r="B81" s="119">
        <f t="shared" si="11"/>
        <v>30.338721596198308</v>
      </c>
      <c r="C81" s="119">
        <f t="shared" si="11"/>
        <v>35.851070698283749</v>
      </c>
      <c r="D81" s="119">
        <f t="shared" si="11"/>
        <v>42.091439944232071</v>
      </c>
      <c r="E81" s="119">
        <f t="shared" si="11"/>
        <v>49.145094035490004</v>
      </c>
      <c r="F81" s="119">
        <f t="shared" si="11"/>
        <v>57.105634489923297</v>
      </c>
      <c r="G81" s="296"/>
      <c r="H81" s="296"/>
      <c r="I81" s="296"/>
      <c r="J81" s="296"/>
      <c r="K81" s="296"/>
      <c r="L81" s="296"/>
    </row>
    <row r="82" spans="1:12" x14ac:dyDescent="0.15">
      <c r="A82" s="131">
        <f t="shared" ref="A82" si="13">A64</f>
        <v>9</v>
      </c>
      <c r="B82" s="119">
        <f t="shared" si="11"/>
        <v>30.307663657891389</v>
      </c>
      <c r="C82" s="119">
        <f t="shared" si="11"/>
        <v>36.363030853695257</v>
      </c>
      <c r="D82" s="119">
        <f t="shared" si="11"/>
        <v>43.329945754581473</v>
      </c>
      <c r="E82" s="119">
        <f t="shared" si="11"/>
        <v>51.333407700564308</v>
      </c>
      <c r="F82" s="119">
        <f t="shared" si="11"/>
        <v>60.513171218462929</v>
      </c>
      <c r="G82" s="296"/>
      <c r="H82" s="296"/>
      <c r="I82" s="296"/>
      <c r="J82" s="296"/>
      <c r="K82" s="296"/>
      <c r="L82" s="296"/>
    </row>
    <row r="83" spans="1:12" x14ac:dyDescent="0.15">
      <c r="A83" s="131">
        <f t="shared" ref="A83:A87" si="14">A65</f>
        <v>10</v>
      </c>
      <c r="B83" s="119">
        <f t="shared" si="11"/>
        <v>30.278705207255562</v>
      </c>
      <c r="C83" s="119">
        <f t="shared" si="11"/>
        <v>36.849930022478226</v>
      </c>
      <c r="D83" s="119">
        <f t="shared" si="11"/>
        <v>44.530921085829355</v>
      </c>
      <c r="E83" s="119">
        <f t="shared" si="11"/>
        <v>53.496216544367329</v>
      </c>
      <c r="F83" s="119">
        <f t="shared" si="11"/>
        <v>63.944536875174201</v>
      </c>
      <c r="G83" s="296"/>
      <c r="H83" s="296"/>
      <c r="I83" s="296"/>
      <c r="J83" s="296"/>
      <c r="K83" s="296"/>
      <c r="L83" s="296"/>
    </row>
    <row r="84" spans="1:12" x14ac:dyDescent="0.15">
      <c r="A84" s="131">
        <f t="shared" si="14"/>
        <v>15</v>
      </c>
      <c r="B84" s="119">
        <f t="shared" si="11"/>
        <v>30.160760420603811</v>
      </c>
      <c r="C84" s="119">
        <f t="shared" si="11"/>
        <v>38.949406658856425</v>
      </c>
      <c r="D84" s="119">
        <f t="shared" si="11"/>
        <v>50.011461105984829</v>
      </c>
      <c r="E84" s="119">
        <f t="shared" si="11"/>
        <v>63.937972094119921</v>
      </c>
      <c r="F84" s="119">
        <f t="shared" si="11"/>
        <v>81.464672292977625</v>
      </c>
      <c r="G84" s="296"/>
      <c r="H84" s="296"/>
      <c r="I84" s="296"/>
      <c r="J84" s="296"/>
      <c r="K84" s="296"/>
      <c r="L84" s="296"/>
    </row>
    <row r="85" spans="1:12" x14ac:dyDescent="0.15">
      <c r="A85" s="132">
        <f t="shared" si="14"/>
        <v>20</v>
      </c>
      <c r="B85" s="119">
        <f t="shared" si="11"/>
        <v>30.07764296409178</v>
      </c>
      <c r="C85" s="119">
        <f t="shared" si="11"/>
        <v>40.582930211185598</v>
      </c>
      <c r="D85" s="119">
        <f t="shared" si="11"/>
        <v>54.710440554832722</v>
      </c>
      <c r="E85" s="119">
        <f t="shared" si="11"/>
        <v>73.785253384373206</v>
      </c>
      <c r="F85" s="119">
        <f t="shared" si="11"/>
        <v>99.606027704524323</v>
      </c>
      <c r="G85" s="296"/>
      <c r="H85" s="296"/>
      <c r="I85" s="296"/>
      <c r="J85" s="296"/>
      <c r="K85" s="296"/>
      <c r="L85" s="296"/>
    </row>
    <row r="86" spans="1:12" x14ac:dyDescent="0.15">
      <c r="A86" s="132">
        <f t="shared" si="14"/>
        <v>25</v>
      </c>
      <c r="B86" s="119">
        <f t="shared" si="11"/>
        <v>30.019068848413163</v>
      </c>
      <c r="C86" s="119">
        <f t="shared" si="11"/>
        <v>41.853913250376422</v>
      </c>
      <c r="D86" s="119">
        <f t="shared" si="11"/>
        <v>58.739315041560467</v>
      </c>
      <c r="E86" s="119">
        <f t="shared" si="11"/>
        <v>83.071905264637735</v>
      </c>
      <c r="F86" s="119">
        <f t="shared" si="11"/>
        <v>118.39063001037312</v>
      </c>
      <c r="G86" s="296"/>
      <c r="H86" s="296"/>
      <c r="I86" s="296"/>
      <c r="J86" s="296"/>
      <c r="K86" s="296"/>
      <c r="L86" s="296"/>
    </row>
    <row r="87" spans="1:12" x14ac:dyDescent="0.15">
      <c r="A87" s="132">
        <f t="shared" si="14"/>
        <v>30</v>
      </c>
      <c r="B87" s="119">
        <f t="shared" si="11"/>
        <v>29.97779079237646</v>
      </c>
      <c r="C87" s="119">
        <f t="shared" si="11"/>
        <v>42.842817195842933</v>
      </c>
      <c r="D87" s="119">
        <f t="shared" si="11"/>
        <v>62.193645882225368</v>
      </c>
      <c r="E87" s="119">
        <f t="shared" si="11"/>
        <v>91.829845715732773</v>
      </c>
      <c r="F87" s="119">
        <f t="shared" si="11"/>
        <v>137.84128712964815</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0.08</v>
      </c>
      <c r="D90" s="133">
        <f>Scenarios!D29</f>
        <v>20</v>
      </c>
      <c r="E90" s="127">
        <f>INDEX(B$73:F$87, MATCH(D90, A$73:A$87, 0), MATCH(C90, B$72:F$72, 0))</f>
        <v>99.606027704524323</v>
      </c>
      <c r="F90" s="130">
        <f>Scenarios!F29</f>
        <v>0.15</v>
      </c>
      <c r="G90" s="297"/>
      <c r="H90" s="297"/>
      <c r="I90" s="297"/>
      <c r="J90" s="297"/>
      <c r="K90" s="297"/>
      <c r="L90" s="297"/>
    </row>
    <row r="91" spans="1:12" x14ac:dyDescent="0.15">
      <c r="B91" s="120" t="str">
        <f>Scenarios!B22</f>
        <v>Optimistic</v>
      </c>
      <c r="C91" s="130">
        <f>Scenarios!C22</f>
        <v>0.06</v>
      </c>
      <c r="D91" s="133">
        <f>Scenarios!D22</f>
        <v>20</v>
      </c>
      <c r="E91" s="127">
        <f>INDEX(B$73:F$87, MATCH(D91, A$73:A$87, 0), MATCH(C91, B$72:F$72, 0))</f>
        <v>73.785253384373206</v>
      </c>
      <c r="F91" s="130">
        <f>Scenarios!F22*(1-F$90-F$94)</f>
        <v>0.15999999999999995</v>
      </c>
      <c r="G91" s="297"/>
      <c r="H91" s="297"/>
      <c r="I91" s="297"/>
      <c r="J91" s="297"/>
      <c r="K91" s="297"/>
      <c r="L91" s="297"/>
    </row>
    <row r="92" spans="1:12" x14ac:dyDescent="0.15">
      <c r="B92" s="120" t="str">
        <f>Scenarios!B23</f>
        <v>Base</v>
      </c>
      <c r="C92" s="130">
        <f>Scenarios!C23</f>
        <v>0.04</v>
      </c>
      <c r="D92" s="133">
        <f>Scenarios!D23</f>
        <v>20</v>
      </c>
      <c r="E92" s="127">
        <f>INDEX(B$73:F$87, MATCH(D92, A$73:A$87, 0), MATCH(C92, B$72:F$72, 0))</f>
        <v>54.710440554832722</v>
      </c>
      <c r="F92" s="130">
        <f>Scenarios!F23*(1-F$90-F$94)</f>
        <v>0.44</v>
      </c>
      <c r="G92" s="297"/>
      <c r="H92" s="297"/>
      <c r="I92" s="297"/>
      <c r="J92" s="297"/>
      <c r="K92" s="297"/>
      <c r="L92" s="297"/>
    </row>
    <row r="93" spans="1:12" x14ac:dyDescent="0.15">
      <c r="B93" s="120" t="str">
        <f>Scenarios!B24</f>
        <v>Pessimistic</v>
      </c>
      <c r="C93" s="130">
        <f>Scenarios!C24</f>
        <v>0.02</v>
      </c>
      <c r="D93" s="133">
        <f>Scenarios!D24</f>
        <v>20</v>
      </c>
      <c r="E93" s="127">
        <f>INDEX(B$73:F$87, MATCH(D93, A$73:A$87, 0), MATCH(C93, B$72:F$72, 0))</f>
        <v>40.582930211185598</v>
      </c>
      <c r="F93" s="130">
        <f>Scenarios!F24*(1-F$90-F$94)</f>
        <v>0.19999999999999998</v>
      </c>
      <c r="G93" s="297"/>
      <c r="H93" s="297"/>
      <c r="I93" s="297"/>
      <c r="J93" s="297"/>
      <c r="K93" s="297"/>
      <c r="L93" s="297"/>
    </row>
    <row r="94" spans="1:12" x14ac:dyDescent="0.15">
      <c r="B94" s="120" t="str">
        <f>Scenarios!B30</f>
        <v>Devil's advocate</v>
      </c>
      <c r="C94" s="130">
        <f>Scenarios!C30</f>
        <v>0</v>
      </c>
      <c r="D94" s="133">
        <f>Scenarios!D30</f>
        <v>20</v>
      </c>
      <c r="E94" s="127">
        <f>INDEX(B$73:F$87, MATCH(D94, A$73:A$87, 0), MATCH(C94, B$72:F$72, 0))</f>
        <v>30.07764296409178</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543</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 EUR</v>
      </c>
      <c r="D6" s="469"/>
      <c r="E6" s="469"/>
      <c r="F6" s="469"/>
      <c r="G6" s="469"/>
    </row>
    <row r="7" spans="2:7" ht="12.75" customHeight="1" x14ac:dyDescent="0.15">
      <c r="B7" s="97" t="s">
        <v>232</v>
      </c>
      <c r="C7" s="447">
        <f>Normalized_FCF!G8</f>
        <v>1279550</v>
      </c>
      <c r="D7" s="469"/>
      <c r="E7" s="469"/>
      <c r="F7" s="469"/>
      <c r="G7" s="469"/>
    </row>
    <row r="8" spans="2:7" x14ac:dyDescent="0.15">
      <c r="B8" s="97" t="s">
        <v>63</v>
      </c>
      <c r="C8" s="447">
        <f>Normalized_FCF!G19</f>
        <v>838907</v>
      </c>
      <c r="D8" s="469"/>
      <c r="E8" s="469"/>
      <c r="F8" s="469"/>
      <c r="G8" s="469"/>
    </row>
    <row r="9" spans="2:7" x14ac:dyDescent="0.15">
      <c r="B9" s="97" t="s">
        <v>54</v>
      </c>
      <c r="C9" s="447">
        <f>Normalized_FCF!C19</f>
        <v>809980.30276234611</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t="e">
        <f ca="1">(Normalized_FCF!G4/OFFSET(Normalized_FCF!G4, 0, $C$4))^(1/$C$4) - 1</f>
        <v>#VALUE!</v>
      </c>
      <c r="D12" s="469"/>
      <c r="E12" s="469"/>
      <c r="F12" s="469"/>
      <c r="G12" s="469"/>
    </row>
    <row r="13" spans="2:7" x14ac:dyDescent="0.15">
      <c r="B13" s="135" t="s">
        <v>127</v>
      </c>
      <c r="C13" s="249" t="e">
        <f ca="1">(Normalized_FCF!G8/OFFSET(Normalized_FCF!G8, 0, $C$4))^(1/$C$4) - 1</f>
        <v>#VALUE!</v>
      </c>
      <c r="D13" s="469"/>
      <c r="E13" s="469"/>
      <c r="F13" s="469"/>
      <c r="G13" s="469"/>
    </row>
    <row r="14" spans="2:7" x14ac:dyDescent="0.15">
      <c r="B14" s="97" t="s">
        <v>63</v>
      </c>
      <c r="C14" s="249" t="e">
        <f ca="1">(Normalized_FCF!G19/OFFSET(Normalized_FCF!G19, 0, $C$4))^(1/$C$4) - 1</f>
        <v>#VALUE!</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20</v>
      </c>
      <c r="E18" s="450" t="s">
        <v>544</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0.06</v>
      </c>
      <c r="D22" s="325">
        <f>C18</f>
        <v>20</v>
      </c>
      <c r="E22" s="326">
        <f>DCF!E91</f>
        <v>73.785253384373206</v>
      </c>
      <c r="F22" s="328">
        <f>1-F23-F24</f>
        <v>0.19999999999999996</v>
      </c>
      <c r="G22" s="328">
        <f>F22*(1-F$29-F$30)</f>
        <v>0.15999999999999995</v>
      </c>
    </row>
    <row r="23" spans="2:7" x14ac:dyDescent="0.15">
      <c r="B23" s="302" t="s">
        <v>437</v>
      </c>
      <c r="C23" s="324">
        <v>0.04</v>
      </c>
      <c r="D23" s="325">
        <f>C18</f>
        <v>20</v>
      </c>
      <c r="E23" s="326">
        <f>DCF!E92</f>
        <v>54.710440554832722</v>
      </c>
      <c r="F23" s="327">
        <v>0.55000000000000004</v>
      </c>
      <c r="G23" s="328">
        <f t="shared" ref="G23:G24" si="0">F23*(1-F$29-F$30)</f>
        <v>0.44</v>
      </c>
    </row>
    <row r="24" spans="2:7" x14ac:dyDescent="0.15">
      <c r="B24" s="302" t="s">
        <v>446</v>
      </c>
      <c r="C24" s="324">
        <v>0.02</v>
      </c>
      <c r="D24" s="325">
        <f>C18</f>
        <v>20</v>
      </c>
      <c r="E24" s="326">
        <f>DCF!E93</f>
        <v>40.582930211185598</v>
      </c>
      <c r="F24" s="327">
        <v>0.25</v>
      </c>
      <c r="G24" s="328">
        <f t="shared" si="0"/>
        <v>0.19999999999999998</v>
      </c>
    </row>
    <row r="25" spans="2:7" x14ac:dyDescent="0.15">
      <c r="B25" s="141" t="s">
        <v>451</v>
      </c>
      <c r="C25" s="441">
        <f>E23*F23+E24*F24+E22*F22</f>
        <v>54.993525534829033</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0.08</v>
      </c>
      <c r="D29" s="325">
        <f>C18</f>
        <v>20</v>
      </c>
      <c r="E29" s="326">
        <f>DCF!E90</f>
        <v>99.606027704524323</v>
      </c>
      <c r="F29" s="327">
        <v>0.15</v>
      </c>
      <c r="G29" s="328">
        <f>F29</f>
        <v>0.15</v>
      </c>
    </row>
    <row r="30" spans="2:7" x14ac:dyDescent="0.15">
      <c r="B30" s="315" t="s">
        <v>447</v>
      </c>
      <c r="C30" s="324">
        <v>0</v>
      </c>
      <c r="D30" s="325">
        <f>C18</f>
        <v>20</v>
      </c>
      <c r="E30" s="326">
        <f>DCF!E94</f>
        <v>30.07764296409178</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1.431802</v>
      </c>
      <c r="D33" t="str">
        <f>Market_currency</f>
        <v>HKD</v>
      </c>
      <c r="E33" s="97" t="s">
        <v>455</v>
      </c>
      <c r="F33" s="219">
        <f>Holding_Period</f>
        <v>3</v>
      </c>
    </row>
    <row r="34" spans="2:7" x14ac:dyDescent="0.15">
      <c r="B34" s="97" t="s">
        <v>233</v>
      </c>
      <c r="C34" s="146">
        <f>Market_Price</f>
        <v>42.2</v>
      </c>
      <c r="D34" t="str">
        <f>Market_currency</f>
        <v>HKD</v>
      </c>
      <c r="E34" s="97" t="s">
        <v>454</v>
      </c>
      <c r="F34" s="330">
        <f>RATE(Holding_Period,$C$33,-C34,$C$36)</f>
        <v>0.15751340909520897</v>
      </c>
    </row>
    <row r="35" spans="2:7" x14ac:dyDescent="0.15">
      <c r="B35" s="97" t="s">
        <v>434</v>
      </c>
      <c r="C35" s="320">
        <f>DCF!C11</f>
        <v>46.309685301690244</v>
      </c>
      <c r="D35" s="97" t="str">
        <f>Market_currency</f>
        <v>HKD</v>
      </c>
      <c r="E35" s="97" t="s">
        <v>454</v>
      </c>
      <c r="F35" s="330">
        <f>RATE(Holding_Period,$C$33,-C35,$C$36)</f>
        <v>0.12123248939632798</v>
      </c>
    </row>
    <row r="36" spans="2:7" x14ac:dyDescent="0.15">
      <c r="B36" s="97" t="s">
        <v>435</v>
      </c>
      <c r="C36" s="321">
        <f>E22*G22+E23*G23+E24*G24+E30*G30+E29*G29</f>
        <v>60.439606731746466</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1-stage DCF</v>
      </c>
      <c r="E39" s="222" t="s">
        <v>251</v>
      </c>
    </row>
    <row r="40" spans="2:7" x14ac:dyDescent="0.15">
      <c r="B40" t="s">
        <v>551</v>
      </c>
      <c r="C40" s="126">
        <f>Normalized_FCF!E116</f>
        <v>0.20771863979883598</v>
      </c>
      <c r="E40" s="97" t="s">
        <v>401</v>
      </c>
    </row>
    <row r="41" spans="2:7" x14ac:dyDescent="0.15">
      <c r="B41" s="97" t="s">
        <v>400</v>
      </c>
      <c r="C41" s="455">
        <f>DCF!C16</f>
        <v>4.584597022756233E-2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20</v>
      </c>
      <c r="D45" s="137"/>
      <c r="E45" s="221" t="s">
        <v>307</v>
      </c>
    </row>
    <row r="46" spans="2:7" ht="14" x14ac:dyDescent="0.15">
      <c r="B46" s="114" t="s">
        <v>112</v>
      </c>
      <c r="C46" s="138">
        <v>4.584597022756233E-2</v>
      </c>
      <c r="D46" s="138"/>
      <c r="E46" s="221" t="s">
        <v>252</v>
      </c>
    </row>
    <row r="47" spans="2:7" x14ac:dyDescent="0.15">
      <c r="B47" s="97" t="s">
        <v>96</v>
      </c>
      <c r="C47" s="146">
        <f>DCF!I18</f>
        <v>59.704375522554315</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Low Growth </v>
      </c>
      <c r="E49" s="222" t="s">
        <v>254</v>
      </c>
    </row>
    <row r="50" spans="2:7" x14ac:dyDescent="0.15">
      <c r="B50" s="97" t="s">
        <v>250</v>
      </c>
      <c r="C50" s="218" t="str">
        <f>IF(C36&lt;C35,"Y","N")</f>
        <v>N</v>
      </c>
      <c r="E50" s="126"/>
    </row>
    <row r="51" spans="2:7" x14ac:dyDescent="0.15">
      <c r="B51" s="97" t="s">
        <v>246</v>
      </c>
      <c r="C51" s="218" t="str">
        <f>IF(C50="Y","N",IF(C46&gt;8%,"N","Y"))</f>
        <v>Y</v>
      </c>
      <c r="E51" s="221" t="s">
        <v>247</v>
      </c>
    </row>
    <row r="52" spans="2:7" x14ac:dyDescent="0.15">
      <c r="B52" s="97" t="s">
        <v>245</v>
      </c>
      <c r="C52" s="218" t="str">
        <f>IF(C46&gt;8%,"Y","N")</f>
        <v>N</v>
      </c>
      <c r="E52" s="221"/>
    </row>
    <row r="53" spans="2:7" x14ac:dyDescent="0.15">
      <c r="B53" s="97" t="s">
        <v>237</v>
      </c>
      <c r="C53" s="217" t="str">
        <f>IF(F53&gt;50%,"Y","N")</f>
        <v>N</v>
      </c>
      <c r="E53" s="126" t="s">
        <v>273</v>
      </c>
      <c r="F53" s="249">
        <f>BS!D89/C36</f>
        <v>-0.17099721727961331</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1.431802</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2.6199851463776214</v>
      </c>
      <c r="D62" s="119">
        <f>C36/(1+F62)^Holding_Period</f>
        <v>27.852353332602064</v>
      </c>
      <c r="E62" s="332">
        <f>C62+D62</f>
        <v>30.472338478979687</v>
      </c>
      <c r="F62" s="301">
        <f>Thesis!E22</f>
        <v>0.29465259038036606</v>
      </c>
      <c r="G62" s="440">
        <f>(1-E62/C36)</f>
        <v>0.49582169496523532</v>
      </c>
    </row>
    <row r="63" spans="2:7" x14ac:dyDescent="0.15">
      <c r="B63" s="302" t="s">
        <v>313</v>
      </c>
      <c r="C63" s="119">
        <f>PV(F63, Holding_Period, -C58, 0)</f>
        <v>3.0125170597077604</v>
      </c>
      <c r="D63" s="119">
        <f>C36/(1+F63)^Holding_Period</f>
        <v>34.910964177182088</v>
      </c>
      <c r="E63" s="332">
        <f>C63+D63</f>
        <v>37.923481236889849</v>
      </c>
      <c r="F63" s="301">
        <f>Thesis!E23</f>
        <v>0.20075184365903009</v>
      </c>
      <c r="G63" s="440">
        <f>(1-E63/C36)</f>
        <v>0.37253924557768192</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3.4543699809252097</v>
      </c>
      <c r="D66" s="119">
        <f>C36/(1+F66)^Holding_Period</f>
        <v>43.320716274706704</v>
      </c>
      <c r="E66" s="332">
        <f>C66+D66</f>
        <v>46.775086255631912</v>
      </c>
      <c r="F66" s="301">
        <f>Thesis!E24</f>
        <v>0.1174</v>
      </c>
      <c r="G66" s="440">
        <f>(1-E66/C36)</f>
        <v>0.22608552925836856</v>
      </c>
    </row>
    <row r="67" spans="2:7" x14ac:dyDescent="0.15">
      <c r="B67" s="302" t="s">
        <v>314</v>
      </c>
      <c r="C67" s="119">
        <f>PV(F67, Holding_Period, -C58, 0)</f>
        <v>3.7404040750167789</v>
      </c>
      <c r="D67" s="119">
        <f>C36/(1+F67)^Holding_Period</f>
        <v>48.992514207704659</v>
      </c>
      <c r="E67" s="332">
        <f>C67+D67</f>
        <v>52.732918282721435</v>
      </c>
      <c r="F67" s="301">
        <f>Thesis!E25</f>
        <v>7.2499999999999995E-2</v>
      </c>
      <c r="G67" s="440">
        <f>(1-E67/C36)</f>
        <v>0.12751056576576003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542</v>
      </c>
      <c r="F3" s="436">
        <f>Thesis!F3</f>
        <v>46065</v>
      </c>
    </row>
    <row r="4" spans="1:10" x14ac:dyDescent="0.2">
      <c r="B4" s="422" t="s">
        <v>534</v>
      </c>
      <c r="C4" s="423" t="str">
        <f>Thesis!C4</f>
        <v>Prada S.p.A.</v>
      </c>
      <c r="D4" s="349"/>
      <c r="E4" s="434" t="s">
        <v>540</v>
      </c>
      <c r="F4" s="437" t="str">
        <f>Thesis!F4</f>
        <v>INT</v>
      </c>
    </row>
    <row r="5" spans="1:10" x14ac:dyDescent="0.2">
      <c r="B5" s="343" t="s">
        <v>364</v>
      </c>
      <c r="C5" s="355" t="str">
        <f>Thesis!C5</f>
        <v>1913.HK</v>
      </c>
      <c r="E5" s="438" t="s">
        <v>541</v>
      </c>
      <c r="F5" s="439" t="str">
        <f>Thesis!F5</f>
        <v>Y</v>
      </c>
    </row>
    <row r="6" spans="1:10" x14ac:dyDescent="0.2">
      <c r="B6" s="350" t="s">
        <v>336</v>
      </c>
      <c r="C6" s="352" t="str">
        <f>Thesis!C6</f>
        <v>CNS_01</v>
      </c>
      <c r="E6" s="354"/>
    </row>
    <row r="7" spans="1:10" x14ac:dyDescent="0.2">
      <c r="B7" s="343" t="s">
        <v>366</v>
      </c>
      <c r="C7" s="352" t="str">
        <f>Market_currency</f>
        <v>HKD</v>
      </c>
      <c r="D7" s="354"/>
      <c r="E7" s="354"/>
    </row>
    <row r="8" spans="1:10" x14ac:dyDescent="0.2">
      <c r="B8" s="351" t="s">
        <v>365</v>
      </c>
      <c r="C8" s="356">
        <f>Market_Price</f>
        <v>42.2</v>
      </c>
    </row>
    <row r="9" spans="1:10" x14ac:dyDescent="0.2">
      <c r="B9" s="351" t="s">
        <v>361</v>
      </c>
      <c r="C9" s="353">
        <f>Common_Shares</f>
        <v>2558824000</v>
      </c>
    </row>
    <row r="10" spans="1:10" x14ac:dyDescent="0.2">
      <c r="B10" s="351" t="s">
        <v>367</v>
      </c>
      <c r="C10" s="357">
        <f>投资主题!C8*Common_Shares/1000000</f>
        <v>107982.3728</v>
      </c>
      <c r="D10" s="343" t="s">
        <v>529</v>
      </c>
      <c r="E10" s="360">
        <f>Scenarios!F34</f>
        <v>0.15751340909520897</v>
      </c>
    </row>
    <row r="11" spans="1:10" x14ac:dyDescent="0.2">
      <c r="D11" s="349"/>
      <c r="E11" s="349"/>
    </row>
    <row r="12" spans="1:10" ht="24.5" customHeight="1" x14ac:dyDescent="0.2">
      <c r="B12" s="474" t="s">
        <v>498</v>
      </c>
      <c r="C12" s="474"/>
      <c r="D12" s="474"/>
      <c r="E12" s="474"/>
      <c r="F12" s="474"/>
    </row>
    <row r="14" spans="1:10" x14ac:dyDescent="0.2">
      <c r="B14" s="347" t="s">
        <v>370</v>
      </c>
      <c r="C14" s="348"/>
      <c r="D14" s="349"/>
    </row>
    <row r="15" spans="1:10" x14ac:dyDescent="0.2">
      <c r="B15" s="343" t="s">
        <v>337</v>
      </c>
      <c r="C15" s="358" t="str">
        <f>Thesis!C15</f>
        <v>N</v>
      </c>
      <c r="D15" s="351" t="s">
        <v>368</v>
      </c>
      <c r="E15" s="344" t="str">
        <f>IF(E17=C7,C7,E17&amp;"/"&amp;C7)</f>
        <v>EUR/HKD</v>
      </c>
    </row>
    <row r="16" spans="1:10" x14ac:dyDescent="0.2">
      <c r="B16" s="343" t="s">
        <v>338</v>
      </c>
      <c r="C16" s="358" t="str">
        <f>Thesis!C16</f>
        <v>N</v>
      </c>
      <c r="D16" s="351" t="s">
        <v>369</v>
      </c>
      <c r="E16" s="425">
        <f>Exchange_Rate</f>
        <v>9.2105230273246779</v>
      </c>
    </row>
    <row r="17" spans="1:6" x14ac:dyDescent="0.2">
      <c r="B17" s="343" t="s">
        <v>535</v>
      </c>
      <c r="C17" s="424">
        <f>Terminal_Growth</f>
        <v>0.02</v>
      </c>
      <c r="D17" s="351" t="s">
        <v>339</v>
      </c>
      <c r="E17" s="344" t="str">
        <f>Reporting_currency</f>
        <v>EUR</v>
      </c>
    </row>
    <row r="18" spans="1:6" x14ac:dyDescent="0.2">
      <c r="B18" s="343" t="str">
        <f>"预期股权价值 ("&amp;C7&amp;") :"</f>
        <v>预期股权价值 (HKD) :</v>
      </c>
      <c r="C18" s="359">
        <f>C125</f>
        <v>60.439606731746466</v>
      </c>
      <c r="D18" s="350" t="s">
        <v>362</v>
      </c>
      <c r="E18" s="426">
        <f>Thesis!E18</f>
        <v>6</v>
      </c>
    </row>
    <row r="19" spans="1:6" x14ac:dyDescent="0.2">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30.472338478979687</v>
      </c>
      <c r="D22" s="365" t="s">
        <v>440</v>
      </c>
      <c r="E22" s="366">
        <f>Thesis!E22</f>
        <v>0.29465259038036606</v>
      </c>
    </row>
    <row r="23" spans="1:6" x14ac:dyDescent="0.2">
      <c r="B23" s="343" t="s">
        <v>341</v>
      </c>
      <c r="C23" s="367">
        <f>E141</f>
        <v>37.923481236889849</v>
      </c>
      <c r="D23" s="365" t="s">
        <v>441</v>
      </c>
      <c r="E23" s="368">
        <f>Thesis!E23</f>
        <v>0.20075184365903009</v>
      </c>
    </row>
    <row r="24" spans="1:6" x14ac:dyDescent="0.2">
      <c r="B24" s="343" t="s">
        <v>343</v>
      </c>
      <c r="C24" s="367">
        <f>E144</f>
        <v>46.775086255631912</v>
      </c>
      <c r="D24" s="365" t="s">
        <v>443</v>
      </c>
      <c r="E24" s="368">
        <f>Thesis!E24</f>
        <v>0.1174</v>
      </c>
    </row>
    <row r="25" spans="1:6" x14ac:dyDescent="0.2">
      <c r="B25" s="343" t="s">
        <v>342</v>
      </c>
      <c r="C25" s="367">
        <f>E145</f>
        <v>52.732918282721435</v>
      </c>
      <c r="D25" s="365" t="s">
        <v>442</v>
      </c>
      <c r="E25" s="368">
        <f>Thesis!E25</f>
        <v>7.2499999999999995E-2</v>
      </c>
    </row>
    <row r="27" spans="1:6" ht="16" x14ac:dyDescent="0.25">
      <c r="A27" s="345" t="s">
        <v>345</v>
      </c>
      <c r="B27" s="345"/>
      <c r="C27" s="345"/>
      <c r="D27" s="345"/>
      <c r="E27" s="345"/>
      <c r="F27" s="345"/>
    </row>
    <row r="29" spans="1:6" x14ac:dyDescent="0.2">
      <c r="B29" s="474" t="s">
        <v>499</v>
      </c>
      <c r="C29" s="474"/>
      <c r="D29" s="474"/>
      <c r="E29" s="474"/>
      <c r="F29" s="474"/>
    </row>
    <row r="30" spans="1:6" ht="24.5" customHeight="1" x14ac:dyDescent="0.2">
      <c r="B30" s="477" t="s">
        <v>500</v>
      </c>
      <c r="C30" s="477"/>
      <c r="D30" s="477"/>
      <c r="E30" s="477"/>
      <c r="F30" s="477"/>
    </row>
    <row r="32" spans="1:6" x14ac:dyDescent="0.2">
      <c r="B32" s="369" t="s">
        <v>371</v>
      </c>
      <c r="C32" s="370">
        <f>scaling_factor</f>
        <v>1000</v>
      </c>
    </row>
    <row r="33" spans="2:6" x14ac:dyDescent="0.2">
      <c r="B33" s="470" t="s">
        <v>501</v>
      </c>
      <c r="C33" s="470"/>
      <c r="D33" s="470"/>
      <c r="E33" s="470"/>
      <c r="F33" s="470"/>
    </row>
    <row r="34" spans="2:6" x14ac:dyDescent="0.2">
      <c r="B34" s="372" t="s">
        <v>197</v>
      </c>
      <c r="C34" s="373">
        <f>Normalized_FCF!C8</f>
        <v>1295687.7327357903</v>
      </c>
      <c r="D34" s="343" t="str">
        <f>Reporting_currency</f>
        <v>EUR</v>
      </c>
    </row>
    <row r="35" spans="2:6" x14ac:dyDescent="0.2">
      <c r="B35" s="372"/>
      <c r="C35" s="374"/>
    </row>
    <row r="36" spans="2:6" ht="24.5" customHeight="1" x14ac:dyDescent="0.2">
      <c r="B36" s="470" t="s">
        <v>502</v>
      </c>
      <c r="C36" s="470"/>
      <c r="D36" s="470"/>
      <c r="E36" s="470"/>
      <c r="F36" s="470"/>
    </row>
    <row r="37" spans="2:6" x14ac:dyDescent="0.2">
      <c r="B37" s="372" t="s">
        <v>199</v>
      </c>
      <c r="C37" s="373">
        <f>Normalized_FCF!C15</f>
        <v>0</v>
      </c>
      <c r="D37" s="343" t="str">
        <f>Reporting_currency</f>
        <v>EUR</v>
      </c>
    </row>
    <row r="38" spans="2:6" x14ac:dyDescent="0.2">
      <c r="B38" s="375" t="s">
        <v>200</v>
      </c>
      <c r="C38" s="373">
        <f>Normalized_FCF!C16</f>
        <v>0</v>
      </c>
      <c r="D38" s="343" t="str">
        <f>Reporting_currency</f>
        <v>EUR</v>
      </c>
    </row>
    <row r="40" spans="2:6" x14ac:dyDescent="0.2">
      <c r="B40" s="470" t="s">
        <v>503</v>
      </c>
      <c r="C40" s="470"/>
      <c r="D40" s="470"/>
      <c r="E40" s="470"/>
      <c r="F40" s="470"/>
    </row>
    <row r="41" spans="2:6" x14ac:dyDescent="0.2">
      <c r="B41" s="372" t="s">
        <v>202</v>
      </c>
      <c r="C41" s="373">
        <f>Normalized_FCF!C9</f>
        <v>0</v>
      </c>
      <c r="D41" s="343" t="str">
        <f>Reporting_currency</f>
        <v>EUR</v>
      </c>
    </row>
    <row r="43" spans="2:6" x14ac:dyDescent="0.2">
      <c r="B43" s="470" t="s">
        <v>504</v>
      </c>
      <c r="C43" s="470"/>
      <c r="D43" s="470"/>
      <c r="E43" s="470"/>
      <c r="F43" s="470"/>
    </row>
    <row r="44" spans="2:6" x14ac:dyDescent="0.2">
      <c r="B44" s="372" t="s">
        <v>267</v>
      </c>
      <c r="C44" s="376">
        <f>Normalized_FCF!C46</f>
        <v>3899.7992940561048</v>
      </c>
      <c r="D44" s="343" t="str">
        <f>Reporting_currency</f>
        <v>EUR</v>
      </c>
      <c r="E44" s="371"/>
      <c r="F44" s="371"/>
    </row>
    <row r="45" spans="2:6" x14ac:dyDescent="0.2">
      <c r="B45" s="372" t="s">
        <v>268</v>
      </c>
      <c r="C45" s="376">
        <f>Normalized_FCF!C45</f>
        <v>-171351.9</v>
      </c>
      <c r="D45" s="343" t="str">
        <f>Reporting_currency</f>
        <v>EUR</v>
      </c>
      <c r="E45" s="371"/>
      <c r="F45" s="371"/>
    </row>
    <row r="46" spans="2:6" x14ac:dyDescent="0.2">
      <c r="B46" s="372" t="s">
        <v>203</v>
      </c>
      <c r="C46" s="373">
        <f>Normalized_FCF!C10</f>
        <v>-167452.10070594389</v>
      </c>
      <c r="D46" s="343" t="str">
        <f>Reporting_currency</f>
        <v>EUR</v>
      </c>
    </row>
    <row r="48" spans="2:6" x14ac:dyDescent="0.2">
      <c r="B48" s="343" t="s">
        <v>505</v>
      </c>
    </row>
    <row r="49" spans="2:6" x14ac:dyDescent="0.2">
      <c r="B49" s="372" t="s">
        <v>223</v>
      </c>
      <c r="C49" s="373">
        <f>Normalized_FCF!C13</f>
        <v>-4493</v>
      </c>
      <c r="D49" s="343" t="str">
        <f>Reporting_currency</f>
        <v>EUR</v>
      </c>
    </row>
    <row r="51" spans="2:6" x14ac:dyDescent="0.2">
      <c r="B51" s="470" t="s">
        <v>506</v>
      </c>
      <c r="C51" s="470"/>
      <c r="D51" s="470"/>
      <c r="E51" s="470"/>
      <c r="F51" s="470"/>
    </row>
    <row r="52" spans="2:6" x14ac:dyDescent="0.2">
      <c r="B52" s="372" t="s">
        <v>496</v>
      </c>
      <c r="C52" s="373">
        <f>Normalized_FCF!C12</f>
        <v>-313762.32926750026</v>
      </c>
      <c r="D52" s="343" t="str">
        <f>Reporting_currency</f>
        <v>EUR</v>
      </c>
    </row>
    <row r="54" spans="2:6" x14ac:dyDescent="0.2">
      <c r="B54" s="470" t="s">
        <v>507</v>
      </c>
      <c r="C54" s="476"/>
      <c r="D54" s="476"/>
      <c r="E54" s="476"/>
      <c r="F54" s="476"/>
    </row>
    <row r="55" spans="2:6" x14ac:dyDescent="0.2">
      <c r="B55" s="372" t="s">
        <v>207</v>
      </c>
      <c r="C55" s="373">
        <f>Normalized_FCF!C17</f>
        <v>0</v>
      </c>
      <c r="D55" s="343" t="str">
        <f>Reporting_currency</f>
        <v>EUR</v>
      </c>
    </row>
    <row r="57" spans="2:6" x14ac:dyDescent="0.2">
      <c r="B57" s="474" t="s">
        <v>508</v>
      </c>
      <c r="C57" s="474"/>
      <c r="D57" s="474"/>
      <c r="E57" s="474"/>
      <c r="F57" s="474"/>
    </row>
    <row r="58" spans="2:6" x14ac:dyDescent="0.2">
      <c r="B58" s="474" t="s">
        <v>509</v>
      </c>
      <c r="C58" s="474"/>
      <c r="D58" s="474"/>
      <c r="E58" s="474"/>
      <c r="F58" s="474"/>
    </row>
    <row r="60" spans="2:6" x14ac:dyDescent="0.2">
      <c r="B60" s="372" t="s">
        <v>372</v>
      </c>
      <c r="C60" s="373">
        <f>Normalized_FCF!G19</f>
        <v>838907</v>
      </c>
      <c r="D60" s="343" t="str">
        <f>Reporting_currency</f>
        <v>EUR</v>
      </c>
    </row>
    <row r="61" spans="2:6" x14ac:dyDescent="0.2">
      <c r="B61" s="372" t="s">
        <v>213</v>
      </c>
      <c r="C61" s="373">
        <f>Normalized_FCF!C19</f>
        <v>809980.30276234611</v>
      </c>
      <c r="D61" s="343" t="str">
        <f>Reporting_currency</f>
        <v>EUR</v>
      </c>
    </row>
    <row r="62" spans="2:6" x14ac:dyDescent="0.2">
      <c r="B62" s="377" t="s">
        <v>302</v>
      </c>
      <c r="C62" s="378">
        <f>Normalized_FCF!C124</f>
        <v>6.9088519142746635E-2</v>
      </c>
      <c r="F62" s="379"/>
    </row>
    <row r="63" spans="2:6" x14ac:dyDescent="0.2">
      <c r="B63" s="377" t="s">
        <v>332</v>
      </c>
      <c r="C63" s="378">
        <f>Normalized_FCF!C92</f>
        <v>3.392895734597156E-2</v>
      </c>
      <c r="E63" s="372" t="s">
        <v>373</v>
      </c>
      <c r="F63" s="380">
        <f>Normalized_FCF!C90</f>
        <v>4.5232326123897897</v>
      </c>
    </row>
    <row r="65" spans="1:6" x14ac:dyDescent="0.2">
      <c r="B65" s="369" t="s">
        <v>376</v>
      </c>
      <c r="C65" s="381" t="s">
        <v>327</v>
      </c>
      <c r="D65" s="381" t="s">
        <v>374</v>
      </c>
    </row>
    <row r="66" spans="1:6" x14ac:dyDescent="0.2">
      <c r="B66" s="372" t="s">
        <v>326</v>
      </c>
      <c r="C66" s="378">
        <f>Normalized_FCF!E119</f>
        <v>0.2658092571428613</v>
      </c>
      <c r="D66" s="378">
        <f>Normalized_FCF!G119</f>
        <v>0.28005991710273764</v>
      </c>
    </row>
    <row r="67" spans="1:6" x14ac:dyDescent="0.2">
      <c r="B67" s="382" t="str">
        <f>Normalized_FCF!B116</f>
        <v>Pre-tax Profit/Sales</v>
      </c>
      <c r="C67" s="383">
        <f>Normalized_FCF!E116</f>
        <v>0.20771863979883598</v>
      </c>
      <c r="D67" s="383">
        <f>Normalized_FCF!G116</f>
        <v>0.21885492502426099</v>
      </c>
    </row>
    <row r="68" spans="1:6" x14ac:dyDescent="0.2">
      <c r="B68" s="382" t="str">
        <f>Normalized_FCF!B117</f>
        <v>Sales/Total Assets</v>
      </c>
      <c r="C68" s="384">
        <f>Normalized_FCF!E117</f>
        <v>0.65265738052043343</v>
      </c>
      <c r="D68" s="384">
        <f>Normalized_FCF!G117</f>
        <v>0.65265738052043343</v>
      </c>
    </row>
    <row r="69" spans="1:6" x14ac:dyDescent="0.2">
      <c r="B69" s="382" t="str">
        <f>Normalized_FCF!B118</f>
        <v>Total Assets/Equity</v>
      </c>
      <c r="C69" s="384">
        <f>Normalized_FCF!E118</f>
        <v>1.9606920057834423</v>
      </c>
      <c r="D69" s="384">
        <f>Normalized_FCF!G118</f>
        <v>1.9606920057834423</v>
      </c>
    </row>
    <row r="71" spans="1:6" ht="16" x14ac:dyDescent="0.25">
      <c r="A71" s="345" t="s">
        <v>476</v>
      </c>
      <c r="B71" s="345"/>
      <c r="C71" s="345"/>
      <c r="D71" s="345"/>
      <c r="E71" s="345"/>
      <c r="F71" s="345"/>
    </row>
    <row r="72" spans="1:6" x14ac:dyDescent="0.2">
      <c r="A72" s="385"/>
    </row>
    <row r="73" spans="1:6" x14ac:dyDescent="0.2">
      <c r="A73" s="386"/>
      <c r="B73" s="474" t="s">
        <v>510</v>
      </c>
      <c r="C73" s="474"/>
      <c r="D73" s="474"/>
      <c r="E73" s="474"/>
      <c r="F73" s="474"/>
    </row>
    <row r="74" spans="1:6" x14ac:dyDescent="0.2">
      <c r="B74" s="477" t="s">
        <v>479</v>
      </c>
      <c r="C74" s="477"/>
      <c r="D74" s="477"/>
      <c r="E74" s="477"/>
      <c r="F74" s="477"/>
    </row>
    <row r="76" spans="1:6" x14ac:dyDescent="0.2">
      <c r="B76" s="369" t="s">
        <v>371</v>
      </c>
    </row>
    <row r="77" spans="1:6" x14ac:dyDescent="0.2">
      <c r="B77" s="474" t="s">
        <v>511</v>
      </c>
      <c r="C77" s="474"/>
      <c r="D77" s="474"/>
      <c r="E77" s="474"/>
      <c r="F77" s="474"/>
    </row>
    <row r="78" spans="1:6" x14ac:dyDescent="0.2">
      <c r="B78" s="343" t="s">
        <v>215</v>
      </c>
      <c r="C78" s="373">
        <f>DCF!F4</f>
        <v>-2855865</v>
      </c>
      <c r="D78" s="343" t="str">
        <f>Reporting_currency</f>
        <v>EUR</v>
      </c>
    </row>
    <row r="79" spans="1:6" x14ac:dyDescent="0.2">
      <c r="B79" s="372" t="s">
        <v>234</v>
      </c>
      <c r="C79" s="387">
        <f>C78*scaling_factor*Exchange_Rate/Common_Shares</f>
        <v>-10.279726290448499</v>
      </c>
      <c r="D79" s="343" t="str">
        <f>Market_currency</f>
        <v>HKD</v>
      </c>
    </row>
    <row r="80" spans="1:6" x14ac:dyDescent="0.2">
      <c r="B80" s="382" t="s">
        <v>309</v>
      </c>
      <c r="C80" s="388">
        <f>IF(BS!G31/BS!G27&gt;300%,"nm",BS!G31/BS!G27)</f>
        <v>0.67283405398617657</v>
      </c>
    </row>
    <row r="81" spans="1:6" x14ac:dyDescent="0.2">
      <c r="B81" s="382" t="s">
        <v>311</v>
      </c>
      <c r="C81" s="389">
        <f>IF(BS!C50&gt;30,"nm",BS!C50)</f>
        <v>2.2041306156151999</v>
      </c>
    </row>
    <row r="83" spans="1:6" x14ac:dyDescent="0.2">
      <c r="B83" s="343" t="s">
        <v>512</v>
      </c>
    </row>
    <row r="84" spans="1:6" x14ac:dyDescent="0.2">
      <c r="B84" s="343" t="s">
        <v>224</v>
      </c>
      <c r="C84" s="373">
        <f>DCF!F5</f>
        <v>-51974.549009350827</v>
      </c>
      <c r="D84" s="343" t="str">
        <f>Reporting_currency</f>
        <v>EUR</v>
      </c>
    </row>
    <row r="85" spans="1:6" x14ac:dyDescent="0.2">
      <c r="B85" s="382" t="s">
        <v>481</v>
      </c>
      <c r="C85" s="390">
        <f>BS!C66</f>
        <v>597992</v>
      </c>
      <c r="D85" s="391" t="str">
        <f>Reporting_currency</f>
        <v>EUR</v>
      </c>
    </row>
    <row r="86" spans="1:6" x14ac:dyDescent="0.2">
      <c r="B86" s="372" t="s">
        <v>235</v>
      </c>
      <c r="C86" s="387">
        <f>C84*scaling_factor*Exchange_Rate/Common_Shares</f>
        <v>-0.1870831211859201</v>
      </c>
      <c r="D86" s="343" t="str">
        <f>Market_currency</f>
        <v>HKD</v>
      </c>
    </row>
    <row r="88" spans="1:6" x14ac:dyDescent="0.2">
      <c r="B88" s="343" t="s">
        <v>513</v>
      </c>
    </row>
    <row r="89" spans="1:6" x14ac:dyDescent="0.2">
      <c r="B89" s="343" t="s">
        <v>217</v>
      </c>
      <c r="C89" s="373">
        <f>DCF!F6</f>
        <v>36617.399999999994</v>
      </c>
      <c r="D89" s="343" t="str">
        <f>Reporting_currency</f>
        <v>EUR</v>
      </c>
    </row>
    <row r="90" spans="1:6" x14ac:dyDescent="0.2">
      <c r="B90" s="372" t="s">
        <v>236</v>
      </c>
      <c r="C90" s="387">
        <f>C89*scaling_factor*Exchange_Rate/Common_Shares</f>
        <v>0.13180484703158896</v>
      </c>
      <c r="D90" s="343" t="str">
        <f>Market_currency</f>
        <v>HKD</v>
      </c>
    </row>
    <row r="92" spans="1:6" x14ac:dyDescent="0.2">
      <c r="B92" s="372" t="s">
        <v>480</v>
      </c>
      <c r="C92" s="387">
        <f>DCF!F8</f>
        <v>-10.335004564602832</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4" t="s">
        <v>514</v>
      </c>
      <c r="C96" s="474"/>
      <c r="D96" s="474"/>
      <c r="E96" s="474"/>
      <c r="F96" s="474"/>
    </row>
    <row r="97" spans="1:6" x14ac:dyDescent="0.2">
      <c r="A97" s="385"/>
      <c r="B97" s="477" t="s">
        <v>515</v>
      </c>
      <c r="C97" s="477"/>
      <c r="D97" s="477"/>
      <c r="E97" s="477"/>
      <c r="F97" s="477"/>
    </row>
    <row r="98" spans="1:6" x14ac:dyDescent="0.2">
      <c r="A98" s="385"/>
      <c r="B98" s="477" t="s">
        <v>516</v>
      </c>
      <c r="C98" s="477"/>
      <c r="D98" s="477"/>
      <c r="E98" s="477"/>
      <c r="F98" s="477"/>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535</v>
      </c>
      <c r="C104" s="368">
        <v>0</v>
      </c>
    </row>
    <row r="105" spans="1:6" x14ac:dyDescent="0.2">
      <c r="A105" s="385"/>
      <c r="C105" s="392"/>
    </row>
    <row r="106" spans="1:6" x14ac:dyDescent="0.2">
      <c r="A106" s="385"/>
      <c r="B106" s="393" t="s">
        <v>375</v>
      </c>
      <c r="C106" s="392"/>
    </row>
    <row r="107" spans="1:6" x14ac:dyDescent="0.2">
      <c r="A107" s="385"/>
      <c r="B107" s="474" t="s">
        <v>517</v>
      </c>
      <c r="C107" s="474"/>
      <c r="D107" s="474"/>
      <c r="E107" s="474"/>
      <c r="F107" s="474"/>
    </row>
    <row r="108" spans="1:6" x14ac:dyDescent="0.2">
      <c r="A108" s="385"/>
      <c r="B108" s="474" t="s">
        <v>536</v>
      </c>
      <c r="C108" s="474"/>
      <c r="D108" s="474"/>
      <c r="E108" s="474"/>
      <c r="F108" s="474"/>
    </row>
    <row r="109" spans="1:6" x14ac:dyDescent="0.2">
      <c r="A109" s="385"/>
    </row>
    <row r="110" spans="1:6" x14ac:dyDescent="0.2">
      <c r="A110" s="385"/>
      <c r="B110" s="369" t="s">
        <v>489</v>
      </c>
    </row>
    <row r="111" spans="1:6" x14ac:dyDescent="0.2">
      <c r="A111" s="385"/>
      <c r="B111" s="375" t="s">
        <v>486</v>
      </c>
      <c r="C111" s="394">
        <f>BS!D47</f>
        <v>-6.2879234830533743</v>
      </c>
      <c r="D111" s="343" t="str">
        <f>Market_currency</f>
        <v>HKD</v>
      </c>
    </row>
    <row r="112" spans="1:6" x14ac:dyDescent="0.2">
      <c r="A112" s="385"/>
      <c r="B112" s="372" t="s">
        <v>377</v>
      </c>
      <c r="C112" s="394">
        <f>DCF!C11</f>
        <v>46.309685301690244</v>
      </c>
      <c r="D112" s="343" t="str">
        <f>Market_currency</f>
        <v>HKD</v>
      </c>
    </row>
    <row r="113" spans="1:6" x14ac:dyDescent="0.2">
      <c r="A113" s="385"/>
    </row>
    <row r="114" spans="1:6" x14ac:dyDescent="0.2">
      <c r="A114" s="385"/>
      <c r="B114" s="474" t="s">
        <v>518</v>
      </c>
      <c r="C114" s="474"/>
      <c r="D114" s="474"/>
      <c r="E114" s="474"/>
      <c r="F114" s="474"/>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0.08</v>
      </c>
      <c r="D118" s="397">
        <f>DCF!D90</f>
        <v>20</v>
      </c>
      <c r="E118" s="398" t="str">
        <f>ROUND(DCF!E90,2)&amp;" "&amp;Market_currency</f>
        <v>99.61 HKD</v>
      </c>
      <c r="F118" s="399">
        <f>DCF!F90</f>
        <v>0.15</v>
      </c>
    </row>
    <row r="119" spans="1:6" x14ac:dyDescent="0.2">
      <c r="A119" s="385"/>
      <c r="B119" s="400" t="str">
        <f>DCF!B91</f>
        <v>Optimistic</v>
      </c>
      <c r="C119" s="401">
        <f>DCF!C91</f>
        <v>0.06</v>
      </c>
      <c r="D119" s="402">
        <f>DCF!D91</f>
        <v>20</v>
      </c>
      <c r="E119" s="398" t="str">
        <f>ROUND(DCF!E91,2)&amp;" "&amp;Market_currency</f>
        <v>73.79 HKD</v>
      </c>
      <c r="F119" s="403">
        <f>DCF!F91</f>
        <v>0.15999999999999995</v>
      </c>
    </row>
    <row r="120" spans="1:6" x14ac:dyDescent="0.2">
      <c r="B120" s="400" t="str">
        <f>DCF!B92</f>
        <v>Base</v>
      </c>
      <c r="C120" s="401">
        <f>DCF!C92</f>
        <v>0.04</v>
      </c>
      <c r="D120" s="402">
        <f>DCF!D92</f>
        <v>20</v>
      </c>
      <c r="E120" s="398" t="str">
        <f>ROUND(DCF!E92,2)&amp;" "&amp;Market_currency</f>
        <v>54.71 HKD</v>
      </c>
      <c r="F120" s="403">
        <f>DCF!F92</f>
        <v>0.44</v>
      </c>
    </row>
    <row r="121" spans="1:6" x14ac:dyDescent="0.2">
      <c r="B121" s="400" t="str">
        <f>DCF!B93</f>
        <v>Pessimistic</v>
      </c>
      <c r="C121" s="401">
        <f>DCF!C93</f>
        <v>0.02</v>
      </c>
      <c r="D121" s="402">
        <f>DCF!D93</f>
        <v>20</v>
      </c>
      <c r="E121" s="398" t="str">
        <f>ROUND(DCF!E93,2)&amp;" "&amp;Market_currency</f>
        <v>40.58 HKD</v>
      </c>
      <c r="F121" s="403">
        <f>DCF!F93</f>
        <v>0.19999999999999998</v>
      </c>
    </row>
    <row r="122" spans="1:6" x14ac:dyDescent="0.2">
      <c r="B122" s="400" t="str">
        <f>DCF!B94</f>
        <v>Devil's advocate</v>
      </c>
      <c r="C122" s="401">
        <f>DCF!C94</f>
        <v>0</v>
      </c>
      <c r="D122" s="402">
        <f>DCF!D94</f>
        <v>20</v>
      </c>
      <c r="E122" s="398" t="str">
        <f>ROUND(DCF!E94,2)&amp;" "&amp;Market_currency</f>
        <v>30.08 HKD</v>
      </c>
      <c r="F122" s="403">
        <f>DCF!F94</f>
        <v>0.05</v>
      </c>
    </row>
    <row r="124" spans="1:6" x14ac:dyDescent="0.2">
      <c r="B124" s="470" t="s">
        <v>519</v>
      </c>
      <c r="C124" s="470"/>
      <c r="D124" s="470"/>
      <c r="E124" s="470"/>
      <c r="F124" s="470"/>
    </row>
    <row r="125" spans="1:6" x14ac:dyDescent="0.2">
      <c r="B125" s="372" t="s">
        <v>218</v>
      </c>
      <c r="C125" s="404">
        <f>Scenarios!C36</f>
        <v>60.439606731746466</v>
      </c>
      <c r="D125" s="343" t="str">
        <f>Market_currency</f>
        <v>HKD</v>
      </c>
    </row>
    <row r="127" spans="1:6" x14ac:dyDescent="0.2">
      <c r="B127" s="472" t="s">
        <v>520</v>
      </c>
      <c r="C127" s="472"/>
      <c r="D127" s="472"/>
      <c r="E127" s="472"/>
      <c r="F127" s="472"/>
    </row>
    <row r="129" spans="1:6" ht="16" x14ac:dyDescent="0.25">
      <c r="A129" s="345" t="s">
        <v>492</v>
      </c>
      <c r="B129" s="345"/>
      <c r="C129" s="345"/>
      <c r="D129" s="345"/>
      <c r="E129" s="345"/>
      <c r="F129" s="345"/>
    </row>
    <row r="131" spans="1:6" x14ac:dyDescent="0.2">
      <c r="B131" s="473" t="s">
        <v>521</v>
      </c>
      <c r="C131" s="473"/>
      <c r="D131" s="473"/>
      <c r="E131" s="473"/>
      <c r="F131" s="473"/>
    </row>
    <row r="132" spans="1:6" ht="24.5" customHeight="1" x14ac:dyDescent="0.2">
      <c r="B132" s="474" t="s">
        <v>522</v>
      </c>
      <c r="C132" s="474"/>
      <c r="D132" s="474"/>
      <c r="E132" s="474"/>
      <c r="F132" s="474"/>
    </row>
    <row r="134" spans="1:6" x14ac:dyDescent="0.2">
      <c r="B134" s="369" t="s">
        <v>371</v>
      </c>
    </row>
    <row r="135" spans="1:6" x14ac:dyDescent="0.2">
      <c r="B135" s="343" t="s">
        <v>382</v>
      </c>
      <c r="C135" s="405">
        <f>E21</f>
        <v>3</v>
      </c>
    </row>
    <row r="136" spans="1:6" x14ac:dyDescent="0.2">
      <c r="B136" s="343" t="s">
        <v>383</v>
      </c>
      <c r="C136" s="406">
        <f>Scenarios!C58</f>
        <v>1.431802</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2.6199851463776214</v>
      </c>
      <c r="D140" s="409">
        <f>Scenarios!D62</f>
        <v>27.852353332602064</v>
      </c>
      <c r="E140" s="410">
        <f>Scenarios!E62</f>
        <v>30.472338478979687</v>
      </c>
      <c r="F140" s="411">
        <f>E22</f>
        <v>0.29465259038036606</v>
      </c>
    </row>
    <row r="141" spans="1:6" x14ac:dyDescent="0.2">
      <c r="B141" s="408" t="s">
        <v>313</v>
      </c>
      <c r="C141" s="409">
        <f>Scenarios!C63</f>
        <v>3.0125170597077604</v>
      </c>
      <c r="D141" s="409">
        <f>Scenarios!D63</f>
        <v>34.910964177182088</v>
      </c>
      <c r="E141" s="410">
        <f>Scenarios!E63</f>
        <v>37.923481236889849</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3.4543699809252097</v>
      </c>
      <c r="D144" s="409">
        <f>Scenarios!D66</f>
        <v>43.320716274706704</v>
      </c>
      <c r="E144" s="410">
        <f>Scenarios!E66</f>
        <v>46.775086255631912</v>
      </c>
      <c r="F144" s="411">
        <f>E24</f>
        <v>0.1174</v>
      </c>
    </row>
    <row r="145" spans="1:6" x14ac:dyDescent="0.2">
      <c r="B145" s="408" t="s">
        <v>314</v>
      </c>
      <c r="C145" s="409">
        <f>Scenarios!C67</f>
        <v>3.7404040750167789</v>
      </c>
      <c r="D145" s="409">
        <f>Scenarios!D67</f>
        <v>48.992514207704659</v>
      </c>
      <c r="E145" s="410">
        <f>Scenarios!E67</f>
        <v>52.732918282721435</v>
      </c>
      <c r="F145" s="411">
        <f>Scenarios!F67</f>
        <v>7.2499999999999995E-2</v>
      </c>
    </row>
    <row r="147" spans="1:6" ht="16" x14ac:dyDescent="0.25">
      <c r="A147" s="345" t="s">
        <v>475</v>
      </c>
      <c r="B147" s="345"/>
      <c r="C147" s="345"/>
      <c r="D147" s="345"/>
      <c r="E147" s="345"/>
      <c r="F147" s="345"/>
    </row>
    <row r="149" spans="1:6" x14ac:dyDescent="0.2">
      <c r="B149" s="475" t="s">
        <v>523</v>
      </c>
      <c r="C149" s="474"/>
      <c r="D149" s="474"/>
      <c r="E149" s="474"/>
      <c r="F149" s="474"/>
    </row>
    <row r="151" spans="1:6" x14ac:dyDescent="0.2">
      <c r="B151" s="369" t="s">
        <v>384</v>
      </c>
    </row>
    <row r="152" spans="1:6" x14ac:dyDescent="0.2">
      <c r="B152" s="476" t="s">
        <v>524</v>
      </c>
      <c r="C152" s="476"/>
      <c r="D152" s="476"/>
      <c r="E152" s="476"/>
      <c r="F152" s="476"/>
    </row>
    <row r="153" spans="1:6" x14ac:dyDescent="0.2">
      <c r="B153" s="412" t="s">
        <v>385</v>
      </c>
    </row>
    <row r="154" spans="1:6" x14ac:dyDescent="0.2">
      <c r="B154" s="412" t="s">
        <v>386</v>
      </c>
    </row>
    <row r="155" spans="1:6" x14ac:dyDescent="0.2">
      <c r="B155" s="412" t="s">
        <v>387</v>
      </c>
    </row>
    <row r="157" spans="1:6" x14ac:dyDescent="0.2">
      <c r="B157" s="343" t="s">
        <v>525</v>
      </c>
    </row>
    <row r="158" spans="1:6" ht="24.5" customHeight="1" x14ac:dyDescent="0.2">
      <c r="B158" s="470" t="s">
        <v>439</v>
      </c>
      <c r="C158" s="470"/>
      <c r="D158" s="470"/>
      <c r="E158" s="470"/>
      <c r="F158" s="470"/>
    </row>
    <row r="160" spans="1:6" x14ac:dyDescent="0.2">
      <c r="B160" s="343" t="s">
        <v>526</v>
      </c>
    </row>
    <row r="161" spans="2:6" x14ac:dyDescent="0.2">
      <c r="B161" s="471" t="s">
        <v>388</v>
      </c>
      <c r="C161" s="471"/>
      <c r="D161" s="471"/>
      <c r="E161" s="471"/>
      <c r="F161" s="471"/>
    </row>
    <row r="162" spans="2:6" x14ac:dyDescent="0.2">
      <c r="B162" s="471" t="s">
        <v>389</v>
      </c>
      <c r="C162" s="471"/>
      <c r="D162" s="471"/>
      <c r="E162" s="471"/>
      <c r="F162" s="471"/>
    </row>
    <row r="164" spans="2:6" x14ac:dyDescent="0.2">
      <c r="B164" s="343" t="s">
        <v>527</v>
      </c>
    </row>
    <row r="165" spans="2:6" x14ac:dyDescent="0.2">
      <c r="B165" s="412" t="s">
        <v>390</v>
      </c>
    </row>
    <row r="166" spans="2:6" x14ac:dyDescent="0.2">
      <c r="B166" s="412" t="s">
        <v>391</v>
      </c>
    </row>
    <row r="167" spans="2:6" x14ac:dyDescent="0.2">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