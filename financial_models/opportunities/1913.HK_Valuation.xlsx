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AEC366E-1ED0-4FA8-83CA-91F786C96E5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<sst xmlns="http://schemas.openxmlformats.org/spreadsheetml/2006/main" count="686" uniqueCount="466">
  <si>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</si>
  <si>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</si>
  <si>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</si>
  <si>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</si>
  <si>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</si>
  <si>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</si>
  <si>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</si>
  <si>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</si>
  <si>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</si>
  <si>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</si>
  <si>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</si>
  <si>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</si>
  <si>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</si>
  <si>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</si>
  <si>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</si>
  <si>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</si>
  <si>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</si>
  <si>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</si>
  <si>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</si>
  <si>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</si>
  <si>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</si>
  <si>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</si>
  <si>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</si>
  <si>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</si>
  <si>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</si>
  <si>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</si>
  <si>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</si>
  <si>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</si>
  <si>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</si>
  <si>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</si>
  <si>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</si>
  <si>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</si>
  <si>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</si>
  <si>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</si>
  <si>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</si>
  <si>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</si>
  <si>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</si>
  <si>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</si>
  <si>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</si>
  <si>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</si>
  <si>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</si>
  <si>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</si>
  <si>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</si>
  <si>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</si>
  <si>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</si>
  <si>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</si>
  <si>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</si>
  <si>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</si>
  <si>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</si>
  <si>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</si>
  <si>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</si>
  <si>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</si>
  <si>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</si>
  <si>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</si>
  <si>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</si>
  <si>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</si>
  <si>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</si>
  <si>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</si>
  <si>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</si>
  <si>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</si>
  <si>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</si>
  <si>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</si>
  <si>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</si>
  <si>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</si>
  <si>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</si>
  <si>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</si>
  <si>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</si>
  <si>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</si>
  <si>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</si>
  <si>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</si>
  <si>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</si>
  <si>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</si>
  <si>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</si>
  <si>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</si>
  <si>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</si>
  <si>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</si>
  <si>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</si>
  <si>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</si>
  <si>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</si>
  <si>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</si>
  <si>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</si>
  <si>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</si>
  <si>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</si>
  <si>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</si>
  <si>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</si>
  <si>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</si>
  <si>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</si>
  <si>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</si>
  <si>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</si>
  <si>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</si>
  <si>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</si>
  <si>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</si>
  <si>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</si>
  <si>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</si>
  <si>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</si>
  <si>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</si>
  <si>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</si>
  <si>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</si>
  <si>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</si>
  <si>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</si>
  <si>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</si>
  <si>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</si>
  <si>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</si>
  <si>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</si>
  <si>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</si>
  <si>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</si>
  <si>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</si>
  <si>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</si>
  <si>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</si>
  <si>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</si>
  <si>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</si>
  <si>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</si>
  <si>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</si>
  <si>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</si>
  <si>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</si>
  <si>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</si>
  <si>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</si>
  <si>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</si>
  <si>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</si>
  <si>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</si>
  <si>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</si>
  <si>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</si>
  <si>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</si>
  <si>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</si>
  <si>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</si>
  <si>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</si>
  <si>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</si>
  <si>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</si>
  <si>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</si>
  <si>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</si>
  <si>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</si>
  <si>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</si>
  <si>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</si>
  <si>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</si>
  <si>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</si>
  <si>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</si>
  <si>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</si>
  <si>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</si>
  <si>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</si>
  <si>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</si>
  <si>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</si>
  <si>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</si>
  <si>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</si>
  <si>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</si>
  <si>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</si>
  <si>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</si>
  <si>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</si>
  <si>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</si>
  <si>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</si>
  <si>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</si>
  <si>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</si>
  <si>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</si>
  <si>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</si>
  <si>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</si>
  <si>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</si>
  <si>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</si>
  <si>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</si>
  <si>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</si>
  <si>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</si>
  <si>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</si>
  <si>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</si>
  <si>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</si>
  <si>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</si>
  <si>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</si>
  <si>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</si>
  <si>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</si>
  <si>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</si>
  <si>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</si>
  <si>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</si>
  <si>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</si>
  <si>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</si>
  <si>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</si>
  <si>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</si>
  <si>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</si>
  <si>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</si>
  <si>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</si>
  <si>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</si>
  <si>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</si>
  <si>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</si>
  <si>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</si>
  <si>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</si>
  <si>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</si>
  <si>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</si>
  <si>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</si>
  <si>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</si>
  <si>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</si>
  <si>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</si>
  <si>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</si>
  <si>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</si>
  <si>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</si>
  <si>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</si>
  <si>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</si>
  <si>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</si>
  <si>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</si>
  <si>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</si>
  <si>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</si>
  <si>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</si>
  <si>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</si>
  <si>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</si>
  <si>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</si>
  <si>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</si>
  <si>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</si>
  <si>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</si>
  <si>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</si>
  <si>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</si>
  <si>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</si>
  <si>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</si>
  <si>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</si>
  <si>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</si>
  <si>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</si>
  <si>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</si>
  <si>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</si>
  <si>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</si>
  <si>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</si>
  <si>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</si>
  <si>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</si>
  <si>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</si>
  <si>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</si>
  <si>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</si>
  <si>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</si>
  <si>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</si>
  <si>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</si>
  <si>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</si>
  <si>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</si>
  <si>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</si>
  <si>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</si>
  <si>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</si>
  <si>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</si>
  <si>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</si>
  <si>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</si>
  <si>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</si>
  <si>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</si>
  <si>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</si>
  <si>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</si>
  <si>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</si>
  <si>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</si>
  <si>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</si>
  <si>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</si>
  <si>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</si>
  <si>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</si>
  <si>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</si>
  <si>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</si>
  <si>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</si>
  <si>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</si>
  <si>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</si>
  <si>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</si>
  <si>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</si>
  <si>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</si>
  <si>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</si>
  <si>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</si>
  <si>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</si>
  <si>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</si>
  <si>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</si>
  <si>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</si>
  <si>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</si>
  <si>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</si>
  <si>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</si>
  <si>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</si>
  <si>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</si>
  <si>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</si>
  <si>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</si>
  <si>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</si>
  <si>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</si>
  <si>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</si>
  <si>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</si>
  <si>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</si>
  <si>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</si>
  <si>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</si>
  <si>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</si>
  <si>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</si>
  <si>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</si>
  <si>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</si>
  <si>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</si>
  <si>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</si>
  <si>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</si>
  <si>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</si>
  <si>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</si>
  <si>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</si>
  <si>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</si>
  <si>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</si>
  <si>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</si>
  <si>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</si>
  <si>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</si>
  <si>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</si>
  <si>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</si>
  <si>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</si>
  <si>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</si>
  <si>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</si>
  <si>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</si>
  <si>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</si>
  <si>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</si>
  <si>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</si>
  <si>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</si>
  <si>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</si>
  <si>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</si>
  <si>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</si>
  <si>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</si>
  <si>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</si>
  <si>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</si>
  <si>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</si>
  <si>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</si>
  <si>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</si>
  <si>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</si>
  <si>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</si>
  <si>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</si>
  <si>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</si>
  <si>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</si>
  <si>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</si>
  <si>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</si>
  <si>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</si>
  <si>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</si>
  <si>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</si>
  <si>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</si>
  <si>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</si>
  <si>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</si>
  <si>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</si>
  <si>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</si>
  <si>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</si>
  <si>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</si>
  <si>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</si>
  <si>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</si>
  <si>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</si>
  <si>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</si>
  <si>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</si>
  <si>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</si>
  <si>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</si>
  <si>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</si>
  <si>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</si>
  <si>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</si>
  <si>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</si>
  <si>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</si>
  <si>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</si>
  <si>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</si>
  <si>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</si>
  <si>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</si>
  <si>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</si>
  <si>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</si>
  <si>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</si>
  <si>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</si>
  <si>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</si>
  <si>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</si>
  <si>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</si>
  <si>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</si>
  <si>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</si>
  <si>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</si>
  <si>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</si>
  <si>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</si>
  <si>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</si>
  <si>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</si>
  <si>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</si>
  <si>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</si>
  <si>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</si>
  <si>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</si>
  <si>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</si>
  <si>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</si>
  <si>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</si>
  <si>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</si>
  <si>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</si>
  <si>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</si>
  <si>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</si>
  <si>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</si>
  <si>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</si>
  <si>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</si>
  <si>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</si>
  <si>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</si>
  <si>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</si>
  <si>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</si>
  <si>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</si>
  <si>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</si>
  <si>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</si>
  <si>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</si>
  <si>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</si>
  <si>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</si>
  <si>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</si>
  <si>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</si>
  <si>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</si>
  <si>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</si>
  <si>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</si>
  <si>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</si>
  <si>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</si>
  <si>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</si>
  <si>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</si>
  <si>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</si>
  <si>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</si>
  <si>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</si>
  <si>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</si>
  <si>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</si>
  <si>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</si>
  <si>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</si>
  <si>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</si>
  <si>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</si>
  <si>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</si>
  <si>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</si>
  <si>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</si>
  <si>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</si>
  <si>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</si>
  <si>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</si>
  <si>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</si>
  <si>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</si>
  <si>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</si>
  <si>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</si>
  <si>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</si>
  <si>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</si>
  <si>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</si>
  <si>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</si>
  <si>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</si>
  <si>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</si>
  <si>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</si>
  <si>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</si>
  <si>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</si>
  <si>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</si>
  <si>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</si>
  <si>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</si>
  <si>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</si>
  <si>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</si>
  <si>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</si>
  <si>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</si>
  <si>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</si>
  <si>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</si>
  <si>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</si>
  <si>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</si>
  <si>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</si>
  <si>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</si>
  <si>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</si>
  <si>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</si>
  <si>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</si>
  <si>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</si>
  <si>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</si>
  <si>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</si>
  <si>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</si>
  <si>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</si>
  <si>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</si>
  <si>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</si>
  <si>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</si>
  <si>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</si>
  <si>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</si>
  <si>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</si>
  <si>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</si>
  <si>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</si>
  <si>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</si>
  <si>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</si>
  <si>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</si>
  <si>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</si>
  <si>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</si>
  <si>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</si>
  <si>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</si>
  <si>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</si>
  <si>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</si>
  <si>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</si>
  <si>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</si>
  <si>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</si>
  <si>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</si>
  <si>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</si>
  <si>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</si>
  <si>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</si>
  <si>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</si>
  <si>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</si>
  <si>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PRADA</t>
  </si>
  <si>
    <t>1913.HK</t>
  </si>
  <si>
    <t/>
  </si>
  <si>
    <t>CNS_04</t>
  </si>
  <si>
    <t>N</t>
  </si>
  <si>
    <t>EUR</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</si>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</sst>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2558824000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47.7</v>
      </c>
      <c r="D12" s="50"/>
      <c r="E12" s="48"/>
    </row>
    <row r="13" spans="1:10">
      <c r="B13" s="1" t="s">
        <v>412</v>
      </c>
      <c r="C13" s="48" t="s">
        <v>393</v>
      </c>
      <c r="D13" s="48"/>
      <c r="E13" s="5"/>
    </row>
    <row r="14" spans="1:10">
      <c r="B14" s="4" t="s">
        <v>416</v>
      </c>
      <c r="C14" s="35">
        <f>Thesis!C12*Common_Shares/1000000</f>
        <v>122055.9048</v>
      </c>
      <c r="D14" s="35" t="str">
        <f>IF(D11="","",Thesis!D12*Common_Shares/1000000)</f>
        <v/>
      </c>
      <c r="E14" s="5"/>
    </row>
    <row r="15" spans="1:10">
      <c r="B15" s="4" t="s">
        <v>415</v>
      </c>
      <c r="C15" s="32" t="str">
        <f>IF(C25=C13,C13,C25&amp;"/"&amp;C13)</f>
        <v>EUR/HKD</v>
      </c>
      <c r="D15" s="32" t="str">
        <f>IF(D11="","",IF(C25=D13,D13,C25&amp;"/"&amp;D13))</f>
        <v/>
      </c>
      <c r="E15" s="5"/>
    </row>
    <row r="16" spans="1:10">
      <c r="B16" s="4" t="s">
        <v>1</v>
      </c>
      <c r="C16" s="50">
        <v>9.0468945000000005</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32.979231003471874</v>
      </c>
      <c r="D26" s="1" t="s">
        <v>396</v>
      </c>
      <c r="E26" s="301">
        <f ca="1">Scenarios!C87</f>
        <v>-8.0510996454183692E-2</v>
      </c>
    </row>
    <row r="27" spans="2:6">
      <c r="D27" s="5"/>
      <c r="E27" s="5"/>
    </row>
    <row r="28" spans="2:6">
      <c r="B28" s="45" t="s">
        <v>429</v>
      </c>
      <c r="C28" s="309" t="str">
        <f>C145&amp;" ("&amp;Market_currency&amp;")"</f>
        <v>1913.HK (HKD)</v>
      </c>
      <c r="D28" s="309" t="str">
        <f>IF(D11="","",D145&amp;" ("&amp;D13&amp;")")</f>
        <v/>
      </c>
      <c r="E28" s="305" t="s">
        <v>425</v>
      </c>
      <c r="F28" s="303">
        <v>3</v>
      </c>
    </row>
    <row r="29" spans="2:6">
      <c r="B29" s="1" t="s">
        <v>421</v>
      </c>
      <c r="C29" s="310">
        <f>C149</f>
        <v>15.357793565778509</v>
      </c>
      <c r="D29" s="310" t="str">
        <f>D149</f>
        <v/>
      </c>
      <c r="E29" s="306" t="s">
        <v>420</v>
      </c>
      <c r="F29" s="302">
        <v>0.3674</v>
      </c>
    </row>
    <row r="30" spans="2:6">
      <c r="B30" s="1" t="s">
        <v>422</v>
      </c>
      <c r="C30" s="311">
        <f>C157</f>
        <v>21.320663970914513</v>
      </c>
      <c r="D30" s="311" t="str">
        <f>D157</f>
        <v/>
      </c>
      <c r="E30" s="307" t="s">
        <v>433</v>
      </c>
      <c r="F30" s="312">
        <v>0.21740000000000001</v>
      </c>
    </row>
    <row r="31" spans="2:6">
      <c r="B31" s="1" t="s">
        <v>423</v>
      </c>
      <c r="C31" s="311">
        <f>C165</f>
        <v>30.405356420701072</v>
      </c>
      <c r="D31" s="311" t="str">
        <f>D165</f>
        <v/>
      </c>
      <c r="E31" s="307" t="s">
        <v>432</v>
      </c>
      <c r="F31" s="312">
        <v>7.4999999999999997E-2</v>
      </c>
    </row>
    <row r="32" spans="2:6">
      <c r="B32" s="1" t="s">
        <v>424</v>
      </c>
      <c r="C32" s="311">
        <f>C173</f>
        <v>27.21776339129536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1020778.4410616378</v>
      </c>
      <c r="D41" s="1" t="str">
        <f>Reporting_currency</f>
        <v>EUR</v>
      </c>
    </row>
    <row r="42" spans="1:6">
      <c r="B42" s="47"/>
      <c r="C42" s="76"/>
    </row>
    <row r="43" spans="1:6" ht="24.6" customHeight="1">
      <c r="B43" s="361" t="s">
        <v>232</v>
      </c>
      <c r="C43" s="361"/>
      <c r="D43" s="361"/>
      <c r="E43" s="361"/>
      <c r="F43" s="361"/>
    </row>
    <row r="44" spans="1:6">
      <c r="B44" s="47" t="s">
        <v>233</v>
      </c>
      <c r="C44" s="349">
        <f>Normalized_FCF!C9</f>
        <v>0</v>
      </c>
      <c r="D44" s="1" t="str">
        <f>Reporting_currency</f>
        <v>EUR</v>
      </c>
    </row>
    <row r="45" spans="1:6">
      <c r="B45" s="52" t="s">
        <v>234</v>
      </c>
      <c r="C45" s="349">
        <f>Normalized_FCF!C10</f>
        <v>0</v>
      </c>
      <c r="D45" s="1" t="str">
        <f>Reporting_currency</f>
        <v>EUR</v>
      </c>
    </row>
    <row r="47" spans="1:6">
      <c r="B47" s="361" t="s">
        <v>235</v>
      </c>
      <c r="C47" s="361"/>
      <c r="D47" s="361"/>
      <c r="E47" s="361"/>
      <c r="F47" s="361"/>
    </row>
    <row r="48" spans="1:6">
      <c r="B48" s="47" t="s">
        <v>236</v>
      </c>
      <c r="C48" s="349">
        <f>Normalized_FCF!C11</f>
        <v>0</v>
      </c>
      <c r="D48" s="1" t="str">
        <f>Reporting_currency</f>
        <v>EUR</v>
      </c>
    </row>
    <row r="50" spans="2:6">
      <c r="B50" s="361" t="s">
        <v>239</v>
      </c>
      <c r="C50" s="361"/>
      <c r="D50" s="361"/>
      <c r="E50" s="361"/>
      <c r="F50" s="361"/>
    </row>
    <row r="51" spans="2:6">
      <c r="B51" s="47" t="s">
        <v>337</v>
      </c>
      <c r="C51" s="350">
        <f>Normalized_FCF!C48</f>
        <v>0</v>
      </c>
      <c r="D51" s="1" t="str">
        <f>Reporting_currency</f>
        <v>EUR</v>
      </c>
      <c r="E51" s="286"/>
      <c r="F51" s="286"/>
    </row>
    <row r="52" spans="2:6">
      <c r="B52" s="47" t="s">
        <v>338</v>
      </c>
      <c r="C52" s="350">
        <f>Normalized_FCF!C47</f>
        <v>-90938</v>
      </c>
      <c r="D52" s="1" t="str">
        <f>Reporting_currency</f>
        <v>EUR</v>
      </c>
      <c r="E52" s="286"/>
      <c r="F52" s="286"/>
    </row>
    <row r="53" spans="2:6">
      <c r="B53" s="47" t="s">
        <v>237</v>
      </c>
      <c r="C53" s="349">
        <f>Normalized_FCF!C12</f>
        <v>-90938</v>
      </c>
      <c r="D53" s="1" t="str">
        <f>Reporting_currency</f>
        <v>EUR</v>
      </c>
    </row>
    <row r="55" spans="2:6">
      <c r="B55" s="1" t="s">
        <v>245</v>
      </c>
    </row>
    <row r="56" spans="2:6">
      <c r="B56" s="47" t="s">
        <v>264</v>
      </c>
      <c r="C56" s="349">
        <f>Normalized_FCF!C15</f>
        <v>-4167.7471308175782</v>
      </c>
      <c r="D56" s="1" t="str">
        <f>Reporting_currency</f>
        <v>EUR</v>
      </c>
    </row>
    <row r="58" spans="2:6">
      <c r="B58" s="361" t="s">
        <v>240</v>
      </c>
      <c r="C58" s="361"/>
      <c r="D58" s="361"/>
      <c r="E58" s="361"/>
      <c r="F58" s="361"/>
    </row>
    <row r="59" spans="2:6">
      <c r="B59" s="47" t="s">
        <v>238</v>
      </c>
      <c r="C59" s="349">
        <f>Normalized_FCF!C14</f>
        <v>-232460.11026540946</v>
      </c>
      <c r="D59" s="1" t="str">
        <f>Reporting_currency</f>
        <v>EUR</v>
      </c>
    </row>
    <row r="61" spans="2:6">
      <c r="B61" s="361" t="s">
        <v>335</v>
      </c>
      <c r="C61" s="362"/>
      <c r="D61" s="362"/>
      <c r="E61" s="362"/>
      <c r="F61" s="362"/>
    </row>
    <row r="62" spans="2:6">
      <c r="B62" s="47" t="s">
        <v>241</v>
      </c>
      <c r="C62" s="349">
        <f>Normalized_FCF!C17</f>
        <v>0</v>
      </c>
      <c r="D62" s="1" t="str">
        <f>Reporting_currency</f>
        <v>EUR</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996880</v>
      </c>
      <c r="D67" s="1" t="str">
        <f>Reporting_currency</f>
        <v>EUR</v>
      </c>
    </row>
    <row r="68" spans="1:6">
      <c r="B68" s="47" t="s">
        <v>247</v>
      </c>
      <c r="C68" s="349">
        <f>Normalized_FCF!C19</f>
        <v>693212.58366541076</v>
      </c>
      <c r="D68" s="1" t="str">
        <f>Reporting_currency</f>
        <v>EUR</v>
      </c>
    </row>
    <row r="69" spans="1:6">
      <c r="B69" s="227" t="s">
        <v>387</v>
      </c>
      <c r="C69" s="92">
        <f>Normalized_FCF!C126</f>
        <v>5.138154619204785E-2</v>
      </c>
      <c r="F69" s="314"/>
    </row>
    <row r="70" spans="1:6">
      <c r="B70" s="227" t="s">
        <v>454</v>
      </c>
      <c r="C70" s="92">
        <f>Normalized_FCF!C94</f>
        <v>3.1104626792452832E-2</v>
      </c>
      <c r="E70" s="47" t="s">
        <v>444</v>
      </c>
      <c r="F70" s="315">
        <f>Normalized_FCF!C92</f>
        <v>5.4766798181084244</v>
      </c>
    </row>
    <row r="72" spans="1:6">
      <c r="B72" s="210" t="s">
        <v>447</v>
      </c>
      <c r="C72" s="323" t="s">
        <v>449</v>
      </c>
      <c r="D72" s="323" t="s">
        <v>450</v>
      </c>
    </row>
    <row r="73" spans="1:6">
      <c r="B73" s="47" t="s">
        <v>448</v>
      </c>
      <c r="C73" s="92">
        <f>Normalized_FCF!C121</f>
        <v>0.21039827332068567</v>
      </c>
      <c r="D73" s="92">
        <f>Normalized_FCF!G121</f>
        <v>0.3047216496244991</v>
      </c>
    </row>
    <row r="74" spans="1:6">
      <c r="B74" s="259" t="str">
        <f>Normalized_FCF!B118</f>
        <v>Pre-tax Profit/Sales</v>
      </c>
      <c r="C74" s="322">
        <f>Normalized_FCF!C118</f>
        <v>0.21042753223383909</v>
      </c>
      <c r="D74" s="322">
        <f>Normalized_FCF!G118</f>
        <v>0.24793921890168877</v>
      </c>
    </row>
    <row r="75" spans="1:6">
      <c r="B75" s="259" t="str">
        <f>Normalized_FCF!B119</f>
        <v>Sales/Total Assets</v>
      </c>
      <c r="C75" s="324">
        <f>Normalized_FCF!C119</f>
        <v>0.51682300464832642</v>
      </c>
      <c r="D75" s="324">
        <f>Normalized_FCF!G119</f>
        <v>0.63527287089914697</v>
      </c>
    </row>
    <row r="76" spans="1:6">
      <c r="B76" s="259" t="str">
        <f>Normalized_FCF!B120</f>
        <v>Total Assets/Equity</v>
      </c>
      <c r="C76" s="324">
        <f>Normalized_FCF!C120</f>
        <v>1.9346293526540752</v>
      </c>
      <c r="D76" s="324">
        <f>Normalized_FCF!G120</f>
        <v>1.9346293526540752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32.678663378142431</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866500</v>
      </c>
      <c r="D102" s="1" t="str">
        <f>Reporting_currency</f>
        <v>EUR</v>
      </c>
    </row>
    <row r="103" spans="2:6">
      <c r="B103" s="47" t="s">
        <v>280</v>
      </c>
      <c r="C103" s="223">
        <f>C102*scaling_factor*Exchange_Rate/Common_Shares</f>
        <v>3.0635690787056866</v>
      </c>
      <c r="D103" s="1" t="str">
        <f>Market_currency</f>
        <v>HKD</v>
      </c>
    </row>
    <row r="104" spans="2:6">
      <c r="B104" s="296" t="s">
        <v>401</v>
      </c>
      <c r="C104" s="325">
        <f>IF(BS!G31/BS!G27&gt;300%,"nm",BS!G31/BS!G27)</f>
        <v>0.19606600851240996</v>
      </c>
    </row>
    <row r="105" spans="2:6">
      <c r="B105" s="296" t="s">
        <v>403</v>
      </c>
      <c r="C105" s="326">
        <f>IF(BS!C50&gt;30,"nm",BS!C50)</f>
        <v>0.84886197155458731</v>
      </c>
    </row>
    <row r="107" spans="2:6">
      <c r="B107" s="1" t="s">
        <v>253</v>
      </c>
    </row>
    <row r="108" spans="2:6">
      <c r="B108" s="47" t="s">
        <v>263</v>
      </c>
      <c r="C108" s="349">
        <f>BS!C66</f>
        <v>1011563</v>
      </c>
      <c r="D108" s="1" t="str">
        <f>Reporting_currency</f>
        <v>EUR</v>
      </c>
    </row>
    <row r="109" spans="2:6">
      <c r="B109" s="47" t="s">
        <v>265</v>
      </c>
      <c r="C109" s="349">
        <f>DCF!C8</f>
        <v>412017.96453687374</v>
      </c>
      <c r="D109" s="1" t="str">
        <f>Reporting_currency</f>
        <v>EUR</v>
      </c>
    </row>
    <row r="110" spans="2:6">
      <c r="B110" s="47" t="s">
        <v>281</v>
      </c>
      <c r="C110" s="223">
        <f>C109*scaling_factor*Exchange_Rate/Common_Shares</f>
        <v>1.4567172487321669</v>
      </c>
      <c r="D110" s="1" t="str">
        <f>Market_currency</f>
        <v>HKD</v>
      </c>
    </row>
    <row r="112" spans="2:6">
      <c r="B112" s="1" t="s">
        <v>255</v>
      </c>
    </row>
    <row r="113" spans="1:6">
      <c r="B113" s="47" t="s">
        <v>256</v>
      </c>
      <c r="C113" s="349">
        <f>DCF!C9</f>
        <v>3762.4</v>
      </c>
      <c r="D113" s="1" t="str">
        <f>Reporting_currency</f>
        <v>EUR</v>
      </c>
    </row>
    <row r="114" spans="1:6">
      <c r="B114" s="47" t="s">
        <v>282</v>
      </c>
      <c r="C114" s="223">
        <f>C113*scaling_factor*Exchange_Rate/Common_Shares</f>
        <v>1.3302218467077064E-2</v>
      </c>
      <c r="D114" s="1" t="str">
        <f>Market_currency</f>
        <v>HKD</v>
      </c>
    </row>
    <row r="116" spans="1:6" ht="24.6" customHeight="1">
      <c r="B116" s="360" t="s">
        <v>363</v>
      </c>
      <c r="C116" s="360"/>
      <c r="D116" s="360"/>
      <c r="E116" s="360"/>
      <c r="F116" s="360"/>
    </row>
    <row r="118" spans="1:6">
      <c r="B118" s="47" t="s">
        <v>445</v>
      </c>
      <c r="C118" s="223">
        <f>IF(valuation_method="DCF",DCF!C12,DDM!C7)</f>
        <v>31.085113766635988</v>
      </c>
      <c r="D118" s="1" t="str">
        <f>Market_currency</f>
        <v>HKD</v>
      </c>
    </row>
    <row r="119" spans="1:6">
      <c r="B119" s="296" t="s">
        <v>402</v>
      </c>
      <c r="C119" s="223">
        <f>BS!D47</f>
        <v>-5.879500305070005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40.68 HKD</v>
      </c>
      <c r="F126" s="232">
        <f>DCF!F74</f>
        <v>0.05</v>
      </c>
    </row>
    <row r="127" spans="1:6">
      <c r="B127" s="218" t="str">
        <f>DCF!B75</f>
        <v>Optimistic</v>
      </c>
      <c r="C127" s="219">
        <f>DCF!C75</f>
        <v>0.05</v>
      </c>
      <c r="D127" s="220">
        <f>DCF!D75</f>
        <v>5</v>
      </c>
      <c r="E127" s="231" t="str">
        <f>ROUND(IF(valuation_method="DCF",DCF!E75,DDM!E70),2)&amp;" "&amp;Market_currency</f>
        <v>33.73 HKD</v>
      </c>
      <c r="F127" s="221">
        <f>DCF!F75</f>
        <v>0.18</v>
      </c>
    </row>
    <row r="128" spans="1:6">
      <c r="B128" s="218" t="str">
        <f>DCF!B76</f>
        <v>Base</v>
      </c>
      <c r="C128" s="219">
        <f>DCF!C76</f>
        <v>0.03</v>
      </c>
      <c r="D128" s="220">
        <f>DCF!D76</f>
        <v>5</v>
      </c>
      <c r="E128" s="231" t="str">
        <f>ROUND(IF(valuation_method="DCF",DCF!E76,DDM!E71),2)&amp;" "&amp;Market_currency</f>
        <v>32.65 HKD</v>
      </c>
      <c r="F128" s="221">
        <f>DCF!F76</f>
        <v>0.53999999999999992</v>
      </c>
    </row>
    <row r="129" spans="1:6">
      <c r="B129" s="218" t="str">
        <f>DCF!B77</f>
        <v>Pessimistic</v>
      </c>
      <c r="C129" s="219">
        <f>DCF!C77</f>
        <v>0.01</v>
      </c>
      <c r="D129" s="220">
        <f>DCF!D77</f>
        <v>5</v>
      </c>
      <c r="E129" s="231" t="str">
        <f>ROUND(IF(valuation_method="DCF",DCF!E77,DDM!E72),2)&amp;" "&amp;Market_currency</f>
        <v>31.6 HKD</v>
      </c>
      <c r="F129" s="221">
        <f>DCF!F77</f>
        <v>0.18</v>
      </c>
    </row>
    <row r="130" spans="1:6">
      <c r="B130" s="218" t="str">
        <f>DCF!B78</f>
        <v>Devil's advocate</v>
      </c>
      <c r="C130" s="219">
        <f>DCF!C78</f>
        <v>0</v>
      </c>
      <c r="D130" s="220">
        <f>DCF!D78</f>
        <v>10</v>
      </c>
      <c r="E130" s="231" t="str">
        <f>ROUND(IF(valuation_method="DCF",DCF!E78,DDM!E73),2)&amp;" "&amp;Market_currency</f>
        <v>31.09 HKD</v>
      </c>
      <c r="F130" s="221">
        <f>DCF!F78</f>
        <v>0.05</v>
      </c>
    </row>
    <row r="132" spans="1:6">
      <c r="B132" s="211" t="s">
        <v>257</v>
      </c>
      <c r="C132" s="217">
        <f>Scenarios!C60</f>
        <v>32.979231003471874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1.4836906980000002</v>
      </c>
      <c r="D143" s="212" t="str">
        <f>Market_currency</f>
        <v>HKD</v>
      </c>
    </row>
    <row r="145" spans="2:4">
      <c r="B145" s="210" t="s">
        <v>405</v>
      </c>
      <c r="C145" s="241" t="str">
        <f>C11</f>
        <v>1913.HK</v>
      </c>
      <c r="D145" s="241" t="str">
        <f>IF(D11="","",D11)</f>
        <v/>
      </c>
    </row>
    <row r="146" spans="2:4">
      <c r="B146" s="1" t="s">
        <v>404</v>
      </c>
      <c r="C146" s="297">
        <f>F29</f>
        <v>0.3674</v>
      </c>
    </row>
    <row r="147" spans="2:4">
      <c r="B147" s="212" t="str">
        <f>"PV("&amp;C141&amp;" yrs of Dividends)"</f>
        <v>PV(3 yrs of Dividends)</v>
      </c>
      <c r="C147" s="216">
        <f>Scenarios!C81</f>
        <v>2.4588602363154526</v>
      </c>
    </row>
    <row r="148" spans="2:4">
      <c r="B148" s="212" t="str">
        <f>"+ PV(Equity Value realized at year "&amp;C141&amp;")"</f>
        <v>+ PV(Equity Value realized at year 3)</v>
      </c>
      <c r="C148" s="216">
        <f>Scenarios!C82</f>
        <v>12.898933329463057</v>
      </c>
    </row>
    <row r="149" spans="2:4">
      <c r="B149" s="80" t="s">
        <v>259</v>
      </c>
      <c r="C149" s="215">
        <f>Scenarios!C83</f>
        <v>15.357793565778509</v>
      </c>
      <c r="D149" s="300" t="str">
        <f>IF($D$11="","",C149*$E$25)</f>
        <v/>
      </c>
    </row>
    <row r="150" spans="2:4">
      <c r="B150" s="259" t="s">
        <v>412</v>
      </c>
      <c r="C150" s="298" t="str">
        <f>Market_currency</f>
        <v>HKD</v>
      </c>
      <c r="D150" s="298" t="str">
        <f>IF($D$11="","",D$13)</f>
        <v/>
      </c>
    </row>
    <row r="151" spans="2:4">
      <c r="B151" s="214" t="s">
        <v>261</v>
      </c>
      <c r="C151" s="92">
        <f>Scenarios!F83</f>
        <v>0.53431923369705847</v>
      </c>
    </row>
    <row r="153" spans="2:4">
      <c r="B153" s="210" t="s">
        <v>408</v>
      </c>
    </row>
    <row r="154" spans="2:4">
      <c r="B154" s="1" t="s">
        <v>407</v>
      </c>
      <c r="C154" s="297">
        <f>Scenarios!C90</f>
        <v>0.21740000000000001</v>
      </c>
    </row>
    <row r="155" spans="2:4">
      <c r="B155" s="212" t="str">
        <f>"PV("&amp;C141&amp;" yrs of Dividends)"</f>
        <v>PV(3 yrs of Dividends)</v>
      </c>
      <c r="C155" s="216">
        <f>Scenarios!C91</f>
        <v>3.0421606295399433</v>
      </c>
    </row>
    <row r="156" spans="2:4">
      <c r="B156" s="212" t="str">
        <f>"+ PV(Equity Value realized at year "&amp;C141&amp;")"</f>
        <v>+ PV(Equity Value realized at year 3)</v>
      </c>
      <c r="C156" s="216">
        <f>Scenarios!C92</f>
        <v>18.27850334137457</v>
      </c>
    </row>
    <row r="157" spans="2:4">
      <c r="B157" s="80" t="s">
        <v>259</v>
      </c>
      <c r="C157" s="215">
        <f>Scenarios!C93</f>
        <v>21.320663970914513</v>
      </c>
      <c r="D157" s="300" t="str">
        <f>IF($D$11="","",C157*$E$25)</f>
        <v/>
      </c>
    </row>
    <row r="158" spans="2:4">
      <c r="B158" s="259" t="s">
        <v>412</v>
      </c>
      <c r="C158" s="298" t="str">
        <f>Market_currency</f>
        <v>HKD</v>
      </c>
      <c r="D158" s="298" t="str">
        <f>IF($D$11="","",D$13)</f>
        <v/>
      </c>
    </row>
    <row r="159" spans="2:4">
      <c r="B159" s="214" t="s">
        <v>261</v>
      </c>
      <c r="C159" s="92">
        <f>Scenarios!F93</f>
        <v>0.35351239788853805</v>
      </c>
    </row>
    <row r="161" spans="2:4">
      <c r="B161" s="210" t="s">
        <v>397</v>
      </c>
    </row>
    <row r="162" spans="2:4">
      <c r="B162" s="1" t="s">
        <v>406</v>
      </c>
      <c r="C162" s="92">
        <f>Scenarios!C96</f>
        <v>7.4999999999999997E-2</v>
      </c>
    </row>
    <row r="163" spans="2:4">
      <c r="B163" s="212" t="str">
        <f>"PV("&amp;C141&amp;" yrs of Dividends)"</f>
        <v>PV(3 yrs of Dividends)</v>
      </c>
      <c r="C163" s="216">
        <f>Scenarios!C97</f>
        <v>3.8583758501575951</v>
      </c>
    </row>
    <row r="164" spans="2:4">
      <c r="B164" s="212" t="str">
        <f>"+ PV(Equity Value realized at year "&amp;C141&amp;")"</f>
        <v>+ PV(Equity Value realized at year 3)</v>
      </c>
      <c r="C164" s="216">
        <f>Scenarios!C98</f>
        <v>26.546980570543475</v>
      </c>
    </row>
    <row r="165" spans="2:4">
      <c r="B165" s="80" t="s">
        <v>398</v>
      </c>
      <c r="C165" s="215">
        <f>Scenarios!C99</f>
        <v>30.405356420701072</v>
      </c>
      <c r="D165" s="300" t="str">
        <f>IF($D$11="","",C165*$E$25)</f>
        <v/>
      </c>
    </row>
    <row r="166" spans="2:4">
      <c r="B166" s="259" t="s">
        <v>412</v>
      </c>
      <c r="C166" s="298" t="str">
        <f>Market_currency</f>
        <v>HKD</v>
      </c>
      <c r="D166" s="298" t="str">
        <f>IF($D$11="","",D$13)</f>
        <v/>
      </c>
    </row>
    <row r="167" spans="2:4">
      <c r="B167" s="214" t="s">
        <v>261</v>
      </c>
      <c r="C167" s="92">
        <f>Scenarios!F99</f>
        <v>7.8045318355053128E-2</v>
      </c>
    </row>
    <row r="169" spans="2:4">
      <c r="B169" s="210" t="s">
        <v>428</v>
      </c>
    </row>
    <row r="170" spans="2:4">
      <c r="B170" s="1" t="s">
        <v>419</v>
      </c>
      <c r="C170" s="92">
        <f>F32</f>
        <v>0.1174</v>
      </c>
    </row>
    <row r="171" spans="2:4">
      <c r="B171" s="212" t="str">
        <f>"PV("&amp;C141&amp;" yrs of Dividends)"</f>
        <v>PV(3 yrs of Dividends)</v>
      </c>
      <c r="C171" s="216">
        <f>Scenarios!C103</f>
        <v>3.5795568159208964</v>
      </c>
    </row>
    <row r="172" spans="2:4">
      <c r="B172" s="212" t="str">
        <f>"+ PV(Equity Value realized at year "&amp;C141&amp;")"</f>
        <v>+ PV(Equity Value realized at year 3)</v>
      </c>
      <c r="C172" s="216">
        <f>Scenarios!C104</f>
        <v>23.638206575374465</v>
      </c>
    </row>
    <row r="173" spans="2:4">
      <c r="B173" s="80" t="s">
        <v>398</v>
      </c>
      <c r="C173" s="215">
        <f>Scenarios!C105</f>
        <v>27.21776339129536</v>
      </c>
      <c r="D173" s="300" t="str">
        <f>IF($D$11="","",C173*$E$25)</f>
        <v/>
      </c>
    </row>
    <row r="174" spans="2:4">
      <c r="B174" s="259" t="s">
        <v>412</v>
      </c>
      <c r="C174" s="298" t="str">
        <f>Market_currency</f>
        <v>HKD</v>
      </c>
      <c r="D174" s="298" t="str">
        <f>IF($D$11="","",D$13)</f>
        <v/>
      </c>
    </row>
    <row r="175" spans="2:4">
      <c r="B175" s="214" t="s">
        <v>261</v>
      </c>
      <c r="C175" s="92">
        <f>Scenarios!F105</f>
        <v>0.15784352411507596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1651617</v>
      </c>
      <c r="D22" s="351">
        <v>1155281</v>
      </c>
      <c r="E22" s="351">
        <v>1123697</v>
      </c>
      <c r="F22" s="351">
        <v>1143528</v>
      </c>
      <c r="G22" s="351">
        <v>592419</v>
      </c>
      <c r="H22" s="351">
        <v>809895</v>
      </c>
      <c r="I22" s="351">
        <v>365108</v>
      </c>
      <c r="J22" s="351"/>
      <c r="K22" s="351"/>
      <c r="L22" s="351"/>
      <c r="M22" s="351"/>
    </row>
    <row r="23" spans="2:13">
      <c r="B23" s="27" t="s">
        <v>370</v>
      </c>
      <c r="C23" s="351">
        <v>-462453</v>
      </c>
      <c r="D23" s="351">
        <v>-759191</v>
      </c>
      <c r="E23" s="351">
        <v>-250209</v>
      </c>
      <c r="F23" s="351">
        <v>-137265</v>
      </c>
      <c r="G23" s="351">
        <v>-149910</v>
      </c>
      <c r="H23" s="351">
        <v>-302261</v>
      </c>
      <c r="I23" s="351">
        <v>-379421</v>
      </c>
      <c r="J23" s="351"/>
      <c r="K23" s="351"/>
      <c r="L23" s="351"/>
      <c r="M23" s="351"/>
    </row>
    <row r="24" spans="2:13">
      <c r="B24" s="27" t="s">
        <v>369</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1.4836906980000002</v>
      </c>
      <c r="D25" s="39">
        <f>0.137*Exchange_Rate</f>
        <v>1.2394245465000002</v>
      </c>
      <c r="E25" s="39">
        <f>0.11*Exchange_Rate</f>
        <v>0.99515839500000003</v>
      </c>
      <c r="F25" s="39"/>
      <c r="G25" s="39"/>
      <c r="H25" s="39"/>
      <c r="I25" s="39"/>
      <c r="J25" s="39"/>
      <c r="K25" s="39"/>
      <c r="L25" s="39"/>
      <c r="M25" s="39"/>
    </row>
    <row r="27" spans="2:13">
      <c r="B27" s="16" t="s">
        <v>28</v>
      </c>
      <c r="C27" s="97" t="s">
        <v>464</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171</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151</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167</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1.4836906980000002</v>
      </c>
      <c r="D65" s="73">
        <f t="shared" ref="D65:M65" si="33">IF(D$4="","",D25)</f>
        <v>1.2394245465000002</v>
      </c>
      <c r="E65" s="73">
        <f t="shared" si="33"/>
        <v>0.99515839500000003</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167</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369</v>
      </c>
      <c r="D15" s="261">
        <v>0.4</v>
      </c>
      <c r="F15" s="4" t="s">
        <v>78</v>
      </c>
      <c r="G15" s="19">
        <v>0</v>
      </c>
      <c r="H15" s="261">
        <v>0.8</v>
      </c>
    </row>
    <row r="16" spans="2:8" ht="15" customHeight="1">
      <c r="B16" s="1" t="s">
        <v>34</v>
      </c>
      <c r="C16" s="19">
        <v>2571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2255055+2278955</f>
        <v>4534010</v>
      </c>
      <c r="D19" s="261">
        <v>0.1</v>
      </c>
      <c r="F19" s="4" t="s">
        <v>181</v>
      </c>
      <c r="G19" s="19">
        <v>37624</v>
      </c>
      <c r="H19" s="261">
        <v>0.1</v>
      </c>
    </row>
    <row r="20" spans="2:8" ht="15" customHeight="1">
      <c r="B20" s="4" t="s">
        <v>18</v>
      </c>
      <c r="C20" s="19">
        <v>0</v>
      </c>
      <c r="D20" s="261">
        <v>0.05</v>
      </c>
      <c r="F20" s="4" t="s">
        <v>178</v>
      </c>
      <c r="G20" s="19">
        <v>0</v>
      </c>
      <c r="H20" s="261">
        <v>0.2</v>
      </c>
    </row>
    <row r="21" spans="2:8" ht="15" customHeight="1">
      <c r="B21" s="4" t="s">
        <v>19</v>
      </c>
      <c r="C21" s="19">
        <v>867920</v>
      </c>
      <c r="D21" s="261">
        <v>0.05</v>
      </c>
      <c r="F21" s="1" t="s">
        <v>179</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199</v>
      </c>
      <c r="C26" s="182" t="s">
        <v>135</v>
      </c>
      <c r="F26" s="184" t="s">
        <v>195</v>
      </c>
      <c r="G26" s="185" t="s">
        <v>135</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243</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202</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7500772</v>
      </c>
      <c r="H35" s="200">
        <f>D12+D24</f>
        <v>1573466.7999999998</v>
      </c>
    </row>
    <row r="36" spans="2:8" ht="15" customHeight="1">
      <c r="B36" s="4" t="s">
        <v>13</v>
      </c>
      <c r="C36" s="19">
        <v>220941</v>
      </c>
      <c r="F36" s="190" t="s">
        <v>196</v>
      </c>
      <c r="G36" s="191">
        <f>C4+C15</f>
        <v>424243</v>
      </c>
      <c r="H36" s="195"/>
    </row>
    <row r="37" spans="2:8" ht="15" customHeight="1">
      <c r="B37" s="4" t="s">
        <v>14</v>
      </c>
      <c r="C37" s="19">
        <v>0</v>
      </c>
      <c r="F37" s="190" t="s">
        <v>197</v>
      </c>
      <c r="G37" s="191">
        <f>C6</f>
        <v>866160</v>
      </c>
      <c r="H37" s="195"/>
    </row>
    <row r="38" spans="2:8" ht="15" customHeight="1">
      <c r="B38" s="4" t="s">
        <v>15</v>
      </c>
      <c r="C38" s="19">
        <v>0</v>
      </c>
      <c r="F38" s="190" t="s">
        <v>198</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203</v>
      </c>
      <c r="C40" s="81">
        <f>SUM(C36:C39)</f>
        <v>221340</v>
      </c>
      <c r="F40" s="199" t="s">
        <v>137</v>
      </c>
      <c r="G40" s="193">
        <f>G12+G24</f>
        <v>1049187</v>
      </c>
      <c r="H40" s="200">
        <f>H12+H24</f>
        <v>914169.10000000009</v>
      </c>
    </row>
    <row r="41" spans="2:8" ht="15" customHeight="1">
      <c r="B41" s="4" t="s">
        <v>17</v>
      </c>
      <c r="C41" s="21">
        <f>C42-C40</f>
        <v>2225737</v>
      </c>
      <c r="F41" s="190" t="s">
        <v>190</v>
      </c>
      <c r="G41" s="191">
        <f>C70</f>
        <v>1011563</v>
      </c>
      <c r="H41" s="200">
        <f>H40-H42</f>
        <v>910406.70000000007</v>
      </c>
    </row>
    <row r="42" spans="2:8" ht="15" customHeight="1">
      <c r="B42" s="83" t="s">
        <v>22</v>
      </c>
      <c r="C42" s="84">
        <v>2447077</v>
      </c>
      <c r="F42" s="201" t="s">
        <v>191</v>
      </c>
      <c r="G42" s="202">
        <f>C82</f>
        <v>37624</v>
      </c>
      <c r="H42" s="203">
        <f>D82</f>
        <v>3762.4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4399365</v>
      </c>
      <c r="D46" s="76">
        <f>H29</f>
        <v>-1662958.1</v>
      </c>
      <c r="F46" s="253"/>
    </row>
    <row r="47" spans="2:8" ht="15" customHeight="1">
      <c r="B47" s="1" t="str">
        <f>"Equity per share ("&amp;Market_currency&amp;")"</f>
        <v>Equity per share (HKD)</v>
      </c>
      <c r="C47" s="147">
        <f>C46*H1/Common_Shares*Exchange_Rate</f>
        <v>15.554251102065832</v>
      </c>
      <c r="D47" s="147">
        <f>D46*H1/Common_Shares*Exchange_Rate</f>
        <v>-5.879500305070005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175</v>
      </c>
      <c r="C51" s="181"/>
      <c r="D51" s="92">
        <f>G29/G32</f>
        <v>0.51454808145863629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0.13608978396645544</v>
      </c>
      <c r="D54" s="92">
        <f>Normalized_FCF!G8/G35</f>
        <v>0.19166480463610946</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273</v>
      </c>
      <c r="C61" s="235" t="s">
        <v>136</v>
      </c>
      <c r="D61" s="197" t="s">
        <v>95</v>
      </c>
      <c r="F61" s="253"/>
    </row>
    <row r="62" spans="2:8" ht="15" customHeight="1">
      <c r="B62" s="1" t="s">
        <v>244</v>
      </c>
      <c r="C62" s="92">
        <f>IF(G28&lt;=0,0,G28/G29)</f>
        <v>4.5608854914288765E-3</v>
      </c>
      <c r="D62" s="92">
        <f>G28/G29</f>
        <v>4.5608854914288765E-3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1011563</v>
      </c>
      <c r="D66" s="76">
        <f>C66-D75</f>
        <v>412017.96453687374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1011563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-649202.19721826271</v>
      </c>
      <c r="D73" s="349">
        <f>(Normalized_FCF!C25+Normalized_FCF!C35-Normalized_FCF!C91)/12</f>
        <v>-599545.03546312626</v>
      </c>
      <c r="F73" s="1" t="s">
        <v>348</v>
      </c>
    </row>
    <row r="74" spans="2:6" ht="15" customHeight="1">
      <c r="B74" s="257" t="s">
        <v>318</v>
      </c>
      <c r="C74" s="258">
        <f>-$C$66/C73</f>
        <v>1.5581632414899407</v>
      </c>
      <c r="D74" s="258">
        <f>-$C$66/D73</f>
        <v>1.6872177070378127</v>
      </c>
      <c r="F74" s="253" t="s">
        <v>316</v>
      </c>
    </row>
    <row r="75" spans="2:6" ht="15" customHeight="1">
      <c r="B75" s="80" t="s">
        <v>317</v>
      </c>
      <c r="C75" s="320"/>
      <c r="D75" s="321">
        <f>MAX(-D73*D76,G5)</f>
        <v>599545.03546312626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37624</v>
      </c>
      <c r="D80" s="76">
        <f>G19*H19</f>
        <v>3762.4</v>
      </c>
      <c r="F80" s="253"/>
    </row>
    <row r="81" spans="2:8" ht="15" customHeight="1">
      <c r="B81" s="105" t="s">
        <v>179</v>
      </c>
      <c r="C81" s="20">
        <f>G9+G21</f>
        <v>0</v>
      </c>
      <c r="D81" s="76">
        <f>G9*H9+G21*H21</f>
        <v>0</v>
      </c>
      <c r="F81" s="253"/>
    </row>
    <row r="82" spans="2:8" ht="15" customHeight="1">
      <c r="B82" s="80" t="s">
        <v>188</v>
      </c>
      <c r="C82" s="81">
        <f>SUM(C79:C81)</f>
        <v>37624</v>
      </c>
      <c r="D82" s="81">
        <f>SUM(D79:D81)</f>
        <v>3762.4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-7839134.0842500003</v>
      </c>
      <c r="D86" s="223">
        <f>C86*scaling_factor/Common_Shares</f>
        <v>-3.0635690787056866</v>
      </c>
      <c r="E86" s="240" t="str">
        <f>Market_currency</f>
        <v>HKD</v>
      </c>
    </row>
    <row r="87" spans="2:8" ht="15" customHeight="1">
      <c r="B87" s="238" t="s">
        <v>286</v>
      </c>
      <c r="C87" s="76">
        <f>DCF!C8*Exchange_Rate</f>
        <v>3727483.0572698382</v>
      </c>
      <c r="D87" s="223">
        <f>C87*scaling_factor/Common_Shares</f>
        <v>1.4567172487321669</v>
      </c>
      <c r="E87" s="240" t="str">
        <f>Market_currency</f>
        <v>HKD</v>
      </c>
    </row>
    <row r="88" spans="2:8" ht="15" customHeight="1">
      <c r="B88" s="239" t="s">
        <v>188</v>
      </c>
      <c r="C88" s="76">
        <f>DCF!C9*Exchange_Rate</f>
        <v>34038.035866800004</v>
      </c>
      <c r="D88" s="223">
        <f>C88*scaling_factor/Common_Shares</f>
        <v>1.3302218467077064E-2</v>
      </c>
      <c r="E88" s="240" t="str">
        <f>Market_currency</f>
        <v>HKD</v>
      </c>
    </row>
    <row r="89" spans="2:8" ht="15" customHeight="1">
      <c r="B89" s="80" t="s">
        <v>290</v>
      </c>
      <c r="C89" s="180">
        <f>SUM(C86:C88)</f>
        <v>-4077612.9911133619</v>
      </c>
      <c r="D89" s="242">
        <f>SUM(D86:D88)</f>
        <v>-1.5935496115064427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151</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163</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242</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153</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0.21386747640891421</v>
      </c>
      <c r="D28" s="26"/>
      <c r="E28" s="266" t="s">
        <v>330</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330</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-283216.75</v>
      </c>
      <c r="E33" s="266" t="s">
        <v>330</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333</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151</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163</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153</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1.4836906980000002</v>
      </c>
      <c r="E90" s="268"/>
      <c r="G90" s="112">
        <f>Data!C65</f>
        <v>1.4836906980000002</v>
      </c>
      <c r="H90" s="112">
        <f>Data!D65</f>
        <v>1.2394245465000002</v>
      </c>
      <c r="I90" s="112">
        <f>Data!E65</f>
        <v>0.99515839500000003</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3796503.3666191525</v>
      </c>
      <c r="E91" s="268"/>
      <c r="G91" s="74">
        <f t="shared" ref="G91:Q91" si="37">IF(G$4="","",G90*Common_Shares/scaling_factor)</f>
        <v>3796503.3666191525</v>
      </c>
      <c r="H91" s="74">
        <f t="shared" si="37"/>
        <v>3171469.2757733162</v>
      </c>
      <c r="I91" s="74">
        <f t="shared" si="37"/>
        <v>2546435.1849274803</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5.4766798181084244</v>
      </c>
      <c r="E92" s="268"/>
      <c r="G92" s="170">
        <f t="shared" ref="G92:Q92" si="38">IF(G$4="","",G90/(G19*scaling_factor/Common_Shares))</f>
        <v>3.808385529471102</v>
      </c>
      <c r="H92" s="170">
        <f t="shared" si="38"/>
        <v>3.8628639863745691</v>
      </c>
      <c r="I92" s="170">
        <f t="shared" si="38"/>
        <v>3.7901953789063598</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3.1104626792452832E-2</v>
      </c>
      <c r="E94" s="268"/>
      <c r="G94" s="23">
        <f t="shared" ref="G94:Q94" si="39">IF(G$4="","",(G90*(1-dividend_tax_rate))/Market_Price)</f>
        <v>3.1104626792452832E-2</v>
      </c>
      <c r="H94" s="23">
        <f t="shared" si="39"/>
        <v>2.5983743113207551E-2</v>
      </c>
      <c r="I94" s="23">
        <f t="shared" si="39"/>
        <v>2.0862859433962263E-2</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-0.18645509933891879</v>
      </c>
      <c r="D97" s="27"/>
      <c r="E97" s="265"/>
      <c r="F97" s="27"/>
      <c r="G97" s="6">
        <f t="shared" ref="G97:Q97" si="40">IF(H4="","",G4/H4-1)</f>
        <v>0.14919269610704622</v>
      </c>
      <c r="H97" s="6">
        <f t="shared" si="40"/>
        <v>0.1251553917299939</v>
      </c>
      <c r="I97" s="6">
        <f t="shared" si="40"/>
        <v>0.26655269521380198</v>
      </c>
      <c r="J97" s="6">
        <f t="shared" si="40"/>
        <v>0.36895472438426102</v>
      </c>
      <c r="K97" s="6">
        <f t="shared" si="40"/>
        <v>-0.24890144264901282</v>
      </c>
      <c r="L97" s="6">
        <f t="shared" si="40"/>
        <v>2.655699222315433E-2</v>
      </c>
      <c r="M97" s="6" t="str">
        <f t="shared" si="40"/>
        <v/>
      </c>
      <c r="N97" s="6" t="str">
        <f t="shared" si="40"/>
        <v/>
      </c>
      <c r="O97" s="6" t="str">
        <f t="shared" si="40"/>
        <v/>
      </c>
      <c r="P97" s="6" t="str">
        <f t="shared" si="40"/>
        <v/>
      </c>
      <c r="Q97" s="6" t="str">
        <f t="shared" si="40"/>
        <v/>
      </c>
    </row>
    <row r="98" spans="1:17" ht="15.75" customHeight="1">
      <c r="A98" s="10"/>
      <c r="B98" s="70" t="s">
        <v>163</v>
      </c>
      <c r="C98" s="77">
        <f>C13/G13-1</f>
        <v>-0.30953946468866189</v>
      </c>
      <c r="D98" s="27"/>
      <c r="E98" s="265"/>
      <c r="F98" s="27"/>
      <c r="G98" s="6">
        <f t="shared" ref="G98:Q98" si="41">IF(H5="","",G13/H13-1)</f>
        <v>0.20085032618426824</v>
      </c>
      <c r="H98" s="6">
        <f t="shared" si="41"/>
        <v>0.22211784706254156</v>
      </c>
      <c r="I98" s="6">
        <f t="shared" si="41"/>
        <v>0.88128758198074086</v>
      </c>
      <c r="J98" s="6">
        <f t="shared" si="41"/>
        <v>-0.72021730227179648</v>
      </c>
      <c r="K98" s="6">
        <f t="shared" si="41"/>
        <v>-0.24841826995204375</v>
      </c>
      <c r="L98" s="6">
        <f t="shared" si="41"/>
        <v>2.5200278971835077E-2</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8549959</v>
      </c>
      <c r="D102" s="26"/>
      <c r="E102" s="269"/>
      <c r="F102" s="26"/>
      <c r="G102" s="333">
        <f t="shared" ref="G102:Q102" si="42">IF(G$4="","",G106+G105)</f>
        <v>8549959</v>
      </c>
      <c r="H102" s="333">
        <f t="shared" si="42"/>
        <v>7615051</v>
      </c>
      <c r="I102" s="333">
        <f t="shared" si="42"/>
        <v>7377578</v>
      </c>
      <c r="J102" s="333">
        <f t="shared" si="42"/>
        <v>6959011</v>
      </c>
      <c r="K102" s="333">
        <f t="shared" si="42"/>
        <v>6527927</v>
      </c>
      <c r="L102" s="333">
        <f t="shared" si="42"/>
        <v>7038439</v>
      </c>
      <c r="M102" s="333">
        <f t="shared" si="42"/>
        <v>4678812</v>
      </c>
      <c r="N102" s="333" t="str">
        <f t="shared" si="42"/>
        <v/>
      </c>
      <c r="O102" s="333" t="str">
        <f t="shared" si="42"/>
        <v/>
      </c>
      <c r="P102" s="333" t="str">
        <f t="shared" si="42"/>
        <v/>
      </c>
      <c r="Q102" s="333" t="str">
        <f t="shared" si="42"/>
        <v/>
      </c>
    </row>
    <row r="103" spans="1:17" ht="15.75" customHeight="1">
      <c r="A103" s="10"/>
      <c r="B103" s="93" t="s">
        <v>209</v>
      </c>
      <c r="C103" s="345">
        <f>BS!C4</f>
        <v>423874</v>
      </c>
      <c r="D103" s="89"/>
      <c r="E103" s="270"/>
      <c r="F103" s="89"/>
      <c r="G103" s="346">
        <f>IF(G$4="","",Data!D77)</f>
        <v>405151</v>
      </c>
      <c r="H103" s="346">
        <f>IF(H$4="","",Data!E77)</f>
        <v>331915</v>
      </c>
      <c r="I103" s="346">
        <f>IF(I$4="","",Data!F77)</f>
        <v>329547</v>
      </c>
      <c r="J103" s="346">
        <f>IF(J$4="","",Data!G77)</f>
        <v>290380</v>
      </c>
      <c r="K103" s="346">
        <f>IF(K$4="","",Data!H77)</f>
        <v>317554</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866160</v>
      </c>
      <c r="D104" s="89"/>
      <c r="E104" s="270"/>
      <c r="F104" s="89"/>
      <c r="G104" s="346">
        <f>IF(G$4="","",Data!D78)</f>
        <v>782978</v>
      </c>
      <c r="H104" s="346">
        <f>IF(H$4="","",Data!E78)</f>
        <v>760457</v>
      </c>
      <c r="I104" s="346">
        <f>IF(I$4="","",Data!F78)</f>
        <v>662654</v>
      </c>
      <c r="J104" s="346">
        <f>IF(J$4="","",Data!G78)</f>
        <v>666222</v>
      </c>
      <c r="K104" s="346">
        <f>IF(K$4="","",Data!H78)</f>
        <v>712611</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4130529</v>
      </c>
      <c r="D105" s="26"/>
      <c r="E105" s="269"/>
      <c r="F105" s="26"/>
      <c r="G105" s="333">
        <f>Data!C79</f>
        <v>4130529</v>
      </c>
      <c r="H105" s="333">
        <f>Data!D79</f>
        <v>3738242</v>
      </c>
      <c r="I105" s="333">
        <f>Data!E79</f>
        <v>3876556</v>
      </c>
      <c r="J105" s="333">
        <f>Data!F79</f>
        <v>3830368</v>
      </c>
      <c r="K105" s="333">
        <f>Data!G79</f>
        <v>3676207</v>
      </c>
      <c r="L105" s="333">
        <f>Data!H79</f>
        <v>4049864</v>
      </c>
      <c r="M105" s="333">
        <f>Data!I79</f>
        <v>1781743</v>
      </c>
      <c r="N105" s="333" t="str">
        <f>Data!J79</f>
        <v/>
      </c>
      <c r="O105" s="333" t="str">
        <f>Data!K79</f>
        <v/>
      </c>
      <c r="P105" s="333" t="str">
        <f>Data!L79</f>
        <v/>
      </c>
      <c r="Q105" s="333" t="str">
        <f>Data!M79</f>
        <v/>
      </c>
    </row>
    <row r="106" spans="1:17" ht="15.75" customHeight="1">
      <c r="A106" s="10"/>
      <c r="B106" s="26" t="s">
        <v>30</v>
      </c>
      <c r="C106" s="344">
        <f>BS!G27</f>
        <v>4419430</v>
      </c>
      <c r="D106" s="26"/>
      <c r="E106" s="269"/>
      <c r="F106" s="26"/>
      <c r="G106" s="333">
        <f>Data!C80</f>
        <v>4419430</v>
      </c>
      <c r="H106" s="333">
        <f>Data!D80</f>
        <v>3876809</v>
      </c>
      <c r="I106" s="333">
        <f>Data!E80</f>
        <v>3501022</v>
      </c>
      <c r="J106" s="333">
        <f>Data!F80</f>
        <v>3128643</v>
      </c>
      <c r="K106" s="333">
        <f>Data!G80</f>
        <v>2851720</v>
      </c>
      <c r="L106" s="333">
        <f>Data!H80</f>
        <v>2988575</v>
      </c>
      <c r="M106" s="333">
        <f>Data!I80</f>
        <v>2897069</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9.5924801567297838E-2</v>
      </c>
      <c r="D109" s="26"/>
      <c r="E109" s="269"/>
      <c r="F109" s="26"/>
      <c r="G109" s="94">
        <f t="shared" ref="G109:Q109" si="43">IF(G$4="","",G103/G$4)</f>
        <v>7.4592055279913291E-2</v>
      </c>
      <c r="H109" s="94">
        <f t="shared" si="43"/>
        <v>7.0225589776259409E-2</v>
      </c>
      <c r="I109" s="94">
        <f t="shared" si="43"/>
        <v>7.8450981913854773E-2</v>
      </c>
      <c r="J109" s="94">
        <f t="shared" si="43"/>
        <v>8.7552990695346472E-2</v>
      </c>
      <c r="K109" s="94">
        <f t="shared" si="43"/>
        <v>0.13107231113215248</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0.19601633062072857</v>
      </c>
      <c r="D110" s="26"/>
      <c r="E110" s="269"/>
      <c r="F110" s="26"/>
      <c r="G110" s="94">
        <f t="shared" ref="G110:Q110" si="44">IF(G$4="","",G104/G$4)</f>
        <v>0.14415350883733707</v>
      </c>
      <c r="H110" s="94">
        <f t="shared" si="44"/>
        <v>0.16089523319068105</v>
      </c>
      <c r="I110" s="94">
        <f t="shared" si="44"/>
        <v>0.15774944687447776</v>
      </c>
      <c r="J110" s="94">
        <f t="shared" si="44"/>
        <v>0.20087378113862908</v>
      </c>
      <c r="K110" s="94">
        <f t="shared" si="44"/>
        <v>0.29413444865501404</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1.9582843253497748</v>
      </c>
      <c r="H114" s="295">
        <f>IF(H$4="","",Data!D$22/Data!D15)</f>
        <v>1.7156143821132417</v>
      </c>
      <c r="I114" s="295">
        <f>IF(I$4="","",Data!E$22/Data!E15)</f>
        <v>2.3951508563268002</v>
      </c>
      <c r="J114" s="295">
        <f>IF(J$4="","",Data!F$22/Data!F15)</f>
        <v>3.8750131310084952</v>
      </c>
      <c r="K114" s="295">
        <f>IF(K$4="","",Data!G$22/Data!G15)</f>
        <v>-10.896464832254267</v>
      </c>
      <c r="L114" s="295">
        <f>IF(L$4="","",Data!H$22/Data!H15)</f>
        <v>3.1424896400800857</v>
      </c>
      <c r="M114" s="295">
        <f>IF(M$4="","",Data!I$22/Data!I15)</f>
        <v>1.7537923547665024</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1.6567861728593212</v>
      </c>
      <c r="H115" s="295">
        <f>IF(H$4="","",Data!D$22/H19)</f>
        <v>1.4071375066228997</v>
      </c>
      <c r="I115" s="295">
        <f>IF(I$4="","",Data!E$22/I19)</f>
        <v>1.6725464688441434</v>
      </c>
      <c r="J115" s="295">
        <f>IF(J$4="","",Data!F$22/J19)</f>
        <v>3.173240538785568</v>
      </c>
      <c r="K115" s="295">
        <f>IF(K$4="","",Data!G$22/K19)</f>
        <v>0.34030992255382803</v>
      </c>
      <c r="L115" s="295">
        <f>IF(L$4="","",Data!H$22/L19)</f>
        <v>0.34601433795884884</v>
      </c>
      <c r="M115" s="295">
        <f>IF(M$4="","",Data!I$22/M19)</f>
        <v>0.16860224825779185</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0.21042753223383909</v>
      </c>
      <c r="E118" s="268"/>
      <c r="G118" s="23">
        <f t="shared" ref="G118:Q118" si="45">IF(G4="","",IF(valuation_method="DDM",G13/(G4+G12),G81))</f>
        <v>0.24793921890168877</v>
      </c>
      <c r="H118" s="23">
        <f t="shared" si="45"/>
        <v>0.23727348298740841</v>
      </c>
      <c r="I118" s="23">
        <f t="shared" si="45"/>
        <v>0.21844827758593025</v>
      </c>
      <c r="J118" s="23">
        <f t="shared" si="45"/>
        <v>0.14706749642708541</v>
      </c>
      <c r="K118" s="23">
        <f t="shared" si="45"/>
        <v>0.71958968753959873</v>
      </c>
      <c r="L118" s="23">
        <f t="shared" si="45"/>
        <v>0.71912708170960138</v>
      </c>
      <c r="M118" s="23">
        <f t="shared" si="45"/>
        <v>0.7200787486776562</v>
      </c>
      <c r="N118" s="23" t="str">
        <f t="shared" si="45"/>
        <v/>
      </c>
      <c r="O118" s="23" t="str">
        <f t="shared" si="45"/>
        <v/>
      </c>
      <c r="P118" s="23" t="str">
        <f t="shared" si="45"/>
        <v/>
      </c>
      <c r="Q118" s="23" t="str">
        <f t="shared" si="45"/>
        <v/>
      </c>
    </row>
    <row r="119" spans="1:17" ht="15.75" customHeight="1">
      <c r="B119" s="7" t="s">
        <v>83</v>
      </c>
      <c r="C119" s="42">
        <f>IF(valuation_method="DDM",(C4+C12)/C102,C4/C102)</f>
        <v>0.51682300464832642</v>
      </c>
      <c r="E119" s="268"/>
      <c r="G119" s="42">
        <f t="shared" ref="G119:Q119" si="46">IF(G4="","",IF(valuation_method="DDM",(G4+G12)/G102,G4/G102))</f>
        <v>0.63527287089914697</v>
      </c>
      <c r="H119" s="42">
        <f t="shared" si="46"/>
        <v>0.6206670185137303</v>
      </c>
      <c r="I119" s="42">
        <f t="shared" si="46"/>
        <v>0.56938388181053456</v>
      </c>
      <c r="J119" s="42">
        <f t="shared" si="46"/>
        <v>0.47659358492176546</v>
      </c>
      <c r="K119" s="42">
        <f t="shared" si="46"/>
        <v>0.37113451176767143</v>
      </c>
      <c r="L119" s="42">
        <f t="shared" si="46"/>
        <v>0.45828258226007218</v>
      </c>
      <c r="M119" s="42">
        <f t="shared" si="46"/>
        <v>0.67156962066439085</v>
      </c>
      <c r="N119" s="42" t="str">
        <f t="shared" si="46"/>
        <v/>
      </c>
      <c r="O119" s="42" t="str">
        <f t="shared" si="46"/>
        <v/>
      </c>
      <c r="P119" s="42" t="str">
        <f t="shared" si="46"/>
        <v/>
      </c>
      <c r="Q119" s="42" t="str">
        <f t="shared" si="46"/>
        <v/>
      </c>
    </row>
    <row r="120" spans="1:17" ht="15.75" customHeight="1">
      <c r="B120" s="7" t="s">
        <v>91</v>
      </c>
      <c r="C120" s="15">
        <f>C102/C106</f>
        <v>1.9346293526540752</v>
      </c>
      <c r="D120" s="11"/>
      <c r="E120" s="272"/>
      <c r="F120" s="11"/>
      <c r="G120" s="15">
        <f t="shared" ref="G120:Q120" si="47">IF(G$4="","",G102/G106)</f>
        <v>1.9346293526540752</v>
      </c>
      <c r="H120" s="15">
        <f t="shared" si="47"/>
        <v>1.9642574601947116</v>
      </c>
      <c r="I120" s="15">
        <f t="shared" si="47"/>
        <v>2.1072641074520524</v>
      </c>
      <c r="J120" s="15">
        <f t="shared" si="47"/>
        <v>2.2242905310704995</v>
      </c>
      <c r="K120" s="15">
        <f t="shared" si="47"/>
        <v>2.2891191982382564</v>
      </c>
      <c r="L120" s="15">
        <f t="shared" si="47"/>
        <v>2.3551153978066468</v>
      </c>
      <c r="M120" s="15">
        <f t="shared" si="47"/>
        <v>1.615015727965057</v>
      </c>
      <c r="N120" s="15" t="str">
        <f t="shared" si="47"/>
        <v/>
      </c>
      <c r="O120" s="15" t="str">
        <f t="shared" si="47"/>
        <v/>
      </c>
      <c r="P120" s="15" t="str">
        <f t="shared" si="47"/>
        <v/>
      </c>
      <c r="Q120" s="15" t="str">
        <f t="shared" si="47"/>
        <v/>
      </c>
    </row>
    <row r="121" spans="1:17" ht="15.75" customHeight="1">
      <c r="A121" s="10"/>
      <c r="B121" s="70" t="s">
        <v>221</v>
      </c>
      <c r="C121" s="102">
        <f>C13/C106</f>
        <v>0.21039827332068567</v>
      </c>
      <c r="D121" s="103"/>
      <c r="E121" s="271"/>
      <c r="F121" s="103"/>
      <c r="G121" s="102">
        <f t="shared" ref="G121:Q121" si="48">IF(G$4="","",G13/G106)</f>
        <v>0.3047216496244991</v>
      </c>
      <c r="H121" s="102">
        <f t="shared" si="48"/>
        <v>0.28927192440999799</v>
      </c>
      <c r="I121" s="102">
        <f t="shared" si="48"/>
        <v>0.26210346578798993</v>
      </c>
      <c r="J121" s="102">
        <f t="shared" si="48"/>
        <v>0.15590369371002061</v>
      </c>
      <c r="K121" s="102">
        <f t="shared" si="48"/>
        <v>0.61134262830852959</v>
      </c>
      <c r="L121" s="102">
        <f t="shared" si="48"/>
        <v>0.77615987552596133</v>
      </c>
      <c r="M121" s="102">
        <f t="shared" si="48"/>
        <v>0.78099417031489415</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2.4508997533606824</v>
      </c>
      <c r="D125" s="27"/>
      <c r="E125" s="265"/>
      <c r="F125" s="27"/>
      <c r="G125" s="177">
        <f t="shared" ref="G125:Q125" si="49">IF(G$4="","",G16*$C$3/Common_Shares*Exchange_Rate)</f>
        <v>3.5245363452742358</v>
      </c>
      <c r="H125" s="177">
        <f t="shared" si="49"/>
        <v>2.9027537993693588</v>
      </c>
      <c r="I125" s="177">
        <f t="shared" si="49"/>
        <v>2.3753638296483075</v>
      </c>
      <c r="J125" s="177">
        <f t="shared" si="49"/>
        <v>1.2740982511446666</v>
      </c>
      <c r="K125" s="177">
        <f t="shared" si="49"/>
        <v>6.1547933649516349</v>
      </c>
      <c r="L125" s="177">
        <f t="shared" si="49"/>
        <v>8.2754902808790298</v>
      </c>
      <c r="M125" s="177">
        <f t="shared" si="49"/>
        <v>7.6562674857104289</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5.138154619204785E-2</v>
      </c>
      <c r="D126" s="27"/>
      <c r="E126" s="265"/>
      <c r="F126" s="27"/>
      <c r="G126" s="77">
        <f t="shared" ref="G126" si="50">IF(G$4="","",G125/Market_Price)</f>
        <v>7.3889650844323598E-2</v>
      </c>
      <c r="H126" s="77">
        <f t="shared" ref="H126" si="51">IF(H$4="","",H125/Market_Price)</f>
        <v>6.0854377345269571E-2</v>
      </c>
      <c r="I126" s="77">
        <f t="shared" ref="I126" si="52">IF(I$4="","",I125/Market_Price)</f>
        <v>4.9797983850069338E-2</v>
      </c>
      <c r="J126" s="77">
        <f t="shared" ref="J126" si="53">IF(J$4="","",J125/Market_Price)</f>
        <v>2.6710655160265544E-2</v>
      </c>
      <c r="K126" s="77">
        <f t="shared" ref="K126" si="54">IF(K$4="","",K125/Market_Price)</f>
        <v>0.12903130744133406</v>
      </c>
      <c r="L126" s="77">
        <f t="shared" ref="L126" si="55">IF(L$4="","",L125/Market_Price)</f>
        <v>0.17349036228257922</v>
      </c>
      <c r="M126" s="77">
        <f t="shared" ref="M126" si="56">IF(M$4="","",M125/Market_Price)</f>
        <v>0.16050875232097334</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6.9099483665455569E-3</v>
      </c>
      <c r="H127" s="23">
        <f>IF(H$4="","",(Data!D47*$C$3)/(Market_Price*Common_Shares))</f>
        <v>5.5170784330624209E-3</v>
      </c>
      <c r="I127" s="23">
        <f>IF(I$4="","",(Data!E47*$C$3)/(Market_Price*Common_Shares))</f>
        <v>3.8437714321871955E-3</v>
      </c>
      <c r="J127" s="23">
        <f>IF(J$4="","",(Data!F47*$C$3)/(Market_Price*Common_Shares))</f>
        <v>2.4177691401620744E-3</v>
      </c>
      <c r="K127" s="23">
        <f>IF(K$4="","",(Data!G47*$C$3)/(Market_Price*Common_Shares))</f>
        <v>-4.45435229775135E-4</v>
      </c>
      <c r="L127" s="23">
        <f>IF(L$4="","",(Data!H47*$C$3)/(Market_Price*Common_Shares))</f>
        <v>2.1115242267246703E-3</v>
      </c>
      <c r="M127" s="23">
        <f>IF(M$4="","",(Data!I47*$C$3)/(Market_Price*Common_Shares))</f>
        <v>1.7056282556843574E-3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693212.58366541076</v>
      </c>
      <c r="D4" t="str">
        <f>Reporting_currency</f>
        <v>EUR</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9242834.4488721434</v>
      </c>
      <c r="D6" t="str">
        <f>Reporting_currency</f>
        <v>EUR</v>
      </c>
      <c r="E6" s="366" t="s">
        <v>248</v>
      </c>
      <c r="F6" s="366"/>
      <c r="H6" s="120"/>
    </row>
    <row r="7" spans="2:8">
      <c r="B7" s="148" t="s">
        <v>223</v>
      </c>
      <c r="C7" s="338">
        <f>BS!G31</f>
        <v>866500</v>
      </c>
      <c r="D7" t="str">
        <f>Reporting_currency</f>
        <v>EUR</v>
      </c>
      <c r="E7" s="366"/>
      <c r="F7" s="366"/>
      <c r="H7" s="120"/>
    </row>
    <row r="8" spans="2:8">
      <c r="B8" s="148" t="s">
        <v>224</v>
      </c>
      <c r="C8" s="338">
        <f>BS!D66</f>
        <v>412017.96453687374</v>
      </c>
      <c r="D8" t="str">
        <f>Reporting_currency</f>
        <v>EUR</v>
      </c>
      <c r="E8" s="366"/>
      <c r="F8" s="366"/>
      <c r="H8" s="120"/>
    </row>
    <row r="9" spans="2:8">
      <c r="B9" s="205" t="s">
        <v>189</v>
      </c>
      <c r="C9" s="348">
        <f>BS!H42</f>
        <v>3762.4</v>
      </c>
      <c r="D9" t="str">
        <f>Reporting_currency</f>
        <v>EUR</v>
      </c>
      <c r="E9" s="366"/>
      <c r="F9" s="366"/>
      <c r="H9" s="120"/>
    </row>
    <row r="10" spans="2:8" ht="13.15">
      <c r="B10" s="149" t="s">
        <v>226</v>
      </c>
      <c r="C10" s="347">
        <f>C6-C7+C8+C9</f>
        <v>8792114.8134090174</v>
      </c>
      <c r="D10" t="str">
        <f>Reporting_currency</f>
        <v>EUR</v>
      </c>
      <c r="H10" s="120"/>
    </row>
    <row r="11" spans="2:8" ht="13.15" thickBot="1">
      <c r="B11" s="207" t="s">
        <v>165</v>
      </c>
      <c r="C11" s="208">
        <f>Exchange_Rate</f>
        <v>9.0468945000000005</v>
      </c>
      <c r="D11" t="str">
        <f>Thesis!C15</f>
        <v>EUR/HKD</v>
      </c>
      <c r="H11" s="120"/>
    </row>
    <row r="12" spans="2:8" ht="13.5" thickTop="1">
      <c r="B12" s="149" t="s">
        <v>102</v>
      </c>
      <c r="C12" s="111">
        <f>(C10*scaling_factor)/Common_Shares*Exchange_Rate</f>
        <v>31.085113766635988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2.3752619295331401E-2</v>
      </c>
      <c r="H16" s="120"/>
    </row>
    <row r="17" spans="2:17" ht="13.35" customHeight="1">
      <c r="B17" s="118" t="s">
        <v>133</v>
      </c>
      <c r="C17" s="162">
        <f>Scenarios!C64</f>
        <v>5</v>
      </c>
      <c r="H17" s="120"/>
    </row>
    <row r="18" spans="2:17" ht="13.35" customHeight="1">
      <c r="B18" s="153" t="s">
        <v>106</v>
      </c>
      <c r="C18" s="140">
        <f>(F52-C7+C8+C9)*Exchange_Rate/Common_Shares*scaling_factor</f>
        <v>32.319128535698056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709678.19825594837</v>
      </c>
      <c r="D21" s="138">
        <f>IF($C$17&lt;B21,0,DCF!$C$16)</f>
        <v>2.3752619295331401E-2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2.3752619295331401E-2</v>
      </c>
      <c r="E22" s="124">
        <f t="shared" si="0"/>
        <v>0.86533261222282321</v>
      </c>
      <c r="F22" s="125">
        <f t="shared" si="1"/>
        <v>628694.35528075171</v>
      </c>
      <c r="H22" s="120"/>
    </row>
    <row r="23" spans="2:17">
      <c r="B23" s="122">
        <v>3</v>
      </c>
      <c r="C23" s="123">
        <f t="shared" si="2"/>
        <v>743792.02154595929</v>
      </c>
      <c r="D23" s="138">
        <f>IF($C$17&lt;B23,0,DCF!$C$16)</f>
        <v>2.3752619295331401E-2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2.3752619295331401E-2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2.3752619295331401E-2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128</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31.085113766635988</v>
      </c>
      <c r="C65" s="124">
        <f>C12</f>
        <v>31.085113766635988</v>
      </c>
      <c r="D65" s="124">
        <f>C12</f>
        <v>31.085113766635988</v>
      </c>
      <c r="E65" s="141">
        <f>C12</f>
        <v>31.085113766635988</v>
      </c>
      <c r="F65" s="124">
        <f>C12</f>
        <v>31.085113766635988</v>
      </c>
      <c r="H65" s="120"/>
    </row>
    <row r="66" spans="1:8" ht="13.15">
      <c r="A66" s="143">
        <f t="shared" ref="A66:A71" si="3">A56</f>
        <v>5</v>
      </c>
      <c r="B66" s="124">
        <f t="shared" ref="B66:F71" si="4">(B56-$C$7+$C$8+$C$9)/Common_Shares*$C$3*Exchange_Rate</f>
        <v>31.085113766635988</v>
      </c>
      <c r="C66" s="124">
        <f t="shared" si="4"/>
        <v>31.599550028425025</v>
      </c>
      <c r="D66" s="124">
        <f t="shared" si="4"/>
        <v>32.650737645324128</v>
      </c>
      <c r="E66" s="124">
        <f t="shared" si="4"/>
        <v>33.732771883280854</v>
      </c>
      <c r="F66" s="124">
        <f t="shared" si="4"/>
        <v>35.416619764406832</v>
      </c>
      <c r="H66" s="120"/>
    </row>
    <row r="67" spans="1:8" ht="13.15">
      <c r="A67" s="143">
        <f t="shared" si="3"/>
        <v>10</v>
      </c>
      <c r="B67" s="124">
        <f t="shared" si="4"/>
        <v>31.085113766635995</v>
      </c>
      <c r="C67" s="124">
        <f t="shared" si="4"/>
        <v>32.092782124930388</v>
      </c>
      <c r="D67" s="124">
        <f t="shared" si="4"/>
        <v>34.256467934853255</v>
      </c>
      <c r="E67" s="124">
        <f t="shared" si="4"/>
        <v>36.637702614129275</v>
      </c>
      <c r="F67" s="124">
        <f t="shared" si="4"/>
        <v>40.675180851159801</v>
      </c>
      <c r="H67" s="120"/>
    </row>
    <row r="68" spans="1:8" ht="13.15">
      <c r="A68" s="143">
        <f t="shared" si="3"/>
        <v>15</v>
      </c>
      <c r="B68" s="124">
        <f t="shared" si="4"/>
        <v>31.085113766635995</v>
      </c>
      <c r="C68" s="124">
        <f t="shared" si="4"/>
        <v>32.701746801091488</v>
      </c>
      <c r="D68" s="124">
        <f t="shared" si="4"/>
        <v>36.342389199349981</v>
      </c>
      <c r="E68" s="124">
        <f t="shared" si="4"/>
        <v>40.615911802844273</v>
      </c>
      <c r="F68" s="124">
        <f t="shared" si="4"/>
        <v>48.495856422879427</v>
      </c>
      <c r="H68" s="120"/>
    </row>
    <row r="69" spans="1:8" ht="13.15">
      <c r="A69" s="144">
        <f t="shared" si="3"/>
        <v>20</v>
      </c>
      <c r="B69" s="124">
        <f t="shared" si="4"/>
        <v>31.085113766635999</v>
      </c>
      <c r="C69" s="124">
        <f t="shared" si="4"/>
        <v>33.320222830060885</v>
      </c>
      <c r="D69" s="124">
        <f t="shared" si="4"/>
        <v>38.576562495134247</v>
      </c>
      <c r="E69" s="124">
        <f t="shared" si="4"/>
        <v>45.124754260236038</v>
      </c>
      <c r="F69" s="124">
        <f t="shared" si="4"/>
        <v>58.198791160428208</v>
      </c>
      <c r="H69" s="120"/>
    </row>
    <row r="70" spans="1:8" ht="13.15">
      <c r="A70" s="144">
        <f t="shared" si="3"/>
        <v>25</v>
      </c>
      <c r="B70" s="124">
        <f t="shared" si="4"/>
        <v>31.085113766635999</v>
      </c>
      <c r="C70" s="124">
        <f t="shared" si="4"/>
        <v>33.893270142093272</v>
      </c>
      <c r="D70" s="124">
        <f t="shared" si="4"/>
        <v>40.763621554349498</v>
      </c>
      <c r="E70" s="124">
        <f t="shared" si="4"/>
        <v>49.81032818349388</v>
      </c>
      <c r="F70" s="124">
        <f t="shared" si="4"/>
        <v>69.312716863405001</v>
      </c>
    </row>
    <row r="71" spans="1:8" ht="13.15">
      <c r="A71" s="144">
        <f t="shared" si="3"/>
        <v>30</v>
      </c>
      <c r="B71" s="124">
        <f t="shared" si="4"/>
        <v>31.085113766635995</v>
      </c>
      <c r="C71" s="124">
        <f t="shared" si="4"/>
        <v>34.396565519818147</v>
      </c>
      <c r="D71" s="124">
        <f t="shared" si="4"/>
        <v>42.796430201423618</v>
      </c>
      <c r="E71" s="124">
        <f t="shared" si="4"/>
        <v>54.447529578776937</v>
      </c>
      <c r="F71" s="124">
        <f t="shared" si="4"/>
        <v>81.511712264000181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40.675180851159801</v>
      </c>
      <c r="F74" s="142">
        <f>Scenarios!C58</f>
        <v>0.05</v>
      </c>
    </row>
    <row r="75" spans="1:8">
      <c r="B75" s="127" t="str">
        <f>Scenarios!B36</f>
        <v>Optimistic</v>
      </c>
      <c r="C75" s="142">
        <f>Scenarios!C38</f>
        <v>0.05</v>
      </c>
      <c r="D75" s="145">
        <f>Scenarios!C37</f>
        <v>5</v>
      </c>
      <c r="E75" s="135">
        <f>INDEX(B$65:F$71, MATCH(D75, A$65:A$71, 0), MATCH(C75, B$64:F$64, 0))</f>
        <v>33.732771883280854</v>
      </c>
      <c r="F75" s="142">
        <f>Scenarios!C40*(1-F$74-F$78)</f>
        <v>0.18</v>
      </c>
      <c r="H75" s="120"/>
    </row>
    <row r="76" spans="1:8">
      <c r="B76" s="127" t="str">
        <f>Scenarios!B24</f>
        <v>Base</v>
      </c>
      <c r="C76" s="142">
        <f>Scenarios!C26</f>
        <v>0.03</v>
      </c>
      <c r="D76" s="145">
        <f>Scenarios!C25</f>
        <v>5</v>
      </c>
      <c r="E76" s="135">
        <f>INDEX(B$65:F$71, MATCH(D76, A$65:A$71, 0), MATCH(C76, B$64:F$64, 0))</f>
        <v>32.650737645324128</v>
      </c>
      <c r="F76" s="142">
        <f>Scenarios!C28*(1-F$74-F$78)</f>
        <v>0.53999999999999992</v>
      </c>
      <c r="H76" s="120"/>
    </row>
    <row r="77" spans="1:8">
      <c r="B77" s="127" t="str">
        <f>Scenarios!B30</f>
        <v>Pessimistic</v>
      </c>
      <c r="C77" s="142">
        <f>Scenarios!C32</f>
        <v>0.01</v>
      </c>
      <c r="D77" s="145">
        <f>Scenarios!C31</f>
        <v>5</v>
      </c>
      <c r="E77" s="135">
        <f>INDEX(B$65:F$71, MATCH(D77, A$65:A$71, 0), MATCH(C77, B$64:F$64, 0))</f>
        <v>31.599550028425025</v>
      </c>
      <c r="F77" s="142">
        <f>Scenarios!C34*(1-F$74-F$78)</f>
        <v>0.18</v>
      </c>
      <c r="H77" s="120"/>
    </row>
    <row r="78" spans="1:8">
      <c r="B78" s="127" t="str">
        <f>Scenarios!B48</f>
        <v>Devil's advocate</v>
      </c>
      <c r="C78" s="142">
        <f>Scenarios!C50</f>
        <v>0</v>
      </c>
      <c r="D78" s="145">
        <f>Scenarios!C49</f>
        <v>10</v>
      </c>
      <c r="E78" s="135">
        <f>INDEX(B$65:F$71, MATCH(D78, A$65:A$71, 0), MATCH(C78, B$64:F$64, 0))</f>
        <v>31.085113766635995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3796503.3666191525</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50620044.888255365</v>
      </c>
      <c r="D6" t="str">
        <f>Reporting_currency</f>
        <v>EUR</v>
      </c>
      <c r="E6" s="366"/>
      <c r="F6" s="366"/>
      <c r="H6" s="120"/>
    </row>
    <row r="7" spans="2:8" ht="13.15">
      <c r="B7" s="149" t="s">
        <v>440</v>
      </c>
      <c r="C7" s="111">
        <f>(C6*scaling_factor)/Common_Shares*Exchange_Rate</f>
        <v>178.97057620583152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2.3752619295331401E-2</v>
      </c>
      <c r="H11" s="120"/>
    </row>
    <row r="12" spans="2:8" ht="13.35" customHeight="1">
      <c r="B12" s="118" t="s">
        <v>133</v>
      </c>
      <c r="C12" s="162">
        <f>Scenarios!C64</f>
        <v>5</v>
      </c>
      <c r="H12" s="120"/>
    </row>
    <row r="13" spans="2:8" ht="13.35" customHeight="1">
      <c r="B13" s="153" t="s">
        <v>106</v>
      </c>
      <c r="C13" s="140">
        <f>F47/Common_Shares*scaling_factor</f>
        <v>20.52957288125792</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3886680.2657399015</v>
      </c>
      <c r="D16" s="138">
        <f>IF($C$12&lt;B16,0,DDM!$C$11)</f>
        <v>2.3752619295331401E-2</v>
      </c>
      <c r="E16" s="124">
        <f t="shared" ref="E16:E45" si="0">IF($C$12&lt;B16,0,1/(1+Equity_Cost)^B16)</f>
        <v>0.93023255813953487</v>
      </c>
      <c r="F16" s="125">
        <f t="shared" ref="F16:F46" si="1">C16*E16</f>
        <v>3615516.5262696757</v>
      </c>
      <c r="H16" s="120"/>
    </row>
    <row r="17" spans="2:8">
      <c r="B17" s="122">
        <v>2</v>
      </c>
      <c r="C17" s="123">
        <f t="shared" ref="C17:C45" si="2">IF(ROW()-ROW($C$16)&lt;$C$12, $C$16*(1+D17)^(ROW()-ROW($C$16)), 0)</f>
        <v>3978999.1024146988</v>
      </c>
      <c r="D17" s="138">
        <f>IF($C$12&lt;B17,0,DDM!$C$11)</f>
        <v>2.3752619295331401E-2</v>
      </c>
      <c r="E17" s="124">
        <f t="shared" si="0"/>
        <v>0.86533261222282321</v>
      </c>
      <c r="F17" s="125">
        <f t="shared" si="1"/>
        <v>3443157.68732478</v>
      </c>
      <c r="H17" s="120"/>
    </row>
    <row r="18" spans="2:8">
      <c r="B18" s="122">
        <v>3</v>
      </c>
      <c r="C18" s="123">
        <f t="shared" si="2"/>
        <v>4073510.7532708212</v>
      </c>
      <c r="D18" s="138">
        <f>IF($C$12&lt;B18,0,DDM!$C$11)</f>
        <v>2.3752619295331401E-2</v>
      </c>
      <c r="E18" s="124">
        <f t="shared" si="0"/>
        <v>0.80496056950960304</v>
      </c>
      <c r="F18" s="125">
        <f t="shared" si="1"/>
        <v>3279015.5358563722</v>
      </c>
      <c r="H18" s="120"/>
    </row>
    <row r="19" spans="2:8">
      <c r="B19" s="122">
        <v>4</v>
      </c>
      <c r="C19" s="123">
        <f t="shared" si="2"/>
        <v>4170267.3033887018</v>
      </c>
      <c r="D19" s="138">
        <f>IF($C$12&lt;B19,0,DDM!$C$11)</f>
        <v>2.3752619295331401E-2</v>
      </c>
      <c r="E19" s="124">
        <f t="shared" si="0"/>
        <v>0.7488005297763749</v>
      </c>
      <c r="F19" s="125">
        <f t="shared" si="1"/>
        <v>3122698.3660865542</v>
      </c>
      <c r="H19" s="120"/>
    </row>
    <row r="20" spans="2:8">
      <c r="B20" s="122">
        <v>5</v>
      </c>
      <c r="C20" s="123">
        <f t="shared" si="2"/>
        <v>4269322.0750058619</v>
      </c>
      <c r="D20" s="138">
        <f>IF($C$12&lt;B20,0,DDM!$C$11)</f>
        <v>2.3752619295331401E-2</v>
      </c>
      <c r="E20" s="124">
        <f t="shared" si="0"/>
        <v>0.69655863235011617</v>
      </c>
      <c r="F20" s="125">
        <f t="shared" si="1"/>
        <v>2973833.1456282432</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51822403.54319869</v>
      </c>
      <c r="D46" s="139">
        <f>Terminal_Growth</f>
        <v>0</v>
      </c>
      <c r="E46" s="124">
        <f>1/(1+Equity_Cost)^C12</f>
        <v>0.69655863235011617</v>
      </c>
      <c r="F46" s="125">
        <f t="shared" si="1"/>
        <v>36097342.537146293</v>
      </c>
      <c r="H46" s="120"/>
    </row>
    <row r="47" spans="2:8">
      <c r="C47" s="114"/>
      <c r="E47" s="127" t="s">
        <v>100</v>
      </c>
      <c r="F47" s="137">
        <f>SUM(F16:F46)</f>
        <v>52531563.798311919</v>
      </c>
      <c r="H47" s="120"/>
    </row>
    <row r="48" spans="2:8">
      <c r="C48" s="114"/>
      <c r="H48" s="120"/>
    </row>
    <row r="49" spans="1:8" ht="13.15">
      <c r="B49" s="119" t="s">
        <v>128</v>
      </c>
      <c r="C49" s="136"/>
      <c r="D49" s="136"/>
      <c r="E49" s="117"/>
      <c r="F49" s="117"/>
      <c r="H49" s="120"/>
    </row>
    <row r="50" spans="1:8" ht="13.15">
      <c r="A50" s="133">
        <f>F47</f>
        <v>52531563.798311919</v>
      </c>
      <c r="B50" s="131">
        <f>C73</f>
        <v>0</v>
      </c>
      <c r="C50" s="131">
        <f>C72</f>
        <v>0.01</v>
      </c>
      <c r="D50" s="131">
        <f>C71</f>
        <v>0.03</v>
      </c>
      <c r="E50" s="131">
        <f>C70</f>
        <v>0.05</v>
      </c>
      <c r="F50" s="131">
        <f>C69</f>
        <v>0.08</v>
      </c>
      <c r="H50" s="120"/>
    </row>
    <row r="51" spans="1:8" ht="13.15">
      <c r="A51" s="143">
        <v>5</v>
      </c>
      <c r="B51" s="123">
        <f t="dataTable" ref="B51:F56" dt2D="1" dtr="1" r1="C11" r2="C12"/>
        <v>50620044.888255373</v>
      </c>
      <c r="C51" s="123">
        <v>51416919.177836165</v>
      </c>
      <c r="D51" s="123">
        <v>53045234.379644617</v>
      </c>
      <c r="E51" s="123">
        <v>54721331.748199597</v>
      </c>
      <c r="F51" s="123">
        <v>57329653.096636467</v>
      </c>
      <c r="H51" s="120"/>
    </row>
    <row r="52" spans="1:8" ht="13.15">
      <c r="A52" s="143">
        <v>10</v>
      </c>
      <c r="B52" s="123">
        <v>50620044.88825538</v>
      </c>
      <c r="C52" s="123">
        <v>52180947.699337125</v>
      </c>
      <c r="D52" s="123">
        <v>55532549.677514568</v>
      </c>
      <c r="E52" s="123">
        <v>59221140.148905918</v>
      </c>
      <c r="F52" s="123">
        <v>65475292.200012781</v>
      </c>
      <c r="H52" s="120"/>
    </row>
    <row r="53" spans="1:8" ht="13.15">
      <c r="A53" s="143">
        <v>15</v>
      </c>
      <c r="B53" s="123">
        <v>50620044.888255373</v>
      </c>
      <c r="C53" s="123">
        <v>53124248.803361326</v>
      </c>
      <c r="D53" s="123">
        <v>58763692.482235752</v>
      </c>
      <c r="E53" s="123">
        <v>65383483.001714185</v>
      </c>
      <c r="F53" s="123">
        <v>77589708.995949477</v>
      </c>
      <c r="H53" s="120"/>
    </row>
    <row r="54" spans="1:8" ht="13.15">
      <c r="A54" s="144">
        <v>20</v>
      </c>
      <c r="B54" s="123">
        <v>50620044.888255373</v>
      </c>
      <c r="C54" s="123">
        <v>54082283.224367708</v>
      </c>
      <c r="D54" s="123">
        <v>62224481.291498534</v>
      </c>
      <c r="E54" s="123">
        <v>72367789.701966286</v>
      </c>
      <c r="F54" s="123">
        <v>92619791.049154013</v>
      </c>
      <c r="H54" s="120"/>
    </row>
    <row r="55" spans="1:8" ht="13.15">
      <c r="A55" s="144">
        <v>25</v>
      </c>
      <c r="B55" s="123">
        <v>50620044.888255388</v>
      </c>
      <c r="C55" s="123">
        <v>54969947.457219273</v>
      </c>
      <c r="D55" s="123">
        <v>65612289.001675293</v>
      </c>
      <c r="E55" s="123">
        <v>79625857.744039088</v>
      </c>
      <c r="F55" s="123">
        <v>109835532.44773628</v>
      </c>
      <c r="H55" s="120"/>
    </row>
    <row r="56" spans="1:8" ht="13.15">
      <c r="A56" s="144">
        <v>30</v>
      </c>
      <c r="B56" s="123">
        <v>50620044.88825538</v>
      </c>
      <c r="C56" s="123">
        <v>55749564.246243894</v>
      </c>
      <c r="D56" s="123">
        <v>68761159.069382921</v>
      </c>
      <c r="E56" s="123">
        <v>86808995.563014716</v>
      </c>
      <c r="F56" s="123">
        <v>128732073.21576476</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178.97057620583152</v>
      </c>
      <c r="C60" s="124">
        <f>C7</f>
        <v>178.97057620583152</v>
      </c>
      <c r="D60" s="124">
        <f>C7</f>
        <v>178.97057620583152</v>
      </c>
      <c r="E60" s="141">
        <f>C7</f>
        <v>178.97057620583152</v>
      </c>
      <c r="F60" s="124">
        <f>C7</f>
        <v>178.97057620583152</v>
      </c>
      <c r="H60" s="120"/>
    </row>
    <row r="61" spans="1:8" ht="13.15">
      <c r="A61" s="143">
        <f t="shared" ref="A61:A66" si="3">A51</f>
        <v>5</v>
      </c>
      <c r="B61" s="124">
        <f t="shared" ref="B61:F66" si="4">B51/Common_Shares*$C$3*Exchange_Rate</f>
        <v>178.97057620583155</v>
      </c>
      <c r="C61" s="124">
        <f t="shared" si="4"/>
        <v>181.78797889847468</v>
      </c>
      <c r="D61" s="124">
        <f t="shared" si="4"/>
        <v>187.54499690499142</v>
      </c>
      <c r="E61" s="124">
        <f t="shared" si="4"/>
        <v>193.47095197851135</v>
      </c>
      <c r="F61" s="124">
        <f t="shared" si="4"/>
        <v>202.69284768583867</v>
      </c>
      <c r="H61" s="120"/>
    </row>
    <row r="62" spans="1:8" ht="13.15">
      <c r="A62" s="143">
        <f t="shared" si="3"/>
        <v>10</v>
      </c>
      <c r="B62" s="124">
        <f t="shared" si="4"/>
        <v>178.97057620583158</v>
      </c>
      <c r="C62" s="124">
        <f t="shared" si="4"/>
        <v>184.48925316704887</v>
      </c>
      <c r="D62" s="124">
        <f t="shared" si="4"/>
        <v>196.33906757498104</v>
      </c>
      <c r="E62" s="124">
        <f t="shared" si="4"/>
        <v>209.38032748515181</v>
      </c>
      <c r="F62" s="124">
        <f t="shared" si="4"/>
        <v>231.49230306194897</v>
      </c>
      <c r="H62" s="120"/>
    </row>
    <row r="63" spans="1:8" ht="13.15">
      <c r="A63" s="143">
        <f t="shared" si="3"/>
        <v>15</v>
      </c>
      <c r="B63" s="124">
        <f t="shared" si="4"/>
        <v>178.97057620583155</v>
      </c>
      <c r="C63" s="124">
        <f t="shared" si="4"/>
        <v>187.82435771892136</v>
      </c>
      <c r="D63" s="124">
        <f t="shared" si="4"/>
        <v>207.76299046641347</v>
      </c>
      <c r="E63" s="124">
        <f t="shared" si="4"/>
        <v>231.16770546120077</v>
      </c>
      <c r="F63" s="124">
        <f t="shared" si="4"/>
        <v>274.32363912955947</v>
      </c>
      <c r="H63" s="120"/>
    </row>
    <row r="64" spans="1:8" ht="13.15">
      <c r="A64" s="144">
        <f t="shared" si="3"/>
        <v>20</v>
      </c>
      <c r="B64" s="124">
        <f t="shared" si="4"/>
        <v>178.97057620583155</v>
      </c>
      <c r="C64" s="124">
        <f t="shared" si="4"/>
        <v>191.21155290476193</v>
      </c>
      <c r="D64" s="124">
        <f t="shared" si="4"/>
        <v>219.99884226559192</v>
      </c>
      <c r="E64" s="124">
        <f t="shared" si="4"/>
        <v>255.86119195062867</v>
      </c>
      <c r="F64" s="124">
        <f t="shared" si="4"/>
        <v>327.46350598311591</v>
      </c>
      <c r="H64" s="120"/>
    </row>
    <row r="65" spans="1:8" ht="13.15">
      <c r="A65" s="144">
        <f t="shared" si="3"/>
        <v>25</v>
      </c>
      <c r="B65" s="124">
        <f t="shared" si="4"/>
        <v>178.97057620583158</v>
      </c>
      <c r="C65" s="124">
        <f t="shared" si="4"/>
        <v>194.34994955339099</v>
      </c>
      <c r="D65" s="124">
        <f t="shared" si="4"/>
        <v>231.9766644762073</v>
      </c>
      <c r="E65" s="124">
        <f t="shared" si="4"/>
        <v>281.52258009239</v>
      </c>
      <c r="F65" s="124">
        <f t="shared" si="4"/>
        <v>388.33091858056548</v>
      </c>
    </row>
    <row r="66" spans="1:8" ht="13.15">
      <c r="A66" s="144">
        <f t="shared" si="3"/>
        <v>30</v>
      </c>
      <c r="B66" s="124">
        <f t="shared" si="4"/>
        <v>178.97057620583158</v>
      </c>
      <c r="C66" s="124">
        <f t="shared" si="4"/>
        <v>197.10633719112397</v>
      </c>
      <c r="D66" s="124">
        <f t="shared" si="4"/>
        <v>243.10970656771451</v>
      </c>
      <c r="E66" s="124">
        <f t="shared" si="4"/>
        <v>306.91904738644087</v>
      </c>
      <c r="F66" s="124">
        <f t="shared" si="4"/>
        <v>455.14091049220247</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231.49230306194897</v>
      </c>
      <c r="F69" s="142">
        <f>Scenarios!C58</f>
        <v>0.05</v>
      </c>
    </row>
    <row r="70" spans="1:8">
      <c r="B70" s="127" t="str">
        <f>Scenarios!B36</f>
        <v>Optimistic</v>
      </c>
      <c r="C70" s="142">
        <f>Scenarios!C38</f>
        <v>0.05</v>
      </c>
      <c r="D70" s="145">
        <f>Scenarios!C37</f>
        <v>5</v>
      </c>
      <c r="E70" s="135">
        <f>INDEX(B$60:F$66, MATCH(D70, A$60:A$66, 0), MATCH(C70, B$59:F$59, 0))</f>
        <v>193.47095197851135</v>
      </c>
      <c r="F70" s="142">
        <f>Scenarios!C40*(1-F$69-F$73)</f>
        <v>0.18</v>
      </c>
      <c r="H70" s="120"/>
    </row>
    <row r="71" spans="1:8">
      <c r="B71" s="127" t="str">
        <f>Scenarios!B24</f>
        <v>Base</v>
      </c>
      <c r="C71" s="142">
        <f>Scenarios!C26</f>
        <v>0.03</v>
      </c>
      <c r="D71" s="145">
        <f>Scenarios!C25</f>
        <v>5</v>
      </c>
      <c r="E71" s="135">
        <f>INDEX(B$60:F$66, MATCH(D71, A$60:A$66, 0), MATCH(C71, B$59:F$59, 0))</f>
        <v>187.54499690499142</v>
      </c>
      <c r="F71" s="142">
        <f>Scenarios!C28*(1-F$69-F$73)</f>
        <v>0.53999999999999992</v>
      </c>
      <c r="H71" s="120"/>
    </row>
    <row r="72" spans="1:8">
      <c r="B72" s="127" t="str">
        <f>Scenarios!B30</f>
        <v>Pessimistic</v>
      </c>
      <c r="C72" s="142">
        <f>Scenarios!C32</f>
        <v>0.01</v>
      </c>
      <c r="D72" s="145">
        <f>Scenarios!C31</f>
        <v>5</v>
      </c>
      <c r="E72" s="135">
        <f>INDEX(B$60:F$66, MATCH(D72, A$60:A$66, 0), MATCH(C72, B$59:F$59, 0))</f>
        <v>181.78797889847468</v>
      </c>
      <c r="F72" s="142">
        <f>Scenarios!C34*(1-F$69-F$73)</f>
        <v>0.18</v>
      </c>
      <c r="H72" s="120"/>
    </row>
    <row r="73" spans="1:8">
      <c r="B73" s="127" t="str">
        <f>Scenarios!B48</f>
        <v>Devil's advocate</v>
      </c>
      <c r="C73" s="142">
        <f>Scenarios!C50</f>
        <v>0</v>
      </c>
      <c r="D73" s="145">
        <f>Scenarios!C49</f>
        <v>10</v>
      </c>
      <c r="E73" s="135">
        <f>INDEX(B$60:F$66, MATCH(D73, A$60:A$66, 0), MATCH(C73, B$59:F$59, 0))</f>
        <v>178.97057620583158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-47.7</v>
      </c>
    </row>
    <row r="4" spans="2:9">
      <c r="B4" s="152" t="s">
        <v>145</v>
      </c>
      <c r="C4" s="120">
        <v>3</v>
      </c>
      <c r="D4" s="120"/>
      <c r="E4" s="155" t="s">
        <v>149</v>
      </c>
      <c r="F4" s="155"/>
      <c r="H4" s="247">
        <v>1</v>
      </c>
      <c r="I4" s="124">
        <f t="shared" ref="I4:I13" si="0">IF(ROW()-3 &lt; $C$76, $C$77, IF(ROW()-3 = $C$76, $C$77 + $C$60, ""))</f>
        <v>1.4836906980000002</v>
      </c>
    </row>
    <row r="5" spans="2:9">
      <c r="H5" s="247">
        <v>2</v>
      </c>
      <c r="I5" s="124">
        <f t="shared" si="0"/>
        <v>1.4836906980000002</v>
      </c>
    </row>
    <row r="6" spans="2:9" ht="13.15">
      <c r="B6" s="159" t="s">
        <v>95</v>
      </c>
      <c r="C6" s="107">
        <f>DCF!C3</f>
        <v>1000</v>
      </c>
      <c r="E6" s="100" t="s">
        <v>278</v>
      </c>
      <c r="F6" s="100"/>
      <c r="H6" s="247">
        <v>3</v>
      </c>
      <c r="I6" s="124">
        <f t="shared" si="0"/>
        <v>34.462921701471871</v>
      </c>
    </row>
    <row r="7" spans="2:9" ht="12.75" customHeight="1">
      <c r="B7" s="100" t="s">
        <v>274</v>
      </c>
      <c r="C7" s="338">
        <f>Normalized_FCF!G8</f>
        <v>1437634</v>
      </c>
      <c r="D7" t="str">
        <f>Reporting_currency</f>
        <v>EUR</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8"/>
      <c r="H7" s="247">
        <v>4</v>
      </c>
      <c r="I7" s="124" t="str">
        <f t="shared" si="0"/>
        <v/>
      </c>
    </row>
    <row r="8" spans="2:9">
      <c r="B8" s="100" t="s">
        <v>66</v>
      </c>
      <c r="C8" s="338">
        <f>Normalized_FCF!G19</f>
        <v>996880</v>
      </c>
      <c r="D8" t="str">
        <f>Reporting_currency</f>
        <v>EUR</v>
      </c>
      <c r="E8" s="368"/>
      <c r="F8" s="368"/>
      <c r="H8" s="247">
        <v>5</v>
      </c>
      <c r="I8" s="124" t="str">
        <f t="shared" si="0"/>
        <v/>
      </c>
    </row>
    <row r="9" spans="2:9">
      <c r="B9" s="100" t="s">
        <v>57</v>
      </c>
      <c r="C9" s="338">
        <f>Normalized_FCF!C19</f>
        <v>693212.58366541076</v>
      </c>
      <c r="D9" t="str">
        <f>Reporting_currency</f>
        <v>EUR</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0.17871698612149922</v>
      </c>
      <c r="D12" s="158"/>
      <c r="E12" s="368"/>
      <c r="F12" s="368"/>
      <c r="H12" s="247">
        <v>9</v>
      </c>
      <c r="I12" s="124" t="str">
        <f t="shared" si="0"/>
        <v/>
      </c>
    </row>
    <row r="13" spans="2:9">
      <c r="B13" s="148" t="s">
        <v>151</v>
      </c>
      <c r="C13" s="158">
        <f ca="1">(Normalized_FCF!G8/OFFSET(Normalized_FCF!G8, 0, $C$4))^(1/$C$4) - 1</f>
        <v>0.37273927208324187</v>
      </c>
      <c r="E13" s="368"/>
      <c r="F13" s="368"/>
      <c r="H13" s="247">
        <v>10</v>
      </c>
      <c r="I13" s="124" t="str">
        <f t="shared" si="0"/>
        <v/>
      </c>
    </row>
    <row r="14" spans="2:9">
      <c r="B14" s="100" t="s">
        <v>66</v>
      </c>
      <c r="C14" s="158">
        <f ca="1">(Normalized_FCF!G19/OFFSET(Normalized_FCF!G19, 0, $C$4))^(1/$C$4) - 1</f>
        <v>0.40378207079529949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47.7</v>
      </c>
      <c r="D21" t="str">
        <f>Market_currency</f>
        <v>HKD</v>
      </c>
      <c r="E21" s="369"/>
      <c r="F21" s="369"/>
    </row>
    <row r="22" spans="2:6">
      <c r="B22" s="100" t="s">
        <v>277</v>
      </c>
      <c r="C22" s="160">
        <f>IF(valuation_method="DCF",DCF!C12,DDM!C7)</f>
        <v>31.085113766635988</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32.650737645324128</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31.599550028425025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33.732771883280854</v>
      </c>
      <c r="D39" t="str">
        <f>Market_currency</f>
        <v>HKD</v>
      </c>
      <c r="E39" s="367"/>
      <c r="F39" s="367"/>
    </row>
    <row r="40" spans="2:6">
      <c r="B40" s="100" t="s">
        <v>146</v>
      </c>
      <c r="C40" s="167">
        <f>1-C28-C34</f>
        <v>0.2</v>
      </c>
      <c r="D40" s="165"/>
      <c r="E40" s="367"/>
      <c r="F40" s="367"/>
    </row>
    <row r="42" spans="2:6" ht="13.15">
      <c r="B42" s="100" t="s">
        <v>119</v>
      </c>
      <c r="C42" s="154">
        <f>C27*C28+C33*C34+C39*C40</f>
        <v>32.656906969535655</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31.085113766635995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40.675180851159801</v>
      </c>
      <c r="D57" t="str">
        <f>Market_currency</f>
        <v>HKD</v>
      </c>
      <c r="E57" s="367"/>
      <c r="F57" s="367"/>
    </row>
    <row r="58" spans="2:6">
      <c r="B58" s="100" t="s">
        <v>146</v>
      </c>
      <c r="C58" s="165">
        <v>0.05</v>
      </c>
      <c r="D58" s="165"/>
      <c r="E58" s="367"/>
      <c r="F58" s="367"/>
    </row>
    <row r="60" spans="2:6" ht="13.15">
      <c r="B60" s="100" t="s">
        <v>119</v>
      </c>
      <c r="C60" s="154">
        <f>C51*C52+C57*C58+C42*(1-C52-C58)</f>
        <v>32.979231003471874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2.3752619295331401E-2</v>
      </c>
      <c r="D65" s="151"/>
      <c r="E65" s="251" t="s">
        <v>309</v>
      </c>
    </row>
    <row r="66" spans="2:6">
      <c r="B66" s="100" t="s">
        <v>102</v>
      </c>
      <c r="C66" s="160">
        <f>IF(valuation_method="DCF",DCF!C18,DDM!C13)</f>
        <v>32.319128535698056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-4.8319792882335018E-2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1.4836906980000002</v>
      </c>
      <c r="D77" t="str">
        <f>Market_currency</f>
        <v>HKD</v>
      </c>
    </row>
    <row r="79" spans="2:6" ht="13.15">
      <c r="B79" s="109" t="s">
        <v>300</v>
      </c>
    </row>
    <row r="80" spans="2:6">
      <c r="B80" s="148" t="s">
        <v>298</v>
      </c>
      <c r="C80" s="167">
        <f>Thesis!F29</f>
        <v>0.3674</v>
      </c>
    </row>
    <row r="81" spans="2:8">
      <c r="B81" s="100" t="s">
        <v>120</v>
      </c>
      <c r="C81" s="116">
        <f>PV(C80, C76, -C77, 0)</f>
        <v>2.4588602363154526</v>
      </c>
      <c r="D81" s="116"/>
      <c r="E81" s="100"/>
      <c r="F81" s="100"/>
    </row>
    <row r="82" spans="2:8">
      <c r="B82" s="100" t="s">
        <v>121</v>
      </c>
      <c r="C82" s="116">
        <f>C60/(1+C80)^C76</f>
        <v>12.898933329463057</v>
      </c>
      <c r="D82" s="116"/>
    </row>
    <row r="83" spans="2:8" ht="13.15">
      <c r="B83" s="110" t="s">
        <v>101</v>
      </c>
      <c r="C83" s="111">
        <f>C81+C82</f>
        <v>15.357793565778509</v>
      </c>
      <c r="D83" t="str">
        <f>Market_currency</f>
        <v>HKD</v>
      </c>
      <c r="E83" s="146" t="s">
        <v>125</v>
      </c>
      <c r="F83" s="291">
        <f>(1-C83/C60)</f>
        <v>0.53431923369705847</v>
      </c>
    </row>
    <row r="84" spans="2:8">
      <c r="E84" s="120"/>
    </row>
    <row r="85" spans="2:8" ht="13.15">
      <c r="B85" s="109" t="s">
        <v>301</v>
      </c>
    </row>
    <row r="86" spans="2:8">
      <c r="B86" s="148" t="s">
        <v>299</v>
      </c>
      <c r="C86" s="116">
        <f>Market_Price</f>
        <v>47.7</v>
      </c>
      <c r="D86" t="str">
        <f>Market_currency</f>
        <v>HKD</v>
      </c>
    </row>
    <row r="87" spans="2:8" ht="13.15">
      <c r="B87" s="100" t="s">
        <v>297</v>
      </c>
      <c r="C87" s="237">
        <f ca="1">IRR(OFFSET($I$3, 0, 0, $C$76 + 1, 1))</f>
        <v>-8.0510996454183692E-2</v>
      </c>
    </row>
    <row r="88" spans="2:8">
      <c r="B88" s="100"/>
    </row>
    <row r="89" spans="2:8" ht="13.15">
      <c r="B89" s="109" t="s">
        <v>409</v>
      </c>
    </row>
    <row r="90" spans="2:8">
      <c r="B90" s="148" t="s">
        <v>410</v>
      </c>
      <c r="C90" s="167">
        <f>Thesis!F30</f>
        <v>0.21740000000000001</v>
      </c>
    </row>
    <row r="91" spans="2:8">
      <c r="B91" s="100" t="s">
        <v>120</v>
      </c>
      <c r="C91" s="116">
        <f>PV(C90, C76, -C77, 0)</f>
        <v>3.0421606295399433</v>
      </c>
      <c r="D91" s="116"/>
      <c r="E91" s="100"/>
      <c r="F91" s="100"/>
    </row>
    <row r="92" spans="2:8">
      <c r="B92" s="100" t="s">
        <v>121</v>
      </c>
      <c r="C92" s="116">
        <f>C60/(1+C90)^C76</f>
        <v>18.27850334137457</v>
      </c>
      <c r="D92" s="116"/>
    </row>
    <row r="93" spans="2:8" ht="13.15">
      <c r="B93" s="110" t="s">
        <v>101</v>
      </c>
      <c r="C93" s="111">
        <f>C91+C92</f>
        <v>21.320663970914513</v>
      </c>
      <c r="D93" t="str">
        <f>Market_currency</f>
        <v>HKD</v>
      </c>
      <c r="E93" s="146" t="s">
        <v>125</v>
      </c>
      <c r="F93" s="291">
        <f>(1-C93/C60)</f>
        <v>0.35351239788853805</v>
      </c>
    </row>
    <row r="95" spans="2:8" ht="13.15">
      <c r="B95" s="109" t="s">
        <v>394</v>
      </c>
      <c r="G95" s="2"/>
      <c r="H95" s="281"/>
    </row>
    <row r="96" spans="2:8">
      <c r="B96" s="148" t="s">
        <v>400</v>
      </c>
      <c r="C96" s="134">
        <f>Thesis!F31</f>
        <v>7.4999999999999997E-2</v>
      </c>
      <c r="G96" s="2"/>
      <c r="H96" s="281"/>
    </row>
    <row r="97" spans="2:8">
      <c r="B97" s="100" t="s">
        <v>120</v>
      </c>
      <c r="C97" s="116">
        <f>PV(C96, C76, -C77, 0)</f>
        <v>3.8583758501575951</v>
      </c>
      <c r="D97" s="116"/>
      <c r="G97" s="2"/>
      <c r="H97" s="281"/>
    </row>
    <row r="98" spans="2:8">
      <c r="B98" s="100" t="s">
        <v>121</v>
      </c>
      <c r="C98" s="116">
        <f>C60/(1+C96)^C76</f>
        <v>26.546980570543475</v>
      </c>
      <c r="D98" s="116"/>
      <c r="G98" s="2"/>
      <c r="H98" s="281"/>
    </row>
    <row r="99" spans="2:8" ht="13.15">
      <c r="B99" s="110" t="s">
        <v>395</v>
      </c>
      <c r="C99" s="111">
        <f>C97+C98</f>
        <v>30.405356420701072</v>
      </c>
      <c r="D99" t="s">
        <v>393</v>
      </c>
      <c r="E99" s="146" t="s">
        <v>125</v>
      </c>
      <c r="F99" s="291">
        <f>(1-C99/C60)</f>
        <v>7.8045318355053128E-2</v>
      </c>
    </row>
    <row r="100" spans="2:8">
      <c r="B100" s="100"/>
    </row>
    <row r="101" spans="2:8" ht="13.15">
      <c r="B101" s="109" t="s">
        <v>418</v>
      </c>
    </row>
    <row r="102" spans="2:8">
      <c r="B102" s="148" t="s">
        <v>417</v>
      </c>
      <c r="C102" s="134">
        <f>Thesis!F32</f>
        <v>0.1174</v>
      </c>
    </row>
    <row r="103" spans="2:8">
      <c r="B103" s="100" t="s">
        <v>120</v>
      </c>
      <c r="C103" s="116">
        <f>PV(C102, C76, -C77, 0)</f>
        <v>3.5795568159208964</v>
      </c>
      <c r="D103" s="116"/>
    </row>
    <row r="104" spans="2:8">
      <c r="B104" s="100" t="s">
        <v>121</v>
      </c>
      <c r="C104" s="116">
        <f>C60/(1+C102)^C76</f>
        <v>23.638206575374465</v>
      </c>
      <c r="D104" s="116"/>
    </row>
    <row r="105" spans="2:8" ht="13.15">
      <c r="B105" s="110" t="s">
        <v>395</v>
      </c>
      <c r="C105" s="111">
        <f>C103+C104</f>
        <v>27.21776339129536</v>
      </c>
      <c r="D105" t="s">
        <v>393</v>
      </c>
      <c r="E105" s="146" t="s">
        <v>125</v>
      </c>
      <c r="F105" s="291">
        <f>(1-C105/C66)</f>
        <v>0.15784352411507596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