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DA2D04D-AA98-4611-A559-929E7338DFC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9" i="3" l="1"/>
  <c r="C4" i="3"/>
  <c r="E25" i="4"/>
  <c r="D25" i="4"/>
  <c r="C25" i="4"/>
  <c r="N117" i="2"/>
  <c r="O117" i="2"/>
  <c r="P117" i="2"/>
  <c r="Q117" i="2"/>
  <c r="N118" i="2"/>
  <c r="O118" i="2"/>
  <c r="P118"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P120" i="2" s="1"/>
  <c r="I4" i="2"/>
  <c r="G4" i="2"/>
  <c r="H4" i="2"/>
  <c r="L4" i="2"/>
  <c r="K4" i="2"/>
  <c r="K38" i="4"/>
  <c r="K43" i="4" s="1"/>
  <c r="K44" i="4" s="1"/>
  <c r="K58" i="4" s="1"/>
  <c r="O62" i="2" s="1"/>
  <c r="O4" i="2"/>
  <c r="O120" i="2" s="1"/>
  <c r="J38" i="4"/>
  <c r="J43" i="4" s="1"/>
  <c r="J44" i="4" s="1"/>
  <c r="J58" i="4" s="1"/>
  <c r="N62" i="2" s="1"/>
  <c r="N4" i="2"/>
  <c r="N120" i="2" s="1"/>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L118" i="2" s="1"/>
  <c r="K48" i="2"/>
  <c r="K50" i="2" s="1"/>
  <c r="K12" i="2" s="1"/>
  <c r="M48" i="2"/>
  <c r="M50" i="2" s="1"/>
  <c r="M12" i="2" s="1"/>
  <c r="M118" i="2" s="1"/>
  <c r="P48" i="2"/>
  <c r="P50" i="2" s="1"/>
  <c r="P12" i="2" s="1"/>
  <c r="O48" i="2"/>
  <c r="O50" i="2" s="1"/>
  <c r="O12" i="2" s="1"/>
  <c r="N48" i="2"/>
  <c r="N50" i="2" s="1"/>
  <c r="N12"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J13" i="2"/>
  <c r="M76" i="2"/>
  <c r="L13" i="2"/>
  <c r="K13" i="2"/>
  <c r="N13" i="2"/>
  <c r="N97" i="2" s="1"/>
  <c r="M13" i="2"/>
  <c r="I13" i="2"/>
  <c r="K76" i="2"/>
  <c r="K16" i="2" l="1"/>
  <c r="K19" i="2" s="1"/>
  <c r="K120" i="2"/>
  <c r="K116" i="2" s="1"/>
  <c r="L120" i="2"/>
  <c r="L116" i="2" s="1"/>
  <c r="M120" i="2"/>
  <c r="M116" i="2" s="1"/>
  <c r="I120" i="2"/>
  <c r="I116" i="2" s="1"/>
  <c r="J120" i="2"/>
  <c r="J116" i="2" s="1"/>
  <c r="K114" i="2"/>
  <c r="K92" i="2"/>
  <c r="C8" i="9"/>
  <c r="C67" i="6"/>
  <c r="G87" i="2"/>
  <c r="K81" i="2"/>
  <c r="K117" i="2" s="1"/>
  <c r="K97" i="2"/>
  <c r="L97" i="2"/>
  <c r="M97" i="2"/>
  <c r="I97" i="2"/>
  <c r="H97" i="2"/>
  <c r="J97" i="2"/>
  <c r="I16" i="2"/>
  <c r="I19" i="2" s="1"/>
  <c r="I81" i="2"/>
  <c r="I117" i="2" s="1"/>
  <c r="N16" i="2"/>
  <c r="N19" i="2" s="1"/>
  <c r="N81" i="2"/>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<sst xmlns="http://schemas.openxmlformats.org/spreadsheetml/2006/main" count="684" uniqueCount="463">
  <si>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</si>
  <si>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</si>
  <si>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</si>
  <si>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</si>
  <si>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</si>
  <si>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</si>
  <si>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</si>
  <si>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</si>
  <si>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</si>
  <si>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</si>
  <si>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</si>
  <si>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</si>
  <si>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</si>
  <si>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</si>
  <si>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</si>
  <si>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</si>
  <si>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</si>
  <si>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</si>
  <si>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</si>
  <si>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</si>
  <si>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</si>
  <si>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</si>
  <si>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</si>
  <si>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</si>
  <si>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</si>
  <si>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</si>
  <si>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</si>
  <si>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</si>
  <si>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</si>
  <si>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</si>
  <si>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</si>
  <si>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</si>
  <si>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</si>
  <si>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</si>
  <si>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</si>
  <si>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</si>
  <si>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</si>
  <si>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</si>
  <si>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</si>
  <si>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</si>
  <si>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</si>
  <si>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</si>
  <si>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</si>
  <si>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</si>
  <si>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</si>
  <si>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</si>
  <si>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</si>
  <si>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</si>
  <si>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</si>
  <si>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</si>
  <si>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</si>
  <si>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</si>
  <si>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</si>
  <si>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</si>
  <si>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</si>
  <si>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</si>
  <si>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</si>
  <si>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</si>
  <si>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</si>
  <si>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</si>
  <si>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</si>
  <si>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</si>
  <si>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</si>
  <si>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</si>
  <si>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</si>
  <si>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</si>
  <si>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</si>
  <si>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</si>
  <si>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</si>
  <si>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</si>
  <si>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</si>
  <si>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</si>
  <si>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</si>
  <si>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</si>
  <si>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</si>
  <si>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</si>
  <si>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</si>
  <si>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</si>
  <si>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</si>
  <si>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</si>
  <si>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</si>
  <si>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</si>
  <si>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</si>
  <si>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</si>
  <si>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</si>
  <si>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</si>
  <si>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</si>
  <si>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</si>
  <si>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</si>
  <si>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</si>
  <si>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</si>
  <si>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</si>
  <si>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</si>
  <si>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</si>
  <si>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</si>
  <si>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</si>
  <si>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</si>
  <si>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</si>
  <si>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</si>
  <si>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</si>
  <si>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</si>
  <si>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</si>
  <si>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</si>
  <si>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</si>
  <si>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</si>
  <si>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</si>
  <si>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</si>
  <si>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</si>
  <si>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</si>
  <si>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</si>
  <si>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</si>
  <si>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</si>
  <si>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</si>
  <si>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</si>
  <si>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</si>
  <si>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</si>
  <si>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</si>
  <si>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</si>
  <si>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</si>
  <si>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</si>
  <si>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</si>
  <si>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</si>
  <si>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</si>
  <si>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</si>
  <si>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</si>
  <si>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</si>
  <si>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</si>
  <si>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</si>
  <si>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</si>
  <si>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</si>
  <si>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</si>
  <si>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</si>
  <si>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</si>
  <si>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</si>
  <si>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</si>
  <si>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</si>
  <si>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</si>
  <si>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</si>
  <si>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</si>
  <si>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</si>
  <si>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</si>
  <si>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</si>
  <si>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</si>
  <si>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</si>
  <si>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</si>
  <si>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</si>
  <si>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</si>
  <si>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</si>
  <si>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</si>
  <si>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</si>
  <si>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</si>
  <si>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</si>
  <si>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</si>
  <si>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</si>
  <si>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</si>
  <si>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</si>
  <si>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</si>
  <si>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</si>
  <si>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</si>
  <si>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</si>
  <si>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</si>
  <si>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</si>
  <si>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</si>
  <si>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</si>
  <si>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</si>
  <si>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</si>
  <si>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</si>
  <si>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</si>
  <si>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</si>
  <si>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</si>
  <si>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</si>
  <si>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</si>
  <si>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</si>
  <si>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</si>
  <si>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</si>
  <si>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</si>
  <si>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</si>
  <si>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</si>
  <si>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</si>
  <si>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</si>
  <si>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</si>
  <si>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</si>
  <si>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</si>
  <si>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</si>
  <si>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</si>
  <si>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</si>
  <si>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</si>
  <si>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</si>
  <si>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</si>
  <si>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</si>
  <si>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</si>
  <si>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</si>
  <si>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</si>
  <si>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</si>
  <si>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</si>
  <si>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</si>
  <si>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</si>
  <si>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</si>
  <si>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</si>
  <si>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</si>
  <si>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</si>
  <si>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</si>
  <si>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</si>
  <si>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</si>
  <si>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</si>
  <si>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</si>
  <si>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</si>
  <si>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</si>
  <si>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</si>
  <si>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</si>
  <si>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</si>
  <si>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</si>
  <si>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</si>
  <si>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</si>
  <si>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</si>
  <si>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</si>
  <si>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</si>
  <si>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</si>
  <si>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</si>
  <si>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</si>
  <si>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</si>
  <si>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</si>
  <si>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</si>
  <si>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</si>
  <si>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</si>
  <si>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</si>
  <si>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</si>
  <si>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</si>
  <si>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</si>
  <si>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</si>
  <si>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</si>
  <si>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</si>
  <si>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</si>
  <si>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</si>
  <si>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</si>
  <si>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</si>
  <si>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</si>
  <si>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</si>
  <si>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</si>
  <si>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</si>
  <si>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</si>
  <si>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</si>
  <si>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</si>
  <si>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</si>
  <si>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</si>
  <si>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</si>
  <si>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</si>
  <si>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</si>
  <si>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</si>
  <si>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</si>
  <si>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</si>
  <si>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</si>
  <si>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</si>
  <si>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</si>
  <si>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</si>
  <si>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</si>
  <si>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</si>
  <si>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</si>
  <si>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</si>
  <si>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</si>
  <si>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</si>
  <si>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</si>
  <si>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</si>
  <si>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</si>
  <si>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</si>
  <si>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</si>
  <si>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</si>
  <si>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</si>
  <si>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</si>
  <si>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</si>
  <si>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</si>
  <si>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</si>
  <si>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</si>
  <si>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</si>
  <si>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</si>
  <si>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</si>
  <si>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</si>
  <si>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</si>
  <si>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</si>
  <si>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</si>
  <si>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</si>
  <si>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</si>
  <si>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</si>
  <si>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</si>
  <si>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</si>
  <si>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</si>
  <si>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</si>
  <si>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</si>
  <si>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</si>
  <si>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</si>
  <si>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</si>
  <si>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</si>
  <si>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</si>
  <si>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</si>
  <si>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</si>
  <si>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</si>
  <si>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</si>
  <si>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</si>
  <si>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</si>
  <si>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</si>
  <si>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</si>
  <si>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</si>
  <si>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</si>
  <si>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</si>
  <si>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</si>
  <si>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</si>
  <si>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</si>
  <si>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</si>
  <si>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</si>
  <si>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</si>
  <si>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</si>
  <si>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</si>
  <si>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</si>
  <si>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</si>
  <si>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</si>
  <si>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</si>
  <si>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</si>
  <si>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</si>
  <si>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</si>
  <si>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</si>
  <si>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</si>
  <si>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</si>
  <si>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</si>
  <si>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</si>
  <si>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</si>
  <si>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</si>
  <si>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</si>
  <si>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</si>
  <si>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</si>
  <si>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</si>
  <si>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</si>
  <si>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</si>
  <si>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</si>
  <si>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</si>
  <si>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</si>
  <si>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</si>
  <si>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</si>
  <si>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</si>
  <si>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</si>
  <si>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</si>
  <si>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</si>
  <si>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</si>
  <si>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</si>
  <si>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</si>
  <si>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</si>
  <si>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</si>
  <si>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</si>
  <si>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</si>
  <si>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</si>
  <si>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</si>
  <si>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</si>
  <si>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</si>
  <si>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</si>
  <si>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</si>
  <si>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</si>
  <si>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</si>
  <si>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</si>
  <si>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</si>
  <si>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</si>
  <si>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</si>
  <si>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</si>
  <si>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</si>
  <si>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</si>
  <si>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</si>
  <si>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</si>
  <si>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</si>
  <si>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</si>
  <si>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</si>
  <si>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</si>
  <si>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</si>
  <si>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</si>
  <si>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</si>
  <si>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</si>
  <si>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</si>
  <si>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</si>
  <si>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</si>
  <si>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</si>
  <si>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</si>
  <si>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</si>
  <si>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</si>
  <si>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</si>
  <si>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</si>
  <si>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</si>
  <si>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</si>
  <si>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</si>
  <si>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</si>
  <si>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</si>
  <si>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</si>
  <si>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</si>
  <si>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</si>
  <si>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</si>
  <si>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</si>
  <si>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</si>
  <si>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</si>
  <si>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</si>
  <si>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</si>
  <si>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</si>
  <si>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</si>
  <si>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</si>
  <si>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</si>
  <si>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</si>
  <si>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</si>
  <si>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</si>
  <si>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</si>
  <si>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</si>
  <si>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</si>
  <si>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</si>
  <si>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</si>
  <si>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</si>
  <si>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</si>
  <si>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</si>
  <si>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</si>
  <si>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</si>
  <si>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</si>
  <si>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</si>
  <si>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</si>
  <si>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</si>
  <si>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</si>
  <si>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</si>
  <si>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</si>
  <si>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</si>
  <si>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</si>
  <si>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</si>
  <si>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</si>
  <si>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</si>
  <si>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</si>
  <si>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</si>
  <si>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</si>
  <si>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</si>
  <si>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</si>
  <si>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</si>
  <si>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</si>
  <si>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</si>
  <si>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</si>
  <si>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</si>
  <si>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</si>
  <si>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</si>
  <si>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</si>
  <si>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</si>
  <si>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</si>
  <si>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</si>
  <si>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</si>
  <si>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</si>
  <si>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</si>
  <si>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</si>
  <si>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</si>
  <si>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</si>
  <si>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</si>
  <si>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</si>
  <si>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</si>
  <si>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</si>
  <si>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</si>
  <si>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</si>
  <si>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</si>
  <si>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</si>
  <si>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</si>
  <si>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</si>
  <si>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</si>
  <si>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PRADA</t>
  </si>
  <si>
    <t>1913.HK</t>
  </si>
  <si>
    <t>EUR</t>
  </si>
  <si>
    <t>CNS_04</t>
  </si>
  <si>
    <t>DCF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</si>
</sst>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B15" sqref="B15"/>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458</v>
      </c>
    </row>
    <row r="6" spans="1:10">
      <c r="B6" s="4" t="s">
        <v>0</v>
      </c>
      <c r="C6" s="51">
        <v>2558824000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459</v>
      </c>
      <c r="D11" s="49"/>
      <c r="E11" s="34"/>
    </row>
    <row r="12" spans="1:10">
      <c r="B12" s="4" t="s">
        <v>94</v>
      </c>
      <c r="C12" s="50">
        <v>50.15</v>
      </c>
      <c r="D12" s="50"/>
      <c r="E12" s="48"/>
    </row>
    <row r="13" spans="1:10">
      <c r="B13" s="1" t="s">
        <v>418</v>
      </c>
      <c r="C13" s="48" t="s">
        <v>399</v>
      </c>
      <c r="D13" s="48"/>
      <c r="E13" s="5"/>
    </row>
    <row r="14" spans="1:10">
      <c r="B14" s="4" t="s">
        <v>422</v>
      </c>
      <c r="C14" s="35">
        <f>Thesis!C12*Common_Shares/1000000</f>
        <v>128325.0236</v>
      </c>
      <c r="D14" s="35" t="str">
        <f>IF(D11="","",Thesis!D12*Common_Shares/1000000)</f>
        <v/>
      </c>
      <c r="E14" s="5"/>
    </row>
    <row r="15" spans="1:10">
      <c r="B15" s="4" t="s">
        <v>421</v>
      </c>
      <c r="C15" s="32" t="str">
        <f>IF(C25=C13,C13,C25&amp;"/"&amp;C13)</f>
        <v>EUR/HKD</v>
      </c>
      <c r="D15" s="32" t="str">
        <f>IF(D11="","",IF(C25=D13,D13,C25&amp;"/"&amp;D13))</f>
        <v/>
      </c>
      <c r="E15" s="5"/>
    </row>
    <row r="16" spans="1:10">
      <c r="B16" s="4" t="s">
        <v>1</v>
      </c>
      <c r="C16" s="50">
        <v>8.97755598</v>
      </c>
      <c r="D16" s="50"/>
      <c r="E16" s="5"/>
    </row>
    <row r="17" spans="2:6">
      <c r="D17" s="5"/>
      <c r="E17" s="5"/>
    </row>
    <row r="18" spans="2:6" ht="24.6" customHeight="1">
      <c r="B18" s="356" t="s">
        <v>362</v>
      </c>
      <c r="C18" s="356"/>
      <c r="D18" s="356"/>
      <c r="E18" s="356"/>
      <c r="F18" s="356"/>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462</v>
      </c>
    </row>
    <row r="22" spans="2:6">
      <c r="B22" s="2" t="s">
        <v>56</v>
      </c>
      <c r="C22" s="48" t="s">
        <v>461</v>
      </c>
      <c r="D22" s="1" t="str">
        <f>IF(valuation_method="DDM","DDM Terminal Value","")</f>
        <v/>
      </c>
      <c r="E22" s="313"/>
    </row>
    <row r="23" spans="2:6">
      <c r="B23" s="1" t="s">
        <v>436</v>
      </c>
      <c r="C23" s="262" t="s">
        <v>322</v>
      </c>
    </row>
    <row r="24" spans="2:6">
      <c r="B24" s="1" t="s">
        <v>437</v>
      </c>
      <c r="C24" s="262" t="s">
        <v>322</v>
      </c>
    </row>
    <row r="25" spans="2:6">
      <c r="B25" s="4" t="s">
        <v>349</v>
      </c>
      <c r="C25" s="48" t="s">
        <v>460</v>
      </c>
      <c r="D25" s="32" t="str">
        <f>IF(D11="","",Market_currency&amp;"/"&amp;D13&amp;":")</f>
        <v/>
      </c>
      <c r="E25" s="299" t="str">
        <f>IF(D11="","",1/Exchange_Rate*D16)</f>
        <v/>
      </c>
    </row>
    <row r="26" spans="2:6">
      <c r="B26" s="1" t="str">
        <f>"Expected Equity Value ("&amp;C13&amp;") :"</f>
        <v>Expected Equity Value (HKD) :</v>
      </c>
      <c r="C26" s="304">
        <f>C132</f>
        <v>32.734974170923991</v>
      </c>
      <c r="D26" s="1" t="s">
        <v>402</v>
      </c>
      <c r="E26" s="301">
        <f ca="1">Scenarios!C87</f>
        <v>-9.8595701784031209E-2</v>
      </c>
    </row>
    <row r="27" spans="2:6">
      <c r="D27" s="5"/>
      <c r="E27" s="5"/>
    </row>
    <row r="28" spans="2:6">
      <c r="B28" s="45" t="s">
        <v>435</v>
      </c>
      <c r="C28" s="309" t="str">
        <f>C145&amp;" ("&amp;Market_currency&amp;")"</f>
        <v>1913.HK (HKD)</v>
      </c>
      <c r="D28" s="309" t="str">
        <f>IF(D11="","",D145&amp;" ("&amp;D13&amp;")")</f>
        <v/>
      </c>
      <c r="E28" s="305" t="s">
        <v>431</v>
      </c>
      <c r="F28" s="303">
        <v>3</v>
      </c>
    </row>
    <row r="29" spans="2:6">
      <c r="B29" s="1" t="s">
        <v>427</v>
      </c>
      <c r="C29" s="310">
        <f>C149</f>
        <v>15.243413565733329</v>
      </c>
      <c r="D29" s="310" t="str">
        <f>D149</f>
        <v/>
      </c>
      <c r="E29" s="306" t="s">
        <v>426</v>
      </c>
      <c r="F29" s="302">
        <v>0.3674</v>
      </c>
    </row>
    <row r="30" spans="2:6">
      <c r="B30" s="1" t="s">
        <v>428</v>
      </c>
      <c r="C30" s="311">
        <f>C157</f>
        <v>21.161970196851307</v>
      </c>
      <c r="D30" s="311" t="str">
        <f>D157</f>
        <v/>
      </c>
      <c r="E30" s="307" t="s">
        <v>439</v>
      </c>
      <c r="F30" s="312">
        <v>0.21740000000000001</v>
      </c>
    </row>
    <row r="31" spans="2:6">
      <c r="B31" s="1" t="s">
        <v>429</v>
      </c>
      <c r="C31" s="311">
        <f>C165</f>
        <v>30.179167378278677</v>
      </c>
      <c r="D31" s="311" t="str">
        <f>D165</f>
        <v/>
      </c>
      <c r="E31" s="307" t="s">
        <v>438</v>
      </c>
      <c r="F31" s="312">
        <v>7.4999999999999997E-2</v>
      </c>
    </row>
    <row r="32" spans="2:6">
      <c r="B32" s="1" t="s">
        <v>430</v>
      </c>
      <c r="C32" s="311">
        <f>C173</f>
        <v>27.015254809865393</v>
      </c>
      <c r="D32" s="311" t="str">
        <f>D173</f>
        <v/>
      </c>
      <c r="E32" s="307" t="s">
        <v>440</v>
      </c>
      <c r="F32" s="312">
        <v>0.1174</v>
      </c>
    </row>
    <row r="33" spans="1:6">
      <c r="D33" s="5"/>
      <c r="E33" s="5"/>
    </row>
    <row r="34" spans="1:6" ht="13.9">
      <c r="A34" s="222" t="s">
        <v>357</v>
      </c>
      <c r="B34" s="36"/>
      <c r="C34" s="36"/>
      <c r="D34" s="36"/>
      <c r="E34" s="36"/>
      <c r="F34" s="36"/>
    </row>
    <row r="36" spans="1:6" ht="24.6" customHeight="1">
      <c r="B36" s="356" t="s">
        <v>363</v>
      </c>
      <c r="C36" s="356"/>
      <c r="D36" s="356"/>
      <c r="E36" s="356"/>
      <c r="F36" s="356"/>
    </row>
    <row r="37" spans="1:6" ht="24.6" customHeight="1">
      <c r="B37" s="358" t="s">
        <v>341</v>
      </c>
      <c r="C37" s="358"/>
      <c r="D37" s="358"/>
      <c r="E37" s="358"/>
      <c r="F37" s="358"/>
    </row>
    <row r="39" spans="1:6">
      <c r="B39" s="210" t="s">
        <v>230</v>
      </c>
      <c r="C39" s="108">
        <f>scaling_factor</f>
        <v>1000</v>
      </c>
    </row>
    <row r="40" spans="1:6" ht="24.6" customHeight="1">
      <c r="B40" s="357" t="s">
        <v>231</v>
      </c>
      <c r="C40" s="357"/>
      <c r="D40" s="357"/>
      <c r="E40" s="357"/>
      <c r="F40" s="357"/>
    </row>
    <row r="41" spans="1:6">
      <c r="B41" s="47" t="s">
        <v>232</v>
      </c>
      <c r="C41" s="349">
        <f>Normalized_FCF!C8</f>
        <v>1020778.4410616378</v>
      </c>
      <c r="D41" s="1" t="str">
        <f>Reporting_currency</f>
        <v>EUR</v>
      </c>
    </row>
    <row r="42" spans="1:6">
      <c r="B42" s="47"/>
      <c r="C42" s="76"/>
    </row>
    <row r="43" spans="1:6" ht="24.6" customHeight="1">
      <c r="B43" s="357" t="s">
        <v>233</v>
      </c>
      <c r="C43" s="357"/>
      <c r="D43" s="357"/>
      <c r="E43" s="357"/>
      <c r="F43" s="357"/>
    </row>
    <row r="44" spans="1:6">
      <c r="B44" s="47" t="s">
        <v>234</v>
      </c>
      <c r="C44" s="349">
        <f>Normalized_FCF!C9</f>
        <v>0</v>
      </c>
      <c r="D44" s="1" t="str">
        <f>Reporting_currency</f>
        <v>EUR</v>
      </c>
    </row>
    <row r="45" spans="1:6">
      <c r="B45" s="52" t="s">
        <v>235</v>
      </c>
      <c r="C45" s="349">
        <f>Normalized_FCF!C10</f>
        <v>0</v>
      </c>
      <c r="D45" s="1" t="str">
        <f>Reporting_currency</f>
        <v>EUR</v>
      </c>
    </row>
    <row r="47" spans="1:6">
      <c r="B47" s="357" t="s">
        <v>236</v>
      </c>
      <c r="C47" s="357"/>
      <c r="D47" s="357"/>
      <c r="E47" s="357"/>
      <c r="F47" s="357"/>
    </row>
    <row r="48" spans="1:6">
      <c r="B48" s="47" t="s">
        <v>237</v>
      </c>
      <c r="C48" s="349">
        <f>Normalized_FCF!C11</f>
        <v>0</v>
      </c>
      <c r="D48" s="1" t="str">
        <f>Reporting_currency</f>
        <v>EUR</v>
      </c>
    </row>
    <row r="50" spans="2:6">
      <c r="B50" s="357" t="s">
        <v>240</v>
      </c>
      <c r="C50" s="357"/>
      <c r="D50" s="357"/>
      <c r="E50" s="357"/>
      <c r="F50" s="357"/>
    </row>
    <row r="51" spans="2:6">
      <c r="B51" s="47" t="s">
        <v>342</v>
      </c>
      <c r="C51" s="350">
        <f>Normalized_FCF!C48</f>
        <v>0</v>
      </c>
      <c r="D51" s="1" t="str">
        <f>Reporting_currency</f>
        <v>EUR</v>
      </c>
      <c r="E51" s="286"/>
      <c r="F51" s="286"/>
    </row>
    <row r="52" spans="2:6">
      <c r="B52" s="47" t="s">
        <v>343</v>
      </c>
      <c r="C52" s="350">
        <f>Normalized_FCF!C47</f>
        <v>-90938</v>
      </c>
      <c r="D52" s="1" t="str">
        <f>Reporting_currency</f>
        <v>EUR</v>
      </c>
      <c r="E52" s="286"/>
      <c r="F52" s="286"/>
    </row>
    <row r="53" spans="2:6">
      <c r="B53" s="47" t="s">
        <v>238</v>
      </c>
      <c r="C53" s="349">
        <f>Normalized_FCF!C12</f>
        <v>-90938</v>
      </c>
      <c r="D53" s="1" t="str">
        <f>Reporting_currency</f>
        <v>EUR</v>
      </c>
    </row>
    <row r="55" spans="2:6">
      <c r="B55" s="1" t="s">
        <v>246</v>
      </c>
    </row>
    <row r="56" spans="2:6">
      <c r="B56" s="47" t="s">
        <v>265</v>
      </c>
      <c r="C56" s="349">
        <f>Normalized_FCF!C15</f>
        <v>-4167.7471308175782</v>
      </c>
      <c r="D56" s="1" t="str">
        <f>Reporting_currency</f>
        <v>EUR</v>
      </c>
    </row>
    <row r="58" spans="2:6">
      <c r="B58" s="357" t="s">
        <v>241</v>
      </c>
      <c r="C58" s="357"/>
      <c r="D58" s="357"/>
      <c r="E58" s="357"/>
      <c r="F58" s="357"/>
    </row>
    <row r="59" spans="2:6">
      <c r="B59" s="47" t="s">
        <v>239</v>
      </c>
      <c r="C59" s="349">
        <f>Normalized_FCF!C14</f>
        <v>-232460.11026540946</v>
      </c>
      <c r="D59" s="1" t="str">
        <f>Reporting_currency</f>
        <v>EUR</v>
      </c>
    </row>
    <row r="61" spans="2:6">
      <c r="B61" s="357" t="s">
        <v>340</v>
      </c>
      <c r="C61" s="360"/>
      <c r="D61" s="360"/>
      <c r="E61" s="360"/>
      <c r="F61" s="360"/>
    </row>
    <row r="62" spans="2:6">
      <c r="B62" s="47" t="s">
        <v>242</v>
      </c>
      <c r="C62" s="349">
        <f>Normalized_FCF!C17</f>
        <v>0</v>
      </c>
      <c r="D62" s="1" t="str">
        <f>Reporting_currency</f>
        <v>EUR</v>
      </c>
    </row>
    <row r="64" spans="2:6" ht="24.6" customHeight="1">
      <c r="B64" s="356" t="s">
        <v>345</v>
      </c>
      <c r="C64" s="356"/>
      <c r="D64" s="356"/>
      <c r="E64" s="356"/>
      <c r="F64" s="356"/>
    </row>
    <row r="65" spans="1:6" ht="24.6" customHeight="1">
      <c r="B65" s="356" t="s">
        <v>364</v>
      </c>
      <c r="C65" s="356"/>
      <c r="D65" s="356"/>
      <c r="E65" s="356"/>
      <c r="F65" s="356"/>
    </row>
    <row r="67" spans="1:6">
      <c r="B67" s="47" t="s">
        <v>270</v>
      </c>
      <c r="C67" s="349">
        <f>Normalized_FCF!G19</f>
        <v>996880</v>
      </c>
      <c r="D67" s="1" t="str">
        <f>Reporting_currency</f>
        <v>EUR</v>
      </c>
    </row>
    <row r="68" spans="1:6">
      <c r="B68" s="47" t="s">
        <v>248</v>
      </c>
      <c r="C68" s="349">
        <f>Normalized_FCF!C19</f>
        <v>693212.58366541076</v>
      </c>
      <c r="D68" s="1" t="str">
        <f>Reporting_currency</f>
        <v>EUR</v>
      </c>
    </row>
    <row r="69" spans="1:6">
      <c r="B69" s="227" t="s">
        <v>393</v>
      </c>
      <c r="C69" s="92">
        <f>Normalized_FCF!C125</f>
        <v>4.8496813803793899E-2</v>
      </c>
      <c r="F69" s="314"/>
    </row>
    <row r="70" spans="1:6">
      <c r="B70" s="227" t="s">
        <v>309</v>
      </c>
      <c r="C70" s="92">
        <f>Normalized_FCF!C93</f>
        <v>2.9358308688334996E-2</v>
      </c>
      <c r="E70" s="47" t="s">
        <v>450</v>
      </c>
      <c r="F70" s="315">
        <f>Normalized_FCF!C92</f>
        <v>5.4347046549072271</v>
      </c>
    </row>
    <row r="72" spans="1:6">
      <c r="B72" s="210" t="s">
        <v>453</v>
      </c>
      <c r="C72" s="323" t="s">
        <v>455</v>
      </c>
      <c r="D72" s="323" t="s">
        <v>456</v>
      </c>
    </row>
    <row r="73" spans="1:6">
      <c r="B73" s="47" t="s">
        <v>454</v>
      </c>
      <c r="C73" s="92">
        <f>Normalized_FCF!C120</f>
        <v>0.21039827332068567</v>
      </c>
      <c r="D73" s="92">
        <f>Normalized_FCF!G120</f>
        <v>0.3047216496244991</v>
      </c>
    </row>
    <row r="74" spans="1:6">
      <c r="B74" s="259" t="str">
        <f>Normalized_FCF!B117</f>
        <v>Pre-tax Profit/Sales</v>
      </c>
      <c r="C74" s="322">
        <f>Normalized_FCF!C117</f>
        <v>0.21042753223383909</v>
      </c>
      <c r="D74" s="322">
        <f>Normalized_FCF!G117</f>
        <v>0.24793921890168877</v>
      </c>
    </row>
    <row r="75" spans="1:6">
      <c r="B75" s="259" t="str">
        <f>Normalized_FCF!B118</f>
        <v>Sales/Total Assets</v>
      </c>
      <c r="C75" s="324">
        <f>Normalized_FCF!C118</f>
        <v>0.51682300464832642</v>
      </c>
      <c r="D75" s="324">
        <f>Normalized_FCF!G118</f>
        <v>0.63527287089914697</v>
      </c>
    </row>
    <row r="76" spans="1:6">
      <c r="B76" s="259" t="str">
        <f>Normalized_FCF!B119</f>
        <v>Total Assets/Equity</v>
      </c>
      <c r="C76" s="324">
        <f>Normalized_FCF!C119</f>
        <v>1.9346293526540752</v>
      </c>
      <c r="D76" s="324">
        <f>Normalized_FCF!G119</f>
        <v>1.9346293526540752</v>
      </c>
    </row>
    <row r="78" spans="1:6" ht="13.9">
      <c r="A78" s="222" t="s">
        <v>358</v>
      </c>
      <c r="B78" s="36"/>
      <c r="C78" s="36"/>
      <c r="D78" s="36"/>
      <c r="E78" s="36"/>
      <c r="F78" s="36"/>
    </row>
    <row r="79" spans="1:6">
      <c r="A79" s="209"/>
    </row>
    <row r="80" spans="1:6" ht="24.6" customHeight="1">
      <c r="A80" s="17"/>
      <c r="B80" s="356" t="s">
        <v>365</v>
      </c>
      <c r="C80" s="356"/>
      <c r="D80" s="356"/>
      <c r="E80" s="356"/>
      <c r="F80" s="356"/>
    </row>
    <row r="81" spans="1:6">
      <c r="B81" s="358" t="s">
        <v>252</v>
      </c>
      <c r="C81" s="358"/>
      <c r="D81" s="358"/>
      <c r="E81" s="358"/>
      <c r="F81" s="358"/>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6" t="s">
        <v>366</v>
      </c>
      <c r="C89" s="356"/>
      <c r="D89" s="356"/>
      <c r="E89" s="356"/>
      <c r="F89" s="356"/>
    </row>
    <row r="90" spans="1:6" ht="24.6" customHeight="1">
      <c r="B90" s="356" t="s">
        <v>367</v>
      </c>
      <c r="C90" s="356"/>
      <c r="D90" s="356"/>
      <c r="E90" s="356"/>
      <c r="F90" s="356"/>
    </row>
    <row r="92" spans="1:6">
      <c r="B92" s="47" t="s">
        <v>251</v>
      </c>
      <c r="C92" s="236">
        <v>0</v>
      </c>
    </row>
    <row r="93" spans="1:6">
      <c r="B93" s="47" t="s">
        <v>280</v>
      </c>
      <c r="C93" s="223">
        <f>DCF!C6*scaling_factor*Exchange_Rate/Common_Shares</f>
        <v>32.428202830136861</v>
      </c>
      <c r="D93" s="1" t="str">
        <f>Market_currency</f>
        <v>HKD</v>
      </c>
    </row>
    <row r="95" spans="1:6" ht="13.9">
      <c r="A95" s="222" t="s">
        <v>360</v>
      </c>
      <c r="B95" s="36"/>
      <c r="C95" s="36"/>
      <c r="D95" s="36"/>
      <c r="E95" s="36"/>
      <c r="F95" s="36"/>
    </row>
    <row r="96" spans="1:6">
      <c r="A96" s="209"/>
    </row>
    <row r="97" spans="2:6">
      <c r="B97" s="356" t="s">
        <v>368</v>
      </c>
      <c r="C97" s="356"/>
      <c r="D97" s="356"/>
      <c r="E97" s="356"/>
      <c r="F97" s="356"/>
    </row>
    <row r="98" spans="2:6">
      <c r="B98" s="1" t="s">
        <v>253</v>
      </c>
    </row>
    <row r="100" spans="2:6">
      <c r="B100" s="210" t="s">
        <v>230</v>
      </c>
    </row>
    <row r="101" spans="2:6" ht="24.6" customHeight="1">
      <c r="B101" s="356" t="s">
        <v>346</v>
      </c>
      <c r="C101" s="356"/>
      <c r="D101" s="356"/>
      <c r="E101" s="356"/>
      <c r="F101" s="356"/>
    </row>
    <row r="102" spans="2:6">
      <c r="B102" s="47" t="s">
        <v>255</v>
      </c>
      <c r="C102" s="349">
        <f>DCF!C7</f>
        <v>866500</v>
      </c>
      <c r="D102" s="1" t="str">
        <f>Reporting_currency</f>
        <v>EUR</v>
      </c>
    </row>
    <row r="103" spans="2:6">
      <c r="B103" s="47" t="s">
        <v>281</v>
      </c>
      <c r="C103" s="223">
        <f>C102*scaling_factor*Exchange_Rate/Common_Shares</f>
        <v>3.0400888285673417</v>
      </c>
      <c r="D103" s="1" t="str">
        <f>Market_currency</f>
        <v>HKD</v>
      </c>
    </row>
    <row r="104" spans="2:6">
      <c r="B104" s="296" t="s">
        <v>407</v>
      </c>
      <c r="C104" s="325">
        <f>IF(BS!G31/BS!G27&gt;300%,"nm",BS!G31/BS!G27)</f>
        <v>0.19606600851240996</v>
      </c>
    </row>
    <row r="105" spans="2:6">
      <c r="B105" s="296" t="s">
        <v>409</v>
      </c>
      <c r="C105" s="326">
        <f>IF(BS!C50&gt;30,"nm",BS!C50)</f>
        <v>0.84886197155458731</v>
      </c>
    </row>
    <row r="107" spans="2:6">
      <c r="B107" s="1" t="s">
        <v>254</v>
      </c>
    </row>
    <row r="108" spans="2:6">
      <c r="B108" s="47" t="s">
        <v>264</v>
      </c>
      <c r="C108" s="349">
        <f>BS!C66</f>
        <v>1011563</v>
      </c>
      <c r="D108" s="1" t="str">
        <f>Reporting_currency</f>
        <v>EUR</v>
      </c>
    </row>
    <row r="109" spans="2:6">
      <c r="B109" s="47" t="s">
        <v>266</v>
      </c>
      <c r="C109" s="349">
        <f>DCF!C8</f>
        <v>414442.7738145804</v>
      </c>
      <c r="D109" s="1" t="str">
        <f>Reporting_currency</f>
        <v>EUR</v>
      </c>
    </row>
    <row r="110" spans="2:6">
      <c r="B110" s="47" t="s">
        <v>282</v>
      </c>
      <c r="C110" s="223">
        <f>C109*scaling_factor*Exchange_Rate/Common_Shares</f>
        <v>1.4540598346845557</v>
      </c>
      <c r="D110" s="1" t="str">
        <f>Market_currency</f>
        <v>HKD</v>
      </c>
    </row>
    <row r="112" spans="2:6">
      <c r="B112" s="1" t="s">
        <v>256</v>
      </c>
    </row>
    <row r="113" spans="1:6">
      <c r="B113" s="47" t="s">
        <v>257</v>
      </c>
      <c r="C113" s="349">
        <f>DCF!C9</f>
        <v>3762.4</v>
      </c>
      <c r="D113" s="1" t="str">
        <f>Reporting_currency</f>
        <v>EUR</v>
      </c>
    </row>
    <row r="114" spans="1:6">
      <c r="B114" s="47" t="s">
        <v>283</v>
      </c>
      <c r="C114" s="223">
        <f>C113*scaling_factor*Exchange_Rate/Common_Shares</f>
        <v>1.3200265676401347E-2</v>
      </c>
      <c r="D114" s="1" t="str">
        <f>Market_currency</f>
        <v>HKD</v>
      </c>
    </row>
    <row r="116" spans="1:6" ht="24.6" customHeight="1">
      <c r="B116" s="356" t="s">
        <v>369</v>
      </c>
      <c r="C116" s="356"/>
      <c r="D116" s="356"/>
      <c r="E116" s="356"/>
      <c r="F116" s="356"/>
    </row>
    <row r="118" spans="1:6">
      <c r="B118" s="47" t="s">
        <v>451</v>
      </c>
      <c r="C118" s="223">
        <f>IF(valuation_method="DCF",DCF!C12,DDM!C7)</f>
        <v>30.855374101930472</v>
      </c>
      <c r="D118" s="1" t="str">
        <f>Market_currency</f>
        <v>HKD</v>
      </c>
    </row>
    <row r="119" spans="1:6">
      <c r="B119" s="296" t="s">
        <v>408</v>
      </c>
      <c r="C119" s="223">
        <f>BS!D47</f>
        <v>-5.8344377867115664</v>
      </c>
      <c r="D119" s="1" t="str">
        <f>Market_currency</f>
        <v>HKD</v>
      </c>
    </row>
    <row r="121" spans="1:6" ht="13.9">
      <c r="A121" s="222" t="s">
        <v>361</v>
      </c>
      <c r="B121" s="36"/>
      <c r="C121" s="36"/>
      <c r="D121" s="36"/>
      <c r="E121" s="36"/>
      <c r="F121" s="36"/>
    </row>
    <row r="123" spans="1:6" ht="24.6" customHeight="1">
      <c r="B123" s="357" t="s">
        <v>370</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40.37 HKD</v>
      </c>
      <c r="F126" s="232">
        <f>DCF!F74</f>
        <v>0.05</v>
      </c>
    </row>
    <row r="127" spans="1:6">
      <c r="B127" s="218" t="str">
        <f>DCF!B75</f>
        <v>Optimistic</v>
      </c>
      <c r="C127" s="219">
        <f>DCF!C75</f>
        <v>0.05</v>
      </c>
      <c r="D127" s="220">
        <f>DCF!D75</f>
        <v>5</v>
      </c>
      <c r="E127" s="231" t="str">
        <f>ROUND(IF(valuation_method="DCF",DCF!E75,DDM!E70),2)&amp;" "&amp;Market_currency</f>
        <v>33.48 HKD</v>
      </c>
      <c r="F127" s="221">
        <f>DCF!F75</f>
        <v>0.18</v>
      </c>
    </row>
    <row r="128" spans="1:6">
      <c r="B128" s="218" t="str">
        <f>DCF!B76</f>
        <v>Base</v>
      </c>
      <c r="C128" s="219">
        <f>DCF!C76</f>
        <v>0.03</v>
      </c>
      <c r="D128" s="220">
        <f>DCF!D76</f>
        <v>5</v>
      </c>
      <c r="E128" s="231" t="str">
        <f>ROUND(IF(valuation_method="DCF",DCF!E76,DDM!E71),2)&amp;" "&amp;Market_currency</f>
        <v>32.41 HKD</v>
      </c>
      <c r="F128" s="221">
        <f>DCF!F76</f>
        <v>0.53999999999999992</v>
      </c>
    </row>
    <row r="129" spans="1:6">
      <c r="B129" s="218" t="str">
        <f>DCF!B77</f>
        <v>Pessimistic</v>
      </c>
      <c r="C129" s="219">
        <f>DCF!C77</f>
        <v>0.01</v>
      </c>
      <c r="D129" s="220">
        <f>DCF!D77</f>
        <v>5</v>
      </c>
      <c r="E129" s="231" t="str">
        <f>ROUND(IF(valuation_method="DCF",DCF!E77,DDM!E72),2)&amp;" "&amp;Market_currency</f>
        <v>31.37 HKD</v>
      </c>
      <c r="F129" s="221">
        <f>DCF!F77</f>
        <v>0.18</v>
      </c>
    </row>
    <row r="130" spans="1:6">
      <c r="B130" s="218" t="str">
        <f>DCF!B78</f>
        <v>Devil's advocate</v>
      </c>
      <c r="C130" s="219">
        <f>DCF!C78</f>
        <v>0</v>
      </c>
      <c r="D130" s="220">
        <f>DCF!D78</f>
        <v>10</v>
      </c>
      <c r="E130" s="231" t="str">
        <f>ROUND(IF(valuation_method="DCF",DCF!E78,DDM!E73),2)&amp;" "&amp;Market_currency</f>
        <v>30.86 HKD</v>
      </c>
      <c r="F130" s="221">
        <f>DCF!F78</f>
        <v>0.05</v>
      </c>
    </row>
    <row r="132" spans="1:6">
      <c r="B132" s="211" t="s">
        <v>258</v>
      </c>
      <c r="C132" s="217">
        <f>Scenarios!C60</f>
        <v>32.734974170923991</v>
      </c>
      <c r="D132" s="212" t="str">
        <f>Market_currency</f>
        <v>HKD</v>
      </c>
    </row>
    <row r="134" spans="1:6" ht="24.6" customHeight="1">
      <c r="B134" s="361" t="s">
        <v>373</v>
      </c>
      <c r="C134" s="361"/>
      <c r="D134" s="361"/>
      <c r="E134" s="361"/>
      <c r="F134" s="361"/>
    </row>
    <row r="136" spans="1:6" ht="13.9">
      <c r="A136" s="222" t="s">
        <v>405</v>
      </c>
      <c r="B136" s="36"/>
      <c r="C136" s="36"/>
      <c r="D136" s="36"/>
      <c r="E136" s="36"/>
      <c r="F136" s="36"/>
    </row>
    <row r="138" spans="1:6">
      <c r="B138" s="359" t="s">
        <v>371</v>
      </c>
      <c r="C138" s="359"/>
      <c r="D138" s="359"/>
      <c r="E138" s="359"/>
      <c r="F138" s="359"/>
    </row>
    <row r="139" spans="1:6" ht="24.6" customHeight="1">
      <c r="B139" s="356" t="s">
        <v>372</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1.47231918072</v>
      </c>
      <c r="D143" s="212" t="str">
        <f>Market_currency</f>
        <v>HKD</v>
      </c>
    </row>
    <row r="145" spans="2:4">
      <c r="B145" s="210" t="s">
        <v>411</v>
      </c>
      <c r="C145" s="241" t="str">
        <f>C11</f>
        <v>1913.HK</v>
      </c>
      <c r="D145" s="241" t="str">
        <f>IF(D11="","",D11)</f>
        <v/>
      </c>
    </row>
    <row r="146" spans="2:4">
      <c r="B146" s="1" t="s">
        <v>410</v>
      </c>
      <c r="C146" s="297">
        <f>F29</f>
        <v>0.3674</v>
      </c>
    </row>
    <row r="147" spans="2:4">
      <c r="B147" s="212" t="str">
        <f>"PV("&amp;C141&amp;" yrs of Dividends)"</f>
        <v>PV(3 yrs of Dividends)</v>
      </c>
      <c r="C147" s="216">
        <f>Scenarios!C81</f>
        <v>2.440014683327854</v>
      </c>
    </row>
    <row r="148" spans="2:4">
      <c r="B148" s="212" t="str">
        <f>"+ PV(Equity Value realized at year "&amp;C141&amp;")"</f>
        <v>+ PV(Equity Value realized at year 3)</v>
      </c>
      <c r="C148" s="216">
        <f>Scenarios!C82</f>
        <v>12.803398882405475</v>
      </c>
    </row>
    <row r="149" spans="2:4">
      <c r="B149" s="80" t="s">
        <v>260</v>
      </c>
      <c r="C149" s="215">
        <f>Scenarios!C83</f>
        <v>15.243413565733329</v>
      </c>
      <c r="D149" s="300" t="str">
        <f>IF($D$11="","",C149*$E$25)</f>
        <v/>
      </c>
    </row>
    <row r="150" spans="2:4">
      <c r="B150" s="259" t="s">
        <v>418</v>
      </c>
      <c r="C150" s="298" t="str">
        <f>Market_currency</f>
        <v>HKD</v>
      </c>
      <c r="D150" s="298" t="str">
        <f>IF($D$11="","",D$13)</f>
        <v/>
      </c>
    </row>
    <row r="151" spans="2:4">
      <c r="B151" s="214" t="s">
        <v>262</v>
      </c>
      <c r="C151" s="92">
        <f>Scenarios!F83</f>
        <v>0.53433861025395579</v>
      </c>
    </row>
    <row r="153" spans="2:4">
      <c r="B153" s="210" t="s">
        <v>414</v>
      </c>
    </row>
    <row r="154" spans="2:4">
      <c r="B154" s="1" t="s">
        <v>413</v>
      </c>
      <c r="C154" s="297">
        <f>Scenarios!C90</f>
        <v>0.21740000000000001</v>
      </c>
    </row>
    <row r="155" spans="2:4">
      <c r="B155" s="212" t="str">
        <f>"PV("&amp;C141&amp;" yrs of Dividends)"</f>
        <v>PV(3 yrs of Dividends)</v>
      </c>
      <c r="C155" s="216">
        <f>Scenarios!C91</f>
        <v>3.018844461140437</v>
      </c>
    </row>
    <row r="156" spans="2:4">
      <c r="B156" s="212" t="str">
        <f>"+ PV(Equity Value realized at year "&amp;C141&amp;")"</f>
        <v>+ PV(Equity Value realized at year 3)</v>
      </c>
      <c r="C156" s="216">
        <f>Scenarios!C92</f>
        <v>18.143125735710871</v>
      </c>
    </row>
    <row r="157" spans="2:4">
      <c r="B157" s="80" t="s">
        <v>260</v>
      </c>
      <c r="C157" s="215">
        <f>Scenarios!C93</f>
        <v>21.161970196851307</v>
      </c>
      <c r="D157" s="300" t="str">
        <f>IF($D$11="","",C157*$E$25)</f>
        <v/>
      </c>
    </row>
    <row r="158" spans="2:4">
      <c r="B158" s="259" t="s">
        <v>418</v>
      </c>
      <c r="C158" s="298" t="str">
        <f>Market_currency</f>
        <v>HKD</v>
      </c>
      <c r="D158" s="298" t="str">
        <f>IF($D$11="","",D$13)</f>
        <v/>
      </c>
    </row>
    <row r="159" spans="2:4">
      <c r="B159" s="214" t="s">
        <v>262</v>
      </c>
      <c r="C159" s="92">
        <f>Scenarios!F93</f>
        <v>0.353536371027661</v>
      </c>
    </row>
    <row r="161" spans="2:4">
      <c r="B161" s="210" t="s">
        <v>403</v>
      </c>
    </row>
    <row r="162" spans="2:4">
      <c r="B162" s="1" t="s">
        <v>412</v>
      </c>
      <c r="C162" s="92">
        <f>Scenarios!C96</f>
        <v>7.4999999999999997E-2</v>
      </c>
    </row>
    <row r="163" spans="2:4">
      <c r="B163" s="212" t="str">
        <f>"PV("&amp;C141&amp;" yrs of Dividends)"</f>
        <v>PV(3 yrs of Dividends)</v>
      </c>
      <c r="C163" s="216">
        <f>Scenarios!C97</f>
        <v>3.8288039267695555</v>
      </c>
    </row>
    <row r="164" spans="2:4">
      <c r="B164" s="212" t="str">
        <f>"+ PV(Equity Value realized at year "&amp;C141&amp;")"</f>
        <v>+ PV(Equity Value realized at year 3)</v>
      </c>
      <c r="C164" s="216">
        <f>Scenarios!C98</f>
        <v>26.350363451509121</v>
      </c>
    </row>
    <row r="165" spans="2:4">
      <c r="B165" s="80" t="s">
        <v>404</v>
      </c>
      <c r="C165" s="215">
        <f>Scenarios!C99</f>
        <v>30.179167378278677</v>
      </c>
      <c r="D165" s="300" t="str">
        <f>IF($D$11="","",C165*$E$25)</f>
        <v/>
      </c>
    </row>
    <row r="166" spans="2:4">
      <c r="B166" s="259" t="s">
        <v>418</v>
      </c>
      <c r="C166" s="298" t="str">
        <f>Market_currency</f>
        <v>HKD</v>
      </c>
      <c r="D166" s="298" t="str">
        <f>IF($D$11="","",D$13)</f>
        <v/>
      </c>
    </row>
    <row r="167" spans="2:4">
      <c r="B167" s="214" t="s">
        <v>262</v>
      </c>
      <c r="C167" s="92">
        <f>Scenarios!F99</f>
        <v>7.807572351517067E-2</v>
      </c>
    </row>
    <row r="169" spans="2:4">
      <c r="B169" s="210" t="s">
        <v>434</v>
      </c>
    </row>
    <row r="170" spans="2:4">
      <c r="B170" s="1" t="s">
        <v>425</v>
      </c>
      <c r="C170" s="92">
        <f>F32</f>
        <v>0.1174</v>
      </c>
    </row>
    <row r="171" spans="2:4">
      <c r="B171" s="212" t="str">
        <f>"PV("&amp;C141&amp;" yrs of Dividends)"</f>
        <v>PV(3 yrs of Dividends)</v>
      </c>
      <c r="C171" s="216">
        <f>Scenarios!C103</f>
        <v>3.5521218577845026</v>
      </c>
    </row>
    <row r="172" spans="2:4">
      <c r="B172" s="212" t="str">
        <f>"+ PV(Equity Value realized at year "&amp;C141&amp;")"</f>
        <v>+ PV(Equity Value realized at year 3)</v>
      </c>
      <c r="C172" s="216">
        <f>Scenarios!C104</f>
        <v>23.46313295208089</v>
      </c>
    </row>
    <row r="173" spans="2:4">
      <c r="B173" s="80" t="s">
        <v>404</v>
      </c>
      <c r="C173" s="215">
        <f>Scenarios!C105</f>
        <v>27.015254809865393</v>
      </c>
      <c r="D173" s="300" t="str">
        <f>IF($D$11="","",C173*$E$25)</f>
        <v/>
      </c>
    </row>
    <row r="174" spans="2:4">
      <c r="B174" s="259" t="s">
        <v>418</v>
      </c>
      <c r="C174" s="298" t="str">
        <f>Market_currency</f>
        <v>HKD</v>
      </c>
      <c r="D174" s="298" t="str">
        <f>IF($D$11="","",D$13)</f>
        <v/>
      </c>
    </row>
    <row r="175" spans="2:4">
      <c r="B175" s="214" t="s">
        <v>262</v>
      </c>
      <c r="C175" s="92">
        <f>Scenarios!F105</f>
        <v>0.15787677826395219</v>
      </c>
    </row>
    <row r="177" spans="1:6" ht="13.9">
      <c r="A177" s="222" t="s">
        <v>377</v>
      </c>
      <c r="B177" s="36"/>
      <c r="C177" s="36"/>
      <c r="D177" s="36"/>
      <c r="E177" s="36"/>
      <c r="F177" s="36"/>
    </row>
    <row r="179" spans="1:6">
      <c r="B179" s="363" t="s">
        <v>379</v>
      </c>
      <c r="C179" s="356"/>
      <c r="D179" s="356"/>
      <c r="E179" s="356"/>
      <c r="F179" s="356"/>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7" t="s">
        <v>384</v>
      </c>
      <c r="C188" s="357"/>
      <c r="D188" s="357"/>
      <c r="E188" s="357"/>
      <c r="F188" s="357"/>
    </row>
    <row r="190" spans="1:6">
      <c r="B190" s="1" t="s">
        <v>388</v>
      </c>
    </row>
    <row r="191" spans="1:6" ht="24.6" customHeight="1">
      <c r="B191" s="362" t="s">
        <v>385</v>
      </c>
      <c r="C191" s="362"/>
      <c r="D191" s="362"/>
      <c r="E191" s="362"/>
      <c r="F191" s="362"/>
    </row>
    <row r="192" spans="1:6" ht="24.6" customHeight="1">
      <c r="B192" s="362" t="s">
        <v>386</v>
      </c>
      <c r="C192" s="362"/>
      <c r="D192" s="362"/>
      <c r="E192" s="362"/>
      <c r="F192" s="362"/>
    </row>
    <row r="194" spans="2:2">
      <c r="B194" s="1" t="s">
        <v>392</v>
      </c>
    </row>
    <row r="195" spans="2:2">
      <c r="B195" s="214" t="s">
        <v>389</v>
      </c>
    </row>
    <row r="196" spans="2:2">
      <c r="B196" s="214" t="s">
        <v>390</v>
      </c>
    </row>
    <row r="197" spans="2:2">
      <c r="B197" s="214" t="s">
        <v>391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4" sqref="E24"/>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1651617</v>
      </c>
      <c r="D22" s="351">
        <v>1155281</v>
      </c>
      <c r="E22" s="351">
        <v>1123697</v>
      </c>
      <c r="F22" s="351">
        <v>1143528</v>
      </c>
      <c r="G22" s="351">
        <v>592419</v>
      </c>
      <c r="H22" s="351">
        <v>809895</v>
      </c>
      <c r="I22" s="351">
        <v>365108</v>
      </c>
      <c r="J22" s="351"/>
      <c r="K22" s="351"/>
      <c r="L22" s="351"/>
      <c r="M22" s="351"/>
    </row>
    <row r="23" spans="2:13">
      <c r="B23" s="27" t="s">
        <v>376</v>
      </c>
      <c r="C23" s="351">
        <v>-462453</v>
      </c>
      <c r="D23" s="351">
        <v>-759191</v>
      </c>
      <c r="E23" s="351">
        <v>-250209</v>
      </c>
      <c r="F23" s="351">
        <v>-137265</v>
      </c>
      <c r="G23" s="351">
        <v>-149910</v>
      </c>
      <c r="H23" s="351">
        <v>-302261</v>
      </c>
      <c r="I23" s="351">
        <v>-379421</v>
      </c>
      <c r="J23" s="351"/>
      <c r="K23" s="351"/>
      <c r="L23" s="351"/>
      <c r="M23" s="351"/>
    </row>
    <row r="24" spans="2:13">
      <c r="B24" s="27" t="s">
        <v>375</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1.47231918072</v>
      </c>
      <c r="D25" s="39">
        <f>0.137*Exchange_Rate</f>
        <v>1.2299251692600002</v>
      </c>
      <c r="E25" s="39">
        <f>0.11*Exchange_Rate</f>
        <v>0.9875311578</v>
      </c>
      <c r="F25" s="39"/>
      <c r="G25" s="39"/>
      <c r="H25" s="39"/>
      <c r="I25" s="39"/>
      <c r="J25" s="39"/>
      <c r="K25" s="39"/>
      <c r="L25" s="39"/>
      <c r="M25" s="39"/>
    </row>
    <row r="27" spans="2:13">
      <c r="B27" s="16" t="s">
        <v>28</v>
      </c>
      <c r="C27" s="97" t="s">
        <v>219</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172</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152</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168</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160</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396</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1.47231918072</v>
      </c>
      <c r="D65" s="73">
        <f t="shared" ref="D65:M65" si="33">IF(D$4="","",D25)</f>
        <v>1.2299251692600002</v>
      </c>
      <c r="E65" s="73">
        <f t="shared" si="33"/>
        <v>0.9875311578</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168</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9" sqref="B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369</v>
      </c>
      <c r="D15" s="261">
        <v>0.4</v>
      </c>
      <c r="F15" s="4" t="s">
        <v>78</v>
      </c>
      <c r="G15" s="19">
        <v>0</v>
      </c>
      <c r="H15" s="261">
        <v>0.8</v>
      </c>
    </row>
    <row r="16" spans="2:8" ht="15" customHeight="1">
      <c r="B16" s="1" t="s">
        <v>34</v>
      </c>
      <c r="C16" s="19">
        <v>2571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2255055+2278955</f>
        <v>4534010</v>
      </c>
      <c r="D19" s="261">
        <v>0.1</v>
      </c>
      <c r="F19" s="4" t="s">
        <v>182</v>
      </c>
      <c r="G19" s="19">
        <v>37624</v>
      </c>
      <c r="H19" s="261">
        <v>0.1</v>
      </c>
    </row>
    <row r="20" spans="2:8" ht="15" customHeight="1">
      <c r="B20" s="4" t="s">
        <v>18</v>
      </c>
      <c r="C20" s="19">
        <v>0</v>
      </c>
      <c r="D20" s="261">
        <v>0.05</v>
      </c>
      <c r="F20" s="4" t="s">
        <v>179</v>
      </c>
      <c r="G20" s="19">
        <v>0</v>
      </c>
      <c r="H20" s="261">
        <v>0.2</v>
      </c>
    </row>
    <row r="21" spans="2:8" ht="15" customHeight="1">
      <c r="B21" s="4" t="s">
        <v>19</v>
      </c>
      <c r="C21" s="19">
        <v>867920</v>
      </c>
      <c r="D21" s="261">
        <v>0.05</v>
      </c>
      <c r="F21" s="1" t="s">
        <v>180</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200</v>
      </c>
      <c r="C26" s="182" t="s">
        <v>136</v>
      </c>
      <c r="F26" s="184" t="s">
        <v>196</v>
      </c>
      <c r="G26" s="185" t="s">
        <v>136</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244</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203</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7500772</v>
      </c>
      <c r="H35" s="200">
        <f>D12+D24</f>
        <v>1573466.7999999998</v>
      </c>
    </row>
    <row r="36" spans="2:8" ht="15" customHeight="1">
      <c r="B36" s="4" t="s">
        <v>13</v>
      </c>
      <c r="C36" s="19">
        <v>220941</v>
      </c>
      <c r="F36" s="190" t="s">
        <v>197</v>
      </c>
      <c r="G36" s="191">
        <f>C4+C15</f>
        <v>424243</v>
      </c>
      <c r="H36" s="195"/>
    </row>
    <row r="37" spans="2:8" ht="15" customHeight="1">
      <c r="B37" s="4" t="s">
        <v>14</v>
      </c>
      <c r="C37" s="19">
        <v>0</v>
      </c>
      <c r="F37" s="190" t="s">
        <v>198</v>
      </c>
      <c r="G37" s="191">
        <f>C6</f>
        <v>866160</v>
      </c>
      <c r="H37" s="195"/>
    </row>
    <row r="38" spans="2:8" ht="15" customHeight="1">
      <c r="B38" s="4" t="s">
        <v>15</v>
      </c>
      <c r="C38" s="19">
        <v>0</v>
      </c>
      <c r="F38" s="190" t="s">
        <v>199</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204</v>
      </c>
      <c r="C40" s="81">
        <f>SUM(C36:C39)</f>
        <v>221340</v>
      </c>
      <c r="F40" s="199" t="s">
        <v>138</v>
      </c>
      <c r="G40" s="193">
        <f>G12+G24</f>
        <v>1049187</v>
      </c>
      <c r="H40" s="200">
        <f>H12+H24</f>
        <v>914169.10000000009</v>
      </c>
    </row>
    <row r="41" spans="2:8" ht="15" customHeight="1">
      <c r="B41" s="4" t="s">
        <v>17</v>
      </c>
      <c r="C41" s="21">
        <f>C42-C40</f>
        <v>2225737</v>
      </c>
      <c r="F41" s="190" t="s">
        <v>191</v>
      </c>
      <c r="G41" s="191">
        <f>C70</f>
        <v>1011563</v>
      </c>
      <c r="H41" s="200">
        <f>H40-H42</f>
        <v>910406.70000000007</v>
      </c>
    </row>
    <row r="42" spans="2:8" ht="15" customHeight="1">
      <c r="B42" s="83" t="s">
        <v>22</v>
      </c>
      <c r="C42" s="84">
        <v>2447077</v>
      </c>
      <c r="F42" s="201" t="s">
        <v>192</v>
      </c>
      <c r="G42" s="202">
        <f>C82</f>
        <v>37624</v>
      </c>
      <c r="H42" s="203">
        <f>D82</f>
        <v>3762.4</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4399365</v>
      </c>
      <c r="D46" s="76">
        <f>H29</f>
        <v>-1662958.1</v>
      </c>
      <c r="F46" s="253"/>
    </row>
    <row r="47" spans="2:8" ht="15" customHeight="1">
      <c r="B47" s="1" t="str">
        <f>"Equity per share ("&amp;Market_currency&amp;")"</f>
        <v>Equity per share (HKD)</v>
      </c>
      <c r="C47" s="147">
        <f>C46*H1/Common_Shares*Exchange_Rate</f>
        <v>15.435037956480281</v>
      </c>
      <c r="D47" s="147">
        <f>D46*H1/Common_Shares*Exchange_Rate</f>
        <v>-5.8344377867115664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176</v>
      </c>
      <c r="C51" s="181"/>
      <c r="D51" s="92">
        <f>G29/G32</f>
        <v>0.51454808145863629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0.13608978396645544</v>
      </c>
      <c r="D54" s="92">
        <f>Normalized_FCF!G8/G35</f>
        <v>0.19166480463610946</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274</v>
      </c>
      <c r="C61" s="235" t="s">
        <v>137</v>
      </c>
      <c r="D61" s="197" t="s">
        <v>95</v>
      </c>
      <c r="F61" s="253"/>
    </row>
    <row r="62" spans="2:8" ht="15" customHeight="1">
      <c r="B62" s="1" t="s">
        <v>245</v>
      </c>
      <c r="C62" s="92">
        <f>IF(G28&lt;=0,0,G28/G29)</f>
        <v>4.5608854914288765E-3</v>
      </c>
      <c r="D62" s="92">
        <f>G28/G29</f>
        <v>4.5608854914288765E-3</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1011563</v>
      </c>
      <c r="D66" s="76">
        <f>C66-D75</f>
        <v>414442.7738145804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1011563</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-646777.38794055616</v>
      </c>
      <c r="D73" s="349">
        <f>(Normalized_FCF!C25+Normalized_FCF!C35-Normalized_FCF!C91)/12</f>
        <v>-597120.2261854196</v>
      </c>
      <c r="F73" s="1" t="s">
        <v>353</v>
      </c>
    </row>
    <row r="74" spans="2:6" ht="15" customHeight="1">
      <c r="B74" s="257" t="s">
        <v>323</v>
      </c>
      <c r="C74" s="258">
        <f>-$C$66/C73</f>
        <v>1.5640048938955338</v>
      </c>
      <c r="D74" s="258">
        <f>-$C$66/D73</f>
        <v>1.6940692270000017</v>
      </c>
      <c r="F74" s="253" t="s">
        <v>320</v>
      </c>
    </row>
    <row r="75" spans="2:6" ht="15" customHeight="1">
      <c r="B75" s="80" t="s">
        <v>321</v>
      </c>
      <c r="C75" s="320"/>
      <c r="D75" s="321">
        <f>MAX(-D73*D76,G5)</f>
        <v>597120.2261854196</v>
      </c>
      <c r="F75" s="253" t="s">
        <v>354</v>
      </c>
    </row>
    <row r="76" spans="2:6" ht="15" customHeight="1">
      <c r="B76" s="259" t="s">
        <v>324</v>
      </c>
      <c r="C76" s="260"/>
      <c r="D76" s="290">
        <f>IF(valuation_method="DCF",IF(D74&lt;=3,1,IF(D74&gt;18,6,2)),-C66/D73)</f>
        <v>1</v>
      </c>
      <c r="F76" s="253" t="s">
        <v>325</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37624</v>
      </c>
      <c r="D80" s="76">
        <f>G19*H19</f>
        <v>3762.4</v>
      </c>
      <c r="F80" s="253"/>
    </row>
    <row r="81" spans="2:8" ht="15" customHeight="1">
      <c r="B81" s="105" t="s">
        <v>180</v>
      </c>
      <c r="C81" s="20">
        <f>G9+G21</f>
        <v>0</v>
      </c>
      <c r="D81" s="76">
        <f>G9*H9+G21*H21</f>
        <v>0</v>
      </c>
      <c r="F81" s="253"/>
    </row>
    <row r="82" spans="2:8" ht="15" customHeight="1">
      <c r="B82" s="80" t="s">
        <v>189</v>
      </c>
      <c r="C82" s="81">
        <f>SUM(C79:C81)</f>
        <v>37624</v>
      </c>
      <c r="D82" s="81">
        <f>SUM(D79:D81)</f>
        <v>3762.4</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-7779052.25667</v>
      </c>
      <c r="D86" s="223">
        <f>C86*scaling_factor/Common_Shares</f>
        <v>-3.0400888285673417</v>
      </c>
      <c r="E86" s="240" t="str">
        <f>Market_currency</f>
        <v>HKD</v>
      </c>
    </row>
    <row r="87" spans="2:8" ht="15" customHeight="1">
      <c r="B87" s="238" t="s">
        <v>288</v>
      </c>
      <c r="C87" s="76">
        <f>DCF!C8*Exchange_Rate</f>
        <v>3720683.2024268736</v>
      </c>
      <c r="D87" s="223">
        <f>C87*scaling_factor/Common_Shares</f>
        <v>1.4540598346845557</v>
      </c>
      <c r="E87" s="240" t="str">
        <f>Market_currency</f>
        <v>HKD</v>
      </c>
    </row>
    <row r="88" spans="2:8" ht="15" customHeight="1">
      <c r="B88" s="239" t="s">
        <v>189</v>
      </c>
      <c r="C88" s="76">
        <f>DCF!C9*Exchange_Rate</f>
        <v>33777.156619152003</v>
      </c>
      <c r="D88" s="223">
        <f>C88*scaling_factor/Common_Shares</f>
        <v>1.3200265676401347E-2</v>
      </c>
      <c r="E88" s="240" t="str">
        <f>Market_currency</f>
        <v>HKD</v>
      </c>
    </row>
    <row r="89" spans="2:8" ht="15" customHeight="1">
      <c r="B89" s="80" t="s">
        <v>292</v>
      </c>
      <c r="C89" s="180">
        <f>SUM(C86:C88)</f>
        <v>-4024591.8976239744</v>
      </c>
      <c r="D89" s="242">
        <f>SUM(D86:D88)</f>
        <v>-1.5728287282063846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9" sqref="C19"/>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152</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164</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243</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154</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0.21386747640891421</v>
      </c>
      <c r="D28" s="26"/>
      <c r="E28" s="266" t="s">
        <v>335</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335</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-283216.75</v>
      </c>
      <c r="E33" s="266" t="s">
        <v>335</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347</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344</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337</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338</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160</v>
      </c>
      <c r="C62" s="343">
        <v>0</v>
      </c>
      <c r="E62" s="266" t="s">
        <v>339</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152</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164</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154</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1.47231918072</v>
      </c>
      <c r="E90" s="268"/>
      <c r="G90" s="112">
        <f>Data!C65</f>
        <v>1.47231918072</v>
      </c>
      <c r="H90" s="112">
        <f>Data!D65</f>
        <v>1.2299251692600002</v>
      </c>
      <c r="I90" s="112">
        <f>Data!E65</f>
        <v>0.9875311578</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3767405.655286673</v>
      </c>
      <c r="E91" s="268"/>
      <c r="G91" s="74">
        <f t="shared" ref="G91:Q91" si="37">IF(G$4="","",G90*Common_Shares/scaling_factor)</f>
        <v>3767405.655286673</v>
      </c>
      <c r="H91" s="74">
        <f t="shared" si="37"/>
        <v>3147162.0413065506</v>
      </c>
      <c r="I91" s="74">
        <f t="shared" si="37"/>
        <v>2526918.4273264268</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213</v>
      </c>
      <c r="C92" s="23">
        <f>C90/(C19*scaling_factor/Common_Shares)</f>
        <v>5.4347046549072271</v>
      </c>
      <c r="E92" s="268"/>
      <c r="G92" s="170">
        <f t="shared" ref="G92:Q92" si="38">IF(G$4="","",G90/(G19*scaling_factor/Common_Shares))</f>
        <v>3.7791967491440022</v>
      </c>
      <c r="H92" s="170">
        <f t="shared" si="38"/>
        <v>3.833257664362467</v>
      </c>
      <c r="I92" s="170">
        <f t="shared" si="38"/>
        <v>3.7611460141675304</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310</v>
      </c>
      <c r="C93" s="23">
        <f>C90/Market_Price</f>
        <v>2.9358308688334996E-2</v>
      </c>
      <c r="E93" s="268"/>
      <c r="G93" s="23">
        <f t="shared" ref="G93:Q93" si="39">IF(G$4="","",G90/Market_Price)</f>
        <v>2.9358308688334996E-2</v>
      </c>
      <c r="H93" s="23">
        <f t="shared" si="39"/>
        <v>2.45249285994018E-2</v>
      </c>
      <c r="I93" s="23">
        <f t="shared" si="39"/>
        <v>1.9691548510468594E-2</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-0.18645509933891879</v>
      </c>
      <c r="D96" s="27"/>
      <c r="E96" s="265"/>
      <c r="F96" s="27"/>
      <c r="G96" s="6">
        <f t="shared" ref="G96:Q96" si="40">IF(H4="","",G4/H4-1)</f>
        <v>0.14919269610704622</v>
      </c>
      <c r="H96" s="6">
        <f t="shared" si="40"/>
        <v>0.1251553917299939</v>
      </c>
      <c r="I96" s="6">
        <f t="shared" si="40"/>
        <v>0.26655269521380198</v>
      </c>
      <c r="J96" s="6">
        <f t="shared" si="40"/>
        <v>0.36895472438426102</v>
      </c>
      <c r="K96" s="6">
        <f t="shared" si="40"/>
        <v>-0.24890144264901282</v>
      </c>
      <c r="L96" s="6">
        <f t="shared" si="40"/>
        <v>2.655699222315433E-2</v>
      </c>
      <c r="M96" s="6" t="str">
        <f t="shared" si="40"/>
        <v/>
      </c>
      <c r="N96" s="6" t="str">
        <f t="shared" si="40"/>
        <v/>
      </c>
      <c r="O96" s="6" t="str">
        <f t="shared" si="40"/>
        <v/>
      </c>
      <c r="P96" s="6" t="str">
        <f t="shared" si="40"/>
        <v/>
      </c>
      <c r="Q96" s="6" t="str">
        <f t="shared" si="40"/>
        <v/>
      </c>
    </row>
    <row r="97" spans="1:17" ht="15.75" customHeight="1">
      <c r="A97" s="10"/>
      <c r="B97" s="70" t="s">
        <v>164</v>
      </c>
      <c r="C97" s="77">
        <f>C13/G13-1</f>
        <v>-0.30953946468866189</v>
      </c>
      <c r="D97" s="27"/>
      <c r="E97" s="265"/>
      <c r="F97" s="27"/>
      <c r="G97" s="6">
        <f t="shared" ref="G97:Q97" si="41">IF(H5="","",G13/H13-1)</f>
        <v>0.20085032618426824</v>
      </c>
      <c r="H97" s="6">
        <f t="shared" si="41"/>
        <v>0.22211784706254156</v>
      </c>
      <c r="I97" s="6">
        <f t="shared" si="41"/>
        <v>0.88128758198074086</v>
      </c>
      <c r="J97" s="6">
        <f t="shared" si="41"/>
        <v>-0.72021730227179648</v>
      </c>
      <c r="K97" s="6">
        <f t="shared" si="41"/>
        <v>-0.24841826995204375</v>
      </c>
      <c r="L97" s="6">
        <f t="shared" si="41"/>
        <v>2.5200278971835077E-2</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8549959</v>
      </c>
      <c r="D101" s="26"/>
      <c r="E101" s="269"/>
      <c r="F101" s="26"/>
      <c r="G101" s="333">
        <f t="shared" ref="G101:Q101" si="42">IF(G$4="","",G105+G104)</f>
        <v>8549959</v>
      </c>
      <c r="H101" s="333">
        <f t="shared" si="42"/>
        <v>7615051</v>
      </c>
      <c r="I101" s="333">
        <f t="shared" si="42"/>
        <v>7377578</v>
      </c>
      <c r="J101" s="333">
        <f t="shared" si="42"/>
        <v>6959011</v>
      </c>
      <c r="K101" s="333">
        <f t="shared" si="42"/>
        <v>6527927</v>
      </c>
      <c r="L101" s="333">
        <f t="shared" si="42"/>
        <v>7038439</v>
      </c>
      <c r="M101" s="333">
        <f t="shared" si="42"/>
        <v>4678812</v>
      </c>
      <c r="N101" s="333" t="str">
        <f t="shared" si="42"/>
        <v/>
      </c>
      <c r="O101" s="333" t="str">
        <f t="shared" si="42"/>
        <v/>
      </c>
      <c r="P101" s="333" t="str">
        <f t="shared" si="42"/>
        <v/>
      </c>
      <c r="Q101" s="333" t="str">
        <f t="shared" si="42"/>
        <v/>
      </c>
    </row>
    <row r="102" spans="1:17" ht="15.75" customHeight="1">
      <c r="A102" s="10"/>
      <c r="B102" s="93" t="s">
        <v>210</v>
      </c>
      <c r="C102" s="345">
        <f>BS!C4</f>
        <v>423874</v>
      </c>
      <c r="D102" s="89"/>
      <c r="E102" s="270"/>
      <c r="F102" s="89"/>
      <c r="G102" s="346">
        <f>IF(G$4="","",Data!D77)</f>
        <v>405151</v>
      </c>
      <c r="H102" s="346">
        <f>IF(H$4="","",Data!E77)</f>
        <v>331915</v>
      </c>
      <c r="I102" s="346">
        <f>IF(I$4="","",Data!F77)</f>
        <v>329547</v>
      </c>
      <c r="J102" s="346">
        <f>IF(J$4="","",Data!G77)</f>
        <v>290380</v>
      </c>
      <c r="K102" s="346">
        <f>IF(K$4="","",Data!H77)</f>
        <v>317554</v>
      </c>
      <c r="L102" s="346">
        <f>IF(L$4="","",Data!I77)</f>
        <v>0</v>
      </c>
      <c r="M102" s="346">
        <f>IF(M$4="","",Data!J77)</f>
        <v>0</v>
      </c>
      <c r="N102" s="346" t="str">
        <f>IF(N$4="","",Data!K77)</f>
        <v/>
      </c>
      <c r="O102" s="346" t="str">
        <f>IF(O$4="","",Data!L77)</f>
        <v/>
      </c>
      <c r="P102" s="346" t="str">
        <f>IF(P$4="","",Data!M77)</f>
        <v/>
      </c>
      <c r="Q102" s="346" t="str">
        <f>IF(Q$4="","",Data!N77)</f>
        <v/>
      </c>
    </row>
    <row r="103" spans="1:17" ht="15.75" customHeight="1">
      <c r="A103" s="10"/>
      <c r="B103" s="93" t="s">
        <v>211</v>
      </c>
      <c r="C103" s="345">
        <f>BS!C6+BS!C7</f>
        <v>866160</v>
      </c>
      <c r="D103" s="89"/>
      <c r="E103" s="270"/>
      <c r="F103" s="89"/>
      <c r="G103" s="346">
        <f>IF(G$4="","",Data!D78)</f>
        <v>782978</v>
      </c>
      <c r="H103" s="346">
        <f>IF(H$4="","",Data!E78)</f>
        <v>760457</v>
      </c>
      <c r="I103" s="346">
        <f>IF(I$4="","",Data!F78)</f>
        <v>662654</v>
      </c>
      <c r="J103" s="346">
        <f>IF(J$4="","",Data!G78)</f>
        <v>666222</v>
      </c>
      <c r="K103" s="346">
        <f>IF(K$4="","",Data!H78)</f>
        <v>712611</v>
      </c>
      <c r="L103" s="346">
        <f>IF(L$4="","",Data!I78)</f>
        <v>0</v>
      </c>
      <c r="M103" s="346">
        <f>IF(M$4="","",Data!J78)</f>
        <v>0</v>
      </c>
      <c r="N103" s="346" t="str">
        <f>IF(N$4="","",Data!K78)</f>
        <v/>
      </c>
      <c r="O103" s="346" t="str">
        <f>IF(O$4="","",Data!L78)</f>
        <v/>
      </c>
      <c r="P103" s="346" t="str">
        <f>IF(P$4="","",Data!M78)</f>
        <v/>
      </c>
      <c r="Q103" s="346" t="str">
        <f>IF(Q$4="","",Data!N78)</f>
        <v/>
      </c>
    </row>
    <row r="104" spans="1:17" ht="15.75" customHeight="1">
      <c r="A104" s="10"/>
      <c r="B104" s="26" t="s">
        <v>40</v>
      </c>
      <c r="C104" s="344">
        <f>BS!G30</f>
        <v>4130529</v>
      </c>
      <c r="D104" s="26"/>
      <c r="E104" s="269"/>
      <c r="F104" s="26"/>
      <c r="G104" s="333">
        <f>Data!C79</f>
        <v>4130529</v>
      </c>
      <c r="H104" s="333">
        <f>Data!D79</f>
        <v>3738242</v>
      </c>
      <c r="I104" s="333">
        <f>Data!E79</f>
        <v>3876556</v>
      </c>
      <c r="J104" s="333">
        <f>Data!F79</f>
        <v>3830368</v>
      </c>
      <c r="K104" s="333">
        <f>Data!G79</f>
        <v>3676207</v>
      </c>
      <c r="L104" s="333">
        <f>Data!H79</f>
        <v>4049864</v>
      </c>
      <c r="M104" s="333">
        <f>Data!I79</f>
        <v>1781743</v>
      </c>
      <c r="N104" s="333" t="str">
        <f>Data!J79</f>
        <v/>
      </c>
      <c r="O104" s="333" t="str">
        <f>Data!K79</f>
        <v/>
      </c>
      <c r="P104" s="333" t="str">
        <f>Data!L79</f>
        <v/>
      </c>
      <c r="Q104" s="333" t="str">
        <f>Data!M79</f>
        <v/>
      </c>
    </row>
    <row r="105" spans="1:17" ht="15.75" customHeight="1">
      <c r="A105" s="10"/>
      <c r="B105" s="26" t="s">
        <v>30</v>
      </c>
      <c r="C105" s="344">
        <f>BS!G27</f>
        <v>4419430</v>
      </c>
      <c r="D105" s="26"/>
      <c r="E105" s="269"/>
      <c r="F105" s="26"/>
      <c r="G105" s="333">
        <f>Data!C80</f>
        <v>4419430</v>
      </c>
      <c r="H105" s="333">
        <f>Data!D80</f>
        <v>3876809</v>
      </c>
      <c r="I105" s="333">
        <f>Data!E80</f>
        <v>3501022</v>
      </c>
      <c r="J105" s="333">
        <f>Data!F80</f>
        <v>3128643</v>
      </c>
      <c r="K105" s="333">
        <f>Data!G80</f>
        <v>2851720</v>
      </c>
      <c r="L105" s="333">
        <f>Data!H80</f>
        <v>2988575</v>
      </c>
      <c r="M105" s="333">
        <f>Data!I80</f>
        <v>2897069</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9.5924801567297838E-2</v>
      </c>
      <c r="D108" s="26"/>
      <c r="E108" s="269"/>
      <c r="F108" s="26"/>
      <c r="G108" s="94">
        <f t="shared" ref="G108:Q108" si="43">IF(G$4="","",G102/G$4)</f>
        <v>7.4592055279913291E-2</v>
      </c>
      <c r="H108" s="94">
        <f t="shared" si="43"/>
        <v>7.0225589776259409E-2</v>
      </c>
      <c r="I108" s="94">
        <f t="shared" si="43"/>
        <v>7.8450981913854773E-2</v>
      </c>
      <c r="J108" s="94">
        <f t="shared" si="43"/>
        <v>8.7552990695346472E-2</v>
      </c>
      <c r="K108" s="94">
        <f t="shared" si="43"/>
        <v>0.13107231113215248</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218</v>
      </c>
      <c r="C109" s="94">
        <f>C103/C$4</f>
        <v>0.19601633062072857</v>
      </c>
      <c r="D109" s="26"/>
      <c r="E109" s="269"/>
      <c r="F109" s="26"/>
      <c r="G109" s="94">
        <f t="shared" ref="G109:Q109" si="44">IF(G$4="","",G103/G$4)</f>
        <v>0.14415350883733707</v>
      </c>
      <c r="H109" s="94">
        <f t="shared" si="44"/>
        <v>0.16089523319068105</v>
      </c>
      <c r="I109" s="94">
        <f t="shared" si="44"/>
        <v>0.15774944687447776</v>
      </c>
      <c r="J109" s="94">
        <f t="shared" si="44"/>
        <v>0.20087378113862908</v>
      </c>
      <c r="K109" s="94">
        <f t="shared" si="44"/>
        <v>0.29413444865501404</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1.9582843253497748</v>
      </c>
      <c r="H113" s="295">
        <f>IF(H$4="","",Data!D$22/Data!D15)</f>
        <v>1.7156143821132417</v>
      </c>
      <c r="I113" s="295">
        <f>IF(I$4="","",Data!E$22/Data!E15)</f>
        <v>2.3951508563268002</v>
      </c>
      <c r="J113" s="295">
        <f>IF(J$4="","",Data!F$22/Data!F15)</f>
        <v>3.8750131310084952</v>
      </c>
      <c r="K113" s="295">
        <f>IF(K$4="","",Data!G$22/Data!G15)</f>
        <v>-10.896464832254267</v>
      </c>
      <c r="L113" s="295">
        <f>IF(L$4="","",Data!H$22/Data!H15)</f>
        <v>3.1424896400800857</v>
      </c>
      <c r="M113" s="295">
        <f>IF(M$4="","",Data!I$22/Data!I15)</f>
        <v>1.7537923547665024</v>
      </c>
      <c r="N113" s="295" t="str">
        <f>IF(N$4="","",Data!J$22/Data!J15)</f>
        <v/>
      </c>
      <c r="O113" s="295" t="str">
        <f>IF(O$4="","",Data!K$22/Data!K15)</f>
        <v/>
      </c>
      <c r="P113" s="295" t="str">
        <f>IF(P$4="","",Data!L$22/Data!L15)</f>
        <v/>
      </c>
      <c r="Q113" s="295" t="str">
        <f>IF(Q$4="","",Data!M$22/Data!M15)</f>
        <v/>
      </c>
    </row>
    <row r="114" spans="1:17" ht="15.75" customHeight="1">
      <c r="A114" s="10"/>
      <c r="B114" s="2" t="s">
        <v>395</v>
      </c>
      <c r="C114" s="169"/>
      <c r="E114" s="268"/>
      <c r="G114" s="295">
        <f>IF(G$4="","",Data!C$22/G19)</f>
        <v>1.6567861728593212</v>
      </c>
      <c r="H114" s="295">
        <f>IF(H$4="","",Data!D$22/H19)</f>
        <v>1.4071375066228997</v>
      </c>
      <c r="I114" s="295">
        <f>IF(I$4="","",Data!E$22/I19)</f>
        <v>1.6725464688441434</v>
      </c>
      <c r="J114" s="295">
        <f>IF(J$4="","",Data!F$22/J19)</f>
        <v>3.173240538785568</v>
      </c>
      <c r="K114" s="295">
        <f>IF(K$4="","",Data!G$22/K19)</f>
        <v>0.34030992255382803</v>
      </c>
      <c r="L114" s="295">
        <f>IF(L$4="","",Data!H$22/L19)</f>
        <v>0.34601433795884884</v>
      </c>
      <c r="M114" s="295">
        <f>IF(M$4="","",Data!I$22/M19)</f>
        <v>0.16860224825779185</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0.21042753223383909</v>
      </c>
      <c r="E117" s="268"/>
      <c r="G117" s="23">
        <f t="shared" ref="G117:Q117" si="45">IF(G4="","",IF(valuation_method="DDM",G13/(G4+G12),G81))</f>
        <v>0.24793921890168877</v>
      </c>
      <c r="H117" s="23">
        <f t="shared" si="45"/>
        <v>0.23727348298740841</v>
      </c>
      <c r="I117" s="23">
        <f t="shared" si="45"/>
        <v>0.21844827758593025</v>
      </c>
      <c r="J117" s="23">
        <f t="shared" si="45"/>
        <v>0.14706749642708541</v>
      </c>
      <c r="K117" s="23">
        <f t="shared" si="45"/>
        <v>0.71958968753959873</v>
      </c>
      <c r="L117" s="23">
        <f t="shared" si="45"/>
        <v>0.71912708170960138</v>
      </c>
      <c r="M117" s="23">
        <f t="shared" si="45"/>
        <v>0.7200787486776562</v>
      </c>
      <c r="N117" s="23" t="str">
        <f t="shared" si="45"/>
        <v/>
      </c>
      <c r="O117" s="23" t="str">
        <f t="shared" si="45"/>
        <v/>
      </c>
      <c r="P117" s="23" t="str">
        <f t="shared" si="45"/>
        <v/>
      </c>
      <c r="Q117" s="23" t="str">
        <f t="shared" si="45"/>
        <v/>
      </c>
    </row>
    <row r="118" spans="1:17" ht="15.75" customHeight="1">
      <c r="B118" s="7" t="s">
        <v>83</v>
      </c>
      <c r="C118" s="42">
        <f>IF(valuation_method="DDM",(C4+C12)/C101,C4/C101)</f>
        <v>0.51682300464832642</v>
      </c>
      <c r="E118" s="268"/>
      <c r="G118" s="42">
        <f t="shared" ref="G118:Q118" si="46">IF(G4="","",IF(valuation_method="DDM",(G4+G12)/G101,G4/G101))</f>
        <v>0.63527287089914697</v>
      </c>
      <c r="H118" s="42">
        <f t="shared" si="46"/>
        <v>0.6206670185137303</v>
      </c>
      <c r="I118" s="42">
        <f t="shared" si="46"/>
        <v>0.56938388181053456</v>
      </c>
      <c r="J118" s="42">
        <f t="shared" si="46"/>
        <v>0.47659358492176546</v>
      </c>
      <c r="K118" s="42">
        <f t="shared" si="46"/>
        <v>0.37113451176767143</v>
      </c>
      <c r="L118" s="42">
        <f t="shared" si="46"/>
        <v>0.45828258226007218</v>
      </c>
      <c r="M118" s="42">
        <f t="shared" si="46"/>
        <v>0.67156962066439085</v>
      </c>
      <c r="N118" s="42" t="str">
        <f t="shared" si="46"/>
        <v/>
      </c>
      <c r="O118" s="42" t="str">
        <f t="shared" si="46"/>
        <v/>
      </c>
      <c r="P118" s="42" t="str">
        <f t="shared" si="46"/>
        <v/>
      </c>
      <c r="Q118" s="42" t="str">
        <f t="shared" si="46"/>
        <v/>
      </c>
    </row>
    <row r="119" spans="1:17" ht="15.75" customHeight="1">
      <c r="B119" s="7" t="s">
        <v>91</v>
      </c>
      <c r="C119" s="15">
        <f>C101/C105</f>
        <v>1.9346293526540752</v>
      </c>
      <c r="D119" s="11"/>
      <c r="E119" s="272"/>
      <c r="F119" s="11"/>
      <c r="G119" s="15">
        <f t="shared" ref="G119:Q119" si="47">IF(G$4="","",G101/G105)</f>
        <v>1.9346293526540752</v>
      </c>
      <c r="H119" s="15">
        <f t="shared" si="47"/>
        <v>1.9642574601947116</v>
      </c>
      <c r="I119" s="15">
        <f t="shared" si="47"/>
        <v>2.1072641074520524</v>
      </c>
      <c r="J119" s="15">
        <f t="shared" si="47"/>
        <v>2.2242905310704995</v>
      </c>
      <c r="K119" s="15">
        <f t="shared" si="47"/>
        <v>2.2891191982382564</v>
      </c>
      <c r="L119" s="15">
        <f t="shared" si="47"/>
        <v>2.3551153978066468</v>
      </c>
      <c r="M119" s="15">
        <f t="shared" si="47"/>
        <v>1.615015727965057</v>
      </c>
      <c r="N119" s="15" t="str">
        <f t="shared" si="47"/>
        <v/>
      </c>
      <c r="O119" s="15" t="str">
        <f t="shared" si="47"/>
        <v/>
      </c>
      <c r="P119" s="15" t="str">
        <f t="shared" si="47"/>
        <v/>
      </c>
      <c r="Q119" s="15" t="str">
        <f t="shared" si="47"/>
        <v/>
      </c>
    </row>
    <row r="120" spans="1:17" ht="15.75" customHeight="1">
      <c r="A120" s="10"/>
      <c r="B120" s="70" t="s">
        <v>222</v>
      </c>
      <c r="C120" s="102">
        <f>C13/C105</f>
        <v>0.21039827332068567</v>
      </c>
      <c r="D120" s="103"/>
      <c r="E120" s="271"/>
      <c r="F120" s="103"/>
      <c r="G120" s="102">
        <f>IF(G$4="","",G13/G105)</f>
        <v>0.3047216496244991</v>
      </c>
      <c r="H120" s="102">
        <f t="shared" ref="H120:Q120" si="48">IF(H$4="","",H13/H105)</f>
        <v>0.28927192440999799</v>
      </c>
      <c r="I120" s="102">
        <f t="shared" si="48"/>
        <v>0.26210346578798993</v>
      </c>
      <c r="J120" s="102">
        <f t="shared" si="48"/>
        <v>0.15590369371002061</v>
      </c>
      <c r="K120" s="102">
        <f t="shared" si="48"/>
        <v>0.61134262830852959</v>
      </c>
      <c r="L120" s="102">
        <f t="shared" si="48"/>
        <v>0.77615987552596133</v>
      </c>
      <c r="M120" s="102">
        <f t="shared" si="48"/>
        <v>0.78099417031489415</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2.4321152122602645</v>
      </c>
      <c r="D124" s="27"/>
      <c r="E124" s="265"/>
      <c r="F124" s="27"/>
      <c r="G124" s="177">
        <f t="shared" ref="G124:Q124" si="49">IF(G$4="","",G16*$C$3/Common_Shares*Exchange_Rate)</f>
        <v>3.4975230830031299</v>
      </c>
      <c r="H124" s="177">
        <f t="shared" si="49"/>
        <v>2.8805060930019804</v>
      </c>
      <c r="I124" s="177">
        <f t="shared" si="49"/>
        <v>2.3571582219218832</v>
      </c>
      <c r="J124" s="177">
        <f t="shared" si="49"/>
        <v>1.2643331226722432</v>
      </c>
      <c r="K124" s="177">
        <f t="shared" si="49"/>
        <v>6.1076209056252253</v>
      </c>
      <c r="L124" s="177">
        <f t="shared" si="49"/>
        <v>8.2120640688953994</v>
      </c>
      <c r="M124" s="177">
        <f t="shared" si="49"/>
        <v>7.5975872108179461</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4.8496813803793899E-2</v>
      </c>
      <c r="D125" s="27"/>
      <c r="E125" s="265"/>
      <c r="F125" s="27"/>
      <c r="G125" s="77">
        <f t="shared" ref="G125" si="50">IF(G$4="","",G124/Market_Price)</f>
        <v>6.974123794622393E-2</v>
      </c>
      <c r="H125" s="77">
        <f t="shared" ref="H125" si="51">IF(H$4="","",H124/Market_Price)</f>
        <v>5.74378084347354E-2</v>
      </c>
      <c r="I125" s="77">
        <f t="shared" ref="I125" si="52">IF(I$4="","",I124/Market_Price)</f>
        <v>4.7002157964544031E-2</v>
      </c>
      <c r="J125" s="77">
        <f t="shared" ref="J125" si="53">IF(J$4="","",J124/Market_Price)</f>
        <v>2.5211029365348817E-2</v>
      </c>
      <c r="K125" s="77">
        <f t="shared" ref="K125" si="54">IF(K$4="","",K124/Market_Price)</f>
        <v>0.12178705694167948</v>
      </c>
      <c r="L125" s="77">
        <f t="shared" ref="L125" si="55">IF(L$4="","",L124/Market_Price)</f>
        <v>0.16375003128405582</v>
      </c>
      <c r="M125" s="77">
        <f t="shared" ref="M125" si="56">IF(M$4="","",M124/Market_Price)</f>
        <v>0.15149725245898199</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69"/>
      <c r="G126" s="23">
        <f>IF(G$4="","",(Data!C47*$C$3)/(Market_Price*Common_Shares))</f>
        <v>6.5723736208219957E-3</v>
      </c>
      <c r="H126" s="23">
        <f>IF(H$4="","",(Data!D47*$C$3)/(Market_Price*Common_Shares))</f>
        <v>5.2475501746176963E-3</v>
      </c>
      <c r="I126" s="23">
        <f>IF(I$4="","",(Data!E47*$C$3)/(Market_Price*Common_Shares))</f>
        <v>3.6559899763774521E-3</v>
      </c>
      <c r="J126" s="23">
        <f>IF(J$4="","",(Data!F47*$C$3)/(Market_Price*Common_Shares))</f>
        <v>2.2996528013106868E-3</v>
      </c>
      <c r="K126" s="23">
        <f>IF(K$4="","",(Data!G47*$C$3)/(Market_Price*Common_Shares))</f>
        <v>-4.2367418664554214E-4</v>
      </c>
      <c r="L126" s="23">
        <f>IF(L$4="","",(Data!H47*$C$3)/(Market_Price*Common_Shares))</f>
        <v>2.0083690052794972E-3</v>
      </c>
      <c r="M126" s="23">
        <f>IF(M$4="","",(Data!I47*$C$3)/(Market_Price*Common_Shares))</f>
        <v>1.6223024485771456E-3</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693212.58366541076</v>
      </c>
      <c r="D4" t="str">
        <f>Reporting_currency</f>
        <v>EUR</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9242834.4488721434</v>
      </c>
      <c r="D6" t="str">
        <f>Reporting_currency</f>
        <v>EUR</v>
      </c>
      <c r="E6" s="364" t="s">
        <v>249</v>
      </c>
      <c r="F6" s="364"/>
      <c r="H6" s="120"/>
    </row>
    <row r="7" spans="2:8">
      <c r="B7" s="148" t="s">
        <v>224</v>
      </c>
      <c r="C7" s="338">
        <f>BS!G31</f>
        <v>866500</v>
      </c>
      <c r="D7" t="str">
        <f>Reporting_currency</f>
        <v>EUR</v>
      </c>
      <c r="E7" s="364"/>
      <c r="F7" s="364"/>
      <c r="H7" s="120"/>
    </row>
    <row r="8" spans="2:8">
      <c r="B8" s="148" t="s">
        <v>225</v>
      </c>
      <c r="C8" s="338">
        <f>BS!D66</f>
        <v>414442.7738145804</v>
      </c>
      <c r="D8" t="str">
        <f>Reporting_currency</f>
        <v>EUR</v>
      </c>
      <c r="E8" s="364"/>
      <c r="F8" s="364"/>
      <c r="H8" s="120"/>
    </row>
    <row r="9" spans="2:8">
      <c r="B9" s="205" t="s">
        <v>190</v>
      </c>
      <c r="C9" s="348">
        <f>BS!H42</f>
        <v>3762.4</v>
      </c>
      <c r="D9" t="str">
        <f>Reporting_currency</f>
        <v>EUR</v>
      </c>
      <c r="E9" s="364"/>
      <c r="F9" s="364"/>
      <c r="H9" s="120"/>
    </row>
    <row r="10" spans="2:8" ht="13.15">
      <c r="B10" s="149" t="s">
        <v>227</v>
      </c>
      <c r="C10" s="347">
        <f>C6-C7+C8+C9</f>
        <v>8794539.6226867232</v>
      </c>
      <c r="D10" t="str">
        <f>Reporting_currency</f>
        <v>EUR</v>
      </c>
      <c r="H10" s="120"/>
    </row>
    <row r="11" spans="2:8" ht="13.15" thickBot="1">
      <c r="B11" s="207" t="s">
        <v>166</v>
      </c>
      <c r="C11" s="208">
        <f>Exchange_Rate</f>
        <v>8.97755598</v>
      </c>
      <c r="D11" t="str">
        <f>Thesis!C15</f>
        <v>EUR/HKD</v>
      </c>
      <c r="H11" s="120"/>
    </row>
    <row r="12" spans="2:8" ht="13.5" thickTop="1">
      <c r="B12" s="149" t="s">
        <v>102</v>
      </c>
      <c r="C12" s="111">
        <f>(C10*scaling_factor)/Common_Shares*Exchange_Rate</f>
        <v>30.855374101930472</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2.3752619295331442E-2</v>
      </c>
      <c r="H16" s="120"/>
    </row>
    <row r="17" spans="2:17" ht="13.35" customHeight="1">
      <c r="B17" s="118" t="s">
        <v>134</v>
      </c>
      <c r="C17" s="162">
        <f>Scenarios!C64</f>
        <v>5</v>
      </c>
      <c r="H17" s="120"/>
    </row>
    <row r="18" spans="2:17" ht="13.35" customHeight="1">
      <c r="B18" s="153" t="s">
        <v>106</v>
      </c>
      <c r="C18" s="140">
        <f>(F52-C7+C8+C9)*Exchange_Rate/Common_Shares*scaling_factor</f>
        <v>32.079930956152829</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709678.19825594837</v>
      </c>
      <c r="D21" s="138">
        <f>IF($C$17&lt;B21,0,DCF!$C$16)</f>
        <v>2.3752619295331442E-2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2.3752619295331442E-2</v>
      </c>
      <c r="E22" s="124">
        <f t="shared" si="0"/>
        <v>0.86533261222282321</v>
      </c>
      <c r="F22" s="125">
        <f t="shared" si="1"/>
        <v>628694.35528075171</v>
      </c>
      <c r="H22" s="120"/>
    </row>
    <row r="23" spans="2:17">
      <c r="B23" s="122">
        <v>3</v>
      </c>
      <c r="C23" s="123">
        <f t="shared" si="2"/>
        <v>743792.02154595929</v>
      </c>
      <c r="D23" s="138">
        <f>IF($C$17&lt;B23,0,DCF!$C$16)</f>
        <v>2.3752619295331442E-2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2.3752619295331442E-2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2.3752619295331442E-2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129</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30.855374101930472</v>
      </c>
      <c r="C65" s="124">
        <f>C12</f>
        <v>30.855374101930472</v>
      </c>
      <c r="D65" s="124">
        <f>C12</f>
        <v>30.855374101930472</v>
      </c>
      <c r="E65" s="141">
        <f>C12</f>
        <v>30.855374101930472</v>
      </c>
      <c r="F65" s="124">
        <f>C12</f>
        <v>30.855374101930472</v>
      </c>
      <c r="H65" s="120"/>
    </row>
    <row r="66" spans="1:8" ht="13.15">
      <c r="A66" s="143">
        <f t="shared" ref="A66:A71" si="3">A56</f>
        <v>5</v>
      </c>
      <c r="B66" s="124">
        <f t="shared" ref="B66:F71" si="4">(B56-$C$7+$C$8+$C$9)/Common_Shares*$C$3*Exchange_Rate</f>
        <v>30.855374101930472</v>
      </c>
      <c r="C66" s="124">
        <f t="shared" si="4"/>
        <v>31.365867546764274</v>
      </c>
      <c r="D66" s="124">
        <f t="shared" si="4"/>
        <v>32.408998499180548</v>
      </c>
      <c r="E66" s="124">
        <f t="shared" si="4"/>
        <v>33.482739653510706</v>
      </c>
      <c r="F66" s="124">
        <f t="shared" si="4"/>
        <v>35.153681943664836</v>
      </c>
      <c r="H66" s="120"/>
    </row>
    <row r="67" spans="1:8" ht="13.15">
      <c r="A67" s="143">
        <f t="shared" si="3"/>
        <v>10</v>
      </c>
      <c r="B67" s="124">
        <f t="shared" si="4"/>
        <v>30.855374101930487</v>
      </c>
      <c r="C67" s="124">
        <f t="shared" si="4"/>
        <v>31.85531934235112</v>
      </c>
      <c r="D67" s="124">
        <f t="shared" si="4"/>
        <v>34.002421917904989</v>
      </c>
      <c r="E67" s="124">
        <f t="shared" si="4"/>
        <v>36.365405993237999</v>
      </c>
      <c r="F67" s="124">
        <f t="shared" si="4"/>
        <v>40.371939604409576</v>
      </c>
      <c r="H67" s="120"/>
    </row>
    <row r="68" spans="1:8" ht="13.15">
      <c r="A68" s="143">
        <f t="shared" si="3"/>
        <v>15</v>
      </c>
      <c r="B68" s="124">
        <f t="shared" si="4"/>
        <v>30.855374101930487</v>
      </c>
      <c r="C68" s="124">
        <f t="shared" si="4"/>
        <v>32.459616703183478</v>
      </c>
      <c r="D68" s="124">
        <f t="shared" si="4"/>
        <v>36.072355962332246</v>
      </c>
      <c r="E68" s="124">
        <f t="shared" si="4"/>
        <v>40.313124814524045</v>
      </c>
      <c r="F68" s="124">
        <f t="shared" si="4"/>
        <v>48.132674820956154</v>
      </c>
      <c r="H68" s="120"/>
    </row>
    <row r="69" spans="1:8" ht="13.15">
      <c r="A69" s="144">
        <f t="shared" si="3"/>
        <v>20</v>
      </c>
      <c r="B69" s="124">
        <f t="shared" si="4"/>
        <v>30.855374101930487</v>
      </c>
      <c r="C69" s="124">
        <f t="shared" si="4"/>
        <v>33.073352518535465</v>
      </c>
      <c r="D69" s="124">
        <f t="shared" si="4"/>
        <v>38.289405783342573</v>
      </c>
      <c r="E69" s="124">
        <f t="shared" si="4"/>
        <v>44.787409948084012</v>
      </c>
      <c r="F69" s="124">
        <f t="shared" si="4"/>
        <v>57.761242919835908</v>
      </c>
      <c r="H69" s="120"/>
    </row>
    <row r="70" spans="1:8" ht="13.15">
      <c r="A70" s="144">
        <f t="shared" si="3"/>
        <v>25</v>
      </c>
      <c r="B70" s="124">
        <f t="shared" si="4"/>
        <v>30.855374101930487</v>
      </c>
      <c r="C70" s="124">
        <f t="shared" si="4"/>
        <v>33.6420077983068</v>
      </c>
      <c r="D70" s="124">
        <f t="shared" si="4"/>
        <v>40.459702467544105</v>
      </c>
      <c r="E70" s="124">
        <f t="shared" si="4"/>
        <v>49.437072016595536</v>
      </c>
      <c r="F70" s="124">
        <f t="shared" si="4"/>
        <v>68.789987662690478</v>
      </c>
    </row>
    <row r="71" spans="1:8" ht="13.15">
      <c r="A71" s="144">
        <f t="shared" si="3"/>
        <v>30</v>
      </c>
      <c r="B71" s="124">
        <f t="shared" si="4"/>
        <v>30.855374101930487</v>
      </c>
      <c r="C71" s="124">
        <f t="shared" si="4"/>
        <v>34.141445746654746</v>
      </c>
      <c r="D71" s="124">
        <f t="shared" si="4"/>
        <v>42.476930967968869</v>
      </c>
      <c r="E71" s="124">
        <f t="shared" si="4"/>
        <v>54.038732300871835</v>
      </c>
      <c r="F71" s="124">
        <f t="shared" si="4"/>
        <v>80.895485754726991</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40.371939604409576</v>
      </c>
      <c r="F74" s="142">
        <f>Scenarios!C58</f>
        <v>0.05</v>
      </c>
    </row>
    <row r="75" spans="1:8">
      <c r="B75" s="127" t="str">
        <f>Scenarios!B36</f>
        <v>Optimistic</v>
      </c>
      <c r="C75" s="142">
        <f>Scenarios!C38</f>
        <v>0.05</v>
      </c>
      <c r="D75" s="145">
        <f>Scenarios!C37</f>
        <v>5</v>
      </c>
      <c r="E75" s="135">
        <f>INDEX(B$65:F$71, MATCH(D75, A$65:A$71, 0), MATCH(C75, B$64:F$64, 0))</f>
        <v>33.482739653510706</v>
      </c>
      <c r="F75" s="142">
        <f>Scenarios!C40*(1-F$74-F$78)</f>
        <v>0.18</v>
      </c>
      <c r="H75" s="120"/>
    </row>
    <row r="76" spans="1:8">
      <c r="B76" s="127" t="str">
        <f>Scenarios!B24</f>
        <v>Base</v>
      </c>
      <c r="C76" s="142">
        <f>Scenarios!C26</f>
        <v>0.03</v>
      </c>
      <c r="D76" s="145">
        <f>Scenarios!C25</f>
        <v>5</v>
      </c>
      <c r="E76" s="135">
        <f>INDEX(B$65:F$71, MATCH(D76, A$65:A$71, 0), MATCH(C76, B$64:F$64, 0))</f>
        <v>32.408998499180548</v>
      </c>
      <c r="F76" s="142">
        <f>Scenarios!C28*(1-F$74-F$78)</f>
        <v>0.53999999999999992</v>
      </c>
      <c r="H76" s="120"/>
    </row>
    <row r="77" spans="1:8">
      <c r="B77" s="127" t="str">
        <f>Scenarios!B30</f>
        <v>Pessimistic</v>
      </c>
      <c r="C77" s="142">
        <f>Scenarios!C32</f>
        <v>0.01</v>
      </c>
      <c r="D77" s="145">
        <f>Scenarios!C31</f>
        <v>5</v>
      </c>
      <c r="E77" s="135">
        <f>INDEX(B$65:F$71, MATCH(D77, A$65:A$71, 0), MATCH(C77, B$64:F$64, 0))</f>
        <v>31.365867546764274</v>
      </c>
      <c r="F77" s="142">
        <f>Scenarios!C34*(1-F$74-F$78)</f>
        <v>0.18</v>
      </c>
      <c r="H77" s="120"/>
    </row>
    <row r="78" spans="1:8">
      <c r="B78" s="127" t="str">
        <f>Scenarios!B48</f>
        <v>Devil's advocate</v>
      </c>
      <c r="C78" s="142">
        <f>Scenarios!C50</f>
        <v>0</v>
      </c>
      <c r="D78" s="145">
        <f>Scenarios!C49</f>
        <v>10</v>
      </c>
      <c r="E78" s="135">
        <f>INDEX(B$65:F$71, MATCH(D78, A$65:A$71, 0), MATCH(C78, B$64:F$64, 0))</f>
        <v>30.855374101930487</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3767405.655286673</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50232075.40382231</v>
      </c>
      <c r="D6" t="str">
        <f>Reporting_currency</f>
        <v>EUR</v>
      </c>
      <c r="E6" s="364"/>
      <c r="F6" s="364"/>
      <c r="H6" s="120"/>
    </row>
    <row r="7" spans="2:8" ht="13.15">
      <c r="B7" s="149" t="s">
        <v>446</v>
      </c>
      <c r="C7" s="111">
        <f>(C6*scaling_factor)/Common_Shares*Exchange_Rate</f>
        <v>176.2377048712205</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2.3752619295331442E-2</v>
      </c>
      <c r="H11" s="120"/>
    </row>
    <row r="12" spans="2:8" ht="13.35" customHeight="1">
      <c r="B12" s="118" t="s">
        <v>134</v>
      </c>
      <c r="C12" s="162">
        <f>Scenarios!C64</f>
        <v>5</v>
      </c>
      <c r="H12" s="120"/>
    </row>
    <row r="13" spans="2:8" ht="13.35" customHeight="1">
      <c r="B13" s="153" t="s">
        <v>106</v>
      </c>
      <c r="C13" s="140">
        <f>F47/Common_Shares*scaling_factor</f>
        <v>20.372227153415224</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3856891.4075477761</v>
      </c>
      <c r="D16" s="138">
        <f>IF($C$12&lt;B16,0,DDM!$C$11)</f>
        <v>2.3752619295331442E-2</v>
      </c>
      <c r="E16" s="124">
        <f t="shared" ref="E16:E45" si="0">IF($C$12&lt;B16,0,1/(1+Equity_Cost)^B16)</f>
        <v>0.93023255813953487</v>
      </c>
      <c r="F16" s="125">
        <f t="shared" ref="F16:F46" si="1">C16*E16</f>
        <v>3587805.9605095591</v>
      </c>
      <c r="H16" s="120"/>
    </row>
    <row r="17" spans="2:8">
      <c r="B17" s="122">
        <v>2</v>
      </c>
      <c r="C17" s="123">
        <f t="shared" ref="C17:C45" si="2">IF(ROW()-ROW($C$16)&lt;$C$12, $C$16*(1+D17)^(ROW()-ROW($C$16)), 0)</f>
        <v>3948502.6808146937</v>
      </c>
      <c r="D17" s="138">
        <f>IF($C$12&lt;B17,0,DDM!$C$11)</f>
        <v>2.3752619295331442E-2</v>
      </c>
      <c r="E17" s="124">
        <f t="shared" si="0"/>
        <v>0.86533261222282321</v>
      </c>
      <c r="F17" s="125">
        <f t="shared" si="1"/>
        <v>3416768.1391581991</v>
      </c>
      <c r="H17" s="120"/>
    </row>
    <row r="18" spans="2:8">
      <c r="B18" s="122">
        <v>3</v>
      </c>
      <c r="C18" s="123">
        <f t="shared" si="2"/>
        <v>4042289.9617786808</v>
      </c>
      <c r="D18" s="138">
        <f>IF($C$12&lt;B18,0,DDM!$C$11)</f>
        <v>2.3752619295331442E-2</v>
      </c>
      <c r="E18" s="124">
        <f t="shared" si="0"/>
        <v>0.80496056950960304</v>
      </c>
      <c r="F18" s="125">
        <f t="shared" si="1"/>
        <v>3253884.0297563183</v>
      </c>
      <c r="H18" s="120"/>
    </row>
    <row r="19" spans="2:8">
      <c r="B19" s="122">
        <v>4</v>
      </c>
      <c r="C19" s="123">
        <f t="shared" si="2"/>
        <v>4138304.9363221498</v>
      </c>
      <c r="D19" s="138">
        <f>IF($C$12&lt;B19,0,DDM!$C$11)</f>
        <v>2.3752619295331442E-2</v>
      </c>
      <c r="E19" s="124">
        <f t="shared" si="0"/>
        <v>0.7488005297763749</v>
      </c>
      <c r="F19" s="125">
        <f t="shared" si="1"/>
        <v>3098764.9286942133</v>
      </c>
      <c r="H19" s="120"/>
    </row>
    <row r="20" spans="2:8">
      <c r="B20" s="122">
        <v>5</v>
      </c>
      <c r="C20" s="123">
        <f t="shared" si="2"/>
        <v>4236600.5180026004</v>
      </c>
      <c r="D20" s="138">
        <f>IF($C$12&lt;B20,0,DDM!$C$11)</f>
        <v>2.3752619295331442E-2</v>
      </c>
      <c r="E20" s="124">
        <f t="shared" si="0"/>
        <v>0.69655863235011617</v>
      </c>
      <c r="F20" s="125">
        <f t="shared" si="1"/>
        <v>2951040.6626336849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51425218.767303683</v>
      </c>
      <c r="D46" s="139">
        <f>Terminal_Growth</f>
        <v>0</v>
      </c>
      <c r="E46" s="124">
        <f>1/(1+Equity_Cost)^C12</f>
        <v>0.69655863235011617</v>
      </c>
      <c r="F46" s="125">
        <f t="shared" si="1"/>
        <v>35820680.052858584</v>
      </c>
      <c r="H46" s="120"/>
    </row>
    <row r="47" spans="2:8">
      <c r="C47" s="114"/>
      <c r="E47" s="127" t="s">
        <v>100</v>
      </c>
      <c r="F47" s="137">
        <f>SUM(F16:F46)</f>
        <v>52128943.773610562</v>
      </c>
      <c r="H47" s="120"/>
    </row>
    <row r="48" spans="2:8">
      <c r="C48" s="114"/>
      <c r="H48" s="120"/>
    </row>
    <row r="49" spans="1:8" ht="13.15">
      <c r="B49" s="119" t="s">
        <v>129</v>
      </c>
      <c r="C49" s="136"/>
      <c r="D49" s="136"/>
      <c r="E49" s="117"/>
      <c r="F49" s="117"/>
      <c r="H49" s="120"/>
    </row>
    <row r="50" spans="1:8" ht="13.15">
      <c r="A50" s="133">
        <f>F47</f>
        <v>52128943.773610562</v>
      </c>
      <c r="B50" s="131">
        <f>C73</f>
        <v>0</v>
      </c>
      <c r="C50" s="131">
        <f>C72</f>
        <v>0.01</v>
      </c>
      <c r="D50" s="131">
        <f>C71</f>
        <v>0.03</v>
      </c>
      <c r="E50" s="131">
        <f>C70</f>
        <v>0.05</v>
      </c>
      <c r="F50" s="131">
        <f>C69</f>
        <v>0.08</v>
      </c>
      <c r="H50" s="120"/>
    </row>
    <row r="51" spans="1:8" ht="13.15">
      <c r="A51" s="143">
        <v>5</v>
      </c>
      <c r="B51" s="123">
        <f t="dataTable" ref="B51:F56" dt2D="1" dtr="1" r1="C11" r2="C12"/>
        <v>50232075.40382231</v>
      </c>
      <c r="C51" s="123">
        <v>51022842.173981324</v>
      </c>
      <c r="D51" s="123">
        <v>52638677.40642716</v>
      </c>
      <c r="E51" s="123">
        <v>54301928.586612023</v>
      </c>
      <c r="F51" s="123">
        <v>56890258.860544249</v>
      </c>
      <c r="H51" s="120"/>
    </row>
    <row r="52" spans="1:8" ht="13.15">
      <c r="A52" s="143">
        <v>10</v>
      </c>
      <c r="B52" s="123">
        <v>50232075.403822318</v>
      </c>
      <c r="C52" s="123">
        <v>51781014.91735658</v>
      </c>
      <c r="D52" s="123">
        <v>55106929.061902717</v>
      </c>
      <c r="E52" s="123">
        <v>58767248.903613091</v>
      </c>
      <c r="F52" s="123">
        <v>64973466.976150982</v>
      </c>
      <c r="H52" s="120"/>
    </row>
    <row r="53" spans="1:8" ht="13.15">
      <c r="A53" s="143">
        <v>15</v>
      </c>
      <c r="B53" s="123">
        <v>50232075.403822318</v>
      </c>
      <c r="C53" s="123">
        <v>52717086.236345999</v>
      </c>
      <c r="D53" s="123">
        <v>58313307.273648046</v>
      </c>
      <c r="E53" s="123">
        <v>64882361.435215972</v>
      </c>
      <c r="F53" s="123">
        <v>76995034.703128889</v>
      </c>
      <c r="H53" s="120"/>
    </row>
    <row r="54" spans="1:8" ht="13.15">
      <c r="A54" s="144">
        <v>20</v>
      </c>
      <c r="B54" s="123">
        <v>50232075.403822325</v>
      </c>
      <c r="C54" s="123">
        <v>53667777.951094262</v>
      </c>
      <c r="D54" s="123">
        <v>61747571.403744191</v>
      </c>
      <c r="E54" s="123">
        <v>71813137.99981527</v>
      </c>
      <c r="F54" s="123">
        <v>91909921.023140371</v>
      </c>
      <c r="H54" s="120"/>
    </row>
    <row r="55" spans="1:8" ht="13.15">
      <c r="A55" s="144">
        <v>25</v>
      </c>
      <c r="B55" s="123">
        <v>50232075.403822333</v>
      </c>
      <c r="C55" s="123">
        <v>54548638.819082573</v>
      </c>
      <c r="D55" s="123">
        <v>65109413.787071124</v>
      </c>
      <c r="E55" s="123">
        <v>79015577.70488286</v>
      </c>
      <c r="F55" s="123">
        <v>108993715.0414055</v>
      </c>
      <c r="H55" s="120"/>
    </row>
    <row r="56" spans="1:8" ht="13.15">
      <c r="A56" s="144">
        <v>30</v>
      </c>
      <c r="B56" s="123">
        <v>50232075.403822333</v>
      </c>
      <c r="C56" s="123">
        <v>55322280.356122322</v>
      </c>
      <c r="D56" s="123">
        <v>68234149.82843776</v>
      </c>
      <c r="E56" s="123">
        <v>86143661.477928832</v>
      </c>
      <c r="F56" s="123">
        <v>127745426.20299007</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176.2377048712205</v>
      </c>
      <c r="C60" s="124">
        <f>C7</f>
        <v>176.2377048712205</v>
      </c>
      <c r="D60" s="124">
        <f>C7</f>
        <v>176.2377048712205</v>
      </c>
      <c r="E60" s="141">
        <f>C7</f>
        <v>176.2377048712205</v>
      </c>
      <c r="F60" s="124">
        <f>C7</f>
        <v>176.2377048712205</v>
      </c>
      <c r="H60" s="120"/>
    </row>
    <row r="61" spans="1:8" ht="13.15">
      <c r="A61" s="143">
        <f t="shared" ref="A61:A66" si="3">A51</f>
        <v>5</v>
      </c>
      <c r="B61" s="124">
        <f t="shared" ref="B61:F66" si="4">B51/Common_Shares*$C$3*Exchange_Rate</f>
        <v>176.23770487122047</v>
      </c>
      <c r="C61" s="124">
        <f t="shared" si="4"/>
        <v>179.01208597215839</v>
      </c>
      <c r="D61" s="124">
        <f t="shared" si="4"/>
        <v>184.68119461493291</v>
      </c>
      <c r="E61" s="124">
        <f t="shared" si="4"/>
        <v>190.51666066453643</v>
      </c>
      <c r="F61" s="124">
        <f t="shared" si="4"/>
        <v>199.5977385069184</v>
      </c>
      <c r="H61" s="120"/>
    </row>
    <row r="62" spans="1:8" ht="13.15">
      <c r="A62" s="143">
        <f t="shared" si="3"/>
        <v>10</v>
      </c>
      <c r="B62" s="124">
        <f t="shared" si="4"/>
        <v>176.2377048712205</v>
      </c>
      <c r="C62" s="124">
        <f t="shared" si="4"/>
        <v>181.67211192398688</v>
      </c>
      <c r="D62" s="124">
        <f t="shared" si="4"/>
        <v>193.34098028591279</v>
      </c>
      <c r="E62" s="124">
        <f t="shared" si="4"/>
        <v>206.18310083959668</v>
      </c>
      <c r="F62" s="124">
        <f t="shared" si="4"/>
        <v>227.95742770627319</v>
      </c>
      <c r="H62" s="120"/>
    </row>
    <row r="63" spans="1:8" ht="13.15">
      <c r="A63" s="143">
        <f t="shared" si="3"/>
        <v>15</v>
      </c>
      <c r="B63" s="124">
        <f t="shared" si="4"/>
        <v>176.2377048712205</v>
      </c>
      <c r="C63" s="124">
        <f t="shared" si="4"/>
        <v>184.95628960385071</v>
      </c>
      <c r="D63" s="124">
        <f t="shared" si="4"/>
        <v>204.59046047251258</v>
      </c>
      <c r="E63" s="124">
        <f t="shared" si="4"/>
        <v>227.6377866939049</v>
      </c>
      <c r="F63" s="124">
        <f t="shared" si="4"/>
        <v>270.13473151314133</v>
      </c>
      <c r="H63" s="120"/>
    </row>
    <row r="64" spans="1:8" ht="13.15">
      <c r="A64" s="144">
        <f t="shared" si="3"/>
        <v>20</v>
      </c>
      <c r="B64" s="124">
        <f t="shared" si="4"/>
        <v>176.23770487122053</v>
      </c>
      <c r="C64" s="124">
        <f t="shared" si="4"/>
        <v>188.29176249642745</v>
      </c>
      <c r="D64" s="124">
        <f t="shared" si="4"/>
        <v>216.63947145491861</v>
      </c>
      <c r="E64" s="124">
        <f t="shared" si="4"/>
        <v>251.95420493664545</v>
      </c>
      <c r="F64" s="124">
        <f t="shared" si="4"/>
        <v>322.46315538021435</v>
      </c>
      <c r="H64" s="120"/>
    </row>
    <row r="65" spans="1:8" ht="13.15">
      <c r="A65" s="144">
        <f t="shared" si="3"/>
        <v>25</v>
      </c>
      <c r="B65" s="124">
        <f t="shared" si="4"/>
        <v>176.23770487122056</v>
      </c>
      <c r="C65" s="124">
        <f t="shared" si="4"/>
        <v>191.3822359924383</v>
      </c>
      <c r="D65" s="124">
        <f t="shared" si="4"/>
        <v>228.43439294707832</v>
      </c>
      <c r="E65" s="124">
        <f t="shared" si="4"/>
        <v>277.22374502413055</v>
      </c>
      <c r="F65" s="124">
        <f t="shared" si="4"/>
        <v>382.40112577198971</v>
      </c>
    </row>
    <row r="66" spans="1:8" ht="13.15">
      <c r="A66" s="144">
        <f t="shared" si="3"/>
        <v>30</v>
      </c>
      <c r="B66" s="124">
        <f t="shared" si="4"/>
        <v>176.23770487122056</v>
      </c>
      <c r="C66" s="124">
        <f t="shared" si="4"/>
        <v>194.09653373516213</v>
      </c>
      <c r="D66" s="124">
        <f t="shared" si="4"/>
        <v>239.39743406834833</v>
      </c>
      <c r="E66" s="124">
        <f t="shared" si="4"/>
        <v>302.23240959138872</v>
      </c>
      <c r="F66" s="124">
        <f t="shared" si="4"/>
        <v>448.19093260275116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227.95742770627319</v>
      </c>
      <c r="F69" s="142">
        <f>Scenarios!C58</f>
        <v>0.05</v>
      </c>
    </row>
    <row r="70" spans="1:8">
      <c r="B70" s="127" t="str">
        <f>Scenarios!B36</f>
        <v>Optimistic</v>
      </c>
      <c r="C70" s="142">
        <f>Scenarios!C38</f>
        <v>0.05</v>
      </c>
      <c r="D70" s="145">
        <f>Scenarios!C37</f>
        <v>5</v>
      </c>
      <c r="E70" s="135">
        <f>INDEX(B$60:F$66, MATCH(D70, A$60:A$66, 0), MATCH(C70, B$59:F$59, 0))</f>
        <v>190.51666066453643</v>
      </c>
      <c r="F70" s="142">
        <f>Scenarios!C40*(1-F$69-F$73)</f>
        <v>0.18</v>
      </c>
      <c r="H70" s="120"/>
    </row>
    <row r="71" spans="1:8">
      <c r="B71" s="127" t="str">
        <f>Scenarios!B24</f>
        <v>Base</v>
      </c>
      <c r="C71" s="142">
        <f>Scenarios!C26</f>
        <v>0.03</v>
      </c>
      <c r="D71" s="145">
        <f>Scenarios!C25</f>
        <v>5</v>
      </c>
      <c r="E71" s="135">
        <f>INDEX(B$60:F$66, MATCH(D71, A$60:A$66, 0), MATCH(C71, B$59:F$59, 0))</f>
        <v>184.68119461493291</v>
      </c>
      <c r="F71" s="142">
        <f>Scenarios!C28*(1-F$69-F$73)</f>
        <v>0.53999999999999992</v>
      </c>
      <c r="H71" s="120"/>
    </row>
    <row r="72" spans="1:8">
      <c r="B72" s="127" t="str">
        <f>Scenarios!B30</f>
        <v>Pessimistic</v>
      </c>
      <c r="C72" s="142">
        <f>Scenarios!C32</f>
        <v>0.01</v>
      </c>
      <c r="D72" s="145">
        <f>Scenarios!C31</f>
        <v>5</v>
      </c>
      <c r="E72" s="135">
        <f>INDEX(B$60:F$66, MATCH(D72, A$60:A$66, 0), MATCH(C72, B$59:F$59, 0))</f>
        <v>179.01208597215839</v>
      </c>
      <c r="F72" s="142">
        <f>Scenarios!C34*(1-F$69-F$73)</f>
        <v>0.18</v>
      </c>
      <c r="H72" s="120"/>
    </row>
    <row r="73" spans="1:8">
      <c r="B73" s="127" t="str">
        <f>Scenarios!B48</f>
        <v>Devil's advocate</v>
      </c>
      <c r="C73" s="142">
        <f>Scenarios!C50</f>
        <v>0</v>
      </c>
      <c r="D73" s="145">
        <f>Scenarios!C49</f>
        <v>10</v>
      </c>
      <c r="E73" s="135">
        <f>INDEX(B$60:F$66, MATCH(D73, A$60:A$66, 0), MATCH(C73, B$59:F$59, 0))</f>
        <v>176.2377048712205</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37" zoomScale="75" zoomScaleNormal="100" workbookViewId="0">
      <selection activeCell="E18" sqref="E18:F2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-50.15</v>
      </c>
    </row>
    <row r="4" spans="2:9">
      <c r="B4" s="152" t="s">
        <v>146</v>
      </c>
      <c r="C4" s="120">
        <v>3</v>
      </c>
      <c r="D4" s="120"/>
      <c r="E4" s="155" t="s">
        <v>150</v>
      </c>
      <c r="F4" s="155"/>
      <c r="H4" s="247">
        <v>1</v>
      </c>
      <c r="I4" s="124">
        <f t="shared" ref="I4:I13" si="0">IF(ROW()-3 &lt; $C$76, $C$77, IF(ROW()-3 = $C$76, $C$77 + $C$60, ""))</f>
        <v>1.47231918072</v>
      </c>
    </row>
    <row r="5" spans="2:9">
      <c r="H5" s="247">
        <v>2</v>
      </c>
      <c r="I5" s="124">
        <f t="shared" si="0"/>
        <v>1.47231918072</v>
      </c>
    </row>
    <row r="6" spans="2:9" ht="13.15">
      <c r="B6" s="159" t="s">
        <v>95</v>
      </c>
      <c r="C6" s="107">
        <f>DCF!C3</f>
        <v>1000</v>
      </c>
      <c r="E6" s="100" t="s">
        <v>279</v>
      </c>
      <c r="F6" s="100"/>
      <c r="H6" s="247">
        <v>3</v>
      </c>
      <c r="I6" s="124">
        <f t="shared" si="0"/>
        <v>34.20729335164399</v>
      </c>
    </row>
    <row r="7" spans="2:9" ht="12.75" customHeight="1">
      <c r="B7" s="100" t="s">
        <v>275</v>
      </c>
      <c r="C7" s="338">
        <f>Normalized_FCF!G8</f>
        <v>1437634</v>
      </c>
      <c r="D7" t="str">
        <f>Reporting_currency</f>
        <v>EUR</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6"/>
      <c r="H7" s="247">
        <v>4</v>
      </c>
      <c r="I7" s="124" t="str">
        <f t="shared" si="0"/>
        <v/>
      </c>
    </row>
    <row r="8" spans="2:9">
      <c r="B8" s="100" t="s">
        <v>66</v>
      </c>
      <c r="C8" s="338">
        <f>Normalized_FCF!G19</f>
        <v>996880</v>
      </c>
      <c r="D8" t="str">
        <f>Reporting_currency</f>
        <v>EUR</v>
      </c>
      <c r="E8" s="366"/>
      <c r="F8" s="366"/>
      <c r="H8" s="247">
        <v>5</v>
      </c>
      <c r="I8" s="124" t="str">
        <f t="shared" si="0"/>
        <v/>
      </c>
    </row>
    <row r="9" spans="2:9">
      <c r="B9" s="100" t="s">
        <v>57</v>
      </c>
      <c r="C9" s="338">
        <f>Normalized_FCF!C19</f>
        <v>693212.58366541076</v>
      </c>
      <c r="D9" t="str">
        <f>Reporting_currency</f>
        <v>EUR</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0.17871698612149922</v>
      </c>
      <c r="D12" s="158"/>
      <c r="E12" s="366"/>
      <c r="F12" s="366"/>
      <c r="H12" s="247">
        <v>9</v>
      </c>
      <c r="I12" s="124" t="str">
        <f t="shared" si="0"/>
        <v/>
      </c>
    </row>
    <row r="13" spans="2:9">
      <c r="B13" s="148" t="s">
        <v>152</v>
      </c>
      <c r="C13" s="158">
        <f ca="1">(Normalized_FCF!G8/OFFSET(Normalized_FCF!G8, 0, $C$4))^(1/$C$4) - 1</f>
        <v>0.37273927208324187</v>
      </c>
      <c r="E13" s="366"/>
      <c r="F13" s="366"/>
      <c r="H13" s="247">
        <v>10</v>
      </c>
      <c r="I13" s="124" t="str">
        <f t="shared" si="0"/>
        <v/>
      </c>
    </row>
    <row r="14" spans="2:9">
      <c r="B14" s="100" t="s">
        <v>66</v>
      </c>
      <c r="C14" s="158">
        <f ca="1">(Normalized_FCF!G19/OFFSET(Normalized_FCF!G19, 0, $C$4))^(1/$C$4) - 1</f>
        <v>0.40378207079529949</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50.15</v>
      </c>
      <c r="D21" t="str">
        <f>Market_currency</f>
        <v>HKD</v>
      </c>
      <c r="E21" s="367"/>
      <c r="F21" s="367"/>
    </row>
    <row r="22" spans="2:6">
      <c r="B22" s="100" t="s">
        <v>278</v>
      </c>
      <c r="C22" s="160">
        <f>IF(valuation_method="DCF",DCF!C12,DDM!C7)</f>
        <v>30.855374101930472</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0.03</v>
      </c>
      <c r="D26" s="164"/>
      <c r="E26" s="365"/>
      <c r="F26" s="365"/>
    </row>
    <row r="27" spans="2:6">
      <c r="B27" s="100" t="s">
        <v>113</v>
      </c>
      <c r="C27" s="160">
        <f>IF(valuation_method="DCF",DCF!E76,DDM!E71)</f>
        <v>32.408998499180548</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31.365867546764274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33.482739653510706</v>
      </c>
      <c r="D39" t="str">
        <f>Market_currency</f>
        <v>HKD</v>
      </c>
      <c r="E39" s="365"/>
      <c r="F39" s="365"/>
    </row>
    <row r="40" spans="2:6">
      <c r="B40" s="100" t="s">
        <v>147</v>
      </c>
      <c r="C40" s="167">
        <f>1-C28-C34</f>
        <v>0.2</v>
      </c>
      <c r="D40" s="165"/>
      <c r="E40" s="365"/>
      <c r="F40" s="365"/>
    </row>
    <row r="42" spans="2:6" ht="13.15">
      <c r="B42" s="100" t="s">
        <v>120</v>
      </c>
      <c r="C42" s="154">
        <f>C27*C28+C33*C34+C39*C40</f>
        <v>32.415120539563326</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30.855374101930487</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40.371939604409576</v>
      </c>
      <c r="D57" t="str">
        <f>Market_currency</f>
        <v>HKD</v>
      </c>
      <c r="E57" s="365"/>
      <c r="F57" s="365"/>
    </row>
    <row r="58" spans="2:6">
      <c r="B58" s="100" t="s">
        <v>147</v>
      </c>
      <c r="C58" s="165">
        <v>0.05</v>
      </c>
      <c r="D58" s="165"/>
      <c r="E58" s="365"/>
      <c r="F58" s="365"/>
    </row>
    <row r="60" spans="2:6" ht="13.15">
      <c r="B60" s="100" t="s">
        <v>120</v>
      </c>
      <c r="C60" s="154">
        <f>C51*C52+C57*C58+C42*(1-C52-C58)</f>
        <v>32.734974170923991</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2.3752619295331442E-2</v>
      </c>
      <c r="D65" s="151"/>
      <c r="E65" s="251" t="s">
        <v>313</v>
      </c>
    </row>
    <row r="66" spans="2:6">
      <c r="B66" s="100" t="s">
        <v>102</v>
      </c>
      <c r="C66" s="160">
        <f>IF(valuation_method="DCF",DCF!C18,DDM!C13)</f>
        <v>32.079930956152829</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-4.8047348991141402E-2</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1.47231918072</v>
      </c>
      <c r="D77" t="str">
        <f>Market_currency</f>
        <v>HKD</v>
      </c>
    </row>
    <row r="79" spans="2:6" ht="13.15">
      <c r="B79" s="109" t="s">
        <v>302</v>
      </c>
    </row>
    <row r="80" spans="2:6">
      <c r="B80" s="148" t="s">
        <v>300</v>
      </c>
      <c r="C80" s="167">
        <f>Thesis!F29</f>
        <v>0.3674</v>
      </c>
    </row>
    <row r="81" spans="2:8">
      <c r="B81" s="100" t="s">
        <v>121</v>
      </c>
      <c r="C81" s="116">
        <f>PV(C80, C76, -C77, 0)</f>
        <v>2.440014683327854</v>
      </c>
      <c r="D81" s="116"/>
      <c r="E81" s="100"/>
      <c r="F81" s="100"/>
    </row>
    <row r="82" spans="2:8">
      <c r="B82" s="100" t="s">
        <v>122</v>
      </c>
      <c r="C82" s="116">
        <f>C60/(1+C80)^C76</f>
        <v>12.803398882405475</v>
      </c>
      <c r="D82" s="116"/>
    </row>
    <row r="83" spans="2:8" ht="13.15">
      <c r="B83" s="110" t="s">
        <v>101</v>
      </c>
      <c r="C83" s="111">
        <f>C81+C82</f>
        <v>15.243413565733329</v>
      </c>
      <c r="D83" t="str">
        <f>Market_currency</f>
        <v>HKD</v>
      </c>
      <c r="E83" s="146" t="s">
        <v>126</v>
      </c>
      <c r="F83" s="291">
        <f>(1-C83/C60)</f>
        <v>0.53433861025395579</v>
      </c>
    </row>
    <row r="84" spans="2:8">
      <c r="E84" s="120"/>
    </row>
    <row r="85" spans="2:8" ht="13.15">
      <c r="B85" s="109" t="s">
        <v>303</v>
      </c>
    </row>
    <row r="86" spans="2:8">
      <c r="B86" s="148" t="s">
        <v>301</v>
      </c>
      <c r="C86" s="116">
        <f>Market_Price</f>
        <v>50.15</v>
      </c>
      <c r="D86" t="str">
        <f>Market_currency</f>
        <v>HKD</v>
      </c>
    </row>
    <row r="87" spans="2:8" ht="13.15">
      <c r="B87" s="100" t="s">
        <v>299</v>
      </c>
      <c r="C87" s="237">
        <f ca="1">IRR(OFFSET($I$3, 0, 0, $C$76 + 1, 1))</f>
        <v>-9.8595701784031209E-2</v>
      </c>
    </row>
    <row r="88" spans="2:8">
      <c r="B88" s="100"/>
    </row>
    <row r="89" spans="2:8" ht="13.15">
      <c r="B89" s="109" t="s">
        <v>415</v>
      </c>
    </row>
    <row r="90" spans="2:8">
      <c r="B90" s="148" t="s">
        <v>416</v>
      </c>
      <c r="C90" s="167">
        <f>Thesis!F30</f>
        <v>0.21740000000000001</v>
      </c>
    </row>
    <row r="91" spans="2:8">
      <c r="B91" s="100" t="s">
        <v>121</v>
      </c>
      <c r="C91" s="116">
        <f>PV(C90, C76, -C77, 0)</f>
        <v>3.018844461140437</v>
      </c>
      <c r="D91" s="116"/>
      <c r="E91" s="100"/>
      <c r="F91" s="100"/>
    </row>
    <row r="92" spans="2:8">
      <c r="B92" s="100" t="s">
        <v>122</v>
      </c>
      <c r="C92" s="116">
        <f>C60/(1+C90)^C76</f>
        <v>18.143125735710871</v>
      </c>
      <c r="D92" s="116"/>
    </row>
    <row r="93" spans="2:8" ht="13.15">
      <c r="B93" s="110" t="s">
        <v>101</v>
      </c>
      <c r="C93" s="111">
        <f>C91+C92</f>
        <v>21.161970196851307</v>
      </c>
      <c r="D93" t="str">
        <f>Market_currency</f>
        <v>HKD</v>
      </c>
      <c r="E93" s="146" t="s">
        <v>126</v>
      </c>
      <c r="F93" s="291">
        <f>(1-C93/C60)</f>
        <v>0.353536371027661</v>
      </c>
    </row>
    <row r="95" spans="2:8" ht="13.15">
      <c r="B95" s="109" t="s">
        <v>400</v>
      </c>
      <c r="G95" s="2"/>
      <c r="H95" s="281"/>
    </row>
    <row r="96" spans="2:8">
      <c r="B96" s="148" t="s">
        <v>406</v>
      </c>
      <c r="C96" s="134">
        <f>Thesis!F31</f>
        <v>7.4999999999999997E-2</v>
      </c>
      <c r="G96" s="2"/>
      <c r="H96" s="281"/>
    </row>
    <row r="97" spans="2:8">
      <c r="B97" s="100" t="s">
        <v>121</v>
      </c>
      <c r="C97" s="116">
        <f>PV(C96, C76, -C77, 0)</f>
        <v>3.8288039267695555</v>
      </c>
      <c r="D97" s="116"/>
      <c r="G97" s="2"/>
      <c r="H97" s="281"/>
    </row>
    <row r="98" spans="2:8">
      <c r="B98" s="100" t="s">
        <v>122</v>
      </c>
      <c r="C98" s="116">
        <f>C60/(1+C96)^C76</f>
        <v>26.350363451509121</v>
      </c>
      <c r="D98" s="116"/>
      <c r="G98" s="2"/>
      <c r="H98" s="281"/>
    </row>
    <row r="99" spans="2:8" ht="13.15">
      <c r="B99" s="110" t="s">
        <v>401</v>
      </c>
      <c r="C99" s="111">
        <f>C97+C98</f>
        <v>30.179167378278677</v>
      </c>
      <c r="D99" t="s">
        <v>399</v>
      </c>
      <c r="E99" s="146" t="s">
        <v>126</v>
      </c>
      <c r="F99" s="291">
        <f>(1-C99/C60)</f>
        <v>7.807572351517067E-2</v>
      </c>
    </row>
    <row r="100" spans="2:8">
      <c r="B100" s="100"/>
    </row>
    <row r="101" spans="2:8" ht="13.15">
      <c r="B101" s="109" t="s">
        <v>424</v>
      </c>
    </row>
    <row r="102" spans="2:8">
      <c r="B102" s="148" t="s">
        <v>423</v>
      </c>
      <c r="C102" s="134">
        <f>Thesis!F32</f>
        <v>0.1174</v>
      </c>
    </row>
    <row r="103" spans="2:8">
      <c r="B103" s="100" t="s">
        <v>121</v>
      </c>
      <c r="C103" s="116">
        <f>PV(C102, C76, -C77, 0)</f>
        <v>3.5521218577845026</v>
      </c>
      <c r="D103" s="116"/>
    </row>
    <row r="104" spans="2:8">
      <c r="B104" s="100" t="s">
        <v>122</v>
      </c>
      <c r="C104" s="116">
        <f>C60/(1+C102)^C76</f>
        <v>23.46313295208089</v>
      </c>
      <c r="D104" s="116"/>
    </row>
    <row r="105" spans="2:8" ht="13.15">
      <c r="B105" s="110" t="s">
        <v>401</v>
      </c>
      <c r="C105" s="111">
        <f>C103+C104</f>
        <v>27.015254809865393</v>
      </c>
      <c r="D105" t="s">
        <v>399</v>
      </c>
      <c r="E105" s="146" t="s">
        <v>126</v>
      </c>
      <c r="F105" s="291">
        <f>(1-C105/C66)</f>
        <v>0.15787677826395219</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