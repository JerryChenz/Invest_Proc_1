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635A6C2-7BA9-4D21-A360-557148ABDA25}"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19" i="3"/>
  <c r="C4" i="3"/>
  <c r="C12" i="4"/>
  <c r="D12"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D73" i="3"/>
  <c r="C73" i="3"/>
  <c r="C74" i="3" s="1"/>
  <c r="F1" i="3"/>
  <c r="H1" i="2"/>
  <c r="E1" i="4"/>
  <c r="F1" i="4" s="1"/>
  <c r="G1" i="4" s="1"/>
  <c r="H1" i="4" s="1"/>
  <c r="I1" i="4" s="1"/>
  <c r="J1" i="4" s="1"/>
  <c r="K1" i="4" s="1"/>
  <c r="L1" i="4" s="1"/>
  <c r="M1" i="4" s="1"/>
  <c r="F42" i="8" l="1"/>
  <c r="F44" i="8"/>
  <c r="F50" i="8"/>
  <c r="F45" i="8"/>
  <c r="F49" i="8"/>
  <c r="F48" i="8"/>
  <c r="F43" i="8"/>
  <c r="F47" i="8"/>
  <c r="F41" i="8"/>
  <c r="F46" i="8"/>
  <c r="H42" i="8"/>
  <c r="H50" i="8"/>
  <c r="H45" i="8"/>
  <c r="H49" i="8"/>
  <c r="H44" i="8"/>
  <c r="H48" i="8"/>
  <c r="H43" i="8"/>
  <c r="H47" i="8"/>
  <c r="H41" i="8"/>
  <c r="H46" i="8"/>
  <c r="C49" i="6"/>
  <c r="I42" i="8"/>
  <c r="I46" i="8"/>
  <c r="I45" i="8"/>
  <c r="I49" i="8"/>
  <c r="I44" i="8"/>
  <c r="I50" i="8"/>
  <c r="I48" i="8"/>
  <c r="I43" i="8"/>
  <c r="I47" i="8"/>
  <c r="I41" i="8"/>
  <c r="D46" i="8"/>
  <c r="G46" i="8"/>
  <c r="G42" i="8"/>
  <c r="D42" i="8"/>
  <c r="D44" i="8"/>
  <c r="G44" i="8"/>
  <c r="D50" i="8"/>
  <c r="G50" i="8"/>
  <c r="G45" i="8"/>
  <c r="D45" i="8"/>
  <c r="D49" i="8"/>
  <c r="G49" i="8"/>
  <c r="D48" i="8"/>
  <c r="G48" i="8"/>
  <c r="D43" i="8"/>
  <c r="G43" i="8"/>
  <c r="D47" i="8"/>
  <c r="G47" i="8"/>
  <c r="G41" i="8"/>
  <c r="D41"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5" i="8"/>
  <c r="C50" i="8"/>
  <c r="C67" i="6"/>
  <c r="C80" i="2"/>
  <c r="C9" i="9"/>
  <c r="E115" i="2" l="1"/>
  <c r="E38" i="8"/>
  <c r="A38" i="8"/>
  <c r="E39" i="8"/>
  <c r="E36" i="8"/>
  <c r="A40" i="8"/>
  <c r="E40" i="8"/>
  <c r="E37" i="8"/>
  <c r="A37" i="8"/>
  <c r="A36" i="8"/>
  <c r="A39"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G40" i="8" l="1"/>
  <c r="D40" i="8"/>
  <c r="D39" i="8"/>
  <c r="G39" i="8"/>
  <c r="G38" i="8"/>
  <c r="D38" i="8"/>
  <c r="D36" i="8"/>
  <c r="G36" i="8"/>
  <c r="G37" i="8"/>
  <c r="D37"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F36" i="8" l="1"/>
  <c r="H36" i="8" s="1"/>
  <c r="C37" i="8"/>
  <c r="I35" i="8"/>
  <c r="J35" i="8"/>
  <c r="L35" i="8"/>
  <c r="F37" i="8" l="1"/>
  <c r="H37" i="8" s="1"/>
  <c r="C38" i="8"/>
  <c r="J36" i="8"/>
  <c r="I36" i="8"/>
  <c r="L36" i="8"/>
  <c r="C39" i="8" l="1"/>
  <c r="F38" i="8"/>
  <c r="H38" i="8" s="1"/>
  <c r="J37" i="8"/>
  <c r="I37" i="8"/>
  <c r="L37" i="8"/>
  <c r="I38" i="8" l="1"/>
  <c r="J38" i="8"/>
  <c r="L38" i="8"/>
  <c r="F39" i="8"/>
  <c r="H39" i="8" s="1"/>
  <c r="C40" i="8"/>
  <c r="C41" i="8" l="1"/>
  <c r="F40" i="8"/>
  <c r="H40" i="8" s="1"/>
  <c r="C51" i="8"/>
  <c r="F51" i="8" s="1"/>
  <c r="I39" i="8"/>
  <c r="J39" i="8"/>
  <c r="L39" i="8"/>
  <c r="J40" i="8" l="1"/>
  <c r="I40" i="8"/>
  <c r="L40" i="8"/>
  <c r="H51" i="8"/>
  <c r="L51" i="8" s="1"/>
  <c r="L52" i="8" s="1"/>
  <c r="I51" i="8"/>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<sst xmlns="http://schemas.openxmlformats.org/spreadsheetml/2006/main" count="768" uniqueCount="559">
  <si>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</si>
  <si>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</si>
  <si>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</si>
  <si>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</si>
  <si>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</si>
  <si>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</si>
  <si>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</si>
  <si>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</si>
  <si>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</si>
  <si>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</si>
  <si>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</si>
  <si>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</si>
  <si>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</si>
  <si>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</si>
  <si>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</si>
  <si>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</si>
  <si>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</si>
  <si>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</si>
  <si>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</si>
  <si>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</si>
  <si>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</si>
  <si>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</si>
  <si>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</si>
  <si>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</si>
  <si>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</si>
  <si>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</si>
  <si>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</si>
  <si>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</si>
  <si>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</si>
  <si>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</si>
  <si>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</si>
  <si>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</si>
  <si>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</si>
  <si>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</si>
  <si>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</si>
  <si>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</si>
  <si>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</si>
  <si>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</si>
  <si>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</si>
  <si>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</si>
  <si>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</si>
  <si>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</si>
  <si>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</si>
  <si>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</si>
  <si>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</si>
  <si>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</si>
  <si>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</si>
  <si>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</si>
  <si>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</si>
  <si>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</si>
  <si>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</si>
  <si>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</si>
  <si>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</si>
  <si>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</si>
  <si>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</si>
  <si>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</si>
  <si>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</si>
  <si>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</si>
  <si>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</si>
  <si>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</si>
  <si>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</si>
  <si>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</si>
  <si>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</si>
  <si>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</si>
  <si>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</si>
  <si>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</si>
  <si>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</si>
  <si>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</si>
  <si>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</si>
  <si>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</si>
  <si>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</si>
  <si>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</si>
  <si>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</si>
  <si>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</si>
  <si>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</si>
  <si>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</si>
  <si>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</si>
  <si>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</si>
  <si>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</si>
  <si>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</si>
  <si>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</si>
  <si>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</si>
  <si>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</si>
  <si>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</si>
  <si>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</si>
  <si>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</si>
  <si>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</si>
  <si>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</si>
  <si>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</si>
  <si>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</si>
  <si>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</si>
  <si>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</si>
  <si>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</si>
  <si>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</si>
  <si>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</si>
  <si>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</si>
  <si>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</si>
  <si>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</si>
  <si>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</si>
  <si>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</si>
  <si>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</si>
  <si>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</si>
  <si>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</si>
  <si>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</si>
  <si>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</si>
  <si>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</si>
  <si>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</si>
  <si>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</si>
  <si>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</si>
  <si>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</si>
  <si>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</si>
  <si>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</si>
  <si>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</si>
  <si>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</si>
  <si>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</si>
  <si>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</si>
  <si>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</si>
  <si>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</si>
  <si>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</si>
  <si>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</si>
  <si>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</si>
  <si>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</si>
  <si>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</si>
  <si>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</si>
  <si>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</si>
  <si>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</si>
  <si>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</si>
  <si>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</si>
  <si>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</si>
  <si>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</si>
  <si>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</si>
  <si>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</si>
  <si>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</si>
  <si>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</si>
  <si>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</si>
  <si>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</si>
  <si>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</si>
  <si>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</si>
  <si>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</si>
  <si>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</si>
  <si>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</si>
  <si>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</si>
  <si>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</si>
  <si>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</si>
  <si>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</si>
  <si>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</si>
  <si>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</si>
  <si>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</si>
  <si>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</si>
  <si>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</si>
  <si>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</si>
  <si>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</si>
  <si>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</si>
  <si>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</si>
  <si>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</si>
  <si>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</si>
  <si>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</si>
  <si>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</si>
  <si>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</si>
  <si>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</si>
  <si>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</si>
  <si>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</si>
  <si>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</si>
  <si>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</si>
  <si>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</si>
  <si>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</si>
  <si>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</si>
  <si>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</si>
  <si>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</si>
  <si>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</si>
  <si>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</si>
  <si>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</si>
  <si>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</si>
  <si>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</si>
  <si>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</si>
  <si>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</si>
  <si>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</si>
  <si>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</si>
  <si>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</si>
  <si>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</si>
  <si>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</si>
  <si>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</si>
  <si>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</si>
  <si>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</si>
  <si>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</si>
  <si>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</si>
  <si>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</si>
  <si>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</si>
  <si>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</si>
  <si>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</si>
  <si>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</si>
  <si>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</si>
  <si>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</si>
  <si>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</si>
  <si>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</si>
  <si>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</si>
  <si>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</si>
  <si>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</si>
  <si>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</si>
  <si>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</si>
  <si>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</si>
  <si>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</si>
  <si>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</si>
  <si>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</si>
  <si>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</si>
  <si>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</si>
  <si>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</si>
  <si>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</si>
  <si>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</si>
  <si>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</si>
  <si>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</si>
  <si>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</si>
  <si>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</si>
  <si>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</si>
  <si>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</si>
  <si>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</si>
  <si>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</si>
  <si>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</si>
  <si>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</si>
  <si>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</si>
  <si>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</si>
  <si>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</si>
  <si>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</si>
  <si>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</si>
  <si>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</si>
  <si>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</si>
  <si>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</si>
  <si>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</si>
  <si>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</si>
  <si>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</si>
  <si>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</si>
  <si>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</si>
  <si>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</si>
  <si>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</si>
  <si>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</si>
  <si>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</si>
  <si>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</si>
  <si>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</si>
  <si>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</si>
  <si>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</si>
  <si>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</si>
  <si>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</si>
  <si>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</si>
  <si>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</si>
  <si>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</si>
  <si>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</si>
  <si>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</si>
  <si>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</si>
  <si>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</si>
  <si>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</si>
  <si>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</si>
  <si>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</si>
  <si>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</si>
  <si>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</si>
  <si>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</si>
  <si>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</si>
  <si>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</si>
  <si>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</si>
  <si>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</si>
  <si>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</si>
  <si>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</si>
  <si>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</si>
  <si>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</si>
  <si>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</si>
  <si>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</si>
  <si>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</si>
  <si>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</si>
  <si>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</si>
  <si>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</si>
  <si>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</si>
  <si>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</si>
  <si>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</si>
  <si>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</si>
  <si>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</si>
  <si>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</si>
  <si>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</si>
  <si>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</si>
  <si>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</si>
  <si>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</si>
  <si>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</si>
  <si>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</si>
  <si>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</si>
  <si>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</si>
  <si>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</si>
  <si>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</si>
  <si>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</si>
  <si>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</si>
  <si>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</si>
  <si>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</si>
  <si>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</si>
  <si>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</si>
  <si>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</si>
  <si>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</si>
  <si>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</si>
  <si>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</si>
  <si>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</si>
  <si>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</si>
  <si>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</si>
  <si>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</si>
  <si>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</si>
  <si>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</si>
  <si>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</si>
  <si>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</si>
  <si>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</si>
  <si>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</si>
  <si>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</si>
  <si>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</si>
  <si>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</si>
  <si>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</si>
  <si>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</si>
  <si>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</si>
  <si>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</si>
  <si>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</si>
  <si>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</si>
  <si>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</si>
  <si>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</si>
  <si>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</si>
  <si>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</si>
  <si>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</si>
  <si>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</si>
  <si>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</si>
  <si>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</si>
  <si>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</si>
  <si>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</si>
  <si>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</si>
  <si>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</si>
  <si>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</si>
  <si>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</si>
  <si>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</si>
  <si>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</si>
  <si>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</si>
  <si>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</si>
  <si>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</si>
  <si>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</si>
  <si>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</si>
  <si>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</si>
  <si>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</si>
  <si>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</si>
  <si>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</si>
  <si>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</si>
  <si>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</si>
  <si>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</si>
  <si>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</si>
  <si>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</si>
  <si>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</si>
  <si>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</si>
  <si>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</si>
  <si>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</si>
  <si>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</si>
  <si>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</si>
  <si>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</si>
  <si>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</si>
  <si>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</si>
  <si>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</si>
  <si>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</si>
  <si>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</si>
  <si>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</si>
  <si>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</si>
  <si>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</si>
  <si>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</si>
  <si>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</si>
  <si>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</si>
  <si>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</si>
  <si>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</si>
  <si>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</si>
  <si>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</si>
  <si>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</si>
  <si>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</si>
  <si>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</si>
  <si>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</si>
  <si>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</si>
  <si>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</si>
  <si>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</si>
  <si>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</si>
  <si>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</si>
  <si>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</si>
  <si>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</si>
  <si>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</si>
  <si>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</si>
  <si>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</si>
  <si>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</si>
  <si>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</si>
  <si>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</si>
  <si>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</si>
  <si>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</si>
  <si>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</si>
  <si>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</si>
  <si>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</si>
  <si>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</si>
  <si>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</si>
  <si>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</si>
  <si>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</si>
  <si>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</si>
  <si>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</si>
  <si>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</si>
  <si>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</si>
  <si>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</si>
  <si>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</si>
  <si>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</si>
  <si>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</si>
  <si>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</si>
  <si>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</si>
  <si>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</si>
  <si>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</si>
  <si>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</si>
  <si>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</si>
  <si>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</si>
  <si>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</si>
  <si>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</si>
  <si>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</si>
  <si>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</si>
  <si>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</si>
  <si>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</si>
  <si>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</si>
  <si>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</si>
  <si>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</si>
  <si>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</si>
  <si>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</si>
  <si>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</si>
  <si>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</si>
  <si>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</si>
  <si>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</si>
  <si>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</si>
  <si>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</si>
  <si>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</si>
  <si>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</si>
  <si>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</si>
  <si>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</si>
  <si>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</si>
  <si>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</si>
  <si>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</si>
  <si>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</si>
  <si>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</si>
  <si>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</si>
  <si>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</si>
  <si>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</si>
  <si>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</si>
  <si>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</si>
  <si>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</si>
  <si>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</si>
  <si>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</si>
  <si>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</si>
  <si>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</si>
  <si>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</si>
  <si>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</si>
  <si>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</si>
  <si>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</si>
  <si>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</si>
  <si>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</si>
  <si>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</si>
  <si>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</si>
  <si>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</si>
  <si>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</si>
  <si>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</si>
  <si>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</si>
  <si>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</si>
  <si>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</si>
  <si>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</si>
  <si>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</si>
  <si>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</si>
  <si>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</si>
  <si>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</si>
  <si>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</si>
  <si>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</si>
  <si>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</si>
  <si>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</si>
  <si>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</si>
  <si>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</si>
  <si>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</si>
  <si>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</si>
  <si>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</si>
  <si>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</si>
  <si>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</si>
  <si>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</si>
  <si>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</si>
  <si>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</si>
  <si>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</si>
  <si>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</si>
  <si>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</si>
  <si>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</si>
  <si>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</si>
  <si>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</si>
  <si>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</si>
  <si>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</si>
  <si>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</si>
  <si>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</si>
  <si>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</si>
  <si>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</si>
  <si>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</si>
  <si>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</si>
  <si>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</si>
  <si>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</si>
  <si>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</si>
  <si>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</si>
  <si>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</si>
  <si>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</si>
  <si>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</si>
  <si>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</si>
  <si>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</si>
  <si>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</si>
  <si>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</si>
  <si>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</si>
  <si>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</si>
  <si>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</si>
  <si>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</si>
  <si>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</si>
  <si>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</si>
  <si>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</si>
  <si>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</si>
  <si>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</si>
  <si>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</si>
  <si>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</si>
  <si>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</si>
  <si>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</si>
  <si>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</si>
  <si>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</si>
  <si>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</si>
  <si>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</si>
  <si>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</si>
  <si>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</si>
  <si>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</si>
  <si>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</si>
  <si>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</si>
  <si>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</si>
  <si>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</si>
  <si>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</si>
  <si>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</si>
  <si>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</si>
  <si>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</si>
  <si>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</si>
  <si>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</si>
  <si>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</si>
  <si>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</si>
  <si>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</si>
  <si>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</si>
  <si>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</si>
  <si>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</si>
  <si>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</si>
  <si>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</si>
  <si>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</si>
  <si>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</si>
  <si>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</si>
  <si>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</si>
  <si>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</si>
  <si>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</si>
  <si>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</si>
  <si>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</si>
  <si>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</si>
  <si>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</si>
  <si>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</si>
  <si>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</si>
  <si>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</si>
  <si>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</si>
  <si>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</si>
  <si>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</si>
  <si>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</si>
  <si>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Prada S.p.A.</t>
  </si>
  <si>
    <t>1913.HK</t>
  </si>
  <si>
    <t>EUR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</si>
</sst>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46065</v>
      </c>
    </row>
    <row r="4" spans="1:9" ht="12.4">
      <c r="B4" s="421" t="s">
        <v>532</v>
      </c>
      <c r="C4" s="420" t="s">
        <v>556</v>
      </c>
      <c r="E4" s="430" t="s">
        <v>536</v>
      </c>
      <c r="F4" s="431" t="s">
        <v>323</v>
      </c>
    </row>
    <row r="5" spans="1:9">
      <c r="B5" s="1" t="s">
        <v>348</v>
      </c>
      <c r="C5" s="46" t="s">
        <v>557</v>
      </c>
      <c r="E5" s="433" t="s">
        <v>538</v>
      </c>
      <c r="F5" s="432" t="s">
        <v>496</v>
      </c>
    </row>
    <row r="6" spans="1:9">
      <c r="B6" s="2" t="s">
        <v>52</v>
      </c>
      <c r="C6" s="45" t="s">
        <v>548</v>
      </c>
      <c r="D6" s="45"/>
      <c r="E6" s="45"/>
    </row>
    <row r="7" spans="1:9">
      <c r="B7" s="1" t="s">
        <v>350</v>
      </c>
      <c r="C7" s="45" t="s">
        <v>307</v>
      </c>
      <c r="D7" s="45"/>
      <c r="E7" s="45"/>
    </row>
    <row r="8" spans="1:9">
      <c r="B8" s="4" t="s">
        <v>349</v>
      </c>
      <c r="C8" s="47">
        <v>38.76</v>
      </c>
      <c r="E8" s="32"/>
    </row>
    <row r="9" spans="1:9">
      <c r="B9" s="4" t="s">
        <v>345</v>
      </c>
      <c r="C9" s="48">
        <v>2558824000</v>
      </c>
    </row>
    <row r="10" spans="1:9">
      <c r="B10" s="4" t="s">
        <v>351</v>
      </c>
      <c r="C10" s="33">
        <f>Thesis!C8*Common_Shares/1000000</f>
        <v>99180.018240000005</v>
      </c>
      <c r="D10" s="1" t="s">
        <v>527</v>
      </c>
      <c r="E10" s="303">
        <f>Scenarios!F34</f>
        <v>0.19141149733869603</v>
      </c>
    </row>
    <row r="11" spans="1:9">
      <c r="D11" s="5"/>
      <c r="E11" s="5"/>
    </row>
    <row r="12" spans="1:9" ht="24.5" customHeight="1">
      <c r="B12" s="460" t="s">
        <v>354</v>
      </c>
      <c r="C12" s="460"/>
      <c r="D12" s="460"/>
      <c r="E12" s="460"/>
      <c r="F12" s="460"/>
    </row>
    <row r="14" spans="1:9">
      <c r="B14" s="42" t="str">
        <f>Scenarios!B39&amp;" Valuation Conclusion"</f>
        <v>1-stage DCF Valuation Conclusion</v>
      </c>
      <c r="C14" s="43"/>
    </row>
    <row r="15" spans="1:9">
      <c r="B15" s="1" t="s">
        <v>318</v>
      </c>
      <c r="C15" s="417" t="s">
        <v>545</v>
      </c>
      <c r="D15" s="4" t="s">
        <v>352</v>
      </c>
      <c r="E15" s="253" t="str">
        <f>IF(E17=C7,C7,E17&amp;"/"&amp;C7)</f>
        <v>EUR/HKD</v>
      </c>
    </row>
    <row r="16" spans="1:9">
      <c r="B16" s="1" t="s">
        <v>319</v>
      </c>
      <c r="C16" s="417" t="s">
        <v>545</v>
      </c>
      <c r="D16" s="4" t="s">
        <v>353</v>
      </c>
      <c r="E16" s="416">
        <v>9.2013490000000004</v>
      </c>
    </row>
    <row r="17" spans="1:6">
      <c r="B17" s="1" t="s">
        <v>531</v>
      </c>
      <c r="C17" s="456">
        <v>0.02</v>
      </c>
      <c r="D17" s="4" t="s">
        <v>273</v>
      </c>
      <c r="E17" s="224" t="s">
        <v>558</v>
      </c>
    </row>
    <row r="18" spans="1:6">
      <c r="B18" s="1" t="str">
        <f>"Expected Equity Value ("&amp;C7&amp;") :"</f>
        <v>Expected Equity Value (HKD) :</v>
      </c>
      <c r="C18" s="252">
        <f>C125</f>
        <v>60.379406610428177</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30.082975234605446</v>
      </c>
      <c r="D22" s="38" t="s">
        <v>405</v>
      </c>
      <c r="E22" s="79">
        <v>0.3</v>
      </c>
    </row>
    <row r="23" spans="1:6">
      <c r="B23" s="1" t="s">
        <v>312</v>
      </c>
      <c r="C23" s="256">
        <f>E141</f>
        <v>37.957850631034823</v>
      </c>
      <c r="D23" s="38" t="s">
        <v>406</v>
      </c>
      <c r="E23" s="443">
        <v>0.2</v>
      </c>
    </row>
    <row r="24" spans="1:6">
      <c r="B24" s="1" t="s">
        <v>314</v>
      </c>
      <c r="C24" s="256">
        <f>E144</f>
        <v>46.731937193016279</v>
      </c>
      <c r="D24" s="38" t="s">
        <v>407</v>
      </c>
      <c r="E24" s="443">
        <v>0.1174</v>
      </c>
    </row>
    <row r="25" spans="1:6">
      <c r="B25" s="1" t="s">
        <v>313</v>
      </c>
      <c r="C25" s="256">
        <f>E145</f>
        <v>52.684119896059485</v>
      </c>
      <c r="D25" s="38" t="s">
        <v>408</v>
      </c>
      <c r="E25" s="444">
        <v>7.2499999999999995E-2</v>
      </c>
    </row>
    <row r="26" spans="1:6">
      <c r="D26" s="5"/>
      <c r="E26" s="5"/>
    </row>
    <row r="27" spans="1:6" ht="13.9">
      <c r="A27" s="200" t="s">
        <v>279</v>
      </c>
      <c r="B27" s="34"/>
      <c r="C27" s="34"/>
      <c r="D27" s="34"/>
      <c r="E27" s="34"/>
      <c r="F27" s="34"/>
    </row>
    <row r="29" spans="1:6">
      <c r="B29" s="460" t="s">
        <v>355</v>
      </c>
      <c r="C29" s="460"/>
      <c r="D29" s="460"/>
      <c r="E29" s="460"/>
      <c r="F29" s="460"/>
    </row>
    <row r="30" spans="1:6" ht="24.5" customHeight="1">
      <c r="B30" s="462" t="s">
        <v>265</v>
      </c>
      <c r="C30" s="462"/>
      <c r="D30" s="462"/>
      <c r="E30" s="462"/>
      <c r="F30" s="462"/>
    </row>
    <row r="32" spans="1:6">
      <c r="B32" s="192" t="s">
        <v>194</v>
      </c>
      <c r="C32" s="105">
        <f>scaling_factor</f>
        <v>1000</v>
      </c>
    </row>
    <row r="33" spans="2:6" ht="24.5" customHeight="1">
      <c r="B33" s="461" t="s">
        <v>195</v>
      </c>
      <c r="C33" s="461"/>
      <c r="D33" s="461"/>
      <c r="E33" s="461"/>
      <c r="F33" s="461"/>
    </row>
    <row r="34" spans="2:6">
      <c r="B34" s="44" t="s">
        <v>196</v>
      </c>
      <c r="C34" s="285">
        <f>Normalized_FCF!C8</f>
        <v>1295687.7327357903</v>
      </c>
      <c r="D34" s="1" t="str">
        <f>Reporting_currency</f>
        <v>EUR</v>
      </c>
    </row>
    <row r="35" spans="2:6">
      <c r="B35" s="44"/>
      <c r="C35" s="73"/>
    </row>
    <row r="36" spans="2:6" ht="24.5" customHeight="1">
      <c r="B36" s="461" t="s">
        <v>197</v>
      </c>
      <c r="C36" s="461"/>
      <c r="D36" s="461"/>
      <c r="E36" s="461"/>
      <c r="F36" s="461"/>
    </row>
    <row r="37" spans="2:6">
      <c r="B37" s="44" t="s">
        <v>198</v>
      </c>
      <c r="C37" s="285">
        <f>Normalized_FCF!C15</f>
        <v>0</v>
      </c>
      <c r="D37" s="1" t="str">
        <f>Reporting_currency</f>
        <v>EUR</v>
      </c>
    </row>
    <row r="38" spans="2:6">
      <c r="B38" s="49" t="s">
        <v>199</v>
      </c>
      <c r="C38" s="285">
        <f>Normalized_FCF!C16</f>
        <v>0</v>
      </c>
      <c r="D38" s="1" t="str">
        <f>Reporting_currency</f>
        <v>EUR</v>
      </c>
    </row>
    <row r="40" spans="2:6">
      <c r="B40" s="461" t="s">
        <v>200</v>
      </c>
      <c r="C40" s="461"/>
      <c r="D40" s="461"/>
      <c r="E40" s="461"/>
      <c r="F40" s="461"/>
    </row>
    <row r="41" spans="2:6">
      <c r="B41" s="44" t="s">
        <v>201</v>
      </c>
      <c r="C41" s="285">
        <f>Normalized_FCF!C9</f>
        <v>0</v>
      </c>
      <c r="D41" s="1" t="str">
        <f>Reporting_currency</f>
        <v>EUR</v>
      </c>
    </row>
    <row r="43" spans="2:6">
      <c r="B43" s="461" t="s">
        <v>204</v>
      </c>
      <c r="C43" s="461"/>
      <c r="D43" s="461"/>
      <c r="E43" s="461"/>
      <c r="F43" s="461"/>
    </row>
    <row r="44" spans="2:6">
      <c r="B44" s="44" t="s">
        <v>266</v>
      </c>
      <c r="C44" s="286">
        <f>Normalized_FCF!C46</f>
        <v>3899.7992940561048</v>
      </c>
      <c r="D44" s="1" t="str">
        <f>Reporting_currency</f>
        <v>EUR</v>
      </c>
      <c r="E44" s="244"/>
      <c r="F44" s="244"/>
    </row>
    <row r="45" spans="2:6">
      <c r="B45" s="44" t="s">
        <v>267</v>
      </c>
      <c r="C45" s="286">
        <f>Normalized_FCF!C45</f>
        <v>-171351.9</v>
      </c>
      <c r="D45" s="1" t="str">
        <f>Reporting_currency</f>
        <v>EUR</v>
      </c>
      <c r="E45" s="244"/>
      <c r="F45" s="244"/>
    </row>
    <row r="46" spans="2:6">
      <c r="B46" s="44" t="s">
        <v>202</v>
      </c>
      <c r="C46" s="285">
        <f>Normalized_FCF!C10</f>
        <v>-167452.10070594389</v>
      </c>
      <c r="D46" s="1" t="str">
        <f>Reporting_currency</f>
        <v>EUR</v>
      </c>
    </row>
    <row r="48" spans="2:6">
      <c r="B48" s="1" t="s">
        <v>210</v>
      </c>
    </row>
    <row r="49" spans="2:6">
      <c r="B49" s="44" t="s">
        <v>222</v>
      </c>
      <c r="C49" s="285">
        <f>Normalized_FCF!C13</f>
        <v>-4493</v>
      </c>
      <c r="D49" s="1" t="str">
        <f>Reporting_currency</f>
        <v>EUR</v>
      </c>
    </row>
    <row r="51" spans="2:6">
      <c r="B51" s="461" t="s">
        <v>205</v>
      </c>
      <c r="C51" s="461"/>
      <c r="D51" s="461"/>
      <c r="E51" s="461"/>
      <c r="F51" s="461"/>
    </row>
    <row r="52" spans="2:6">
      <c r="B52" s="44" t="s">
        <v>203</v>
      </c>
      <c r="C52" s="285">
        <f>Normalized_FCF!C12</f>
        <v>-313762.32926750026</v>
      </c>
      <c r="D52" s="1" t="str">
        <f>Reporting_currency</f>
        <v>EUR</v>
      </c>
    </row>
    <row r="54" spans="2:6">
      <c r="B54" s="461" t="s">
        <v>264</v>
      </c>
      <c r="C54" s="464"/>
      <c r="D54" s="464"/>
      <c r="E54" s="464"/>
      <c r="F54" s="464"/>
    </row>
    <row r="55" spans="2:6">
      <c r="B55" s="44" t="s">
        <v>206</v>
      </c>
      <c r="C55" s="285">
        <f>Normalized_FCF!C17</f>
        <v>0</v>
      </c>
      <c r="D55" s="1" t="str">
        <f>Reporting_currency</f>
        <v>EUR</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838907</v>
      </c>
      <c r="D60" s="1" t="str">
        <f>Reporting_currency</f>
        <v>EUR</v>
      </c>
    </row>
    <row r="61" spans="2:6">
      <c r="B61" s="44" t="s">
        <v>212</v>
      </c>
      <c r="C61" s="285">
        <f>Normalized_FCF!C19</f>
        <v>809980.30276234611</v>
      </c>
      <c r="D61" s="1" t="str">
        <f>Reporting_currency</f>
        <v>EUR</v>
      </c>
    </row>
    <row r="62" spans="2:6">
      <c r="B62" s="204" t="s">
        <v>301</v>
      </c>
      <c r="C62" s="89">
        <f>Normalized_FCF!C124</f>
        <v>7.5145292177776588E-2</v>
      </c>
      <c r="F62" s="257"/>
    </row>
    <row r="63" spans="2:6">
      <c r="B63" s="204" t="s">
        <v>331</v>
      </c>
      <c r="C63" s="89">
        <f>Normalized_FCF!C92</f>
        <v>3.6940196078431374E-2</v>
      </c>
      <c r="E63" s="44" t="s">
        <v>321</v>
      </c>
      <c r="F63" s="258">
        <f>Normalized_FCF!C90</f>
        <v>4.5232326123897897</v>
      </c>
    </row>
    <row r="65" spans="1:6">
      <c r="B65" s="192" t="s">
        <v>324</v>
      </c>
      <c r="C65" s="264" t="s">
        <v>326</v>
      </c>
      <c r="D65" s="264" t="s">
        <v>327</v>
      </c>
    </row>
    <row r="66" spans="1:6">
      <c r="B66" s="44" t="s">
        <v>325</v>
      </c>
      <c r="C66" s="89">
        <f>Normalized_FCF!E119</f>
        <v>0.2658092571428613</v>
      </c>
      <c r="D66" s="89">
        <f>Normalized_FCF!G119</f>
        <v>0.28005991710273764</v>
      </c>
    </row>
    <row r="67" spans="1:6">
      <c r="B67" s="229" t="str">
        <f>Normalized_FCF!B116</f>
        <v>Pre-tax Profit/Sales</v>
      </c>
      <c r="C67" s="263">
        <f>Normalized_FCF!E116</f>
        <v>0.20771863979883598</v>
      </c>
      <c r="D67" s="263">
        <f>Normalized_FCF!G116</f>
        <v>0.21885492502426099</v>
      </c>
    </row>
    <row r="68" spans="1:6">
      <c r="B68" s="229" t="str">
        <f>Normalized_FCF!B117</f>
        <v>Sales/Total Assets</v>
      </c>
      <c r="C68" s="265">
        <f>Normalized_FCF!E117</f>
        <v>0.65265738052043343</v>
      </c>
      <c r="D68" s="265">
        <f>Normalized_FCF!G117</f>
        <v>0.65265738052043343</v>
      </c>
    </row>
    <row r="69" spans="1:6">
      <c r="B69" s="229" t="str">
        <f>Normalized_FCF!B118</f>
        <v>Total Assets/Equity</v>
      </c>
      <c r="C69" s="265">
        <f>Normalized_FCF!E118</f>
        <v>1.9606920057834423</v>
      </c>
      <c r="D69" s="265">
        <f>Normalized_FCF!G118</f>
        <v>1.9606920057834423</v>
      </c>
    </row>
    <row r="71" spans="1:6" ht="13.9">
      <c r="A71" s="200" t="s">
        <v>476</v>
      </c>
      <c r="B71" s="34"/>
      <c r="C71" s="34"/>
      <c r="D71" s="34"/>
      <c r="E71" s="34"/>
      <c r="F71" s="34"/>
    </row>
    <row r="72" spans="1:6">
      <c r="A72" s="191"/>
    </row>
    <row r="73" spans="1:6">
      <c r="A73" s="191"/>
      <c r="B73" s="460" t="s">
        <v>477</v>
      </c>
      <c r="C73" s="460"/>
      <c r="D73" s="460"/>
      <c r="E73" s="460"/>
      <c r="F73" s="460"/>
    </row>
    <row r="74" spans="1:6">
      <c r="A74" s="191"/>
      <c r="B74" s="1" t="s">
        <v>464</v>
      </c>
    </row>
    <row r="75" spans="1:6">
      <c r="A75" s="191"/>
    </row>
    <row r="76" spans="1:6">
      <c r="A76" s="191"/>
      <c r="B76" s="192" t="s">
        <v>194</v>
      </c>
    </row>
    <row r="77" spans="1:6">
      <c r="A77" s="191"/>
      <c r="B77" s="460" t="s">
        <v>270</v>
      </c>
      <c r="C77" s="460"/>
      <c r="D77" s="460"/>
      <c r="E77" s="460"/>
      <c r="F77" s="460"/>
    </row>
    <row r="78" spans="1:6">
      <c r="A78" s="191"/>
      <c r="B78" s="1" t="s">
        <v>214</v>
      </c>
      <c r="C78" s="285">
        <f>DCF!F4</f>
        <v>-2855865</v>
      </c>
      <c r="D78" s="1" t="str">
        <f>Reporting_currency</f>
        <v>EUR</v>
      </c>
    </row>
    <row r="79" spans="1:6">
      <c r="A79" s="191"/>
      <c r="B79" s="44" t="s">
        <v>233</v>
      </c>
      <c r="C79" s="201">
        <f>C78*scaling_factor*Exchange_Rate/Common_Shares</f>
        <v>-10.269487296463142</v>
      </c>
      <c r="D79" s="1" t="str">
        <f>Market_currency</f>
        <v>HKD</v>
      </c>
    </row>
    <row r="80" spans="1:6">
      <c r="A80" s="191"/>
      <c r="B80" s="229" t="s">
        <v>308</v>
      </c>
      <c r="C80" s="337">
        <f>IF(BS!G31/BS!G27&gt;300%,"nm",BS!G31/BS!G27)</f>
        <v>0.67283405398617657</v>
      </c>
    </row>
    <row r="81" spans="1:6">
      <c r="A81" s="191"/>
      <c r="B81" s="229" t="s">
        <v>310</v>
      </c>
      <c r="C81" s="338">
        <f>IF(BS!C50&gt;30,"nm",BS!C50)</f>
        <v>2.2041306156151999</v>
      </c>
    </row>
    <row r="82" spans="1:6">
      <c r="A82" s="191"/>
    </row>
    <row r="83" spans="1:6">
      <c r="A83" s="191"/>
      <c r="B83" s="1" t="s">
        <v>465</v>
      </c>
    </row>
    <row r="84" spans="1:6">
      <c r="A84" s="191"/>
      <c r="B84" s="1" t="s">
        <v>223</v>
      </c>
      <c r="C84" s="285">
        <f>DCF!F5</f>
        <v>-51974.549009350827</v>
      </c>
      <c r="D84" s="1" t="str">
        <f>Reporting_currency</f>
        <v>EUR</v>
      </c>
    </row>
    <row r="85" spans="1:6">
      <c r="A85" s="191"/>
      <c r="B85" s="229" t="s">
        <v>221</v>
      </c>
      <c r="C85" s="291">
        <f>BS!C66</f>
        <v>597992</v>
      </c>
      <c r="D85" s="339" t="str">
        <f>Reporting_currency</f>
        <v>EUR</v>
      </c>
    </row>
    <row r="86" spans="1:6">
      <c r="A86" s="191"/>
      <c r="B86" s="44" t="s">
        <v>234</v>
      </c>
      <c r="C86" s="201">
        <f>C84*scaling_factor*Exchange_Rate/Common_Shares</f>
        <v>-0.18689677936139465</v>
      </c>
      <c r="D86" s="1" t="str">
        <f>Market_currency</f>
        <v>HKD</v>
      </c>
    </row>
    <row r="87" spans="1:6">
      <c r="A87" s="191"/>
    </row>
    <row r="88" spans="1:6">
      <c r="A88" s="191"/>
      <c r="B88" s="1" t="s">
        <v>215</v>
      </c>
    </row>
    <row r="89" spans="1:6">
      <c r="A89" s="191"/>
      <c r="B89" s="1" t="s">
        <v>216</v>
      </c>
      <c r="C89" s="285">
        <f>DCF!F6</f>
        <v>36617.399999999994</v>
      </c>
      <c r="D89" s="1" t="str">
        <f>Reporting_currency</f>
        <v>EUR</v>
      </c>
    </row>
    <row r="90" spans="1:6">
      <c r="A90" s="191"/>
      <c r="B90" s="44" t="s">
        <v>235</v>
      </c>
      <c r="C90" s="201">
        <f>C89*scaling_factor*Exchange_Rate/Common_Shares</f>
        <v>0.13167356444702721</v>
      </c>
      <c r="D90" s="1" t="str">
        <f>Market_currency</f>
        <v>HKD</v>
      </c>
    </row>
    <row r="91" spans="1:6">
      <c r="A91" s="191"/>
    </row>
    <row r="92" spans="1:6">
      <c r="A92" s="191"/>
      <c r="B92" s="44" t="s">
        <v>468</v>
      </c>
      <c r="C92" s="216">
        <f>DCF!F8</f>
        <v>-10.324710511377511</v>
      </c>
      <c r="D92" s="44" t="str">
        <f>Market_currency</f>
        <v>HKD</v>
      </c>
    </row>
    <row r="94" spans="1:6" ht="13.9">
      <c r="A94" s="200" t="s">
        <v>469</v>
      </c>
      <c r="B94" s="34"/>
      <c r="C94" s="34"/>
      <c r="D94" s="34"/>
      <c r="E94" s="34"/>
      <c r="F94" s="34"/>
    </row>
    <row r="95" spans="1:6">
      <c r="A95" s="191"/>
    </row>
    <row r="96" spans="1:6" ht="11.75" customHeight="1">
      <c r="B96" s="460" t="s">
        <v>484</v>
      </c>
      <c r="C96" s="460"/>
      <c r="D96" s="460"/>
      <c r="E96" s="460"/>
      <c r="F96" s="460"/>
    </row>
    <row r="97" spans="2:6">
      <c r="B97" s="462" t="s">
        <v>483</v>
      </c>
      <c r="C97" s="462"/>
      <c r="D97" s="462"/>
      <c r="E97" s="462"/>
      <c r="F97" s="462"/>
    </row>
    <row r="98" spans="2:6">
      <c r="B98" s="462" t="s">
        <v>482</v>
      </c>
      <c r="C98" s="462"/>
      <c r="D98" s="462"/>
      <c r="E98" s="462"/>
      <c r="F98" s="462"/>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486</v>
      </c>
    </row>
    <row r="111" spans="2:6">
      <c r="B111" s="49" t="s">
        <v>467</v>
      </c>
      <c r="C111" s="216">
        <f>BS!D47</f>
        <v>-6.2816604747879499</v>
      </c>
      <c r="D111" s="1" t="str">
        <f>Market_currency</f>
        <v>HKD</v>
      </c>
    </row>
    <row r="112" spans="2:6">
      <c r="B112" s="44" t="s">
        <v>322</v>
      </c>
      <c r="C112" s="216">
        <f>DCF!C11</f>
        <v>46.263559113514553</v>
      </c>
      <c r="D112" s="1" t="str">
        <f>Market_currency</f>
        <v>HKD</v>
      </c>
    </row>
    <row r="114" spans="2:6" ht="24.5" customHeight="1">
      <c r="B114" s="460" t="s">
        <v>490</v>
      </c>
      <c r="C114" s="460"/>
      <c r="D114" s="460"/>
      <c r="E114" s="460"/>
      <c r="F114" s="460"/>
    </row>
    <row r="116" spans="2:6">
      <c r="B116" s="192" t="s">
        <v>487</v>
      </c>
    </row>
    <row r="117" spans="2:6" ht="12.4">
      <c r="B117" s="342" t="s">
        <v>100</v>
      </c>
      <c r="C117" s="342" t="s">
        <v>109</v>
      </c>
      <c r="D117" s="342" t="s">
        <v>218</v>
      </c>
      <c r="E117" s="342" t="s">
        <v>123</v>
      </c>
      <c r="F117" s="342" t="s">
        <v>544</v>
      </c>
    </row>
    <row r="118" spans="2:6">
      <c r="B118" s="205" t="str">
        <f>DCF!B90&amp;" ("&amp;DCF!D90&amp;"yrs)"</f>
        <v>Snowball Scenario (20yrs)</v>
      </c>
      <c r="C118" s="206">
        <f>DCF!C90</f>
        <v>0.08</v>
      </c>
      <c r="D118" s="207" t="str">
        <f>ROUND(DCF!E90,2)&amp;" "&amp;Market_currency</f>
        <v>99.51 HKD</v>
      </c>
      <c r="E118" s="208">
        <f>DCF!F90</f>
        <v>0.15</v>
      </c>
      <c r="F118" s="208">
        <f>RATE(Holding_Period,Scenarios!C$58,-DCF!E90,C$18)</f>
        <v>-0.13628348204422142</v>
      </c>
    </row>
    <row r="119" spans="2:6">
      <c r="B119" s="205" t="str">
        <f>DCF!B91&amp;" ("&amp;DCF!D91&amp;"yrs)"</f>
        <v>Optimistic (20yrs)</v>
      </c>
      <c r="C119" s="198">
        <f>DCF!C91</f>
        <v>0.06</v>
      </c>
      <c r="D119" s="207" t="str">
        <f>ROUND(DCF!E91,2)&amp;" "&amp;Market_currency</f>
        <v>73.71 HKD</v>
      </c>
      <c r="E119" s="199">
        <f>DCF!F91</f>
        <v>0.15999999999999995</v>
      </c>
      <c r="F119" s="208">
        <f>RATE(Holding_Period,Scenarios!C$58,-DCF!E91,C$18)</f>
        <v>-4.3571063658705042E-2</v>
      </c>
    </row>
    <row r="120" spans="2:6">
      <c r="B120" s="205" t="str">
        <f>DCF!B92&amp;" ("&amp;DCF!D92&amp;"yrs)"</f>
        <v>Base (20yrs)</v>
      </c>
      <c r="C120" s="198">
        <f>DCF!C92</f>
        <v>0.04</v>
      </c>
      <c r="D120" s="207" t="str">
        <f>ROUND(DCF!E92,2)&amp;" "&amp;Market_currency</f>
        <v>54.66 HKD</v>
      </c>
      <c r="E120" s="199">
        <f>DCF!F92</f>
        <v>0.44</v>
      </c>
      <c r="F120" s="208">
        <f>RATE(Holding_Period,Scenarios!C$58,-DCF!E92,C$18)</f>
        <v>5.9118026096196777E-2</v>
      </c>
    </row>
    <row r="121" spans="2:6">
      <c r="B121" s="205" t="str">
        <f>DCF!B93&amp;" ("&amp;DCF!D93&amp;"yrs)"</f>
        <v>Pessimistic (20yrs)</v>
      </c>
      <c r="C121" s="198">
        <f>DCF!C93</f>
        <v>0.02</v>
      </c>
      <c r="D121" s="207" t="str">
        <f>ROUND(DCF!E93,2)&amp;" "&amp;Market_currency</f>
        <v>40.54 HKD</v>
      </c>
      <c r="E121" s="199">
        <f>DCF!F93</f>
        <v>0.19999999999999998</v>
      </c>
      <c r="F121" s="208">
        <f>RATE(Holding_Period,Scenarios!C$58,-DCF!E93,C$18)</f>
        <v>0.17316356346537587</v>
      </c>
    </row>
    <row r="122" spans="2:6">
      <c r="B122" s="205" t="str">
        <f>DCF!B94&amp;" ("&amp;DCF!D94&amp;"yrs)"</f>
        <v>Devil's advocate (20yrs)</v>
      </c>
      <c r="C122" s="198">
        <f>DCF!C94</f>
        <v>0</v>
      </c>
      <c r="D122" s="207" t="str">
        <f>ROUND(DCF!E94,2)&amp;" "&amp;Market_currency</f>
        <v>30.05 HKD</v>
      </c>
      <c r="E122" s="199">
        <f>DCF!F94</f>
        <v>0.05</v>
      </c>
      <c r="F122" s="208">
        <f>RATE(Holding_Period,Scenarios!C$58,-DCF!E94,C$18)</f>
        <v>0.30052655126423677</v>
      </c>
    </row>
    <row r="124" spans="2:6">
      <c r="B124" s="461" t="s">
        <v>356</v>
      </c>
      <c r="C124" s="461"/>
      <c r="D124" s="461"/>
      <c r="E124" s="461"/>
      <c r="F124" s="461"/>
    </row>
    <row r="125" spans="2:6">
      <c r="B125" s="193" t="s">
        <v>217</v>
      </c>
      <c r="C125" s="197">
        <f>Scenarios!C36</f>
        <v>60.379406610428177</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3" t="s">
        <v>284</v>
      </c>
      <c r="C131" s="463"/>
      <c r="D131" s="463"/>
      <c r="E131" s="463"/>
      <c r="F131" s="463"/>
    </row>
    <row r="132" spans="1:6">
      <c r="B132" s="460" t="s">
        <v>358</v>
      </c>
      <c r="C132" s="460"/>
      <c r="D132" s="460"/>
      <c r="E132" s="460"/>
      <c r="F132" s="460"/>
    </row>
    <row r="134" spans="1:6">
      <c r="B134" s="192" t="s">
        <v>194</v>
      </c>
    </row>
    <row r="135" spans="1:6">
      <c r="B135" s="1" t="s">
        <v>220</v>
      </c>
      <c r="C135" s="202">
        <f>E21</f>
        <v>3</v>
      </c>
    </row>
    <row r="136" spans="1:6">
      <c r="B136" s="194" t="s">
        <v>219</v>
      </c>
      <c r="C136" s="195">
        <f>Scenarios!C58</f>
        <v>1.431802</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2.6003140555302693</v>
      </c>
      <c r="D140" s="333">
        <f>Scenarios!D62</f>
        <v>27.482661179075176</v>
      </c>
      <c r="E140" s="334">
        <f>Scenarios!E62</f>
        <v>30.082975234605446</v>
      </c>
      <c r="F140" s="335">
        <f>E22</f>
        <v>0.3</v>
      </c>
    </row>
    <row r="141" spans="1:6">
      <c r="B141" s="336" t="s">
        <v>312</v>
      </c>
      <c r="C141" s="333">
        <f>Scenarios!C63</f>
        <v>3.0160643981481483</v>
      </c>
      <c r="D141" s="333">
        <f>Scenarios!D63</f>
        <v>34.941786232886678</v>
      </c>
      <c r="E141" s="334">
        <f>Scenarios!E63</f>
        <v>37.957850631034823</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3.4543699809252097</v>
      </c>
      <c r="D144" s="333">
        <f>Scenarios!D66</f>
        <v>43.277567212091071</v>
      </c>
      <c r="E144" s="334">
        <f>Scenarios!E66</f>
        <v>46.731937193016279</v>
      </c>
      <c r="F144" s="335">
        <f>E24</f>
        <v>0.1174</v>
      </c>
    </row>
    <row r="145" spans="1:6">
      <c r="B145" s="336" t="s">
        <v>313</v>
      </c>
      <c r="C145" s="333">
        <f>Scenarios!C67</f>
        <v>3.7404040750167789</v>
      </c>
      <c r="D145" s="333">
        <f>Scenarios!D67</f>
        <v>48.943715821042709</v>
      </c>
      <c r="E145" s="334">
        <f>Scenarios!E67</f>
        <v>52.684119896059485</v>
      </c>
      <c r="F145" s="335">
        <f>Scenarios!F67</f>
        <v>7.2499999999999995E-2</v>
      </c>
    </row>
    <row r="147" spans="1:6" ht="13.9">
      <c r="A147" s="200" t="s">
        <v>474</v>
      </c>
      <c r="B147" s="34"/>
      <c r="C147" s="34"/>
      <c r="D147" s="34"/>
      <c r="E147" s="34"/>
      <c r="F147" s="34"/>
    </row>
    <row r="149" spans="1:6">
      <c r="B149" s="467" t="s">
        <v>359</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437</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EUR</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1000</v>
      </c>
    </row>
    <row r="4" spans="2:13">
      <c r="B4" s="31" t="s">
        <v>0</v>
      </c>
      <c r="C4" s="287">
        <v>5431557</v>
      </c>
      <c r="D4" s="287">
        <v>4726411</v>
      </c>
      <c r="E4" s="287"/>
      <c r="F4" s="287"/>
      <c r="G4" s="287"/>
      <c r="H4" s="287"/>
      <c r="I4" s="287"/>
      <c r="J4" s="287"/>
      <c r="K4" s="287"/>
      <c r="L4" s="287"/>
      <c r="M4" s="287"/>
    </row>
    <row r="5" spans="2:13">
      <c r="B5" s="38" t="s">
        <v>39</v>
      </c>
      <c r="C5" s="287">
        <v>1094865</v>
      </c>
      <c r="D5" s="287">
        <v>924640</v>
      </c>
      <c r="E5" s="287"/>
      <c r="F5" s="287"/>
      <c r="G5" s="287"/>
      <c r="H5" s="287"/>
      <c r="I5" s="287"/>
      <c r="J5" s="287"/>
      <c r="K5" s="287"/>
      <c r="L5" s="287"/>
      <c r="M5" s="287"/>
    </row>
    <row r="6" spans="2:13">
      <c r="B6" s="38" t="s">
        <v>50</v>
      </c>
      <c r="C6" s="287">
        <v>3057142</v>
      </c>
      <c r="D6" s="287">
        <v>2740079</v>
      </c>
      <c r="E6" s="287"/>
      <c r="F6" s="287"/>
      <c r="G6" s="287"/>
      <c r="H6" s="287"/>
      <c r="I6" s="287"/>
      <c r="J6" s="287"/>
      <c r="K6" s="287"/>
      <c r="L6" s="287"/>
      <c r="M6" s="287"/>
    </row>
    <row r="7" spans="2:13">
      <c r="B7" s="66" t="s">
        <v>57</v>
      </c>
      <c r="C7" s="288"/>
      <c r="D7" s="288"/>
      <c r="E7" s="288"/>
      <c r="F7" s="288"/>
      <c r="G7" s="288"/>
      <c r="H7" s="288"/>
      <c r="I7" s="288"/>
      <c r="J7" s="288"/>
      <c r="K7" s="288"/>
      <c r="L7" s="288"/>
      <c r="M7" s="288"/>
    </row>
    <row r="8" spans="2:13">
      <c r="B8" s="38" t="s">
        <v>45</v>
      </c>
      <c r="C8" s="287"/>
      <c r="D8" s="287"/>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v>111</v>
      </c>
      <c r="D10" s="287">
        <v>627</v>
      </c>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f>21315+69623</f>
        <v>90938</v>
      </c>
      <c r="D12" s="287">
        <f>32031+58825</f>
        <v>90856</v>
      </c>
      <c r="E12" s="287"/>
      <c r="F12" s="287"/>
      <c r="G12" s="287"/>
      <c r="H12" s="287"/>
      <c r="I12" s="287"/>
      <c r="J12" s="287"/>
      <c r="K12" s="287"/>
      <c r="L12" s="287"/>
      <c r="M12" s="287"/>
    </row>
    <row r="13" spans="2:13">
      <c r="B13" s="38" t="s">
        <v>63</v>
      </c>
      <c r="C13" s="287"/>
      <c r="D13" s="287"/>
      <c r="E13" s="287"/>
      <c r="F13" s="287"/>
      <c r="G13" s="287"/>
      <c r="H13" s="287"/>
      <c r="I13" s="287"/>
      <c r="J13" s="287"/>
      <c r="K13" s="287"/>
      <c r="L13" s="287"/>
      <c r="M13" s="287"/>
    </row>
    <row r="14" spans="2:13">
      <c r="B14" s="38" t="s">
        <v>46</v>
      </c>
      <c r="C14" s="287">
        <v>345323</v>
      </c>
      <c r="D14" s="287">
        <v>298071</v>
      </c>
      <c r="E14" s="287"/>
      <c r="F14" s="287"/>
      <c r="G14" s="287"/>
      <c r="H14" s="287"/>
      <c r="I14" s="287"/>
      <c r="J14" s="287"/>
      <c r="K14" s="287"/>
      <c r="L14" s="287"/>
      <c r="M14" s="287"/>
    </row>
    <row r="15" spans="2:13">
      <c r="B15" s="41" t="s">
        <v>38</v>
      </c>
      <c r="C15" s="289">
        <v>843400</v>
      </c>
      <c r="D15" s="289">
        <v>673392</v>
      </c>
      <c r="E15" s="289"/>
      <c r="F15" s="289"/>
      <c r="G15" s="289"/>
      <c r="H15" s="289"/>
      <c r="I15" s="289"/>
      <c r="J15" s="289"/>
      <c r="K15" s="289"/>
      <c r="L15" s="289"/>
      <c r="M15" s="289"/>
    </row>
    <row r="16" spans="2:13">
      <c r="B16" s="27" t="s">
        <v>40</v>
      </c>
      <c r="C16" s="287">
        <v>4493</v>
      </c>
      <c r="D16" s="287">
        <v>2366</v>
      </c>
      <c r="E16" s="287"/>
      <c r="F16" s="287"/>
      <c r="G16" s="287"/>
      <c r="H16" s="287"/>
      <c r="I16" s="287"/>
      <c r="J16" s="287"/>
      <c r="K16" s="287"/>
      <c r="L16" s="287"/>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1651617</v>
      </c>
      <c r="D22" s="287">
        <v>1155281</v>
      </c>
      <c r="E22" s="287"/>
      <c r="F22" s="287"/>
      <c r="G22" s="287"/>
      <c r="H22" s="287"/>
      <c r="I22" s="287"/>
      <c r="J22" s="287"/>
      <c r="K22" s="287"/>
      <c r="L22" s="287"/>
      <c r="M22" s="287"/>
    </row>
    <row r="23" spans="2:13">
      <c r="B23" s="26" t="s">
        <v>287</v>
      </c>
      <c r="C23" s="287">
        <v>-462453</v>
      </c>
      <c r="D23" s="287">
        <v>-759191</v>
      </c>
      <c r="E23" s="287"/>
      <c r="F23" s="287"/>
      <c r="G23" s="287"/>
      <c r="H23" s="287"/>
      <c r="I23" s="287"/>
      <c r="J23" s="287"/>
      <c r="K23" s="287"/>
      <c r="L23" s="287"/>
      <c r="M23" s="287"/>
    </row>
    <row r="24" spans="2:13">
      <c r="B24" s="26" t="s">
        <v>286</v>
      </c>
      <c r="C24" s="287">
        <v>-875470</v>
      </c>
      <c r="D24" s="287">
        <v>-775728</v>
      </c>
      <c r="E24" s="287"/>
      <c r="F24" s="287"/>
      <c r="G24" s="287"/>
      <c r="H24" s="287"/>
      <c r="I24" s="287"/>
      <c r="J24" s="287"/>
      <c r="K24" s="287"/>
      <c r="L24" s="287"/>
      <c r="M24" s="287"/>
    </row>
    <row r="25" spans="2:13">
      <c r="B25" s="23" t="str">
        <f>"Dividend per share ("&amp;Market_currency&amp;")"</f>
        <v>Dividend per share (HKD)</v>
      </c>
      <c r="C25" s="37">
        <v>1.431802</v>
      </c>
      <c r="D25" s="37">
        <v>1.1338805000000001</v>
      </c>
      <c r="E25" s="37"/>
      <c r="F25" s="37"/>
      <c r="G25" s="37"/>
      <c r="H25" s="37"/>
      <c r="I25" s="37"/>
      <c r="J25" s="37"/>
      <c r="K25" s="37"/>
      <c r="L25" s="37"/>
      <c r="M25" s="37"/>
    </row>
    <row r="27" spans="2:13">
      <c r="B27" s="16" t="s">
        <v>25</v>
      </c>
      <c r="C27" s="94" t="s">
        <v>546</v>
      </c>
    </row>
    <row r="28" spans="2:13">
      <c r="B28" s="25" t="s">
        <v>21</v>
      </c>
      <c r="C28" s="270">
        <f>BS!C4</f>
        <v>377556</v>
      </c>
      <c r="D28" s="287">
        <v>405151</v>
      </c>
      <c r="E28" s="287"/>
      <c r="F28" s="287"/>
      <c r="G28" s="287"/>
      <c r="H28" s="287"/>
      <c r="I28" s="287"/>
      <c r="J28" s="287"/>
      <c r="K28" s="287"/>
      <c r="L28" s="287"/>
      <c r="M28" s="287"/>
    </row>
    <row r="29" spans="2:13">
      <c r="B29" s="25" t="s">
        <v>29</v>
      </c>
      <c r="C29" s="270">
        <f>BS!C6</f>
        <v>888295</v>
      </c>
      <c r="D29" s="287">
        <v>782978</v>
      </c>
      <c r="E29" s="287"/>
      <c r="F29" s="287"/>
      <c r="G29" s="287"/>
      <c r="H29" s="287"/>
      <c r="I29" s="287"/>
      <c r="J29" s="287"/>
      <c r="K29" s="287"/>
      <c r="L29" s="287"/>
      <c r="M29" s="287"/>
    </row>
    <row r="30" spans="2:13">
      <c r="B30" s="28" t="s">
        <v>37</v>
      </c>
      <c r="C30" s="271">
        <f>BS!C33+BS!C42</f>
        <v>4077687</v>
      </c>
      <c r="D30" s="289">
        <v>3738242</v>
      </c>
      <c r="E30" s="289"/>
      <c r="F30" s="289"/>
      <c r="G30" s="289"/>
      <c r="H30" s="289"/>
      <c r="I30" s="289"/>
      <c r="J30" s="289"/>
      <c r="K30" s="289"/>
      <c r="L30" s="289"/>
      <c r="M30" s="289"/>
    </row>
    <row r="31" spans="2:13">
      <c r="B31" s="28" t="s">
        <v>27</v>
      </c>
      <c r="C31" s="271">
        <f>BS!G27</f>
        <v>4244531</v>
      </c>
      <c r="D31" s="289">
        <v>3876809</v>
      </c>
      <c r="E31" s="289"/>
      <c r="F31" s="289"/>
      <c r="G31" s="289"/>
      <c r="H31" s="289"/>
      <c r="I31" s="289"/>
      <c r="J31" s="289"/>
      <c r="K31" s="289"/>
      <c r="L31" s="289"/>
      <c r="M31" s="289"/>
    </row>
    <row r="32" spans="2:13">
      <c r="B32" s="25" t="s">
        <v>142</v>
      </c>
      <c r="C32" s="270">
        <f>BS!G28</f>
        <v>19653</v>
      </c>
      <c r="D32" s="287">
        <v>23014</v>
      </c>
      <c r="E32" s="287"/>
      <c r="F32" s="287"/>
      <c r="G32" s="287"/>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5431557</v>
      </c>
      <c r="D36" s="270">
        <f t="shared" si="1"/>
        <v>4726411</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39</v>
      </c>
      <c r="C37" s="270">
        <f t="shared" ref="C37:M37" si="2">IF(C$4="","",-C5)</f>
        <v>-1094865</v>
      </c>
      <c r="D37" s="270">
        <f t="shared" si="2"/>
        <v>-924640</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54</v>
      </c>
      <c r="C38" s="267">
        <f>IF(C36="","",C36+C37)</f>
        <v>4336692</v>
      </c>
      <c r="D38" s="267">
        <f t="shared" ref="D38" si="3">IF(D36="","",D36+D37)</f>
        <v>3801771</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-3057142</v>
      </c>
      <c r="D39" s="270">
        <f t="shared" si="13"/>
        <v>-2740079</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57</v>
      </c>
      <c r="C40" s="282">
        <f t="shared" ref="C40:M40" si="14">IF(C$4="","",-C7)</f>
        <v>0</v>
      </c>
      <c r="D40" s="282">
        <f t="shared" si="14"/>
        <v>0</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60</v>
      </c>
      <c r="C41" s="282">
        <f>IF(C$4="","",C39-C40)</f>
        <v>-3057142</v>
      </c>
      <c r="D41" s="282">
        <f t="shared" ref="D41:M41" si="15">IF(D$4="","",D39-D40)</f>
        <v>-2740079</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45</v>
      </c>
      <c r="C42" s="270">
        <f t="shared" ref="C42:M42" si="16">IF(C$4="","",-C8)</f>
        <v>0</v>
      </c>
      <c r="D42" s="270">
        <f t="shared" si="16"/>
        <v>0</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126</v>
      </c>
      <c r="C43" s="271">
        <f>IF(C$4="","",C38+C39+C42)</f>
        <v>1279550</v>
      </c>
      <c r="D43" s="271">
        <f t="shared" ref="D43:M43" si="17">IF(D$4="","",D38+D39+D42)</f>
        <v>1061692</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111</v>
      </c>
      <c r="D44" s="290">
        <f t="shared" si="18"/>
        <v>627</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64</v>
      </c>
      <c r="C45" s="285">
        <f t="shared" ref="C45:M45" si="19">IF(C$4="","",C51+C52)</f>
        <v>-90938</v>
      </c>
      <c r="D45" s="285">
        <f t="shared" si="19"/>
        <v>-90856</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46</v>
      </c>
      <c r="C46" s="270">
        <f>IF(C$4="","",-C14)</f>
        <v>-345323</v>
      </c>
      <c r="D46" s="270">
        <f t="shared" ref="D46:M46" si="20">IF(D$4="","",-D14)</f>
        <v>-298071</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38</v>
      </c>
      <c r="C47" s="271">
        <f t="shared" ref="C47:M47" si="21">IF(C$4="","",C15)</f>
        <v>843400</v>
      </c>
      <c r="D47" s="271">
        <f t="shared" si="21"/>
        <v>673392</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40</v>
      </c>
      <c r="C48" s="270">
        <f t="shared" ref="C48:M48" si="22">IF(C$4="","",MIN(-C16,0))</f>
        <v>-4493</v>
      </c>
      <c r="D48" s="270">
        <f t="shared" si="22"/>
        <v>-2366</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-90938</v>
      </c>
      <c r="D51" s="270">
        <f t="shared" si="23"/>
        <v>-90856</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63</v>
      </c>
      <c r="C52" s="270">
        <f>IF(C$4="","",C13)</f>
        <v>0</v>
      </c>
      <c r="D52" s="270">
        <f t="shared" ref="D52:M52" si="24">IF(D$4="","",D13)</f>
        <v>0</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137</v>
      </c>
      <c r="C56" s="285">
        <f t="shared" ref="C56:M56" si="26">IF(C$4="","",C10)</f>
        <v>111</v>
      </c>
      <c r="D56" s="285">
        <f t="shared" si="26"/>
        <v>627</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134</v>
      </c>
      <c r="C58" s="285">
        <f>IF(C$4="","",C44-C55-C56-C57)</f>
        <v>0</v>
      </c>
      <c r="D58" s="285">
        <f t="shared" ref="D58:M58" si="28">IF(D$4="","",D44-D55-D56-D57)</f>
        <v>0</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49</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304</v>
      </c>
      <c r="C64" s="270">
        <f>IF(C$4="","",C22+C23+C24)</f>
        <v>313694</v>
      </c>
      <c r="D64" s="270">
        <f t="shared" ref="D64:M64" si="32">IF(D$4="","",D22+D23+D24)</f>
        <v>-379638</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33</v>
      </c>
      <c r="C65" s="70">
        <f>IF(C$4="","",C25)</f>
        <v>1.431802</v>
      </c>
      <c r="D65" s="70">
        <f t="shared" ref="D65:M65" si="33">IF(D$4="","",D25)</f>
        <v>1.1338805000000001</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0.14919269610704622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0.14070310915623274</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0.20519887123572556</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-0.82296650717703346</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0.25246513175089702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8322218</v>
      </c>
      <c r="D76" s="285">
        <f t="shared" ref="D76:M76" si="39">IF(D$4="","",D79+D80)</f>
        <v>7615051</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81</v>
      </c>
      <c r="C77" s="260">
        <f t="shared" ref="C77:H78" si="40">IF(C$4="","",C28)</f>
        <v>377556</v>
      </c>
      <c r="D77" s="282">
        <f t="shared" si="40"/>
        <v>405151</v>
      </c>
      <c r="E77" s="282" t="str">
        <f t="shared" si="40"/>
        <v/>
      </c>
      <c r="F77" s="282" t="str">
        <f t="shared" si="40"/>
        <v/>
      </c>
      <c r="G77" s="282" t="str">
        <f t="shared" si="40"/>
        <v/>
      </c>
      <c r="H77" s="282" t="str">
        <f t="shared" si="40"/>
        <v/>
      </c>
      <c r="I77" s="291"/>
      <c r="J77" s="291"/>
      <c r="K77" s="291"/>
      <c r="L77" s="291"/>
      <c r="M77" s="291"/>
    </row>
    <row r="78" spans="2:13">
      <c r="B78" s="90" t="s">
        <v>82</v>
      </c>
      <c r="C78" s="260">
        <f t="shared" si="40"/>
        <v>888295</v>
      </c>
      <c r="D78" s="282">
        <f t="shared" si="40"/>
        <v>782978</v>
      </c>
      <c r="E78" s="282" t="str">
        <f t="shared" si="40"/>
        <v/>
      </c>
      <c r="F78" s="282" t="str">
        <f t="shared" si="40"/>
        <v/>
      </c>
      <c r="G78" s="282" t="str">
        <f t="shared" si="40"/>
        <v/>
      </c>
      <c r="H78" s="282" t="str">
        <f t="shared" si="40"/>
        <v/>
      </c>
      <c r="I78" s="291"/>
      <c r="J78" s="291"/>
      <c r="K78" s="291"/>
      <c r="L78" s="291"/>
      <c r="M78" s="291"/>
    </row>
    <row r="79" spans="2:13">
      <c r="B79" s="25" t="s">
        <v>37</v>
      </c>
      <c r="C79" s="259">
        <f t="shared" ref="C79:M79" si="41">IF(C$4="","",C30)</f>
        <v>4077687</v>
      </c>
      <c r="D79" s="270">
        <f t="shared" si="41"/>
        <v>3738242</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27</v>
      </c>
      <c r="C80" s="259">
        <f t="shared" ref="C80:M80" si="42">IF(C$4="","",C31)</f>
        <v>4244531</v>
      </c>
      <c r="D80" s="270">
        <f t="shared" si="42"/>
        <v>3876809</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377404+152</f>
        <v>377556</v>
      </c>
      <c r="D4" s="231">
        <v>0.6</v>
      </c>
      <c r="E4" s="24"/>
      <c r="F4" s="4" t="s">
        <v>73</v>
      </c>
      <c r="G4" s="18">
        <v>597992</v>
      </c>
      <c r="H4" s="231">
        <v>0.9</v>
      </c>
    </row>
    <row r="5" spans="2:8" ht="15" customHeight="1">
      <c r="B5" s="1" t="s">
        <v>30</v>
      </c>
      <c r="C5" s="18">
        <v>0</v>
      </c>
      <c r="D5" s="231">
        <v>0.6</v>
      </c>
      <c r="E5" s="24"/>
      <c r="F5" s="1" t="s">
        <v>26</v>
      </c>
      <c r="G5" s="18">
        <v>0</v>
      </c>
      <c r="H5" s="231">
        <v>0.7</v>
      </c>
    </row>
    <row r="6" spans="2:8" ht="15" customHeight="1">
      <c r="B6" s="4" t="s">
        <v>8</v>
      </c>
      <c r="C6" s="18">
        <v>888295</v>
      </c>
      <c r="D6" s="231">
        <v>0.5</v>
      </c>
      <c r="E6" s="24"/>
      <c r="F6" s="4" t="s">
        <v>146</v>
      </c>
      <c r="G6" s="18">
        <v>0</v>
      </c>
      <c r="H6" s="231">
        <v>0.6</v>
      </c>
    </row>
    <row r="7" spans="2:8" ht="15" customHeight="1">
      <c r="B7" s="1" t="s">
        <v>65</v>
      </c>
      <c r="C7" s="18">
        <v>0</v>
      </c>
      <c r="D7" s="231">
        <v>0.6</v>
      </c>
      <c r="E7" s="24"/>
      <c r="F7" s="4" t="s">
        <v>147</v>
      </c>
      <c r="G7" s="18">
        <v>49392</v>
      </c>
      <c r="H7" s="231">
        <v>0.6</v>
      </c>
    </row>
    <row r="8" spans="2:8" ht="15" customHeight="1">
      <c r="B8" s="1" t="s">
        <v>143</v>
      </c>
      <c r="C8" s="18">
        <v>0</v>
      </c>
      <c r="D8" s="231">
        <v>0.6</v>
      </c>
      <c r="E8" s="24"/>
      <c r="F8" s="1" t="s">
        <v>148</v>
      </c>
      <c r="G8" s="18">
        <v>0</v>
      </c>
      <c r="H8" s="231">
        <v>0.6</v>
      </c>
    </row>
    <row r="9" spans="2:8" ht="15" customHeight="1">
      <c r="B9" s="4" t="s">
        <v>22</v>
      </c>
      <c r="C9" s="18">
        <v>0</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246562</v>
      </c>
      <c r="D11" s="231">
        <v>0.05</v>
      </c>
      <c r="H11" s="232"/>
    </row>
    <row r="12" spans="2:8" ht="15" customHeight="1">
      <c r="B12" s="77" t="s">
        <v>68</v>
      </c>
      <c r="C12" s="78">
        <f>SUM(C4:C11)</f>
        <v>1512413</v>
      </c>
      <c r="D12" s="19">
        <f>C4*D4+C5*D5+C9*D9+C6*D6+C8*D8+C7*D7+C10*D10+C11*D11</f>
        <v>683009.2</v>
      </c>
      <c r="F12" s="77" t="s">
        <v>66</v>
      </c>
      <c r="G12" s="78">
        <f>SUM(G4:G10)</f>
        <v>647384</v>
      </c>
      <c r="H12" s="19">
        <f>G4*H4+G5*H5+G6*H6+G7*H7+G8*H8+G9*H9+G10*H10</f>
        <v>567828</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2636</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607</v>
      </c>
      <c r="H17" s="231">
        <v>0.6</v>
      </c>
    </row>
    <row r="18" spans="2:8" ht="15" customHeight="1">
      <c r="B18" s="4" t="s">
        <v>143</v>
      </c>
      <c r="C18" s="18">
        <v>0</v>
      </c>
      <c r="D18" s="231">
        <v>0.6</v>
      </c>
      <c r="F18" s="4" t="s">
        <v>150</v>
      </c>
      <c r="G18" s="18">
        <v>0</v>
      </c>
      <c r="H18" s="231">
        <v>0.1</v>
      </c>
    </row>
    <row r="19" spans="2:8" ht="15" customHeight="1">
      <c r="B19" s="4" t="s">
        <v>23</v>
      </c>
      <c r="C19" s="18">
        <f>2220081+2460374</f>
        <v>4680455</v>
      </c>
      <c r="D19" s="231">
        <v>0.1</v>
      </c>
      <c r="F19" s="4" t="s">
        <v>151</v>
      </c>
      <c r="G19" s="18">
        <v>66180</v>
      </c>
      <c r="H19" s="231">
        <v>0.1</v>
      </c>
    </row>
    <row r="20" spans="2:8" ht="15" customHeight="1">
      <c r="B20" s="4" t="s">
        <v>555</v>
      </c>
      <c r="C20" s="18">
        <v>0</v>
      </c>
      <c r="D20" s="231">
        <v>0.05</v>
      </c>
      <c r="F20" s="4" t="s">
        <v>148</v>
      </c>
      <c r="G20" s="18">
        <v>0</v>
      </c>
      <c r="H20" s="231">
        <v>0.2</v>
      </c>
    </row>
    <row r="21" spans="2:8" ht="15" customHeight="1">
      <c r="B21" s="4" t="s">
        <v>16</v>
      </c>
      <c r="C21" s="18">
        <v>886547</v>
      </c>
      <c r="D21" s="231">
        <v>0.3</v>
      </c>
      <c r="F21" s="1" t="s">
        <v>149</v>
      </c>
      <c r="G21" s="18">
        <v>0</v>
      </c>
      <c r="H21" s="231">
        <v>0.1</v>
      </c>
    </row>
    <row r="22" spans="2:8" ht="15" customHeight="1">
      <c r="B22" s="4" t="s">
        <v>17</v>
      </c>
      <c r="C22" s="18">
        <v>397306</v>
      </c>
      <c r="D22" s="231">
        <v>0.9</v>
      </c>
      <c r="H22" s="232"/>
    </row>
    <row r="23" spans="2:8" ht="15" customHeight="1">
      <c r="B23" s="4" t="s">
        <v>18</v>
      </c>
      <c r="C23" s="18">
        <v>128690</v>
      </c>
      <c r="D23" s="231">
        <v>0</v>
      </c>
      <c r="H23" s="232"/>
    </row>
    <row r="24" spans="2:8" ht="15" customHeight="1">
      <c r="B24" s="77" t="s">
        <v>69</v>
      </c>
      <c r="C24" s="78">
        <f>SUM(C15:C23)</f>
        <v>6095634</v>
      </c>
      <c r="D24" s="19">
        <f>C15*D15+C16*D16+C18*D18+C17*D17+C19*D19+C20*D20+C21*D21+C22*D22+C23*D23</f>
        <v>1092639.3999999999</v>
      </c>
      <c r="F24" s="77" t="s">
        <v>67</v>
      </c>
      <c r="G24" s="78">
        <f>SUM(G15:G21)</f>
        <v>66787</v>
      </c>
      <c r="H24" s="19">
        <f>G15*H15+G16*H16+G17*H17+G18*H18+G19*H19+G20*H20+G21*H21</f>
        <v>6982.2</v>
      </c>
    </row>
    <row r="26" spans="2:8" ht="15" customHeight="1">
      <c r="B26" s="16" t="s">
        <v>168</v>
      </c>
      <c r="C26" s="164" t="s">
        <v>112</v>
      </c>
      <c r="F26" s="166" t="s">
        <v>164</v>
      </c>
      <c r="G26" s="167" t="s">
        <v>112</v>
      </c>
      <c r="H26" s="168" t="s">
        <v>32</v>
      </c>
    </row>
    <row r="27" spans="2:8" ht="15" customHeight="1">
      <c r="B27" s="4" t="s">
        <v>3</v>
      </c>
      <c r="C27" s="18">
        <v>47816</v>
      </c>
      <c r="F27" s="169" t="s">
        <v>27</v>
      </c>
      <c r="G27" s="82">
        <f>G32-G30</f>
        <v>4244531</v>
      </c>
      <c r="H27" s="170">
        <f>H32-G30</f>
        <v>-1727228.2000000002</v>
      </c>
    </row>
    <row r="28" spans="2:8" ht="15" customHeight="1">
      <c r="B28" s="4" t="s">
        <v>4</v>
      </c>
      <c r="C28" s="18">
        <v>430344</v>
      </c>
      <c r="F28" s="171" t="s">
        <v>208</v>
      </c>
      <c r="G28" s="287">
        <v>19653</v>
      </c>
      <c r="H28" s="170"/>
    </row>
    <row r="29" spans="2:8" ht="15" customHeight="1">
      <c r="B29" s="4" t="s">
        <v>5</v>
      </c>
      <c r="C29" s="18">
        <v>0</v>
      </c>
      <c r="F29" s="172" t="s">
        <v>71</v>
      </c>
      <c r="G29" s="14">
        <f>G27-G28</f>
        <v>4224878</v>
      </c>
      <c r="H29" s="170">
        <f>H27-G28</f>
        <v>-1746881.2000000002</v>
      </c>
    </row>
    <row r="30" spans="2:8" ht="15" customHeight="1">
      <c r="B30" s="2" t="s">
        <v>6</v>
      </c>
      <c r="C30" s="18">
        <v>58554</v>
      </c>
      <c r="F30" s="169" t="s">
        <v>20</v>
      </c>
      <c r="G30" s="82">
        <f>C33+C42</f>
        <v>4077687</v>
      </c>
      <c r="H30" s="170"/>
    </row>
    <row r="31" spans="2:8" ht="15" customHeight="1">
      <c r="B31" s="77" t="s">
        <v>171</v>
      </c>
      <c r="C31" s="78">
        <f>SUM(C27:C30)</f>
        <v>536714</v>
      </c>
      <c r="F31" s="172" t="s">
        <v>72</v>
      </c>
      <c r="G31" s="173">
        <f>C31+C40</f>
        <v>2855865</v>
      </c>
      <c r="H31" s="170"/>
    </row>
    <row r="32" spans="2:8" ht="15" customHeight="1">
      <c r="B32" s="4" t="s">
        <v>7</v>
      </c>
      <c r="C32" s="20">
        <f>C33-C31</f>
        <v>955121</v>
      </c>
      <c r="F32" s="174" t="s">
        <v>70</v>
      </c>
      <c r="G32" s="175">
        <f>G35+G40</f>
        <v>8322218</v>
      </c>
      <c r="H32" s="170">
        <f>H35+H40</f>
        <v>2350458.7999999998</v>
      </c>
    </row>
    <row r="33" spans="2:8" ht="15" customHeight="1">
      <c r="B33" s="80" t="s">
        <v>2</v>
      </c>
      <c r="C33" s="81">
        <v>1491835</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7608047</v>
      </c>
      <c r="H35" s="182">
        <f>D12+D24</f>
        <v>1775648.5999999999</v>
      </c>
    </row>
    <row r="36" spans="2:8" ht="15" customHeight="1">
      <c r="B36" s="4" t="s">
        <v>11</v>
      </c>
      <c r="C36" s="18">
        <v>195727</v>
      </c>
      <c r="F36" s="172" t="s">
        <v>165</v>
      </c>
      <c r="G36" s="173">
        <f>C4+C15</f>
        <v>380192</v>
      </c>
      <c r="H36" s="177"/>
    </row>
    <row r="37" spans="2:8" ht="15" customHeight="1">
      <c r="B37" s="4" t="s">
        <v>12</v>
      </c>
      <c r="C37" s="18">
        <v>2123424</v>
      </c>
      <c r="F37" s="172" t="s">
        <v>166</v>
      </c>
      <c r="G37" s="173">
        <f>C6</f>
        <v>888295</v>
      </c>
      <c r="H37" s="177"/>
    </row>
    <row r="38" spans="2:8" ht="15" customHeight="1">
      <c r="B38" s="4" t="s">
        <v>13</v>
      </c>
      <c r="C38" s="18">
        <v>0</v>
      </c>
      <c r="F38" s="172" t="s">
        <v>167</v>
      </c>
      <c r="G38" s="173">
        <f>C7+C17</f>
        <v>0</v>
      </c>
      <c r="H38" s="177"/>
    </row>
    <row r="39" spans="2:8" ht="15" customHeight="1">
      <c r="B39" s="2" t="s">
        <v>14</v>
      </c>
      <c r="C39" s="18">
        <v>0</v>
      </c>
      <c r="F39" s="172" t="s">
        <v>75</v>
      </c>
      <c r="G39" s="173">
        <f>C7+C17+C19+C20</f>
        <v>4680455</v>
      </c>
      <c r="H39" s="170">
        <f>C7*D7+C17*D17+C19*D19+C20*D20</f>
        <v>468045.5</v>
      </c>
    </row>
    <row r="40" spans="2:8" ht="15" customHeight="1">
      <c r="B40" s="77" t="s">
        <v>172</v>
      </c>
      <c r="C40" s="78">
        <f>SUM(C36:C39)</f>
        <v>2319151</v>
      </c>
      <c r="F40" s="181" t="s">
        <v>114</v>
      </c>
      <c r="G40" s="175">
        <f>G12+G24</f>
        <v>714171</v>
      </c>
      <c r="H40" s="182">
        <f>H12+H24</f>
        <v>574810.19999999995</v>
      </c>
    </row>
    <row r="41" spans="2:8" ht="15" customHeight="1">
      <c r="B41" s="4" t="s">
        <v>15</v>
      </c>
      <c r="C41" s="20">
        <f>C42-C40</f>
        <v>266701</v>
      </c>
      <c r="F41" s="172" t="s">
        <v>159</v>
      </c>
      <c r="G41" s="173">
        <f>C70</f>
        <v>597992</v>
      </c>
      <c r="H41" s="182">
        <f>H40-H42</f>
        <v>538192.79999999993</v>
      </c>
    </row>
    <row r="42" spans="2:8" ht="15" customHeight="1">
      <c r="B42" s="80" t="s">
        <v>19</v>
      </c>
      <c r="C42" s="81">
        <v>2585852</v>
      </c>
      <c r="F42" s="183" t="s">
        <v>160</v>
      </c>
      <c r="G42" s="184">
        <f>C82</f>
        <v>116179</v>
      </c>
      <c r="H42" s="185">
        <f>D82</f>
        <v>36617.399999999994</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4224878</v>
      </c>
      <c r="D46" s="73">
        <f>H29</f>
        <v>-1746881.2000000002</v>
      </c>
      <c r="F46" s="223"/>
    </row>
    <row r="47" spans="2:8" ht="15" customHeight="1">
      <c r="B47" s="1" t="str">
        <f>"Equity per share ("&amp;Market_currency&amp;")"</f>
        <v>Equity per share (HKD)</v>
      </c>
      <c r="C47" s="134">
        <f>C46*H1/Common_Shares*Exchange_Rate</f>
        <v>15.192360615822738</v>
      </c>
      <c r="D47" s="134">
        <f>D46*H1/Common_Shares*Exchange_Rate</f>
        <v>-6.2816604747879499</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2.2041306156151999</v>
      </c>
      <c r="D50" s="92">
        <f>G31/Normalized_FCF!G8</f>
        <v>2.2319291938572152</v>
      </c>
      <c r="F50" s="223"/>
    </row>
    <row r="51" spans="2:8" ht="15" customHeight="1">
      <c r="B51" s="1" t="s">
        <v>145</v>
      </c>
      <c r="C51" s="163"/>
      <c r="D51" s="89">
        <f>G29/G32</f>
        <v>0.50766250054973328</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0.17030490646755866</v>
      </c>
      <c r="D54" s="89">
        <f>Normalized_FCF!G8/G35</f>
        <v>0.16818376647778333</v>
      </c>
      <c r="F54" s="223"/>
    </row>
    <row r="55" spans="2:8" ht="15" customHeight="1">
      <c r="B55" s="1" t="s">
        <v>117</v>
      </c>
      <c r="C55" s="89">
        <f>Normalized_FCF!C9/G40</f>
        <v>0</v>
      </c>
      <c r="D55" s="89">
        <f>Normalized_FCF!G9/G40</f>
        <v>1.5542496124877655E-4</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0.56240475796236056</v>
      </c>
      <c r="F59" s="223"/>
    </row>
    <row r="60" spans="2:8" ht="15" customHeight="1">
      <c r="F60" s="223"/>
    </row>
    <row r="61" spans="2:8" ht="15" customHeight="1">
      <c r="B61" s="143" t="s">
        <v>230</v>
      </c>
      <c r="C61" s="210" t="s">
        <v>113</v>
      </c>
      <c r="D61" s="179" t="s">
        <v>90</v>
      </c>
      <c r="F61" s="223"/>
    </row>
    <row r="62" spans="2:8" ht="15" customHeight="1">
      <c r="B62" s="1" t="s">
        <v>209</v>
      </c>
      <c r="C62" s="89">
        <f>IF(G28&lt;=0,0,G28/G29)</f>
        <v>4.6517319553369355E-3</v>
      </c>
      <c r="D62" s="89">
        <f>G28/G29</f>
        <v>4.6517319553369355E-3</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597992</v>
      </c>
      <c r="D66" s="73">
        <f>C66-D75</f>
        <v>-51974.549009350827</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597992</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-651311.36007066665</v>
      </c>
      <c r="D73" s="285">
        <f>(Normalized_FCF!C26+Normalized_FCF!C35-Normalized_FCF!C89)/12</f>
        <v>-649966.54900935083</v>
      </c>
      <c r="F73" s="1" t="s">
        <v>277</v>
      </c>
    </row>
    <row r="74" spans="2:6" ht="15" customHeight="1">
      <c r="B74" s="227" t="s">
        <v>258</v>
      </c>
      <c r="C74" s="228">
        <f>-$C$66/C73</f>
        <v>0.91813537527599465</v>
      </c>
      <c r="D74" s="228">
        <f>-$C$66/D73</f>
        <v>0.92003504012849879</v>
      </c>
      <c r="F74" s="223" t="s">
        <v>256</v>
      </c>
    </row>
    <row r="75" spans="2:6" ht="15" customHeight="1">
      <c r="B75" s="77" t="s">
        <v>257</v>
      </c>
      <c r="C75" s="261"/>
      <c r="D75" s="262">
        <f>MAX(-D73*D76,G5)</f>
        <v>649966.54900935083</v>
      </c>
      <c r="F75" s="223" t="s">
        <v>278</v>
      </c>
    </row>
    <row r="76" spans="2:6" ht="15" customHeight="1">
      <c r="B76" s="229" t="s">
        <v>259</v>
      </c>
      <c r="C76" s="230"/>
      <c r="D76" s="248">
        <f>IF(D74&lt;=3,1,IF(D74&gt;18,6,2))</f>
        <v>1</v>
      </c>
      <c r="F76" s="223" t="s">
        <v>260</v>
      </c>
    </row>
    <row r="77" spans="2:6" ht="15" customHeight="1">
      <c r="F77" s="223"/>
    </row>
    <row r="78" spans="2:6" ht="15" customHeight="1">
      <c r="B78" s="16" t="s">
        <v>158</v>
      </c>
      <c r="C78" s="209" t="s">
        <v>112</v>
      </c>
      <c r="D78" s="165" t="s">
        <v>32</v>
      </c>
      <c r="F78" s="223"/>
    </row>
    <row r="79" spans="2:6" ht="15" customHeight="1">
      <c r="B79" s="102" t="s">
        <v>147</v>
      </c>
      <c r="C79" s="19">
        <f>G7+G17</f>
        <v>49999</v>
      </c>
      <c r="D79" s="73">
        <f>G7*H7+G17*H17</f>
        <v>29999.399999999998</v>
      </c>
      <c r="F79" s="223"/>
    </row>
    <row r="80" spans="2:6" ht="15" customHeight="1">
      <c r="B80" s="102" t="s">
        <v>151</v>
      </c>
      <c r="C80" s="19">
        <f>G19</f>
        <v>66180</v>
      </c>
      <c r="D80" s="73">
        <f>G19*H19</f>
        <v>6618</v>
      </c>
      <c r="F80" s="223"/>
    </row>
    <row r="81" spans="2:8" ht="15" customHeight="1">
      <c r="B81" s="102" t="s">
        <v>149</v>
      </c>
      <c r="C81" s="19">
        <f>G9+G21</f>
        <v>0</v>
      </c>
      <c r="D81" s="73">
        <f>G9*H9+G21*H21</f>
        <v>0</v>
      </c>
      <c r="F81" s="223"/>
    </row>
    <row r="82" spans="2:8" ht="15" customHeight="1">
      <c r="B82" s="77" t="s">
        <v>158</v>
      </c>
      <c r="C82" s="78">
        <f>SUM(C79:C81)</f>
        <v>116179</v>
      </c>
      <c r="D82" s="78">
        <f>SUM(D79:D81)</f>
        <v>36617.399999999994</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-26277810.561885003</v>
      </c>
      <c r="D86" s="201">
        <f>C86*scaling_factor/Common_Shares</f>
        <v>-10.269487296463142</v>
      </c>
      <c r="E86" s="214" t="str">
        <f>Market_currency</f>
        <v>HKD</v>
      </c>
    </row>
    <row r="87" spans="2:8" ht="15" customHeight="1">
      <c r="B87" s="212" t="s">
        <v>239</v>
      </c>
      <c r="C87" s="73">
        <f>DCF!F5*Exchange_Rate</f>
        <v>-478235.96455264126</v>
      </c>
      <c r="D87" s="201">
        <f>C87*scaling_factor/Common_Shares</f>
        <v>-0.18689677936139465</v>
      </c>
      <c r="E87" s="214" t="str">
        <f>Market_currency</f>
        <v>HKD</v>
      </c>
    </row>
    <row r="88" spans="2:8" ht="15" customHeight="1">
      <c r="B88" s="213" t="s">
        <v>158</v>
      </c>
      <c r="C88" s="73">
        <f>DCF!F6*Exchange_Rate</f>
        <v>336929.47687259997</v>
      </c>
      <c r="D88" s="201">
        <f>C88*scaling_factor/Common_Shares</f>
        <v>0.13167356444702721</v>
      </c>
      <c r="E88" s="214" t="str">
        <f>Market_currency</f>
        <v>HKD</v>
      </c>
    </row>
    <row r="89" spans="2:8" ht="15" customHeight="1">
      <c r="B89" s="77" t="s">
        <v>243</v>
      </c>
      <c r="C89" s="162">
        <f>SUM(C86:C88)</f>
        <v>-26419117.049565043</v>
      </c>
      <c r="D89" s="216">
        <f>SUM(D86:D88)</f>
        <v>-10.324710511377509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EUR</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5431557</v>
      </c>
      <c r="D4" s="54"/>
      <c r="E4" s="235"/>
      <c r="F4" s="54"/>
      <c r="G4" s="270">
        <f>Data!C36</f>
        <v>5431557</v>
      </c>
      <c r="H4" s="270">
        <f>Data!D36</f>
        <v>4726411</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42</v>
      </c>
      <c r="C5" s="266">
        <f>C26</f>
        <v>-1078727.2672642095</v>
      </c>
      <c r="E5" s="237"/>
      <c r="G5" s="270">
        <f t="shared" ref="G5:Q5" si="1">G26</f>
        <v>-1094865</v>
      </c>
      <c r="H5" s="270">
        <f t="shared" si="1"/>
        <v>-924640</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44</v>
      </c>
      <c r="C6" s="267">
        <f>C4+C5</f>
        <v>4352829.7327357903</v>
      </c>
      <c r="E6" s="237"/>
      <c r="G6" s="267">
        <f>IF(G4="","",G4+G5)</f>
        <v>4336692</v>
      </c>
      <c r="H6" s="267">
        <f t="shared" ref="H6:Q6" si="2">IF(H4="","",H4+H5)</f>
        <v>3801771</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41</v>
      </c>
      <c r="C7" s="266">
        <f>C35</f>
        <v>-3057142</v>
      </c>
      <c r="E7" s="237"/>
      <c r="G7" s="266">
        <f t="shared" ref="G7:Q7" si="3">G35</f>
        <v>-3057142</v>
      </c>
      <c r="H7" s="266">
        <f t="shared" si="3"/>
        <v>-2740079</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126</v>
      </c>
      <c r="C8" s="268">
        <f>C6+C7</f>
        <v>1295687.7327357903</v>
      </c>
      <c r="D8" s="56"/>
      <c r="E8" s="241"/>
      <c r="F8" s="56"/>
      <c r="G8" s="267">
        <f>IF(G$4="","",G6+G7)</f>
        <v>1279550</v>
      </c>
      <c r="H8" s="267">
        <f t="shared" ref="H8:Q8" si="4">IF(H$4="","",H6+H7)</f>
        <v>1061692</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414</v>
      </c>
      <c r="C9" s="300">
        <f>C61</f>
        <v>0</v>
      </c>
      <c r="D9" s="55"/>
      <c r="E9" s="236"/>
      <c r="F9" s="55"/>
      <c r="G9" s="270">
        <f>G59</f>
        <v>111</v>
      </c>
      <c r="H9" s="270">
        <f t="shared" ref="H9:Q9" si="5">H59</f>
        <v>627</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64</v>
      </c>
      <c r="C10" s="266">
        <f>C48</f>
        <v>-167452.10070594389</v>
      </c>
      <c r="E10" s="237"/>
      <c r="G10" s="266">
        <f>G48</f>
        <v>-90938</v>
      </c>
      <c r="H10" s="266">
        <f t="shared" ref="H10:Q10" si="6">H48</f>
        <v>-90856</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136</v>
      </c>
      <c r="C11" s="267">
        <f>SUM(C8:C10)</f>
        <v>1128235.6320298463</v>
      </c>
      <c r="E11" s="237"/>
      <c r="G11" s="267">
        <f t="shared" ref="G11:Q11" si="7">IF(G$4="","",SUM(G8:G10))</f>
        <v>1188723</v>
      </c>
      <c r="H11" s="267">
        <f t="shared" si="7"/>
        <v>971463</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59</v>
      </c>
      <c r="C12" s="266">
        <f>-C11*C41</f>
        <v>-313762.32926750026</v>
      </c>
      <c r="E12" s="237"/>
      <c r="G12" s="266">
        <f>Data!C46</f>
        <v>-345323</v>
      </c>
      <c r="H12" s="266">
        <f>Data!D46</f>
        <v>-298071</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207</v>
      </c>
      <c r="C13" s="266">
        <f>-C4*C79</f>
        <v>-4493</v>
      </c>
      <c r="D13" s="57"/>
      <c r="E13" s="242"/>
      <c r="F13" s="57"/>
      <c r="G13" s="270">
        <f>Data!C48</f>
        <v>-4493</v>
      </c>
      <c r="H13" s="270">
        <f>Data!D48</f>
        <v>-2366</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128</v>
      </c>
      <c r="C14" s="269">
        <f>SUM(C11:C13)</f>
        <v>809980.30276234611</v>
      </c>
      <c r="D14" s="58"/>
      <c r="E14" s="243"/>
      <c r="F14" s="58"/>
      <c r="G14" s="267">
        <f t="shared" ref="G14:Q14" si="8">IF(G$4="","",SUM(G11:G13))</f>
        <v>838907</v>
      </c>
      <c r="H14" s="267">
        <f t="shared" si="8"/>
        <v>671026</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61</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397</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809980.30276234611</v>
      </c>
      <c r="D19" s="26"/>
      <c r="E19" s="234"/>
      <c r="F19" s="26"/>
      <c r="G19" s="271">
        <f t="shared" ref="G19:Q19" si="9">IF(G$4="","",G14+G17)</f>
        <v>838907</v>
      </c>
      <c r="H19" s="271">
        <f t="shared" si="9"/>
        <v>671026</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-1078727.2672642095</v>
      </c>
      <c r="D23" s="55"/>
      <c r="E23" s="236"/>
      <c r="F23" s="55"/>
      <c r="G23" s="270">
        <f>Data!C37</f>
        <v>-1094865</v>
      </c>
      <c r="H23" s="270">
        <f>Data!D37</f>
        <v>-924640</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58</v>
      </c>
      <c r="C24" s="266">
        <f>-C4*C30</f>
        <v>0</v>
      </c>
      <c r="D24" s="26"/>
      <c r="E24" s="234"/>
      <c r="F24" s="26"/>
      <c r="G24" s="270">
        <f>Data!C40</f>
        <v>0</v>
      </c>
      <c r="H24" s="270">
        <f>Data!D40</f>
        <v>0</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45</v>
      </c>
      <c r="C25" s="266">
        <f>-C4*C31</f>
        <v>0</v>
      </c>
      <c r="D25" s="55"/>
      <c r="E25" s="235"/>
      <c r="F25" s="55"/>
      <c r="G25" s="270">
        <f>Data!C42</f>
        <v>0</v>
      </c>
      <c r="H25" s="270">
        <f>Data!D42</f>
        <v>0</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42</v>
      </c>
      <c r="C26" s="267">
        <f>SUM(C23:C25)</f>
        <v>-1078727.2672642095</v>
      </c>
      <c r="D26" s="9"/>
      <c r="E26" s="240"/>
      <c r="F26" s="9"/>
      <c r="G26" s="267">
        <f>IF(G$4="","",SUM(G23:G25))</f>
        <v>-1094865</v>
      </c>
      <c r="H26" s="267">
        <f t="shared" ref="H26:Q26" si="10">IF(H$4="","",SUM(H23:H25))</f>
        <v>-924640</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AVERAGE(G29:H29)</f>
        <v>0.19860369085037854</v>
      </c>
      <c r="D29" s="25"/>
      <c r="E29" s="235"/>
      <c r="F29" s="25"/>
      <c r="G29" s="13">
        <f t="shared" ref="G29:Q29" si="11">IF(G$4="","",ABS(G23/G$4))</f>
        <v>0.20157479706095324</v>
      </c>
      <c r="H29" s="13">
        <f t="shared" si="11"/>
        <v>0.19563258463980385</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v>
      </c>
      <c r="D30" s="25"/>
      <c r="E30" s="235"/>
      <c r="F30" s="25"/>
      <c r="G30" s="13">
        <f t="shared" ref="G30:Q30" si="12">IF(G$4="","",ABS(G24/G$4))</f>
        <v>0</v>
      </c>
      <c r="H30" s="13">
        <f t="shared" si="12"/>
        <v>0</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42</v>
      </c>
      <c r="C32" s="68">
        <f>ABS(C26/$C$4)</f>
        <v>0.19860369085037852</v>
      </c>
      <c r="E32" s="237"/>
      <c r="G32" s="29">
        <f t="shared" ref="G32:Q32" si="14">IF(G$4="","",ABS(G26/G$4))</f>
        <v>0.20157479706095324</v>
      </c>
      <c r="H32" s="29">
        <f t="shared" si="14"/>
        <v>0.19563258463980385</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-3057142</v>
      </c>
      <c r="D35" s="55"/>
      <c r="E35" s="236"/>
      <c r="F35" s="55"/>
      <c r="G35" s="267">
        <f>IF(G4="","",Data!C41)</f>
        <v>-3057142</v>
      </c>
      <c r="H35" s="267">
        <f>IF(H4="","",Data!D41)</f>
        <v>-2740079</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0.56284818515206603</v>
      </c>
      <c r="E38" s="237"/>
      <c r="G38" s="29">
        <f t="shared" ref="G38:Q38" si="15">IF(G$4="","",ABS(G35/G$4))</f>
        <v>0.56284818515206603</v>
      </c>
      <c r="H38" s="29">
        <f t="shared" si="15"/>
        <v>0.5797377756610671</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0.27810000000000001</v>
      </c>
      <c r="D41" s="26"/>
      <c r="E41" s="234" t="s">
        <v>402</v>
      </c>
      <c r="F41" s="26"/>
      <c r="G41" s="6">
        <f t="shared" ref="G41:Q41" si="16">IF(G$4="","",-G12/SUM(G8+G9,G10))</f>
        <v>0.29049913226209972</v>
      </c>
      <c r="H41" s="6">
        <f t="shared" si="16"/>
        <v>0.30682691981063615</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-171351.9</v>
      </c>
      <c r="E45" s="237"/>
      <c r="G45" s="266">
        <f>Data!C51</f>
        <v>-90938</v>
      </c>
      <c r="H45" s="266">
        <f>Data!D51</f>
        <v>-90856</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271</v>
      </c>
      <c r="C46" s="266">
        <f>BS!D75*C51</f>
        <v>3899.7992940561048</v>
      </c>
      <c r="E46" s="237"/>
      <c r="G46" s="274">
        <f t="shared" ref="G46:Q46" si="17">IFERROR(IF(G$4="","",($C$46/$C$47)*G47),0)</f>
        <v>0</v>
      </c>
      <c r="H46" s="274">
        <f t="shared" si="17"/>
        <v>0</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3587.9520000000002</v>
      </c>
      <c r="D47" s="246"/>
      <c r="E47" s="247"/>
      <c r="F47" s="246"/>
      <c r="G47" s="278">
        <f>Data!C52</f>
        <v>0</v>
      </c>
      <c r="H47" s="278">
        <f>Data!D52</f>
        <v>0</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64</v>
      </c>
      <c r="C48" s="267">
        <f>C45+C46</f>
        <v>-167452.10070594389</v>
      </c>
      <c r="E48" s="237"/>
      <c r="G48" s="267">
        <f>IF(G$4="","",(G45+G46))</f>
        <v>-90938</v>
      </c>
      <c r="H48" s="267">
        <f t="shared" ref="H48:Q48" si="18">IF(H$4="","",(H45+H46))</f>
        <v>-90856</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83</v>
      </c>
      <c r="C52" s="79">
        <v>0.06</v>
      </c>
      <c r="E52" s="234"/>
      <c r="G52" s="22">
        <f>IFERROR(ABS(Normalized_FCF!G45/BS!$G$31),0)</f>
        <v>3.1842541576720187E-2</v>
      </c>
      <c r="H52" s="151"/>
      <c r="I52" s="151"/>
      <c r="J52" s="151"/>
      <c r="K52" s="151"/>
      <c r="L52" s="151"/>
      <c r="M52" s="151"/>
      <c r="N52" s="151"/>
      <c r="O52" s="151"/>
      <c r="P52" s="151"/>
      <c r="Q52" s="151"/>
    </row>
    <row r="53" spans="1:17" ht="15.75" customHeight="1">
      <c r="A53" s="10"/>
      <c r="B53" s="25" t="s">
        <v>86</v>
      </c>
      <c r="C53" s="40">
        <f>-C8/C45</f>
        <v>7.5615603488247887</v>
      </c>
      <c r="E53" s="237"/>
      <c r="G53" s="40">
        <f t="shared" ref="G53:Q53" si="19">IF(G4="","",-G8/G45)</f>
        <v>14.070575556972882</v>
      </c>
      <c r="H53" s="40">
        <f t="shared" si="19"/>
        <v>11.68543629479616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111</v>
      </c>
      <c r="H56" s="266">
        <f>Data!D56</f>
        <v>627</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133</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111</v>
      </c>
      <c r="H59" s="267">
        <f t="shared" si="20"/>
        <v>627</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0</v>
      </c>
      <c r="H60" s="266">
        <f>Data!D58</f>
        <v>0</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111</v>
      </c>
      <c r="H61" s="267">
        <f t="shared" si="21"/>
        <v>627</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1.8562121232391069E-4</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0.19860369085037852</v>
      </c>
      <c r="D71" s="26"/>
      <c r="E71" s="234"/>
      <c r="F71" s="26"/>
      <c r="G71" s="6">
        <f t="shared" ref="G71:Q71" si="23">IF(G$4="","",ABS(G5/G$4))</f>
        <v>0.20157479706095324</v>
      </c>
      <c r="H71" s="6">
        <f t="shared" si="23"/>
        <v>0.19563258463980385</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44</v>
      </c>
      <c r="C72" s="75">
        <f t="shared" si="22"/>
        <v>0.80139630914962146</v>
      </c>
      <c r="D72" s="26"/>
      <c r="E72" s="234"/>
      <c r="F72" s="26"/>
      <c r="G72" s="62">
        <f t="shared" ref="G72:Q72" si="24">IF(G$4="","",ABS(G6/G$4))</f>
        <v>0.79842520293904673</v>
      </c>
      <c r="H72" s="62">
        <f t="shared" si="24"/>
        <v>0.80436741536019618</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41</v>
      </c>
      <c r="C73" s="74">
        <f t="shared" si="22"/>
        <v>0.56284818515206603</v>
      </c>
      <c r="D73" s="26"/>
      <c r="E73" s="234"/>
      <c r="F73" s="26"/>
      <c r="G73" s="6">
        <f t="shared" ref="G73:Q73" si="25">IF(G$4="","",ABS(G7/G$4))</f>
        <v>0.56284818515206603</v>
      </c>
      <c r="H73" s="6">
        <f t="shared" si="25"/>
        <v>0.5797377756610671</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126</v>
      </c>
      <c r="C74" s="75">
        <f t="shared" si="22"/>
        <v>0.23854812399755546</v>
      </c>
      <c r="D74" s="26"/>
      <c r="E74" s="234"/>
      <c r="F74" s="26"/>
      <c r="G74" s="62">
        <f t="shared" ref="G74:Q74" si="26">IF(G$4="","",ABS(G8/G$4))</f>
        <v>0.23557701778698079</v>
      </c>
      <c r="H74" s="62">
        <f t="shared" si="26"/>
        <v>0.224629639699129</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2.0436129087847188E-5</v>
      </c>
      <c r="H75" s="6">
        <f t="shared" si="27"/>
        <v>1.3265879755273082E-4</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64</v>
      </c>
      <c r="C76" s="74">
        <f t="shared" si="22"/>
        <v>3.0829484198719424E-2</v>
      </c>
      <c r="D76" s="26"/>
      <c r="E76" s="234"/>
      <c r="F76" s="26"/>
      <c r="G76" s="6">
        <f t="shared" ref="G76:Q76" si="28">IF(G$4="","",ABS(G10/G$4))</f>
        <v>1.6742528891807634E-2</v>
      </c>
      <c r="H76" s="6">
        <f t="shared" si="28"/>
        <v>1.9223042600400177E-2</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136</v>
      </c>
      <c r="C77" s="75">
        <f>C11/C4</f>
        <v>0.20771863979883601</v>
      </c>
      <c r="D77" s="26"/>
      <c r="E77" s="234"/>
      <c r="F77" s="26"/>
      <c r="G77" s="62">
        <f t="shared" ref="G77:Q77" si="29">IF(G$4="","",G11/G$4)</f>
        <v>0.21885492502426099</v>
      </c>
      <c r="H77" s="62">
        <f t="shared" si="29"/>
        <v>0.20553925589628155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59</v>
      </c>
      <c r="C78" s="74">
        <f>ABS(C12/C$4)</f>
        <v>5.7766553728056294E-2</v>
      </c>
      <c r="D78" s="26"/>
      <c r="E78" s="234"/>
      <c r="F78" s="26"/>
      <c r="G78" s="6">
        <f t="shared" ref="G78:Q78" si="30">IF(G$4="","",ABS(G12/G$4))</f>
        <v>6.3577165810834724E-2</v>
      </c>
      <c r="H78" s="6">
        <f t="shared" si="30"/>
        <v>6.3064976786826196E-2</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8.272029548801568E-4</v>
      </c>
      <c r="D79" s="26"/>
      <c r="E79" s="234"/>
      <c r="F79" s="26"/>
      <c r="G79" s="6">
        <f t="shared" ref="G79:Q79" si="31">IF(G$4="","",-G13/G$4)</f>
        <v>8.272029548801568E-4</v>
      </c>
      <c r="H79" s="6">
        <f t="shared" si="31"/>
        <v>5.0059125200918836E-4</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128</v>
      </c>
      <c r="C80" s="75">
        <f>ABS(C14/C$4)</f>
        <v>0.14912488311589958</v>
      </c>
      <c r="D80" s="26"/>
      <c r="E80" s="234"/>
      <c r="F80" s="26"/>
      <c r="G80" s="62">
        <f t="shared" ref="G80:Q80" si="32">IF(G$4="","",ABS(G14/G$4))</f>
        <v>0.15445055625854612</v>
      </c>
      <c r="H80" s="62">
        <f t="shared" si="32"/>
        <v>0.14197368785744616</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61</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76</v>
      </c>
      <c r="C82" s="85">
        <f>MAX(AVERAGE(G82:J82),C81)</f>
        <v>0</v>
      </c>
      <c r="D82" s="26"/>
      <c r="E82" s="235" t="s">
        <v>547</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0.14912488311589958</v>
      </c>
      <c r="D85" s="72"/>
      <c r="E85" s="234"/>
      <c r="F85" s="72"/>
      <c r="G85" s="62">
        <f t="shared" ref="G85:Q85" si="35">IF(G$4="","",ABS(G19/G$4))</f>
        <v>0.15445055625854612</v>
      </c>
      <c r="H85" s="62">
        <f t="shared" si="35"/>
        <v>0.14197368785744616</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1.431802</v>
      </c>
      <c r="E88" s="237"/>
      <c r="G88" s="109">
        <f>Data!C65</f>
        <v>1.431802</v>
      </c>
      <c r="H88" s="109">
        <f>Data!D65</f>
        <v>1.1338805000000001</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3663729.3208480002</v>
      </c>
      <c r="E89" s="237"/>
      <c r="G89" s="71">
        <f t="shared" ref="G89:Q89" si="36">IF(G$4="","",G88*Common_Shares/scaling_factor)</f>
        <v>3663729.3208480002</v>
      </c>
      <c r="H89" s="71">
        <f t="shared" si="36"/>
        <v>2901400.6365320003</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4.5232326123897897</v>
      </c>
      <c r="E90" s="237"/>
      <c r="G90" s="152">
        <f t="shared" ref="G90:Q90" si="37">IF(G$4="","",G88/(G19*scaling_factor/Common_Shares))</f>
        <v>4.3672651686635104</v>
      </c>
      <c r="H90" s="152">
        <f t="shared" si="37"/>
        <v>4.3238274471212739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3.6940196078431374E-2</v>
      </c>
      <c r="E92" s="237"/>
      <c r="G92" s="22">
        <f t="shared" ref="G92:Q92" si="38">IF(G$4="","",(G88*(1-dividend_tax_rate))/Market_Price)</f>
        <v>3.6940196078431374E-2</v>
      </c>
      <c r="H92" s="22">
        <f t="shared" si="38"/>
        <v>2.9253882868937053E-2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0.14919269610704622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-5.0884325423293464E-2</v>
      </c>
      <c r="D96" s="26"/>
      <c r="E96" s="234"/>
      <c r="F96" s="26"/>
      <c r="G96" s="6">
        <f t="shared" ref="G96:Q96" si="40">IF(H5="","",G11/H11-1)</f>
        <v>0.22364207386179391</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8322218</v>
      </c>
      <c r="D100" s="25"/>
      <c r="E100" s="238"/>
      <c r="F100" s="25"/>
      <c r="G100" s="270">
        <f t="shared" ref="G100:Q100" si="41">IF(G$4="","",G104+G103)</f>
        <v>8322218</v>
      </c>
      <c r="H100" s="270">
        <f t="shared" si="41"/>
        <v>7615051</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377556</v>
      </c>
      <c r="D101" s="86"/>
      <c r="E101" s="239"/>
      <c r="F101" s="86"/>
      <c r="G101" s="282">
        <f>IF(G$4="","",Data!D77)</f>
        <v>405151</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888295</v>
      </c>
      <c r="D102" s="86"/>
      <c r="E102" s="239"/>
      <c r="F102" s="86"/>
      <c r="G102" s="282">
        <f>IF(G$4="","",Data!D78)</f>
        <v>782978</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4077687</v>
      </c>
      <c r="D103" s="25"/>
      <c r="E103" s="238"/>
      <c r="F103" s="25"/>
      <c r="G103" s="270">
        <f>Data!C79</f>
        <v>4077687</v>
      </c>
      <c r="H103" s="270">
        <f>Data!D79</f>
        <v>3738242</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27</v>
      </c>
      <c r="C104" s="280">
        <f>BS!G27</f>
        <v>4244531</v>
      </c>
      <c r="D104" s="25"/>
      <c r="E104" s="238"/>
      <c r="F104" s="25"/>
      <c r="G104" s="270">
        <f>Data!C80</f>
        <v>4244531</v>
      </c>
      <c r="H104" s="270">
        <f>Data!D80</f>
        <v>3876809</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6.951155994496605E-2</v>
      </c>
      <c r="D107" s="25"/>
      <c r="E107" s="238"/>
      <c r="F107" s="25"/>
      <c r="G107" s="91">
        <f t="shared" ref="G107:Q107" si="42">IF(G$4="","",G101/G$4)</f>
        <v>7.4592055279913291E-2</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0.1635433449377407</v>
      </c>
      <c r="D108" s="25"/>
      <c r="E108" s="238"/>
      <c r="F108" s="25"/>
      <c r="G108" s="91">
        <f t="shared" ref="G108:Q108" si="43">IF(G$4="","",G102/G$4)</f>
        <v>0.14415350883733707</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554</v>
      </c>
      <c r="G112" s="251">
        <f>IF(G$4="","",Data!C$22/Data!C15)</f>
        <v>1.9582843253497748</v>
      </c>
      <c r="H112" s="251">
        <f>IF(H$4="","",Data!D$22/Data!D15)</f>
        <v>1.7156143821132417</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1.9687724622633975</v>
      </c>
      <c r="H113" s="251">
        <f>IF(H$4="","",Data!D$22/H19)</f>
        <v>1.7216635420982198</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21yrs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0.20771863979883601</v>
      </c>
      <c r="E116" s="22">
        <f>E119/E117/E118</f>
        <v>0.20771863979883598</v>
      </c>
      <c r="G116" s="22">
        <f t="shared" ref="G116:Q116" si="44">IF(G4="","",G77)</f>
        <v>0.21885492502426099</v>
      </c>
      <c r="H116" s="22">
        <f t="shared" si="44"/>
        <v>0.20553925589628155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79</v>
      </c>
      <c r="C117" s="452">
        <f>G117</f>
        <v>0.65265738052043343</v>
      </c>
      <c r="E117" s="452">
        <f>C117</f>
        <v>0.65265738052043343</v>
      </c>
      <c r="G117" s="40">
        <f t="shared" ref="G117:Q117" si="45">IF(G4="","",G4/G100)</f>
        <v>0.65265738052043343</v>
      </c>
      <c r="H117" s="40">
        <f t="shared" si="45"/>
        <v>0.6206670185137303</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87</v>
      </c>
      <c r="C118" s="15">
        <f>C100/C104</f>
        <v>1.9606920057834423</v>
      </c>
      <c r="D118" s="11"/>
      <c r="E118" s="15">
        <f>C100/C104</f>
        <v>1.9606920057834423</v>
      </c>
      <c r="F118" s="11"/>
      <c r="G118" s="15">
        <f t="shared" ref="G118:Q118" si="46">IF(G$4="","",G100/G104)</f>
        <v>1.9606920057834423</v>
      </c>
      <c r="H118" s="15">
        <f t="shared" si="46"/>
        <v>1.9642574601947116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0.2658092571428613</v>
      </c>
      <c r="D119" s="100"/>
      <c r="E119" s="453">
        <f>C119</f>
        <v>0.2658092571428613</v>
      </c>
      <c r="F119" s="100"/>
      <c r="G119" s="99">
        <f t="shared" ref="G119:Q119" si="47">IF(G$4="","",G11/G104)</f>
        <v>0.28005991710273764</v>
      </c>
      <c r="H119" s="99">
        <f t="shared" si="47"/>
        <v>0.25058314711919005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2.9126315248106209</v>
      </c>
      <c r="D123" s="26"/>
      <c r="E123" s="234"/>
      <c r="F123" s="26"/>
      <c r="G123" s="159">
        <f t="shared" ref="G123:Q123" si="48">IF(G$4="","",G14*$C$3/Common_Shares*Exchange_Rate)</f>
        <v>3.0166498694490129</v>
      </c>
      <c r="H123" s="159">
        <f t="shared" si="48"/>
        <v>2.4129617410474502</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7.5145292177776588E-2</v>
      </c>
      <c r="D124" s="26"/>
      <c r="E124" s="234"/>
      <c r="F124" s="26"/>
      <c r="G124" s="74">
        <f t="shared" ref="G124" si="49">IF(G$4="","",G123/Market_Price)</f>
        <v>7.7828944000232533E-2</v>
      </c>
      <c r="H124" s="74">
        <f t="shared" ref="H124" si="50">IF(H$4="","",H123/Market_Price)</f>
        <v>6.2253914887705118E-2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8.5037290269407394E-3</v>
      </c>
      <c r="H125" s="22">
        <f>IF(H$4="","",(Data!D47*$C$3)/(Market_Price*Common_Shares))</f>
        <v>6.7895934276851772E-3</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809980.30276234611</v>
      </c>
      <c r="D4" t="str">
        <f>Reporting_currency</f>
        <v>EUR</v>
      </c>
      <c r="E4" s="135" t="s">
        <v>430</v>
      </c>
      <c r="F4" s="275">
        <f>-BS!G31</f>
        <v>-2855865</v>
      </c>
      <c r="G4" t="str">
        <f>Reporting_currency</f>
        <v>EUR</v>
      </c>
      <c r="H4" s="308" t="s">
        <v>393</v>
      </c>
      <c r="I4" s="305">
        <f>Normalized_FCF!C4</f>
        <v>5431557</v>
      </c>
      <c r="J4" s="305"/>
    </row>
    <row r="5" spans="2:15">
      <c r="B5" s="187" t="s">
        <v>104</v>
      </c>
      <c r="C5" s="188">
        <f>Equity_Cost</f>
        <v>7.2499999999999995E-2</v>
      </c>
      <c r="E5" s="135" t="s">
        <v>431</v>
      </c>
      <c r="F5" s="275">
        <f>BS!D66</f>
        <v>-51974.549009350827</v>
      </c>
      <c r="G5" t="str">
        <f>Reporting_currency</f>
        <v>EUR</v>
      </c>
      <c r="H5" s="308" t="s">
        <v>394</v>
      </c>
      <c r="I5" s="305">
        <f>Normalized_FCF!C7</f>
        <v>-3057142</v>
      </c>
      <c r="J5" s="305"/>
    </row>
    <row r="6" spans="2:15" ht="13.25" customHeight="1">
      <c r="B6" s="136" t="s">
        <v>193</v>
      </c>
      <c r="C6" s="283">
        <f>(C4*(1+Terminal_Growth))/(Equity_Cost-Terminal_Growth)</f>
        <v>15736760.167954154</v>
      </c>
      <c r="D6" t="str">
        <f>Reporting_currency</f>
        <v>EUR</v>
      </c>
      <c r="E6" s="187" t="s">
        <v>432</v>
      </c>
      <c r="F6" s="284">
        <f>BS!H42</f>
        <v>36617.399999999994</v>
      </c>
      <c r="G6" t="str">
        <f>Reporting_currency</f>
        <v>EUR</v>
      </c>
      <c r="H6" s="308" t="s">
        <v>415</v>
      </c>
      <c r="I6" s="305">
        <f>I7+I8</f>
        <v>-167452.10070594389</v>
      </c>
      <c r="J6" s="305"/>
      <c r="N6" s="135"/>
    </row>
    <row r="7" spans="2:15" ht="12.75" customHeight="1">
      <c r="B7" s="318" t="s">
        <v>429</v>
      </c>
      <c r="C7" s="275">
        <f>F7</f>
        <v>-2871222.1490093512</v>
      </c>
      <c r="E7" s="140" t="s">
        <v>423</v>
      </c>
      <c r="F7" s="283">
        <f>SUM(F4:F6)</f>
        <v>-2871222.1490093512</v>
      </c>
      <c r="G7" t="str">
        <f>Reporting_currency</f>
        <v>EUR</v>
      </c>
      <c r="H7" s="312" t="s">
        <v>416</v>
      </c>
      <c r="I7" s="313">
        <f>Normalized_FCF!C9</f>
        <v>0</v>
      </c>
      <c r="J7" s="313"/>
      <c r="N7" s="304"/>
      <c r="O7" s="304"/>
    </row>
    <row r="8" spans="2:15" ht="13.15">
      <c r="B8" s="136" t="s">
        <v>425</v>
      </c>
      <c r="C8" s="283">
        <f>C6+C7</f>
        <v>12865538.018944804</v>
      </c>
      <c r="D8" t="str">
        <f>Reporting_currency</f>
        <v>EUR</v>
      </c>
      <c r="E8" s="140" t="s">
        <v>463</v>
      </c>
      <c r="F8" s="108">
        <f>FV_adjustments*scaling_factor/Common_Shares*Exchange_Rate</f>
        <v>-10.324710511377511</v>
      </c>
      <c r="G8" s="294" t="str">
        <f>Market_currency</f>
        <v>HKD</v>
      </c>
      <c r="H8" s="314" t="str">
        <f>Normalized_FCF!B10</f>
        <v>Net Interest Income</v>
      </c>
      <c r="I8" s="313">
        <f>Normalized_FCF!C10</f>
        <v>-167452.10070594389</v>
      </c>
      <c r="J8" s="313"/>
      <c r="N8" s="304"/>
      <c r="O8" s="304"/>
    </row>
    <row r="9" spans="2:15" ht="13.15" thickBot="1">
      <c r="B9" s="189" t="str">
        <f>"*"&amp;Thesis!E15</f>
        <v>*EUR/HKD</v>
      </c>
      <c r="C9" s="190">
        <f>Exchange_Rate</f>
        <v>9.2013490000000004</v>
      </c>
      <c r="D9" t="str">
        <f>Thesis!E15</f>
        <v>EUR/HKD</v>
      </c>
      <c r="F9" s="322"/>
      <c r="H9" s="308" t="str">
        <f>Normalized_FCF!B79</f>
        <v>NCI’s Share of Profits</v>
      </c>
      <c r="I9" s="144">
        <f>Normalized_FCF!C79</f>
        <v>8.272029548801568E-4</v>
      </c>
      <c r="J9" s="306"/>
      <c r="N9" s="304"/>
      <c r="O9" s="304"/>
    </row>
    <row r="10" spans="2:15" ht="13.5" thickTop="1">
      <c r="B10" s="107" t="s">
        <v>426</v>
      </c>
      <c r="C10" s="283">
        <f>C8*Exchange_Rate</f>
        <v>118380305.38507976</v>
      </c>
      <c r="D10" t="str">
        <f>Market_currency</f>
        <v>HKD</v>
      </c>
      <c r="H10" s="308" t="s">
        <v>396</v>
      </c>
      <c r="I10" s="306">
        <f>Normalized_FCF!C41</f>
        <v>0.27810000000000001</v>
      </c>
      <c r="N10" s="304"/>
      <c r="O10" s="304"/>
    </row>
    <row r="11" spans="2:15" ht="13.15">
      <c r="B11" s="136" t="s">
        <v>424</v>
      </c>
      <c r="C11" s="108">
        <f>(C10*scaling_factor)/Common_Shares</f>
        <v>46.263559113514553</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20</v>
      </c>
      <c r="E15" s="308" t="str">
        <f>IF(F14="II","Change year","Terminal Year")</f>
        <v>Terminal Year</v>
      </c>
      <c r="F15" s="310">
        <f>IF(F14="II",_xlfn.CEILING.MATH(C15/2),C15+1)</f>
        <v>21</v>
      </c>
      <c r="H15" s="97" t="s">
        <v>428</v>
      </c>
      <c r="I15" s="126">
        <f>Terminal_Growth</f>
        <v>0.02</v>
      </c>
      <c r="J15" s="126"/>
    </row>
    <row r="16" spans="2:15" ht="13.25" customHeight="1">
      <c r="B16" s="114" t="s">
        <v>421</v>
      </c>
      <c r="C16" s="147">
        <f>Scenarios!C46</f>
        <v>4.5845970227562302E-2</v>
      </c>
      <c r="E16" s="308" t="s">
        <v>399</v>
      </c>
      <c r="F16" s="311">
        <f>Scenarios!C41</f>
        <v>4.5845970227562302E-2</v>
      </c>
    </row>
    <row r="17" spans="1:21" ht="13.25" customHeight="1">
      <c r="B17" s="308" t="s">
        <v>549</v>
      </c>
      <c r="C17" s="306">
        <f>Normalized_FCF!C77</f>
        <v>0.20771863979883601</v>
      </c>
      <c r="E17" s="308" t="s">
        <v>550</v>
      </c>
      <c r="F17" s="311">
        <f>Scenarios!C40</f>
        <v>0.20771863979883598</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59.644907719170781</v>
      </c>
      <c r="J18" t="str">
        <f>Market_currency</f>
        <v>HKD</v>
      </c>
    </row>
    <row r="19" spans="1:21">
      <c r="L19" s="275"/>
    </row>
    <row r="20" spans="1:21" ht="13.15">
      <c r="A20" s="121" t="s">
        <v>398</v>
      </c>
      <c r="B20" s="121" t="s">
        <v>97</v>
      </c>
      <c r="C20" s="121" t="s">
        <v>393</v>
      </c>
      <c r="D20" s="121" t="s">
        <v>101</v>
      </c>
      <c r="E20" s="121" t="s">
        <v>549</v>
      </c>
      <c r="F20" s="121" t="s">
        <v>551</v>
      </c>
      <c r="G20" s="121" t="str">
        <f>B18</f>
        <v>D&amp;A - maint. Capx</v>
      </c>
      <c r="H20" s="121" t="s">
        <v>553</v>
      </c>
      <c r="I20" s="121" t="s">
        <v>529</v>
      </c>
      <c r="J20" s="121" t="s">
        <v>552</v>
      </c>
      <c r="K20" s="121" t="s">
        <v>530</v>
      </c>
      <c r="L20" s="122" t="s">
        <v>418</v>
      </c>
    </row>
    <row r="21" spans="1:21">
      <c r="A21" s="302" t="str">
        <f t="shared" ref="A21:A50" si="0">IF($C$15&lt;B21,"",IF(B21&gt;=$F$15,"II","I"))</f>
        <v>I</v>
      </c>
      <c r="B21" s="117">
        <v>1</v>
      </c>
      <c r="C21" s="277">
        <f>I4*(1+D21)</f>
        <v>5680572.0005113073</v>
      </c>
      <c r="D21" s="299">
        <f t="shared" ref="D21:D50" si="1">IF(A21="",0,IF(A21="I",$C$16,$F$16))</f>
        <v>4.5845970227562302E-2</v>
      </c>
      <c r="E21" s="299">
        <f>$C$17</f>
        <v>0.20771863979883601</v>
      </c>
      <c r="F21" s="277">
        <f>C21*E21</f>
        <v>1179960.6892255615</v>
      </c>
      <c r="G21" s="299">
        <f t="shared" ref="G21:G50" si="2">IF(A21="",0%,IF(A21="I",$C$18,$F$18))</f>
        <v>0</v>
      </c>
      <c r="H21" s="277">
        <f>(F21*(1-$I$10)+C21*(G21-$I$9))</f>
        <v>847114.63560770033</v>
      </c>
      <c r="I21" s="299">
        <f>H21/C4-1</f>
        <v>4.5845970227561983E-2</v>
      </c>
      <c r="J21" s="299">
        <f>H21/C21</f>
        <v>0.14912488311589955</v>
      </c>
      <c r="K21" s="119">
        <f t="shared" ref="K21:K50" si="3">IF($C$15&lt;B21,0,1/(1+Equity_Cost)^B21)</f>
        <v>0.93240093240093236</v>
      </c>
      <c r="L21" s="277">
        <f t="shared" ref="L21:L51" si="4">H21*K21</f>
        <v>789850.47609109583</v>
      </c>
    </row>
    <row r="22" spans="1:21">
      <c r="A22" s="302" t="str">
        <f t="shared" si="0"/>
        <v>I</v>
      </c>
      <c r="B22" s="117">
        <v>2</v>
      </c>
      <c r="C22" s="277">
        <f t="shared" ref="C22:C50" si="5">IF(A22="",0,C21*(1+D22))</f>
        <v>5941003.335322272</v>
      </c>
      <c r="D22" s="299">
        <f t="shared" si="1"/>
        <v>4.5845970227562302E-2</v>
      </c>
      <c r="E22" s="299">
        <f t="shared" ref="E22:E50" si="6">IF($C$15&lt;B22,0,IF(B22&gt;=$F$15,$F$17,$C$17))</f>
        <v>0.20771863979883601</v>
      </c>
      <c r="F22" s="277">
        <f t="shared" ref="F22:F50" si="7">IF(A22="", 0,C22*E22)</f>
        <v>1234057.1318534904</v>
      </c>
      <c r="G22" s="299">
        <f t="shared" si="2"/>
        <v>0</v>
      </c>
      <c r="H22" s="277">
        <f t="shared" ref="H22:H50" si="8">IF(A22="", 0,F22*(1-$I$10)+C22*(G22-$I$9))</f>
        <v>885951.42797110323</v>
      </c>
      <c r="I22" s="299">
        <f t="shared" ref="I22:I50" si="9">IF(A22="", 0,H22/H21-1)</f>
        <v>4.5845970227562205E-2</v>
      </c>
      <c r="J22" s="299">
        <f>IF(A22="", 0,H22/C22)</f>
        <v>0.14912488311589955</v>
      </c>
      <c r="K22" s="119">
        <f t="shared" si="3"/>
        <v>0.86937149874212816</v>
      </c>
      <c r="L22" s="277">
        <f t="shared" si="4"/>
        <v>770220.92074796662</v>
      </c>
    </row>
    <row r="23" spans="1:21">
      <c r="A23" s="302" t="str">
        <f t="shared" si="0"/>
        <v>I</v>
      </c>
      <c r="B23" s="117">
        <v>3</v>
      </c>
      <c r="C23" s="277">
        <f t="shared" si="5"/>
        <v>6213374.397355305</v>
      </c>
      <c r="D23" s="299">
        <f t="shared" si="1"/>
        <v>4.5845970227562302E-2</v>
      </c>
      <c r="E23" s="299">
        <f t="shared" si="6"/>
        <v>0.20771863979883601</v>
      </c>
      <c r="F23" s="277">
        <f t="shared" si="7"/>
        <v>1290633.6783795564</v>
      </c>
      <c r="G23" s="299">
        <f t="shared" si="2"/>
        <v>0</v>
      </c>
      <c r="H23" s="277">
        <f t="shared" si="8"/>
        <v>926568.73076093278</v>
      </c>
      <c r="I23" s="299">
        <f t="shared" si="9"/>
        <v>4.5845970227562427E-2</v>
      </c>
      <c r="J23" s="299">
        <f t="shared" ref="J23:J50" si="10">IF(A23="", 0,H23/C23)</f>
        <v>0.14912488311589958</v>
      </c>
      <c r="K23" s="119">
        <f t="shared" si="3"/>
        <v>0.81060279602995633</v>
      </c>
      <c r="L23" s="277">
        <f t="shared" si="4"/>
        <v>751079.20386873989</v>
      </c>
      <c r="N23" s="275"/>
      <c r="O23" s="275"/>
      <c r="P23" s="275"/>
      <c r="Q23" s="275"/>
      <c r="R23" s="275"/>
      <c r="S23" s="275"/>
      <c r="T23" s="275"/>
      <c r="U23" s="275"/>
    </row>
    <row r="24" spans="1:21">
      <c r="A24" s="302" t="str">
        <f t="shared" si="0"/>
        <v>I</v>
      </c>
      <c r="B24" s="117">
        <v>4</v>
      </c>
      <c r="C24" s="277">
        <f t="shared" si="5"/>
        <v>6498232.574989154</v>
      </c>
      <c r="D24" s="299">
        <f t="shared" si="1"/>
        <v>4.5845970227562302E-2</v>
      </c>
      <c r="E24" s="299">
        <f t="shared" si="6"/>
        <v>0.20771863979883601</v>
      </c>
      <c r="F24" s="277">
        <f t="shared" si="7"/>
        <v>1349804.0315732346</v>
      </c>
      <c r="G24" s="299">
        <f t="shared" si="2"/>
        <v>0</v>
      </c>
      <c r="H24" s="277">
        <f t="shared" si="8"/>
        <v>969048.17320518848</v>
      </c>
      <c r="I24" s="299">
        <f t="shared" si="9"/>
        <v>4.5845970227561983E-2</v>
      </c>
      <c r="J24" s="299">
        <f t="shared" si="10"/>
        <v>0.14912488311589953</v>
      </c>
      <c r="K24" s="119">
        <f t="shared" si="3"/>
        <v>0.75580680282513402</v>
      </c>
      <c r="L24" s="277">
        <f t="shared" si="4"/>
        <v>732413.20157375024</v>
      </c>
      <c r="N24" s="275"/>
      <c r="O24" s="275"/>
      <c r="P24" s="275"/>
      <c r="Q24" s="275"/>
      <c r="R24" s="275"/>
      <c r="S24" s="275"/>
      <c r="T24" s="275"/>
      <c r="U24" s="275"/>
    </row>
    <row r="25" spans="1:21">
      <c r="A25" s="302" t="str">
        <f t="shared" si="0"/>
        <v>I</v>
      </c>
      <c r="B25" s="117">
        <v>5</v>
      </c>
      <c r="C25" s="277">
        <f t="shared" si="5"/>
        <v>6796150.3521538815</v>
      </c>
      <c r="D25" s="299">
        <f t="shared" si="1"/>
        <v>4.5845970227562302E-2</v>
      </c>
      <c r="E25" s="299">
        <f t="shared" si="6"/>
        <v>0.20771863979883601</v>
      </c>
      <c r="F25" s="277">
        <f t="shared" si="7"/>
        <v>1411687.1070177846</v>
      </c>
      <c r="G25" s="299">
        <f t="shared" si="2"/>
        <v>0</v>
      </c>
      <c r="H25" s="277">
        <f t="shared" si="8"/>
        <v>1013475.1269030272</v>
      </c>
      <c r="I25" s="299">
        <f t="shared" si="9"/>
        <v>4.5845970227562205E-2</v>
      </c>
      <c r="J25" s="299">
        <f t="shared" si="10"/>
        <v>0.14912488311589955</v>
      </c>
      <c r="K25" s="119">
        <f t="shared" si="3"/>
        <v>0.70471496766912267</v>
      </c>
      <c r="L25" s="277">
        <f t="shared" si="4"/>
        <v>714211.09128892678</v>
      </c>
      <c r="N25" s="275"/>
      <c r="O25" s="275"/>
      <c r="P25" s="275"/>
      <c r="Q25" s="275"/>
      <c r="R25" s="275"/>
      <c r="S25" s="275"/>
      <c r="T25" s="275"/>
      <c r="U25" s="275"/>
    </row>
    <row r="26" spans="1:21">
      <c r="A26" s="302" t="str">
        <f t="shared" si="0"/>
        <v>I</v>
      </c>
      <c r="B26" s="117">
        <v>6</v>
      </c>
      <c r="C26" s="277">
        <f t="shared" si="5"/>
        <v>7107726.4588607643</v>
      </c>
      <c r="D26" s="299">
        <f t="shared" si="1"/>
        <v>4.5845970227562302E-2</v>
      </c>
      <c r="E26" s="299">
        <f t="shared" si="6"/>
        <v>0.20771863979883601</v>
      </c>
      <c r="F26" s="277">
        <f t="shared" si="7"/>
        <v>1476407.2720967552</v>
      </c>
      <c r="G26" s="299">
        <f t="shared" si="2"/>
        <v>0</v>
      </c>
      <c r="H26" s="277">
        <f t="shared" si="8"/>
        <v>1059938.8773973982</v>
      </c>
      <c r="I26" s="299">
        <f t="shared" si="9"/>
        <v>4.5845970227562205E-2</v>
      </c>
      <c r="J26" s="299">
        <f t="shared" si="10"/>
        <v>0.14912488311589958</v>
      </c>
      <c r="K26" s="119">
        <f t="shared" si="3"/>
        <v>0.65707689293158289</v>
      </c>
      <c r="L26" s="277">
        <f t="shared" si="4"/>
        <v>696461.34425767243</v>
      </c>
    </row>
    <row r="27" spans="1:21">
      <c r="A27" s="302" t="str">
        <f t="shared" si="0"/>
        <v>I</v>
      </c>
      <c r="B27" s="117">
        <v>7</v>
      </c>
      <c r="C27" s="277">
        <f t="shared" si="5"/>
        <v>7433587.0744793508</v>
      </c>
      <c r="D27" s="299">
        <f t="shared" si="1"/>
        <v>4.5845970227562302E-2</v>
      </c>
      <c r="E27" s="299">
        <f t="shared" si="6"/>
        <v>0.20771863979883601</v>
      </c>
      <c r="F27" s="277">
        <f t="shared" si="7"/>
        <v>1544094.5959370595</v>
      </c>
      <c r="G27" s="299">
        <f t="shared" si="2"/>
        <v>0</v>
      </c>
      <c r="H27" s="277">
        <f t="shared" si="8"/>
        <v>1108532.803613595</v>
      </c>
      <c r="I27" s="299">
        <f t="shared" si="9"/>
        <v>4.5845970227562205E-2</v>
      </c>
      <c r="J27" s="299">
        <f t="shared" si="10"/>
        <v>0.14912488311589955</v>
      </c>
      <c r="K27" s="119">
        <f t="shared" si="3"/>
        <v>0.61265910762851561</v>
      </c>
      <c r="L27" s="277">
        <f t="shared" si="4"/>
        <v>679152.71823884163</v>
      </c>
    </row>
    <row r="28" spans="1:21">
      <c r="A28" s="302" t="str">
        <f t="shared" si="0"/>
        <v>I</v>
      </c>
      <c r="B28" s="117">
        <v>8</v>
      </c>
      <c r="C28" s="277">
        <f t="shared" si="5"/>
        <v>7774387.0861799223</v>
      </c>
      <c r="D28" s="299">
        <f t="shared" si="1"/>
        <v>4.5845970227562302E-2</v>
      </c>
      <c r="E28" s="299">
        <f t="shared" si="6"/>
        <v>0.20771863979883601</v>
      </c>
      <c r="F28" s="277">
        <f t="shared" si="7"/>
        <v>1614885.1108109294</v>
      </c>
      <c r="G28" s="299">
        <f t="shared" si="2"/>
        <v>0</v>
      </c>
      <c r="H28" s="277">
        <f t="shared" si="8"/>
        <v>1159354.5655243399</v>
      </c>
      <c r="I28" s="299">
        <f t="shared" si="9"/>
        <v>4.5845970227562205E-2</v>
      </c>
      <c r="J28" s="299">
        <f t="shared" si="10"/>
        <v>0.14912488311589955</v>
      </c>
      <c r="K28" s="119">
        <f t="shared" si="3"/>
        <v>0.5712439231967511</v>
      </c>
      <c r="L28" s="277">
        <f t="shared" si="4"/>
        <v>662274.25038618874</v>
      </c>
    </row>
    <row r="29" spans="1:21">
      <c r="A29" s="302" t="str">
        <f t="shared" si="0"/>
        <v>I</v>
      </c>
      <c r="B29" s="117">
        <v>9</v>
      </c>
      <c r="C29" s="277">
        <f t="shared" si="5"/>
        <v>8130811.4050704716</v>
      </c>
      <c r="D29" s="299">
        <f t="shared" si="1"/>
        <v>4.5845970227562302E-2</v>
      </c>
      <c r="E29" s="299">
        <f t="shared" si="6"/>
        <v>0.20771863979883601</v>
      </c>
      <c r="F29" s="277">
        <f t="shared" si="7"/>
        <v>1688921.085522101</v>
      </c>
      <c r="G29" s="299">
        <f t="shared" si="2"/>
        <v>0</v>
      </c>
      <c r="H29" s="277">
        <f t="shared" si="8"/>
        <v>1212506.3004185571</v>
      </c>
      <c r="I29" s="299">
        <f t="shared" si="9"/>
        <v>4.5845970227562205E-2</v>
      </c>
      <c r="J29" s="299">
        <f t="shared" si="10"/>
        <v>0.14912488311589955</v>
      </c>
      <c r="K29" s="119">
        <f t="shared" si="3"/>
        <v>0.53262836661701729</v>
      </c>
      <c r="L29" s="277">
        <f t="shared" si="4"/>
        <v>645815.25030477857</v>
      </c>
    </row>
    <row r="30" spans="1:21">
      <c r="A30" s="302" t="str">
        <f t="shared" si="0"/>
        <v>I</v>
      </c>
      <c r="B30" s="117">
        <v>10</v>
      </c>
      <c r="C30" s="277">
        <f t="shared" si="5"/>
        <v>8503576.3426732551</v>
      </c>
      <c r="D30" s="299">
        <f t="shared" si="1"/>
        <v>4.5845970227562302E-2</v>
      </c>
      <c r="E30" s="299">
        <f t="shared" si="6"/>
        <v>0.20771863979883601</v>
      </c>
      <c r="F30" s="277">
        <f t="shared" si="7"/>
        <v>1766351.3113256493</v>
      </c>
      <c r="G30" s="299">
        <f t="shared" si="2"/>
        <v>0</v>
      </c>
      <c r="H30" s="277">
        <f t="shared" si="8"/>
        <v>1268094.8281682779</v>
      </c>
      <c r="I30" s="299">
        <f t="shared" si="9"/>
        <v>4.5845970227562205E-2</v>
      </c>
      <c r="J30" s="299">
        <f t="shared" si="10"/>
        <v>0.14912488311589955</v>
      </c>
      <c r="K30" s="119">
        <f t="shared" si="3"/>
        <v>0.49662318565689262</v>
      </c>
      <c r="L30" s="277">
        <f t="shared" si="4"/>
        <v>629765.29327996005</v>
      </c>
    </row>
    <row r="31" spans="1:21">
      <c r="A31" s="302" t="str">
        <f t="shared" si="0"/>
        <v>I</v>
      </c>
      <c r="B31" s="117">
        <v>11</v>
      </c>
      <c r="C31" s="277">
        <f t="shared" si="5"/>
        <v>8893431.0505072549</v>
      </c>
      <c r="D31" s="299">
        <f t="shared" si="1"/>
        <v>4.5845970227562302E-2</v>
      </c>
      <c r="E31" s="299">
        <f t="shared" si="6"/>
        <v>0.20771863979883601</v>
      </c>
      <c r="F31" s="277">
        <f t="shared" si="7"/>
        <v>1847331.4009561003</v>
      </c>
      <c r="G31" s="299">
        <f t="shared" si="2"/>
        <v>0</v>
      </c>
      <c r="H31" s="277">
        <f t="shared" si="8"/>
        <v>1326231.8659062064</v>
      </c>
      <c r="I31" s="299">
        <f t="shared" si="9"/>
        <v>4.5845970227562205E-2</v>
      </c>
      <c r="J31" s="299">
        <f t="shared" si="10"/>
        <v>0.14912488311589958</v>
      </c>
      <c r="K31" s="119">
        <f t="shared" si="3"/>
        <v>0.46305192135840806</v>
      </c>
      <c r="L31" s="277">
        <f t="shared" si="4"/>
        <v>614114.21367461549</v>
      </c>
    </row>
    <row r="32" spans="1:21">
      <c r="A32" s="302" t="str">
        <f t="shared" si="0"/>
        <v>I</v>
      </c>
      <c r="B32" s="117">
        <v>12</v>
      </c>
      <c r="C32" s="277">
        <f t="shared" si="5"/>
        <v>9301159.0256696884</v>
      </c>
      <c r="D32" s="299">
        <f t="shared" si="1"/>
        <v>4.5845970227562302E-2</v>
      </c>
      <c r="E32" s="299">
        <f t="shared" si="6"/>
        <v>0.20771863979883601</v>
      </c>
      <c r="F32" s="277">
        <f t="shared" si="7"/>
        <v>1932024.1013647744</v>
      </c>
      <c r="G32" s="299">
        <f t="shared" si="2"/>
        <v>0</v>
      </c>
      <c r="H32" s="277">
        <f t="shared" si="8"/>
        <v>1387034.2525453866</v>
      </c>
      <c r="I32" s="299">
        <f t="shared" si="9"/>
        <v>4.5845970227562205E-2</v>
      </c>
      <c r="J32" s="299">
        <f t="shared" si="10"/>
        <v>0.14912488311589955</v>
      </c>
      <c r="K32" s="119">
        <f t="shared" si="3"/>
        <v>0.43175004322462285</v>
      </c>
      <c r="L32" s="277">
        <f t="shared" si="4"/>
        <v>598852.09849050303</v>
      </c>
    </row>
    <row r="33" spans="1:21">
      <c r="A33" s="302" t="str">
        <f t="shared" si="0"/>
        <v>I</v>
      </c>
      <c r="B33" s="117">
        <v>13</v>
      </c>
      <c r="C33" s="277">
        <f t="shared" si="5"/>
        <v>9727579.685442362</v>
      </c>
      <c r="D33" s="299">
        <f t="shared" si="1"/>
        <v>4.5845970227562302E-2</v>
      </c>
      <c r="E33" s="299">
        <f t="shared" si="6"/>
        <v>0.20771863979883601</v>
      </c>
      <c r="F33" s="277">
        <f t="shared" si="7"/>
        <v>2020599.6207948765</v>
      </c>
      <c r="G33" s="299">
        <f t="shared" si="2"/>
        <v>0</v>
      </c>
      <c r="H33" s="277">
        <f t="shared" si="8"/>
        <v>1450624.1835921912</v>
      </c>
      <c r="I33" s="299">
        <f t="shared" si="9"/>
        <v>4.5845970227562205E-2</v>
      </c>
      <c r="J33" s="299">
        <f t="shared" si="10"/>
        <v>0.14912488311589955</v>
      </c>
      <c r="K33" s="119">
        <f t="shared" si="3"/>
        <v>0.40256414286678116</v>
      </c>
      <c r="L33" s="277">
        <f t="shared" si="4"/>
        <v>583969.28108961461</v>
      </c>
      <c r="N33" s="275"/>
      <c r="O33" s="275"/>
      <c r="P33" s="275"/>
      <c r="Q33" s="275"/>
      <c r="R33" s="275"/>
      <c r="S33" s="275"/>
      <c r="T33" s="275"/>
      <c r="U33" s="275"/>
    </row>
    <row r="34" spans="1:21">
      <c r="A34" s="302" t="str">
        <f t="shared" si="0"/>
        <v>I</v>
      </c>
      <c r="B34" s="117">
        <v>14</v>
      </c>
      <c r="C34" s="277">
        <f t="shared" si="5"/>
        <v>10173550.014087392</v>
      </c>
      <c r="D34" s="299">
        <f t="shared" si="1"/>
        <v>4.5845970227562302E-2</v>
      </c>
      <c r="E34" s="299">
        <f t="shared" si="6"/>
        <v>0.20771863979883601</v>
      </c>
      <c r="F34" s="277">
        <f t="shared" si="7"/>
        <v>2113235.9708516621</v>
      </c>
      <c r="G34" s="299">
        <f t="shared" si="2"/>
        <v>0</v>
      </c>
      <c r="H34" s="277">
        <f t="shared" si="8"/>
        <v>1517129.4567245408</v>
      </c>
      <c r="I34" s="299">
        <f t="shared" si="9"/>
        <v>4.5845970227562427E-2</v>
      </c>
      <c r="J34" s="299">
        <f t="shared" si="10"/>
        <v>0.14912488311589958</v>
      </c>
      <c r="K34" s="119">
        <f t="shared" si="3"/>
        <v>0.37535118216016894</v>
      </c>
      <c r="L34" s="277">
        <f t="shared" si="4"/>
        <v>569456.33507157129</v>
      </c>
      <c r="N34" s="275"/>
      <c r="O34" s="275"/>
      <c r="P34" s="275"/>
      <c r="Q34" s="275"/>
      <c r="R34" s="275"/>
      <c r="S34" s="275"/>
      <c r="T34" s="275"/>
      <c r="U34" s="275"/>
    </row>
    <row r="35" spans="1:21">
      <c r="A35" s="302" t="str">
        <f t="shared" si="0"/>
        <v>I</v>
      </c>
      <c r="B35" s="117">
        <v>15</v>
      </c>
      <c r="C35" s="277">
        <f t="shared" si="5"/>
        <v>10639966.285141857</v>
      </c>
      <c r="D35" s="299">
        <f t="shared" si="1"/>
        <v>4.5845970227562302E-2</v>
      </c>
      <c r="E35" s="299">
        <f t="shared" si="6"/>
        <v>0.20771863979883601</v>
      </c>
      <c r="F35" s="277">
        <f t="shared" si="7"/>
        <v>2210119.3242551405</v>
      </c>
      <c r="G35" s="299">
        <f t="shared" si="2"/>
        <v>0</v>
      </c>
      <c r="H35" s="277">
        <f t="shared" si="8"/>
        <v>1586683.7286288913</v>
      </c>
      <c r="I35" s="299">
        <f t="shared" si="9"/>
        <v>4.5845970227561983E-2</v>
      </c>
      <c r="J35" s="299">
        <f t="shared" si="10"/>
        <v>0.14912488311589953</v>
      </c>
      <c r="K35" s="119">
        <f t="shared" si="3"/>
        <v>0.34997779222393377</v>
      </c>
      <c r="L35" s="277">
        <f t="shared" si="4"/>
        <v>555304.06830317865</v>
      </c>
      <c r="N35" s="275"/>
      <c r="O35" s="275"/>
      <c r="P35" s="275"/>
      <c r="Q35" s="275"/>
      <c r="R35" s="275"/>
      <c r="S35" s="275"/>
      <c r="T35" s="275"/>
      <c r="U35" s="275"/>
    </row>
    <row r="36" spans="1:21">
      <c r="A36" s="302" t="str">
        <f t="shared" si="0"/>
        <v>I</v>
      </c>
      <c r="B36" s="117">
        <v>16</v>
      </c>
      <c r="C36" s="277">
        <f t="shared" si="5"/>
        <v>11127765.862672737</v>
      </c>
      <c r="D36" s="299">
        <f t="shared" si="1"/>
        <v>4.5845970227562302E-2</v>
      </c>
      <c r="E36" s="299">
        <f t="shared" si="6"/>
        <v>0.20771863979883601</v>
      </c>
      <c r="F36" s="277">
        <f t="shared" si="7"/>
        <v>2311444.3889943017</v>
      </c>
      <c r="G36" s="299">
        <f t="shared" si="2"/>
        <v>0</v>
      </c>
      <c r="H36" s="277">
        <f t="shared" si="8"/>
        <v>1659426.7836121689</v>
      </c>
      <c r="I36" s="299">
        <f t="shared" si="9"/>
        <v>4.5845970227562205E-2</v>
      </c>
      <c r="J36" s="299">
        <f t="shared" si="10"/>
        <v>0.14912488311589953</v>
      </c>
      <c r="K36" s="119">
        <f t="shared" si="3"/>
        <v>0.32631961978921564</v>
      </c>
      <c r="L36" s="277">
        <f t="shared" si="4"/>
        <v>541503.51709636394</v>
      </c>
    </row>
    <row r="37" spans="1:21">
      <c r="A37" s="302" t="str">
        <f t="shared" si="0"/>
        <v>I</v>
      </c>
      <c r="B37" s="117">
        <v>17</v>
      </c>
      <c r="C37" s="277">
        <f t="shared" si="5"/>
        <v>11637929.085112114</v>
      </c>
      <c r="D37" s="299">
        <f t="shared" si="1"/>
        <v>4.5845970227562302E-2</v>
      </c>
      <c r="E37" s="299">
        <f t="shared" si="6"/>
        <v>0.20771863979883601</v>
      </c>
      <c r="F37" s="277">
        <f t="shared" si="7"/>
        <v>2417414.7996348003</v>
      </c>
      <c r="G37" s="299">
        <f t="shared" si="2"/>
        <v>0</v>
      </c>
      <c r="H37" s="277">
        <f t="shared" si="8"/>
        <v>1735504.8145284718</v>
      </c>
      <c r="I37" s="299">
        <f t="shared" si="9"/>
        <v>4.5845970227562205E-2</v>
      </c>
      <c r="J37" s="299">
        <f t="shared" si="10"/>
        <v>0.14912488311589955</v>
      </c>
      <c r="K37" s="119">
        <f t="shared" si="3"/>
        <v>0.30426071775218239</v>
      </c>
      <c r="L37" s="277">
        <f t="shared" si="4"/>
        <v>528045.94053080096</v>
      </c>
    </row>
    <row r="38" spans="1:21">
      <c r="A38" s="302" t="str">
        <f t="shared" si="0"/>
        <v>I</v>
      </c>
      <c r="B38" s="117">
        <v>18</v>
      </c>
      <c r="C38" s="277">
        <f t="shared" si="5"/>
        <v>12171481.235458644</v>
      </c>
      <c r="D38" s="299">
        <f t="shared" si="1"/>
        <v>4.5845970227562302E-2</v>
      </c>
      <c r="E38" s="299">
        <f t="shared" si="6"/>
        <v>0.20771863979883601</v>
      </c>
      <c r="F38" s="277">
        <f t="shared" si="7"/>
        <v>2528243.5265665255</v>
      </c>
      <c r="G38" s="299">
        <f t="shared" si="2"/>
        <v>0</v>
      </c>
      <c r="H38" s="277">
        <f t="shared" si="8"/>
        <v>1815070.7165851351</v>
      </c>
      <c r="I38" s="299">
        <f t="shared" si="9"/>
        <v>4.5845970227562205E-2</v>
      </c>
      <c r="J38" s="299">
        <f t="shared" si="10"/>
        <v>0.14912488311589955</v>
      </c>
      <c r="K38" s="119">
        <f t="shared" si="3"/>
        <v>0.28369297692511181</v>
      </c>
      <c r="L38" s="277">
        <f t="shared" si="4"/>
        <v>514922.8149176329</v>
      </c>
    </row>
    <row r="39" spans="1:21">
      <c r="A39" s="302" t="str">
        <f t="shared" si="0"/>
        <v>I</v>
      </c>
      <c r="B39" s="117">
        <v>19</v>
      </c>
      <c r="C39" s="277">
        <f t="shared" si="5"/>
        <v>12729494.601804813</v>
      </c>
      <c r="D39" s="299">
        <f t="shared" si="1"/>
        <v>4.5845970227562302E-2</v>
      </c>
      <c r="E39" s="299">
        <f t="shared" si="6"/>
        <v>0.20771863979883601</v>
      </c>
      <c r="F39" s="277">
        <f t="shared" si="7"/>
        <v>2644153.3040135214</v>
      </c>
      <c r="G39" s="299">
        <f t="shared" si="2"/>
        <v>0</v>
      </c>
      <c r="H39" s="277">
        <f t="shared" si="8"/>
        <v>1898284.3946186171</v>
      </c>
      <c r="I39" s="299">
        <f t="shared" si="9"/>
        <v>4.5845970227562205E-2</v>
      </c>
      <c r="J39" s="299">
        <f t="shared" si="10"/>
        <v>0.14912488311589955</v>
      </c>
      <c r="K39" s="119">
        <f t="shared" si="3"/>
        <v>0.26451559620057047</v>
      </c>
      <c r="L39" s="277">
        <f t="shared" si="4"/>
        <v>502125.82840078248</v>
      </c>
    </row>
    <row r="40" spans="1:21">
      <c r="A40" s="302" t="str">
        <f t="shared" si="0"/>
        <v>I</v>
      </c>
      <c r="B40" s="117">
        <v>20</v>
      </c>
      <c r="C40" s="277">
        <f t="shared" si="5"/>
        <v>13313090.632331071</v>
      </c>
      <c r="D40" s="299">
        <f t="shared" si="1"/>
        <v>4.5845970227562302E-2</v>
      </c>
      <c r="E40" s="299">
        <f t="shared" si="6"/>
        <v>0.20771863979883601</v>
      </c>
      <c r="F40" s="277">
        <f t="shared" si="7"/>
        <v>2765377.0776664359</v>
      </c>
      <c r="G40" s="299">
        <f t="shared" si="2"/>
        <v>0</v>
      </c>
      <c r="H40" s="277">
        <f t="shared" si="8"/>
        <v>1985313.0844577486</v>
      </c>
      <c r="I40" s="299">
        <f t="shared" si="9"/>
        <v>4.5845970227562427E-2</v>
      </c>
      <c r="J40" s="299">
        <f t="shared" si="10"/>
        <v>0.14912488311589958</v>
      </c>
      <c r="K40" s="119">
        <f t="shared" si="3"/>
        <v>0.2466345885320004</v>
      </c>
      <c r="L40" s="277">
        <f t="shared" si="4"/>
        <v>489646.87569243339</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21</v>
      </c>
      <c r="C51" s="277">
        <f>VLOOKUP(C15,B21:C50,2,FALSE)*(1+Terminal_Growth)</f>
        <v>13579352.444977693</v>
      </c>
      <c r="D51" s="301">
        <f>Terminal_Growth</f>
        <v>0.02</v>
      </c>
      <c r="E51" s="301">
        <f>F17</f>
        <v>0.20771863979883598</v>
      </c>
      <c r="F51" s="277">
        <f>C51*E51</f>
        <v>2820684.6192197641</v>
      </c>
      <c r="G51" s="299">
        <f>F18</f>
        <v>0</v>
      </c>
      <c r="H51" s="277">
        <f>(F51*(1-$I$10)+C51*(G51-$I$9))/Equity_Cost</f>
        <v>27931301.326164182</v>
      </c>
      <c r="I51" s="415">
        <f>(F51*(1-$I$10)+C51*(G51-$I$9))/VLOOKUP(C15,B21:H50,COLUMN(H20)-1,FALSE)-1</f>
        <v>1.9999999999999796E-2</v>
      </c>
      <c r="J51" s="454"/>
      <c r="K51" s="119">
        <f>1/(1+Equity_Cost)^C15</f>
        <v>0.2466345885320004</v>
      </c>
      <c r="L51" s="277">
        <f t="shared" si="4"/>
        <v>6888825.0097418204</v>
      </c>
    </row>
    <row r="52" spans="1:21" ht="13.15">
      <c r="G52" s="111"/>
      <c r="H52" s="111"/>
      <c r="I52" s="111"/>
      <c r="J52" s="468" t="s">
        <v>419</v>
      </c>
      <c r="K52" s="468"/>
      <c r="L52" s="317">
        <f>SUM(L21:L51)</f>
        <v>19458009.733047239</v>
      </c>
    </row>
    <row r="53" spans="1:21">
      <c r="C53" s="111"/>
    </row>
    <row r="54" spans="1:21" ht="13.15">
      <c r="B54" s="115" t="s">
        <v>107</v>
      </c>
      <c r="C54" s="128"/>
      <c r="D54" s="128"/>
      <c r="E54" s="113"/>
      <c r="F54" s="113"/>
      <c r="G54" s="113"/>
      <c r="H54" s="113"/>
      <c r="I54" s="113"/>
      <c r="J54" s="113"/>
      <c r="K54" s="113"/>
      <c r="L54" s="113"/>
    </row>
    <row r="55" spans="1:21" ht="13.15">
      <c r="A55" s="125">
        <f>L52</f>
        <v>19458009.733047239</v>
      </c>
      <c r="B55" s="123">
        <f>C94</f>
        <v>0</v>
      </c>
      <c r="C55" s="123">
        <f>C93</f>
        <v>0.02</v>
      </c>
      <c r="D55" s="123">
        <f>C92</f>
        <v>0.04</v>
      </c>
      <c r="E55" s="123">
        <f>C91</f>
        <v>0.06</v>
      </c>
      <c r="F55" s="123">
        <f>C90</f>
        <v>0.08</v>
      </c>
      <c r="G55" s="123"/>
      <c r="H55" s="123"/>
      <c r="I55" s="123"/>
      <c r="J55" s="123"/>
      <c r="K55" s="123"/>
      <c r="L55" s="123"/>
    </row>
    <row r="56" spans="1:21" ht="13.15">
      <c r="A56" s="131">
        <v>1</v>
      </c>
      <c r="B56" s="118">
        <f t="dataTable" ref="B56:F69" dt2D="1" dtr="1" r1="C16" r2="C15"/>
        <v>11380480.421417739</v>
      </c>
      <c r="C56" s="118">
        <v>11608090.029846091</v>
      </c>
      <c r="D56" s="118">
        <v>11835699.638274448</v>
      </c>
      <c r="E56" s="118">
        <v>12063309.2467028</v>
      </c>
      <c r="F56" s="118">
        <v>12290918.855131157</v>
      </c>
      <c r="G56" s="295"/>
      <c r="H56" s="295"/>
      <c r="I56" s="295"/>
      <c r="J56" s="295"/>
      <c r="K56" s="295"/>
      <c r="L56" s="295"/>
    </row>
    <row r="57" spans="1:21" ht="13.15">
      <c r="A57" s="131">
        <v>2</v>
      </c>
      <c r="B57" s="118">
        <v>11366396.945622457</v>
      </c>
      <c r="C57" s="118">
        <v>11810192.763879353</v>
      </c>
      <c r="D57" s="118">
        <v>12262477.518581137</v>
      </c>
      <c r="E57" s="118">
        <v>12723251.209727794</v>
      </c>
      <c r="F57" s="118">
        <v>13192513.837319337</v>
      </c>
      <c r="G57" s="295"/>
      <c r="H57" s="295"/>
      <c r="I57" s="295"/>
      <c r="J57" s="295"/>
      <c r="K57" s="295"/>
      <c r="L57" s="295"/>
    </row>
    <row r="58" spans="1:21" ht="13.15">
      <c r="A58" s="131">
        <v>3</v>
      </c>
      <c r="B58" s="118">
        <v>11353265.499659492</v>
      </c>
      <c r="C58" s="118">
        <v>12002402.357085813</v>
      </c>
      <c r="D58" s="118">
        <v>12676322.735848226</v>
      </c>
      <c r="E58" s="118">
        <v>13375501.541482098</v>
      </c>
      <c r="F58" s="118">
        <v>14100413.679522812</v>
      </c>
      <c r="G58" s="295"/>
      <c r="H58" s="295"/>
      <c r="I58" s="295"/>
      <c r="J58" s="295"/>
      <c r="K58" s="295"/>
      <c r="L58" s="295"/>
    </row>
    <row r="59" spans="1:21" ht="13.15">
      <c r="A59" s="131">
        <v>4</v>
      </c>
      <c r="B59" s="118">
        <v>11341021.727199847</v>
      </c>
      <c r="C59" s="118">
        <v>12185203.089086361</v>
      </c>
      <c r="D59" s="118">
        <v>13077627.188955706</v>
      </c>
      <c r="E59" s="118">
        <v>14020149.888017818</v>
      </c>
      <c r="F59" s="118">
        <v>15014662.471671769</v>
      </c>
      <c r="G59" s="295"/>
      <c r="H59" s="295"/>
      <c r="I59" s="295"/>
      <c r="J59" s="295"/>
      <c r="K59" s="295"/>
      <c r="L59" s="295"/>
    </row>
    <row r="60" spans="1:21" ht="13.15">
      <c r="A60" s="131">
        <v>5</v>
      </c>
      <c r="B60" s="118">
        <v>11329605.62234237</v>
      </c>
      <c r="C60" s="118">
        <v>12359055.533506462</v>
      </c>
      <c r="D60" s="118">
        <v>13466770.901059926</v>
      </c>
      <c r="E60" s="118">
        <v>14657284.85056128</v>
      </c>
      <c r="F60" s="118">
        <v>15935304.612017574</v>
      </c>
      <c r="G60" s="295"/>
      <c r="H60" s="295"/>
      <c r="I60" s="295"/>
      <c r="J60" s="295"/>
      <c r="K60" s="295"/>
      <c r="L60" s="295"/>
    </row>
    <row r="61" spans="1:21" ht="13.15">
      <c r="A61" s="131">
        <v>6</v>
      </c>
      <c r="B61" s="118">
        <v>11318961.235528875</v>
      </c>
      <c r="C61" s="118">
        <v>12524397.718409495</v>
      </c>
      <c r="D61" s="118">
        <v>13844122.379464025</v>
      </c>
      <c r="E61" s="118">
        <v>15286993.997690484</v>
      </c>
      <c r="F61" s="118">
        <v>16862384.809288871</v>
      </c>
      <c r="G61" s="295"/>
      <c r="H61" s="295"/>
      <c r="I61" s="295"/>
      <c r="J61" s="295"/>
      <c r="K61" s="295"/>
      <c r="L61" s="295"/>
    </row>
    <row r="62" spans="1:21" ht="13.15">
      <c r="A62" s="131">
        <v>7</v>
      </c>
      <c r="B62" s="118">
        <v>11309036.399339136</v>
      </c>
      <c r="C62" s="118">
        <v>12681646.229925668</v>
      </c>
      <c r="D62" s="118">
        <v>14210038.964583151</v>
      </c>
      <c r="E62" s="118">
        <v>15909363.877370631</v>
      </c>
      <c r="F62" s="118">
        <v>17795948.084862769</v>
      </c>
      <c r="G62" s="295"/>
      <c r="H62" s="295"/>
      <c r="I62" s="295"/>
      <c r="J62" s="295"/>
      <c r="K62" s="295"/>
      <c r="L62" s="295"/>
    </row>
    <row r="63" spans="1:21" ht="13.15">
      <c r="A63" s="131">
        <v>8</v>
      </c>
      <c r="B63" s="118">
        <v>11299782.472821891</v>
      </c>
      <c r="C63" s="118">
        <v>12831197.261857133</v>
      </c>
      <c r="D63" s="118">
        <v>14564867.168335028</v>
      </c>
      <c r="E63" s="118">
        <v>16524480.028849376</v>
      </c>
      <c r="F63" s="118">
        <v>18736039.774951164</v>
      </c>
      <c r="G63" s="295"/>
      <c r="H63" s="295"/>
      <c r="I63" s="295"/>
      <c r="J63" s="295"/>
      <c r="K63" s="295"/>
      <c r="L63" s="295"/>
    </row>
    <row r="64" spans="1:21" ht="13.15">
      <c r="A64" s="131">
        <v>9</v>
      </c>
      <c r="B64" s="118">
        <v>11291154.103108846</v>
      </c>
      <c r="C64" s="118">
        <v>12973427.613903841</v>
      </c>
      <c r="D64" s="118">
        <v>14908943.002276242</v>
      </c>
      <c r="E64" s="118">
        <v>17132426.994413454</v>
      </c>
      <c r="F64" s="118">
        <v>19682705.532802414</v>
      </c>
      <c r="G64" s="295"/>
      <c r="H64" s="295"/>
      <c r="I64" s="295"/>
      <c r="J64" s="295"/>
      <c r="K64" s="295"/>
      <c r="L64" s="295"/>
    </row>
    <row r="65" spans="1:21" ht="13.15">
      <c r="A65" s="131">
        <v>10</v>
      </c>
      <c r="B65" s="118">
        <v>11283109.003143303</v>
      </c>
      <c r="C65" s="118">
        <v>13108695.641025186</v>
      </c>
      <c r="D65" s="118">
        <v>15242592.29579499</v>
      </c>
      <c r="E65" s="118">
        <v>17733288.331008248</v>
      </c>
      <c r="F65" s="118">
        <v>20635991.330918364</v>
      </c>
      <c r="G65" s="295"/>
      <c r="H65" s="295"/>
      <c r="I65" s="295"/>
      <c r="J65" s="295"/>
      <c r="K65" s="295"/>
      <c r="L65" s="295"/>
    </row>
    <row r="66" spans="1:21" ht="13.15">
      <c r="A66" s="131">
        <v>15</v>
      </c>
      <c r="B66" s="118">
        <v>11250342.139647707</v>
      </c>
      <c r="C66" s="277">
        <v>13691962.322913526</v>
      </c>
      <c r="D66" s="118">
        <v>16765170.035943987</v>
      </c>
      <c r="E66" s="118">
        <v>20634167.534455709</v>
      </c>
      <c r="F66" s="118">
        <v>25503352.593392424</v>
      </c>
      <c r="G66" s="295"/>
      <c r="H66" s="295"/>
      <c r="I66" s="295"/>
      <c r="J66" s="295"/>
      <c r="K66" s="295"/>
      <c r="L66" s="295"/>
      <c r="M66" s="275"/>
      <c r="N66" s="275"/>
      <c r="O66" s="275"/>
      <c r="P66" s="275"/>
      <c r="Q66" s="275"/>
      <c r="R66" s="275"/>
      <c r="S66" s="275"/>
      <c r="T66" s="275"/>
      <c r="U66" s="275"/>
    </row>
    <row r="67" spans="1:21" ht="13.15">
      <c r="A67" s="132">
        <v>20</v>
      </c>
      <c r="B67" s="118">
        <v>11227250.84049879</v>
      </c>
      <c r="C67" s="277">
        <v>14145780.119998958</v>
      </c>
      <c r="D67" s="118">
        <v>18070618.310004842</v>
      </c>
      <c r="E67" s="118">
        <v>23369892.707228012</v>
      </c>
      <c r="F67" s="118">
        <v>30543298.260091335</v>
      </c>
      <c r="G67" s="295"/>
      <c r="H67" s="295"/>
      <c r="I67" s="295"/>
      <c r="J67" s="295"/>
      <c r="K67" s="295"/>
      <c r="L67" s="295"/>
      <c r="M67" s="275"/>
      <c r="N67" s="275"/>
      <c r="O67" s="275"/>
      <c r="P67" s="275"/>
      <c r="Q67" s="275"/>
      <c r="R67" s="275"/>
      <c r="S67" s="275"/>
      <c r="T67" s="275"/>
      <c r="U67" s="275"/>
    </row>
    <row r="68" spans="1:21" ht="13.15">
      <c r="A68" s="132">
        <v>25</v>
      </c>
      <c r="B68" s="118">
        <v>11210978.056365622</v>
      </c>
      <c r="C68" s="277">
        <v>14498878.624245256</v>
      </c>
      <c r="D68" s="118">
        <v>19189901.188842732</v>
      </c>
      <c r="E68" s="118">
        <v>25949866.46554435</v>
      </c>
      <c r="F68" s="118">
        <v>35761947.740480594</v>
      </c>
      <c r="G68" s="295"/>
      <c r="H68" s="295"/>
      <c r="I68" s="295"/>
      <c r="J68" s="295"/>
      <c r="K68" s="295"/>
      <c r="L68" s="295"/>
      <c r="M68" s="275"/>
      <c r="N68" s="275"/>
      <c r="O68" s="275"/>
      <c r="P68" s="275"/>
      <c r="Q68" s="275"/>
      <c r="R68" s="275"/>
      <c r="S68" s="275"/>
      <c r="T68" s="275"/>
      <c r="U68" s="275"/>
    </row>
    <row r="69" spans="1:21" ht="13.15">
      <c r="A69" s="132">
        <v>30</v>
      </c>
      <c r="B69" s="118">
        <v>11199510.381821332</v>
      </c>
      <c r="C69" s="277">
        <v>14773611.247121004</v>
      </c>
      <c r="D69" s="118">
        <v>20149567.06588478</v>
      </c>
      <c r="E69" s="118">
        <v>28382956.11206599</v>
      </c>
      <c r="F69" s="118">
        <v>41165637.422914237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0.02</v>
      </c>
      <c r="D72" s="124">
        <f>D55</f>
        <v>0.04</v>
      </c>
      <c r="E72" s="124">
        <f>E55</f>
        <v>0.06</v>
      </c>
      <c r="F72" s="124">
        <f>F55</f>
        <v>0.08</v>
      </c>
      <c r="G72" s="124"/>
      <c r="H72" s="124"/>
      <c r="I72" s="124"/>
      <c r="J72" s="124"/>
      <c r="K72" s="124"/>
      <c r="L72" s="124"/>
    </row>
    <row r="73" spans="1:21" ht="13.15">
      <c r="A73" s="131">
        <v>0</v>
      </c>
      <c r="B73" s="119">
        <f>C11</f>
        <v>46.263559113514553</v>
      </c>
      <c r="C73" s="119">
        <f>C11</f>
        <v>46.263559113514553</v>
      </c>
      <c r="D73" s="119">
        <f>C11</f>
        <v>46.263559113514553</v>
      </c>
      <c r="E73" s="119">
        <f>C11</f>
        <v>46.263559113514553</v>
      </c>
      <c r="F73" s="119">
        <f>C11</f>
        <v>46.263559113514553</v>
      </c>
      <c r="G73" s="296"/>
      <c r="H73" s="296"/>
      <c r="I73" s="296"/>
      <c r="J73" s="296"/>
      <c r="K73" s="296"/>
      <c r="L73" s="296"/>
    </row>
    <row r="74" spans="1:21" ht="13.15">
      <c r="A74" s="131">
        <v>1</v>
      </c>
      <c r="B74" s="119">
        <f t="shared" ref="B74:F87" si="11">(B56+FV_adjustments)/Common_Shares*scaling_factor*Exchange_Rate</f>
        <v>30.598687168623812</v>
      </c>
      <c r="C74" s="119">
        <f t="shared" si="11"/>
        <v>31.417155122223829</v>
      </c>
      <c r="D74" s="119">
        <f t="shared" si="11"/>
        <v>32.23562307582386</v>
      </c>
      <c r="E74" s="119">
        <f t="shared" si="11"/>
        <v>33.05409102942388</v>
      </c>
      <c r="F74" s="119">
        <f t="shared" si="11"/>
        <v>33.872558983023907</v>
      </c>
      <c r="G74" s="296"/>
      <c r="H74" s="296"/>
      <c r="I74" s="296"/>
      <c r="J74" s="296"/>
      <c r="K74" s="296"/>
      <c r="L74" s="296"/>
    </row>
    <row r="75" spans="1:21" ht="13.15">
      <c r="A75" s="131">
        <v>2</v>
      </c>
      <c r="B75" s="119">
        <f t="shared" si="11"/>
        <v>30.548043991943644</v>
      </c>
      <c r="C75" s="119">
        <f t="shared" si="11"/>
        <v>32.143902170748547</v>
      </c>
      <c r="D75" s="119">
        <f t="shared" si="11"/>
        <v>33.770285960876556</v>
      </c>
      <c r="E75" s="119">
        <f t="shared" si="11"/>
        <v>35.427195362327616</v>
      </c>
      <c r="F75" s="119">
        <f t="shared" si="11"/>
        <v>37.114630375101775</v>
      </c>
      <c r="G75" s="296"/>
      <c r="H75" s="296"/>
      <c r="I75" s="296"/>
      <c r="J75" s="296"/>
      <c r="K75" s="296"/>
      <c r="L75" s="296"/>
    </row>
    <row r="76" spans="1:21" ht="13.15">
      <c r="A76" s="131">
        <v>3</v>
      </c>
      <c r="B76" s="119">
        <f t="shared" si="11"/>
        <v>30.500824246787325</v>
      </c>
      <c r="C76" s="119">
        <f t="shared" si="11"/>
        <v>32.835074188925908</v>
      </c>
      <c r="D76" s="119">
        <f t="shared" si="11"/>
        <v>35.258443910018549</v>
      </c>
      <c r="E76" s="119">
        <f t="shared" si="11"/>
        <v>37.772641136572787</v>
      </c>
      <c r="F76" s="119">
        <f t="shared" si="11"/>
        <v>40.379373595096233</v>
      </c>
      <c r="G76" s="296"/>
      <c r="H76" s="296"/>
      <c r="I76" s="296"/>
      <c r="J76" s="296"/>
      <c r="K76" s="296"/>
      <c r="L76" s="296"/>
    </row>
    <row r="77" spans="1:21" ht="13.15">
      <c r="A77" s="131">
        <v>4</v>
      </c>
      <c r="B77" s="119">
        <f t="shared" si="11"/>
        <v>30.456796512375824</v>
      </c>
      <c r="C77" s="119">
        <f t="shared" si="11"/>
        <v>33.492412611807872</v>
      </c>
      <c r="D77" s="119">
        <f t="shared" si="11"/>
        <v>36.701506163731999</v>
      </c>
      <c r="E77" s="119">
        <f t="shared" si="11"/>
        <v>40.090750712982931</v>
      </c>
      <c r="F77" s="119">
        <f t="shared" si="11"/>
        <v>43.666947187258494</v>
      </c>
      <c r="G77" s="296"/>
      <c r="H77" s="296"/>
      <c r="I77" s="296"/>
      <c r="J77" s="296"/>
      <c r="K77" s="296"/>
      <c r="L77" s="296"/>
    </row>
    <row r="78" spans="1:21" ht="13.15">
      <c r="A78" s="131">
        <v>5</v>
      </c>
      <c r="B78" s="119">
        <f t="shared" si="11"/>
        <v>30.415745011759043</v>
      </c>
      <c r="C78" s="119">
        <f t="shared" si="11"/>
        <v>34.117573629373929</v>
      </c>
      <c r="D78" s="119">
        <f t="shared" si="11"/>
        <v>38.10083925824199</v>
      </c>
      <c r="E78" s="119">
        <f t="shared" si="11"/>
        <v>42.381842695262414</v>
      </c>
      <c r="F78" s="119">
        <f t="shared" si="11"/>
        <v>46.977510804540778</v>
      </c>
      <c r="G78" s="296"/>
      <c r="H78" s="296"/>
      <c r="I78" s="296"/>
      <c r="J78" s="296"/>
      <c r="K78" s="296"/>
      <c r="L78" s="296"/>
    </row>
    <row r="79" spans="1:21" ht="13.15">
      <c r="A79" s="131">
        <v>6</v>
      </c>
      <c r="B79" s="119">
        <f t="shared" si="11"/>
        <v>30.377468554307505</v>
      </c>
      <c r="C79" s="119">
        <f t="shared" si="11"/>
        <v>34.712132359366827</v>
      </c>
      <c r="D79" s="119">
        <f t="shared" si="11"/>
        <v>39.45776831958505</v>
      </c>
      <c r="E79" s="119">
        <f t="shared" si="11"/>
        <v>44.646231973785738</v>
      </c>
      <c r="F79" s="119">
        <f t="shared" si="11"/>
        <v>50.311225216349506</v>
      </c>
      <c r="G79" s="296"/>
      <c r="H79" s="296"/>
      <c r="I79" s="296"/>
      <c r="J79" s="296"/>
      <c r="K79" s="296"/>
      <c r="L79" s="296"/>
    </row>
    <row r="80" spans="1:21" ht="13.15">
      <c r="A80" s="131">
        <f t="shared" ref="A80" si="12">A62</f>
        <v>7</v>
      </c>
      <c r="B80" s="119">
        <f t="shared" si="11"/>
        <v>30.341779549690685</v>
      </c>
      <c r="C80" s="119">
        <f t="shared" si="11"/>
        <v>35.277586815863572</v>
      </c>
      <c r="D80" s="119">
        <f t="shared" si="11"/>
        <v>40.773578318463166</v>
      </c>
      <c r="E80" s="119">
        <f t="shared" si="11"/>
        <v>46.884229768876381</v>
      </c>
      <c r="F80" s="119">
        <f t="shared" si="11"/>
        <v>53.668252316352721</v>
      </c>
      <c r="G80" s="296"/>
      <c r="H80" s="296"/>
      <c r="I80" s="296"/>
      <c r="J80" s="296"/>
      <c r="K80" s="296"/>
      <c r="L80" s="296"/>
    </row>
    <row r="81" spans="1:12" ht="13.15">
      <c r="A81" s="131">
        <v>8</v>
      </c>
      <c r="B81" s="119">
        <f t="shared" si="11"/>
        <v>30.308503088509486</v>
      </c>
      <c r="C81" s="119">
        <f t="shared" si="11"/>
        <v>35.815361683580754</v>
      </c>
      <c r="D81" s="119">
        <f t="shared" si="11"/>
        <v>42.049515287072232</v>
      </c>
      <c r="E81" s="119">
        <f t="shared" si="11"/>
        <v>49.096143673581359</v>
      </c>
      <c r="F81" s="119">
        <f t="shared" si="11"/>
        <v>57.048755130341938</v>
      </c>
      <c r="G81" s="296"/>
      <c r="H81" s="296"/>
      <c r="I81" s="296"/>
      <c r="J81" s="296"/>
      <c r="K81" s="296"/>
      <c r="L81" s="296"/>
    </row>
    <row r="82" spans="1:12" ht="13.15">
      <c r="A82" s="131">
        <f t="shared" ref="A82" si="13">A64</f>
        <v>9</v>
      </c>
      <c r="B82" s="119">
        <f t="shared" si="11"/>
        <v>30.277476085077144</v>
      </c>
      <c r="C82" s="119">
        <f t="shared" si="11"/>
        <v>36.326811907423668</v>
      </c>
      <c r="D82" s="119">
        <f t="shared" si="11"/>
        <v>43.286787499056786</v>
      </c>
      <c r="E82" s="119">
        <f t="shared" si="11"/>
        <v>51.282277695947123</v>
      </c>
      <c r="F82" s="119">
        <f t="shared" si="11"/>
        <v>60.452897824149261</v>
      </c>
      <c r="G82" s="296"/>
      <c r="H82" s="296"/>
      <c r="I82" s="296"/>
      <c r="J82" s="296"/>
      <c r="K82" s="296"/>
      <c r="L82" s="296"/>
    </row>
    <row r="83" spans="1:12" ht="13.15">
      <c r="A83" s="131">
        <f t="shared" ref="A83:A87" si="14">A65</f>
        <v>10</v>
      </c>
      <c r="B83" s="119">
        <f t="shared" si="11"/>
        <v>30.248546478147222</v>
      </c>
      <c r="C83" s="119">
        <f t="shared" si="11"/>
        <v>36.813226106323228</v>
      </c>
      <c r="D83" s="119">
        <f t="shared" si="11"/>
        <v>44.486566613708447</v>
      </c>
      <c r="E83" s="119">
        <f t="shared" si="11"/>
        <v>53.442932300802781</v>
      </c>
      <c r="F83" s="119">
        <f t="shared" si="11"/>
        <v>63.880845711619607</v>
      </c>
      <c r="G83" s="296"/>
      <c r="H83" s="296"/>
      <c r="I83" s="296"/>
      <c r="J83" s="296"/>
      <c r="K83" s="296"/>
      <c r="L83" s="296"/>
    </row>
    <row r="84" spans="1:12" ht="13.15">
      <c r="A84" s="131">
        <f t="shared" si="14"/>
        <v>15</v>
      </c>
      <c r="B84" s="119">
        <f t="shared" si="11"/>
        <v>30.130719168938647</v>
      </c>
      <c r="C84" s="119">
        <f t="shared" si="11"/>
        <v>38.910611585014443</v>
      </c>
      <c r="D84" s="119">
        <f t="shared" si="11"/>
        <v>49.96164780989163</v>
      </c>
      <c r="E84" s="119">
        <f t="shared" si="11"/>
        <v>63.874287469334142</v>
      </c>
      <c r="F84" s="119">
        <f t="shared" si="11"/>
        <v>81.383530415649446</v>
      </c>
      <c r="G84" s="296"/>
      <c r="H84" s="296"/>
      <c r="I84" s="296"/>
      <c r="J84" s="296"/>
      <c r="K84" s="296"/>
      <c r="L84" s="296"/>
    </row>
    <row r="85" spans="1:12" ht="13.15">
      <c r="A85" s="132">
        <f t="shared" si="14"/>
        <v>20</v>
      </c>
      <c r="B85" s="119">
        <f t="shared" si="11"/>
        <v>30.047684500539184</v>
      </c>
      <c r="C85" s="119">
        <f t="shared" si="11"/>
        <v>40.542508086451917</v>
      </c>
      <c r="D85" s="119">
        <f t="shared" si="11"/>
        <v>54.655946898489198</v>
      </c>
      <c r="E85" s="119">
        <f t="shared" si="11"/>
        <v>73.711760497085663</v>
      </c>
      <c r="F85" s="119">
        <f t="shared" si="11"/>
        <v>99.506816354945926</v>
      </c>
      <c r="G85" s="296"/>
      <c r="H85" s="296"/>
      <c r="I85" s="296"/>
      <c r="J85" s="296"/>
      <c r="K85" s="296"/>
      <c r="L85" s="296"/>
    </row>
    <row r="86" spans="1:12" ht="13.15">
      <c r="A86" s="132">
        <f t="shared" si="14"/>
        <v>25</v>
      </c>
      <c r="B86" s="119">
        <f t="shared" si="11"/>
        <v>29.989168726882635</v>
      </c>
      <c r="C86" s="119">
        <f t="shared" si="11"/>
        <v>41.812225178736568</v>
      </c>
      <c r="D86" s="119">
        <f t="shared" si="11"/>
        <v>58.680808474710197</v>
      </c>
      <c r="E86" s="119">
        <f t="shared" si="11"/>
        <v>82.989162522824941</v>
      </c>
      <c r="F86" s="119">
        <f t="shared" si="11"/>
        <v>118.27270849044653</v>
      </c>
      <c r="G86" s="296"/>
      <c r="H86" s="296"/>
      <c r="I86" s="296"/>
      <c r="J86" s="296"/>
      <c r="K86" s="296"/>
      <c r="L86" s="296"/>
    </row>
    <row r="87" spans="1:12" ht="13.15">
      <c r="A87" s="132">
        <f t="shared" si="14"/>
        <v>30</v>
      </c>
      <c r="B87" s="119">
        <f t="shared" si="11"/>
        <v>29.947931785342131</v>
      </c>
      <c r="C87" s="119">
        <f t="shared" si="11"/>
        <v>42.800144138682683</v>
      </c>
      <c r="D87" s="119">
        <f t="shared" si="11"/>
        <v>62.131698671947284</v>
      </c>
      <c r="E87" s="119">
        <f t="shared" si="11"/>
        <v>91.738379735861955</v>
      </c>
      <c r="F87" s="119">
        <f t="shared" si="11"/>
        <v>137.70399202373022</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0.08</v>
      </c>
      <c r="D90" s="133">
        <f>Scenarios!D29</f>
        <v>20</v>
      </c>
      <c r="E90" s="127">
        <f>INDEX(B$73:F$87, MATCH(D90, A$73:A$87, 0), MATCH(C90, B$72:F$72, 0))</f>
        <v>99.506816354945926</v>
      </c>
      <c r="F90" s="130">
        <f>Scenarios!F29</f>
        <v>0.15</v>
      </c>
      <c r="G90" s="297"/>
      <c r="H90" s="297"/>
      <c r="I90" s="297"/>
      <c r="J90" s="297"/>
      <c r="K90" s="297"/>
      <c r="L90" s="297"/>
    </row>
    <row r="91" spans="1:12">
      <c r="B91" s="120" t="str">
        <f>Scenarios!B22</f>
        <v>Optimistic</v>
      </c>
      <c r="C91" s="130">
        <f>Scenarios!C22</f>
        <v>0.06</v>
      </c>
      <c r="D91" s="133">
        <f>Scenarios!D22</f>
        <v>20</v>
      </c>
      <c r="E91" s="127">
        <f>INDEX(B$73:F$87, MATCH(D91, A$73:A$87, 0), MATCH(C91, B$72:F$72, 0))</f>
        <v>73.711760497085663</v>
      </c>
      <c r="F91" s="130">
        <f>Scenarios!F22*(1-F$90-F$94)</f>
        <v>0.15999999999999995</v>
      </c>
      <c r="G91" s="297"/>
      <c r="H91" s="297"/>
      <c r="I91" s="297"/>
      <c r="J91" s="297"/>
      <c r="K91" s="297"/>
      <c r="L91" s="297"/>
    </row>
    <row r="92" spans="1:12">
      <c r="B92" s="120" t="str">
        <f>Scenarios!B23</f>
        <v>Base</v>
      </c>
      <c r="C92" s="130">
        <f>Scenarios!C23</f>
        <v>0.04</v>
      </c>
      <c r="D92" s="133">
        <f>Scenarios!D23</f>
        <v>20</v>
      </c>
      <c r="E92" s="127">
        <f>INDEX(B$73:F$87, MATCH(D92, A$73:A$87, 0), MATCH(C92, B$72:F$72, 0))</f>
        <v>54.655946898489198</v>
      </c>
      <c r="F92" s="130">
        <f>Scenarios!F23*(1-F$90-F$94)</f>
        <v>0.44</v>
      </c>
      <c r="G92" s="297"/>
      <c r="H92" s="297"/>
      <c r="I92" s="297"/>
      <c r="J92" s="297"/>
      <c r="K92" s="297"/>
      <c r="L92" s="297"/>
    </row>
    <row r="93" spans="1:12">
      <c r="B93" s="120" t="str">
        <f>Scenarios!B24</f>
        <v>Pessimistic</v>
      </c>
      <c r="C93" s="130">
        <f>Scenarios!C24</f>
        <v>0.02</v>
      </c>
      <c r="D93" s="133">
        <f>Scenarios!D24</f>
        <v>20</v>
      </c>
      <c r="E93" s="127">
        <f>INDEX(B$73:F$87, MATCH(D93, A$73:A$87, 0), MATCH(C93, B$72:F$72, 0))</f>
        <v>40.542508086451917</v>
      </c>
      <c r="F93" s="130">
        <f>Scenarios!F24*(1-F$90-F$94)</f>
        <v>0.19999999999999998</v>
      </c>
      <c r="G93" s="297"/>
      <c r="H93" s="297"/>
      <c r="I93" s="297"/>
      <c r="J93" s="297"/>
      <c r="K93" s="297"/>
      <c r="L93" s="297"/>
    </row>
    <row r="94" spans="1:12">
      <c r="B94" s="120" t="str">
        <f>Scenarios!B30</f>
        <v>Devil's advocate</v>
      </c>
      <c r="C94" s="130">
        <f>Scenarios!C30</f>
        <v>0</v>
      </c>
      <c r="D94" s="133">
        <f>Scenarios!D30</f>
        <v>20</v>
      </c>
      <c r="E94" s="127">
        <f>INDEX(B$73:F$87, MATCH(D94, A$73:A$87, 0), MATCH(C94, B$72:F$72, 0))</f>
        <v>30.047684500539184</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1913.HK – Prada S.p.A.: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EUR</v>
      </c>
      <c r="D6" s="469"/>
      <c r="E6" s="469"/>
      <c r="F6" s="469"/>
      <c r="G6" s="469"/>
    </row>
    <row r="7" spans="2:7" ht="12.75" customHeight="1">
      <c r="B7" s="97" t="s">
        <v>231</v>
      </c>
      <c r="C7" s="447">
        <f>Normalized_FCF!G8</f>
        <v>1279550</v>
      </c>
      <c r="D7" s="469"/>
      <c r="E7" s="469"/>
      <c r="F7" s="469"/>
      <c r="G7" s="469"/>
    </row>
    <row r="8" spans="2:7">
      <c r="B8" s="97" t="s">
        <v>62</v>
      </c>
      <c r="C8" s="447">
        <f>Normalized_FCF!G19</f>
        <v>838907</v>
      </c>
      <c r="D8" s="469"/>
      <c r="E8" s="469"/>
      <c r="F8" s="469"/>
      <c r="G8" s="469"/>
    </row>
    <row r="9" spans="2:7">
      <c r="B9" s="97" t="s">
        <v>53</v>
      </c>
      <c r="C9" s="447">
        <f>Normalized_FCF!C19</f>
        <v>809980.30276234611</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t="e">
        <f ca="1">(Normalized_FCF!G4/OFFSET(Normalized_FCF!G4, 0, $C$4))^(1/$C$4) - 1</f>
        <v>#VALUE!</v>
      </c>
      <c r="D12" s="469"/>
      <c r="E12" s="469"/>
      <c r="F12" s="469"/>
      <c r="G12" s="469"/>
    </row>
    <row r="13" spans="2:7">
      <c r="B13" s="135" t="s">
        <v>126</v>
      </c>
      <c r="C13" s="249" t="e">
        <f ca="1">(Normalized_FCF!G8/OFFSET(Normalized_FCF!G8, 0, $C$4))^(1/$C$4) - 1</f>
        <v>#VALUE!</v>
      </c>
      <c r="D13" s="469"/>
      <c r="E13" s="469"/>
      <c r="F13" s="469"/>
      <c r="G13" s="469"/>
    </row>
    <row r="14" spans="2:7">
      <c r="B14" s="97" t="s">
        <v>62</v>
      </c>
      <c r="C14" s="249" t="e">
        <f ca="1">(Normalized_FCF!G19/OFFSET(Normalized_FCF!G19, 0, $C$4))^(1/$C$4) - 1</f>
        <v>#VALUE!</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20</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0.06</v>
      </c>
      <c r="D22" s="325">
        <f>C18</f>
        <v>20</v>
      </c>
      <c r="E22" s="326">
        <f>DCF!E91</f>
        <v>73.711760497085663</v>
      </c>
      <c r="F22" s="328">
        <f>1-F23-F24</f>
        <v>0.19999999999999996</v>
      </c>
      <c r="G22" s="328">
        <f>F22*(1-F$29-F$30)</f>
        <v>0.15999999999999995</v>
      </c>
    </row>
    <row r="23" spans="2:7">
      <c r="B23" s="302" t="s">
        <v>436</v>
      </c>
      <c r="C23" s="324">
        <v>0.04</v>
      </c>
      <c r="D23" s="325">
        <f>C18</f>
        <v>20</v>
      </c>
      <c r="E23" s="326">
        <f>DCF!E92</f>
        <v>54.655946898489198</v>
      </c>
      <c r="F23" s="327">
        <v>0.55000000000000004</v>
      </c>
      <c r="G23" s="328">
        <f t="shared" ref="G23:G24" si="0">F23*(1-F$29-F$30)</f>
        <v>0.44</v>
      </c>
    </row>
    <row r="24" spans="2:7">
      <c r="B24" s="302" t="s">
        <v>445</v>
      </c>
      <c r="C24" s="324">
        <v>0.02</v>
      </c>
      <c r="D24" s="325">
        <f>C18</f>
        <v>20</v>
      </c>
      <c r="E24" s="326">
        <f>DCF!E93</f>
        <v>40.542508086451917</v>
      </c>
      <c r="F24" s="327">
        <v>0.25</v>
      </c>
      <c r="G24" s="328">
        <f t="shared" si="0"/>
        <v>0.19999999999999998</v>
      </c>
    </row>
    <row r="25" spans="2:7">
      <c r="B25" s="141" t="s">
        <v>450</v>
      </c>
      <c r="C25" s="441">
        <f>E23*F23+E24*F24+E22*F22</f>
        <v>54.938749915199168</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0.08</v>
      </c>
      <c r="D29" s="325">
        <f>C18</f>
        <v>20</v>
      </c>
      <c r="E29" s="326">
        <f>DCF!E90</f>
        <v>99.506816354945926</v>
      </c>
      <c r="F29" s="327">
        <v>0.15</v>
      </c>
      <c r="G29" s="328">
        <f>F29</f>
        <v>0.15</v>
      </c>
    </row>
    <row r="30" spans="2:7">
      <c r="B30" s="315" t="s">
        <v>446</v>
      </c>
      <c r="C30" s="324">
        <v>0</v>
      </c>
      <c r="D30" s="325">
        <f>C18</f>
        <v>20</v>
      </c>
      <c r="E30" s="326">
        <f>DCF!E94</f>
        <v>30.047684500539184</v>
      </c>
      <c r="F30" s="327">
        <v>0.05</v>
      </c>
      <c r="G30" s="328">
        <f>F30</f>
        <v>0.05</v>
      </c>
    </row>
    <row r="31" spans="2:7">
      <c r="E31" s="329"/>
      <c r="F31" s="329"/>
    </row>
    <row r="32" spans="2:7" ht="13.15">
      <c r="B32" s="145" t="s">
        <v>455</v>
      </c>
    </row>
    <row r="33" spans="2:7">
      <c r="B33" s="97" t="s">
        <v>457</v>
      </c>
      <c r="C33" s="155">
        <f>Normalized_FCF!C88*(1-dividend_tax_rate)</f>
        <v>1.431802</v>
      </c>
      <c r="D33" t="str">
        <f>Market_currency</f>
        <v>HKD</v>
      </c>
      <c r="E33" s="97" t="s">
        <v>454</v>
      </c>
      <c r="F33" s="219">
        <f>Holding_Period</f>
        <v>3</v>
      </c>
    </row>
    <row r="34" spans="2:7">
      <c r="B34" s="97" t="s">
        <v>232</v>
      </c>
      <c r="C34" s="146">
        <f>Market_Price</f>
        <v>38.76</v>
      </c>
      <c r="D34" t="str">
        <f>Market_currency</f>
        <v>HKD</v>
      </c>
      <c r="E34" s="97" t="s">
        <v>453</v>
      </c>
      <c r="F34" s="330">
        <f>RATE(Holding_Period,$C$33,-C34,$C$36)</f>
        <v>0.19141149733869603</v>
      </c>
    </row>
    <row r="35" spans="2:7">
      <c r="B35" s="97" t="s">
        <v>433</v>
      </c>
      <c r="C35" s="320">
        <f>DCF!C11</f>
        <v>46.263559113514553</v>
      </c>
      <c r="D35" s="97" t="str">
        <f>Market_currency</f>
        <v>HKD</v>
      </c>
      <c r="E35" s="97" t="s">
        <v>453</v>
      </c>
      <c r="F35" s="330">
        <f>RATE(Holding_Period,$C$33,-C35,$C$36)</f>
        <v>0.12126085671886636</v>
      </c>
    </row>
    <row r="36" spans="2:7">
      <c r="B36" s="97" t="s">
        <v>434</v>
      </c>
      <c r="C36" s="321">
        <f>E22*G22+E23*G23+E24*G24+E30*G30+E29*G29</f>
        <v>60.379406610428177</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550</v>
      </c>
      <c r="C40" s="126">
        <f>Normalized_FCF!E116</f>
        <v>0.20771863979883598</v>
      </c>
      <c r="E40" s="97" t="s">
        <v>400</v>
      </c>
    </row>
    <row r="41" spans="2:7">
      <c r="B41" s="97" t="s">
        <v>399</v>
      </c>
      <c r="C41" s="455">
        <f>DCF!C16</f>
        <v>4.5845970227562302E-2</v>
      </c>
      <c r="E41" s="97"/>
    </row>
    <row r="43" spans="2:7" ht="13.9">
      <c r="B43" s="34" t="s">
        <v>275</v>
      </c>
      <c r="C43" s="35"/>
      <c r="D43" s="35"/>
      <c r="E43" s="35"/>
      <c r="F43" s="35"/>
      <c r="G43" s="35"/>
    </row>
    <row r="44" spans="2:7" ht="13.15">
      <c r="B44" s="106" t="s">
        <v>248</v>
      </c>
      <c r="E44" s="222" t="s">
        <v>250</v>
      </c>
    </row>
    <row r="45" spans="2:7">
      <c r="B45" s="139" t="s">
        <v>110</v>
      </c>
      <c r="C45" s="150">
        <f>C18</f>
        <v>20</v>
      </c>
      <c r="D45" s="137"/>
      <c r="E45" s="221" t="s">
        <v>306</v>
      </c>
    </row>
    <row r="46" spans="2:7">
      <c r="B46" s="114" t="s">
        <v>111</v>
      </c>
      <c r="C46" s="138">
        <v>4.5845970227562302E-2</v>
      </c>
      <c r="D46" s="138"/>
      <c r="E46" s="221" t="s">
        <v>251</v>
      </c>
    </row>
    <row r="47" spans="2:7">
      <c r="B47" s="97" t="s">
        <v>95</v>
      </c>
      <c r="C47" s="146">
        <f>DCF!I18</f>
        <v>59.644907719170781</v>
      </c>
      <c r="D47" s="146" t="str">
        <f>Market_currency</f>
        <v>HKD</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-0.17099721727961334</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1.431802</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2.6003140555302693</v>
      </c>
      <c r="D62" s="119">
        <f>C36/(1+F62)^Holding_Period</f>
        <v>27.482661179075176</v>
      </c>
      <c r="E62" s="332">
        <f>C62+D62</f>
        <v>30.082975234605446</v>
      </c>
      <c r="F62" s="301">
        <f>Thesis!E22</f>
        <v>0.3</v>
      </c>
      <c r="G62" s="440">
        <f>(1-E62/C36)</f>
        <v>0.50176762370815031</v>
      </c>
    </row>
    <row r="63" spans="2:7" ht="13.15">
      <c r="B63" s="302" t="s">
        <v>312</v>
      </c>
      <c r="C63" s="119">
        <f>PV(F63, Holding_Period, -C58, 0)</f>
        <v>3.0160643981481483</v>
      </c>
      <c r="D63" s="119">
        <f>C36/(1+F63)^Holding_Period</f>
        <v>34.941786232886678</v>
      </c>
      <c r="E63" s="332">
        <f>C63+D63</f>
        <v>37.957850631034823</v>
      </c>
      <c r="F63" s="301">
        <f>Thesis!E23</f>
        <v>0.2</v>
      </c>
      <c r="G63" s="440">
        <f>(1-E63/C36)</f>
        <v>0.37134442416863545</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3.4543699809252097</v>
      </c>
      <c r="D66" s="119">
        <f>C36/(1+F66)^Holding_Period</f>
        <v>43.277567212091071</v>
      </c>
      <c r="E66" s="332">
        <f>C66+D66</f>
        <v>46.731937193016279</v>
      </c>
      <c r="F66" s="301">
        <f>Thesis!E24</f>
        <v>0.1174</v>
      </c>
      <c r="G66" s="440">
        <f>(1-E66/C36)</f>
        <v>0.22602854488892632</v>
      </c>
    </row>
    <row r="67" spans="2:7" ht="13.15">
      <c r="B67" s="302" t="s">
        <v>313</v>
      </c>
      <c r="C67" s="119">
        <f>PV(F67, Holding_Period, -C58, 0)</f>
        <v>3.7404040750167789</v>
      </c>
      <c r="D67" s="119">
        <f>C36/(1+F67)^Holding_Period</f>
        <v>48.943715821042709</v>
      </c>
      <c r="E67" s="332">
        <f>C67+D67</f>
        <v>52.684119896059485</v>
      </c>
      <c r="F67" s="301">
        <f>Thesis!E25</f>
        <v>7.2499999999999995E-2</v>
      </c>
      <c r="G67" s="440">
        <f>(1-E67/C36)</f>
        <v>0.12744886288828872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46065</v>
      </c>
    </row>
    <row r="4" spans="1:10">
      <c r="B4" s="422" t="s">
        <v>533</v>
      </c>
      <c r="C4" s="423" t="str">
        <f>Thesis!C4</f>
        <v>Prada S.p.A.</v>
      </c>
      <c r="D4" s="349"/>
      <c r="E4" s="434" t="s">
        <v>539</v>
      </c>
      <c r="F4" s="437" t="str">
        <f>Thesis!F4</f>
        <v>INT</v>
      </c>
    </row>
    <row r="5" spans="1:10">
      <c r="B5" s="343" t="s">
        <v>363</v>
      </c>
      <c r="C5" s="355" t="str">
        <f>Thesis!C5</f>
        <v>1913.HK</v>
      </c>
      <c r="E5" s="438" t="s">
        <v>540</v>
      </c>
      <c r="F5" s="439" t="str">
        <f>Thesis!F5</f>
        <v>Y</v>
      </c>
    </row>
    <row r="6" spans="1:10">
      <c r="B6" s="350" t="s">
        <v>335</v>
      </c>
      <c r="C6" s="352" t="str">
        <f>Thesis!C6</f>
        <v>CNS_01</v>
      </c>
      <c r="E6" s="354"/>
    </row>
    <row r="7" spans="1:10">
      <c r="B7" s="343" t="s">
        <v>365</v>
      </c>
      <c r="C7" s="352" t="str">
        <f>Market_currency</f>
        <v>HKD</v>
      </c>
      <c r="D7" s="354"/>
      <c r="E7" s="354"/>
    </row>
    <row r="8" spans="1:10">
      <c r="B8" s="351" t="s">
        <v>364</v>
      </c>
      <c r="C8" s="356">
        <f>Market_Price</f>
        <v>38.76</v>
      </c>
    </row>
    <row r="9" spans="1:10">
      <c r="B9" s="351" t="s">
        <v>360</v>
      </c>
      <c r="C9" s="353">
        <f>Common_Shares</f>
        <v>2558824000</v>
      </c>
    </row>
    <row r="10" spans="1:10">
      <c r="B10" s="351" t="s">
        <v>366</v>
      </c>
      <c r="C10" s="357">
        <f>投资主题!C8*Common_Shares/1000000</f>
        <v>99180.018240000005</v>
      </c>
      <c r="D10" s="343" t="s">
        <v>528</v>
      </c>
      <c r="E10" s="360">
        <f>Scenarios!F34</f>
        <v>0.19141149733869603</v>
      </c>
    </row>
    <row r="11" spans="1:10">
      <c r="D11" s="349"/>
      <c r="E11" s="349"/>
    </row>
    <row r="12" spans="1:10" ht="24.5" customHeight="1">
      <c r="B12" s="471" t="s">
        <v>497</v>
      </c>
      <c r="C12" s="471"/>
      <c r="D12" s="471"/>
      <c r="E12" s="471"/>
      <c r="F12" s="471"/>
    </row>
    <row r="14" spans="1:10">
      <c r="B14" s="347" t="s">
        <v>369</v>
      </c>
      <c r="C14" s="348"/>
      <c r="D14" s="349"/>
    </row>
    <row r="15" spans="1:10">
      <c r="B15" s="343" t="s">
        <v>336</v>
      </c>
      <c r="C15" s="358" t="str">
        <f>Thesis!C15</f>
        <v>N</v>
      </c>
      <c r="D15" s="351" t="s">
        <v>367</v>
      </c>
      <c r="E15" s="344" t="str">
        <f>IF(E17=C7,C7,E17&amp;"/"&amp;C7)</f>
        <v>EUR/HKD</v>
      </c>
    </row>
    <row r="16" spans="1:10">
      <c r="B16" s="343" t="s">
        <v>337</v>
      </c>
      <c r="C16" s="358" t="str">
        <f>Thesis!C16</f>
        <v>N</v>
      </c>
      <c r="D16" s="351" t="s">
        <v>368</v>
      </c>
      <c r="E16" s="425">
        <f>Exchange_Rate</f>
        <v>9.2013490000000004</v>
      </c>
    </row>
    <row r="17" spans="1:6">
      <c r="B17" s="343" t="s">
        <v>534</v>
      </c>
      <c r="C17" s="424">
        <f>Terminal_Growth</f>
        <v>0.02</v>
      </c>
      <c r="D17" s="351" t="s">
        <v>338</v>
      </c>
      <c r="E17" s="344" t="str">
        <f>Reporting_currency</f>
        <v>EUR</v>
      </c>
    </row>
    <row r="18" spans="1:6">
      <c r="B18" s="343" t="str">
        <f>"预期股权价值 ("&amp;C7&amp;") :"</f>
        <v>预期股权价值 (HKD) :</v>
      </c>
      <c r="C18" s="359">
        <f>C125</f>
        <v>60.379406610428177</v>
      </c>
      <c r="D18" s="350" t="s">
        <v>361</v>
      </c>
      <c r="E18" s="426">
        <f>Thesis!E18</f>
        <v>6</v>
      </c>
    </row>
    <row r="19" spans="1:6">
      <c r="B19" s="350" t="s">
        <v>334</v>
      </c>
      <c r="C19" s="352" t="str">
        <f>IF(Scenarios!C50="Y",Scenarios!B50,"")&amp;IF(Scenarios!C51="Y",Scenarios!B51,"")&amp;IF(Scenarios!C52="Y",Scenarios!B52,"")&amp;" "&amp;IF(Scenarios!C53="Y",Scenarios!B53,"")</f>
        <v xml:space="preserve">Low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30.082975234605446</v>
      </c>
      <c r="D22" s="365" t="s">
        <v>439</v>
      </c>
      <c r="E22" s="366">
        <f>Thesis!E22</f>
        <v>0.3</v>
      </c>
    </row>
    <row r="23" spans="1:6">
      <c r="B23" s="343" t="s">
        <v>340</v>
      </c>
      <c r="C23" s="367">
        <f>E141</f>
        <v>37.957850631034823</v>
      </c>
      <c r="D23" s="365" t="s">
        <v>440</v>
      </c>
      <c r="E23" s="368">
        <f>Thesis!E23</f>
        <v>0.2</v>
      </c>
    </row>
    <row r="24" spans="1:6">
      <c r="B24" s="343" t="s">
        <v>342</v>
      </c>
      <c r="C24" s="367">
        <f>E144</f>
        <v>46.731937193016279</v>
      </c>
      <c r="D24" s="365" t="s">
        <v>442</v>
      </c>
      <c r="E24" s="368">
        <f>Thesis!E24</f>
        <v>0.1174</v>
      </c>
    </row>
    <row r="25" spans="1:6">
      <c r="B25" s="343" t="s">
        <v>341</v>
      </c>
      <c r="C25" s="367">
        <f>E145</f>
        <v>52.684119896059485</v>
      </c>
      <c r="D25" s="365" t="s">
        <v>441</v>
      </c>
      <c r="E25" s="368">
        <f>Thesis!E25</f>
        <v>7.2499999999999995E-2</v>
      </c>
    </row>
    <row r="27" spans="1:6" ht="13.9">
      <c r="A27" s="345" t="s">
        <v>344</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370</v>
      </c>
      <c r="C32" s="370">
        <f>scaling_factor</f>
        <v>1000</v>
      </c>
    </row>
    <row r="33" spans="2:6">
      <c r="B33" s="470" t="s">
        <v>500</v>
      </c>
      <c r="C33" s="470"/>
      <c r="D33" s="470"/>
      <c r="E33" s="470"/>
      <c r="F33" s="470"/>
    </row>
    <row r="34" spans="2:6">
      <c r="B34" s="372" t="s">
        <v>196</v>
      </c>
      <c r="C34" s="373">
        <f>Normalized_FCF!C8</f>
        <v>1295687.7327357903</v>
      </c>
      <c r="D34" s="343" t="str">
        <f>Reporting_currency</f>
        <v>EUR</v>
      </c>
    </row>
    <row r="35" spans="2:6">
      <c r="B35" s="372"/>
      <c r="C35" s="374"/>
    </row>
    <row r="36" spans="2:6" ht="24.5" customHeight="1">
      <c r="B36" s="470" t="s">
        <v>501</v>
      </c>
      <c r="C36" s="470"/>
      <c r="D36" s="470"/>
      <c r="E36" s="470"/>
      <c r="F36" s="470"/>
    </row>
    <row r="37" spans="2:6">
      <c r="B37" s="372" t="s">
        <v>198</v>
      </c>
      <c r="C37" s="373">
        <f>Normalized_FCF!C15</f>
        <v>0</v>
      </c>
      <c r="D37" s="343" t="str">
        <f>Reporting_currency</f>
        <v>EUR</v>
      </c>
    </row>
    <row r="38" spans="2:6">
      <c r="B38" s="375" t="s">
        <v>199</v>
      </c>
      <c r="C38" s="373">
        <f>Normalized_FCF!C16</f>
        <v>0</v>
      </c>
      <c r="D38" s="343" t="str">
        <f>Reporting_currency</f>
        <v>EUR</v>
      </c>
    </row>
    <row r="40" spans="2:6">
      <c r="B40" s="470" t="s">
        <v>502</v>
      </c>
      <c r="C40" s="470"/>
      <c r="D40" s="470"/>
      <c r="E40" s="470"/>
      <c r="F40" s="470"/>
    </row>
    <row r="41" spans="2:6">
      <c r="B41" s="372" t="s">
        <v>201</v>
      </c>
      <c r="C41" s="373">
        <f>Normalized_FCF!C9</f>
        <v>0</v>
      </c>
      <c r="D41" s="343" t="str">
        <f>Reporting_currency</f>
        <v>EUR</v>
      </c>
    </row>
    <row r="43" spans="2:6">
      <c r="B43" s="470" t="s">
        <v>503</v>
      </c>
      <c r="C43" s="470"/>
      <c r="D43" s="470"/>
      <c r="E43" s="470"/>
      <c r="F43" s="470"/>
    </row>
    <row r="44" spans="2:6">
      <c r="B44" s="372" t="s">
        <v>266</v>
      </c>
      <c r="C44" s="376">
        <f>Normalized_FCF!C46</f>
        <v>3899.7992940561048</v>
      </c>
      <c r="D44" s="343" t="str">
        <f>Reporting_currency</f>
        <v>EUR</v>
      </c>
      <c r="E44" s="371"/>
      <c r="F44" s="371"/>
    </row>
    <row r="45" spans="2:6">
      <c r="B45" s="372" t="s">
        <v>267</v>
      </c>
      <c r="C45" s="376">
        <f>Normalized_FCF!C45</f>
        <v>-171351.9</v>
      </c>
      <c r="D45" s="343" t="str">
        <f>Reporting_currency</f>
        <v>EUR</v>
      </c>
      <c r="E45" s="371"/>
      <c r="F45" s="371"/>
    </row>
    <row r="46" spans="2:6">
      <c r="B46" s="372" t="s">
        <v>202</v>
      </c>
      <c r="C46" s="373">
        <f>Normalized_FCF!C10</f>
        <v>-167452.10070594389</v>
      </c>
      <c r="D46" s="343" t="str">
        <f>Reporting_currency</f>
        <v>EUR</v>
      </c>
    </row>
    <row r="48" spans="2:6">
      <c r="B48" s="343" t="s">
        <v>504</v>
      </c>
    </row>
    <row r="49" spans="2:6">
      <c r="B49" s="372" t="s">
        <v>222</v>
      </c>
      <c r="C49" s="373">
        <f>Normalized_FCF!C13</f>
        <v>-4493</v>
      </c>
      <c r="D49" s="343" t="str">
        <f>Reporting_currency</f>
        <v>EUR</v>
      </c>
    </row>
    <row r="51" spans="2:6">
      <c r="B51" s="470" t="s">
        <v>505</v>
      </c>
      <c r="C51" s="470"/>
      <c r="D51" s="470"/>
      <c r="E51" s="470"/>
      <c r="F51" s="470"/>
    </row>
    <row r="52" spans="2:6">
      <c r="B52" s="372" t="s">
        <v>495</v>
      </c>
      <c r="C52" s="373">
        <f>Normalized_FCF!C12</f>
        <v>-313762.32926750026</v>
      </c>
      <c r="D52" s="343" t="str">
        <f>Reporting_currency</f>
        <v>EUR</v>
      </c>
    </row>
    <row r="54" spans="2:6">
      <c r="B54" s="470" t="s">
        <v>506</v>
      </c>
      <c r="C54" s="473"/>
      <c r="D54" s="473"/>
      <c r="E54" s="473"/>
      <c r="F54" s="473"/>
    </row>
    <row r="55" spans="2:6">
      <c r="B55" s="372" t="s">
        <v>206</v>
      </c>
      <c r="C55" s="373">
        <f>Normalized_FCF!C17</f>
        <v>0</v>
      </c>
      <c r="D55" s="343" t="str">
        <f>Reporting_currency</f>
        <v>EUR</v>
      </c>
    </row>
    <row r="57" spans="2:6">
      <c r="B57" s="471" t="s">
        <v>507</v>
      </c>
      <c r="C57" s="471"/>
      <c r="D57" s="471"/>
      <c r="E57" s="471"/>
      <c r="F57" s="471"/>
    </row>
    <row r="58" spans="2:6">
      <c r="B58" s="471" t="s">
        <v>508</v>
      </c>
      <c r="C58" s="471"/>
      <c r="D58" s="471"/>
      <c r="E58" s="471"/>
      <c r="F58" s="471"/>
    </row>
    <row r="60" spans="2:6">
      <c r="B60" s="372" t="s">
        <v>371</v>
      </c>
      <c r="C60" s="373">
        <f>Normalized_FCF!G19</f>
        <v>838907</v>
      </c>
      <c r="D60" s="343" t="str">
        <f>Reporting_currency</f>
        <v>EUR</v>
      </c>
    </row>
    <row r="61" spans="2:6">
      <c r="B61" s="372" t="s">
        <v>212</v>
      </c>
      <c r="C61" s="373">
        <f>Normalized_FCF!C19</f>
        <v>809980.30276234611</v>
      </c>
      <c r="D61" s="343" t="str">
        <f>Reporting_currency</f>
        <v>EUR</v>
      </c>
    </row>
    <row r="62" spans="2:6">
      <c r="B62" s="377" t="s">
        <v>301</v>
      </c>
      <c r="C62" s="378">
        <f>Normalized_FCF!C124</f>
        <v>7.5145292177776588E-2</v>
      </c>
      <c r="F62" s="379"/>
    </row>
    <row r="63" spans="2:6">
      <c r="B63" s="377" t="s">
        <v>331</v>
      </c>
      <c r="C63" s="378">
        <f>Normalized_FCF!C92</f>
        <v>3.6940196078431374E-2</v>
      </c>
      <c r="E63" s="372" t="s">
        <v>372</v>
      </c>
      <c r="F63" s="380">
        <f>Normalized_FCF!C90</f>
        <v>4.5232326123897897</v>
      </c>
    </row>
    <row r="65" spans="1:6">
      <c r="B65" s="369" t="s">
        <v>375</v>
      </c>
      <c r="C65" s="381" t="s">
        <v>326</v>
      </c>
      <c r="D65" s="381" t="s">
        <v>373</v>
      </c>
    </row>
    <row r="66" spans="1:6">
      <c r="B66" s="372" t="s">
        <v>325</v>
      </c>
      <c r="C66" s="378">
        <f>Normalized_FCF!E119</f>
        <v>0.2658092571428613</v>
      </c>
      <c r="D66" s="378">
        <f>Normalized_FCF!G119</f>
        <v>0.28005991710273764</v>
      </c>
    </row>
    <row r="67" spans="1:6">
      <c r="B67" s="382" t="str">
        <f>Normalized_FCF!B116</f>
        <v>Pre-tax Profit/Sales</v>
      </c>
      <c r="C67" s="383">
        <f>Normalized_FCF!E116</f>
        <v>0.20771863979883598</v>
      </c>
      <c r="D67" s="383">
        <f>Normalized_FCF!G116</f>
        <v>0.21885492502426099</v>
      </c>
    </row>
    <row r="68" spans="1:6">
      <c r="B68" s="382" t="str">
        <f>Normalized_FCF!B117</f>
        <v>Sales/Total Assets</v>
      </c>
      <c r="C68" s="384">
        <f>Normalized_FCF!E117</f>
        <v>0.65265738052043343</v>
      </c>
      <c r="D68" s="384">
        <f>Normalized_FCF!G117</f>
        <v>0.65265738052043343</v>
      </c>
    </row>
    <row r="69" spans="1:6">
      <c r="B69" s="382" t="str">
        <f>Normalized_FCF!B118</f>
        <v>Total Assets/Equity</v>
      </c>
      <c r="C69" s="384">
        <f>Normalized_FCF!E118</f>
        <v>1.9606920057834423</v>
      </c>
      <c r="D69" s="384">
        <f>Normalized_FCF!G118</f>
        <v>1.9606920057834423</v>
      </c>
    </row>
    <row r="71" spans="1:6" ht="13.9">
      <c r="A71" s="345" t="s">
        <v>475</v>
      </c>
      <c r="B71" s="345"/>
      <c r="C71" s="345"/>
      <c r="D71" s="345"/>
      <c r="E71" s="345"/>
      <c r="F71" s="345"/>
    </row>
    <row r="72" spans="1:6">
      <c r="A72" s="385"/>
    </row>
    <row r="73" spans="1:6">
      <c r="A73" s="386"/>
      <c r="B73" s="471" t="s">
        <v>509</v>
      </c>
      <c r="C73" s="471"/>
      <c r="D73" s="471"/>
      <c r="E73" s="471"/>
      <c r="F73" s="471"/>
    </row>
    <row r="74" spans="1:6">
      <c r="B74" s="472" t="s">
        <v>478</v>
      </c>
      <c r="C74" s="472"/>
      <c r="D74" s="472"/>
      <c r="E74" s="472"/>
      <c r="F74" s="472"/>
    </row>
    <row r="76" spans="1:6">
      <c r="B76" s="369" t="s">
        <v>370</v>
      </c>
    </row>
    <row r="77" spans="1:6">
      <c r="B77" s="471" t="s">
        <v>510</v>
      </c>
      <c r="C77" s="471"/>
      <c r="D77" s="471"/>
      <c r="E77" s="471"/>
      <c r="F77" s="471"/>
    </row>
    <row r="78" spans="1:6">
      <c r="B78" s="343" t="s">
        <v>214</v>
      </c>
      <c r="C78" s="373">
        <f>DCF!F4</f>
        <v>-2855865</v>
      </c>
      <c r="D78" s="343" t="str">
        <f>Reporting_currency</f>
        <v>EUR</v>
      </c>
    </row>
    <row r="79" spans="1:6">
      <c r="B79" s="372" t="s">
        <v>233</v>
      </c>
      <c r="C79" s="387">
        <f>C78*scaling_factor*Exchange_Rate/Common_Shares</f>
        <v>-10.269487296463142</v>
      </c>
      <c r="D79" s="343" t="str">
        <f>Market_currency</f>
        <v>HKD</v>
      </c>
    </row>
    <row r="80" spans="1:6">
      <c r="B80" s="382" t="s">
        <v>308</v>
      </c>
      <c r="C80" s="388">
        <f>IF(BS!G31/BS!G27&gt;300%,"nm",BS!G31/BS!G27)</f>
        <v>0.67283405398617657</v>
      </c>
    </row>
    <row r="81" spans="1:6">
      <c r="B81" s="382" t="s">
        <v>310</v>
      </c>
      <c r="C81" s="389">
        <f>IF(BS!C50&gt;30,"nm",BS!C50)</f>
        <v>2.2041306156151999</v>
      </c>
    </row>
    <row r="83" spans="1:6">
      <c r="B83" s="343" t="s">
        <v>511</v>
      </c>
    </row>
    <row r="84" spans="1:6">
      <c r="B84" s="343" t="s">
        <v>223</v>
      </c>
      <c r="C84" s="373">
        <f>DCF!F5</f>
        <v>-51974.549009350827</v>
      </c>
      <c r="D84" s="343" t="str">
        <f>Reporting_currency</f>
        <v>EUR</v>
      </c>
    </row>
    <row r="85" spans="1:6">
      <c r="B85" s="382" t="s">
        <v>480</v>
      </c>
      <c r="C85" s="390">
        <f>BS!C66</f>
        <v>597992</v>
      </c>
      <c r="D85" s="391" t="str">
        <f>Reporting_currency</f>
        <v>EUR</v>
      </c>
    </row>
    <row r="86" spans="1:6">
      <c r="B86" s="372" t="s">
        <v>234</v>
      </c>
      <c r="C86" s="387">
        <f>C84*scaling_factor*Exchange_Rate/Common_Shares</f>
        <v>-0.18689677936139465</v>
      </c>
      <c r="D86" s="343" t="str">
        <f>Market_currency</f>
        <v>HKD</v>
      </c>
    </row>
    <row r="88" spans="1:6">
      <c r="B88" s="343" t="s">
        <v>512</v>
      </c>
    </row>
    <row r="89" spans="1:6">
      <c r="B89" s="343" t="s">
        <v>216</v>
      </c>
      <c r="C89" s="373">
        <f>DCF!F6</f>
        <v>36617.399999999994</v>
      </c>
      <c r="D89" s="343" t="str">
        <f>Reporting_currency</f>
        <v>EUR</v>
      </c>
    </row>
    <row r="90" spans="1:6">
      <c r="B90" s="372" t="s">
        <v>235</v>
      </c>
      <c r="C90" s="387">
        <f>C89*scaling_factor*Exchange_Rate/Common_Shares</f>
        <v>0.13167356444702721</v>
      </c>
      <c r="D90" s="343" t="str">
        <f>Market_currency</f>
        <v>HKD</v>
      </c>
    </row>
    <row r="92" spans="1:6">
      <c r="B92" s="372" t="s">
        <v>479</v>
      </c>
      <c r="C92" s="387">
        <f>DCF!F8</f>
        <v>-10.324710511377511</v>
      </c>
      <c r="D92" s="343" t="str">
        <f>Market_currency</f>
        <v>HKD</v>
      </c>
    </row>
    <row r="94" spans="1:6" ht="13.9">
      <c r="A94" s="345" t="s">
        <v>481</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488</v>
      </c>
    </row>
    <row r="111" spans="1:6">
      <c r="A111" s="385"/>
      <c r="B111" s="375" t="s">
        <v>485</v>
      </c>
      <c r="C111" s="394">
        <f>BS!D47</f>
        <v>-6.2816604747879499</v>
      </c>
      <c r="D111" s="343" t="str">
        <f>Market_currency</f>
        <v>HKD</v>
      </c>
    </row>
    <row r="112" spans="1:6">
      <c r="A112" s="385"/>
      <c r="B112" s="372" t="s">
        <v>376</v>
      </c>
      <c r="C112" s="394">
        <f>DCF!C11</f>
        <v>46.263559113514553</v>
      </c>
      <c r="D112" s="343" t="str">
        <f>Market_currency</f>
        <v>HKD</v>
      </c>
    </row>
    <row r="113" spans="1:6">
      <c r="A113" s="385"/>
    </row>
    <row r="114" spans="1:6">
      <c r="A114" s="385"/>
      <c r="B114" s="471" t="s">
        <v>517</v>
      </c>
      <c r="C114" s="471"/>
      <c r="D114" s="471"/>
      <c r="E114" s="471"/>
      <c r="F114" s="471"/>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0.08</v>
      </c>
      <c r="D118" s="397">
        <f>DCF!D90</f>
        <v>20</v>
      </c>
      <c r="E118" s="398" t="str">
        <f>ROUND(DCF!E90,2)&amp;" "&amp;Market_currency</f>
        <v>99.51 HKD</v>
      </c>
      <c r="F118" s="399">
        <f>DCF!F90</f>
        <v>0.15</v>
      </c>
    </row>
    <row r="119" spans="1:6">
      <c r="A119" s="385"/>
      <c r="B119" s="400" t="str">
        <f>DCF!B91</f>
        <v>Optimistic</v>
      </c>
      <c r="C119" s="401">
        <f>DCF!C91</f>
        <v>0.06</v>
      </c>
      <c r="D119" s="402">
        <f>DCF!D91</f>
        <v>20</v>
      </c>
      <c r="E119" s="398" t="str">
        <f>ROUND(DCF!E91,2)&amp;" "&amp;Market_currency</f>
        <v>73.71 HKD</v>
      </c>
      <c r="F119" s="403">
        <f>DCF!F91</f>
        <v>0.15999999999999995</v>
      </c>
    </row>
    <row r="120" spans="1:6">
      <c r="B120" s="400" t="str">
        <f>DCF!B92</f>
        <v>Base</v>
      </c>
      <c r="C120" s="401">
        <f>DCF!C92</f>
        <v>0.04</v>
      </c>
      <c r="D120" s="402">
        <f>DCF!D92</f>
        <v>20</v>
      </c>
      <c r="E120" s="398" t="str">
        <f>ROUND(DCF!E92,2)&amp;" "&amp;Market_currency</f>
        <v>54.66 HKD</v>
      </c>
      <c r="F120" s="403">
        <f>DCF!F92</f>
        <v>0.44</v>
      </c>
    </row>
    <row r="121" spans="1:6">
      <c r="B121" s="400" t="str">
        <f>DCF!B93</f>
        <v>Pessimistic</v>
      </c>
      <c r="C121" s="401">
        <f>DCF!C93</f>
        <v>0.02</v>
      </c>
      <c r="D121" s="402">
        <f>DCF!D93</f>
        <v>20</v>
      </c>
      <c r="E121" s="398" t="str">
        <f>ROUND(DCF!E93,2)&amp;" "&amp;Market_currency</f>
        <v>40.54 HKD</v>
      </c>
      <c r="F121" s="403">
        <f>DCF!F93</f>
        <v>0.19999999999999998</v>
      </c>
    </row>
    <row r="122" spans="1:6">
      <c r="B122" s="400" t="str">
        <f>DCF!B94</f>
        <v>Devil's advocate</v>
      </c>
      <c r="C122" s="401">
        <f>DCF!C94</f>
        <v>0</v>
      </c>
      <c r="D122" s="402">
        <f>DCF!D94</f>
        <v>20</v>
      </c>
      <c r="E122" s="398" t="str">
        <f>ROUND(DCF!E94,2)&amp;" "&amp;Market_currency</f>
        <v>30.05 HKD</v>
      </c>
      <c r="F122" s="403">
        <f>DCF!F94</f>
        <v>0.05</v>
      </c>
    </row>
    <row r="124" spans="1:6">
      <c r="B124" s="470" t="s">
        <v>518</v>
      </c>
      <c r="C124" s="470"/>
      <c r="D124" s="470"/>
      <c r="E124" s="470"/>
      <c r="F124" s="470"/>
    </row>
    <row r="125" spans="1:6">
      <c r="B125" s="372" t="s">
        <v>217</v>
      </c>
      <c r="C125" s="404">
        <f>Scenarios!C36</f>
        <v>60.379406610428177</v>
      </c>
      <c r="D125" s="343" t="str">
        <f>Market_currency</f>
        <v>HKD</v>
      </c>
    </row>
    <row r="127" spans="1:6">
      <c r="B127" s="475" t="s">
        <v>519</v>
      </c>
      <c r="C127" s="475"/>
      <c r="D127" s="475"/>
      <c r="E127" s="475"/>
      <c r="F127" s="475"/>
    </row>
    <row r="129" spans="1:6" ht="13.9">
      <c r="A129" s="345" t="s">
        <v>491</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370</v>
      </c>
    </row>
    <row r="135" spans="1:6">
      <c r="B135" s="343" t="s">
        <v>381</v>
      </c>
      <c r="C135" s="405">
        <f>E21</f>
        <v>3</v>
      </c>
    </row>
    <row r="136" spans="1:6">
      <c r="B136" s="343" t="s">
        <v>382</v>
      </c>
      <c r="C136" s="406">
        <f>Scenarios!C58</f>
        <v>1.431802</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2.6003140555302693</v>
      </c>
      <c r="D140" s="409">
        <f>Scenarios!D62</f>
        <v>27.482661179075176</v>
      </c>
      <c r="E140" s="410">
        <f>Scenarios!E62</f>
        <v>30.082975234605446</v>
      </c>
      <c r="F140" s="411">
        <f>E22</f>
        <v>0.3</v>
      </c>
    </row>
    <row r="141" spans="1:6">
      <c r="B141" s="408" t="s">
        <v>312</v>
      </c>
      <c r="C141" s="409">
        <f>Scenarios!C63</f>
        <v>3.0160643981481483</v>
      </c>
      <c r="D141" s="409">
        <f>Scenarios!D63</f>
        <v>34.941786232886678</v>
      </c>
      <c r="E141" s="410">
        <f>Scenarios!E63</f>
        <v>37.957850631034823</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3.4543699809252097</v>
      </c>
      <c r="D144" s="409">
        <f>Scenarios!D66</f>
        <v>43.277567212091071</v>
      </c>
      <c r="E144" s="410">
        <f>Scenarios!E66</f>
        <v>46.731937193016279</v>
      </c>
      <c r="F144" s="411">
        <f>E24</f>
        <v>0.1174</v>
      </c>
    </row>
    <row r="145" spans="1:6">
      <c r="B145" s="408" t="s">
        <v>313</v>
      </c>
      <c r="C145" s="409">
        <f>Scenarios!C67</f>
        <v>3.7404040750167789</v>
      </c>
      <c r="D145" s="409">
        <f>Scenarios!D67</f>
        <v>48.943715821042709</v>
      </c>
      <c r="E145" s="410">
        <f>Scenarios!E67</f>
        <v>52.684119896059485</v>
      </c>
      <c r="F145" s="411">
        <f>Scenarios!F67</f>
        <v>7.2499999999999995E-2</v>
      </c>
    </row>
    <row r="147" spans="1:6" ht="13.9">
      <c r="A147" s="345" t="s">
        <v>474</v>
      </c>
      <c r="B147" s="345"/>
      <c r="C147" s="345"/>
      <c r="D147" s="345"/>
      <c r="E147" s="345"/>
      <c r="F147" s="345"/>
    </row>
    <row r="149" spans="1:6">
      <c r="B149" s="477" t="s">
        <v>522</v>
      </c>
      <c r="C149" s="471"/>
      <c r="D149" s="471"/>
      <c r="E149" s="471"/>
      <c r="F149" s="471"/>
    </row>
    <row r="151" spans="1:6">
      <c r="B151" s="369" t="s">
        <v>383</v>
      </c>
    </row>
    <row r="152" spans="1:6">
      <c r="B152" s="473" t="s">
        <v>523</v>
      </c>
      <c r="C152" s="473"/>
      <c r="D152" s="473"/>
      <c r="E152" s="473"/>
      <c r="F152" s="473"/>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4" t="s">
        <v>387</v>
      </c>
      <c r="C161" s="474"/>
      <c r="D161" s="474"/>
      <c r="E161" s="474"/>
      <c r="F161" s="474"/>
    </row>
    <row r="162" spans="2:6">
      <c r="B162" s="474" t="s">
        <v>388</v>
      </c>
      <c r="C162" s="474"/>
      <c r="D162" s="474"/>
      <c r="E162" s="474"/>
      <c r="F162" s="474"/>
    </row>
    <row r="164" spans="2:6">
      <c r="B164" s="343" t="s">
        <v>526</v>
      </c>
    </row>
    <row r="165" spans="2:6">
      <c r="B165" s="412" t="s">
        <v>389</v>
      </c>
    </row>
    <row r="166" spans="2:6">
      <c r="B166" s="412" t="s">
        <v>390</v>
      </c>
    </row>
    <row r="167" spans="2:6">
      <c r="B167" s="412" t="s">
        <v>391</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2026-04-22T09:42:08Z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