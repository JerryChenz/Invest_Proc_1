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56799B-F40D-46EF-850B-E246B22F04EA}"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<sst xmlns="http://schemas.openxmlformats.org/spreadsheetml/2006/main" count="768" uniqueCount="559">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</sst>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9" sqref="C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114.8</v>
      </c>
      <c r="E8" s="32"/>
    </row>
    <row r="9" spans="1:9">
      <c r="B9" s="4" t="s">
        <v>346</v>
      </c>
      <c r="C9" s="48">
        <v>3187553771</v>
      </c>
    </row>
    <row r="10" spans="1:9">
      <c r="B10" s="4" t="s">
        <v>352</v>
      </c>
      <c r="C10" s="33">
        <f>Thesis!C8*Common_Shares/1000000</f>
        <v>365931.17291079997</v>
      </c>
      <c r="D10" s="1" t="s">
        <v>528</v>
      </c>
      <c r="E10" s="303">
        <f>Scenarios!F34</f>
        <v>0.17769847372279465</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1.1196808250427246</v>
      </c>
    </row>
    <row r="17" spans="1:6">
      <c r="B17" s="1" t="s">
        <v>532</v>
      </c>
      <c r="C17" s="456">
        <v>0.02</v>
      </c>
      <c r="D17" s="4" t="s">
        <v>274</v>
      </c>
      <c r="E17" s="224" t="s">
        <v>558</v>
      </c>
    </row>
    <row r="18" spans="1:6">
      <c r="B18" s="1" t="str">
        <f>"Expected Equity Value ("&amp;C7&amp;") :"</f>
        <v>Expected Equity Value (HKD) :</v>
      </c>
      <c r="C18" s="252">
        <f>C125</f>
        <v>175.00654575317373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87.070956798586039</v>
      </c>
      <c r="D22" s="38" t="s">
        <v>406</v>
      </c>
      <c r="E22" s="79">
        <v>0.29465259038036606</v>
      </c>
    </row>
    <row r="23" spans="1:6">
      <c r="B23" s="1" t="s">
        <v>313</v>
      </c>
      <c r="C23" s="256">
        <f>E141</f>
        <v>108.47186728635059</v>
      </c>
      <c r="D23" s="38" t="s">
        <v>407</v>
      </c>
      <c r="E23" s="443">
        <v>0.20075184365903009</v>
      </c>
    </row>
    <row r="24" spans="1:6">
      <c r="B24" s="1" t="s">
        <v>315</v>
      </c>
      <c r="C24" s="256">
        <f>E144</f>
        <v>133.90599748625249</v>
      </c>
      <c r="D24" s="38" t="s">
        <v>408</v>
      </c>
      <c r="E24" s="443">
        <v>0.1174</v>
      </c>
    </row>
    <row r="25" spans="1:6">
      <c r="B25" s="1" t="s">
        <v>314</v>
      </c>
      <c r="C25" s="256">
        <f>E145</f>
        <v>151.03023235844438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38849.138260430074</v>
      </c>
      <c r="D34" s="1" t="str">
        <f>Reporting_currency</f>
        <v>CNY</v>
      </c>
    </row>
    <row r="35" spans="2:6">
      <c r="B35" s="44"/>
      <c r="C35" s="73"/>
    </row>
    <row r="36" spans="2:6" ht="24.5" customHeight="1">
      <c r="B36" s="461" t="s">
        <v>198</v>
      </c>
      <c r="C36" s="461"/>
      <c r="D36" s="461"/>
      <c r="E36" s="461"/>
      <c r="F36" s="461"/>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566.20066072323493</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-6159.139339276765</v>
      </c>
      <c r="D46" s="1" t="str">
        <f>Reporting_currency</f>
        <v>CNY</v>
      </c>
    </row>
    <row r="48" spans="2:6">
      <c r="B48" s="1" t="s">
        <v>211</v>
      </c>
    </row>
    <row r="49" spans="2:6">
      <c r="B49" s="44" t="s">
        <v>223</v>
      </c>
      <c r="C49" s="285">
        <f>Normalized_FCF!C13</f>
        <v>-3301</v>
      </c>
      <c r="D49" s="1" t="str">
        <f>Reporting_currency</f>
        <v>CNY</v>
      </c>
    </row>
    <row r="51" spans="2:6">
      <c r="B51" s="461" t="s">
        <v>206</v>
      </c>
      <c r="C51" s="461"/>
      <c r="D51" s="461"/>
      <c r="E51" s="461"/>
      <c r="F51" s="461"/>
    </row>
    <row r="52" spans="2:6">
      <c r="B52" s="44" t="s">
        <v>204</v>
      </c>
      <c r="C52" s="285">
        <f>Normalized_FCF!C12</f>
        <v>-8172.4997302883276</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28822</v>
      </c>
      <c r="D60" s="1" t="str">
        <f>Reporting_currency</f>
        <v>CNY</v>
      </c>
    </row>
    <row r="61" spans="2:6">
      <c r="B61" s="44" t="s">
        <v>213</v>
      </c>
      <c r="C61" s="285">
        <f>Normalized_FCF!C19</f>
        <v>21216.499190864983</v>
      </c>
      <c r="D61" s="1" t="str">
        <f>Reporting_currency</f>
        <v>CNY</v>
      </c>
    </row>
    <row r="62" spans="2:6">
      <c r="B62" s="204" t="s">
        <v>302</v>
      </c>
      <c r="C62" s="89">
        <f>Normalized_FCF!C124</f>
        <v>6.4918512215237631E-2</v>
      </c>
      <c r="F62" s="257"/>
    </row>
    <row r="63" spans="2:6">
      <c r="B63" s="204" t="s">
        <v>332</v>
      </c>
      <c r="C63" s="89">
        <f>Normalized_FCF!C92</f>
        <v>3.0574912891986061E-2</v>
      </c>
      <c r="E63" s="44" t="s">
        <v>322</v>
      </c>
      <c r="F63" s="258">
        <f>Normalized_FCF!C90</f>
        <v>0.58593359795439359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-112089</v>
      </c>
      <c r="D78" s="1" t="str">
        <f>Reporting_currency</f>
        <v>CNY</v>
      </c>
    </row>
    <row r="79" spans="1:6">
      <c r="A79" s="191"/>
      <c r="B79" s="44" t="s">
        <v>234</v>
      </c>
      <c r="C79" s="201">
        <f>C78*scaling_factor*Exchange_Rate/Common_Shares</f>
        <v>-39.373109605250939</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30968.223212794182</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10.878099071605792</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34.610884419449761</v>
      </c>
      <c r="D90" s="1" t="str">
        <f>Market_currency</f>
        <v>HKD</v>
      </c>
    </row>
    <row r="91" spans="1:6">
      <c r="A91" s="191"/>
    </row>
    <row r="92" spans="1:6">
      <c r="A92" s="191"/>
      <c r="B92" s="44" t="s">
        <v>469</v>
      </c>
      <c r="C92" s="216">
        <f>DCF!F8</f>
        <v>6.1158738858046107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-60.954343165330592</v>
      </c>
      <c r="D111" s="1" t="str">
        <f>Market_currency</f>
        <v>HKD</v>
      </c>
    </row>
    <row r="112" spans="2:6">
      <c r="B112" s="44" t="s">
        <v>323</v>
      </c>
      <c r="C112" s="216">
        <f>DCF!C11</f>
        <v>150.91012353067066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213.78 HKD</v>
      </c>
      <c r="E118" s="208">
        <f>DCF!F90</f>
        <v>0.15</v>
      </c>
      <c r="F118" s="208">
        <f>RATE(Holding_Period,Scenarios!C$58,-DCF!E90,C$18)</f>
        <v>-4.6971301605721064E-2</v>
      </c>
    </row>
    <row r="119" spans="2:6">
      <c r="B119" s="205" t="str">
        <f>DCF!B91&amp;" ("&amp;DCF!D91&amp;"yrs)"</f>
        <v>Optimistic (10yrs)</v>
      </c>
      <c r="C119" s="198">
        <f>DCF!C91</f>
        <v>0.03</v>
      </c>
      <c r="D119" s="207" t="str">
        <f>ROUND(DCF!E91,2)&amp;" "&amp;Market_currency</f>
        <v>183.44 HKD</v>
      </c>
      <c r="E119" s="199">
        <f>DCF!F91</f>
        <v>0.15999999999999995</v>
      </c>
      <c r="F119" s="208">
        <f>RATE(Holding_Period,Scenarios!C$58,-DCF!E91,C$18)</f>
        <v>3.8768037037718284E-3</v>
      </c>
    </row>
    <row r="120" spans="2:6">
      <c r="B120" s="205" t="str">
        <f>DCF!B92&amp;" ("&amp;DCF!D92&amp;"yrs)"</f>
        <v>Base (10yrs)</v>
      </c>
      <c r="C120" s="198">
        <f>DCF!C92</f>
        <v>0.02</v>
      </c>
      <c r="D120" s="207" t="str">
        <f>ROUND(DCF!E92,2)&amp;" "&amp;Market_currency</f>
        <v>169.96 HKD</v>
      </c>
      <c r="E120" s="199">
        <f>DCF!F92</f>
        <v>0.44</v>
      </c>
      <c r="F120" s="208">
        <f>RATE(Holding_Period,Scenarios!C$58,-DCF!E92,C$18)</f>
        <v>3.0247813917575962E-2</v>
      </c>
    </row>
    <row r="121" spans="2:6">
      <c r="B121" s="205" t="str">
        <f>DCF!B93&amp;" ("&amp;DCF!D93&amp;"yrs)"</f>
        <v>Pessimistic (10yrs)</v>
      </c>
      <c r="C121" s="198">
        <f>DCF!C93</f>
        <v>0.01</v>
      </c>
      <c r="D121" s="207" t="str">
        <f>ROUND(DCF!E93,2)&amp;" "&amp;Market_currency</f>
        <v>157.52 HKD</v>
      </c>
      <c r="E121" s="199">
        <f>DCF!F93</f>
        <v>0.19999999999999998</v>
      </c>
      <c r="F121" s="208">
        <f>RATE(Holding_Period,Scenarios!C$58,-DCF!E93,C$18)</f>
        <v>5.7247388467611501E-2</v>
      </c>
    </row>
    <row r="122" spans="2:6">
      <c r="B122" s="205" t="str">
        <f>DCF!B94&amp;" ("&amp;DCF!D94&amp;"yrs)"</f>
        <v>Devil's advocate (10yrs)</v>
      </c>
      <c r="C122" s="198">
        <f>DCF!C94</f>
        <v>0</v>
      </c>
      <c r="D122" s="207" t="str">
        <f>ROUND(DCF!E94,2)&amp;" "&amp;Market_currency</f>
        <v>146.03 HKD</v>
      </c>
      <c r="E122" s="199">
        <f>DCF!F94</f>
        <v>0.05</v>
      </c>
      <c r="F122" s="208">
        <f>RATE(Holding_Period,Scenarios!C$58,-DCF!E94,C$18)</f>
        <v>8.4870434968403255E-2</v>
      </c>
    </row>
    <row r="124" spans="2:6">
      <c r="B124" s="461" t="s">
        <v>357</v>
      </c>
      <c r="C124" s="461"/>
      <c r="D124" s="461"/>
      <c r="E124" s="461"/>
      <c r="F124" s="461"/>
    </row>
    <row r="125" spans="2:6">
      <c r="B125" s="193" t="s">
        <v>218</v>
      </c>
      <c r="C125" s="197">
        <f>Scenarios!C36</f>
        <v>175.00654575317373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80.648177766439517</v>
      </c>
      <c r="E140" s="334">
        <f>Scenarios!E62</f>
        <v>87.070956798586039</v>
      </c>
      <c r="F140" s="335">
        <f>E22</f>
        <v>0.29465259038036606</v>
      </c>
    </row>
    <row r="141" spans="1:6">
      <c r="B141" s="336" t="s">
        <v>313</v>
      </c>
      <c r="C141" s="333">
        <f>Scenarios!C63</f>
        <v>7.3850538549144646</v>
      </c>
      <c r="D141" s="333">
        <f>Scenarios!D63</f>
        <v>101.08681343143613</v>
      </c>
      <c r="E141" s="334">
        <f>Scenarios!E63</f>
        <v>108.47186728635059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125.43776051420784</v>
      </c>
      <c r="E144" s="334">
        <f>Scenarios!E66</f>
        <v>133.90599748625249</v>
      </c>
      <c r="F144" s="335">
        <f>E24</f>
        <v>0.1174</v>
      </c>
    </row>
    <row r="145" spans="1:6">
      <c r="B145" s="336" t="s">
        <v>314</v>
      </c>
      <c r="C145" s="333">
        <f>Scenarios!C67</f>
        <v>9.1694370473772864</v>
      </c>
      <c r="D145" s="333">
        <f>Scenarios!D67</f>
        <v>141.86079531106711</v>
      </c>
      <c r="E145" s="334">
        <f>Scenarios!E67</f>
        <v>151.03023235844438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3" sqref="D1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c r="G4" s="287"/>
      <c r="H4" s="287"/>
      <c r="I4" s="287"/>
      <c r="J4" s="287"/>
      <c r="K4" s="287"/>
      <c r="L4" s="287"/>
      <c r="M4" s="287"/>
    </row>
    <row r="5" spans="2:13">
      <c r="B5" s="38" t="s">
        <v>40</v>
      </c>
      <c r="C5" s="287">
        <v>974951</v>
      </c>
      <c r="D5" s="287">
        <v>924958</v>
      </c>
      <c r="E5" s="287">
        <v>899163</v>
      </c>
      <c r="F5" s="287"/>
      <c r="G5" s="287"/>
      <c r="H5" s="287"/>
      <c r="I5" s="287"/>
      <c r="J5" s="287"/>
      <c r="K5" s="287"/>
      <c r="L5" s="287"/>
      <c r="M5" s="287"/>
    </row>
    <row r="6" spans="2:13">
      <c r="B6" s="38" t="s">
        <v>51</v>
      </c>
      <c r="C6" s="287">
        <f>70426+8888+C7</f>
        <v>127267</v>
      </c>
      <c r="D6" s="287">
        <f>64558+9710+D7</f>
        <v>114401</v>
      </c>
      <c r="E6" s="287">
        <f>63011+11053+E7</f>
        <v>111836</v>
      </c>
      <c r="F6" s="287"/>
      <c r="G6" s="287"/>
      <c r="H6" s="287"/>
      <c r="I6" s="287"/>
      <c r="J6" s="287"/>
      <c r="K6" s="287"/>
      <c r="L6" s="287"/>
      <c r="M6" s="287"/>
    </row>
    <row r="7" spans="2:13">
      <c r="B7" s="66" t="s">
        <v>58</v>
      </c>
      <c r="C7" s="288">
        <v>47953</v>
      </c>
      <c r="D7" s="288">
        <v>40133</v>
      </c>
      <c r="E7" s="288">
        <v>37772</v>
      </c>
      <c r="F7" s="288"/>
      <c r="G7" s="288"/>
      <c r="H7" s="288"/>
      <c r="I7" s="288"/>
      <c r="J7" s="288"/>
      <c r="K7" s="288"/>
      <c r="L7" s="288"/>
      <c r="M7" s="288"/>
    </row>
    <row r="8" spans="2:13">
      <c r="B8" s="38" t="s">
        <v>46</v>
      </c>
      <c r="C8" s="287">
        <v>17031</v>
      </c>
      <c r="D8" s="287">
        <v>16393</v>
      </c>
      <c r="E8" s="287">
        <v>16893</v>
      </c>
      <c r="F8" s="287"/>
      <c r="G8" s="287"/>
      <c r="H8" s="287"/>
      <c r="I8" s="287"/>
      <c r="J8" s="287"/>
      <c r="K8" s="287"/>
      <c r="L8" s="287"/>
      <c r="M8" s="287"/>
    </row>
    <row r="9" spans="2:13">
      <c r="B9" s="38" t="s">
        <v>134</v>
      </c>
      <c r="C9" s="287">
        <v>2327</v>
      </c>
      <c r="D9" s="287">
        <v>1010</v>
      </c>
      <c r="E9" s="287">
        <v>-2195</v>
      </c>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c r="G14" s="287"/>
      <c r="H14" s="287"/>
      <c r="I14" s="287"/>
      <c r="J14" s="287"/>
      <c r="K14" s="287"/>
      <c r="L14" s="287"/>
      <c r="M14" s="287"/>
    </row>
    <row r="15" spans="2:13">
      <c r="B15" s="41" t="s">
        <v>39</v>
      </c>
      <c r="C15" s="289">
        <v>44660</v>
      </c>
      <c r="D15" s="289">
        <v>23257</v>
      </c>
      <c r="E15" s="289">
        <v>9691</v>
      </c>
      <c r="F15" s="289"/>
      <c r="G15" s="289"/>
      <c r="H15" s="289"/>
      <c r="I15" s="289"/>
      <c r="J15" s="289"/>
      <c r="K15" s="289"/>
      <c r="L15" s="289"/>
      <c r="M15" s="289"/>
    </row>
    <row r="16" spans="2:13">
      <c r="B16" s="27" t="s">
        <v>41</v>
      </c>
      <c r="C16" s="287">
        <v>3301</v>
      </c>
      <c r="D16" s="287">
        <v>-910</v>
      </c>
      <c r="E16" s="287">
        <v>-697</v>
      </c>
      <c r="F16" s="287"/>
      <c r="G16" s="287"/>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c r="G22" s="287"/>
      <c r="H22" s="287"/>
      <c r="I22" s="287"/>
      <c r="J22" s="287"/>
      <c r="K22" s="287"/>
      <c r="L22" s="287"/>
      <c r="M22" s="287"/>
    </row>
    <row r="23" spans="2:13">
      <c r="B23" s="26" t="s">
        <v>288</v>
      </c>
      <c r="C23" s="287">
        <v>-871</v>
      </c>
      <c r="D23" s="287">
        <v>-59543</v>
      </c>
      <c r="E23" s="287">
        <v>-54026</v>
      </c>
      <c r="F23" s="287"/>
      <c r="G23" s="287"/>
      <c r="H23" s="287"/>
      <c r="I23" s="287"/>
      <c r="J23" s="287"/>
      <c r="K23" s="287"/>
      <c r="L23" s="287"/>
      <c r="M23" s="287"/>
    </row>
    <row r="24" spans="2:13">
      <c r="B24" s="26" t="s">
        <v>287</v>
      </c>
      <c r="C24" s="287">
        <v>-21004</v>
      </c>
      <c r="D24" s="287">
        <v>-5808</v>
      </c>
      <c r="E24" s="287">
        <v>1180</v>
      </c>
      <c r="F24" s="287"/>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c r="G25" s="37"/>
      <c r="H25" s="37"/>
      <c r="I25" s="37"/>
      <c r="J25" s="37"/>
      <c r="K25" s="37"/>
      <c r="L25" s="37"/>
      <c r="M25" s="37"/>
    </row>
    <row r="27" spans="2:13">
      <c r="B27" s="16" t="s">
        <v>26</v>
      </c>
      <c r="C27" s="94" t="s">
        <v>547</v>
      </c>
    </row>
    <row r="28" spans="2:13">
      <c r="B28" s="25" t="s">
        <v>22</v>
      </c>
      <c r="C28" s="270">
        <f>BS!C4</f>
        <v>41491</v>
      </c>
      <c r="D28" s="287">
        <f>20302+2114</f>
        <v>22416</v>
      </c>
      <c r="E28" s="287"/>
      <c r="F28" s="287"/>
      <c r="G28" s="287"/>
      <c r="H28" s="287"/>
      <c r="I28" s="287"/>
      <c r="J28" s="287"/>
      <c r="K28" s="287"/>
      <c r="L28" s="287"/>
      <c r="M28" s="287"/>
    </row>
    <row r="29" spans="2:13">
      <c r="B29" s="25" t="s">
        <v>30</v>
      </c>
      <c r="C29" s="270">
        <f>BS!C6</f>
        <v>100999</v>
      </c>
      <c r="D29" s="287">
        <v>68058</v>
      </c>
      <c r="E29" s="287"/>
      <c r="F29" s="287"/>
      <c r="G29" s="287"/>
      <c r="H29" s="287"/>
      <c r="I29" s="287"/>
      <c r="J29" s="287"/>
      <c r="K29" s="287"/>
      <c r="L29" s="287"/>
      <c r="M29" s="287"/>
    </row>
    <row r="30" spans="2:13">
      <c r="B30" s="28" t="s">
        <v>38</v>
      </c>
      <c r="C30" s="271">
        <f>BS!C33+BS!C42</f>
        <v>409109</v>
      </c>
      <c r="D30" s="289">
        <v>332578</v>
      </c>
      <c r="E30" s="289"/>
      <c r="F30" s="289"/>
      <c r="G30" s="289"/>
      <c r="H30" s="289"/>
      <c r="I30" s="289"/>
      <c r="J30" s="289"/>
      <c r="K30" s="289"/>
      <c r="L30" s="289"/>
      <c r="M30" s="289"/>
    </row>
    <row r="31" spans="2:13">
      <c r="B31" s="28" t="s">
        <v>28</v>
      </c>
      <c r="C31" s="271">
        <f>BS!G27</f>
        <v>304420</v>
      </c>
      <c r="D31" s="289">
        <v>295766</v>
      </c>
      <c r="E31" s="289"/>
      <c r="F31" s="289"/>
      <c r="G31" s="289"/>
      <c r="H31" s="289"/>
      <c r="I31" s="289"/>
      <c r="J31" s="289"/>
      <c r="K31" s="289"/>
      <c r="L31" s="289"/>
      <c r="M31" s="289"/>
    </row>
    <row r="32" spans="2:13">
      <c r="B32" s="25" t="s">
        <v>143</v>
      </c>
      <c r="C32" s="270">
        <f>BS!G28</f>
        <v>72487</v>
      </c>
      <c r="D32" s="287">
        <v>63908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0</v>
      </c>
      <c r="F77" s="282" t="str">
        <f t="shared" si="40"/>
        <v/>
      </c>
      <c r="G77" s="282" t="str">
        <f t="shared" si="40"/>
        <v/>
      </c>
      <c r="H77" s="282" t="str">
        <f t="shared" si="40"/>
        <v/>
      </c>
      <c r="I77" s="291"/>
      <c r="J77" s="291"/>
      <c r="K77" s="291"/>
      <c r="L77" s="291"/>
      <c r="M77" s="291"/>
    </row>
    <row r="78" spans="2:13">
      <c r="B78" s="90" t="s">
        <v>83</v>
      </c>
      <c r="C78" s="260">
        <f t="shared" si="40"/>
        <v>100999</v>
      </c>
      <c r="D78" s="282">
        <f t="shared" si="40"/>
        <v>68058</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409109</v>
      </c>
      <c r="D79" s="270">
        <f t="shared" si="41"/>
        <v>332578</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21" sqref="G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81.470290840980525</v>
      </c>
      <c r="D47" s="134">
        <f>D46*H1/Common_Shares*Exchange_Rate</f>
        <v>-60.954343165330592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30968.223212794182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-94306.70497557499</v>
      </c>
      <c r="D73" s="285">
        <f>(Normalized_FCF!C26+Normalized_FCF!C35-Normalized_FCF!C89)/12</f>
        <v>-94366.776787205818</v>
      </c>
      <c r="F73" s="1" t="s">
        <v>278</v>
      </c>
    </row>
    <row r="74" spans="2:6" ht="15" customHeight="1">
      <c r="B74" s="227" t="s">
        <v>259</v>
      </c>
      <c r="C74" s="228">
        <f>-$C$66/C73</f>
        <v>1.3290147294665973</v>
      </c>
      <c r="D74" s="228">
        <f>-$C$66/D73</f>
        <v>1.3281687079619831</v>
      </c>
      <c r="F74" s="223" t="s">
        <v>257</v>
      </c>
    </row>
    <row r="75" spans="2:6" ht="15" customHeight="1">
      <c r="B75" s="77" t="s">
        <v>258</v>
      </c>
      <c r="C75" s="261"/>
      <c r="D75" s="262">
        <f>MAX(-D73*D76,G5)</f>
        <v>94366.776787205818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-125503.90399821395</v>
      </c>
      <c r="D86" s="201">
        <f>C86*scaling_factor/Common_Shares</f>
        <v>-39.373109605250939</v>
      </c>
      <c r="E86" s="214" t="str">
        <f>Market_currency</f>
        <v>HKD</v>
      </c>
    </row>
    <row r="87" spans="2:8" ht="15" customHeight="1">
      <c r="B87" s="212" t="s">
        <v>240</v>
      </c>
      <c r="C87" s="73">
        <f>DCF!F5*Exchange_Rate</f>
        <v>34674.525717008648</v>
      </c>
      <c r="D87" s="201">
        <f>C87*scaling_factor/Common_Shares</f>
        <v>10.878099071605792</v>
      </c>
      <c r="E87" s="214" t="str">
        <f>Market_currency</f>
        <v>HKD</v>
      </c>
    </row>
    <row r="88" spans="2:8" ht="15" customHeight="1">
      <c r="B88" s="213" t="s">
        <v>159</v>
      </c>
      <c r="C88" s="73">
        <f>DCF!F6*Exchange_Rate</f>
        <v>110324.05514886223</v>
      </c>
      <c r="D88" s="201">
        <f>C88*scaling_factor/Common_Shares</f>
        <v>34.610884419449761</v>
      </c>
      <c r="E88" s="214" t="str">
        <f>Market_currency</f>
        <v>HKD</v>
      </c>
    </row>
    <row r="89" spans="2:8" ht="15" customHeight="1">
      <c r="B89" s="77" t="s">
        <v>244</v>
      </c>
      <c r="C89" s="162">
        <f>SUM(C86:C88)</f>
        <v>19494.676867656919</v>
      </c>
      <c r="D89" s="216">
        <f>SUM(D86:D88)</f>
        <v>6.1158738858046142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E62" sqref="E6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-6159.139339276765</v>
      </c>
      <c r="E10" s="237"/>
      <c r="G10" s="266">
        <f>G48</f>
        <v>-2896</v>
      </c>
      <c r="H10" s="266">
        <f t="shared" ref="H10:Q10" si="6">H48</f>
        <v>-2881</v>
      </c>
      <c r="I10" s="266">
        <f t="shared" si="6"/>
        <v>-2106</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32689.99892115331</v>
      </c>
      <c r="E11" s="237"/>
      <c r="G11" s="267">
        <f t="shared" ref="G11:Q11" si="7">IF(G$4="","",SUM(G8:G10))</f>
        <v>39001</v>
      </c>
      <c r="H11" s="267">
        <f t="shared" si="7"/>
        <v>27039</v>
      </c>
      <c r="I11" s="267">
        <f t="shared" si="7"/>
        <v>14043</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-8172.4997302883276</v>
      </c>
      <c r="E12" s="237"/>
      <c r="G12" s="266">
        <f>Data!C46</f>
        <v>-6878</v>
      </c>
      <c r="H12" s="266">
        <f>Data!D46</f>
        <v>-8393</v>
      </c>
      <c r="I12" s="266">
        <f>Data!E46</f>
        <v>-4176</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21216.499190864983</v>
      </c>
      <c r="D14" s="58"/>
      <c r="E14" s="243"/>
      <c r="F14" s="58"/>
      <c r="G14" s="267">
        <f t="shared" ref="G14:Q14" si="8">IF(G$4="","",SUM(G11:G13))</f>
        <v>28822</v>
      </c>
      <c r="H14" s="267">
        <f t="shared" si="8"/>
        <v>18646</v>
      </c>
      <c r="I14" s="267">
        <f t="shared" si="8"/>
        <v>9867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21216.499190864983</v>
      </c>
      <c r="D19" s="26"/>
      <c r="E19" s="234"/>
      <c r="F19" s="26"/>
      <c r="G19" s="271">
        <f t="shared" ref="G19:Q19" si="9">IF(G$4="","",G14+G17)</f>
        <v>28822</v>
      </c>
      <c r="H19" s="271">
        <f t="shared" si="9"/>
        <v>18646</v>
      </c>
      <c r="I19" s="271">
        <f t="shared" si="9"/>
        <v>9867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566.20066072323493</v>
      </c>
      <c r="E46" s="237"/>
      <c r="G46" s="274">
        <f t="shared" ref="G46:Q46" si="17">IFERROR(IF(G$4="","",($C$46/$C$47)*G47),0)</f>
        <v>0</v>
      </c>
      <c r="H46" s="274">
        <f t="shared" si="17"/>
        <v>0</v>
      </c>
      <c r="I46" s="274">
        <f t="shared" si="17"/>
        <v>0</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-6159.139339276765</v>
      </c>
      <c r="E48" s="237"/>
      <c r="G48" s="267">
        <f>IF(G$4="","",(G45+G46))</f>
        <v>-2896</v>
      </c>
      <c r="H48" s="267">
        <f t="shared" ref="H48:Q48" si="18">IF(H$4="","",(H45+H46))</f>
        <v>-2881</v>
      </c>
      <c r="I48" s="267">
        <f t="shared" si="18"/>
        <v>-2106</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5.3150141128828271E-3</v>
      </c>
      <c r="D76" s="26"/>
      <c r="E76" s="234"/>
      <c r="F76" s="26"/>
      <c r="G76" s="6">
        <f t="shared" ref="G76:Q76" si="28">IF(G$4="","",ABS(G10/G$4))</f>
        <v>2.499096062456691E-3</v>
      </c>
      <c r="H76" s="6">
        <f t="shared" si="28"/>
        <v>2.6561269778050674E-3</v>
      </c>
      <c r="I76" s="6">
        <f t="shared" si="28"/>
        <v>2.0129301610726453E-3</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2.8209754000541334E-2</v>
      </c>
      <c r="D77" s="26"/>
      <c r="E77" s="234"/>
      <c r="F77" s="26"/>
      <c r="G77" s="62">
        <f t="shared" ref="G77:Q77" si="29">IF(G$4="","",G11/G$4)</f>
        <v>3.3655816827304348E-2</v>
      </c>
      <c r="H77" s="62">
        <f t="shared" si="29"/>
        <v>2.4928503072846657E-2</v>
      </c>
      <c r="I77" s="62">
        <f t="shared" si="29"/>
        <v>1.3422401829032838E-2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7.0524385001353336E-3</v>
      </c>
      <c r="D78" s="26"/>
      <c r="E78" s="234"/>
      <c r="F78" s="26"/>
      <c r="G78" s="6">
        <f t="shared" ref="G78:Q78" si="30">IF(G$4="","",ABS(G12/G$4))</f>
        <v>5.9353531483346406E-3</v>
      </c>
      <c r="H78" s="6">
        <f t="shared" si="30"/>
        <v>7.7378943855320832E-3</v>
      </c>
      <c r="I78" s="6">
        <f t="shared" si="30"/>
        <v>3.9914512595628521E-3</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1.8308725686120939E-2</v>
      </c>
      <c r="D80" s="26"/>
      <c r="E80" s="234"/>
      <c r="F80" s="26"/>
      <c r="G80" s="62">
        <f t="shared" ref="G80:Q80" si="32">IF(G$4="","",ABS(G14/G$4))</f>
        <v>2.4871873864684649E-2</v>
      </c>
      <c r="H80" s="62">
        <f t="shared" si="32"/>
        <v>1.7190608687314573E-2</v>
      </c>
      <c r="I80" s="62">
        <f t="shared" si="32"/>
        <v>9.4309505694699855E-3</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1.8308725686120939E-2</v>
      </c>
      <c r="D85" s="72"/>
      <c r="E85" s="234"/>
      <c r="F85" s="72"/>
      <c r="G85" s="62">
        <f t="shared" ref="G85:Q85" si="35">IF(G$4="","",ABS(G19/G$4))</f>
        <v>2.4871873864684649E-2</v>
      </c>
      <c r="H85" s="62">
        <f t="shared" si="35"/>
        <v>1.7190608687314573E-2</v>
      </c>
      <c r="I85" s="62">
        <f t="shared" si="35"/>
        <v>9.4309505694699855E-3</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12431.459706899999</v>
      </c>
      <c r="E89" s="237"/>
      <c r="G89" s="71">
        <f t="shared" ref="G89:Q89" si="36">IF(G$4="","",G88*Common_Shares/scaling_factor)</f>
        <v>12431.459706899999</v>
      </c>
      <c r="H89" s="71">
        <f t="shared" si="36"/>
        <v>9447.9093772439992</v>
      </c>
      <c r="I89" s="71">
        <f t="shared" si="36"/>
        <v>7707.5050182780005</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0.58593359795439359</v>
      </c>
      <c r="E90" s="237"/>
      <c r="G90" s="152">
        <f t="shared" ref="G90:Q90" si="37">IF(G$4="","",G88/(G19*scaling_factor/Common_Shares))</f>
        <v>0.43131842713552143</v>
      </c>
      <c r="H90" s="152">
        <f t="shared" si="37"/>
        <v>0.50669899052043332</v>
      </c>
      <c r="I90" s="152">
        <f t="shared" si="37"/>
        <v>0.78113965929644269</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3.0574912891986061E-2</v>
      </c>
      <c r="E92" s="237"/>
      <c r="G92" s="22">
        <f t="shared" ref="G92:Q92" si="38">IF(G$4="","",(G88*(1-dividend_tax_rate))/Market_Price)</f>
        <v>3.0574912891986061E-2</v>
      </c>
      <c r="H92" s="22">
        <f t="shared" si="38"/>
        <v>2.323693379790941E-2</v>
      </c>
      <c r="I92" s="22">
        <f t="shared" si="38"/>
        <v>1.8956445993031361E-2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-0.1618163913450088</v>
      </c>
      <c r="D96" s="26"/>
      <c r="E96" s="234"/>
      <c r="F96" s="26"/>
      <c r="G96" s="6">
        <f t="shared" ref="G96:Q96" si="40">IF(H5="","",G11/H11-1)</f>
        <v>0.44239801767816855</v>
      </c>
      <c r="H96" s="6">
        <f t="shared" si="40"/>
        <v>0.92544328135013876</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2.8209754000541334E-2</v>
      </c>
      <c r="E116" s="22">
        <f>E119/E117/E118</f>
        <v>3.9404773307997187E-2</v>
      </c>
      <c r="G116" s="22">
        <f t="shared" ref="G116:Q116" si="44">IF(G4="","",G77)</f>
        <v>3.3655816827304348E-2</v>
      </c>
      <c r="H116" s="22">
        <f t="shared" si="44"/>
        <v>2.4928503072846657E-2</v>
      </c>
      <c r="I116" s="22">
        <f t="shared" si="44"/>
        <v>1.3422401829032838E-2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0.10738453098072831</v>
      </c>
      <c r="D119" s="100"/>
      <c r="E119" s="453">
        <v>0.15</v>
      </c>
      <c r="F119" s="100"/>
      <c r="G119" s="99">
        <f t="shared" ref="G119:Q119" si="47">IF(G$4="","",G11/G104)</f>
        <v>0.12811576111950596</v>
      </c>
      <c r="H119" s="99">
        <f t="shared" si="47"/>
        <v>9.1420244382383373E-2</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7.45264520230928</v>
      </c>
      <c r="D123" s="26"/>
      <c r="E123" s="234"/>
      <c r="F123" s="26"/>
      <c r="G123" s="159">
        <f t="shared" ref="G123:Q123" si="48">IF(G$4="","",G14*$C$3/Common_Shares*Exchange_Rate)</f>
        <v>10.124202776744752</v>
      </c>
      <c r="H123" s="159">
        <f t="shared" si="48"/>
        <v>6.5497149738110698</v>
      </c>
      <c r="I123" s="159">
        <f t="shared" si="48"/>
        <v>3.4659464575026186</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6.4918512215237631E-2</v>
      </c>
      <c r="D124" s="26"/>
      <c r="E124" s="234"/>
      <c r="F124" s="26"/>
      <c r="G124" s="74">
        <f t="shared" ref="G124" si="49">IF(G$4="","",G123/Market_Price)</f>
        <v>8.8189919658055338E-2</v>
      </c>
      <c r="H124" s="74">
        <f t="shared" ref="H124" si="50">IF(H$4="","",H123/Market_Price)</f>
        <v>5.705326632239608E-2</v>
      </c>
      <c r="I124" s="74">
        <f t="shared" ref="I124" si="51">IF(I$4="","",I123/Market_Price)</f>
        <v>3.0191171232601208E-2</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0.12204480871293903</v>
      </c>
      <c r="H125" s="22">
        <f>IF(H$4="","",(Data!D47*$C$3)/(Market_Price*Common_Shares))</f>
        <v>6.3555667627335943E-2</v>
      </c>
      <c r="I125" s="22">
        <f>IF(I$4="","",(Data!E47*$C$3)/(Market_Price*Common_Shares))</f>
        <v>2.6483122284753517E-2</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6" sqref="F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21216.499190864983</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30968.223212794182</v>
      </c>
      <c r="G5" t="str">
        <f>Reporting_currency</f>
        <v>CNY</v>
      </c>
      <c r="H5" s="308" t="s">
        <v>395</v>
      </c>
      <c r="I5" s="305">
        <f>Normalized_FCF!C7</f>
        <v>-79314</v>
      </c>
      <c r="J5" s="305"/>
    </row>
    <row r="6" spans="2:15" ht="13.25" customHeight="1">
      <c r="B6" s="136" t="s">
        <v>194</v>
      </c>
      <c r="C6" s="283">
        <f>(C4*(1+Terminal_Growth))/(Equity_Cost-Terminal_Growth)</f>
        <v>412206.26999394834</v>
      </c>
      <c r="D6" t="str">
        <f>Reporting_currency</f>
        <v>CNY</v>
      </c>
      <c r="E6" s="187" t="s">
        <v>433</v>
      </c>
      <c r="F6" s="284">
        <f>BS!H42</f>
        <v>98531.7</v>
      </c>
      <c r="G6" t="str">
        <f>Reporting_currency</f>
        <v>CNY</v>
      </c>
      <c r="H6" s="308" t="s">
        <v>416</v>
      </c>
      <c r="I6" s="305">
        <f>I7+I8</f>
        <v>-6159.139339276765</v>
      </c>
      <c r="J6" s="305"/>
      <c r="N6" s="135"/>
    </row>
    <row r="7" spans="2:15" ht="12.75" customHeight="1">
      <c r="B7" s="318" t="s">
        <v>430</v>
      </c>
      <c r="C7" s="275">
        <f>F7</f>
        <v>17410.92321279418</v>
      </c>
      <c r="E7" s="140" t="s">
        <v>424</v>
      </c>
      <c r="F7" s="283">
        <f>SUM(F4:F6)</f>
        <v>17410.92321279418</v>
      </c>
      <c r="G7" t="str">
        <f>Reporting_currency</f>
        <v>CNY</v>
      </c>
      <c r="H7" s="312" t="s">
        <v>417</v>
      </c>
      <c r="I7" s="313">
        <f>Normalized_FCF!C9</f>
        <v>0</v>
      </c>
      <c r="J7" s="313"/>
      <c r="N7" s="304"/>
      <c r="O7" s="304"/>
    </row>
    <row r="8" spans="2:15" ht="13.15">
      <c r="B8" s="136" t="s">
        <v>426</v>
      </c>
      <c r="C8" s="283">
        <f>C6+C7</f>
        <v>429617.19320674252</v>
      </c>
      <c r="D8" t="str">
        <f>Reporting_currency</f>
        <v>CNY</v>
      </c>
      <c r="E8" s="140" t="s">
        <v>464</v>
      </c>
      <c r="F8" s="108">
        <f>FV_adjustments*scaling_factor/Common_Shares*Exchange_Rate</f>
        <v>6.1158738858046107</v>
      </c>
      <c r="G8" s="294" t="str">
        <f>Market_currency</f>
        <v>HKD</v>
      </c>
      <c r="H8" s="314" t="str">
        <f>Normalized_FCF!B10</f>
        <v>Net Interest Income</v>
      </c>
      <c r="I8" s="313">
        <f>Normalized_FCF!C10</f>
        <v>-6159.139339276765</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481034.13334226509</v>
      </c>
      <c r="D10" t="str">
        <f>Market_currency</f>
        <v>HKD</v>
      </c>
      <c r="H10" s="308" t="s">
        <v>397</v>
      </c>
      <c r="I10" s="306">
        <f>Normalized_FCF!C41</f>
        <v>0.25</v>
      </c>
      <c r="N10" s="304"/>
      <c r="O10" s="304"/>
    </row>
    <row r="11" spans="2:15" ht="13.15">
      <c r="B11" s="136" t="s">
        <v>425</v>
      </c>
      <c r="C11" s="108">
        <f>(C10*scaling_factor)/Common_Shares</f>
        <v>150.91012353067066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2.8209754000541334E-2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175.03262541019447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2.8209754000541334E-2</v>
      </c>
      <c r="F21" s="277">
        <f>C21*E21</f>
        <v>33469.848826976689</v>
      </c>
      <c r="G21" s="299">
        <f t="shared" ref="G21:G50" si="2">IF(A21="",0%,IF(A21="I",$C$18,$F$18))</f>
        <v>0</v>
      </c>
      <c r="H21" s="277">
        <f>(F21*(1-$I$10)+C21*(G21-$I$9))</f>
        <v>21722.638237727762</v>
      </c>
      <c r="I21" s="299">
        <f>H21/C4-1</f>
        <v>2.3855917147759476E-2</v>
      </c>
      <c r="J21" s="299">
        <f>H21/C21</f>
        <v>1.8308725686120939E-2</v>
      </c>
      <c r="K21" s="119">
        <f t="shared" ref="K21:K50" si="3">IF($C$15&lt;B21,0,1/(1+Equity_Cost)^B21)</f>
        <v>0.93240093240093236</v>
      </c>
      <c r="L21" s="277">
        <f t="shared" ref="L21:L51" si="4">H21*K21</f>
        <v>20254.20814706551</v>
      </c>
    </row>
    <row r="22" spans="1:21">
      <c r="A22" s="302" t="str">
        <f t="shared" si="0"/>
        <v>I</v>
      </c>
      <c r="B22" s="117">
        <v>2</v>
      </c>
      <c r="C22" s="277">
        <f t="shared" ref="C22:C50" si="5">IF(A22="",0,C21*(1+D22))</f>
        <v>1214767.8695419847</v>
      </c>
      <c r="D22" s="299">
        <f t="shared" si="1"/>
        <v>2.38559171477595E-2</v>
      </c>
      <c r="E22" s="299">
        <f t="shared" ref="E22:E50" si="6">IF($C$15&lt;B22,0,IF(B22&gt;=$F$15,$F$17,$C$17))</f>
        <v>2.8209754000541334E-2</v>
      </c>
      <c r="F22" s="277">
        <f t="shared" ref="F22:F50" si="7">IF(A22="", 0,C22*E22)</f>
        <v>34268.302767541078</v>
      </c>
      <c r="G22" s="299">
        <f t="shared" si="2"/>
        <v>0</v>
      </c>
      <c r="H22" s="277">
        <f t="shared" ref="H22:H50" si="8">IF(A22="", 0,F22*(1-$I$10)+C22*(G22-$I$9))</f>
        <v>22240.851695757745</v>
      </c>
      <c r="I22" s="299">
        <f t="shared" ref="I22:I50" si="9">IF(A22="", 0,H22/H21-1)</f>
        <v>2.3855917147759254E-2</v>
      </c>
      <c r="J22" s="299">
        <f>IF(A22="", 0,H22/C22)</f>
        <v>1.8308725686120939E-2</v>
      </c>
      <c r="K22" s="119">
        <f t="shared" si="3"/>
        <v>0.86937149874212816</v>
      </c>
      <c r="L22" s="277">
        <f t="shared" si="4"/>
        <v>19335.562572042312</v>
      </c>
    </row>
    <row r="23" spans="1:21">
      <c r="A23" s="302" t="str">
        <f t="shared" si="0"/>
        <v>I</v>
      </c>
      <c r="B23" s="117">
        <v>3</v>
      </c>
      <c r="C23" s="277">
        <f t="shared" si="5"/>
        <v>1243747.2711915385</v>
      </c>
      <c r="D23" s="299">
        <f t="shared" si="1"/>
        <v>2.38559171477595E-2</v>
      </c>
      <c r="E23" s="299">
        <f t="shared" si="6"/>
        <v>2.8209754000541334E-2</v>
      </c>
      <c r="F23" s="277">
        <f t="shared" si="7"/>
        <v>35085.80455915787</v>
      </c>
      <c r="G23" s="299">
        <f t="shared" si="2"/>
        <v>0</v>
      </c>
      <c r="H23" s="277">
        <f t="shared" si="8"/>
        <v>22771.427611107349</v>
      </c>
      <c r="I23" s="299">
        <f t="shared" si="9"/>
        <v>2.3855917147759476E-2</v>
      </c>
      <c r="J23" s="299">
        <f t="shared" ref="J23:J50" si="10">IF(A23="", 0,H23/C23)</f>
        <v>1.8308725686120939E-2</v>
      </c>
      <c r="K23" s="119">
        <f t="shared" si="3"/>
        <v>0.81060279602995633</v>
      </c>
      <c r="L23" s="277">
        <f t="shared" si="4"/>
        <v>18458.582891157366</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2.8209754000541334E-2</v>
      </c>
      <c r="F24" s="277">
        <f t="shared" si="7"/>
        <v>35922.808605783626</v>
      </c>
      <c r="G24" s="299">
        <f t="shared" si="2"/>
        <v>0</v>
      </c>
      <c r="H24" s="277">
        <f t="shared" si="8"/>
        <v>23314.660901534131</v>
      </c>
      <c r="I24" s="299">
        <f t="shared" si="9"/>
        <v>2.3855917147759698E-2</v>
      </c>
      <c r="J24" s="299">
        <f t="shared" si="10"/>
        <v>1.8308725686120943E-2</v>
      </c>
      <c r="K24" s="119">
        <f t="shared" si="3"/>
        <v>0.75580680282513402</v>
      </c>
      <c r="L24" s="277">
        <f t="shared" si="4"/>
        <v>17621.379314940667</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0.49338969124915688</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8" t="s">
        <v>420</v>
      </c>
      <c r="K52" s="468"/>
      <c r="L52" s="317">
        <f>SUM(L21:L51)</f>
        <v>480879.20795293921</v>
      </c>
    </row>
    <row r="53" spans="1:21">
      <c r="C53" s="111"/>
    </row>
    <row r="54" spans="1:21" ht="13.15">
      <c r="B54" s="115" t="s">
        <v>108</v>
      </c>
      <c r="C54" s="128"/>
      <c r="D54" s="128"/>
      <c r="E54" s="113"/>
      <c r="F54" s="113"/>
      <c r="G54" s="113"/>
      <c r="H54" s="113"/>
      <c r="I54" s="113"/>
      <c r="J54" s="113"/>
      <c r="K54" s="113"/>
      <c r="L54" s="113"/>
    </row>
    <row r="55" spans="1:21" ht="13.15">
      <c r="A55" s="125">
        <f>L52</f>
        <v>480879.20795293921</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425732.60916437849</v>
      </c>
      <c r="C56" s="118">
        <v>429989.9352560222</v>
      </c>
      <c r="D56" s="118">
        <v>434247.26134766615</v>
      </c>
      <c r="E56" s="118">
        <v>438504.58743930992</v>
      </c>
      <c r="F56" s="118">
        <v>447019.23962259752</v>
      </c>
      <c r="G56" s="295"/>
      <c r="H56" s="295"/>
      <c r="I56" s="295"/>
      <c r="J56" s="295"/>
      <c r="K56" s="295"/>
      <c r="L56" s="295"/>
    </row>
    <row r="57" spans="1:21" ht="13.15">
      <c r="A57" s="131">
        <v>2</v>
      </c>
      <c r="B57" s="118">
        <v>425194.53340951959</v>
      </c>
      <c r="C57" s="118">
        <v>433541.14246640983</v>
      </c>
      <c r="D57" s="118">
        <v>441968.83397325611</v>
      </c>
      <c r="E57" s="118">
        <v>450477.6079300589</v>
      </c>
      <c r="F57" s="118">
        <v>467738.40319353342</v>
      </c>
      <c r="G57" s="295"/>
      <c r="H57" s="295"/>
      <c r="I57" s="295"/>
      <c r="J57" s="295"/>
      <c r="K57" s="295"/>
      <c r="L57" s="295"/>
    </row>
    <row r="58" spans="1:21" ht="13.15">
      <c r="A58" s="131">
        <v>3</v>
      </c>
      <c r="B58" s="118">
        <v>424692.83107398672</v>
      </c>
      <c r="C58" s="118">
        <v>436885.40286966495</v>
      </c>
      <c r="D58" s="118">
        <v>449312.42751927185</v>
      </c>
      <c r="E58" s="118">
        <v>461976.17306336574</v>
      </c>
      <c r="F58" s="118">
        <v>488022.89899724693</v>
      </c>
      <c r="G58" s="295"/>
      <c r="H58" s="295"/>
      <c r="I58" s="295"/>
      <c r="J58" s="295"/>
      <c r="K58" s="295"/>
      <c r="L58" s="295"/>
    </row>
    <row r="59" spans="1:21" ht="13.15">
      <c r="A59" s="131">
        <v>4</v>
      </c>
      <c r="B59" s="118">
        <v>424225.04334854812</v>
      </c>
      <c r="C59" s="118">
        <v>440034.77630303346</v>
      </c>
      <c r="D59" s="118">
        <v>456296.5444581398</v>
      </c>
      <c r="E59" s="118">
        <v>473019.08410048054</v>
      </c>
      <c r="F59" s="118">
        <v>507881.84593794547</v>
      </c>
      <c r="G59" s="295"/>
      <c r="H59" s="295"/>
      <c r="I59" s="295"/>
      <c r="J59" s="295"/>
      <c r="K59" s="295"/>
      <c r="L59" s="295"/>
    </row>
    <row r="60" spans="1:21" ht="13.15">
      <c r="A60" s="131">
        <v>5</v>
      </c>
      <c r="B60" s="118">
        <v>415330.10959385836</v>
      </c>
      <c r="C60" s="118">
        <v>434371.83053504658</v>
      </c>
      <c r="D60" s="118">
        <v>454138.27927457797</v>
      </c>
      <c r="E60" s="118">
        <v>474650.49024716648</v>
      </c>
      <c r="F60" s="118">
        <v>517998.37984638795</v>
      </c>
      <c r="G60" s="295"/>
      <c r="H60" s="295"/>
      <c r="I60" s="295"/>
      <c r="J60" s="295"/>
      <c r="K60" s="295"/>
      <c r="L60" s="295"/>
    </row>
    <row r="61" spans="1:21" ht="13.15">
      <c r="A61" s="131">
        <v>6</v>
      </c>
      <c r="B61" s="118">
        <v>414923.42827790068</v>
      </c>
      <c r="C61" s="118">
        <v>437164.83934450021</v>
      </c>
      <c r="D61" s="118">
        <v>460455.37189041753</v>
      </c>
      <c r="E61" s="118">
        <v>484835.54624601488</v>
      </c>
      <c r="F61" s="118">
        <v>537032.82456435403</v>
      </c>
      <c r="G61" s="295"/>
      <c r="H61" s="295"/>
      <c r="I61" s="295"/>
      <c r="J61" s="295"/>
      <c r="K61" s="295"/>
      <c r="L61" s="295"/>
    </row>
    <row r="62" spans="1:21" ht="13.15">
      <c r="A62" s="131">
        <v>7</v>
      </c>
      <c r="B62" s="118">
        <v>406657.27502915217</v>
      </c>
      <c r="C62" s="118">
        <v>431669.13932001765</v>
      </c>
      <c r="D62" s="118">
        <v>458093.52774163929</v>
      </c>
      <c r="E62" s="118">
        <v>485998.70097900811</v>
      </c>
      <c r="F62" s="118">
        <v>546537.79948063416</v>
      </c>
      <c r="G62" s="295"/>
      <c r="H62" s="295"/>
      <c r="I62" s="295"/>
      <c r="J62" s="295"/>
      <c r="K62" s="295"/>
      <c r="L62" s="295"/>
    </row>
    <row r="63" spans="1:21" ht="13.15">
      <c r="A63" s="131">
        <v>8</v>
      </c>
      <c r="B63" s="118">
        <v>406303.71788398759</v>
      </c>
      <c r="C63" s="118">
        <v>434146.10763601138</v>
      </c>
      <c r="D63" s="118">
        <v>463807.30078787968</v>
      </c>
      <c r="E63" s="118">
        <v>495392.54335906752</v>
      </c>
      <c r="F63" s="118">
        <v>564781.9735953653</v>
      </c>
      <c r="G63" s="295"/>
      <c r="H63" s="295"/>
      <c r="I63" s="295"/>
      <c r="J63" s="295"/>
      <c r="K63" s="295"/>
      <c r="L63" s="295"/>
    </row>
    <row r="64" spans="1:21" ht="13.15">
      <c r="A64" s="131">
        <v>9</v>
      </c>
      <c r="B64" s="118">
        <v>398620.24902084155</v>
      </c>
      <c r="C64" s="118">
        <v>428826.32437775761</v>
      </c>
      <c r="D64" s="118">
        <v>461281.37620356132</v>
      </c>
      <c r="E64" s="118">
        <v>496137.35554911941</v>
      </c>
      <c r="F64" s="118">
        <v>573704.79853197373</v>
      </c>
      <c r="G64" s="295"/>
      <c r="H64" s="295"/>
      <c r="I64" s="295"/>
      <c r="J64" s="295"/>
      <c r="K64" s="295"/>
      <c r="L64" s="295"/>
    </row>
    <row r="65" spans="1:21" ht="13.15">
      <c r="A65" s="131">
        <v>10</v>
      </c>
      <c r="B65" s="118">
        <v>398312.87651565892</v>
      </c>
      <c r="C65" s="118">
        <v>431023.01348867989</v>
      </c>
      <c r="D65" s="118">
        <v>466449.45025428559</v>
      </c>
      <c r="E65" s="118">
        <v>504801.44877269905</v>
      </c>
      <c r="F65" s="118">
        <v>591191.51243723708</v>
      </c>
      <c r="G65" s="295"/>
      <c r="H65" s="295"/>
      <c r="I65" s="295"/>
      <c r="J65" s="295"/>
      <c r="K65" s="295"/>
      <c r="L65" s="295"/>
    </row>
    <row r="66" spans="1:21" ht="13.15">
      <c r="A66" s="131">
        <v>15</v>
      </c>
      <c r="B66" s="118">
        <v>377850.06405640912</v>
      </c>
      <c r="C66" s="277">
        <v>419845.11706335627</v>
      </c>
      <c r="D66" s="118">
        <v>467116.37371734786</v>
      </c>
      <c r="E66" s="118">
        <v>520322.16713043768</v>
      </c>
      <c r="F66" s="118">
        <v>647567.46558868885</v>
      </c>
      <c r="G66" s="295"/>
      <c r="H66" s="295"/>
      <c r="I66" s="295"/>
      <c r="J66" s="295"/>
      <c r="K66" s="295"/>
      <c r="L66" s="295"/>
      <c r="M66" s="275"/>
      <c r="N66" s="275"/>
      <c r="O66" s="275"/>
      <c r="P66" s="275"/>
      <c r="Q66" s="275"/>
      <c r="R66" s="275"/>
      <c r="S66" s="275"/>
      <c r="T66" s="275"/>
      <c r="U66" s="275"/>
    </row>
    <row r="67" spans="1:21" ht="13.15">
      <c r="A67" s="132">
        <v>20</v>
      </c>
      <c r="B67" s="118">
        <v>366227.43151217012</v>
      </c>
      <c r="C67" s="277">
        <v>414977.28938032209</v>
      </c>
      <c r="D67" s="118">
        <v>471749.4844506185</v>
      </c>
      <c r="E67" s="118">
        <v>537919.06884123036</v>
      </c>
      <c r="F67" s="118">
        <v>705142.17727197718</v>
      </c>
      <c r="G67" s="295"/>
      <c r="H67" s="295"/>
      <c r="I67" s="295"/>
      <c r="J67" s="295"/>
      <c r="K67" s="295"/>
      <c r="L67" s="295"/>
      <c r="M67" s="275"/>
      <c r="N67" s="275"/>
      <c r="O67" s="275"/>
      <c r="P67" s="275"/>
      <c r="Q67" s="275"/>
      <c r="R67" s="275"/>
      <c r="S67" s="275"/>
      <c r="T67" s="275"/>
      <c r="U67" s="275"/>
    </row>
    <row r="68" spans="1:21" ht="13.15">
      <c r="A68" s="132">
        <v>25</v>
      </c>
      <c r="B68" s="118">
        <v>352067.49067624839</v>
      </c>
      <c r="C68" s="277">
        <v>404929.92029805295</v>
      </c>
      <c r="D68" s="118">
        <v>468420.29340423224</v>
      </c>
      <c r="E68" s="118">
        <v>544851.41285058844</v>
      </c>
      <c r="F68" s="118">
        <v>748421.72936403961</v>
      </c>
      <c r="G68" s="295"/>
      <c r="H68" s="295"/>
      <c r="I68" s="295"/>
      <c r="J68" s="295"/>
      <c r="K68" s="295"/>
      <c r="L68" s="295"/>
      <c r="M68" s="275"/>
      <c r="N68" s="275"/>
      <c r="O68" s="275"/>
      <c r="P68" s="275"/>
      <c r="Q68" s="275"/>
      <c r="R68" s="275"/>
      <c r="S68" s="275"/>
      <c r="T68" s="275"/>
      <c r="U68" s="275"/>
    </row>
    <row r="69" spans="1:21" ht="13.15">
      <c r="A69" s="132">
        <v>30</v>
      </c>
      <c r="B69" s="118">
        <v>344060.4324212338</v>
      </c>
      <c r="C69" s="277">
        <v>400014.77431201236</v>
      </c>
      <c r="D69" s="118">
        <v>469031.08139142004</v>
      </c>
      <c r="E69" s="118">
        <v>554531.93290110049</v>
      </c>
      <c r="F69" s="118">
        <v>793526.38970606239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150.91012353067066</v>
      </c>
      <c r="C73" s="119">
        <f>C11</f>
        <v>150.91012353067066</v>
      </c>
      <c r="D73" s="119">
        <f>C11</f>
        <v>150.91012353067066</v>
      </c>
      <c r="E73" s="119">
        <f>C11</f>
        <v>150.91012353067066</v>
      </c>
      <c r="F73" s="119">
        <f>C11</f>
        <v>150.91012353067066</v>
      </c>
      <c r="G73" s="296"/>
      <c r="H73" s="296"/>
      <c r="I73" s="296"/>
      <c r="J73" s="296"/>
      <c r="K73" s="296"/>
      <c r="L73" s="296"/>
    </row>
    <row r="74" spans="1:21" ht="13.15">
      <c r="A74" s="131">
        <v>1</v>
      </c>
      <c r="B74" s="119">
        <f t="shared" ref="B74:F87" si="11">(B56+FV_adjustments)/Common_Shares*scaling_factor*Exchange_Rate</f>
        <v>155.66147321453923</v>
      </c>
      <c r="C74" s="119">
        <f t="shared" si="11"/>
        <v>157.15692920782655</v>
      </c>
      <c r="D74" s="119">
        <f t="shared" si="11"/>
        <v>158.65238520111396</v>
      </c>
      <c r="E74" s="119">
        <f t="shared" si="11"/>
        <v>160.14784119440131</v>
      </c>
      <c r="F74" s="119">
        <f t="shared" si="11"/>
        <v>163.13875318097601</v>
      </c>
      <c r="G74" s="296"/>
      <c r="H74" s="296"/>
      <c r="I74" s="296"/>
      <c r="J74" s="296"/>
      <c r="K74" s="296"/>
      <c r="L74" s="296"/>
    </row>
    <row r="75" spans="1:21" ht="13.15">
      <c r="A75" s="131">
        <v>2</v>
      </c>
      <c r="B75" s="119">
        <f t="shared" si="11"/>
        <v>155.47246523273915</v>
      </c>
      <c r="C75" s="119">
        <f t="shared" si="11"/>
        <v>158.40434930012418</v>
      </c>
      <c r="D75" s="119">
        <f t="shared" si="11"/>
        <v>161.36471491511139</v>
      </c>
      <c r="E75" s="119">
        <f t="shared" si="11"/>
        <v>164.35356207770099</v>
      </c>
      <c r="F75" s="119">
        <f t="shared" si="11"/>
        <v>170.41670104568695</v>
      </c>
      <c r="G75" s="296"/>
      <c r="H75" s="296"/>
      <c r="I75" s="296"/>
      <c r="J75" s="296"/>
      <c r="K75" s="296"/>
      <c r="L75" s="296"/>
    </row>
    <row r="76" spans="1:21" ht="13.15">
      <c r="A76" s="131">
        <v>3</v>
      </c>
      <c r="B76" s="119">
        <f t="shared" si="11"/>
        <v>155.29623401427753</v>
      </c>
      <c r="C76" s="119">
        <f t="shared" si="11"/>
        <v>159.57907591384958</v>
      </c>
      <c r="D76" s="119">
        <f t="shared" si="11"/>
        <v>163.94427324450763</v>
      </c>
      <c r="E76" s="119">
        <f t="shared" si="11"/>
        <v>168.39262269289787</v>
      </c>
      <c r="F76" s="119">
        <f t="shared" si="11"/>
        <v>177.54196468945986</v>
      </c>
      <c r="G76" s="296"/>
      <c r="H76" s="296"/>
      <c r="I76" s="296"/>
      <c r="J76" s="296"/>
      <c r="K76" s="296"/>
      <c r="L76" s="296"/>
    </row>
    <row r="77" spans="1:21" ht="13.15">
      <c r="A77" s="131">
        <v>4</v>
      </c>
      <c r="B77" s="119">
        <f t="shared" si="11"/>
        <v>155.13191586186574</v>
      </c>
      <c r="C77" s="119">
        <f t="shared" si="11"/>
        <v>160.68534526570286</v>
      </c>
      <c r="D77" s="119">
        <f t="shared" si="11"/>
        <v>166.39755948784941</v>
      </c>
      <c r="E77" s="119">
        <f t="shared" si="11"/>
        <v>172.27162729304024</v>
      </c>
      <c r="F77" s="119">
        <f t="shared" si="11"/>
        <v>184.51774727776902</v>
      </c>
      <c r="G77" s="296"/>
      <c r="H77" s="296"/>
      <c r="I77" s="296"/>
      <c r="J77" s="296"/>
      <c r="K77" s="296"/>
      <c r="L77" s="296"/>
    </row>
    <row r="78" spans="1:21" ht="13.15">
      <c r="A78" s="131">
        <v>5</v>
      </c>
      <c r="B78" s="119">
        <f t="shared" si="11"/>
        <v>152.00742370246698</v>
      </c>
      <c r="C78" s="119">
        <f t="shared" si="11"/>
        <v>158.69614218233576</v>
      </c>
      <c r="D78" s="119">
        <f t="shared" si="11"/>
        <v>165.6394332521833</v>
      </c>
      <c r="E78" s="119">
        <f t="shared" si="11"/>
        <v>172.84468560406225</v>
      </c>
      <c r="F78" s="119">
        <f t="shared" si="11"/>
        <v>188.07134663544323</v>
      </c>
      <c r="G78" s="296"/>
      <c r="H78" s="296"/>
      <c r="I78" s="296"/>
      <c r="J78" s="296"/>
      <c r="K78" s="296"/>
      <c r="L78" s="296"/>
    </row>
    <row r="79" spans="1:21" ht="13.15">
      <c r="A79" s="131">
        <v>6</v>
      </c>
      <c r="B79" s="119">
        <f t="shared" si="11"/>
        <v>151.86457018403425</v>
      </c>
      <c r="C79" s="119">
        <f t="shared" si="11"/>
        <v>159.67723258356196</v>
      </c>
      <c r="D79" s="119">
        <f t="shared" si="11"/>
        <v>167.85841620278481</v>
      </c>
      <c r="E79" s="119">
        <f t="shared" si="11"/>
        <v>176.42235447592546</v>
      </c>
      <c r="F79" s="119">
        <f t="shared" si="11"/>
        <v>194.75750922191975</v>
      </c>
      <c r="G79" s="296"/>
      <c r="H79" s="296"/>
      <c r="I79" s="296"/>
      <c r="J79" s="296"/>
      <c r="K79" s="296"/>
      <c r="L79" s="296"/>
    </row>
    <row r="80" spans="1:21" ht="13.15">
      <c r="A80" s="131">
        <f t="shared" ref="A80" si="12">A62</f>
        <v>7</v>
      </c>
      <c r="B80" s="119">
        <f t="shared" si="11"/>
        <v>148.96094754598076</v>
      </c>
      <c r="C80" s="119">
        <f t="shared" si="11"/>
        <v>157.74677732549443</v>
      </c>
      <c r="D80" s="119">
        <f t="shared" si="11"/>
        <v>167.02877949855542</v>
      </c>
      <c r="E80" s="119">
        <f t="shared" si="11"/>
        <v>176.83093175639016</v>
      </c>
      <c r="F80" s="119">
        <f t="shared" si="11"/>
        <v>198.09628839894748</v>
      </c>
      <c r="G80" s="296"/>
      <c r="H80" s="296"/>
      <c r="I80" s="296"/>
      <c r="J80" s="296"/>
      <c r="K80" s="296"/>
      <c r="L80" s="296"/>
    </row>
    <row r="81" spans="1:12" ht="13.15">
      <c r="A81" s="131">
        <v>8</v>
      </c>
      <c r="B81" s="119">
        <f t="shared" si="11"/>
        <v>148.83675476856024</v>
      </c>
      <c r="C81" s="119">
        <f t="shared" si="11"/>
        <v>158.61685329186363</v>
      </c>
      <c r="D81" s="119">
        <f t="shared" si="11"/>
        <v>169.0358365015544</v>
      </c>
      <c r="E81" s="119">
        <f t="shared" si="11"/>
        <v>180.13067379748725</v>
      </c>
      <c r="F81" s="119">
        <f t="shared" si="11"/>
        <v>204.50485540442162</v>
      </c>
      <c r="G81" s="296"/>
      <c r="H81" s="296"/>
      <c r="I81" s="296"/>
      <c r="J81" s="296"/>
      <c r="K81" s="296"/>
      <c r="L81" s="296"/>
    </row>
    <row r="82" spans="1:12" ht="13.15">
      <c r="A82" s="131">
        <f t="shared" ref="A82" si="13">A64</f>
        <v>9</v>
      </c>
      <c r="B82" s="119">
        <f t="shared" si="11"/>
        <v>146.13780962945489</v>
      </c>
      <c r="C82" s="119">
        <f t="shared" si="11"/>
        <v>156.7481916988134</v>
      </c>
      <c r="D82" s="119">
        <f t="shared" si="11"/>
        <v>168.14856383864398</v>
      </c>
      <c r="E82" s="119">
        <f t="shared" si="11"/>
        <v>180.39230136124675</v>
      </c>
      <c r="F82" s="119">
        <f t="shared" si="11"/>
        <v>207.63914480139675</v>
      </c>
      <c r="G82" s="296"/>
      <c r="H82" s="296"/>
      <c r="I82" s="296"/>
      <c r="J82" s="296"/>
      <c r="K82" s="296"/>
      <c r="L82" s="296"/>
    </row>
    <row r="83" spans="1:12" ht="13.15">
      <c r="A83" s="131">
        <f t="shared" ref="A83:A87" si="14">A65</f>
        <v>10</v>
      </c>
      <c r="B83" s="119">
        <f t="shared" si="11"/>
        <v>146.02983996841596</v>
      </c>
      <c r="C83" s="119">
        <f t="shared" si="11"/>
        <v>157.51981497257805</v>
      </c>
      <c r="D83" s="119">
        <f t="shared" si="11"/>
        <v>169.96393507085429</v>
      </c>
      <c r="E83" s="119">
        <f t="shared" si="11"/>
        <v>183.43570697751699</v>
      </c>
      <c r="F83" s="119">
        <f t="shared" si="11"/>
        <v>213.7816414177249</v>
      </c>
      <c r="G83" s="296"/>
      <c r="H83" s="296"/>
      <c r="I83" s="296"/>
      <c r="J83" s="296"/>
      <c r="K83" s="296"/>
      <c r="L83" s="296"/>
    </row>
    <row r="84" spans="1:12" ht="13.15">
      <c r="A84" s="131">
        <f t="shared" si="14"/>
        <v>15</v>
      </c>
      <c r="B84" s="119">
        <f t="shared" si="11"/>
        <v>138.84193965893206</v>
      </c>
      <c r="C84" s="119">
        <f t="shared" si="11"/>
        <v>153.59339452890907</v>
      </c>
      <c r="D84" s="119">
        <f t="shared" si="11"/>
        <v>170.19820293486828</v>
      </c>
      <c r="E84" s="119">
        <f t="shared" si="11"/>
        <v>188.88761523837638</v>
      </c>
      <c r="F84" s="119">
        <f t="shared" si="11"/>
        <v>233.58462460548282</v>
      </c>
      <c r="G84" s="296"/>
      <c r="H84" s="296"/>
      <c r="I84" s="296"/>
      <c r="J84" s="296"/>
      <c r="K84" s="296"/>
      <c r="L84" s="296"/>
    </row>
    <row r="85" spans="1:12" ht="13.15">
      <c r="A85" s="132">
        <f t="shared" si="14"/>
        <v>20</v>
      </c>
      <c r="B85" s="119">
        <f t="shared" si="11"/>
        <v>134.75929831976518</v>
      </c>
      <c r="C85" s="119">
        <f t="shared" si="11"/>
        <v>151.88348978443301</v>
      </c>
      <c r="D85" s="119">
        <f t="shared" si="11"/>
        <v>171.8256594802414</v>
      </c>
      <c r="E85" s="119">
        <f t="shared" si="11"/>
        <v>195.06881713840107</v>
      </c>
      <c r="F85" s="119">
        <f t="shared" si="11"/>
        <v>253.80869149515831</v>
      </c>
      <c r="G85" s="296"/>
      <c r="H85" s="296"/>
      <c r="I85" s="296"/>
      <c r="J85" s="296"/>
      <c r="K85" s="296"/>
      <c r="L85" s="296"/>
    </row>
    <row r="86" spans="1:12" ht="13.15">
      <c r="A86" s="132">
        <f t="shared" si="14"/>
        <v>25</v>
      </c>
      <c r="B86" s="119">
        <f t="shared" si="11"/>
        <v>129.78538560275803</v>
      </c>
      <c r="C86" s="119">
        <f t="shared" si="11"/>
        <v>148.35418571248488</v>
      </c>
      <c r="D86" s="119">
        <f t="shared" si="11"/>
        <v>170.65622622661093</v>
      </c>
      <c r="E86" s="119">
        <f t="shared" si="11"/>
        <v>197.50391728651343</v>
      </c>
      <c r="F86" s="119">
        <f t="shared" si="11"/>
        <v>269.01134785025954</v>
      </c>
      <c r="G86" s="296"/>
      <c r="H86" s="296"/>
      <c r="I86" s="296"/>
      <c r="J86" s="296"/>
      <c r="K86" s="296"/>
      <c r="L86" s="296"/>
    </row>
    <row r="87" spans="1:12" ht="13.15">
      <c r="A87" s="132">
        <f t="shared" si="14"/>
        <v>30</v>
      </c>
      <c r="B87" s="119">
        <f t="shared" si="11"/>
        <v>126.9727743537477</v>
      </c>
      <c r="C87" s="119">
        <f t="shared" si="11"/>
        <v>146.62765963379576</v>
      </c>
      <c r="D87" s="119">
        <f t="shared" si="11"/>
        <v>170.87077557904624</v>
      </c>
      <c r="E87" s="119">
        <f t="shared" si="11"/>
        <v>200.9043595866913</v>
      </c>
      <c r="F87" s="119">
        <f t="shared" si="11"/>
        <v>284.85510357431883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213.7816414177249</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183.43570697751699</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169.96393507085429</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157.51981497257805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146.02983996841596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39570</v>
      </c>
      <c r="D7" s="469"/>
      <c r="E7" s="469"/>
      <c r="F7" s="469"/>
      <c r="G7" s="469"/>
    </row>
    <row r="8" spans="2:7">
      <c r="B8" s="97" t="s">
        <v>63</v>
      </c>
      <c r="C8" s="447">
        <f>Normalized_FCF!G19</f>
        <v>28822</v>
      </c>
      <c r="D8" s="469"/>
      <c r="E8" s="469"/>
      <c r="F8" s="469"/>
      <c r="G8" s="469"/>
    </row>
    <row r="9" spans="2:7">
      <c r="B9" s="97" t="s">
        <v>54</v>
      </c>
      <c r="C9" s="447">
        <f>Normalized_FCF!C19</f>
        <v>21216.499190864983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5.2429405031766629E-2</v>
      </c>
      <c r="D12" s="469"/>
      <c r="E12" s="469"/>
      <c r="F12" s="469"/>
      <c r="G12" s="469"/>
    </row>
    <row r="13" spans="2:7">
      <c r="B13" s="135" t="s">
        <v>127</v>
      </c>
      <c r="C13" s="249">
        <f ca="1">(Normalized_FCF!G8/OFFSET(Normalized_FCF!G8, 0, $C$4))^(1/$C$4) - 1</f>
        <v>0.46870983906455255</v>
      </c>
      <c r="D13" s="469"/>
      <c r="E13" s="469"/>
      <c r="F13" s="469"/>
      <c r="G13" s="469"/>
    </row>
    <row r="14" spans="2:7">
      <c r="B14" s="97" t="s">
        <v>63</v>
      </c>
      <c r="C14" s="249">
        <f ca="1">(Normalized_FCF!G19/OFFSET(Normalized_FCF!G19, 0, $C$4))^(1/$C$4) - 1</f>
        <v>0.70910794408317734</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183.43570697751699</v>
      </c>
      <c r="F22" s="328">
        <f>1-F23-F24</f>
        <v>0.19999999999999996</v>
      </c>
      <c r="G22" s="328">
        <f>F22*(1-F$29-F$30)</f>
        <v>0.15999999999999995</v>
      </c>
    </row>
    <row r="23" spans="2:7">
      <c r="B23" s="302" t="s">
        <v>437</v>
      </c>
      <c r="C23" s="324">
        <v>0.02</v>
      </c>
      <c r="D23" s="325">
        <f>C18</f>
        <v>10</v>
      </c>
      <c r="E23" s="326">
        <f>DCF!E92</f>
        <v>169.96393507085429</v>
      </c>
      <c r="F23" s="327">
        <v>0.55000000000000004</v>
      </c>
      <c r="G23" s="328">
        <f t="shared" ref="G23:G24" si="0">F23*(1-F$29-F$30)</f>
        <v>0.44</v>
      </c>
    </row>
    <row r="24" spans="2:7">
      <c r="B24" s="302" t="s">
        <v>446</v>
      </c>
      <c r="C24" s="324">
        <v>0.01</v>
      </c>
      <c r="D24" s="325">
        <f>C18</f>
        <v>10</v>
      </c>
      <c r="E24" s="326">
        <f>DCF!E93</f>
        <v>157.51981497257805</v>
      </c>
      <c r="F24" s="327">
        <v>0.25</v>
      </c>
      <c r="G24" s="328">
        <f t="shared" si="0"/>
        <v>0.19999999999999998</v>
      </c>
    </row>
    <row r="25" spans="2:7">
      <c r="B25" s="141" t="s">
        <v>451</v>
      </c>
      <c r="C25" s="441">
        <f>E23*F23+E24*F24+E22*F22</f>
        <v>169.54725942761775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213.7816414177249</v>
      </c>
      <c r="F29" s="327">
        <v>0.15</v>
      </c>
      <c r="G29" s="328">
        <f>F29</f>
        <v>0.15</v>
      </c>
    </row>
    <row r="30" spans="2:7">
      <c r="B30" s="315" t="s">
        <v>447</v>
      </c>
      <c r="C30" s="324">
        <v>0</v>
      </c>
      <c r="D30" s="325">
        <f>C18</f>
        <v>10</v>
      </c>
      <c r="E30" s="326">
        <f>DCF!E94</f>
        <v>146.02983996841596</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114.8</v>
      </c>
      <c r="D34" t="str">
        <f>Market_currency</f>
        <v>HKD</v>
      </c>
      <c r="E34" s="97" t="s">
        <v>454</v>
      </c>
      <c r="F34" s="330">
        <f>RATE(Holding_Period,$C$33,-C34,$C$36)</f>
        <v>0.17769847372279465</v>
      </c>
    </row>
    <row r="35" spans="2:7">
      <c r="B35" s="97" t="s">
        <v>434</v>
      </c>
      <c r="C35" s="320">
        <f>DCF!C11</f>
        <v>150.91012353067066</v>
      </c>
      <c r="D35" s="97" t="str">
        <f>Market_currency</f>
        <v>HKD</v>
      </c>
      <c r="E35" s="97" t="s">
        <v>454</v>
      </c>
      <c r="F35" s="330">
        <f>RATE(Holding_Period,$C$33,-C35,$C$36)</f>
        <v>7.27906152286414E-2</v>
      </c>
    </row>
    <row r="36" spans="2:7">
      <c r="B36" s="97" t="s">
        <v>435</v>
      </c>
      <c r="C36" s="321">
        <f>E22*G22+E23*G23+E24*G24+E30*G30+E29*G29</f>
        <v>175.00654575317373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175.03262541019447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3.4946543624890122E-2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80.648177766439517</v>
      </c>
      <c r="E62" s="332">
        <f>C62+D62</f>
        <v>87.070956798586039</v>
      </c>
      <c r="F62" s="301">
        <f>Thesis!E22</f>
        <v>0.29465259038036606</v>
      </c>
      <c r="G62" s="440">
        <f>(1-E62/C36)</f>
        <v>0.50247028518927839</v>
      </c>
    </row>
    <row r="63" spans="2:7" ht="13.15">
      <c r="B63" s="302" t="s">
        <v>313</v>
      </c>
      <c r="C63" s="119">
        <f>PV(F63, Holding_Period, -C58, 0)</f>
        <v>7.3850538549144646</v>
      </c>
      <c r="D63" s="119">
        <f>C36/(1+F63)^Holding_Period</f>
        <v>101.08681343143613</v>
      </c>
      <c r="E63" s="332">
        <f>C63+D63</f>
        <v>108.47186728635059</v>
      </c>
      <c r="F63" s="301">
        <f>Thesis!E23</f>
        <v>0.20075184365903009</v>
      </c>
      <c r="G63" s="440">
        <f>(1-E63/C36)</f>
        <v>0.38018394215186968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125.43776051420784</v>
      </c>
      <c r="E66" s="332">
        <f>C66+D66</f>
        <v>133.90599748625249</v>
      </c>
      <c r="F66" s="301">
        <f>Thesis!E24</f>
        <v>0.1174</v>
      </c>
      <c r="G66" s="440">
        <f>(1-E66/C36)</f>
        <v>0.23485149135443628</v>
      </c>
    </row>
    <row r="67" spans="2:7" ht="13.15">
      <c r="B67" s="302" t="s">
        <v>314</v>
      </c>
      <c r="C67" s="119">
        <f>PV(F67, Holding_Period, -C58, 0)</f>
        <v>9.1694370473772864</v>
      </c>
      <c r="D67" s="119">
        <f>C36/(1+F67)^Holding_Period</f>
        <v>141.86079531106711</v>
      </c>
      <c r="E67" s="332">
        <f>C67+D67</f>
        <v>151.03023235844438</v>
      </c>
      <c r="F67" s="301">
        <f>Thesis!E25</f>
        <v>7.2499999999999995E-2</v>
      </c>
      <c r="G67" s="440">
        <f>(1-E67/C36)</f>
        <v>0.13700238063406578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114.8</v>
      </c>
    </row>
    <row r="9" spans="1:10">
      <c r="B9" s="351" t="s">
        <v>361</v>
      </c>
      <c r="C9" s="353">
        <f>Common_Shares</f>
        <v>3187553771</v>
      </c>
    </row>
    <row r="10" spans="1:10">
      <c r="B10" s="351" t="s">
        <v>367</v>
      </c>
      <c r="C10" s="357">
        <f>投资主题!C8*Common_Shares/1000000</f>
        <v>365931.17291079997</v>
      </c>
      <c r="D10" s="343" t="s">
        <v>529</v>
      </c>
      <c r="E10" s="360">
        <f>Scenarios!F34</f>
        <v>0.17769847372279465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535</v>
      </c>
      <c r="C17" s="424">
        <f>Terminal_Growth</f>
        <v>0.02</v>
      </c>
      <c r="D17" s="351" t="s">
        <v>339</v>
      </c>
      <c r="E17" s="344" t="str">
        <f>Reporting_currency</f>
        <v>CNY</v>
      </c>
    </row>
    <row r="18" spans="1:6">
      <c r="B18" s="343" t="str">
        <f>"预期股权价值 ("&amp;C7&amp;") :"</f>
        <v>预期股权价值 (HKD) :</v>
      </c>
      <c r="C18" s="359">
        <f>C125</f>
        <v>175.00654575317373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87.070956798586039</v>
      </c>
      <c r="D22" s="365" t="s">
        <v>440</v>
      </c>
      <c r="E22" s="366">
        <f>Thesis!E22</f>
        <v>0.29465259038036606</v>
      </c>
    </row>
    <row r="23" spans="1:6">
      <c r="B23" s="343" t="s">
        <v>341</v>
      </c>
      <c r="C23" s="367">
        <f>E141</f>
        <v>108.47186728635059</v>
      </c>
      <c r="D23" s="365" t="s">
        <v>441</v>
      </c>
      <c r="E23" s="368">
        <f>Thesis!E23</f>
        <v>0.20075184365903009</v>
      </c>
    </row>
    <row r="24" spans="1:6">
      <c r="B24" s="343" t="s">
        <v>343</v>
      </c>
      <c r="C24" s="367">
        <f>E144</f>
        <v>133.90599748625249</v>
      </c>
      <c r="D24" s="365" t="s">
        <v>443</v>
      </c>
      <c r="E24" s="368">
        <f>Thesis!E24</f>
        <v>0.1174</v>
      </c>
    </row>
    <row r="25" spans="1:6">
      <c r="B25" s="343" t="s">
        <v>342</v>
      </c>
      <c r="C25" s="367">
        <f>E145</f>
        <v>151.03023235844438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38849.138260430074</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566.20066072323493</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-6159.139339276765</v>
      </c>
      <c r="D46" s="343" t="str">
        <f>Reporting_currency</f>
        <v>CNY</v>
      </c>
    </row>
    <row r="48" spans="2:6">
      <c r="B48" s="343" t="s">
        <v>505</v>
      </c>
    </row>
    <row r="49" spans="2:6">
      <c r="B49" s="372" t="s">
        <v>223</v>
      </c>
      <c r="C49" s="373">
        <f>Normalized_FCF!C13</f>
        <v>-3301</v>
      </c>
      <c r="D49" s="343" t="str">
        <f>Reporting_currency</f>
        <v>CNY</v>
      </c>
    </row>
    <row r="51" spans="2:6">
      <c r="B51" s="470" t="s">
        <v>506</v>
      </c>
      <c r="C51" s="470"/>
      <c r="D51" s="470"/>
      <c r="E51" s="470"/>
      <c r="F51" s="470"/>
    </row>
    <row r="52" spans="2:6">
      <c r="B52" s="372" t="s">
        <v>496</v>
      </c>
      <c r="C52" s="373">
        <f>Normalized_FCF!C12</f>
        <v>-8172.4997302883276</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28822</v>
      </c>
      <c r="D60" s="343" t="str">
        <f>Reporting_currency</f>
        <v>CNY</v>
      </c>
    </row>
    <row r="61" spans="2:6">
      <c r="B61" s="372" t="s">
        <v>213</v>
      </c>
      <c r="C61" s="373">
        <f>Normalized_FCF!C19</f>
        <v>21216.499190864983</v>
      </c>
      <c r="D61" s="343" t="str">
        <f>Reporting_currency</f>
        <v>CNY</v>
      </c>
    </row>
    <row r="62" spans="2:6">
      <c r="B62" s="377" t="s">
        <v>302</v>
      </c>
      <c r="C62" s="378">
        <f>Normalized_FCF!C124</f>
        <v>6.4918512215237631E-2</v>
      </c>
      <c r="F62" s="379"/>
    </row>
    <row r="63" spans="2:6">
      <c r="B63" s="377" t="s">
        <v>332</v>
      </c>
      <c r="C63" s="378">
        <f>Normalized_FCF!C92</f>
        <v>3.0574912891986061E-2</v>
      </c>
      <c r="E63" s="372" t="s">
        <v>373</v>
      </c>
      <c r="F63" s="380">
        <f>Normalized_FCF!C90</f>
        <v>0.58593359795439359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-112089</v>
      </c>
      <c r="D78" s="343" t="str">
        <f>Reporting_currency</f>
        <v>CNY</v>
      </c>
    </row>
    <row r="79" spans="1:6">
      <c r="B79" s="372" t="s">
        <v>234</v>
      </c>
      <c r="C79" s="387">
        <f>C78*scaling_factor*Exchange_Rate/Common_Shares</f>
        <v>-39.373109605250939</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30968.223212794182</v>
      </c>
      <c r="D84" s="343" t="str">
        <f>Reporting_currency</f>
        <v>CNY</v>
      </c>
    </row>
    <row r="85" spans="1:6">
      <c r="B85" s="382" t="s">
        <v>481</v>
      </c>
      <c r="C85" s="390">
        <f>BS!C66</f>
        <v>125335</v>
      </c>
      <c r="D85" s="391" t="str">
        <f>Reporting_currency</f>
        <v>CNY</v>
      </c>
    </row>
    <row r="86" spans="1:6">
      <c r="B86" s="372" t="s">
        <v>235</v>
      </c>
      <c r="C86" s="387">
        <f>C84*scaling_factor*Exchange_Rate/Common_Shares</f>
        <v>10.878099071605792</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34.610884419449761</v>
      </c>
      <c r="D90" s="343" t="str">
        <f>Market_currency</f>
        <v>HKD</v>
      </c>
    </row>
    <row r="92" spans="1:6">
      <c r="B92" s="372" t="s">
        <v>480</v>
      </c>
      <c r="C92" s="387">
        <f>DCF!F8</f>
        <v>6.1158738858046107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-60.954343165330592</v>
      </c>
      <c r="D111" s="343" t="str">
        <f>Market_currency</f>
        <v>HKD</v>
      </c>
    </row>
    <row r="112" spans="1:6">
      <c r="A112" s="385"/>
      <c r="B112" s="372" t="s">
        <v>377</v>
      </c>
      <c r="C112" s="394">
        <f>DCF!C11</f>
        <v>150.91012353067066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213.78 HKD</v>
      </c>
      <c r="F118" s="399">
        <f>DCF!F90</f>
        <v>0.15</v>
      </c>
    </row>
    <row r="119" spans="1:6">
      <c r="A119" s="385"/>
      <c r="B119" s="400" t="str">
        <f>DCF!B91</f>
        <v>Optimistic</v>
      </c>
      <c r="C119" s="401">
        <f>DCF!C91</f>
        <v>0.03</v>
      </c>
      <c r="D119" s="402">
        <f>DCF!D91</f>
        <v>10</v>
      </c>
      <c r="E119" s="398" t="str">
        <f>ROUND(DCF!E91,2)&amp;" "&amp;Market_currency</f>
        <v>183.44 HKD</v>
      </c>
      <c r="F119" s="403">
        <f>DCF!F91</f>
        <v>0.15999999999999995</v>
      </c>
    </row>
    <row r="120" spans="1:6">
      <c r="B120" s="400" t="str">
        <f>DCF!B92</f>
        <v>Base</v>
      </c>
      <c r="C120" s="401">
        <f>DCF!C92</f>
        <v>0.02</v>
      </c>
      <c r="D120" s="402">
        <f>DCF!D92</f>
        <v>10</v>
      </c>
      <c r="E120" s="398" t="str">
        <f>ROUND(DCF!E92,2)&amp;" "&amp;Market_currency</f>
        <v>169.96 HKD</v>
      </c>
      <c r="F120" s="403">
        <f>DCF!F92</f>
        <v>0.44</v>
      </c>
    </row>
    <row r="121" spans="1:6">
      <c r="B121" s="400" t="str">
        <f>DCF!B93</f>
        <v>Pessimistic</v>
      </c>
      <c r="C121" s="401">
        <f>DCF!C93</f>
        <v>0.01</v>
      </c>
      <c r="D121" s="402">
        <f>DCF!D93</f>
        <v>10</v>
      </c>
      <c r="E121" s="398" t="str">
        <f>ROUND(DCF!E93,2)&amp;" "&amp;Market_currency</f>
        <v>157.52 HKD</v>
      </c>
      <c r="F121" s="403">
        <f>DCF!F93</f>
        <v>0.19999999999999998</v>
      </c>
    </row>
    <row r="122" spans="1:6">
      <c r="B122" s="400" t="str">
        <f>DCF!B94</f>
        <v>Devil's advocate</v>
      </c>
      <c r="C122" s="401">
        <f>DCF!C94</f>
        <v>0</v>
      </c>
      <c r="D122" s="402">
        <f>DCF!D94</f>
        <v>10</v>
      </c>
      <c r="E122" s="398" t="str">
        <f>ROUND(DCF!E94,2)&amp;" "&amp;Market_currency</f>
        <v>146.03 HKD</v>
      </c>
      <c r="F122" s="403">
        <f>DCF!F94</f>
        <v>0.05</v>
      </c>
    </row>
    <row r="124" spans="1:6">
      <c r="B124" s="470" t="s">
        <v>519</v>
      </c>
      <c r="C124" s="470"/>
      <c r="D124" s="470"/>
      <c r="E124" s="470"/>
      <c r="F124" s="470"/>
    </row>
    <row r="125" spans="1:6">
      <c r="B125" s="372" t="s">
        <v>218</v>
      </c>
      <c r="C125" s="404">
        <f>Scenarios!C36</f>
        <v>175.00654575317373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80.648177766439517</v>
      </c>
      <c r="E140" s="410">
        <f>Scenarios!E62</f>
        <v>87.070956798586039</v>
      </c>
      <c r="F140" s="411">
        <f>E22</f>
        <v>0.29465259038036606</v>
      </c>
    </row>
    <row r="141" spans="1:6">
      <c r="B141" s="408" t="s">
        <v>313</v>
      </c>
      <c r="C141" s="409">
        <f>Scenarios!C63</f>
        <v>7.3850538549144646</v>
      </c>
      <c r="D141" s="409">
        <f>Scenarios!D63</f>
        <v>101.08681343143613</v>
      </c>
      <c r="E141" s="410">
        <f>Scenarios!E63</f>
        <v>108.47186728635059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125.43776051420784</v>
      </c>
      <c r="E144" s="410">
        <f>Scenarios!E66</f>
        <v>133.90599748625249</v>
      </c>
      <c r="F144" s="411">
        <f>E24</f>
        <v>0.1174</v>
      </c>
    </row>
    <row r="145" spans="1:6">
      <c r="B145" s="408" t="s">
        <v>314</v>
      </c>
      <c r="C145" s="409">
        <f>Scenarios!C67</f>
        <v>9.1694370473772864</v>
      </c>
      <c r="D145" s="409">
        <f>Scenarios!D67</f>
        <v>141.86079531106711</v>
      </c>
      <c r="E145" s="410">
        <f>Scenarios!E67</f>
        <v>151.03023235844438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