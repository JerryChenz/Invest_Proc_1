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7F62CF-1088-411A-9ADE-422B9C1CD86C}" xr6:coauthVersionLast="47" xr6:coauthVersionMax="47" xr10:uidLastSave="{00000000-0000-0000-0000-000000000000}"/>
  <bookViews>
    <workbookView xWindow="-195" yWindow="120"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<sst xmlns="http://schemas.openxmlformats.org/spreadsheetml/2006/main" count="768" uniqueCount="559">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</sst>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115.7</v>
      </c>
      <c r="E8" s="32"/>
    </row>
    <row r="9" spans="1:9">
      <c r="B9" s="4" t="s">
        <v>346</v>
      </c>
      <c r="C9" s="48">
        <v>2584105173</v>
      </c>
    </row>
    <row r="10" spans="1:9">
      <c r="B10" s="4" t="s">
        <v>352</v>
      </c>
      <c r="C10" s="33">
        <f>Thesis!C8*Common_Shares/1000000</f>
        <v>298980.96851610002</v>
      </c>
      <c r="D10" s="1" t="s">
        <v>528</v>
      </c>
      <c r="E10" s="303">
        <f>Scenarios!F34</f>
        <v>0.1520364330127415</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v>
      </c>
    </row>
    <row r="17" spans="1:6">
      <c r="B17" s="1" t="s">
        <v>532</v>
      </c>
      <c r="C17" s="456">
        <v>0.02</v>
      </c>
      <c r="D17" s="4" t="s">
        <v>274</v>
      </c>
      <c r="E17" s="224" t="s">
        <v>558</v>
      </c>
    </row>
    <row r="18" spans="1:6">
      <c r="B18" s="1" t="str">
        <f>"Expected Equity Value ("&amp;C7&amp;") :"</f>
        <v>Expected Equity Value (HKD) :</v>
      </c>
      <c r="C18" s="252">
        <f>C125</f>
        <v>164.68961997937771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82.316613124025665</v>
      </c>
      <c r="D22" s="38" t="s">
        <v>406</v>
      </c>
      <c r="E22" s="79">
        <v>0.29465259038036601</v>
      </c>
    </row>
    <row r="23" spans="1:6">
      <c r="B23" s="1" t="s">
        <v>313</v>
      </c>
      <c r="C23" s="256">
        <f>E141</f>
        <v>102.51263218235289</v>
      </c>
      <c r="D23" s="38" t="s">
        <v>407</v>
      </c>
      <c r="E23" s="443">
        <v>0.20075184365903001</v>
      </c>
    </row>
    <row r="24" spans="1:6">
      <c r="B24" s="1" t="s">
        <v>315</v>
      </c>
      <c r="C24" s="256">
        <f>E144</f>
        <v>126.51123371392191</v>
      </c>
      <c r="D24" s="38" t="s">
        <v>408</v>
      </c>
      <c r="E24" s="443">
        <v>0.1174</v>
      </c>
    </row>
    <row r="25" spans="1:6">
      <c r="B25" s="1" t="s">
        <v>314</v>
      </c>
      <c r="C25" s="256">
        <f>E145</f>
        <v>142.66730347977182</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38849.138260430074</v>
      </c>
      <c r="D34" s="1" t="str">
        <f>Reporting_currency</f>
        <v>CNY</v>
      </c>
    </row>
    <row r="35" spans="2:6">
      <c r="B35" s="44"/>
      <c r="C35" s="73"/>
    </row>
    <row r="36" spans="2:6" ht="24.5" customHeight="1">
      <c r="B36" s="463" t="s">
        <v>198</v>
      </c>
      <c r="C36" s="463"/>
      <c r="D36" s="463"/>
      <c r="E36" s="463"/>
      <c r="F36" s="463"/>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565.023935957135</v>
      </c>
      <c r="D44" s="1" t="str">
        <f>Reporting_currency</f>
        <v>CNY</v>
      </c>
      <c r="E44" s="244"/>
      <c r="F44" s="244"/>
    </row>
    <row r="45" spans="2:6">
      <c r="B45" s="44" t="s">
        <v>268</v>
      </c>
      <c r="C45" s="286">
        <f>Normalized_FCF!C45</f>
        <v>-6725.34</v>
      </c>
      <c r="D45" s="1" t="str">
        <f>Reporting_currency</f>
        <v>CNY</v>
      </c>
      <c r="E45" s="244"/>
      <c r="F45" s="244"/>
    </row>
    <row r="46" spans="2:6">
      <c r="B46" s="44" t="s">
        <v>203</v>
      </c>
      <c r="C46" s="285">
        <f>Normalized_FCF!C10</f>
        <v>-6160.316064042865</v>
      </c>
      <c r="D46" s="1" t="str">
        <f>Reporting_currency</f>
        <v>CNY</v>
      </c>
    </row>
    <row r="48" spans="2:6">
      <c r="B48" s="1" t="s">
        <v>211</v>
      </c>
    </row>
    <row r="49" spans="2:6">
      <c r="B49" s="44" t="s">
        <v>223</v>
      </c>
      <c r="C49" s="285">
        <f>Normalized_FCF!C13</f>
        <v>-3301</v>
      </c>
      <c r="D49" s="1" t="str">
        <f>Reporting_currency</f>
        <v>CNY</v>
      </c>
    </row>
    <row r="51" spans="2:6">
      <c r="B51" s="463" t="s">
        <v>206</v>
      </c>
      <c r="C51" s="463"/>
      <c r="D51" s="463"/>
      <c r="E51" s="463"/>
      <c r="F51" s="463"/>
    </row>
    <row r="52" spans="2:6">
      <c r="B52" s="44" t="s">
        <v>204</v>
      </c>
      <c r="C52" s="285">
        <f>Normalized_FCF!C12</f>
        <v>-8172.2055490968023</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28822</v>
      </c>
      <c r="D60" s="1" t="str">
        <f>Reporting_currency</f>
        <v>CNY</v>
      </c>
    </row>
    <row r="61" spans="2:6">
      <c r="B61" s="44" t="s">
        <v>213</v>
      </c>
      <c r="C61" s="285">
        <f>Normalized_FCF!C19</f>
        <v>21215.616647290408</v>
      </c>
      <c r="D61" s="1" t="str">
        <f>Reporting_currency</f>
        <v>CNY</v>
      </c>
    </row>
    <row r="62" spans="2:6">
      <c r="B62" s="204" t="s">
        <v>302</v>
      </c>
      <c r="C62" s="89">
        <f>Normalized_FCF!C124</f>
        <v>7.0959756243307359E-2</v>
      </c>
      <c r="F62" s="257"/>
    </row>
    <row r="63" spans="2:6">
      <c r="B63" s="204" t="s">
        <v>332</v>
      </c>
      <c r="C63" s="89">
        <f>Normalized_FCF!C92</f>
        <v>3.033707865168539E-2</v>
      </c>
      <c r="E63" s="44" t="s">
        <v>322</v>
      </c>
      <c r="F63" s="258">
        <f>Normalized_FCF!C90</f>
        <v>0.47502791656952054</v>
      </c>
    </row>
    <row r="65" spans="1:6">
      <c r="B65" s="192" t="s">
        <v>325</v>
      </c>
      <c r="C65" s="264" t="s">
        <v>327</v>
      </c>
      <c r="D65" s="264" t="s">
        <v>328</v>
      </c>
    </row>
    <row r="66" spans="1:6">
      <c r="B66" s="44" t="s">
        <v>326</v>
      </c>
      <c r="C66" s="89">
        <f>Normalized_FCF!E119</f>
        <v>0.12</v>
      </c>
      <c r="D66" s="89">
        <f>Normalized_FCF!G119</f>
        <v>0.12811576111950596</v>
      </c>
    </row>
    <row r="67" spans="1:6">
      <c r="B67" s="229" t="str">
        <f>Normalized_FCF!B116</f>
        <v>Pre-tax Profit/Sales</v>
      </c>
      <c r="C67" s="263">
        <f>Normalized_FCF!E116</f>
        <v>3.152381864639775E-2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-112089</v>
      </c>
      <c r="D78" s="1" t="str">
        <f>Reporting_currency</f>
        <v>CNY</v>
      </c>
    </row>
    <row r="79" spans="1:6">
      <c r="A79" s="191"/>
      <c r="B79" s="44" t="s">
        <v>234</v>
      </c>
      <c r="C79" s="201">
        <f>C78*scaling_factor*Exchange_Rate/Common_Shares</f>
        <v>-43.376330488078011</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31164.344007144173</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12.060013784564399</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38.129910898947763</v>
      </c>
      <c r="D90" s="1" t="str">
        <f>Market_currency</f>
        <v>HKD</v>
      </c>
    </row>
    <row r="91" spans="1:6">
      <c r="A91" s="191"/>
    </row>
    <row r="92" spans="1:6">
      <c r="A92" s="191"/>
      <c r="B92" s="44" t="s">
        <v>469</v>
      </c>
      <c r="C92" s="216">
        <f>DCF!F8</f>
        <v>6.8135941954341535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-67.151814025643745</v>
      </c>
      <c r="D111" s="1" t="str">
        <f>Market_currency</f>
        <v>HKD</v>
      </c>
    </row>
    <row r="112" spans="2:6">
      <c r="B112" s="44" t="s">
        <v>323</v>
      </c>
      <c r="C112" s="216">
        <f>DCF!C11</f>
        <v>166.32301654396133</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213.64 HKD</v>
      </c>
      <c r="E118" s="208">
        <f>DCF!F90</f>
        <v>0.15</v>
      </c>
      <c r="F118" s="208">
        <f>RATE(Holding_Period,Scenarios!C$58,-DCF!E90,C$18)</f>
        <v>-6.514312199132416E-2</v>
      </c>
    </row>
    <row r="119" spans="2:6">
      <c r="B119" s="205" t="str">
        <f>DCF!B91&amp;" ("&amp;DCF!D91&amp;"yrs)"</f>
        <v>Optimistic (15yrs)</v>
      </c>
      <c r="C119" s="198">
        <f>DCF!C91</f>
        <v>0.03</v>
      </c>
      <c r="D119" s="207" t="str">
        <f>ROUND(DCF!E91,2)&amp;" "&amp;Market_currency</f>
        <v>174.46 HKD</v>
      </c>
      <c r="E119" s="199">
        <f>DCF!F91</f>
        <v>0.15999999999999995</v>
      </c>
      <c r="F119" s="208">
        <f>RATE(Holding_Period,Scenarios!C$58,-DCF!E91,C$18)</f>
        <v>1.4862806382593514E-3</v>
      </c>
    </row>
    <row r="120" spans="2:6">
      <c r="B120" s="205" t="str">
        <f>DCF!B92&amp;" ("&amp;DCF!D92&amp;"yrs)"</f>
        <v>Base (15yrs)</v>
      </c>
      <c r="C120" s="198">
        <f>DCF!C92</f>
        <v>0.02</v>
      </c>
      <c r="D120" s="207" t="str">
        <f>ROUND(DCF!E92,2)&amp;" "&amp;Market_currency</f>
        <v>158.03 HKD</v>
      </c>
      <c r="E120" s="199">
        <f>DCF!F92</f>
        <v>0.44</v>
      </c>
      <c r="F120" s="208">
        <f>RATE(Holding_Period,Scenarios!C$58,-DCF!E92,C$18)</f>
        <v>3.5774608242128844E-2</v>
      </c>
    </row>
    <row r="121" spans="2:6">
      <c r="B121" s="205" t="str">
        <f>DCF!B93&amp;" ("&amp;DCF!D93&amp;"yrs)"</f>
        <v>Pessimistic (15yrs)</v>
      </c>
      <c r="C121" s="198">
        <f>DCF!C93</f>
        <v>0.01</v>
      </c>
      <c r="D121" s="207" t="str">
        <f>ROUND(DCF!E93,2)&amp;" "&amp;Market_currency</f>
        <v>143.4 HKD</v>
      </c>
      <c r="E121" s="199">
        <f>DCF!F93</f>
        <v>0.19999999999999998</v>
      </c>
      <c r="F121" s="208">
        <f>RATE(Holding_Period,Scenarios!C$58,-DCF!E93,C$18)</f>
        <v>7.0627621002389604E-2</v>
      </c>
    </row>
    <row r="122" spans="2:6">
      <c r="B122" s="205" t="str">
        <f>DCF!B94&amp;" ("&amp;DCF!D94&amp;"yrs)"</f>
        <v>Devil's advocate (15yrs)</v>
      </c>
      <c r="C122" s="198">
        <f>DCF!C94</f>
        <v>0</v>
      </c>
      <c r="D122" s="207" t="str">
        <f>ROUND(DCF!E94,2)&amp;" "&amp;Market_currency</f>
        <v>130.38 HKD</v>
      </c>
      <c r="E122" s="199">
        <f>DCF!F94</f>
        <v>0.05</v>
      </c>
      <c r="F122" s="208">
        <f>RATE(Holding_Period,Scenarios!C$58,-DCF!E94,C$18)</f>
        <v>0.1059725914407207</v>
      </c>
    </row>
    <row r="124" spans="2:6">
      <c r="B124" s="463" t="s">
        <v>357</v>
      </c>
      <c r="C124" s="463"/>
      <c r="D124" s="463"/>
      <c r="E124" s="463"/>
      <c r="F124" s="463"/>
    </row>
    <row r="125" spans="2:6">
      <c r="B125" s="193" t="s">
        <v>218</v>
      </c>
      <c r="C125" s="197">
        <f>Scenarios!C36</f>
        <v>164.68961997937771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6.4227790321465204</v>
      </c>
      <c r="D140" s="333">
        <f>Scenarios!D62</f>
        <v>75.893834091879143</v>
      </c>
      <c r="E140" s="334">
        <f>Scenarios!E62</f>
        <v>82.316613124025665</v>
      </c>
      <c r="F140" s="335">
        <f>E22</f>
        <v>0.29465259038036601</v>
      </c>
    </row>
    <row r="141" spans="1:6">
      <c r="B141" s="336" t="s">
        <v>313</v>
      </c>
      <c r="C141" s="333">
        <f>Scenarios!C63</f>
        <v>7.3850538549144664</v>
      </c>
      <c r="D141" s="333">
        <f>Scenarios!D63</f>
        <v>95.127578327438428</v>
      </c>
      <c r="E141" s="334">
        <f>Scenarios!E63</f>
        <v>102.51263218235289</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118.04299674187726</v>
      </c>
      <c r="E144" s="334">
        <f>Scenarios!E66</f>
        <v>126.51123371392191</v>
      </c>
      <c r="F144" s="335">
        <f>E24</f>
        <v>0.1174</v>
      </c>
    </row>
    <row r="145" spans="1:6">
      <c r="B145" s="336" t="s">
        <v>314</v>
      </c>
      <c r="C145" s="333">
        <f>Scenarios!C67</f>
        <v>9.1694370473772864</v>
      </c>
      <c r="D145" s="333">
        <f>Scenarios!D67</f>
        <v>133.49786643239455</v>
      </c>
      <c r="E145" s="334">
        <f>Scenarios!E67</f>
        <v>142.66730347977182</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c r="G4" s="287"/>
      <c r="H4" s="287"/>
      <c r="I4" s="287"/>
      <c r="J4" s="287"/>
      <c r="K4" s="287"/>
      <c r="L4" s="287"/>
      <c r="M4" s="287"/>
    </row>
    <row r="5" spans="2:13">
      <c r="B5" s="38" t="s">
        <v>40</v>
      </c>
      <c r="C5" s="287">
        <v>974951</v>
      </c>
      <c r="D5" s="287">
        <v>924958</v>
      </c>
      <c r="E5" s="287">
        <v>899163</v>
      </c>
      <c r="F5" s="287"/>
      <c r="G5" s="287"/>
      <c r="H5" s="287"/>
      <c r="I5" s="287"/>
      <c r="J5" s="287"/>
      <c r="K5" s="287"/>
      <c r="L5" s="287"/>
      <c r="M5" s="287"/>
    </row>
    <row r="6" spans="2:13">
      <c r="B6" s="38" t="s">
        <v>51</v>
      </c>
      <c r="C6" s="287">
        <f>70426+8888+C7</f>
        <v>127267</v>
      </c>
      <c r="D6" s="287">
        <f>64558+9710+D7</f>
        <v>114401</v>
      </c>
      <c r="E6" s="287">
        <f>63011+11053+E7</f>
        <v>111836</v>
      </c>
      <c r="F6" s="287"/>
      <c r="G6" s="287"/>
      <c r="H6" s="287"/>
      <c r="I6" s="287"/>
      <c r="J6" s="287"/>
      <c r="K6" s="287"/>
      <c r="L6" s="287"/>
      <c r="M6" s="287"/>
    </row>
    <row r="7" spans="2:13">
      <c r="B7" s="66" t="s">
        <v>58</v>
      </c>
      <c r="C7" s="288">
        <v>47953</v>
      </c>
      <c r="D7" s="288">
        <v>40133</v>
      </c>
      <c r="E7" s="288">
        <v>37772</v>
      </c>
      <c r="F7" s="288"/>
      <c r="G7" s="288"/>
      <c r="H7" s="288"/>
      <c r="I7" s="288"/>
      <c r="J7" s="288"/>
      <c r="K7" s="288"/>
      <c r="L7" s="288"/>
      <c r="M7" s="288"/>
    </row>
    <row r="8" spans="2:13">
      <c r="B8" s="38" t="s">
        <v>46</v>
      </c>
      <c r="C8" s="287">
        <v>17031</v>
      </c>
      <c r="D8" s="287">
        <v>16393</v>
      </c>
      <c r="E8" s="287">
        <v>16893</v>
      </c>
      <c r="F8" s="287"/>
      <c r="G8" s="287"/>
      <c r="H8" s="287"/>
      <c r="I8" s="287"/>
      <c r="J8" s="287"/>
      <c r="K8" s="287"/>
      <c r="L8" s="287"/>
      <c r="M8" s="287"/>
    </row>
    <row r="9" spans="2:13">
      <c r="B9" s="38" t="s">
        <v>134</v>
      </c>
      <c r="C9" s="287">
        <v>2327</v>
      </c>
      <c r="D9" s="287">
        <v>1010</v>
      </c>
      <c r="E9" s="287">
        <v>-2195</v>
      </c>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c r="G14" s="287"/>
      <c r="H14" s="287"/>
      <c r="I14" s="287"/>
      <c r="J14" s="287"/>
      <c r="K14" s="287"/>
      <c r="L14" s="287"/>
      <c r="M14" s="287"/>
    </row>
    <row r="15" spans="2:13">
      <c r="B15" s="41" t="s">
        <v>39</v>
      </c>
      <c r="C15" s="289">
        <v>44660</v>
      </c>
      <c r="D15" s="289">
        <v>23257</v>
      </c>
      <c r="E15" s="289">
        <v>9691</v>
      </c>
      <c r="F15" s="289"/>
      <c r="G15" s="289"/>
      <c r="H15" s="289"/>
      <c r="I15" s="289"/>
      <c r="J15" s="289"/>
      <c r="K15" s="289"/>
      <c r="L15" s="289"/>
      <c r="M15" s="289"/>
    </row>
    <row r="16" spans="2:13">
      <c r="B16" s="27" t="s">
        <v>41</v>
      </c>
      <c r="C16" s="287">
        <v>3301</v>
      </c>
      <c r="D16" s="287">
        <v>-910</v>
      </c>
      <c r="E16" s="287">
        <v>-697</v>
      </c>
      <c r="F16" s="287"/>
      <c r="G16" s="287"/>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c r="G22" s="287"/>
      <c r="H22" s="287"/>
      <c r="I22" s="287"/>
      <c r="J22" s="287"/>
      <c r="K22" s="287"/>
      <c r="L22" s="287"/>
      <c r="M22" s="287"/>
    </row>
    <row r="23" spans="2:13">
      <c r="B23" s="26" t="s">
        <v>288</v>
      </c>
      <c r="C23" s="287">
        <v>-871</v>
      </c>
      <c r="D23" s="287">
        <v>-59543</v>
      </c>
      <c r="E23" s="287">
        <v>-54026</v>
      </c>
      <c r="F23" s="287"/>
      <c r="G23" s="287"/>
      <c r="H23" s="287"/>
      <c r="I23" s="287"/>
      <c r="J23" s="287"/>
      <c r="K23" s="287"/>
      <c r="L23" s="287"/>
      <c r="M23" s="287"/>
    </row>
    <row r="24" spans="2:13">
      <c r="B24" s="26" t="s">
        <v>287</v>
      </c>
      <c r="C24" s="287">
        <v>-21004</v>
      </c>
      <c r="D24" s="287">
        <v>-5808</v>
      </c>
      <c r="E24" s="287">
        <v>1180</v>
      </c>
      <c r="F24" s="287"/>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c r="G25" s="37"/>
      <c r="H25" s="37"/>
      <c r="I25" s="37"/>
      <c r="J25" s="37"/>
      <c r="K25" s="37"/>
      <c r="L25" s="37"/>
      <c r="M25" s="37"/>
    </row>
    <row r="27" spans="2:13">
      <c r="B27" s="16" t="s">
        <v>26</v>
      </c>
      <c r="C27" s="94" t="s">
        <v>547</v>
      </c>
    </row>
    <row r="28" spans="2:13">
      <c r="B28" s="25" t="s">
        <v>22</v>
      </c>
      <c r="C28" s="270">
        <f>BS!C4</f>
        <v>41491</v>
      </c>
      <c r="D28" s="287">
        <f>20302+2114</f>
        <v>22416</v>
      </c>
      <c r="E28" s="287"/>
      <c r="F28" s="287"/>
      <c r="G28" s="287"/>
      <c r="H28" s="287"/>
      <c r="I28" s="287"/>
      <c r="J28" s="287"/>
      <c r="K28" s="287"/>
      <c r="L28" s="287"/>
      <c r="M28" s="287"/>
    </row>
    <row r="29" spans="2:13">
      <c r="B29" s="25" t="s">
        <v>30</v>
      </c>
      <c r="C29" s="270">
        <f>BS!C6</f>
        <v>100999</v>
      </c>
      <c r="D29" s="287">
        <v>68058</v>
      </c>
      <c r="E29" s="287"/>
      <c r="F29" s="287"/>
      <c r="G29" s="287"/>
      <c r="H29" s="287"/>
      <c r="I29" s="287"/>
      <c r="J29" s="287"/>
      <c r="K29" s="287"/>
      <c r="L29" s="287"/>
      <c r="M29" s="287"/>
    </row>
    <row r="30" spans="2:13">
      <c r="B30" s="28" t="s">
        <v>38</v>
      </c>
      <c r="C30" s="271">
        <f>BS!C33+BS!C42</f>
        <v>409109</v>
      </c>
      <c r="D30" s="289">
        <v>332578</v>
      </c>
      <c r="E30" s="289"/>
      <c r="F30" s="289"/>
      <c r="G30" s="289"/>
      <c r="H30" s="289"/>
      <c r="I30" s="289"/>
      <c r="J30" s="289"/>
      <c r="K30" s="289"/>
      <c r="L30" s="289"/>
      <c r="M30" s="289"/>
    </row>
    <row r="31" spans="2:13">
      <c r="B31" s="28" t="s">
        <v>28</v>
      </c>
      <c r="C31" s="271">
        <f>BS!G27</f>
        <v>304420</v>
      </c>
      <c r="D31" s="289">
        <v>295766</v>
      </c>
      <c r="E31" s="289"/>
      <c r="F31" s="289"/>
      <c r="G31" s="289"/>
      <c r="H31" s="289"/>
      <c r="I31" s="289"/>
      <c r="J31" s="289"/>
      <c r="K31" s="289"/>
      <c r="L31" s="289"/>
      <c r="M31" s="289"/>
    </row>
    <row r="32" spans="2:13">
      <c r="B32" s="25" t="s">
        <v>143</v>
      </c>
      <c r="C32" s="270">
        <f>BS!G28</f>
        <v>72487</v>
      </c>
      <c r="D32" s="287">
        <v>63908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0</v>
      </c>
      <c r="F77" s="282" t="str">
        <f t="shared" si="40"/>
        <v/>
      </c>
      <c r="G77" s="282" t="str">
        <f t="shared" si="40"/>
        <v/>
      </c>
      <c r="H77" s="282" t="str">
        <f t="shared" si="40"/>
        <v/>
      </c>
      <c r="I77" s="291"/>
      <c r="J77" s="291"/>
      <c r="K77" s="291"/>
      <c r="L77" s="291"/>
      <c r="M77" s="291"/>
    </row>
    <row r="78" spans="2:13">
      <c r="B78" s="90" t="s">
        <v>83</v>
      </c>
      <c r="C78" s="260">
        <f t="shared" si="40"/>
        <v>100999</v>
      </c>
      <c r="D78" s="282">
        <f t="shared" si="40"/>
        <v>68058</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409109</v>
      </c>
      <c r="D79" s="270">
        <f t="shared" si="41"/>
        <v>332578</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89.753699819709311</v>
      </c>
      <c r="D47" s="134">
        <f>D46*H1/Common_Shares*Exchange_Rate</f>
        <v>-67.151814025643745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31164.344007144173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-94110.584181225</v>
      </c>
      <c r="D73" s="285">
        <f>(Normalized_FCF!C26+Normalized_FCF!C35-Normalized_FCF!C89)/12</f>
        <v>-94170.655992855827</v>
      </c>
      <c r="F73" s="1" t="s">
        <v>278</v>
      </c>
    </row>
    <row r="74" spans="2:6" ht="15" customHeight="1">
      <c r="B74" s="227" t="s">
        <v>259</v>
      </c>
      <c r="C74" s="228">
        <f>-$C$66/C73</f>
        <v>1.331784316189637</v>
      </c>
      <c r="D74" s="228">
        <f>-$C$66/D73</f>
        <v>1.330934766022108</v>
      </c>
      <c r="F74" s="223" t="s">
        <v>257</v>
      </c>
    </row>
    <row r="75" spans="2:6" ht="15" customHeight="1">
      <c r="B75" s="77" t="s">
        <v>258</v>
      </c>
      <c r="C75" s="261"/>
      <c r="D75" s="262">
        <f>MAX(-D73*D76,G5)</f>
        <v>94170.655992855827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-112089</v>
      </c>
      <c r="D86" s="201">
        <f>C86*scaling_factor/Common_Shares</f>
        <v>-43.376330488078011</v>
      </c>
      <c r="E86" s="214" t="str">
        <f>Market_currency</f>
        <v>HKD</v>
      </c>
    </row>
    <row r="87" spans="2:8" ht="15" customHeight="1">
      <c r="B87" s="212" t="s">
        <v>240</v>
      </c>
      <c r="C87" s="73">
        <f>DCF!F5*Exchange_Rate</f>
        <v>31164.344007144173</v>
      </c>
      <c r="D87" s="201">
        <f>C87*scaling_factor/Common_Shares</f>
        <v>12.060013784564399</v>
      </c>
      <c r="E87" s="214" t="str">
        <f>Market_currency</f>
        <v>HKD</v>
      </c>
    </row>
    <row r="88" spans="2:8" ht="15" customHeight="1">
      <c r="B88" s="213" t="s">
        <v>159</v>
      </c>
      <c r="C88" s="73">
        <f>DCF!F6*Exchange_Rate</f>
        <v>98531.7</v>
      </c>
      <c r="D88" s="201">
        <f>C88*scaling_factor/Common_Shares</f>
        <v>38.129910898947763</v>
      </c>
      <c r="E88" s="214" t="str">
        <f>Market_currency</f>
        <v>HKD</v>
      </c>
    </row>
    <row r="89" spans="2:8" ht="15" customHeight="1">
      <c r="B89" s="77" t="s">
        <v>244</v>
      </c>
      <c r="C89" s="162">
        <f>SUM(C86:C88)</f>
        <v>17607.04400714417</v>
      </c>
      <c r="D89" s="216">
        <f>SUM(D86:D88)</f>
        <v>6.813594195434149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-6160.316064042865</v>
      </c>
      <c r="E10" s="237"/>
      <c r="G10" s="266">
        <f>G48</f>
        <v>-2896</v>
      </c>
      <c r="H10" s="266">
        <f t="shared" ref="H10:Q10" si="6">H48</f>
        <v>-2881</v>
      </c>
      <c r="I10" s="266">
        <f t="shared" si="6"/>
        <v>-2106</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32688.822196387209</v>
      </c>
      <c r="E11" s="237"/>
      <c r="G11" s="267">
        <f t="shared" ref="G11:Q11" si="7">IF(G$4="","",SUM(G8:G10))</f>
        <v>39001</v>
      </c>
      <c r="H11" s="267">
        <f t="shared" si="7"/>
        <v>27039</v>
      </c>
      <c r="I11" s="267">
        <f t="shared" si="7"/>
        <v>14043</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-8172.2055490968023</v>
      </c>
      <c r="E12" s="237"/>
      <c r="G12" s="266">
        <f>Data!C46</f>
        <v>-6878</v>
      </c>
      <c r="H12" s="266">
        <f>Data!D46</f>
        <v>-8393</v>
      </c>
      <c r="I12" s="266">
        <f>Data!E46</f>
        <v>-4176</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21215.616647290408</v>
      </c>
      <c r="D14" s="58"/>
      <c r="E14" s="243"/>
      <c r="F14" s="58"/>
      <c r="G14" s="267">
        <f t="shared" ref="G14:Q14" si="8">IF(G$4="","",SUM(G11:G13))</f>
        <v>28822</v>
      </c>
      <c r="H14" s="267">
        <f t="shared" si="8"/>
        <v>18646</v>
      </c>
      <c r="I14" s="267">
        <f t="shared" si="8"/>
        <v>9867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21215.616647290408</v>
      </c>
      <c r="D19" s="26"/>
      <c r="E19" s="234"/>
      <c r="F19" s="26"/>
      <c r="G19" s="271">
        <f t="shared" ref="G19:Q19" si="9">IF(G$4="","",G14+G17)</f>
        <v>28822</v>
      </c>
      <c r="H19" s="271">
        <f t="shared" si="9"/>
        <v>18646</v>
      </c>
      <c r="I19" s="271">
        <f t="shared" si="9"/>
        <v>9867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-6725.34</v>
      </c>
      <c r="E45" s="237"/>
      <c r="G45" s="266">
        <f>Data!C51</f>
        <v>-2896</v>
      </c>
      <c r="H45" s="266">
        <f>Data!D51</f>
        <v>-2881</v>
      </c>
      <c r="I45" s="266">
        <f>Data!E51</f>
        <v>-2106</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565.023935957135</v>
      </c>
      <c r="E46" s="237"/>
      <c r="G46" s="274">
        <f t="shared" ref="G46:Q46" si="17">IFERROR(IF(G$4="","",($C$46/$C$47)*G47),0)</f>
        <v>0</v>
      </c>
      <c r="H46" s="274">
        <f t="shared" si="17"/>
        <v>0</v>
      </c>
      <c r="I46" s="274">
        <f t="shared" si="17"/>
        <v>0</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-6160.316064042865</v>
      </c>
      <c r="E48" s="237"/>
      <c r="G48" s="267">
        <f>IF(G$4="","",(G45+G46))</f>
        <v>-2896</v>
      </c>
      <c r="H48" s="267">
        <f t="shared" ref="H48:Q48" si="18">IF(H$4="","",(H45+H46))</f>
        <v>-2881</v>
      </c>
      <c r="I48" s="267">
        <f t="shared" si="18"/>
        <v>-2106</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5.7765314854609686</v>
      </c>
      <c r="E53" s="237"/>
      <c r="G53" s="40">
        <f t="shared" ref="G53:Q53" si="19">IF(G4="","",-G8/G45)</f>
        <v>13.663674033149171</v>
      </c>
      <c r="H53" s="40">
        <f t="shared" si="19"/>
        <v>10.034710170079833</v>
      </c>
      <c r="I53" s="40">
        <f t="shared" si="19"/>
        <v>8.7103513770180445</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5.3160295646195524E-3</v>
      </c>
      <c r="D76" s="26"/>
      <c r="E76" s="234"/>
      <c r="F76" s="26"/>
      <c r="G76" s="6">
        <f t="shared" ref="G76:Q76" si="28">IF(G$4="","",ABS(G10/G$4))</f>
        <v>2.499096062456691E-3</v>
      </c>
      <c r="H76" s="6">
        <f t="shared" si="28"/>
        <v>2.6561269778050674E-3</v>
      </c>
      <c r="I76" s="6">
        <f t="shared" si="28"/>
        <v>2.0129301610726453E-3</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2.820873854880461E-2</v>
      </c>
      <c r="D77" s="26"/>
      <c r="E77" s="234"/>
      <c r="F77" s="26"/>
      <c r="G77" s="62">
        <f t="shared" ref="G77:Q77" si="29">IF(G$4="","",G11/G$4)</f>
        <v>3.3655816827304348E-2</v>
      </c>
      <c r="H77" s="62">
        <f t="shared" si="29"/>
        <v>2.4928503072846657E-2</v>
      </c>
      <c r="I77" s="62">
        <f t="shared" si="29"/>
        <v>1.3422401829032838E-2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7.0521846372011525E-3</v>
      </c>
      <c r="D78" s="26"/>
      <c r="E78" s="234"/>
      <c r="F78" s="26"/>
      <c r="G78" s="6">
        <f t="shared" ref="G78:Q78" si="30">IF(G$4="","",ABS(G12/G$4))</f>
        <v>5.9353531483346406E-3</v>
      </c>
      <c r="H78" s="6">
        <f t="shared" si="30"/>
        <v>7.7378943855320832E-3</v>
      </c>
      <c r="I78" s="6">
        <f t="shared" si="30"/>
        <v>3.9914512595628521E-3</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1.8307964097318396E-2</v>
      </c>
      <c r="D80" s="26"/>
      <c r="E80" s="234"/>
      <c r="F80" s="26"/>
      <c r="G80" s="62">
        <f t="shared" ref="G80:Q80" si="32">IF(G$4="","",ABS(G14/G$4))</f>
        <v>2.4871873864684649E-2</v>
      </c>
      <c r="H80" s="62">
        <f t="shared" si="32"/>
        <v>1.7190608687314573E-2</v>
      </c>
      <c r="I80" s="62">
        <f t="shared" si="32"/>
        <v>9.4309505694699855E-3</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1.8307964097318396E-2</v>
      </c>
      <c r="D85" s="72"/>
      <c r="E85" s="234"/>
      <c r="F85" s="72"/>
      <c r="G85" s="62">
        <f t="shared" ref="G85:Q85" si="35">IF(G$4="","",ABS(G19/G$4))</f>
        <v>2.4871873864684649E-2</v>
      </c>
      <c r="H85" s="62">
        <f t="shared" si="35"/>
        <v>1.7190608687314573E-2</v>
      </c>
      <c r="I85" s="62">
        <f t="shared" si="35"/>
        <v>9.4309505694699855E-3</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10078.010174699999</v>
      </c>
      <c r="E89" s="237"/>
      <c r="G89" s="71">
        <f t="shared" ref="G89:Q89" si="36">IF(G$4="","",G88*Common_Shares/scaling_factor)</f>
        <v>10078.010174699999</v>
      </c>
      <c r="H89" s="71">
        <f t="shared" si="36"/>
        <v>7659.2877327720007</v>
      </c>
      <c r="I89" s="71">
        <f t="shared" si="36"/>
        <v>6248.366308314</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0.47502791656952054</v>
      </c>
      <c r="E90" s="237"/>
      <c r="G90" s="152">
        <f t="shared" ref="G90:Q90" si="37">IF(G$4="","",G88/(G19*scaling_factor/Common_Shares))</f>
        <v>0.34966380454860868</v>
      </c>
      <c r="H90" s="152">
        <f t="shared" si="37"/>
        <v>0.41077377093060174</v>
      </c>
      <c r="I90" s="152">
        <f t="shared" si="37"/>
        <v>0.63325897520158103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3.033707865168539E-2</v>
      </c>
      <c r="E92" s="237"/>
      <c r="G92" s="22">
        <f t="shared" ref="G92:Q92" si="38">IF(G$4="","",(G88*(1-dividend_tax_rate))/Market_Price)</f>
        <v>3.033707865168539E-2</v>
      </c>
      <c r="H92" s="22">
        <f t="shared" si="38"/>
        <v>2.3056179775280902E-2</v>
      </c>
      <c r="I92" s="22">
        <f t="shared" si="38"/>
        <v>1.8808988764044944E-2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-0.16184656300127664</v>
      </c>
      <c r="D96" s="26"/>
      <c r="E96" s="234"/>
      <c r="F96" s="26"/>
      <c r="G96" s="6">
        <f t="shared" ref="G96:Q96" si="40">IF(H5="","",G11/H11-1)</f>
        <v>0.44239801767816855</v>
      </c>
      <c r="H96" s="6">
        <f t="shared" si="40"/>
        <v>0.92544328135013876</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2.820873854880461E-2</v>
      </c>
      <c r="E116" s="22">
        <f>E119/E117/E118</f>
        <v>3.152381864639775E-2</v>
      </c>
      <c r="G116" s="22">
        <f t="shared" ref="G116:Q116" si="44">IF(G4="","",G77)</f>
        <v>3.3655816827304348E-2</v>
      </c>
      <c r="H116" s="22">
        <f t="shared" si="44"/>
        <v>2.4928503072846657E-2</v>
      </c>
      <c r="I116" s="22">
        <f t="shared" si="44"/>
        <v>1.3422401829032838E-2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0.10738066551602132</v>
      </c>
      <c r="D119" s="100"/>
      <c r="E119" s="453">
        <v>0.12</v>
      </c>
      <c r="F119" s="100"/>
      <c r="G119" s="99">
        <f t="shared" ref="G119:Q119" si="47">IF(G$4="","",G11/G104)</f>
        <v>0.12811576111950596</v>
      </c>
      <c r="H119" s="99">
        <f t="shared" si="47"/>
        <v>9.1420244382383373E-2</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8.2100437973506626</v>
      </c>
      <c r="D123" s="26"/>
      <c r="E123" s="234"/>
      <c r="F123" s="26"/>
      <c r="G123" s="159">
        <f t="shared" ref="G123:Q123" si="48">IF(G$4="","",G14*$C$3/Common_Shares*Exchange_Rate)</f>
        <v>11.153570799341455</v>
      </c>
      <c r="H123" s="159">
        <f t="shared" si="48"/>
        <v>7.2156505837388378</v>
      </c>
      <c r="I123" s="159">
        <f t="shared" si="48"/>
        <v>3.8183430392444015</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7.0959756243307359E-2</v>
      </c>
      <c r="D124" s="26"/>
      <c r="E124" s="234"/>
      <c r="F124" s="26"/>
      <c r="G124" s="74">
        <f t="shared" ref="G124" si="49">IF(G$4="","",G123/Market_Price)</f>
        <v>9.6400784782553636E-2</v>
      </c>
      <c r="H124" s="74">
        <f t="shared" ref="H124" si="50">IF(H$4="","",H123/Market_Price)</f>
        <v>6.2365173584605339E-2</v>
      </c>
      <c r="I124" s="74">
        <f t="shared" ref="I124" si="51">IF(I$4="","",I123/Market_Price)</f>
        <v>3.3002100598482291E-2</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0.1493740562205553</v>
      </c>
      <c r="H125" s="22">
        <f>IF(H$4="","",(Data!D47*$C$3)/(Market_Price*Common_Shares))</f>
        <v>7.7787559908675655E-2</v>
      </c>
      <c r="I125" s="22">
        <f>IF(I$4="","",(Data!E47*$C$3)/(Market_Price*Common_Shares))</f>
        <v>3.2413434367071232E-2</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21215.616647290408</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31164.344007144173</v>
      </c>
      <c r="G5" t="str">
        <f>Reporting_currency</f>
        <v>CNY</v>
      </c>
      <c r="H5" s="308" t="s">
        <v>395</v>
      </c>
      <c r="I5" s="305">
        <f>Normalized_FCF!C7</f>
        <v>-79314</v>
      </c>
      <c r="J5" s="305"/>
    </row>
    <row r="6" spans="2:15" ht="13.25" customHeight="1">
      <c r="B6" s="136" t="s">
        <v>194</v>
      </c>
      <c r="C6" s="283">
        <f>(C4*(1+Terminal_Growth))/(Equity_Cost-Terminal_Growth)</f>
        <v>412189.1234330709</v>
      </c>
      <c r="D6" t="str">
        <f>Reporting_currency</f>
        <v>CNY</v>
      </c>
      <c r="E6" s="187" t="s">
        <v>433</v>
      </c>
      <c r="F6" s="284">
        <f>BS!H42</f>
        <v>98531.7</v>
      </c>
      <c r="G6" t="str">
        <f>Reporting_currency</f>
        <v>CNY</v>
      </c>
      <c r="H6" s="308" t="s">
        <v>416</v>
      </c>
      <c r="I6" s="305">
        <f>I7+I8</f>
        <v>-6160.316064042865</v>
      </c>
      <c r="J6" s="305"/>
      <c r="N6" s="135"/>
    </row>
    <row r="7" spans="2:15" ht="12.75" customHeight="1">
      <c r="B7" s="318" t="s">
        <v>430</v>
      </c>
      <c r="C7" s="275">
        <f>F7</f>
        <v>17607.04400714417</v>
      </c>
      <c r="E7" s="140" t="s">
        <v>424</v>
      </c>
      <c r="F7" s="283">
        <f>SUM(F4:F6)</f>
        <v>17607.04400714417</v>
      </c>
      <c r="G7" t="str">
        <f>Reporting_currency</f>
        <v>CNY</v>
      </c>
      <c r="H7" s="312" t="s">
        <v>417</v>
      </c>
      <c r="I7" s="313">
        <f>Normalized_FCF!C9</f>
        <v>0</v>
      </c>
      <c r="J7" s="313"/>
      <c r="N7" s="304"/>
      <c r="O7" s="304"/>
    </row>
    <row r="8" spans="2:15" ht="13.15">
      <c r="B8" s="136" t="s">
        <v>426</v>
      </c>
      <c r="C8" s="283">
        <f>C6+C7</f>
        <v>429796.16744021507</v>
      </c>
      <c r="D8" t="str">
        <f>Reporting_currency</f>
        <v>CNY</v>
      </c>
      <c r="E8" s="140" t="s">
        <v>464</v>
      </c>
      <c r="F8" s="108">
        <f>FV_adjustments*scaling_factor/Common_Shares*Exchange_Rate</f>
        <v>6.8135941954341535</v>
      </c>
      <c r="G8" s="294" t="str">
        <f>Market_currency</f>
        <v>HKD</v>
      </c>
      <c r="H8" s="314" t="str">
        <f>Normalized_FCF!B10</f>
        <v>Net Interest Income</v>
      </c>
      <c r="I8" s="313">
        <f>Normalized_FCF!C10</f>
        <v>-6160.316064042865</v>
      </c>
      <c r="J8" s="313"/>
      <c r="N8" s="304"/>
      <c r="O8" s="304"/>
    </row>
    <row r="9" spans="2:15" ht="13.15" thickBot="1">
      <c r="B9" s="189" t="str">
        <f>"*"&amp;Thesis!E15</f>
        <v>*CNY/HKD</v>
      </c>
      <c r="C9" s="190">
        <f>Exchange_Rate</f>
        <v>1</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429796.16744021507</v>
      </c>
      <c r="D10" t="str">
        <f>Market_currency</f>
        <v>HKD</v>
      </c>
      <c r="H10" s="308" t="s">
        <v>397</v>
      </c>
      <c r="I10" s="306">
        <f>Normalized_FCF!C41</f>
        <v>0.25</v>
      </c>
      <c r="N10" s="304"/>
      <c r="O10" s="304"/>
    </row>
    <row r="11" spans="2:15" ht="13.15">
      <c r="B11" s="136" t="s">
        <v>425</v>
      </c>
      <c r="C11" s="108">
        <f>(C10*scaling_factor)/Common_Shares</f>
        <v>166.32301654396133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2.820873854880461E-2</v>
      </c>
      <c r="E17" s="308" t="s">
        <v>551</v>
      </c>
      <c r="F17" s="311">
        <f>Scenarios!C40</f>
        <v>3.152381864639775E-2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164.13667399109832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2.820873854880461E-2</v>
      </c>
      <c r="F21" s="277">
        <f>C21*E21</f>
        <v>33468.644030362062</v>
      </c>
      <c r="G21" s="299">
        <f t="shared" ref="G21:G50" si="2">IF(A21="",0%,IF(A21="I",$C$18,$F$18))</f>
        <v>0</v>
      </c>
      <c r="H21" s="277">
        <f>(F21*(1-$I$10)+C21*(G21-$I$9))</f>
        <v>21721.734640266794</v>
      </c>
      <c r="I21" s="299">
        <f>H21/C4-1</f>
        <v>2.3855917147759476E-2</v>
      </c>
      <c r="J21" s="299">
        <f>H21/C21</f>
        <v>1.8307964097318396E-2</v>
      </c>
      <c r="K21" s="119">
        <f t="shared" ref="K21:K50" si="3">IF($C$15&lt;B21,0,1/(1+Equity_Cost)^B21)</f>
        <v>0.93240093240093236</v>
      </c>
      <c r="L21" s="277">
        <f t="shared" ref="L21:L51" si="4">H21*K21</f>
        <v>20253.36563195039</v>
      </c>
    </row>
    <row r="22" spans="1:21">
      <c r="A22" s="302" t="str">
        <f t="shared" si="0"/>
        <v>I</v>
      </c>
      <c r="B22" s="117">
        <v>2</v>
      </c>
      <c r="C22" s="277">
        <f t="shared" ref="C22:C50" si="5">IF(A22="",0,C21*(1+D22))</f>
        <v>1214767.8695419847</v>
      </c>
      <c r="D22" s="299">
        <f t="shared" si="1"/>
        <v>2.38559171477595E-2</v>
      </c>
      <c r="E22" s="299">
        <f t="shared" ref="E22:E50" si="6">IF($C$15&lt;B22,0,IF(B22&gt;=$F$15,$F$17,$C$17))</f>
        <v>2.820873854880461E-2</v>
      </c>
      <c r="F22" s="277">
        <f t="shared" ref="F22:F50" si="7">IF(A22="", 0,C22*E22)</f>
        <v>34267.069229398236</v>
      </c>
      <c r="G22" s="299">
        <f t="shared" si="2"/>
        <v>0</v>
      </c>
      <c r="H22" s="277">
        <f t="shared" ref="H22:H50" si="8">IF(A22="", 0,F22*(1-$I$10)+C22*(G22-$I$9))</f>
        <v>22239.926542150613</v>
      </c>
      <c r="I22" s="299">
        <f t="shared" ref="I22:I50" si="9">IF(A22="", 0,H22/H21-1)</f>
        <v>2.3855917147759476E-2</v>
      </c>
      <c r="J22" s="299">
        <f>IF(A22="", 0,H22/C22)</f>
        <v>1.8307964097318396E-2</v>
      </c>
      <c r="K22" s="119">
        <f t="shared" si="3"/>
        <v>0.86937149874212816</v>
      </c>
      <c r="L22" s="277">
        <f t="shared" si="4"/>
        <v>19334.758269864316</v>
      </c>
    </row>
    <row r="23" spans="1:21">
      <c r="A23" s="302" t="str">
        <f t="shared" si="0"/>
        <v>I</v>
      </c>
      <c r="B23" s="117">
        <v>3</v>
      </c>
      <c r="C23" s="277">
        <f t="shared" si="5"/>
        <v>1243747.2711915385</v>
      </c>
      <c r="D23" s="299">
        <f t="shared" si="1"/>
        <v>2.38559171477595E-2</v>
      </c>
      <c r="E23" s="299">
        <f t="shared" si="6"/>
        <v>2.820873854880461E-2</v>
      </c>
      <c r="F23" s="277">
        <f t="shared" si="7"/>
        <v>35084.541593831294</v>
      </c>
      <c r="G23" s="299">
        <f t="shared" si="2"/>
        <v>0</v>
      </c>
      <c r="H23" s="277">
        <f t="shared" si="8"/>
        <v>22770.480387112417</v>
      </c>
      <c r="I23" s="299">
        <f t="shared" si="9"/>
        <v>2.3855917147759476E-2</v>
      </c>
      <c r="J23" s="299">
        <f t="shared" ref="J23:J50" si="10">IF(A23="", 0,H23/C23)</f>
        <v>1.8307964097318399E-2</v>
      </c>
      <c r="K23" s="119">
        <f t="shared" si="3"/>
        <v>0.81060279602995633</v>
      </c>
      <c r="L23" s="277">
        <f t="shared" si="4"/>
        <v>18457.815068738608</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2.820873854880461E-2</v>
      </c>
      <c r="F24" s="277">
        <f t="shared" si="7"/>
        <v>35921.515511260855</v>
      </c>
      <c r="G24" s="299">
        <f t="shared" si="2"/>
        <v>0</v>
      </c>
      <c r="H24" s="277">
        <f t="shared" si="8"/>
        <v>23313.691080642049</v>
      </c>
      <c r="I24" s="299">
        <f t="shared" si="9"/>
        <v>2.3855917147759254E-2</v>
      </c>
      <c r="J24" s="299">
        <f t="shared" si="10"/>
        <v>1.8307964097318396E-2</v>
      </c>
      <c r="K24" s="119">
        <f t="shared" si="3"/>
        <v>0.75580680282513402</v>
      </c>
      <c r="L24" s="277">
        <f t="shared" si="4"/>
        <v>17620.646317712912</v>
      </c>
      <c r="N24" s="275"/>
      <c r="O24" s="275"/>
      <c r="P24" s="275"/>
      <c r="Q24" s="275"/>
      <c r="R24" s="275"/>
      <c r="S24" s="275"/>
      <c r="T24" s="275"/>
      <c r="U24" s="275"/>
    </row>
    <row r="25" spans="1:21">
      <c r="A25" s="302" t="str">
        <f t="shared" si="0"/>
        <v>I</v>
      </c>
      <c r="B25" s="117">
        <v>5</v>
      </c>
      <c r="C25" s="277">
        <f t="shared" si="5"/>
        <v>1303796.5574209625</v>
      </c>
      <c r="D25" s="299">
        <f t="shared" si="1"/>
        <v>2.38559171477595E-2</v>
      </c>
      <c r="E25" s="299">
        <f t="shared" si="6"/>
        <v>2.820873854880461E-2</v>
      </c>
      <c r="F25" s="277">
        <f t="shared" si="7"/>
        <v>36778.456209119446</v>
      </c>
      <c r="G25" s="299">
        <f t="shared" si="2"/>
        <v>0</v>
      </c>
      <c r="H25" s="277">
        <f t="shared" si="8"/>
        <v>23869.860563470305</v>
      </c>
      <c r="I25" s="299">
        <f t="shared" si="9"/>
        <v>2.3855917147759476E-2</v>
      </c>
      <c r="J25" s="299">
        <f t="shared" si="10"/>
        <v>1.8307964097318396E-2</v>
      </c>
      <c r="K25" s="119">
        <f t="shared" si="3"/>
        <v>0.70471496766912267</v>
      </c>
      <c r="L25" s="277">
        <f t="shared" si="4"/>
        <v>16821.448015252441</v>
      </c>
      <c r="N25" s="275"/>
      <c r="O25" s="275"/>
      <c r="P25" s="275"/>
      <c r="Q25" s="275"/>
      <c r="R25" s="275"/>
      <c r="S25" s="275"/>
      <c r="T25" s="275"/>
      <c r="U25" s="275"/>
    </row>
    <row r="26" spans="1:21">
      <c r="A26" s="302" t="str">
        <f t="shared" si="0"/>
        <v>I</v>
      </c>
      <c r="B26" s="117">
        <v>6</v>
      </c>
      <c r="C26" s="277">
        <f t="shared" si="5"/>
        <v>1334899.820072331</v>
      </c>
      <c r="D26" s="299">
        <f t="shared" si="1"/>
        <v>2.38559171477595E-2</v>
      </c>
      <c r="E26" s="299">
        <f t="shared" si="6"/>
        <v>2.820873854880461E-2</v>
      </c>
      <c r="F26" s="277">
        <f t="shared" si="7"/>
        <v>37655.840013266701</v>
      </c>
      <c r="G26" s="299">
        <f t="shared" si="2"/>
        <v>0</v>
      </c>
      <c r="H26" s="277">
        <f t="shared" si="8"/>
        <v>24439.297979401024</v>
      </c>
      <c r="I26" s="299">
        <f t="shared" si="9"/>
        <v>2.3855917147759476E-2</v>
      </c>
      <c r="J26" s="299">
        <f t="shared" si="10"/>
        <v>1.8307964097318396E-2</v>
      </c>
      <c r="K26" s="119">
        <f t="shared" si="3"/>
        <v>0.65707689293158289</v>
      </c>
      <c r="L26" s="277">
        <f t="shared" si="4"/>
        <v>16058.497981733937</v>
      </c>
    </row>
    <row r="27" spans="1:21">
      <c r="A27" s="302" t="str">
        <f t="shared" si="0"/>
        <v>I</v>
      </c>
      <c r="B27" s="117">
        <v>7</v>
      </c>
      <c r="C27" s="277">
        <f t="shared" si="5"/>
        <v>1366745.0795805356</v>
      </c>
      <c r="D27" s="299">
        <f t="shared" si="1"/>
        <v>2.38559171477595E-2</v>
      </c>
      <c r="E27" s="299">
        <f t="shared" si="6"/>
        <v>2.820873854880461E-2</v>
      </c>
      <c r="F27" s="277">
        <f t="shared" si="7"/>
        <v>38554.154612752478</v>
      </c>
      <c r="G27" s="299">
        <f t="shared" si="2"/>
        <v>0</v>
      </c>
      <c r="H27" s="277">
        <f t="shared" si="8"/>
        <v>25022.31984714702</v>
      </c>
      <c r="I27" s="299">
        <f t="shared" si="9"/>
        <v>2.3855917147759476E-2</v>
      </c>
      <c r="J27" s="299">
        <f t="shared" si="10"/>
        <v>1.8307964097318396E-2</v>
      </c>
      <c r="K27" s="119">
        <f t="shared" si="3"/>
        <v>0.61265910762851561</v>
      </c>
      <c r="L27" s="277">
        <f t="shared" si="4"/>
        <v>15330.152148348388</v>
      </c>
    </row>
    <row r="28" spans="1:21">
      <c r="A28" s="302" t="str">
        <f t="shared" si="0"/>
        <v>II</v>
      </c>
      <c r="B28" s="117">
        <v>8</v>
      </c>
      <c r="C28" s="277">
        <f t="shared" si="5"/>
        <v>1399350.0369611168</v>
      </c>
      <c r="D28" s="299">
        <f t="shared" si="1"/>
        <v>2.38559171477595E-2</v>
      </c>
      <c r="E28" s="299">
        <f t="shared" si="6"/>
        <v>3.152381864639775E-2</v>
      </c>
      <c r="F28" s="277">
        <f t="shared" si="7"/>
        <v>44112.856787992234</v>
      </c>
      <c r="G28" s="299">
        <f t="shared" si="2"/>
        <v>0</v>
      </c>
      <c r="H28" s="277">
        <f t="shared" si="8"/>
        <v>29098.468329087314</v>
      </c>
      <c r="I28" s="299">
        <f t="shared" si="9"/>
        <v>0.16290050270479006</v>
      </c>
      <c r="J28" s="299">
        <f t="shared" si="10"/>
        <v>2.0794274170513251E-2</v>
      </c>
      <c r="K28" s="119">
        <f t="shared" si="3"/>
        <v>0.5712439231967511</v>
      </c>
      <c r="L28" s="277">
        <f t="shared" si="4"/>
        <v>16622.323207324247</v>
      </c>
    </row>
    <row r="29" spans="1:21">
      <c r="A29" s="302" t="str">
        <f t="shared" si="0"/>
        <v>II</v>
      </c>
      <c r="B29" s="117">
        <v>9</v>
      </c>
      <c r="C29" s="277">
        <f t="shared" si="5"/>
        <v>1432732.8155035754</v>
      </c>
      <c r="D29" s="299">
        <f t="shared" si="1"/>
        <v>2.38559171477595E-2</v>
      </c>
      <c r="E29" s="299">
        <f t="shared" si="6"/>
        <v>3.152381864639775E-2</v>
      </c>
      <c r="F29" s="277">
        <f t="shared" si="7"/>
        <v>45165.209444677559</v>
      </c>
      <c r="G29" s="299">
        <f t="shared" si="2"/>
        <v>0</v>
      </c>
      <c r="H29" s="277">
        <f t="shared" si="8"/>
        <v>29792.638978672723</v>
      </c>
      <c r="I29" s="299">
        <f t="shared" si="9"/>
        <v>2.3855917147759476E-2</v>
      </c>
      <c r="J29" s="299">
        <f t="shared" si="10"/>
        <v>2.0794274170513251E-2</v>
      </c>
      <c r="K29" s="119">
        <f t="shared" si="3"/>
        <v>0.53262836661701729</v>
      </c>
      <c r="L29" s="277">
        <f t="shared" si="4"/>
        <v>15868.404636420935</v>
      </c>
    </row>
    <row r="30" spans="1:21">
      <c r="A30" s="302" t="str">
        <f t="shared" si="0"/>
        <v>II</v>
      </c>
      <c r="B30" s="117">
        <v>10</v>
      </c>
      <c r="C30" s="277">
        <f t="shared" si="5"/>
        <v>1466911.9708451049</v>
      </c>
      <c r="D30" s="299">
        <f t="shared" si="1"/>
        <v>2.38559171477595E-2</v>
      </c>
      <c r="E30" s="299">
        <f t="shared" si="6"/>
        <v>3.152381864639775E-2</v>
      </c>
      <c r="F30" s="277">
        <f t="shared" si="7"/>
        <v>46242.666939150993</v>
      </c>
      <c r="G30" s="299">
        <f t="shared" si="2"/>
        <v>0</v>
      </c>
      <c r="H30" s="277">
        <f t="shared" si="8"/>
        <v>30503.369705761052</v>
      </c>
      <c r="I30" s="299">
        <f t="shared" si="9"/>
        <v>2.3855917147759476E-2</v>
      </c>
      <c r="J30" s="299">
        <f t="shared" si="10"/>
        <v>2.0794274170513251E-2</v>
      </c>
      <c r="K30" s="119">
        <f t="shared" si="3"/>
        <v>0.49662318565689262</v>
      </c>
      <c r="L30" s="277">
        <f t="shared" si="4"/>
        <v>15148.680636545005</v>
      </c>
    </row>
    <row r="31" spans="1:21">
      <c r="A31" s="302" t="str">
        <f t="shared" si="0"/>
        <v>II</v>
      </c>
      <c r="B31" s="117">
        <v>11</v>
      </c>
      <c r="C31" s="277">
        <f t="shared" si="5"/>
        <v>1501906.5012846424</v>
      </c>
      <c r="D31" s="299">
        <f t="shared" si="1"/>
        <v>2.38559171477595E-2</v>
      </c>
      <c r="E31" s="299">
        <f t="shared" si="6"/>
        <v>3.152381864639775E-2</v>
      </c>
      <c r="F31" s="277">
        <f t="shared" si="7"/>
        <v>47345.828170342815</v>
      </c>
      <c r="G31" s="299">
        <f t="shared" si="2"/>
        <v>0</v>
      </c>
      <c r="H31" s="277">
        <f t="shared" si="8"/>
        <v>31231.05556618917</v>
      </c>
      <c r="I31" s="299">
        <f t="shared" si="9"/>
        <v>2.3855917147759698E-2</v>
      </c>
      <c r="J31" s="299">
        <f t="shared" si="10"/>
        <v>2.0794274170513254E-2</v>
      </c>
      <c r="K31" s="119">
        <f t="shared" si="3"/>
        <v>0.46305192135840806</v>
      </c>
      <c r="L31" s="277">
        <f t="shared" si="4"/>
        <v>14461.600285975101</v>
      </c>
    </row>
    <row r="32" spans="1:21">
      <c r="A32" s="302" t="str">
        <f t="shared" si="0"/>
        <v>II</v>
      </c>
      <c r="B32" s="117">
        <v>12</v>
      </c>
      <c r="C32" s="277">
        <f t="shared" si="5"/>
        <v>1537735.85834297</v>
      </c>
      <c r="D32" s="299">
        <f t="shared" si="1"/>
        <v>2.38559171477595E-2</v>
      </c>
      <c r="E32" s="299">
        <f t="shared" si="6"/>
        <v>3.152381864639775E-2</v>
      </c>
      <c r="F32" s="277">
        <f t="shared" si="7"/>
        <v>48475.306324466568</v>
      </c>
      <c r="G32" s="299">
        <f t="shared" si="2"/>
        <v>0</v>
      </c>
      <c r="H32" s="277">
        <f t="shared" si="8"/>
        <v>31976.101040213245</v>
      </c>
      <c r="I32" s="299">
        <f t="shared" si="9"/>
        <v>2.3855917147759254E-2</v>
      </c>
      <c r="J32" s="299">
        <f t="shared" si="10"/>
        <v>2.0794274170513251E-2</v>
      </c>
      <c r="K32" s="119">
        <f t="shared" si="3"/>
        <v>0.43175004322462285</v>
      </c>
      <c r="L32" s="277">
        <f t="shared" si="4"/>
        <v>13805.683006266976</v>
      </c>
    </row>
    <row r="33" spans="1:21">
      <c r="A33" s="302" t="str">
        <f t="shared" si="0"/>
        <v>II</v>
      </c>
      <c r="B33" s="117">
        <v>13</v>
      </c>
      <c r="C33" s="277">
        <f t="shared" si="5"/>
        <v>1574419.9575747387</v>
      </c>
      <c r="D33" s="299">
        <f t="shared" si="1"/>
        <v>2.38559171477595E-2</v>
      </c>
      <c r="E33" s="299">
        <f t="shared" si="6"/>
        <v>3.152381864639775E-2</v>
      </c>
      <c r="F33" s="277">
        <f t="shared" si="7"/>
        <v>49631.729215855303</v>
      </c>
      <c r="G33" s="299">
        <f t="shared" si="2"/>
        <v>0</v>
      </c>
      <c r="H33" s="277">
        <f t="shared" si="8"/>
        <v>32738.920257336958</v>
      </c>
      <c r="I33" s="299">
        <f t="shared" si="9"/>
        <v>2.3855917147759476E-2</v>
      </c>
      <c r="J33" s="299">
        <f t="shared" si="10"/>
        <v>2.0794274170513251E-2</v>
      </c>
      <c r="K33" s="119">
        <f t="shared" si="3"/>
        <v>0.40256414286678116</v>
      </c>
      <c r="L33" s="277">
        <f t="shared" si="4"/>
        <v>13179.515371778751</v>
      </c>
      <c r="N33" s="275"/>
      <c r="O33" s="275"/>
      <c r="P33" s="275"/>
      <c r="Q33" s="275"/>
      <c r="R33" s="275"/>
      <c r="S33" s="275"/>
      <c r="T33" s="275"/>
      <c r="U33" s="275"/>
    </row>
    <row r="34" spans="1:21">
      <c r="A34" s="302" t="str">
        <f t="shared" si="0"/>
        <v>II</v>
      </c>
      <c r="B34" s="117">
        <v>14</v>
      </c>
      <c r="C34" s="277">
        <f t="shared" si="5"/>
        <v>1611979.1896384207</v>
      </c>
      <c r="D34" s="299">
        <f t="shared" si="1"/>
        <v>2.38559171477595E-2</v>
      </c>
      <c r="E34" s="299">
        <f t="shared" si="6"/>
        <v>3.152381864639775E-2</v>
      </c>
      <c r="F34" s="277">
        <f t="shared" si="7"/>
        <v>50815.739635928781</v>
      </c>
      <c r="G34" s="299">
        <f t="shared" si="2"/>
        <v>0</v>
      </c>
      <c r="H34" s="277">
        <f t="shared" si="8"/>
        <v>33519.937226503098</v>
      </c>
      <c r="I34" s="299">
        <f t="shared" si="9"/>
        <v>2.3855917147759698E-2</v>
      </c>
      <c r="J34" s="299">
        <f t="shared" si="10"/>
        <v>2.0794274170513254E-2</v>
      </c>
      <c r="K34" s="119">
        <f t="shared" si="3"/>
        <v>0.37535118216016894</v>
      </c>
      <c r="L34" s="277">
        <f t="shared" si="4"/>
        <v>12581.748063902593</v>
      </c>
      <c r="N34" s="275"/>
      <c r="O34" s="275"/>
      <c r="P34" s="275"/>
      <c r="Q34" s="275"/>
      <c r="R34" s="275"/>
      <c r="S34" s="275"/>
      <c r="T34" s="275"/>
      <c r="U34" s="275"/>
    </row>
    <row r="35" spans="1:21">
      <c r="A35" s="302" t="str">
        <f t="shared" si="0"/>
        <v>II</v>
      </c>
      <c r="B35" s="117">
        <v>15</v>
      </c>
      <c r="C35" s="277">
        <f t="shared" si="5"/>
        <v>1650434.4316303474</v>
      </c>
      <c r="D35" s="299">
        <f t="shared" si="1"/>
        <v>2.38559171477595E-2</v>
      </c>
      <c r="E35" s="299">
        <f t="shared" si="6"/>
        <v>3.152381864639775E-2</v>
      </c>
      <c r="F35" s="277">
        <f t="shared" si="7"/>
        <v>52027.995710485615</v>
      </c>
      <c r="G35" s="299">
        <f t="shared" si="2"/>
        <v>0</v>
      </c>
      <c r="H35" s="277">
        <f t="shared" si="8"/>
        <v>34319.586071776648</v>
      </c>
      <c r="I35" s="299">
        <f t="shared" si="9"/>
        <v>2.3855917147759254E-2</v>
      </c>
      <c r="J35" s="299">
        <f t="shared" si="10"/>
        <v>2.0794274170513251E-2</v>
      </c>
      <c r="K35" s="119">
        <f t="shared" si="3"/>
        <v>0.34997779222393377</v>
      </c>
      <c r="L35" s="277">
        <f t="shared" si="4"/>
        <v>12011.09296343966</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1683443.1202629544</v>
      </c>
      <c r="D51" s="301">
        <f>Terminal_Growth</f>
        <v>0.02</v>
      </c>
      <c r="E51" s="301">
        <f>F17</f>
        <v>3.152381864639775E-2</v>
      </c>
      <c r="F51" s="277">
        <f>C51*E51</f>
        <v>53068.555624695335</v>
      </c>
      <c r="G51" s="299">
        <f>F18</f>
        <v>0</v>
      </c>
      <c r="H51" s="277">
        <f>(F51*(1-$I$10)+C51*(G51-$I$9))/Equity_Cost</f>
        <v>482841.07300982339</v>
      </c>
      <c r="I51" s="415">
        <f>(F51*(1-$I$10)+C51*(G51-$I$9))/VLOOKUP(C15,B21:H50,COLUMN(H20)-1,FALSE)-1</f>
        <v>2.0000000000000462E-2</v>
      </c>
      <c r="J51" s="454"/>
      <c r="K51" s="119">
        <f>1/(1+Equity_Cost)^C15</f>
        <v>0.34997779222393377</v>
      </c>
      <c r="L51" s="277">
        <f t="shared" si="4"/>
        <v>168983.65272701322</v>
      </c>
    </row>
    <row r="52" spans="1:21" ht="13.15">
      <c r="G52" s="111"/>
      <c r="H52" s="111"/>
      <c r="I52" s="111"/>
      <c r="J52" s="468" t="s">
        <v>420</v>
      </c>
      <c r="K52" s="468"/>
      <c r="L52" s="317">
        <f>SUM(L21:L51)</f>
        <v>406539.38433226751</v>
      </c>
    </row>
    <row r="53" spans="1:21">
      <c r="C53" s="111"/>
    </row>
    <row r="54" spans="1:21" ht="13.15">
      <c r="B54" s="115" t="s">
        <v>108</v>
      </c>
      <c r="C54" s="128"/>
      <c r="D54" s="128"/>
      <c r="E54" s="113"/>
      <c r="F54" s="113"/>
      <c r="G54" s="113"/>
      <c r="H54" s="113"/>
      <c r="I54" s="113"/>
      <c r="J54" s="113"/>
      <c r="K54" s="113"/>
      <c r="L54" s="113"/>
    </row>
    <row r="55" spans="1:21" ht="13.15">
      <c r="A55" s="125">
        <f>L52</f>
        <v>406539.38433226751</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335881.27265561995</v>
      </c>
      <c r="C56" s="118">
        <v>339240.08538217616</v>
      </c>
      <c r="D56" s="118">
        <v>342598.89810873242</v>
      </c>
      <c r="E56" s="118">
        <v>345957.71083528857</v>
      </c>
      <c r="F56" s="118">
        <v>352675.33628840098</v>
      </c>
      <c r="G56" s="295"/>
      <c r="H56" s="295"/>
      <c r="I56" s="295"/>
      <c r="J56" s="295"/>
      <c r="K56" s="295"/>
      <c r="L56" s="295"/>
    </row>
    <row r="57" spans="1:21" ht="13.15">
      <c r="A57" s="131">
        <v>2</v>
      </c>
      <c r="B57" s="118">
        <v>335462.29123300221</v>
      </c>
      <c r="C57" s="118">
        <v>342005.29053327732</v>
      </c>
      <c r="D57" s="118">
        <v>348611.42599965032</v>
      </c>
      <c r="E57" s="118">
        <v>355280.69763212116</v>
      </c>
      <c r="F57" s="118">
        <v>368808.64939535683</v>
      </c>
      <c r="G57" s="295"/>
      <c r="H57" s="295"/>
      <c r="I57" s="295"/>
      <c r="J57" s="295"/>
      <c r="K57" s="295"/>
      <c r="L57" s="295"/>
    </row>
    <row r="58" spans="1:21" ht="13.15">
      <c r="A58" s="131">
        <v>3</v>
      </c>
      <c r="B58" s="118">
        <v>335071.63256389473</v>
      </c>
      <c r="C58" s="118">
        <v>344609.35319305555</v>
      </c>
      <c r="D58" s="118">
        <v>354329.63434346032</v>
      </c>
      <c r="E58" s="118">
        <v>364234.24206171342</v>
      </c>
      <c r="F58" s="118">
        <v>384603.50138818054</v>
      </c>
      <c r="G58" s="295"/>
      <c r="H58" s="295"/>
      <c r="I58" s="295"/>
      <c r="J58" s="295"/>
      <c r="K58" s="295"/>
      <c r="L58" s="295"/>
    </row>
    <row r="59" spans="1:21" ht="13.15">
      <c r="A59" s="131">
        <v>4</v>
      </c>
      <c r="B59" s="118">
        <v>334707.38205656834</v>
      </c>
      <c r="C59" s="118">
        <v>347061.66394958313</v>
      </c>
      <c r="D59" s="118">
        <v>359767.93039072014</v>
      </c>
      <c r="E59" s="118">
        <v>372832.9840313915</v>
      </c>
      <c r="F59" s="118">
        <v>400066.99284968642</v>
      </c>
      <c r="G59" s="295"/>
      <c r="H59" s="295"/>
      <c r="I59" s="295"/>
      <c r="J59" s="295"/>
      <c r="K59" s="295"/>
      <c r="L59" s="295"/>
    </row>
    <row r="60" spans="1:21" ht="13.15">
      <c r="A60" s="131">
        <v>5</v>
      </c>
      <c r="B60" s="118">
        <v>331862.93585441378</v>
      </c>
      <c r="C60" s="118">
        <v>346815.90060871071</v>
      </c>
      <c r="D60" s="118">
        <v>362334.00277740869</v>
      </c>
      <c r="E60" s="118">
        <v>378433.62116460834</v>
      </c>
      <c r="F60" s="118">
        <v>412444.512794243</v>
      </c>
      <c r="G60" s="295"/>
      <c r="H60" s="295"/>
      <c r="I60" s="295"/>
      <c r="J60" s="295"/>
      <c r="K60" s="295"/>
      <c r="L60" s="295"/>
    </row>
    <row r="61" spans="1:21" ht="13.15">
      <c r="A61" s="131">
        <v>6</v>
      </c>
      <c r="B61" s="118">
        <v>331546.26684494189</v>
      </c>
      <c r="C61" s="118">
        <v>348990.72226495814</v>
      </c>
      <c r="D61" s="118">
        <v>367252.90950586076</v>
      </c>
      <c r="E61" s="118">
        <v>386364.38038076699</v>
      </c>
      <c r="F61" s="118">
        <v>427265.99221355515</v>
      </c>
      <c r="G61" s="295"/>
      <c r="H61" s="295"/>
      <c r="I61" s="295"/>
      <c r="J61" s="295"/>
      <c r="K61" s="295"/>
      <c r="L61" s="295"/>
    </row>
    <row r="62" spans="1:21" ht="13.15">
      <c r="A62" s="131">
        <v>7</v>
      </c>
      <c r="B62" s="118">
        <v>328915.50908366649</v>
      </c>
      <c r="C62" s="118">
        <v>348632.54293834127</v>
      </c>
      <c r="D62" s="118">
        <v>369452.58431348647</v>
      </c>
      <c r="E62" s="118">
        <v>391428.8083346379</v>
      </c>
      <c r="F62" s="118">
        <v>439072.90377984883</v>
      </c>
      <c r="G62" s="295"/>
      <c r="H62" s="295"/>
      <c r="I62" s="295"/>
      <c r="J62" s="295"/>
      <c r="K62" s="295"/>
      <c r="L62" s="295"/>
    </row>
    <row r="63" spans="1:21" ht="13.15">
      <c r="A63" s="131">
        <v>8</v>
      </c>
      <c r="B63" s="118">
        <v>328640.20607229671</v>
      </c>
      <c r="C63" s="118">
        <v>350561.27453318192</v>
      </c>
      <c r="D63" s="118">
        <v>373901.70646368701</v>
      </c>
      <c r="E63" s="118">
        <v>398743.47622053081</v>
      </c>
      <c r="F63" s="118">
        <v>453279.02616326697</v>
      </c>
      <c r="G63" s="295"/>
      <c r="H63" s="295"/>
      <c r="I63" s="295"/>
      <c r="J63" s="295"/>
      <c r="K63" s="295"/>
      <c r="L63" s="295"/>
    </row>
    <row r="64" spans="1:21" ht="13.15">
      <c r="A64" s="131">
        <v>9</v>
      </c>
      <c r="B64" s="118">
        <v>326205.89530963835</v>
      </c>
      <c r="C64" s="118">
        <v>350111.57118161034</v>
      </c>
      <c r="D64" s="118">
        <v>375775.91568596452</v>
      </c>
      <c r="E64" s="118">
        <v>403317.35725301254</v>
      </c>
      <c r="F64" s="118">
        <v>464540.20974460174</v>
      </c>
      <c r="G64" s="295"/>
      <c r="H64" s="295"/>
      <c r="I64" s="295"/>
      <c r="J64" s="295"/>
      <c r="K64" s="295"/>
      <c r="L64" s="295"/>
    </row>
    <row r="65" spans="1:21" ht="13.15">
      <c r="A65" s="131">
        <v>10</v>
      </c>
      <c r="B65" s="118">
        <v>325966.55471803562</v>
      </c>
      <c r="C65" s="118">
        <v>351822.05882286152</v>
      </c>
      <c r="D65" s="118">
        <v>379800.12045344012</v>
      </c>
      <c r="E65" s="118">
        <v>410063.79411014233</v>
      </c>
      <c r="F65" s="118">
        <v>478156.52343793615</v>
      </c>
      <c r="G65" s="295"/>
      <c r="H65" s="295"/>
      <c r="I65" s="295"/>
      <c r="J65" s="295"/>
      <c r="K65" s="295"/>
      <c r="L65" s="295"/>
    </row>
    <row r="66" spans="1:21" ht="13.15">
      <c r="A66" s="131">
        <v>15</v>
      </c>
      <c r="B66" s="118">
        <v>319302.98988067359</v>
      </c>
      <c r="C66" s="277">
        <v>352954.40457184298</v>
      </c>
      <c r="D66" s="118">
        <v>390750.83689731208</v>
      </c>
      <c r="E66" s="118">
        <v>433206.25078271062</v>
      </c>
      <c r="F66" s="118">
        <v>534459.04101677751</v>
      </c>
      <c r="G66" s="295"/>
      <c r="H66" s="295"/>
      <c r="I66" s="295"/>
      <c r="J66" s="295"/>
      <c r="K66" s="295"/>
      <c r="L66" s="295"/>
      <c r="M66" s="275"/>
      <c r="N66" s="275"/>
      <c r="O66" s="275"/>
      <c r="P66" s="275"/>
      <c r="Q66" s="275"/>
      <c r="R66" s="275"/>
      <c r="S66" s="275"/>
      <c r="T66" s="275"/>
      <c r="U66" s="275"/>
    </row>
    <row r="67" spans="1:21" ht="13.15">
      <c r="A67" s="132">
        <v>20</v>
      </c>
      <c r="B67" s="118">
        <v>315435.56851623469</v>
      </c>
      <c r="C67" s="277">
        <v>354803.22478163568</v>
      </c>
      <c r="D67" s="118">
        <v>400489.47791872779</v>
      </c>
      <c r="E67" s="118">
        <v>453568.72641554428</v>
      </c>
      <c r="F67" s="118">
        <v>587132.51263309864</v>
      </c>
      <c r="G67" s="295"/>
      <c r="H67" s="295"/>
      <c r="I67" s="295"/>
      <c r="J67" s="295"/>
      <c r="K67" s="295"/>
      <c r="L67" s="295"/>
      <c r="M67" s="275"/>
      <c r="N67" s="275"/>
      <c r="O67" s="275"/>
      <c r="P67" s="275"/>
      <c r="Q67" s="275"/>
      <c r="R67" s="275"/>
      <c r="S67" s="275"/>
      <c r="T67" s="275"/>
      <c r="U67" s="275"/>
    </row>
    <row r="68" spans="1:21" ht="13.15">
      <c r="A68" s="132">
        <v>25</v>
      </c>
      <c r="B68" s="118">
        <v>310942.50449930388</v>
      </c>
      <c r="C68" s="277">
        <v>354264.97958038311</v>
      </c>
      <c r="D68" s="118">
        <v>406013.43240071903</v>
      </c>
      <c r="E68" s="118">
        <v>467999.80875472003</v>
      </c>
      <c r="F68" s="118">
        <v>631989.5981761358</v>
      </c>
      <c r="G68" s="295"/>
      <c r="H68" s="295"/>
      <c r="I68" s="295"/>
      <c r="J68" s="295"/>
      <c r="K68" s="295"/>
      <c r="L68" s="295"/>
      <c r="M68" s="275"/>
      <c r="N68" s="275"/>
      <c r="O68" s="275"/>
      <c r="P68" s="275"/>
      <c r="Q68" s="275"/>
      <c r="R68" s="275"/>
      <c r="S68" s="275"/>
      <c r="T68" s="275"/>
      <c r="U68" s="275"/>
    </row>
    <row r="69" spans="1:21" ht="13.15">
      <c r="A69" s="132">
        <v>30</v>
      </c>
      <c r="B69" s="118">
        <v>308360.02611143579</v>
      </c>
      <c r="C69" s="277">
        <v>354614.49004356016</v>
      </c>
      <c r="D69" s="118">
        <v>411259.3275759751</v>
      </c>
      <c r="E69" s="118">
        <v>480978.93783483584</v>
      </c>
      <c r="F69" s="118">
        <v>674164.27333690226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166.32301654396133</v>
      </c>
      <c r="C73" s="119">
        <f>C11</f>
        <v>166.32301654396133</v>
      </c>
      <c r="D73" s="119">
        <f>C11</f>
        <v>166.32301654396133</v>
      </c>
      <c r="E73" s="119">
        <f>C11</f>
        <v>166.32301654396133</v>
      </c>
      <c r="F73" s="119">
        <f>C11</f>
        <v>166.32301654396133</v>
      </c>
      <c r="G73" s="296"/>
      <c r="H73" s="296"/>
      <c r="I73" s="296"/>
      <c r="J73" s="296"/>
      <c r="K73" s="296"/>
      <c r="L73" s="296"/>
    </row>
    <row r="74" spans="1:21" ht="13.15">
      <c r="A74" s="131">
        <v>1</v>
      </c>
      <c r="B74" s="119">
        <f t="shared" ref="B74:F87" si="11">(B56+FV_adjustments)/Common_Shares*scaling_factor*Exchange_Rate</f>
        <v>136.79331644709498</v>
      </c>
      <c r="C74" s="119">
        <f t="shared" si="11"/>
        <v>138.0931136696116</v>
      </c>
      <c r="D74" s="119">
        <f t="shared" si="11"/>
        <v>139.39291089212824</v>
      </c>
      <c r="E74" s="119">
        <f t="shared" si="11"/>
        <v>140.6927081146448</v>
      </c>
      <c r="F74" s="119">
        <f t="shared" si="11"/>
        <v>143.29230255967803</v>
      </c>
      <c r="G74" s="296"/>
      <c r="H74" s="296"/>
      <c r="I74" s="296"/>
      <c r="J74" s="296"/>
      <c r="K74" s="296"/>
      <c r="L74" s="296"/>
    </row>
    <row r="75" spans="1:21" ht="13.15">
      <c r="A75" s="131">
        <v>2</v>
      </c>
      <c r="B75" s="119">
        <f t="shared" si="11"/>
        <v>136.63117853297467</v>
      </c>
      <c r="C75" s="119">
        <f t="shared" si="11"/>
        <v>139.16319594799305</v>
      </c>
      <c r="D75" s="119">
        <f t="shared" si="11"/>
        <v>141.7196458693806</v>
      </c>
      <c r="E75" s="119">
        <f t="shared" si="11"/>
        <v>144.30052829713728</v>
      </c>
      <c r="F75" s="119">
        <f t="shared" si="11"/>
        <v>149.53559067175823</v>
      </c>
      <c r="G75" s="296"/>
      <c r="H75" s="296"/>
      <c r="I75" s="296"/>
      <c r="J75" s="296"/>
      <c r="K75" s="296"/>
      <c r="L75" s="296"/>
    </row>
    <row r="76" spans="1:21" ht="13.15">
      <c r="A76" s="131">
        <v>3</v>
      </c>
      <c r="B76" s="119">
        <f t="shared" si="11"/>
        <v>136.48000099067133</v>
      </c>
      <c r="C76" s="119">
        <f t="shared" si="11"/>
        <v>140.17091911924271</v>
      </c>
      <c r="D76" s="119">
        <f t="shared" si="11"/>
        <v>143.93248472886535</v>
      </c>
      <c r="E76" s="119">
        <f t="shared" si="11"/>
        <v>147.76538124629096</v>
      </c>
      <c r="F76" s="119">
        <f t="shared" si="11"/>
        <v>155.64790071155696</v>
      </c>
      <c r="G76" s="296"/>
      <c r="H76" s="296"/>
      <c r="I76" s="296"/>
      <c r="J76" s="296"/>
      <c r="K76" s="296"/>
      <c r="L76" s="296"/>
    </row>
    <row r="77" spans="1:21" ht="13.15">
      <c r="A77" s="131">
        <v>4</v>
      </c>
      <c r="B77" s="119">
        <f t="shared" si="11"/>
        <v>136.33904290926958</v>
      </c>
      <c r="C77" s="119">
        <f t="shared" si="11"/>
        <v>141.11991716396264</v>
      </c>
      <c r="D77" s="119">
        <f t="shared" si="11"/>
        <v>146.03700280501869</v>
      </c>
      <c r="E77" s="119">
        <f t="shared" si="11"/>
        <v>151.09293233032651</v>
      </c>
      <c r="F77" s="119">
        <f t="shared" si="11"/>
        <v>161.63198047080053</v>
      </c>
      <c r="G77" s="296"/>
      <c r="H77" s="296"/>
      <c r="I77" s="296"/>
      <c r="J77" s="296"/>
      <c r="K77" s="296"/>
      <c r="L77" s="296"/>
    </row>
    <row r="78" spans="1:21" ht="13.15">
      <c r="A78" s="131">
        <v>5</v>
      </c>
      <c r="B78" s="119">
        <f t="shared" si="11"/>
        <v>135.23829583756572</v>
      </c>
      <c r="C78" s="119">
        <f t="shared" si="11"/>
        <v>141.02481138288209</v>
      </c>
      <c r="D78" s="119">
        <f t="shared" si="11"/>
        <v>147.03002445657535</v>
      </c>
      <c r="E78" s="119">
        <f t="shared" si="11"/>
        <v>153.26027334714544</v>
      </c>
      <c r="F78" s="119">
        <f t="shared" si="11"/>
        <v>166.42184741347879</v>
      </c>
      <c r="G78" s="296"/>
      <c r="H78" s="296"/>
      <c r="I78" s="296"/>
      <c r="J78" s="296"/>
      <c r="K78" s="296"/>
      <c r="L78" s="296"/>
    </row>
    <row r="79" spans="1:21" ht="13.15">
      <c r="A79" s="131">
        <v>6</v>
      </c>
      <c r="B79" s="119">
        <f t="shared" si="11"/>
        <v>135.11575089907768</v>
      </c>
      <c r="C79" s="119">
        <f t="shared" si="11"/>
        <v>141.86642637555769</v>
      </c>
      <c r="D79" s="119">
        <f t="shared" si="11"/>
        <v>148.93354865514405</v>
      </c>
      <c r="E79" s="119">
        <f t="shared" si="11"/>
        <v>156.32932769486436</v>
      </c>
      <c r="F79" s="119">
        <f t="shared" si="11"/>
        <v>172.15748061222556</v>
      </c>
      <c r="G79" s="296"/>
      <c r="H79" s="296"/>
      <c r="I79" s="296"/>
      <c r="J79" s="296"/>
      <c r="K79" s="296"/>
      <c r="L79" s="296"/>
    </row>
    <row r="80" spans="1:21" ht="13.15">
      <c r="A80" s="131">
        <f t="shared" ref="A80" si="12">A62</f>
        <v>7</v>
      </c>
      <c r="B80" s="119">
        <f t="shared" si="11"/>
        <v>134.09769722666417</v>
      </c>
      <c r="C80" s="119">
        <f t="shared" si="11"/>
        <v>141.7278177266686</v>
      </c>
      <c r="D80" s="119">
        <f t="shared" si="11"/>
        <v>149.78478134900226</v>
      </c>
      <c r="E80" s="119">
        <f t="shared" si="11"/>
        <v>158.28916586506989</v>
      </c>
      <c r="F80" s="119">
        <f t="shared" si="11"/>
        <v>176.72653286662219</v>
      </c>
      <c r="G80" s="296"/>
      <c r="H80" s="296"/>
      <c r="I80" s="296"/>
      <c r="J80" s="296"/>
      <c r="K80" s="296"/>
      <c r="L80" s="296"/>
    </row>
    <row r="81" spans="1:12" ht="13.15">
      <c r="A81" s="131">
        <v>8</v>
      </c>
      <c r="B81" s="119">
        <f t="shared" si="11"/>
        <v>133.99116014982755</v>
      </c>
      <c r="C81" s="119">
        <f t="shared" si="11"/>
        <v>142.47420050357451</v>
      </c>
      <c r="D81" s="119">
        <f t="shared" si="11"/>
        <v>151.50650776969408</v>
      </c>
      <c r="E81" s="119">
        <f t="shared" si="11"/>
        <v>161.11980447928735</v>
      </c>
      <c r="F81" s="119">
        <f t="shared" si="11"/>
        <v>182.22403448995036</v>
      </c>
      <c r="G81" s="296"/>
      <c r="H81" s="296"/>
      <c r="I81" s="296"/>
      <c r="J81" s="296"/>
      <c r="K81" s="296"/>
      <c r="L81" s="296"/>
    </row>
    <row r="82" spans="1:12" ht="13.15">
      <c r="A82" s="131">
        <f t="shared" ref="A82" si="13">A64</f>
        <v>9</v>
      </c>
      <c r="B82" s="119">
        <f t="shared" si="11"/>
        <v>133.04912776349389</v>
      </c>
      <c r="C82" s="119">
        <f t="shared" si="11"/>
        <v>142.30017378195717</v>
      </c>
      <c r="D82" s="119">
        <f t="shared" si="11"/>
        <v>152.23179141598686</v>
      </c>
      <c r="E82" s="119">
        <f t="shared" si="11"/>
        <v>162.88981023612411</v>
      </c>
      <c r="F82" s="119">
        <f t="shared" si="11"/>
        <v>186.5819002993598</v>
      </c>
      <c r="G82" s="296"/>
      <c r="H82" s="296"/>
      <c r="I82" s="296"/>
      <c r="J82" s="296"/>
      <c r="K82" s="296"/>
      <c r="L82" s="296"/>
    </row>
    <row r="83" spans="1:12" ht="13.15">
      <c r="A83" s="131">
        <f t="shared" ref="A83:A87" si="14">A65</f>
        <v>10</v>
      </c>
      <c r="B83" s="119">
        <f t="shared" si="11"/>
        <v>132.95650746533289</v>
      </c>
      <c r="C83" s="119">
        <f t="shared" si="11"/>
        <v>142.96210026201041</v>
      </c>
      <c r="D83" s="119">
        <f t="shared" si="11"/>
        <v>153.78908281787039</v>
      </c>
      <c r="E83" s="119">
        <f t="shared" si="11"/>
        <v>165.50055415151112</v>
      </c>
      <c r="F83" s="119">
        <f t="shared" si="11"/>
        <v>191.8511570755949</v>
      </c>
      <c r="G83" s="296"/>
      <c r="H83" s="296"/>
      <c r="I83" s="296"/>
      <c r="J83" s="296"/>
      <c r="K83" s="296"/>
      <c r="L83" s="296"/>
    </row>
    <row r="84" spans="1:12" ht="13.15">
      <c r="A84" s="131">
        <f t="shared" si="14"/>
        <v>15</v>
      </c>
      <c r="B84" s="119">
        <f t="shared" si="11"/>
        <v>130.37783345972883</v>
      </c>
      <c r="C84" s="119">
        <f t="shared" si="11"/>
        <v>143.4002967258435</v>
      </c>
      <c r="D84" s="119">
        <f t="shared" si="11"/>
        <v>158.02680369637426</v>
      </c>
      <c r="E84" s="119">
        <f t="shared" si="11"/>
        <v>174.45624872399679</v>
      </c>
      <c r="F84" s="119">
        <f t="shared" si="11"/>
        <v>213.63917025985603</v>
      </c>
      <c r="G84" s="296"/>
      <c r="H84" s="296"/>
      <c r="I84" s="296"/>
      <c r="J84" s="296"/>
      <c r="K84" s="296"/>
      <c r="L84" s="296"/>
    </row>
    <row r="85" spans="1:12" ht="13.15">
      <c r="A85" s="132">
        <f t="shared" si="14"/>
        <v>20</v>
      </c>
      <c r="B85" s="119">
        <f t="shared" si="11"/>
        <v>128.88121427996492</v>
      </c>
      <c r="C85" s="119">
        <f t="shared" si="11"/>
        <v>144.11575530280473</v>
      </c>
      <c r="D85" s="119">
        <f t="shared" si="11"/>
        <v>161.79547423005448</v>
      </c>
      <c r="E85" s="119">
        <f t="shared" si="11"/>
        <v>182.33614302767717</v>
      </c>
      <c r="F85" s="119">
        <f t="shared" si="11"/>
        <v>234.02281105229721</v>
      </c>
      <c r="G85" s="296"/>
      <c r="H85" s="296"/>
      <c r="I85" s="296"/>
      <c r="J85" s="296"/>
      <c r="K85" s="296"/>
      <c r="L85" s="296"/>
    </row>
    <row r="86" spans="1:12" ht="13.15">
      <c r="A86" s="132">
        <f t="shared" si="14"/>
        <v>25</v>
      </c>
      <c r="B86" s="119">
        <f t="shared" si="11"/>
        <v>127.1424831850093</v>
      </c>
      <c r="C86" s="119">
        <f t="shared" si="11"/>
        <v>143.90746455408583</v>
      </c>
      <c r="D86" s="119">
        <f t="shared" si="11"/>
        <v>163.93314050606685</v>
      </c>
      <c r="E86" s="119">
        <f t="shared" si="11"/>
        <v>187.92069991412234</v>
      </c>
      <c r="F86" s="119">
        <f t="shared" si="11"/>
        <v>251.3816577477514</v>
      </c>
      <c r="G86" s="296"/>
      <c r="H86" s="296"/>
      <c r="I86" s="296"/>
      <c r="J86" s="296"/>
      <c r="K86" s="296"/>
      <c r="L86" s="296"/>
    </row>
    <row r="87" spans="1:12" ht="13.15">
      <c r="A87" s="132">
        <f t="shared" si="14"/>
        <v>30</v>
      </c>
      <c r="B87" s="119">
        <f t="shared" si="11"/>
        <v>126.14311272019576</v>
      </c>
      <c r="C87" s="119">
        <f t="shared" si="11"/>
        <v>144.04271851620351</v>
      </c>
      <c r="D87" s="119">
        <f t="shared" si="11"/>
        <v>165.9632030708834</v>
      </c>
      <c r="E87" s="119">
        <f t="shared" si="11"/>
        <v>192.94337825389277</v>
      </c>
      <c r="F87" s="119">
        <f t="shared" si="11"/>
        <v>267.70246217995032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213.63917025985603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174.45624872399679</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158.02680369637426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143.4002967258435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130.37783345972883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39570</v>
      </c>
      <c r="D7" s="469"/>
      <c r="E7" s="469"/>
      <c r="F7" s="469"/>
      <c r="G7" s="469"/>
    </row>
    <row r="8" spans="2:7">
      <c r="B8" s="97" t="s">
        <v>63</v>
      </c>
      <c r="C8" s="447">
        <f>Normalized_FCF!G19</f>
        <v>28822</v>
      </c>
      <c r="D8" s="469"/>
      <c r="E8" s="469"/>
      <c r="F8" s="469"/>
      <c r="G8" s="469"/>
    </row>
    <row r="9" spans="2:7">
      <c r="B9" s="97" t="s">
        <v>54</v>
      </c>
      <c r="C9" s="447">
        <f>Normalized_FCF!C19</f>
        <v>21215.616647290408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5.2429405031766629E-2</v>
      </c>
      <c r="D12" s="469"/>
      <c r="E12" s="469"/>
      <c r="F12" s="469"/>
      <c r="G12" s="469"/>
    </row>
    <row r="13" spans="2:7">
      <c r="B13" s="135" t="s">
        <v>127</v>
      </c>
      <c r="C13" s="249">
        <f ca="1">(Normalized_FCF!G8/OFFSET(Normalized_FCF!G8, 0, $C$4))^(1/$C$4) - 1</f>
        <v>0.46870983906455255</v>
      </c>
      <c r="D13" s="469"/>
      <c r="E13" s="469"/>
      <c r="F13" s="469"/>
      <c r="G13" s="469"/>
    </row>
    <row r="14" spans="2:7">
      <c r="B14" s="97" t="s">
        <v>63</v>
      </c>
      <c r="C14" s="249">
        <f ca="1">(Normalized_FCF!G19/OFFSET(Normalized_FCF!G19, 0, $C$4))^(1/$C$4) - 1</f>
        <v>0.70910794408317734</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174.45624872399679</v>
      </c>
      <c r="F22" s="328">
        <f>1-F23-F24</f>
        <v>0.19999999999999996</v>
      </c>
      <c r="G22" s="328">
        <f>F22*(1-F$29-F$30)</f>
        <v>0.15999999999999995</v>
      </c>
    </row>
    <row r="23" spans="2:7">
      <c r="B23" s="302" t="s">
        <v>437</v>
      </c>
      <c r="C23" s="324">
        <v>0.02</v>
      </c>
      <c r="D23" s="325">
        <f>C18</f>
        <v>15</v>
      </c>
      <c r="E23" s="326">
        <f>DCF!E92</f>
        <v>158.02680369637426</v>
      </c>
      <c r="F23" s="327">
        <v>0.55000000000000004</v>
      </c>
      <c r="G23" s="328">
        <f t="shared" ref="G23:G24" si="0">F23*(1-F$29-F$30)</f>
        <v>0.44</v>
      </c>
    </row>
    <row r="24" spans="2:7">
      <c r="B24" s="302" t="s">
        <v>446</v>
      </c>
      <c r="C24" s="324">
        <v>0.01</v>
      </c>
      <c r="D24" s="325">
        <f>C18</f>
        <v>15</v>
      </c>
      <c r="E24" s="326">
        <f>DCF!E93</f>
        <v>143.4002967258435</v>
      </c>
      <c r="F24" s="327">
        <v>0.25</v>
      </c>
      <c r="G24" s="328">
        <f t="shared" si="0"/>
        <v>0.19999999999999998</v>
      </c>
    </row>
    <row r="25" spans="2:7">
      <c r="B25" s="141" t="s">
        <v>451</v>
      </c>
      <c r="C25" s="441">
        <f>E23*F23+E24*F24+E22*F22</f>
        <v>157.65606595926607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213.63917025985603</v>
      </c>
      <c r="F29" s="327">
        <v>0.15</v>
      </c>
      <c r="G29" s="328">
        <f>F29</f>
        <v>0.15</v>
      </c>
    </row>
    <row r="30" spans="2:7">
      <c r="B30" s="315" t="s">
        <v>447</v>
      </c>
      <c r="C30" s="324">
        <v>0</v>
      </c>
      <c r="D30" s="325">
        <f>C18</f>
        <v>15</v>
      </c>
      <c r="E30" s="326">
        <f>DCF!E94</f>
        <v>130.37783345972883</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115.7</v>
      </c>
      <c r="D34" t="str">
        <f>Market_currency</f>
        <v>HKD</v>
      </c>
      <c r="E34" s="97" t="s">
        <v>454</v>
      </c>
      <c r="F34" s="330">
        <f>RATE(Holding_Period,$C$33,-C34,$C$36)</f>
        <v>0.1520364330127415</v>
      </c>
    </row>
    <row r="35" spans="2:7">
      <c r="B35" s="97" t="s">
        <v>434</v>
      </c>
      <c r="C35" s="320">
        <f>DCF!C11</f>
        <v>166.32301654396133</v>
      </c>
      <c r="D35" s="97" t="str">
        <f>Market_currency</f>
        <v>HKD</v>
      </c>
      <c r="E35" s="97" t="s">
        <v>454</v>
      </c>
      <c r="F35" s="330">
        <f>RATE(Holding_Period,$C$33,-C35,$C$36)</f>
        <v>1.7887835002344692E-2</v>
      </c>
    </row>
    <row r="36" spans="2:7">
      <c r="B36" s="97" t="s">
        <v>435</v>
      </c>
      <c r="C36" s="321">
        <f>E22*G22+E23*G23+E24*G24+E30*G30+E29*G29</f>
        <v>164.68961997937771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3.152381864639775E-2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164.13667399109832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4.1372335404546691E-2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6.4227790321465204</v>
      </c>
      <c r="D62" s="119">
        <f>C36/(1+F62)^Holding_Period</f>
        <v>75.893834091879143</v>
      </c>
      <c r="E62" s="332">
        <f>C62+D62</f>
        <v>82.316613124025665</v>
      </c>
      <c r="F62" s="301">
        <f>Thesis!E22</f>
        <v>0.29465259038036601</v>
      </c>
      <c r="G62" s="440">
        <f>(1-E62/C36)</f>
        <v>0.50017121216058857</v>
      </c>
    </row>
    <row r="63" spans="2:7" ht="13.15">
      <c r="B63" s="302" t="s">
        <v>313</v>
      </c>
      <c r="C63" s="119">
        <f>PV(F63, Holding_Period, -C58, 0)</f>
        <v>7.3850538549144664</v>
      </c>
      <c r="D63" s="119">
        <f>C36/(1+F63)^Holding_Period</f>
        <v>95.127578327438428</v>
      </c>
      <c r="E63" s="332">
        <f>C63+D63</f>
        <v>102.51263218235289</v>
      </c>
      <c r="F63" s="301">
        <f>Thesis!E23</f>
        <v>0.20075184365903001</v>
      </c>
      <c r="G63" s="440">
        <f>(1-E63/C36)</f>
        <v>0.37754041696623364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118.04299674187726</v>
      </c>
      <c r="E66" s="332">
        <f>C66+D66</f>
        <v>126.51123371392191</v>
      </c>
      <c r="F66" s="301">
        <f>Thesis!E24</f>
        <v>0.1174</v>
      </c>
      <c r="G66" s="440">
        <f>(1-E66/C36)</f>
        <v>0.23182023414855446</v>
      </c>
    </row>
    <row r="67" spans="2:7" ht="13.15">
      <c r="B67" s="302" t="s">
        <v>314</v>
      </c>
      <c r="C67" s="119">
        <f>PV(F67, Holding_Period, -C58, 0)</f>
        <v>9.1694370473772864</v>
      </c>
      <c r="D67" s="119">
        <f>C36/(1+F67)^Holding_Period</f>
        <v>133.49786643239455</v>
      </c>
      <c r="E67" s="332">
        <f>C67+D67</f>
        <v>142.66730347977182</v>
      </c>
      <c r="F67" s="301">
        <f>Thesis!E25</f>
        <v>7.2499999999999995E-2</v>
      </c>
      <c r="G67" s="440">
        <f>(1-E67/C36)</f>
        <v>0.1337201245735069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115.7</v>
      </c>
    </row>
    <row r="9" spans="1:10">
      <c r="B9" s="351" t="s">
        <v>361</v>
      </c>
      <c r="C9" s="353">
        <f>Common_Shares</f>
        <v>2584105173</v>
      </c>
    </row>
    <row r="10" spans="1:10">
      <c r="B10" s="351" t="s">
        <v>367</v>
      </c>
      <c r="C10" s="357">
        <f>投资主题!C8*Common_Shares/1000000</f>
        <v>298980.96851610002</v>
      </c>
      <c r="D10" s="343" t="s">
        <v>529</v>
      </c>
      <c r="E10" s="360">
        <f>Scenarios!F34</f>
        <v>0.1520364330127415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CNY</v>
      </c>
    </row>
    <row r="18" spans="1:6">
      <c r="B18" s="343" t="str">
        <f>"预期股权价值 ("&amp;C7&amp;") :"</f>
        <v>预期股权价值 (HKD) :</v>
      </c>
      <c r="C18" s="359">
        <f>C125</f>
        <v>164.68961997937771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82.316613124025665</v>
      </c>
      <c r="D22" s="365" t="s">
        <v>440</v>
      </c>
      <c r="E22" s="366">
        <f>Thesis!E22</f>
        <v>0.29465259038036601</v>
      </c>
    </row>
    <row r="23" spans="1:6">
      <c r="B23" s="343" t="s">
        <v>341</v>
      </c>
      <c r="C23" s="367">
        <f>E141</f>
        <v>102.51263218235289</v>
      </c>
      <c r="D23" s="365" t="s">
        <v>441</v>
      </c>
      <c r="E23" s="368">
        <f>Thesis!E23</f>
        <v>0.20075184365903001</v>
      </c>
    </row>
    <row r="24" spans="1:6">
      <c r="B24" s="343" t="s">
        <v>343</v>
      </c>
      <c r="C24" s="367">
        <f>E144</f>
        <v>126.51123371392191</v>
      </c>
      <c r="D24" s="365" t="s">
        <v>443</v>
      </c>
      <c r="E24" s="368">
        <f>Thesis!E24</f>
        <v>0.1174</v>
      </c>
    </row>
    <row r="25" spans="1:6">
      <c r="B25" s="343" t="s">
        <v>342</v>
      </c>
      <c r="C25" s="367">
        <f>E145</f>
        <v>142.66730347977182</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38849.138260430074</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565.023935957135</v>
      </c>
      <c r="D44" s="343" t="str">
        <f>Reporting_currency</f>
        <v>CNY</v>
      </c>
      <c r="E44" s="371"/>
      <c r="F44" s="371"/>
    </row>
    <row r="45" spans="2:6">
      <c r="B45" s="372" t="s">
        <v>268</v>
      </c>
      <c r="C45" s="376">
        <f>Normalized_FCF!C45</f>
        <v>-6725.34</v>
      </c>
      <c r="D45" s="343" t="str">
        <f>Reporting_currency</f>
        <v>CNY</v>
      </c>
      <c r="E45" s="371"/>
      <c r="F45" s="371"/>
    </row>
    <row r="46" spans="2:6">
      <c r="B46" s="372" t="s">
        <v>203</v>
      </c>
      <c r="C46" s="373">
        <f>Normalized_FCF!C10</f>
        <v>-6160.316064042865</v>
      </c>
      <c r="D46" s="343" t="str">
        <f>Reporting_currency</f>
        <v>CNY</v>
      </c>
    </row>
    <row r="48" spans="2:6">
      <c r="B48" s="343" t="s">
        <v>505</v>
      </c>
    </row>
    <row r="49" spans="2:6">
      <c r="B49" s="372" t="s">
        <v>223</v>
      </c>
      <c r="C49" s="373">
        <f>Normalized_FCF!C13</f>
        <v>-3301</v>
      </c>
      <c r="D49" s="343" t="str">
        <f>Reporting_currency</f>
        <v>CNY</v>
      </c>
    </row>
    <row r="51" spans="2:6">
      <c r="B51" s="470" t="s">
        <v>506</v>
      </c>
      <c r="C51" s="470"/>
      <c r="D51" s="470"/>
      <c r="E51" s="470"/>
      <c r="F51" s="470"/>
    </row>
    <row r="52" spans="2:6">
      <c r="B52" s="372" t="s">
        <v>496</v>
      </c>
      <c r="C52" s="373">
        <f>Normalized_FCF!C12</f>
        <v>-8172.2055490968023</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28822</v>
      </c>
      <c r="D60" s="343" t="str">
        <f>Reporting_currency</f>
        <v>CNY</v>
      </c>
    </row>
    <row r="61" spans="2:6">
      <c r="B61" s="372" t="s">
        <v>213</v>
      </c>
      <c r="C61" s="373">
        <f>Normalized_FCF!C19</f>
        <v>21215.616647290408</v>
      </c>
      <c r="D61" s="343" t="str">
        <f>Reporting_currency</f>
        <v>CNY</v>
      </c>
    </row>
    <row r="62" spans="2:6">
      <c r="B62" s="377" t="s">
        <v>302</v>
      </c>
      <c r="C62" s="378">
        <f>Normalized_FCF!C124</f>
        <v>7.0959756243307359E-2</v>
      </c>
      <c r="F62" s="379"/>
    </row>
    <row r="63" spans="2:6">
      <c r="B63" s="377" t="s">
        <v>332</v>
      </c>
      <c r="C63" s="378">
        <f>Normalized_FCF!C92</f>
        <v>3.033707865168539E-2</v>
      </c>
      <c r="E63" s="372" t="s">
        <v>373</v>
      </c>
      <c r="F63" s="380">
        <f>Normalized_FCF!C90</f>
        <v>0.47502791656952054</v>
      </c>
    </row>
    <row r="65" spans="1:6">
      <c r="B65" s="369" t="s">
        <v>376</v>
      </c>
      <c r="C65" s="381" t="s">
        <v>327</v>
      </c>
      <c r="D65" s="381" t="s">
        <v>374</v>
      </c>
    </row>
    <row r="66" spans="1:6">
      <c r="B66" s="372" t="s">
        <v>326</v>
      </c>
      <c r="C66" s="378">
        <f>Normalized_FCF!E119</f>
        <v>0.12</v>
      </c>
      <c r="D66" s="378">
        <f>Normalized_FCF!G119</f>
        <v>0.12811576111950596</v>
      </c>
    </row>
    <row r="67" spans="1:6">
      <c r="B67" s="382" t="str">
        <f>Normalized_FCF!B116</f>
        <v>Pre-tax Profit/Sales</v>
      </c>
      <c r="C67" s="383">
        <f>Normalized_FCF!E116</f>
        <v>3.152381864639775E-2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-112089</v>
      </c>
      <c r="D78" s="343" t="str">
        <f>Reporting_currency</f>
        <v>CNY</v>
      </c>
    </row>
    <row r="79" spans="1:6">
      <c r="B79" s="372" t="s">
        <v>234</v>
      </c>
      <c r="C79" s="387">
        <f>C78*scaling_factor*Exchange_Rate/Common_Shares</f>
        <v>-43.376330488078011</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31164.344007144173</v>
      </c>
      <c r="D84" s="343" t="str">
        <f>Reporting_currency</f>
        <v>CNY</v>
      </c>
    </row>
    <row r="85" spans="1:6">
      <c r="B85" s="382" t="s">
        <v>481</v>
      </c>
      <c r="C85" s="390">
        <f>BS!C66</f>
        <v>125335</v>
      </c>
      <c r="D85" s="391" t="str">
        <f>Reporting_currency</f>
        <v>CNY</v>
      </c>
    </row>
    <row r="86" spans="1:6">
      <c r="B86" s="372" t="s">
        <v>235</v>
      </c>
      <c r="C86" s="387">
        <f>C84*scaling_factor*Exchange_Rate/Common_Shares</f>
        <v>12.060013784564399</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38.129910898947763</v>
      </c>
      <c r="D90" s="343" t="str">
        <f>Market_currency</f>
        <v>HKD</v>
      </c>
    </row>
    <row r="92" spans="1:6">
      <c r="B92" s="372" t="s">
        <v>480</v>
      </c>
      <c r="C92" s="387">
        <f>DCF!F8</f>
        <v>6.8135941954341535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-67.151814025643745</v>
      </c>
      <c r="D111" s="343" t="str">
        <f>Market_currency</f>
        <v>HKD</v>
      </c>
    </row>
    <row r="112" spans="1:6">
      <c r="A112" s="385"/>
      <c r="B112" s="372" t="s">
        <v>377</v>
      </c>
      <c r="C112" s="394">
        <f>DCF!C11</f>
        <v>166.32301654396133</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213.64 HKD</v>
      </c>
      <c r="F118" s="399">
        <f>DCF!F90</f>
        <v>0.15</v>
      </c>
    </row>
    <row r="119" spans="1:6">
      <c r="A119" s="385"/>
      <c r="B119" s="400" t="str">
        <f>DCF!B91</f>
        <v>Optimistic</v>
      </c>
      <c r="C119" s="401">
        <f>DCF!C91</f>
        <v>0.03</v>
      </c>
      <c r="D119" s="402">
        <f>DCF!D91</f>
        <v>15</v>
      </c>
      <c r="E119" s="398" t="str">
        <f>ROUND(DCF!E91,2)&amp;" "&amp;Market_currency</f>
        <v>174.46 HKD</v>
      </c>
      <c r="F119" s="403">
        <f>DCF!F91</f>
        <v>0.15999999999999995</v>
      </c>
    </row>
    <row r="120" spans="1:6">
      <c r="B120" s="400" t="str">
        <f>DCF!B92</f>
        <v>Base</v>
      </c>
      <c r="C120" s="401">
        <f>DCF!C92</f>
        <v>0.02</v>
      </c>
      <c r="D120" s="402">
        <f>DCF!D92</f>
        <v>15</v>
      </c>
      <c r="E120" s="398" t="str">
        <f>ROUND(DCF!E92,2)&amp;" "&amp;Market_currency</f>
        <v>158.03 HKD</v>
      </c>
      <c r="F120" s="403">
        <f>DCF!F92</f>
        <v>0.44</v>
      </c>
    </row>
    <row r="121" spans="1:6">
      <c r="B121" s="400" t="str">
        <f>DCF!B93</f>
        <v>Pessimistic</v>
      </c>
      <c r="C121" s="401">
        <f>DCF!C93</f>
        <v>0.01</v>
      </c>
      <c r="D121" s="402">
        <f>DCF!D93</f>
        <v>15</v>
      </c>
      <c r="E121" s="398" t="str">
        <f>ROUND(DCF!E93,2)&amp;" "&amp;Market_currency</f>
        <v>143.4 HKD</v>
      </c>
      <c r="F121" s="403">
        <f>DCF!F93</f>
        <v>0.19999999999999998</v>
      </c>
    </row>
    <row r="122" spans="1:6">
      <c r="B122" s="400" t="str">
        <f>DCF!B94</f>
        <v>Devil's advocate</v>
      </c>
      <c r="C122" s="401">
        <f>DCF!C94</f>
        <v>0</v>
      </c>
      <c r="D122" s="402">
        <f>DCF!D94</f>
        <v>15</v>
      </c>
      <c r="E122" s="398" t="str">
        <f>ROUND(DCF!E94,2)&amp;" "&amp;Market_currency</f>
        <v>130.38 HKD</v>
      </c>
      <c r="F122" s="403">
        <f>DCF!F94</f>
        <v>0.05</v>
      </c>
    </row>
    <row r="124" spans="1:6">
      <c r="B124" s="470" t="s">
        <v>519</v>
      </c>
      <c r="C124" s="470"/>
      <c r="D124" s="470"/>
      <c r="E124" s="470"/>
      <c r="F124" s="470"/>
    </row>
    <row r="125" spans="1:6">
      <c r="B125" s="372" t="s">
        <v>218</v>
      </c>
      <c r="C125" s="404">
        <f>Scenarios!C36</f>
        <v>164.68961997937771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6.4227790321465204</v>
      </c>
      <c r="D140" s="409">
        <f>Scenarios!D62</f>
        <v>75.893834091879143</v>
      </c>
      <c r="E140" s="410">
        <f>Scenarios!E62</f>
        <v>82.316613124025665</v>
      </c>
      <c r="F140" s="411">
        <f>E22</f>
        <v>0.29465259038036601</v>
      </c>
    </row>
    <row r="141" spans="1:6">
      <c r="B141" s="408" t="s">
        <v>313</v>
      </c>
      <c r="C141" s="409">
        <f>Scenarios!C63</f>
        <v>7.3850538549144664</v>
      </c>
      <c r="D141" s="409">
        <f>Scenarios!D63</f>
        <v>95.127578327438428</v>
      </c>
      <c r="E141" s="410">
        <f>Scenarios!E63</f>
        <v>102.51263218235289</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118.04299674187726</v>
      </c>
      <c r="E144" s="410">
        <f>Scenarios!E66</f>
        <v>126.51123371392191</v>
      </c>
      <c r="F144" s="411">
        <f>E24</f>
        <v>0.1174</v>
      </c>
    </row>
    <row r="145" spans="1:6">
      <c r="B145" s="408" t="s">
        <v>314</v>
      </c>
      <c r="C145" s="409">
        <f>Scenarios!C67</f>
        <v>9.1694370473772864</v>
      </c>
      <c r="D145" s="409">
        <f>Scenarios!D67</f>
        <v>133.49786643239455</v>
      </c>
      <c r="E145" s="410">
        <f>Scenarios!E67</f>
        <v>142.66730347977182</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2026-01-23T08:11:15Z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