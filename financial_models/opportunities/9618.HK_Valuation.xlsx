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58A4D64-7A47-4F9B-AA60-CD40BA3367D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0" i="4" l="1"/>
  <c r="E30" i="4"/>
  <c r="G6" i="4"/>
  <c r="F6" i="4"/>
  <c r="C9" i="6"/>
  <c r="E83" i="2"/>
  <c r="E84"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<sst xmlns="http://schemas.openxmlformats.org/spreadsheetml/2006/main" count="768" uniqueCount="559">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</sst>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5" sqref="C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104.4</v>
      </c>
      <c r="E8" s="32"/>
    </row>
    <row r="9" spans="1:9">
      <c r="B9" s="4" t="s">
        <v>346</v>
      </c>
      <c r="C9" s="48">
        <f>2865069999*(1-0.063)+322483772</f>
        <v>3007054361.0630002</v>
      </c>
    </row>
    <row r="10" spans="1:9">
      <c r="B10" s="4" t="s">
        <v>352</v>
      </c>
      <c r="C10" s="33">
        <f>Thesis!C8*Common_Shares/1000000</f>
        <v>313936.47529497725</v>
      </c>
      <c r="D10" s="1" t="s">
        <v>528</v>
      </c>
      <c r="E10" s="303">
        <f>Scenarios!F34</f>
        <v>0.25152402246872663</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1.1404913400000001</v>
      </c>
    </row>
    <row r="17" spans="1:6">
      <c r="B17" s="1" t="s">
        <v>532</v>
      </c>
      <c r="C17" s="456">
        <v>0.02</v>
      </c>
      <c r="D17" s="4" t="s">
        <v>274</v>
      </c>
      <c r="E17" s="224" t="s">
        <v>558</v>
      </c>
    </row>
    <row r="18" spans="1:6">
      <c r="B18" s="1" t="str">
        <f>"Expected Equity Value ("&amp;C7&amp;") :"</f>
        <v>Expected Equity Value (HKD) :</v>
      </c>
      <c r="C18" s="252">
        <f>C125</f>
        <v>191.25237241198982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94.557512862556607</v>
      </c>
      <c r="D22" s="38" t="s">
        <v>406</v>
      </c>
      <c r="E22" s="79">
        <v>0.29465259038036606</v>
      </c>
    </row>
    <row r="23" spans="1:6">
      <c r="B23" s="1" t="s">
        <v>313</v>
      </c>
      <c r="C23" s="256">
        <f>E141</f>
        <v>117.8557382806126</v>
      </c>
      <c r="D23" s="38" t="s">
        <v>407</v>
      </c>
      <c r="E23" s="443">
        <v>0.20075184365903009</v>
      </c>
    </row>
    <row r="24" spans="1:6">
      <c r="B24" s="1" t="s">
        <v>315</v>
      </c>
      <c r="C24" s="256">
        <f>E144</f>
        <v>145.55036258707588</v>
      </c>
      <c r="D24" s="38" t="s">
        <v>408</v>
      </c>
      <c r="E24" s="443">
        <v>0.1174</v>
      </c>
    </row>
    <row r="25" spans="1:6">
      <c r="B25" s="1" t="s">
        <v>314</v>
      </c>
      <c r="C25" s="256">
        <f>E145</f>
        <v>164.19914487189874</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38849.138260430074</v>
      </c>
      <c r="D34" s="1" t="str">
        <f>Reporting_currency</f>
        <v>CNY</v>
      </c>
    </row>
    <row r="35" spans="2:6">
      <c r="B35" s="44"/>
      <c r="C35" s="73"/>
    </row>
    <row r="36" spans="2:6" ht="24.5" customHeight="1">
      <c r="B36" s="462" t="s">
        <v>198</v>
      </c>
      <c r="C36" s="462"/>
      <c r="D36" s="462"/>
      <c r="E36" s="462"/>
      <c r="F36" s="462"/>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565.84868687385779</v>
      </c>
      <c r="D44" s="1" t="str">
        <f>Reporting_currency</f>
        <v>CNY</v>
      </c>
      <c r="E44" s="244"/>
      <c r="F44" s="244"/>
    </row>
    <row r="45" spans="2:6">
      <c r="B45" s="44" t="s">
        <v>268</v>
      </c>
      <c r="C45" s="286">
        <f>Normalized_FCF!C45</f>
        <v>-4483.5600000000004</v>
      </c>
      <c r="D45" s="1" t="str">
        <f>Reporting_currency</f>
        <v>CNY</v>
      </c>
      <c r="E45" s="244"/>
      <c r="F45" s="244"/>
    </row>
    <row r="46" spans="2:6">
      <c r="B46" s="44" t="s">
        <v>203</v>
      </c>
      <c r="C46" s="285">
        <f>Normalized_FCF!C10</f>
        <v>-3917.7113131261426</v>
      </c>
      <c r="D46" s="1" t="str">
        <f>Reporting_currency</f>
        <v>CNY</v>
      </c>
    </row>
    <row r="48" spans="2:6">
      <c r="B48" s="1" t="s">
        <v>211</v>
      </c>
    </row>
    <row r="49" spans="2:6">
      <c r="B49" s="44" t="s">
        <v>223</v>
      </c>
      <c r="C49" s="285">
        <f>Normalized_FCF!C13</f>
        <v>-3301</v>
      </c>
      <c r="D49" s="1" t="str">
        <f>Reporting_currency</f>
        <v>CNY</v>
      </c>
    </row>
    <row r="51" spans="2:6">
      <c r="B51" s="462" t="s">
        <v>206</v>
      </c>
      <c r="C51" s="462"/>
      <c r="D51" s="462"/>
      <c r="E51" s="462"/>
      <c r="F51" s="462"/>
    </row>
    <row r="52" spans="2:6">
      <c r="B52" s="44" t="s">
        <v>204</v>
      </c>
      <c r="C52" s="285">
        <f>Normalized_FCF!C12</f>
        <v>-8732.8567368259828</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28822</v>
      </c>
      <c r="D60" s="1" t="str">
        <f>Reporting_currency</f>
        <v>CNY</v>
      </c>
    </row>
    <row r="61" spans="2:6">
      <c r="B61" s="44" t="s">
        <v>213</v>
      </c>
      <c r="C61" s="285">
        <f>Normalized_FCF!C19</f>
        <v>22897.570210477948</v>
      </c>
      <c r="D61" s="1" t="str">
        <f>Reporting_currency</f>
        <v>CNY</v>
      </c>
    </row>
    <row r="62" spans="2:6">
      <c r="B62" s="204" t="s">
        <v>302</v>
      </c>
      <c r="C62" s="89">
        <f>Normalized_FCF!C124</f>
        <v>8.3183964232110025E-2</v>
      </c>
      <c r="F62" s="257"/>
    </row>
    <row r="63" spans="2:6">
      <c r="B63" s="204" t="s">
        <v>332</v>
      </c>
      <c r="C63" s="89">
        <f>Normalized_FCF!C92</f>
        <v>3.3620689655172412E-2</v>
      </c>
      <c r="E63" s="44" t="s">
        <v>322</v>
      </c>
      <c r="F63" s="258">
        <f>Normalized_FCF!C90</f>
        <v>0.51217277206029399</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-112089</v>
      </c>
      <c r="D78" s="1" t="str">
        <f>Reporting_currency</f>
        <v>CNY</v>
      </c>
    </row>
    <row r="79" spans="1:6">
      <c r="A79" s="191"/>
      <c r="B79" s="44" t="s">
        <v>234</v>
      </c>
      <c r="C79" s="201">
        <f>C78*scaling_factor*Exchange_Rate/Common_Shares</f>
        <v>-42.512212437712471</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31026.885521023709</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11.767627051274838</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37.370308970986933</v>
      </c>
      <c r="D90" s="1" t="str">
        <f>Market_currency</f>
        <v>HKD</v>
      </c>
    </row>
    <row r="91" spans="1:6">
      <c r="A91" s="191"/>
    </row>
    <row r="92" spans="1:6">
      <c r="A92" s="191"/>
      <c r="B92" s="44" t="s">
        <v>469</v>
      </c>
      <c r="C92" s="216">
        <f>DCF!F8</f>
        <v>6.6257235845492923</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-65.814054607974768</v>
      </c>
      <c r="D111" s="1" t="str">
        <f>Market_currency</f>
        <v>HKD</v>
      </c>
    </row>
    <row r="112" spans="2:6">
      <c r="B112" s="44" t="s">
        <v>323</v>
      </c>
      <c r="C112" s="216">
        <f>DCF!C11</f>
        <v>175.3513232635766</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233.27 HKD</v>
      </c>
      <c r="E118" s="208">
        <f>DCF!F90</f>
        <v>0.15</v>
      </c>
      <c r="F118" s="208">
        <f>RATE(Holding_Period,Scenarios!C$58,-DCF!E90,C$18)</f>
        <v>-4.7965458280397603E-2</v>
      </c>
    </row>
    <row r="119" spans="2:6">
      <c r="B119" s="205" t="str">
        <f>DCF!B91&amp;" ("&amp;DCF!D91&amp;"yrs)"</f>
        <v>Optimistic (10yrs)</v>
      </c>
      <c r="C119" s="198">
        <f>DCF!C91</f>
        <v>0.03</v>
      </c>
      <c r="D119" s="207" t="str">
        <f>ROUND(DCF!E91,2)&amp;" "&amp;Market_currency</f>
        <v>200.39 HKD</v>
      </c>
      <c r="E119" s="199">
        <f>DCF!F91</f>
        <v>0.15999999999999995</v>
      </c>
      <c r="F119" s="208">
        <f>RATE(Holding_Period,Scenarios!C$58,-DCF!E91,C$18)</f>
        <v>2.3513871529537845E-3</v>
      </c>
    </row>
    <row r="120" spans="2:6">
      <c r="B120" s="205" t="str">
        <f>DCF!B92&amp;" ("&amp;DCF!D92&amp;"yrs)"</f>
        <v>Base (10yrs)</v>
      </c>
      <c r="C120" s="198">
        <f>DCF!C92</f>
        <v>0.02</v>
      </c>
      <c r="D120" s="207" t="str">
        <f>ROUND(DCF!E92,2)&amp;" "&amp;Market_currency</f>
        <v>185.79 HKD</v>
      </c>
      <c r="E120" s="199">
        <f>DCF!F92</f>
        <v>0.44</v>
      </c>
      <c r="F120" s="208">
        <f>RATE(Holding_Period,Scenarios!C$58,-DCF!E92,C$18)</f>
        <v>2.8419157624928283E-2</v>
      </c>
    </row>
    <row r="121" spans="2:6">
      <c r="B121" s="205" t="str">
        <f>DCF!B93&amp;" ("&amp;DCF!D93&amp;"yrs)"</f>
        <v>Pessimistic (10yrs)</v>
      </c>
      <c r="C121" s="198">
        <f>DCF!C93</f>
        <v>0.01</v>
      </c>
      <c r="D121" s="207" t="str">
        <f>ROUND(DCF!E93,2)&amp;" "&amp;Market_currency</f>
        <v>172.3 HKD</v>
      </c>
      <c r="E121" s="199">
        <f>DCF!F93</f>
        <v>0.19999999999999998</v>
      </c>
      <c r="F121" s="208">
        <f>RATE(Holding_Period,Scenarios!C$58,-DCF!E93,C$18)</f>
        <v>5.5088231754056388E-2</v>
      </c>
    </row>
    <row r="122" spans="2:6">
      <c r="B122" s="205" t="str">
        <f>DCF!B94&amp;" ("&amp;DCF!D94&amp;"yrs)"</f>
        <v>Devil's advocate (10yrs)</v>
      </c>
      <c r="C122" s="198">
        <f>DCF!C94</f>
        <v>0</v>
      </c>
      <c r="D122" s="207" t="str">
        <f>ROUND(DCF!E94,2)&amp;" "&amp;Market_currency</f>
        <v>159.84 HKD</v>
      </c>
      <c r="E122" s="199">
        <f>DCF!F94</f>
        <v>0.05</v>
      </c>
      <c r="F122" s="208">
        <f>RATE(Holding_Period,Scenarios!C$58,-DCF!E94,C$18)</f>
        <v>8.2351862495692874E-2</v>
      </c>
    </row>
    <row r="124" spans="2:6">
      <c r="B124" s="462" t="s">
        <v>357</v>
      </c>
      <c r="C124" s="462"/>
      <c r="D124" s="462"/>
      <c r="E124" s="462"/>
      <c r="F124" s="462"/>
    </row>
    <row r="125" spans="2:6">
      <c r="B125" s="193" t="s">
        <v>218</v>
      </c>
      <c r="C125" s="197">
        <f>Scenarios!C36</f>
        <v>191.25237241198982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88.134733830410084</v>
      </c>
      <c r="E140" s="334">
        <f>Scenarios!E62</f>
        <v>94.557512862556607</v>
      </c>
      <c r="F140" s="335">
        <f>E22</f>
        <v>0.29465259038036606</v>
      </c>
    </row>
    <row r="141" spans="1:6">
      <c r="B141" s="336" t="s">
        <v>313</v>
      </c>
      <c r="C141" s="333">
        <f>Scenarios!C63</f>
        <v>7.3850538549144646</v>
      </c>
      <c r="D141" s="333">
        <f>Scenarios!D63</f>
        <v>110.47068442569814</v>
      </c>
      <c r="E141" s="334">
        <f>Scenarios!E63</f>
        <v>117.8557382806126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137.08212561503123</v>
      </c>
      <c r="E144" s="334">
        <f>Scenarios!E66</f>
        <v>145.55036258707588</v>
      </c>
      <c r="F144" s="335">
        <f>E24</f>
        <v>0.1174</v>
      </c>
    </row>
    <row r="145" spans="1:6">
      <c r="B145" s="336" t="s">
        <v>314</v>
      </c>
      <c r="C145" s="333">
        <f>Scenarios!C67</f>
        <v>9.1694370473772864</v>
      </c>
      <c r="D145" s="333">
        <f>Scenarios!D67</f>
        <v>155.02970782452144</v>
      </c>
      <c r="E145" s="334">
        <f>Scenarios!E67</f>
        <v>164.19914487189874</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9" sqref="C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v>951592</v>
      </c>
      <c r="G4" s="287">
        <v>745802</v>
      </c>
      <c r="H4" s="287"/>
      <c r="I4" s="287"/>
      <c r="J4" s="287"/>
      <c r="K4" s="287"/>
      <c r="L4" s="287"/>
      <c r="M4" s="287"/>
    </row>
    <row r="5" spans="2:13">
      <c r="B5" s="38" t="s">
        <v>40</v>
      </c>
      <c r="C5" s="287">
        <v>974951</v>
      </c>
      <c r="D5" s="287">
        <v>924958</v>
      </c>
      <c r="E5" s="287">
        <v>899163</v>
      </c>
      <c r="F5" s="287">
        <v>822526</v>
      </c>
      <c r="G5" s="287">
        <v>636694</v>
      </c>
      <c r="H5" s="287"/>
      <c r="I5" s="287"/>
      <c r="J5" s="287"/>
      <c r="K5" s="287"/>
      <c r="L5" s="287"/>
      <c r="M5" s="287"/>
    </row>
    <row r="6" spans="2:13">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c r="B7" s="66" t="s">
        <v>58</v>
      </c>
      <c r="C7" s="288">
        <v>47953</v>
      </c>
      <c r="D7" s="288">
        <v>40133</v>
      </c>
      <c r="E7" s="288">
        <v>37772</v>
      </c>
      <c r="F7" s="288">
        <v>38743</v>
      </c>
      <c r="G7" s="288">
        <v>27156</v>
      </c>
      <c r="H7" s="288"/>
      <c r="I7" s="288"/>
      <c r="J7" s="288"/>
      <c r="K7" s="288"/>
      <c r="L7" s="288"/>
      <c r="M7" s="288"/>
    </row>
    <row r="8" spans="2:13">
      <c r="B8" s="38" t="s">
        <v>46</v>
      </c>
      <c r="C8" s="287">
        <v>17031</v>
      </c>
      <c r="D8" s="287">
        <v>16393</v>
      </c>
      <c r="E8" s="287">
        <v>16893</v>
      </c>
      <c r="F8" s="287">
        <v>11562</v>
      </c>
      <c r="G8" s="287">
        <v>16149</v>
      </c>
      <c r="H8" s="287"/>
      <c r="I8" s="287"/>
      <c r="J8" s="287"/>
      <c r="K8" s="287"/>
      <c r="L8" s="287"/>
      <c r="M8" s="287"/>
    </row>
    <row r="9" spans="2:13">
      <c r="B9" s="38" t="s">
        <v>134</v>
      </c>
      <c r="C9" s="287">
        <v>2327</v>
      </c>
      <c r="D9" s="287">
        <v>1010</v>
      </c>
      <c r="E9" s="287">
        <v>-2195</v>
      </c>
      <c r="F9" s="287">
        <v>-4918</v>
      </c>
      <c r="G9" s="287">
        <v>4291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v>1213</v>
      </c>
      <c r="G12" s="287">
        <v>1125</v>
      </c>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v>1887</v>
      </c>
      <c r="G14" s="287">
        <v>1482</v>
      </c>
      <c r="H14" s="287"/>
      <c r="I14" s="287"/>
      <c r="J14" s="287"/>
      <c r="K14" s="287"/>
      <c r="L14" s="287"/>
      <c r="M14" s="287"/>
    </row>
    <row r="15" spans="2:13">
      <c r="B15" s="41" t="s">
        <v>39</v>
      </c>
      <c r="C15" s="289">
        <v>44660</v>
      </c>
      <c r="D15" s="289">
        <v>23257</v>
      </c>
      <c r="E15" s="289">
        <v>9691</v>
      </c>
      <c r="F15" s="289">
        <v>-4467</v>
      </c>
      <c r="G15" s="289">
        <v>49337</v>
      </c>
      <c r="H15" s="289"/>
      <c r="I15" s="289"/>
      <c r="J15" s="289"/>
      <c r="K15" s="289"/>
      <c r="L15" s="289"/>
      <c r="M15" s="289"/>
    </row>
    <row r="16" spans="2:13">
      <c r="B16" s="27" t="s">
        <v>41</v>
      </c>
      <c r="C16" s="287">
        <v>3301</v>
      </c>
      <c r="D16" s="287">
        <v>-910</v>
      </c>
      <c r="E16" s="287">
        <v>-697</v>
      </c>
      <c r="F16" s="287">
        <v>-923</v>
      </c>
      <c r="G16" s="287">
        <v>-75</v>
      </c>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v>42301</v>
      </c>
      <c r="G22" s="287"/>
      <c r="H22" s="287"/>
      <c r="I22" s="287"/>
      <c r="J22" s="287"/>
      <c r="K22" s="287"/>
      <c r="L22" s="287"/>
      <c r="M22" s="287"/>
    </row>
    <row r="23" spans="2:13">
      <c r="B23" s="26" t="s">
        <v>288</v>
      </c>
      <c r="C23" s="287">
        <v>-871</v>
      </c>
      <c r="D23" s="287">
        <v>-59543</v>
      </c>
      <c r="E23" s="287">
        <v>-54026</v>
      </c>
      <c r="F23" s="287">
        <v>-74248</v>
      </c>
      <c r="G23" s="287"/>
      <c r="H23" s="287"/>
      <c r="I23" s="287"/>
      <c r="J23" s="287"/>
      <c r="K23" s="287"/>
      <c r="L23" s="287"/>
      <c r="M23" s="287"/>
    </row>
    <row r="24" spans="2:13">
      <c r="B24" s="26" t="s">
        <v>287</v>
      </c>
      <c r="C24" s="287">
        <v>-21004</v>
      </c>
      <c r="D24" s="287">
        <v>-5808</v>
      </c>
      <c r="E24" s="287">
        <v>1180</v>
      </c>
      <c r="F24" s="287">
        <v>19503</v>
      </c>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v>0</v>
      </c>
      <c r="G25" s="37"/>
      <c r="H25" s="37"/>
      <c r="I25" s="37"/>
      <c r="J25" s="37"/>
      <c r="K25" s="37"/>
      <c r="L25" s="37"/>
      <c r="M25" s="37"/>
    </row>
    <row r="27" spans="2:13">
      <c r="B27" s="16" t="s">
        <v>26</v>
      </c>
      <c r="C27" s="94" t="s">
        <v>547</v>
      </c>
    </row>
    <row r="28" spans="2:13">
      <c r="B28" s="25" t="s">
        <v>22</v>
      </c>
      <c r="C28" s="270">
        <f>BS!C4</f>
        <v>41491</v>
      </c>
      <c r="D28" s="287">
        <f>20302+2114</f>
        <v>22416</v>
      </c>
      <c r="E28" s="287">
        <v>205760</v>
      </c>
      <c r="F28" s="287">
        <v>11900</v>
      </c>
      <c r="G28" s="287"/>
      <c r="H28" s="287"/>
      <c r="I28" s="287"/>
      <c r="J28" s="287"/>
      <c r="K28" s="287"/>
      <c r="L28" s="287"/>
      <c r="M28" s="287"/>
    </row>
    <row r="29" spans="2:13">
      <c r="B29" s="25" t="s">
        <v>30</v>
      </c>
      <c r="C29" s="270">
        <f>BS!C6</f>
        <v>100999</v>
      </c>
      <c r="D29" s="287">
        <v>68058</v>
      </c>
      <c r="E29" s="287">
        <v>77949</v>
      </c>
      <c r="F29" s="287">
        <v>75601</v>
      </c>
      <c r="G29" s="287"/>
      <c r="H29" s="287"/>
      <c r="I29" s="287"/>
      <c r="J29" s="287"/>
      <c r="K29" s="287"/>
      <c r="L29" s="287"/>
      <c r="M29" s="287"/>
    </row>
    <row r="30" spans="2:13">
      <c r="B30" s="28" t="s">
        <v>38</v>
      </c>
      <c r="C30" s="271">
        <f>BS!C33+BS!C42</f>
        <v>409109</v>
      </c>
      <c r="D30" s="289">
        <v>332578</v>
      </c>
      <c r="E30" s="289">
        <f>266561+54566</f>
        <v>321127</v>
      </c>
      <c r="F30" s="289">
        <f>221636+28087</f>
        <v>249723</v>
      </c>
      <c r="G30" s="289"/>
      <c r="H30" s="289"/>
      <c r="I30" s="289"/>
      <c r="J30" s="289"/>
      <c r="K30" s="289"/>
      <c r="L30" s="289"/>
      <c r="M30" s="289"/>
    </row>
    <row r="31" spans="2:13">
      <c r="B31" s="28" t="s">
        <v>28</v>
      </c>
      <c r="C31" s="271">
        <f>BS!G27</f>
        <v>304420</v>
      </c>
      <c r="D31" s="289">
        <v>295766</v>
      </c>
      <c r="E31" s="289">
        <v>274123</v>
      </c>
      <c r="F31" s="289">
        <v>246784</v>
      </c>
      <c r="G31" s="289"/>
      <c r="H31" s="289"/>
      <c r="I31" s="289"/>
      <c r="J31" s="289"/>
      <c r="K31" s="289"/>
      <c r="L31" s="289"/>
      <c r="M31" s="289"/>
    </row>
    <row r="32" spans="2:13">
      <c r="B32" s="25" t="s">
        <v>143</v>
      </c>
      <c r="C32" s="270">
        <f>BS!G28</f>
        <v>72487</v>
      </c>
      <c r="D32" s="287">
        <v>63908</v>
      </c>
      <c r="E32" s="460">
        <v>60167</v>
      </c>
      <c r="F32" s="287">
        <v>36661</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f t="shared" si="32"/>
        <v>-12444</v>
      </c>
      <c r="G64" s="270">
        <f t="shared" si="32"/>
        <v>0</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595250</v>
      </c>
      <c r="F76" s="285">
        <f t="shared" si="39"/>
        <v>496507</v>
      </c>
      <c r="G76" s="285">
        <f t="shared" si="39"/>
        <v>0</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205760</v>
      </c>
      <c r="F77" s="282">
        <f t="shared" si="40"/>
        <v>11900</v>
      </c>
      <c r="G77" s="282">
        <f t="shared" si="40"/>
        <v>0</v>
      </c>
      <c r="H77" s="282" t="str">
        <f t="shared" si="40"/>
        <v/>
      </c>
      <c r="I77" s="291"/>
      <c r="J77" s="291"/>
      <c r="K77" s="291"/>
      <c r="L77" s="291"/>
      <c r="M77" s="291"/>
    </row>
    <row r="78" spans="2:13">
      <c r="B78" s="90" t="s">
        <v>83</v>
      </c>
      <c r="C78" s="260">
        <f t="shared" si="40"/>
        <v>100999</v>
      </c>
      <c r="D78" s="282">
        <f t="shared" si="40"/>
        <v>68058</v>
      </c>
      <c r="E78" s="282">
        <f t="shared" si="40"/>
        <v>77949</v>
      </c>
      <c r="F78" s="282">
        <f t="shared" si="40"/>
        <v>75601</v>
      </c>
      <c r="G78" s="282">
        <f t="shared" si="40"/>
        <v>0</v>
      </c>
      <c r="H78" s="282" t="str">
        <f t="shared" si="40"/>
        <v/>
      </c>
      <c r="I78" s="291"/>
      <c r="J78" s="291"/>
      <c r="K78" s="291"/>
      <c r="L78" s="291"/>
      <c r="M78" s="291"/>
    </row>
    <row r="79" spans="2:13">
      <c r="B79" s="25" t="s">
        <v>38</v>
      </c>
      <c r="C79" s="259">
        <f t="shared" ref="C79:M79" si="41">IF(C$4="","",C30)</f>
        <v>409109</v>
      </c>
      <c r="D79" s="270">
        <f t="shared" si="41"/>
        <v>332578</v>
      </c>
      <c r="E79" s="270">
        <f t="shared" si="41"/>
        <v>321127</v>
      </c>
      <c r="F79" s="270">
        <f t="shared" si="41"/>
        <v>249723</v>
      </c>
      <c r="G79" s="270">
        <f t="shared" si="41"/>
        <v>0</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274123</v>
      </c>
      <c r="F80" s="270">
        <f t="shared" si="42"/>
        <v>246784</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1" sqref="G3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87.965678767015206</v>
      </c>
      <c r="D47" s="134">
        <f>D46*H1/Common_Shares*Exchange_Rate</f>
        <v>-65.814054607974768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31026.885521023709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-94248.042667345479</v>
      </c>
      <c r="D73" s="285">
        <f>(Normalized_FCF!C26+Normalized_FCF!C35-Normalized_FCF!C89)/12</f>
        <v>-94308.114478976291</v>
      </c>
      <c r="F73" s="1" t="s">
        <v>278</v>
      </c>
    </row>
    <row r="74" spans="2:6" ht="15" customHeight="1">
      <c r="B74" s="227" t="s">
        <v>259</v>
      </c>
      <c r="C74" s="228">
        <f>-$C$66/C73</f>
        <v>1.3298419410403879</v>
      </c>
      <c r="D74" s="228">
        <f>-$C$66/D73</f>
        <v>1.3289948663743076</v>
      </c>
      <c r="F74" s="223" t="s">
        <v>257</v>
      </c>
    </row>
    <row r="75" spans="2:6" ht="15" customHeight="1">
      <c r="B75" s="77" t="s">
        <v>258</v>
      </c>
      <c r="C75" s="261"/>
      <c r="D75" s="262">
        <f>MAX(-D73*D76,G5)</f>
        <v>94308.114478976291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-127836.53380926001</v>
      </c>
      <c r="D86" s="201">
        <f>C86*scaling_factor/Common_Shares</f>
        <v>-42.512212437712471</v>
      </c>
      <c r="E86" s="214" t="str">
        <f>Market_currency</f>
        <v>HKD</v>
      </c>
    </row>
    <row r="87" spans="2:8" ht="15" customHeight="1">
      <c r="B87" s="212" t="s">
        <v>240</v>
      </c>
      <c r="C87" s="73">
        <f>DCF!F5*Exchange_Rate</f>
        <v>35385.894243898932</v>
      </c>
      <c r="D87" s="201">
        <f>C87*scaling_factor/Common_Shares</f>
        <v>11.767627051274838</v>
      </c>
      <c r="E87" s="214" t="str">
        <f>Market_currency</f>
        <v>HKD</v>
      </c>
    </row>
    <row r="88" spans="2:8" ht="15" customHeight="1">
      <c r="B88" s="213" t="s">
        <v>159</v>
      </c>
      <c r="C88" s="73">
        <f>DCF!F6*Exchange_Rate</f>
        <v>112374.550565478</v>
      </c>
      <c r="D88" s="201">
        <f>C88*scaling_factor/Common_Shares</f>
        <v>37.370308970986926</v>
      </c>
      <c r="E88" s="214" t="str">
        <f>Market_currency</f>
        <v>HKD</v>
      </c>
    </row>
    <row r="89" spans="2:8" ht="15" customHeight="1">
      <c r="B89" s="77" t="s">
        <v>244</v>
      </c>
      <c r="C89" s="162">
        <f>SUM(C86:C88)</f>
        <v>19923.911000116917</v>
      </c>
      <c r="D89" s="216">
        <f>SUM(D86:D88)</f>
        <v>6.6257235845492914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101" activePane="bottomRight" state="frozen"/>
      <selection activeCell="C17" sqref="C17"/>
      <selection pane="topRight" activeCell="C17" sqref="C17"/>
      <selection pane="bottomLeft" activeCell="C17" sqref="C17"/>
      <selection pane="bottomRight" activeCell="B130" sqref="B1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-3917.7113131261426</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34931.426947303931</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-8732.8567368259828</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22897.570210477948</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22897.570210477948</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-4483.5600000000004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565.84868687385779</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-3917.7113131261426</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8.6647972281914534</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3.3807793219874224E-3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3.0143988791436739E-2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7.5359971978591848E-3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1.9759401779292494E-2</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1.9759401779292494E-2</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0.51217277206029399</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3.3620689655172412E-2</v>
      </c>
      <c r="E92" s="237"/>
      <c r="G92" s="22">
        <f t="shared" ref="G92:Q92" si="38">IF(G$4="","",(G88*(1-dividend_tax_rate))/Market_Price)</f>
        <v>3.3620689655172412E-2</v>
      </c>
      <c r="H92" s="22">
        <f t="shared" si="38"/>
        <v>2.5551724137931036E-2</v>
      </c>
      <c r="I92" s="22">
        <f t="shared" si="38"/>
        <v>2.0844827586206895E-2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-0.10434535147037427</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595250</v>
      </c>
      <c r="J100" s="270">
        <f t="shared" si="41"/>
        <v>496507</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205760</v>
      </c>
      <c r="I101" s="282">
        <f>IF(I$4="","",Data!F77)</f>
        <v>11900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77949</v>
      </c>
      <c r="I102" s="282">
        <f>IF(I$4="","",Data!F78)</f>
        <v>75601</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321127</v>
      </c>
      <c r="J103" s="270">
        <f>Data!F79</f>
        <v>249723</v>
      </c>
      <c r="K103" s="270">
        <f>Data!G79</f>
        <v>0</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274123</v>
      </c>
      <c r="J104" s="270">
        <f>Data!F80</f>
        <v>246784</v>
      </c>
      <c r="K104" s="270">
        <f>Data!G80</f>
        <v>0</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0.18969964836972256</v>
      </c>
      <c r="I107" s="91">
        <f t="shared" si="42"/>
        <v>1.1374106798083797E-2</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7.1864783683765074E-2</v>
      </c>
      <c r="I108" s="91">
        <f t="shared" si="43"/>
        <v>7.2259987230414546E-2</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f>IF(J$4="","",Data!F$22/Data!F15)</f>
        <v>-9.4696664428027759</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335.72222222222223</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3.0143988791436739E-2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f t="shared" si="45"/>
        <v>1.7576413271734566</v>
      </c>
      <c r="J117" s="40">
        <f t="shared" si="45"/>
        <v>1.9165731802371366</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f t="shared" si="46"/>
        <v>2.1714704712847883</v>
      </c>
      <c r="J118" s="15">
        <f t="shared" si="46"/>
        <v>2.0119091999481329</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0.11474747699659658</v>
      </c>
      <c r="D119" s="100"/>
      <c r="E119" s="453">
        <v>0.15</v>
      </c>
      <c r="F119" s="100"/>
      <c r="G119" s="99">
        <f t="shared" ref="G119:Q119" si="47">IF(G$4="","",G11/G104)</f>
        <v>0.12811576111950596</v>
      </c>
      <c r="H119" s="99">
        <f t="shared" si="47"/>
        <v>9.1420244382383373E-2</v>
      </c>
      <c r="I119" s="99">
        <f t="shared" si="47"/>
        <v>5.1228827934905137E-2</v>
      </c>
      <c r="J119" s="99">
        <f t="shared" si="47"/>
        <v>8.1569307572614113E-3</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8.6844058658322876</v>
      </c>
      <c r="D123" s="26"/>
      <c r="E123" s="234"/>
      <c r="F123" s="26"/>
      <c r="G123" s="159">
        <f t="shared" ref="G123:Q123" si="48">IF(G$4="","",G14*$C$3/Common_Shares*Exchange_Rate)</f>
        <v>10.931375843122421</v>
      </c>
      <c r="H123" s="159">
        <f t="shared" si="48"/>
        <v>7.0719045857629812</v>
      </c>
      <c r="I123" s="159">
        <f t="shared" si="48"/>
        <v>3.7422762280233473</v>
      </c>
      <c r="J123" s="159">
        <f t="shared" si="48"/>
        <v>4.7788264389474186E-2</v>
      </c>
      <c r="K123" s="159">
        <f t="shared" si="48"/>
        <v>4.6946280683564403</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8.3183964232110025E-2</v>
      </c>
      <c r="D124" s="26"/>
      <c r="E124" s="234"/>
      <c r="F124" s="26"/>
      <c r="G124" s="74">
        <f t="shared" ref="G124" si="49">IF(G$4="","",G123/Market_Price)</f>
        <v>0.10470666516400785</v>
      </c>
      <c r="H124" s="74">
        <f t="shared" ref="H124" si="50">IF(H$4="","",H123/Market_Price)</f>
        <v>6.7738549672059209E-2</v>
      </c>
      <c r="I124" s="74">
        <f t="shared" ref="I124" si="51">IF(I$4="","",I123/Market_Price)</f>
        <v>3.5845557739687235E-2</v>
      </c>
      <c r="J124" s="74">
        <f t="shared" ref="J124" si="52">IF(J$4="","",J123/Market_Price)</f>
        <v>4.577419960677604E-4</v>
      </c>
      <c r="K124" s="74">
        <f t="shared" ref="K124" si="53">IF(K$4="","",K123/Market_Price)</f>
        <v>4.4967701804180457E-2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0.14225807930740481</v>
      </c>
      <c r="H125" s="22">
        <f>IF(H$4="","",(Data!D47*$C$3)/(Market_Price*Common_Shares))</f>
        <v>7.408186633345977E-2</v>
      </c>
      <c r="I125" s="22">
        <f>IF(I$4="","",(Data!E47*$C$3)/(Market_Price*Common_Shares))</f>
        <v>3.0869302430991043E-2</v>
      </c>
      <c r="J125" s="22">
        <f>IF(J$4="","",(Data!F47*$C$3)/(Market_Price*Common_Shares))</f>
        <v>-1.4228993288539571E-2</v>
      </c>
      <c r="K125" s="22">
        <f>IF(K$4="","",(Data!G47*$C$3)/(Market_Price*Common_Shares))</f>
        <v>0.15715599773375349</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22897.570210477948</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c r="B6" s="136" t="s">
        <v>194</v>
      </c>
      <c r="C6" s="283">
        <f>(C4*(1+Terminal_Growth))/(Equity_Cost-Terminal_Growth)</f>
        <v>444867.07837500022</v>
      </c>
      <c r="D6" t="str">
        <f>Reporting_currency</f>
        <v>CNY</v>
      </c>
      <c r="E6" s="187" t="s">
        <v>433</v>
      </c>
      <c r="F6" s="284">
        <f>BS!H42</f>
        <v>98531.7</v>
      </c>
      <c r="G6" t="str">
        <f>Reporting_currency</f>
        <v>CNY</v>
      </c>
      <c r="H6" s="308" t="s">
        <v>416</v>
      </c>
      <c r="I6" s="305">
        <f>I7+I8</f>
        <v>-3917.7113131261426</v>
      </c>
      <c r="J6" s="305"/>
      <c r="N6" s="135"/>
    </row>
    <row r="7" spans="2:15" ht="12.75" customHeight="1">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3.15">
      <c r="B8" s="136" t="s">
        <v>426</v>
      </c>
      <c r="C8" s="283">
        <f>C6+C7</f>
        <v>462336.66389602394</v>
      </c>
      <c r="D8" t="str">
        <f>Reporting_currency</f>
        <v>CNY</v>
      </c>
      <c r="E8" s="140" t="s">
        <v>464</v>
      </c>
      <c r="F8" s="108">
        <f>FV_adjustments*scaling_factor/Common_Shares*Exchange_Rate</f>
        <v>6.6257235845492923</v>
      </c>
      <c r="G8" s="294" t="str">
        <f>Market_currency</f>
        <v>HKD</v>
      </c>
      <c r="H8" s="314" t="str">
        <f>Normalized_FCF!B10</f>
        <v>Net Interest Income</v>
      </c>
      <c r="I8" s="313">
        <f>Normalized_FCF!C10</f>
        <v>-3917.7113131261426</v>
      </c>
      <c r="J8" s="313"/>
      <c r="N8" s="304"/>
      <c r="O8" s="304"/>
    </row>
    <row r="9" spans="2:15" ht="13.15" thickBot="1">
      <c r="B9" s="189" t="str">
        <f>"*"&amp;Thesis!E15</f>
        <v>*CNY/HKD</v>
      </c>
      <c r="C9" s="190">
        <f>Exchange_Rate</f>
        <v>1.1404913400000001</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527290.96133790596</v>
      </c>
      <c r="D10" t="str">
        <f>Market_currency</f>
        <v>HKD</v>
      </c>
      <c r="H10" s="308" t="s">
        <v>397</v>
      </c>
      <c r="I10" s="306">
        <f>Normalized_FCF!C41</f>
        <v>0.25</v>
      </c>
      <c r="N10" s="304"/>
      <c r="O10" s="304"/>
    </row>
    <row r="11" spans="2:15" ht="13.15">
      <c r="B11" s="136" t="s">
        <v>425</v>
      </c>
      <c r="C11" s="108">
        <f>(C10*scaling_factor)/Common_Shares</f>
        <v>175.3513232635766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3.0143988791436739E-2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191.28368621599475</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3.0143988791436739E-2</v>
      </c>
      <c r="F21" s="277">
        <f>C21*E21</f>
        <v>35764.748174411827</v>
      </c>
      <c r="G21" s="299">
        <f t="shared" ref="G21:G50" si="2">IF(A21="",0%,IF(A21="I",$C$18,$F$18))</f>
        <v>0</v>
      </c>
      <c r="H21" s="277">
        <f>(F21*(1-$I$10)+C21*(G21-$I$9))</f>
        <v>23443.812748304117</v>
      </c>
      <c r="I21" s="299">
        <f>H21/C4-1</f>
        <v>2.3855917147759476E-2</v>
      </c>
      <c r="J21" s="299">
        <f>H21/C21</f>
        <v>1.9759401779292494E-2</v>
      </c>
      <c r="K21" s="119">
        <f t="shared" ref="K21:K50" si="3">IF($C$15&lt;B21,0,1/(1+Equity_Cost)^B21)</f>
        <v>0.93240093240093236</v>
      </c>
      <c r="L21" s="277">
        <f t="shared" ref="L21:L51" si="4">H21*K21</f>
        <v>21859.032865551624</v>
      </c>
    </row>
    <row r="22" spans="1:21">
      <c r="A22" s="302" t="str">
        <f t="shared" si="0"/>
        <v>I</v>
      </c>
      <c r="B22" s="117">
        <v>2</v>
      </c>
      <c r="C22" s="277">
        <f t="shared" ref="C22:C50" si="5">IF(A22="",0,C21*(1+D22))</f>
        <v>1214767.8695419847</v>
      </c>
      <c r="D22" s="299">
        <f t="shared" si="1"/>
        <v>2.38559171477595E-2</v>
      </c>
      <c r="E22" s="299">
        <f t="shared" ref="E22:E50" si="6">IF($C$15&lt;B22,0,IF(B22&gt;=$F$15,$F$17,$C$17))</f>
        <v>3.0143988791436739E-2</v>
      </c>
      <c r="F22" s="277">
        <f t="shared" ref="F22:F50" si="7">IF(A22="", 0,C22*E22)</f>
        <v>36617.949043671077</v>
      </c>
      <c r="G22" s="299">
        <f t="shared" si="2"/>
        <v>0</v>
      </c>
      <c r="H22" s="277">
        <f t="shared" ref="H22:H50" si="8">IF(A22="", 0,F22*(1-$I$10)+C22*(G22-$I$9))</f>
        <v>24003.086402855246</v>
      </c>
      <c r="I22" s="299">
        <f t="shared" ref="I22:I50" si="9">IF(A22="", 0,H22/H21-1)</f>
        <v>2.3855917147759476E-2</v>
      </c>
      <c r="J22" s="299">
        <f>IF(A22="", 0,H22/C22)</f>
        <v>1.9759401779292494E-2</v>
      </c>
      <c r="K22" s="119">
        <f t="shared" si="3"/>
        <v>0.86937149874212816</v>
      </c>
      <c r="L22" s="277">
        <f t="shared" si="4"/>
        <v>20867.599200487064</v>
      </c>
    </row>
    <row r="23" spans="1:21">
      <c r="A23" s="302" t="str">
        <f t="shared" si="0"/>
        <v>I</v>
      </c>
      <c r="B23" s="117">
        <v>3</v>
      </c>
      <c r="C23" s="277">
        <f t="shared" si="5"/>
        <v>1243747.2711915385</v>
      </c>
      <c r="D23" s="299">
        <f t="shared" si="1"/>
        <v>2.38559171477595E-2</v>
      </c>
      <c r="E23" s="299">
        <f t="shared" si="6"/>
        <v>3.0143988791436739E-2</v>
      </c>
      <c r="F23" s="277">
        <f t="shared" si="7"/>
        <v>37491.503802177765</v>
      </c>
      <c r="G23" s="299">
        <f t="shared" si="2"/>
        <v>0</v>
      </c>
      <c r="H23" s="277">
        <f t="shared" si="8"/>
        <v>24575.702043372272</v>
      </c>
      <c r="I23" s="299">
        <f t="shared" si="9"/>
        <v>2.3855917147759476E-2</v>
      </c>
      <c r="J23" s="299">
        <f t="shared" ref="J23:J50" si="10">IF(A23="", 0,H23/C23)</f>
        <v>1.9759401779292494E-2</v>
      </c>
      <c r="K23" s="119">
        <f t="shared" si="3"/>
        <v>0.81060279602995633</v>
      </c>
      <c r="L23" s="277">
        <f t="shared" si="4"/>
        <v>19921.132790756674</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3.0143988791436739E-2</v>
      </c>
      <c r="F24" s="277">
        <f t="shared" si="7"/>
        <v>38385.898010627432</v>
      </c>
      <c r="G24" s="299">
        <f t="shared" si="2"/>
        <v>0</v>
      </c>
      <c r="H24" s="277">
        <f t="shared" si="8"/>
        <v>25161.977955166985</v>
      </c>
      <c r="I24" s="299">
        <f t="shared" si="9"/>
        <v>2.3855917147759476E-2</v>
      </c>
      <c r="J24" s="299">
        <f t="shared" si="10"/>
        <v>1.9759401779292498E-2</v>
      </c>
      <c r="K24" s="119">
        <f t="shared" si="3"/>
        <v>0.75580680282513402</v>
      </c>
      <c r="L24" s="277">
        <f t="shared" si="4"/>
        <v>19017.594111051261</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0.38374949327745655</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9" t="s">
        <v>420</v>
      </c>
      <c r="K52" s="469"/>
      <c r="L52" s="317">
        <f>SUM(L21:L51)</f>
        <v>486874.83399557997</v>
      </c>
    </row>
    <row r="53" spans="1:21">
      <c r="C53" s="111"/>
    </row>
    <row r="54" spans="1:21" ht="13.15">
      <c r="B54" s="115" t="s">
        <v>108</v>
      </c>
      <c r="C54" s="128"/>
      <c r="D54" s="128"/>
      <c r="E54" s="113"/>
      <c r="F54" s="113"/>
      <c r="G54" s="113"/>
      <c r="H54" s="113"/>
      <c r="I54" s="113"/>
      <c r="J54" s="113"/>
      <c r="K54" s="113"/>
      <c r="L54" s="113"/>
    </row>
    <row r="55" spans="1:21" ht="13.15">
      <c r="A55" s="125">
        <f>L52</f>
        <v>486874.83399557997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427300.04135049781</v>
      </c>
      <c r="C56" s="118">
        <v>431573.04176400276</v>
      </c>
      <c r="D56" s="118">
        <v>435846.04217750789</v>
      </c>
      <c r="E56" s="118">
        <v>440119.04259101284</v>
      </c>
      <c r="F56" s="118">
        <v>448665.0434180228</v>
      </c>
      <c r="G56" s="295"/>
      <c r="H56" s="295"/>
      <c r="I56" s="295"/>
      <c r="J56" s="295"/>
      <c r="K56" s="295"/>
      <c r="L56" s="295"/>
    </row>
    <row r="57" spans="1:21" ht="13.15">
      <c r="A57" s="131">
        <v>2</v>
      </c>
      <c r="B57" s="118">
        <v>426761.9655956389</v>
      </c>
      <c r="C57" s="118">
        <v>435124.24897439033</v>
      </c>
      <c r="D57" s="118">
        <v>443567.61480309779</v>
      </c>
      <c r="E57" s="118">
        <v>452092.06308176182</v>
      </c>
      <c r="F57" s="118">
        <v>469384.2069889587</v>
      </c>
      <c r="G57" s="295"/>
      <c r="H57" s="295"/>
      <c r="I57" s="295"/>
      <c r="J57" s="295"/>
      <c r="K57" s="295"/>
      <c r="L57" s="295"/>
    </row>
    <row r="58" spans="1:21" ht="13.15">
      <c r="A58" s="131">
        <v>3</v>
      </c>
      <c r="B58" s="118">
        <v>426260.26326010597</v>
      </c>
      <c r="C58" s="118">
        <v>438468.50937764545</v>
      </c>
      <c r="D58" s="118">
        <v>450911.20834911353</v>
      </c>
      <c r="E58" s="118">
        <v>463590.6282150686</v>
      </c>
      <c r="F58" s="118">
        <v>489668.70279267221</v>
      </c>
      <c r="G58" s="295"/>
      <c r="H58" s="295"/>
      <c r="I58" s="295"/>
      <c r="J58" s="295"/>
      <c r="K58" s="295"/>
      <c r="L58" s="295"/>
    </row>
    <row r="59" spans="1:21" ht="13.15">
      <c r="A59" s="131">
        <v>4</v>
      </c>
      <c r="B59" s="118">
        <v>425792.47553466744</v>
      </c>
      <c r="C59" s="118">
        <v>441617.88281101396</v>
      </c>
      <c r="D59" s="118">
        <v>457895.32528798154</v>
      </c>
      <c r="E59" s="118">
        <v>474633.53925218346</v>
      </c>
      <c r="F59" s="118">
        <v>509527.64973337075</v>
      </c>
      <c r="G59" s="295"/>
      <c r="H59" s="295"/>
      <c r="I59" s="295"/>
      <c r="J59" s="295"/>
      <c r="K59" s="295"/>
      <c r="L59" s="295"/>
    </row>
    <row r="60" spans="1:21" ht="13.15">
      <c r="A60" s="131">
        <v>5</v>
      </c>
      <c r="B60" s="118">
        <v>418359.01701179054</v>
      </c>
      <c r="C60" s="118">
        <v>437445.78792699939</v>
      </c>
      <c r="D60" s="118">
        <v>457257.57893559779</v>
      </c>
      <c r="E60" s="118">
        <v>477815.42447229964</v>
      </c>
      <c r="F60" s="118">
        <v>521255.46008488693</v>
      </c>
      <c r="G60" s="295"/>
      <c r="H60" s="295"/>
      <c r="I60" s="295"/>
      <c r="J60" s="295"/>
      <c r="K60" s="295"/>
      <c r="L60" s="295"/>
    </row>
    <row r="61" spans="1:21" ht="13.15">
      <c r="A61" s="131">
        <v>6</v>
      </c>
      <c r="B61" s="118">
        <v>417952.33569583291</v>
      </c>
      <c r="C61" s="118">
        <v>440238.79673645308</v>
      </c>
      <c r="D61" s="118">
        <v>463574.67155143735</v>
      </c>
      <c r="E61" s="118">
        <v>488000.4804711481</v>
      </c>
      <c r="F61" s="118">
        <v>540289.90480285301</v>
      </c>
      <c r="G61" s="295"/>
      <c r="H61" s="295"/>
      <c r="I61" s="295"/>
      <c r="J61" s="295"/>
      <c r="K61" s="295"/>
      <c r="L61" s="295"/>
    </row>
    <row r="62" spans="1:21" ht="13.15">
      <c r="A62" s="131">
        <v>7</v>
      </c>
      <c r="B62" s="118">
        <v>411048.8633159076</v>
      </c>
      <c r="C62" s="118">
        <v>436147.0681737999</v>
      </c>
      <c r="D62" s="118">
        <v>462658.9152421013</v>
      </c>
      <c r="E62" s="118">
        <v>490652.67338188784</v>
      </c>
      <c r="F62" s="118">
        <v>551372.3531599046</v>
      </c>
      <c r="G62" s="295"/>
      <c r="H62" s="295"/>
      <c r="I62" s="295"/>
      <c r="J62" s="295"/>
      <c r="K62" s="295"/>
      <c r="L62" s="295"/>
    </row>
    <row r="63" spans="1:21" ht="13.15">
      <c r="A63" s="131">
        <v>8</v>
      </c>
      <c r="B63" s="118">
        <v>410695.30617074302</v>
      </c>
      <c r="C63" s="118">
        <v>438624.03648979362</v>
      </c>
      <c r="D63" s="118">
        <v>468372.68828834163</v>
      </c>
      <c r="E63" s="118">
        <v>500046.51576194726</v>
      </c>
      <c r="F63" s="118">
        <v>569616.52727463574</v>
      </c>
      <c r="G63" s="295"/>
      <c r="H63" s="295"/>
      <c r="I63" s="295"/>
      <c r="J63" s="295"/>
      <c r="K63" s="295"/>
      <c r="L63" s="295"/>
    </row>
    <row r="64" spans="1:21" ht="13.15">
      <c r="A64" s="131">
        <v>9</v>
      </c>
      <c r="B64" s="118">
        <v>404282.40222025261</v>
      </c>
      <c r="C64" s="118">
        <v>434626.40817461465</v>
      </c>
      <c r="D64" s="118">
        <v>467222.06402684934</v>
      </c>
      <c r="E64" s="118">
        <v>502221.35995486996</v>
      </c>
      <c r="F64" s="118">
        <v>580083.73180360778</v>
      </c>
      <c r="G64" s="295"/>
      <c r="H64" s="295"/>
      <c r="I64" s="295"/>
      <c r="J64" s="295"/>
      <c r="K64" s="295"/>
      <c r="L64" s="295"/>
    </row>
    <row r="65" spans="1:21" ht="13.15">
      <c r="A65" s="131">
        <v>10</v>
      </c>
      <c r="B65" s="118">
        <v>403975.02971506992</v>
      </c>
      <c r="C65" s="118">
        <v>436823.09728553693</v>
      </c>
      <c r="D65" s="118">
        <v>472390.13807757368</v>
      </c>
      <c r="E65" s="118">
        <v>510885.45317844965</v>
      </c>
      <c r="F65" s="118">
        <v>597570.44570887124</v>
      </c>
      <c r="G65" s="295"/>
      <c r="H65" s="295"/>
      <c r="I65" s="295"/>
      <c r="J65" s="295"/>
      <c r="K65" s="295"/>
      <c r="L65" s="295"/>
    </row>
    <row r="66" spans="1:21" ht="13.15">
      <c r="A66" s="131">
        <v>15</v>
      </c>
      <c r="B66" s="118">
        <v>386831.40955815709</v>
      </c>
      <c r="C66" s="277">
        <v>429167.0721551741</v>
      </c>
      <c r="D66" s="118">
        <v>476792.04883739928</v>
      </c>
      <c r="E66" s="118">
        <v>530365.15327993874</v>
      </c>
      <c r="F66" s="118">
        <v>658387.84479172144</v>
      </c>
      <c r="G66" s="295"/>
      <c r="H66" s="295"/>
      <c r="I66" s="295"/>
      <c r="J66" s="295"/>
      <c r="K66" s="295"/>
      <c r="L66" s="295"/>
      <c r="M66" s="275"/>
      <c r="N66" s="275"/>
      <c r="O66" s="275"/>
      <c r="P66" s="275"/>
      <c r="Q66" s="275"/>
      <c r="R66" s="275"/>
      <c r="S66" s="275"/>
      <c r="T66" s="275"/>
      <c r="U66" s="275"/>
    </row>
    <row r="67" spans="1:21" ht="13.15">
      <c r="A67" s="132">
        <v>20</v>
      </c>
      <c r="B67" s="118">
        <v>377064.46472967777</v>
      </c>
      <c r="C67" s="277">
        <v>426318.38410724991</v>
      </c>
      <c r="D67" s="118">
        <v>483620.37524178997</v>
      </c>
      <c r="E67" s="118">
        <v>550346.81211956847</v>
      </c>
      <c r="F67" s="118">
        <v>718770.39704685635</v>
      </c>
      <c r="G67" s="295"/>
      <c r="H67" s="295"/>
      <c r="I67" s="295"/>
      <c r="J67" s="295"/>
      <c r="K67" s="295"/>
      <c r="L67" s="295"/>
      <c r="M67" s="275"/>
      <c r="N67" s="275"/>
      <c r="O67" s="275"/>
      <c r="P67" s="275"/>
      <c r="Q67" s="275"/>
      <c r="R67" s="275"/>
      <c r="S67" s="275"/>
      <c r="T67" s="275"/>
      <c r="U67" s="275"/>
    </row>
    <row r="68" spans="1:21" ht="13.15">
      <c r="A68" s="132">
        <v>25</v>
      </c>
      <c r="B68" s="118">
        <v>365243.60838978499</v>
      </c>
      <c r="C68" s="277">
        <v>418879.53307044599</v>
      </c>
      <c r="D68" s="118">
        <v>483197.23688072362</v>
      </c>
      <c r="E68" s="118">
        <v>560513.47711203783</v>
      </c>
      <c r="F68" s="118">
        <v>766044.65098794212</v>
      </c>
      <c r="G68" s="295"/>
      <c r="H68" s="295"/>
      <c r="I68" s="295"/>
      <c r="J68" s="295"/>
      <c r="K68" s="295"/>
      <c r="L68" s="295"/>
      <c r="M68" s="275"/>
      <c r="N68" s="275"/>
      <c r="O68" s="275"/>
      <c r="P68" s="275"/>
      <c r="Q68" s="275"/>
      <c r="R68" s="275"/>
      <c r="S68" s="275"/>
      <c r="T68" s="275"/>
      <c r="U68" s="275"/>
    </row>
    <row r="69" spans="1:21" ht="13.15">
      <c r="A69" s="132">
        <v>30</v>
      </c>
      <c r="B69" s="118">
        <v>358544.28104338603</v>
      </c>
      <c r="C69" s="277">
        <v>415459.88812160527</v>
      </c>
      <c r="D69" s="118">
        <v>485516.03935070307</v>
      </c>
      <c r="E69" s="118">
        <v>572142.24308048002</v>
      </c>
      <c r="F69" s="118">
        <v>813674.72447184823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175.3513232635766</v>
      </c>
      <c r="C73" s="119">
        <f>C11</f>
        <v>175.3513232635766</v>
      </c>
      <c r="D73" s="119">
        <f>C11</f>
        <v>175.3513232635766</v>
      </c>
      <c r="E73" s="119">
        <f>C11</f>
        <v>175.3513232635766</v>
      </c>
      <c r="F73" s="119">
        <f>C11</f>
        <v>175.3513232635766</v>
      </c>
      <c r="G73" s="296"/>
      <c r="H73" s="296"/>
      <c r="I73" s="296"/>
      <c r="J73" s="296"/>
      <c r="K73" s="296"/>
      <c r="L73" s="296"/>
    </row>
    <row r="74" spans="1:21" ht="13.15">
      <c r="A74" s="131">
        <v>1</v>
      </c>
      <c r="B74" s="119">
        <f t="shared" ref="B74:F87" si="11">(B56+FV_adjustments)/Common_Shares*scaling_factor*Exchange_Rate</f>
        <v>168.6886390582861</v>
      </c>
      <c r="C74" s="119">
        <f t="shared" si="11"/>
        <v>170.30926821302347</v>
      </c>
      <c r="D74" s="119">
        <f t="shared" si="11"/>
        <v>171.9298973677609</v>
      </c>
      <c r="E74" s="119">
        <f t="shared" si="11"/>
        <v>173.55052652249825</v>
      </c>
      <c r="F74" s="119">
        <f t="shared" si="11"/>
        <v>176.79178483197302</v>
      </c>
      <c r="G74" s="296"/>
      <c r="H74" s="296"/>
      <c r="I74" s="296"/>
      <c r="J74" s="296"/>
      <c r="K74" s="296"/>
      <c r="L74" s="296"/>
    </row>
    <row r="75" spans="1:21" ht="13.15">
      <c r="A75" s="131">
        <v>2</v>
      </c>
      <c r="B75" s="119">
        <f t="shared" si="11"/>
        <v>168.48456202308958</v>
      </c>
      <c r="C75" s="119">
        <f t="shared" si="11"/>
        <v>171.6561414596251</v>
      </c>
      <c r="D75" s="119">
        <f t="shared" si="11"/>
        <v>174.85847319422294</v>
      </c>
      <c r="E75" s="119">
        <f t="shared" si="11"/>
        <v>178.09155722688322</v>
      </c>
      <c r="F75" s="119">
        <f t="shared" si="11"/>
        <v>184.64998218639084</v>
      </c>
      <c r="G75" s="296"/>
      <c r="H75" s="296"/>
      <c r="I75" s="296"/>
      <c r="J75" s="296"/>
      <c r="K75" s="296"/>
      <c r="L75" s="296"/>
    </row>
    <row r="76" spans="1:21" ht="13.15">
      <c r="A76" s="131">
        <v>3</v>
      </c>
      <c r="B76" s="119">
        <f t="shared" si="11"/>
        <v>168.29428040519065</v>
      </c>
      <c r="C76" s="119">
        <f t="shared" si="11"/>
        <v>172.92452558929185</v>
      </c>
      <c r="D76" s="119">
        <f t="shared" si="11"/>
        <v>177.64369216204705</v>
      </c>
      <c r="E76" s="119">
        <f t="shared" si="11"/>
        <v>182.45264032759792</v>
      </c>
      <c r="F76" s="119">
        <f t="shared" si="11"/>
        <v>192.34332225365307</v>
      </c>
      <c r="G76" s="296"/>
      <c r="H76" s="296"/>
      <c r="I76" s="296"/>
      <c r="J76" s="296"/>
      <c r="K76" s="296"/>
      <c r="L76" s="296"/>
    </row>
    <row r="77" spans="1:21" ht="13.15">
      <c r="A77" s="131">
        <v>4</v>
      </c>
      <c r="B77" s="119">
        <f t="shared" si="11"/>
        <v>168.11686164724296</v>
      </c>
      <c r="C77" s="119">
        <f t="shared" si="11"/>
        <v>174.11899455988708</v>
      </c>
      <c r="D77" s="119">
        <f t="shared" si="11"/>
        <v>180.29257173983774</v>
      </c>
      <c r="E77" s="119">
        <f t="shared" si="11"/>
        <v>186.64090661546371</v>
      </c>
      <c r="F77" s="119">
        <f t="shared" si="11"/>
        <v>199.87526357824544</v>
      </c>
      <c r="G77" s="296"/>
      <c r="H77" s="296"/>
      <c r="I77" s="296"/>
      <c r="J77" s="296"/>
      <c r="K77" s="296"/>
      <c r="L77" s="296"/>
    </row>
    <row r="78" spans="1:21" ht="13.15">
      <c r="A78" s="131">
        <v>5</v>
      </c>
      <c r="B78" s="119">
        <f t="shared" si="11"/>
        <v>165.29755941534273</v>
      </c>
      <c r="C78" s="119">
        <f t="shared" si="11"/>
        <v>172.53663604103579</v>
      </c>
      <c r="D78" s="119">
        <f t="shared" si="11"/>
        <v>180.05069244379698</v>
      </c>
      <c r="E78" s="119">
        <f t="shared" si="11"/>
        <v>187.84770639447856</v>
      </c>
      <c r="F78" s="119">
        <f t="shared" si="11"/>
        <v>204.32329295751421</v>
      </c>
      <c r="G78" s="296"/>
      <c r="H78" s="296"/>
      <c r="I78" s="296"/>
      <c r="J78" s="296"/>
      <c r="K78" s="296"/>
      <c r="L78" s="296"/>
    </row>
    <row r="79" spans="1:21" ht="13.15">
      <c r="A79" s="131">
        <v>6</v>
      </c>
      <c r="B79" s="119">
        <f t="shared" si="11"/>
        <v>165.14331660384082</v>
      </c>
      <c r="C79" s="119">
        <f t="shared" si="11"/>
        <v>173.5959459095144</v>
      </c>
      <c r="D79" s="119">
        <f t="shared" si="11"/>
        <v>182.44658841283299</v>
      </c>
      <c r="E79" s="119">
        <f t="shared" si="11"/>
        <v>191.71061233808626</v>
      </c>
      <c r="F79" s="119">
        <f t="shared" si="11"/>
        <v>211.54252372488722</v>
      </c>
      <c r="G79" s="296"/>
      <c r="H79" s="296"/>
      <c r="I79" s="296"/>
      <c r="J79" s="296"/>
      <c r="K79" s="296"/>
      <c r="L79" s="296"/>
    </row>
    <row r="80" spans="1:21" ht="13.15">
      <c r="A80" s="131">
        <f t="shared" ref="A80" si="12">A62</f>
        <v>7</v>
      </c>
      <c r="B80" s="119">
        <f t="shared" si="11"/>
        <v>162.5250232443384</v>
      </c>
      <c r="C80" s="119">
        <f t="shared" si="11"/>
        <v>172.04406808124429</v>
      </c>
      <c r="D80" s="119">
        <f t="shared" si="11"/>
        <v>182.09926774119108</v>
      </c>
      <c r="E80" s="119">
        <f t="shared" si="11"/>
        <v>192.71651468753325</v>
      </c>
      <c r="F80" s="119">
        <f t="shared" si="11"/>
        <v>215.74578540877189</v>
      </c>
      <c r="G80" s="296"/>
      <c r="H80" s="296"/>
      <c r="I80" s="296"/>
      <c r="J80" s="296"/>
      <c r="K80" s="296"/>
      <c r="L80" s="296"/>
    </row>
    <row r="81" spans="1:12" ht="13.15">
      <c r="A81" s="131">
        <v>8</v>
      </c>
      <c r="B81" s="119">
        <f t="shared" si="11"/>
        <v>162.39092894013274</v>
      </c>
      <c r="C81" s="119">
        <f t="shared" si="11"/>
        <v>172.9835126587765</v>
      </c>
      <c r="D81" s="119">
        <f t="shared" si="11"/>
        <v>184.26634152686714</v>
      </c>
      <c r="E81" s="119">
        <f t="shared" si="11"/>
        <v>196.27933550730569</v>
      </c>
      <c r="F81" s="119">
        <f t="shared" si="11"/>
        <v>222.66528871164789</v>
      </c>
      <c r="G81" s="296"/>
      <c r="H81" s="296"/>
      <c r="I81" s="296"/>
      <c r="J81" s="296"/>
      <c r="K81" s="296"/>
      <c r="L81" s="296"/>
    </row>
    <row r="82" spans="1:12" ht="13.15">
      <c r="A82" s="131">
        <f t="shared" ref="A82" si="13">A64</f>
        <v>9</v>
      </c>
      <c r="B82" s="119">
        <f t="shared" si="11"/>
        <v>159.95869442036818</v>
      </c>
      <c r="C82" s="119">
        <f t="shared" si="11"/>
        <v>171.46732441388269</v>
      </c>
      <c r="D82" s="119">
        <f t="shared" si="11"/>
        <v>183.82994203146131</v>
      </c>
      <c r="E82" s="119">
        <f t="shared" si="11"/>
        <v>197.1041928826811</v>
      </c>
      <c r="F82" s="119">
        <f t="shared" si="11"/>
        <v>226.63520567553056</v>
      </c>
      <c r="G82" s="296"/>
      <c r="H82" s="296"/>
      <c r="I82" s="296"/>
      <c r="J82" s="296"/>
      <c r="K82" s="296"/>
      <c r="L82" s="296"/>
    </row>
    <row r="83" spans="1:12" ht="13.15">
      <c r="A83" s="131">
        <f t="shared" ref="A83:A87" si="14">A65</f>
        <v>10</v>
      </c>
      <c r="B83" s="119">
        <f t="shared" si="11"/>
        <v>159.84211665414813</v>
      </c>
      <c r="C83" s="119">
        <f t="shared" si="11"/>
        <v>172.30046695367818</v>
      </c>
      <c r="D83" s="119">
        <f t="shared" si="11"/>
        <v>185.79004750067077</v>
      </c>
      <c r="E83" s="119">
        <f t="shared" si="11"/>
        <v>200.39024032445471</v>
      </c>
      <c r="F83" s="119">
        <f t="shared" si="11"/>
        <v>233.26742557559268</v>
      </c>
      <c r="G83" s="296"/>
      <c r="H83" s="296"/>
      <c r="I83" s="296"/>
      <c r="J83" s="296"/>
      <c r="K83" s="296"/>
      <c r="L83" s="296"/>
    </row>
    <row r="84" spans="1:12" ht="13.15">
      <c r="A84" s="131">
        <f t="shared" si="14"/>
        <v>15</v>
      </c>
      <c r="B84" s="119">
        <f t="shared" si="11"/>
        <v>153.34002258548725</v>
      </c>
      <c r="C84" s="119">
        <f t="shared" si="11"/>
        <v>169.39675145286679</v>
      </c>
      <c r="D84" s="119">
        <f t="shared" si="11"/>
        <v>187.45956873249156</v>
      </c>
      <c r="E84" s="119">
        <f t="shared" si="11"/>
        <v>207.77834396475336</v>
      </c>
      <c r="F84" s="119">
        <f t="shared" si="11"/>
        <v>256.33375848711182</v>
      </c>
      <c r="G84" s="296"/>
      <c r="H84" s="296"/>
      <c r="I84" s="296"/>
      <c r="J84" s="296"/>
      <c r="K84" s="296"/>
      <c r="L84" s="296"/>
    </row>
    <row r="85" spans="1:12" ht="13.15">
      <c r="A85" s="132">
        <f t="shared" si="14"/>
        <v>20</v>
      </c>
      <c r="B85" s="119">
        <f t="shared" si="11"/>
        <v>149.63569447643343</v>
      </c>
      <c r="C85" s="119">
        <f t="shared" si="11"/>
        <v>168.31632401161809</v>
      </c>
      <c r="D85" s="119">
        <f t="shared" si="11"/>
        <v>190.04936133209989</v>
      </c>
      <c r="E85" s="119">
        <f t="shared" si="11"/>
        <v>215.35682646926523</v>
      </c>
      <c r="F85" s="119">
        <f t="shared" si="11"/>
        <v>279.23516619885493</v>
      </c>
      <c r="G85" s="296"/>
      <c r="H85" s="296"/>
      <c r="I85" s="296"/>
      <c r="J85" s="296"/>
      <c r="K85" s="296"/>
      <c r="L85" s="296"/>
    </row>
    <row r="86" spans="1:12" ht="13.15">
      <c r="A86" s="132">
        <f t="shared" si="14"/>
        <v>25</v>
      </c>
      <c r="B86" s="119">
        <f t="shared" si="11"/>
        <v>145.15237536468118</v>
      </c>
      <c r="C86" s="119">
        <f t="shared" si="11"/>
        <v>165.49497655050141</v>
      </c>
      <c r="D86" s="119">
        <f t="shared" si="11"/>
        <v>189.88887682517949</v>
      </c>
      <c r="E86" s="119">
        <f t="shared" si="11"/>
        <v>219.21275722021238</v>
      </c>
      <c r="F86" s="119">
        <f t="shared" si="11"/>
        <v>297.1649641841862</v>
      </c>
      <c r="G86" s="296"/>
      <c r="H86" s="296"/>
      <c r="I86" s="296"/>
      <c r="J86" s="296"/>
      <c r="K86" s="296"/>
      <c r="L86" s="296"/>
    </row>
    <row r="87" spans="1:12" ht="13.15">
      <c r="A87" s="132">
        <f t="shared" si="14"/>
        <v>30</v>
      </c>
      <c r="B87" s="119">
        <f t="shared" si="11"/>
        <v>142.61150848800381</v>
      </c>
      <c r="C87" s="119">
        <f t="shared" si="11"/>
        <v>164.19800117801466</v>
      </c>
      <c r="D87" s="119">
        <f t="shared" si="11"/>
        <v>190.76833353551555</v>
      </c>
      <c r="E87" s="119">
        <f t="shared" si="11"/>
        <v>223.62322184420634</v>
      </c>
      <c r="F87" s="119">
        <f t="shared" si="11"/>
        <v>315.22971453767025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233.26742557559268</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200.39024032445471</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185.79004750067077</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172.30046695367818</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159.84211665414813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39570</v>
      </c>
      <c r="D7" s="470"/>
      <c r="E7" s="470"/>
      <c r="F7" s="470"/>
      <c r="G7" s="470"/>
    </row>
    <row r="8" spans="2:7">
      <c r="B8" s="97" t="s">
        <v>63</v>
      </c>
      <c r="C8" s="447">
        <f>Normalized_FCF!G19</f>
        <v>28822</v>
      </c>
      <c r="D8" s="470"/>
      <c r="E8" s="470"/>
      <c r="F8" s="470"/>
      <c r="G8" s="470"/>
    </row>
    <row r="9" spans="2:7">
      <c r="B9" s="97" t="s">
        <v>54</v>
      </c>
      <c r="C9" s="447">
        <f>Normalized_FCF!C19</f>
        <v>22897.570210477948</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5.2429405031766629E-2</v>
      </c>
      <c r="D12" s="470"/>
      <c r="E12" s="470"/>
      <c r="F12" s="470"/>
      <c r="G12" s="470"/>
    </row>
    <row r="13" spans="2:7">
      <c r="B13" s="135" t="s">
        <v>127</v>
      </c>
      <c r="C13" s="249">
        <f ca="1">(Normalized_FCF!G8/OFFSET(Normalized_FCF!G8, 0, $C$4))^(1/$C$4) - 1</f>
        <v>0.46870983906455255</v>
      </c>
      <c r="D13" s="470"/>
      <c r="E13" s="470"/>
      <c r="F13" s="470"/>
      <c r="G13" s="470"/>
    </row>
    <row r="14" spans="2:7">
      <c r="B14" s="97" t="s">
        <v>63</v>
      </c>
      <c r="C14" s="249">
        <f ca="1">(Normalized_FCF!G19/OFFSET(Normalized_FCF!G19, 0, $C$4))^(1/$C$4) - 1</f>
        <v>0.70910794408317734</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200.39024032445471</v>
      </c>
      <c r="F22" s="328">
        <f>1-F23-F24</f>
        <v>0.19999999999999996</v>
      </c>
      <c r="G22" s="328">
        <f>F22*(1-F$29-F$30)</f>
        <v>0.15999999999999995</v>
      </c>
    </row>
    <row r="23" spans="2:7">
      <c r="B23" s="302" t="s">
        <v>437</v>
      </c>
      <c r="C23" s="324">
        <v>0.02</v>
      </c>
      <c r="D23" s="325">
        <f>C18</f>
        <v>10</v>
      </c>
      <c r="E23" s="326">
        <f>DCF!E92</f>
        <v>185.79004750067077</v>
      </c>
      <c r="F23" s="327">
        <v>0.55000000000000004</v>
      </c>
      <c r="G23" s="328">
        <f t="shared" ref="G23:G24" si="0">F23*(1-F$29-F$30)</f>
        <v>0.44</v>
      </c>
    </row>
    <row r="24" spans="2:7">
      <c r="B24" s="302" t="s">
        <v>446</v>
      </c>
      <c r="C24" s="324">
        <v>0.01</v>
      </c>
      <c r="D24" s="325">
        <f>C18</f>
        <v>10</v>
      </c>
      <c r="E24" s="326">
        <f>DCF!E93</f>
        <v>172.30046695367818</v>
      </c>
      <c r="F24" s="327">
        <v>0.25</v>
      </c>
      <c r="G24" s="328">
        <f t="shared" si="0"/>
        <v>0.19999999999999998</v>
      </c>
    </row>
    <row r="25" spans="2:7">
      <c r="B25" s="141" t="s">
        <v>451</v>
      </c>
      <c r="C25" s="441">
        <f>E23*F23+E24*F24+E22*F22</f>
        <v>185.33769092867942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233.26742557559268</v>
      </c>
      <c r="F29" s="327">
        <v>0.15</v>
      </c>
      <c r="G29" s="328">
        <f>F29</f>
        <v>0.15</v>
      </c>
    </row>
    <row r="30" spans="2:7">
      <c r="B30" s="315" t="s">
        <v>447</v>
      </c>
      <c r="C30" s="324">
        <v>0</v>
      </c>
      <c r="D30" s="325">
        <f>C18</f>
        <v>10</v>
      </c>
      <c r="E30" s="326">
        <f>DCF!E94</f>
        <v>159.84211665414813</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104.4</v>
      </c>
      <c r="D34" t="str">
        <f>Market_currency</f>
        <v>HKD</v>
      </c>
      <c r="E34" s="97" t="s">
        <v>454</v>
      </c>
      <c r="F34" s="330">
        <f>RATE(Holding_Period,$C$33,-C34,$C$36)</f>
        <v>0.25152402246872663</v>
      </c>
    </row>
    <row r="35" spans="2:7">
      <c r="B35" s="97" t="s">
        <v>434</v>
      </c>
      <c r="C35" s="320">
        <f>DCF!C11</f>
        <v>175.3513232635766</v>
      </c>
      <c r="D35" s="97" t="str">
        <f>Market_currency</f>
        <v>HKD</v>
      </c>
      <c r="E35" s="97" t="s">
        <v>454</v>
      </c>
      <c r="F35" s="330">
        <f>RATE(Holding_Period,$C$33,-C35,$C$36)</f>
        <v>4.8815312095907192E-2</v>
      </c>
    </row>
    <row r="36" spans="2:7">
      <c r="B36" s="97" t="s">
        <v>435</v>
      </c>
      <c r="C36" s="321">
        <f>E22*G22+E23*G23+E24*G24+E30*G30+E29*G29</f>
        <v>191.25237241198982</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191.28368621599475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3.4643876575169312E-2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88.134733830410084</v>
      </c>
      <c r="E62" s="332">
        <f>C62+D62</f>
        <v>94.557512862556607</v>
      </c>
      <c r="F62" s="301">
        <f>Thesis!E22</f>
        <v>0.29465259038036606</v>
      </c>
      <c r="G62" s="440">
        <f>(1-E62/C36)</f>
        <v>0.5055877651605607</v>
      </c>
    </row>
    <row r="63" spans="2:7" ht="13.15">
      <c r="B63" s="302" t="s">
        <v>313</v>
      </c>
      <c r="C63" s="119">
        <f>PV(F63, Holding_Period, -C58, 0)</f>
        <v>7.3850538549144646</v>
      </c>
      <c r="D63" s="119">
        <f>C36/(1+F63)^Holding_Period</f>
        <v>110.47068442569814</v>
      </c>
      <c r="E63" s="332">
        <f>C63+D63</f>
        <v>117.8557382806126</v>
      </c>
      <c r="F63" s="301">
        <f>Thesis!E23</f>
        <v>0.20075184365903009</v>
      </c>
      <c r="G63" s="440">
        <f>(1-E63/C36)</f>
        <v>0.38376848980084033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137.08212561503123</v>
      </c>
      <c r="E66" s="332">
        <f>C66+D66</f>
        <v>145.55036258707588</v>
      </c>
      <c r="F66" s="301">
        <f>Thesis!E24</f>
        <v>0.1174</v>
      </c>
      <c r="G66" s="440">
        <f>(1-E66/C36)</f>
        <v>0.2389617929887119</v>
      </c>
    </row>
    <row r="67" spans="2:7" ht="13.15">
      <c r="B67" s="302" t="s">
        <v>314</v>
      </c>
      <c r="C67" s="119">
        <f>PV(F67, Holding_Period, -C58, 0)</f>
        <v>9.1694370473772864</v>
      </c>
      <c r="D67" s="119">
        <f>C36/(1+F67)^Holding_Period</f>
        <v>155.02970782452144</v>
      </c>
      <c r="E67" s="332">
        <f>C67+D67</f>
        <v>164.19914487189874</v>
      </c>
      <c r="F67" s="301">
        <f>Thesis!E25</f>
        <v>7.2499999999999995E-2</v>
      </c>
      <c r="G67" s="440">
        <f>(1-E67/C36)</f>
        <v>0.14145302983125285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104.4</v>
      </c>
    </row>
    <row r="9" spans="1:10">
      <c r="B9" s="351" t="s">
        <v>361</v>
      </c>
      <c r="C9" s="353">
        <f>Common_Shares</f>
        <v>3007054361.0630002</v>
      </c>
    </row>
    <row r="10" spans="1:10">
      <c r="B10" s="351" t="s">
        <v>367</v>
      </c>
      <c r="C10" s="357">
        <f>投资主题!C8*Common_Shares/1000000</f>
        <v>313936.47529497725</v>
      </c>
      <c r="D10" s="343" t="s">
        <v>529</v>
      </c>
      <c r="E10" s="360">
        <f>Scenarios!F34</f>
        <v>0.25152402246872663</v>
      </c>
    </row>
    <row r="11" spans="1:10">
      <c r="D11" s="349"/>
      <c r="E11" s="349"/>
    </row>
    <row r="12" spans="1:10" ht="24.5" customHeight="1">
      <c r="B12" s="472" t="s">
        <v>498</v>
      </c>
      <c r="C12" s="472"/>
      <c r="D12" s="472"/>
      <c r="E12" s="472"/>
      <c r="F12" s="472"/>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1.1404913400000001</v>
      </c>
    </row>
    <row r="17" spans="1:6">
      <c r="B17" s="343" t="s">
        <v>535</v>
      </c>
      <c r="C17" s="424">
        <f>Terminal_Growth</f>
        <v>0.02</v>
      </c>
      <c r="D17" s="351" t="s">
        <v>339</v>
      </c>
      <c r="E17" s="344" t="str">
        <f>Reporting_currency</f>
        <v>CNY</v>
      </c>
    </row>
    <row r="18" spans="1:6">
      <c r="B18" s="343" t="str">
        <f>"预期股权价值 ("&amp;C7&amp;") :"</f>
        <v>预期股权价值 (HKD) :</v>
      </c>
      <c r="C18" s="359">
        <f>C125</f>
        <v>191.25237241198982</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94.557512862556607</v>
      </c>
      <c r="D22" s="365" t="s">
        <v>440</v>
      </c>
      <c r="E22" s="366">
        <f>Thesis!E22</f>
        <v>0.29465259038036606</v>
      </c>
    </row>
    <row r="23" spans="1:6">
      <c r="B23" s="343" t="s">
        <v>341</v>
      </c>
      <c r="C23" s="367">
        <f>E141</f>
        <v>117.8557382806126</v>
      </c>
      <c r="D23" s="365" t="s">
        <v>441</v>
      </c>
      <c r="E23" s="368">
        <f>Thesis!E23</f>
        <v>0.20075184365903009</v>
      </c>
    </row>
    <row r="24" spans="1:6">
      <c r="B24" s="343" t="s">
        <v>343</v>
      </c>
      <c r="C24" s="367">
        <f>E144</f>
        <v>145.55036258707588</v>
      </c>
      <c r="D24" s="365" t="s">
        <v>443</v>
      </c>
      <c r="E24" s="368">
        <f>Thesis!E24</f>
        <v>0.1174</v>
      </c>
    </row>
    <row r="25" spans="1:6">
      <c r="B25" s="343" t="s">
        <v>342</v>
      </c>
      <c r="C25" s="367">
        <f>E145</f>
        <v>164.19914487189874</v>
      </c>
      <c r="D25" s="365" t="s">
        <v>442</v>
      </c>
      <c r="E25" s="368">
        <f>Thesis!E25</f>
        <v>7.2499999999999995E-2</v>
      </c>
    </row>
    <row r="27" spans="1:6" ht="13.9">
      <c r="A27" s="345" t="s">
        <v>345</v>
      </c>
      <c r="B27" s="345"/>
      <c r="C27" s="345"/>
      <c r="D27" s="345"/>
      <c r="E27" s="345"/>
      <c r="F27" s="345"/>
    </row>
    <row r="29" spans="1:6">
      <c r="B29" s="472" t="s">
        <v>499</v>
      </c>
      <c r="C29" s="472"/>
      <c r="D29" s="472"/>
      <c r="E29" s="472"/>
      <c r="F29" s="472"/>
    </row>
    <row r="30" spans="1:6" ht="24.5" customHeight="1">
      <c r="B30" s="473" t="s">
        <v>500</v>
      </c>
      <c r="C30" s="473"/>
      <c r="D30" s="473"/>
      <c r="E30" s="473"/>
      <c r="F30" s="473"/>
    </row>
    <row r="32" spans="1:6">
      <c r="B32" s="369" t="s">
        <v>371</v>
      </c>
      <c r="C32" s="370">
        <f>scaling_factor</f>
        <v>1000000</v>
      </c>
    </row>
    <row r="33" spans="2:6">
      <c r="B33" s="471" t="s">
        <v>501</v>
      </c>
      <c r="C33" s="471"/>
      <c r="D33" s="471"/>
      <c r="E33" s="471"/>
      <c r="F33" s="471"/>
    </row>
    <row r="34" spans="2:6">
      <c r="B34" s="372" t="s">
        <v>197</v>
      </c>
      <c r="C34" s="373">
        <f>Normalized_FCF!C8</f>
        <v>38849.138260430074</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565.84868687385779</v>
      </c>
      <c r="D44" s="343" t="str">
        <f>Reporting_currency</f>
        <v>CNY</v>
      </c>
      <c r="E44" s="371"/>
      <c r="F44" s="371"/>
    </row>
    <row r="45" spans="2:6">
      <c r="B45" s="372" t="s">
        <v>268</v>
      </c>
      <c r="C45" s="376">
        <f>Normalized_FCF!C45</f>
        <v>-4483.5600000000004</v>
      </c>
      <c r="D45" s="343" t="str">
        <f>Reporting_currency</f>
        <v>CNY</v>
      </c>
      <c r="E45" s="371"/>
      <c r="F45" s="371"/>
    </row>
    <row r="46" spans="2:6">
      <c r="B46" s="372" t="s">
        <v>203</v>
      </c>
      <c r="C46" s="373">
        <f>Normalized_FCF!C10</f>
        <v>-3917.7113131261426</v>
      </c>
      <c r="D46" s="343" t="str">
        <f>Reporting_currency</f>
        <v>CNY</v>
      </c>
    </row>
    <row r="48" spans="2:6">
      <c r="B48" s="343" t="s">
        <v>505</v>
      </c>
    </row>
    <row r="49" spans="2:6">
      <c r="B49" s="372" t="s">
        <v>223</v>
      </c>
      <c r="C49" s="373">
        <f>Normalized_FCF!C13</f>
        <v>-3301</v>
      </c>
      <c r="D49" s="343" t="str">
        <f>Reporting_currency</f>
        <v>CNY</v>
      </c>
    </row>
    <row r="51" spans="2:6">
      <c r="B51" s="471" t="s">
        <v>506</v>
      </c>
      <c r="C51" s="471"/>
      <c r="D51" s="471"/>
      <c r="E51" s="471"/>
      <c r="F51" s="471"/>
    </row>
    <row r="52" spans="2:6">
      <c r="B52" s="372" t="s">
        <v>496</v>
      </c>
      <c r="C52" s="373">
        <f>Normalized_FCF!C12</f>
        <v>-8732.8567368259828</v>
      </c>
      <c r="D52" s="343" t="str">
        <f>Reporting_currency</f>
        <v>CNY</v>
      </c>
    </row>
    <row r="54" spans="2:6">
      <c r="B54" s="471" t="s">
        <v>507</v>
      </c>
      <c r="C54" s="474"/>
      <c r="D54" s="474"/>
      <c r="E54" s="474"/>
      <c r="F54" s="474"/>
    </row>
    <row r="55" spans="2:6">
      <c r="B55" s="372" t="s">
        <v>207</v>
      </c>
      <c r="C55" s="373">
        <f>Normalized_FCF!C17</f>
        <v>0</v>
      </c>
      <c r="D55" s="343" t="str">
        <f>Reporting_currency</f>
        <v>CNY</v>
      </c>
    </row>
    <row r="57" spans="2:6">
      <c r="B57" s="472" t="s">
        <v>508</v>
      </c>
      <c r="C57" s="472"/>
      <c r="D57" s="472"/>
      <c r="E57" s="472"/>
      <c r="F57" s="472"/>
    </row>
    <row r="58" spans="2:6">
      <c r="B58" s="472" t="s">
        <v>509</v>
      </c>
      <c r="C58" s="472"/>
      <c r="D58" s="472"/>
      <c r="E58" s="472"/>
      <c r="F58" s="472"/>
    </row>
    <row r="60" spans="2:6">
      <c r="B60" s="372" t="s">
        <v>372</v>
      </c>
      <c r="C60" s="373">
        <f>Normalized_FCF!G19</f>
        <v>28822</v>
      </c>
      <c r="D60" s="343" t="str">
        <f>Reporting_currency</f>
        <v>CNY</v>
      </c>
    </row>
    <row r="61" spans="2:6">
      <c r="B61" s="372" t="s">
        <v>213</v>
      </c>
      <c r="C61" s="373">
        <f>Normalized_FCF!C19</f>
        <v>22897.570210477948</v>
      </c>
      <c r="D61" s="343" t="str">
        <f>Reporting_currency</f>
        <v>CNY</v>
      </c>
    </row>
    <row r="62" spans="2:6">
      <c r="B62" s="377" t="s">
        <v>302</v>
      </c>
      <c r="C62" s="378">
        <f>Normalized_FCF!C124</f>
        <v>8.3183964232110025E-2</v>
      </c>
      <c r="F62" s="379"/>
    </row>
    <row r="63" spans="2:6">
      <c r="B63" s="377" t="s">
        <v>332</v>
      </c>
      <c r="C63" s="378">
        <f>Normalized_FCF!C92</f>
        <v>3.3620689655172412E-2</v>
      </c>
      <c r="E63" s="372" t="s">
        <v>373</v>
      </c>
      <c r="F63" s="380">
        <f>Normalized_FCF!C90</f>
        <v>0.51217277206029399</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2" t="s">
        <v>510</v>
      </c>
      <c r="C73" s="472"/>
      <c r="D73" s="472"/>
      <c r="E73" s="472"/>
      <c r="F73" s="472"/>
    </row>
    <row r="74" spans="1:6">
      <c r="B74" s="473" t="s">
        <v>479</v>
      </c>
      <c r="C74" s="473"/>
      <c r="D74" s="473"/>
      <c r="E74" s="473"/>
      <c r="F74" s="473"/>
    </row>
    <row r="76" spans="1:6">
      <c r="B76" s="369" t="s">
        <v>371</v>
      </c>
    </row>
    <row r="77" spans="1:6">
      <c r="B77" s="472" t="s">
        <v>511</v>
      </c>
      <c r="C77" s="472"/>
      <c r="D77" s="472"/>
      <c r="E77" s="472"/>
      <c r="F77" s="472"/>
    </row>
    <row r="78" spans="1:6">
      <c r="B78" s="343" t="s">
        <v>215</v>
      </c>
      <c r="C78" s="373">
        <f>DCF!F4</f>
        <v>-112089</v>
      </c>
      <c r="D78" s="343" t="str">
        <f>Reporting_currency</f>
        <v>CNY</v>
      </c>
    </row>
    <row r="79" spans="1:6">
      <c r="B79" s="372" t="s">
        <v>234</v>
      </c>
      <c r="C79" s="387">
        <f>C78*scaling_factor*Exchange_Rate/Common_Shares</f>
        <v>-42.512212437712471</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31026.885521023709</v>
      </c>
      <c r="D84" s="343" t="str">
        <f>Reporting_currency</f>
        <v>CNY</v>
      </c>
    </row>
    <row r="85" spans="1:6">
      <c r="B85" s="382" t="s">
        <v>481</v>
      </c>
      <c r="C85" s="390">
        <f>BS!C66</f>
        <v>125335</v>
      </c>
      <c r="D85" s="391" t="str">
        <f>Reporting_currency</f>
        <v>CNY</v>
      </c>
    </row>
    <row r="86" spans="1:6">
      <c r="B86" s="372" t="s">
        <v>235</v>
      </c>
      <c r="C86" s="387">
        <f>C84*scaling_factor*Exchange_Rate/Common_Shares</f>
        <v>11.767627051274838</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37.370308970986933</v>
      </c>
      <c r="D90" s="343" t="str">
        <f>Market_currency</f>
        <v>HKD</v>
      </c>
    </row>
    <row r="92" spans="1:6">
      <c r="B92" s="372" t="s">
        <v>480</v>
      </c>
      <c r="C92" s="387">
        <f>DCF!F8</f>
        <v>6.6257235845492923</v>
      </c>
      <c r="D92" s="343" t="str">
        <f>Market_currency</f>
        <v>HKD</v>
      </c>
    </row>
    <row r="94" spans="1:6" ht="13.9">
      <c r="A94" s="345" t="s">
        <v>482</v>
      </c>
      <c r="B94" s="345"/>
      <c r="C94" s="345"/>
      <c r="D94" s="345"/>
      <c r="E94" s="345"/>
      <c r="F94" s="345"/>
    </row>
    <row r="95" spans="1:6">
      <c r="A95" s="385"/>
    </row>
    <row r="96" spans="1:6">
      <c r="A96" s="385"/>
      <c r="B96" s="472" t="s">
        <v>514</v>
      </c>
      <c r="C96" s="472"/>
      <c r="D96" s="472"/>
      <c r="E96" s="472"/>
      <c r="F96" s="472"/>
    </row>
    <row r="97" spans="1:6">
      <c r="A97" s="385"/>
      <c r="B97" s="473" t="s">
        <v>515</v>
      </c>
      <c r="C97" s="473"/>
      <c r="D97" s="473"/>
      <c r="E97" s="473"/>
      <c r="F97" s="473"/>
    </row>
    <row r="98" spans="1:6">
      <c r="A98" s="385"/>
      <c r="B98" s="473" t="s">
        <v>516</v>
      </c>
      <c r="C98" s="473"/>
      <c r="D98" s="473"/>
      <c r="E98" s="473"/>
      <c r="F98" s="473"/>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2" t="s">
        <v>517</v>
      </c>
      <c r="C107" s="472"/>
      <c r="D107" s="472"/>
      <c r="E107" s="472"/>
      <c r="F107" s="472"/>
    </row>
    <row r="108" spans="1:6">
      <c r="A108" s="385"/>
      <c r="B108" s="472" t="s">
        <v>536</v>
      </c>
      <c r="C108" s="472"/>
      <c r="D108" s="472"/>
      <c r="E108" s="472"/>
      <c r="F108" s="472"/>
    </row>
    <row r="109" spans="1:6">
      <c r="A109" s="385"/>
    </row>
    <row r="110" spans="1:6">
      <c r="A110" s="385"/>
      <c r="B110" s="369" t="s">
        <v>489</v>
      </c>
    </row>
    <row r="111" spans="1:6">
      <c r="A111" s="385"/>
      <c r="B111" s="375" t="s">
        <v>486</v>
      </c>
      <c r="C111" s="394">
        <f>BS!D47</f>
        <v>-65.814054607974768</v>
      </c>
      <c r="D111" s="343" t="str">
        <f>Market_currency</f>
        <v>HKD</v>
      </c>
    </row>
    <row r="112" spans="1:6">
      <c r="A112" s="385"/>
      <c r="B112" s="372" t="s">
        <v>377</v>
      </c>
      <c r="C112" s="394">
        <f>DCF!C11</f>
        <v>175.3513232635766</v>
      </c>
      <c r="D112" s="343" t="str">
        <f>Market_currency</f>
        <v>HKD</v>
      </c>
    </row>
    <row r="113" spans="1:6">
      <c r="A113" s="385"/>
    </row>
    <row r="114" spans="1:6">
      <c r="A114" s="385"/>
      <c r="B114" s="472" t="s">
        <v>518</v>
      </c>
      <c r="C114" s="472"/>
      <c r="D114" s="472"/>
      <c r="E114" s="472"/>
      <c r="F114" s="472"/>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233.27 HKD</v>
      </c>
      <c r="F118" s="399">
        <f>DCF!F90</f>
        <v>0.15</v>
      </c>
    </row>
    <row r="119" spans="1:6">
      <c r="A119" s="385"/>
      <c r="B119" s="400" t="str">
        <f>DCF!B91</f>
        <v>Optimistic</v>
      </c>
      <c r="C119" s="401">
        <f>DCF!C91</f>
        <v>0.03</v>
      </c>
      <c r="D119" s="402">
        <f>DCF!D91</f>
        <v>10</v>
      </c>
      <c r="E119" s="398" t="str">
        <f>ROUND(DCF!E91,2)&amp;" "&amp;Market_currency</f>
        <v>200.39 HKD</v>
      </c>
      <c r="F119" s="403">
        <f>DCF!F91</f>
        <v>0.15999999999999995</v>
      </c>
    </row>
    <row r="120" spans="1:6">
      <c r="B120" s="400" t="str">
        <f>DCF!B92</f>
        <v>Base</v>
      </c>
      <c r="C120" s="401">
        <f>DCF!C92</f>
        <v>0.02</v>
      </c>
      <c r="D120" s="402">
        <f>DCF!D92</f>
        <v>10</v>
      </c>
      <c r="E120" s="398" t="str">
        <f>ROUND(DCF!E92,2)&amp;" "&amp;Market_currency</f>
        <v>185.79 HKD</v>
      </c>
      <c r="F120" s="403">
        <f>DCF!F92</f>
        <v>0.44</v>
      </c>
    </row>
    <row r="121" spans="1:6">
      <c r="B121" s="400" t="str">
        <f>DCF!B93</f>
        <v>Pessimistic</v>
      </c>
      <c r="C121" s="401">
        <f>DCF!C93</f>
        <v>0.01</v>
      </c>
      <c r="D121" s="402">
        <f>DCF!D93</f>
        <v>10</v>
      </c>
      <c r="E121" s="398" t="str">
        <f>ROUND(DCF!E93,2)&amp;" "&amp;Market_currency</f>
        <v>172.3 HKD</v>
      </c>
      <c r="F121" s="403">
        <f>DCF!F93</f>
        <v>0.19999999999999998</v>
      </c>
    </row>
    <row r="122" spans="1:6">
      <c r="B122" s="400" t="str">
        <f>DCF!B94</f>
        <v>Devil's advocate</v>
      </c>
      <c r="C122" s="401">
        <f>DCF!C94</f>
        <v>0</v>
      </c>
      <c r="D122" s="402">
        <f>DCF!D94</f>
        <v>10</v>
      </c>
      <c r="E122" s="398" t="str">
        <f>ROUND(DCF!E94,2)&amp;" "&amp;Market_currency</f>
        <v>159.84 HKD</v>
      </c>
      <c r="F122" s="403">
        <f>DCF!F94</f>
        <v>0.05</v>
      </c>
    </row>
    <row r="124" spans="1:6">
      <c r="B124" s="471" t="s">
        <v>519</v>
      </c>
      <c r="C124" s="471"/>
      <c r="D124" s="471"/>
      <c r="E124" s="471"/>
      <c r="F124" s="471"/>
    </row>
    <row r="125" spans="1:6">
      <c r="B125" s="372" t="s">
        <v>218</v>
      </c>
      <c r="C125" s="404">
        <f>Scenarios!C36</f>
        <v>191.25237241198982</v>
      </c>
      <c r="D125" s="343" t="str">
        <f>Market_currency</f>
        <v>HKD</v>
      </c>
    </row>
    <row r="127" spans="1:6">
      <c r="B127" s="476" t="s">
        <v>520</v>
      </c>
      <c r="C127" s="476"/>
      <c r="D127" s="476"/>
      <c r="E127" s="476"/>
      <c r="F127" s="476"/>
    </row>
    <row r="129" spans="1:6" ht="13.9">
      <c r="A129" s="345" t="s">
        <v>492</v>
      </c>
      <c r="B129" s="345"/>
      <c r="C129" s="345"/>
      <c r="D129" s="345"/>
      <c r="E129" s="345"/>
      <c r="F129" s="345"/>
    </row>
    <row r="131" spans="1:6">
      <c r="B131" s="477" t="s">
        <v>521</v>
      </c>
      <c r="C131" s="477"/>
      <c r="D131" s="477"/>
      <c r="E131" s="477"/>
      <c r="F131" s="477"/>
    </row>
    <row r="132" spans="1:6" ht="24.5" customHeight="1">
      <c r="B132" s="472" t="s">
        <v>522</v>
      </c>
      <c r="C132" s="472"/>
      <c r="D132" s="472"/>
      <c r="E132" s="472"/>
      <c r="F132" s="472"/>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88.134733830410084</v>
      </c>
      <c r="E140" s="410">
        <f>Scenarios!E62</f>
        <v>94.557512862556607</v>
      </c>
      <c r="F140" s="411">
        <f>E22</f>
        <v>0.29465259038036606</v>
      </c>
    </row>
    <row r="141" spans="1:6">
      <c r="B141" s="408" t="s">
        <v>313</v>
      </c>
      <c r="C141" s="409">
        <f>Scenarios!C63</f>
        <v>7.3850538549144646</v>
      </c>
      <c r="D141" s="409">
        <f>Scenarios!D63</f>
        <v>110.47068442569814</v>
      </c>
      <c r="E141" s="410">
        <f>Scenarios!E63</f>
        <v>117.8557382806126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137.08212561503123</v>
      </c>
      <c r="E144" s="410">
        <f>Scenarios!E66</f>
        <v>145.55036258707588</v>
      </c>
      <c r="F144" s="411">
        <f>E24</f>
        <v>0.1174</v>
      </c>
    </row>
    <row r="145" spans="1:6">
      <c r="B145" s="408" t="s">
        <v>314</v>
      </c>
      <c r="C145" s="409">
        <f>Scenarios!C67</f>
        <v>9.1694370473772864</v>
      </c>
      <c r="D145" s="409">
        <f>Scenarios!D67</f>
        <v>155.02970782452144</v>
      </c>
      <c r="E145" s="410">
        <f>Scenarios!E67</f>
        <v>164.19914487189874</v>
      </c>
      <c r="F145" s="411">
        <f>Scenarios!F67</f>
        <v>7.2499999999999995E-2</v>
      </c>
    </row>
    <row r="147" spans="1:6" ht="13.9">
      <c r="A147" s="345" t="s">
        <v>475</v>
      </c>
      <c r="B147" s="345"/>
      <c r="C147" s="345"/>
      <c r="D147" s="345"/>
      <c r="E147" s="345"/>
      <c r="F147" s="345"/>
    </row>
    <row r="149" spans="1:6">
      <c r="B149" s="478" t="s">
        <v>523</v>
      </c>
      <c r="C149" s="472"/>
      <c r="D149" s="472"/>
      <c r="E149" s="472"/>
      <c r="F149" s="472"/>
    </row>
    <row r="151" spans="1:6">
      <c r="B151" s="369" t="s">
        <v>384</v>
      </c>
    </row>
    <row r="152" spans="1:6">
      <c r="B152" s="474" t="s">
        <v>524</v>
      </c>
      <c r="C152" s="474"/>
      <c r="D152" s="474"/>
      <c r="E152" s="474"/>
      <c r="F152" s="474"/>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5" t="s">
        <v>388</v>
      </c>
      <c r="C161" s="475"/>
      <c r="D161" s="475"/>
      <c r="E161" s="475"/>
      <c r="F161" s="475"/>
    </row>
    <row r="162" spans="2:6">
      <c r="B162" s="475" t="s">
        <v>389</v>
      </c>
      <c r="C162" s="475"/>
      <c r="D162" s="475"/>
      <c r="E162" s="475"/>
      <c r="F162" s="475"/>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